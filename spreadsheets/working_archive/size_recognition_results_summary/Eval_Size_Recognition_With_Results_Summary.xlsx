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5e18725ed2ec45f7" /></Relationships>
</file>

<file path=xl/workbook.xml><?xml version="1.0" encoding="utf-8"?>
<x:workbook xmlns:x="http://schemas.openxmlformats.org/spreadsheetml/2006/main">
  <x:sheets>
    <x:sheet xmlns:r="http://schemas.openxmlformats.org/officeDocument/2006/relationships" name="Evaluation Plan" sheetId="1" r:id="R1ee4b19dbd6e4761"/>
    <x:sheet xmlns:r="http://schemas.openxmlformats.org/officeDocument/2006/relationships" name="Object Inventory" sheetId="2" r:id="Raa086d7d45a74cfa"/>
    <x:sheet xmlns:r="http://schemas.openxmlformats.org/officeDocument/2006/relationships" name="Training Alignment" sheetId="3" r:id="Rc61a614c9c8a43e0"/>
    <x:sheet xmlns:r="http://schemas.openxmlformats.org/officeDocument/2006/relationships" name="Protocol" sheetId="4" r:id="R3c2ff844853e4010"/>
    <x:sheet xmlns:r="http://schemas.openxmlformats.org/officeDocument/2006/relationships" name="Design QA" sheetId="5" r:id="R7b64d2eebdbe45b2"/>
    <x:sheet xmlns:r="http://schemas.openxmlformats.org/officeDocument/2006/relationships" name="pi0.5 Results" sheetId="6" r:id="Rca2242d827014cbd"/>
    <x:sheet xmlns:r="http://schemas.openxmlformats.org/officeDocument/2006/relationships" name="VLA0 Results" sheetId="7" r:id="Rb91ecbec0e7342cd"/>
    <x:sheet xmlns:r="http://schemas.openxmlformats.org/officeDocument/2006/relationships" name="MolmoAct2 Results" sheetId="8" r:id="R14d052cff5084455"/>
    <x:sheet xmlns:r="http://schemas.openxmlformats.org/officeDocument/2006/relationships" name="Results Summary" sheetId="9" r:id="R55ba42f1dc284991"/>
  </x:sheets>
  <x:definedNames>
    <x:definedName name="Z_881492E2_E342_4278_8854_F78710196227_.wvu.FilterData" localSheetId="6" hidden="1">'VLA0 Results'!$A$1:$S$151</x:definedName>
    <x:definedName name="Z_0B2CCB6A_F248_48B8_95E5_556DA614FD89_.wvu.FilterData" localSheetId="7" hidden="1">'MolmoAct2 Results'!$A$1:$S$151</x:definedName>
    <x:definedName name="Z_8B0AD8BB_BCFC_4C1A_AE61_CEDE100567C5_.wvu.FilterData" localSheetId="5" hidden="1">'pi0.5 Results'!$A$1:$S$151</x:definedName>
    <x:definedName name="Z_95D2F6AB_7436_4DA4_88AF_A9ADD89E36C9_.wvu.FilterData" localSheetId="0" hidden="1">'Evaluation Plan'!$A$1:$S$151</x:definedName>
  </x:definedNames>
</x:workbook>
</file>

<file path=xl/sharedStrings.xml><?xml version="1.0" encoding="utf-8"?>
<x:sst xmlns:x="http://schemas.openxmlformats.org/spreadsheetml/2006/main">
  <x:si>
    <x:t xml:space="preserve">Status</x:t>
  </x:si>
  <x:si>
    <x:t xml:space="preserve">Episode</x:t>
  </x:si>
  <x:si>
    <x:t xml:space="preserve">Prompt</x:t>
  </x:si>
  <x:si>
    <x:t xml:space="preserve">Scene Setup</x:t>
  </x:si>
  <x:si>
    <x:t xml:space="preserve">Reference Episode</x:t>
  </x:si>
  <x:si>
    <x:t xml:space="preserve">Original Training Episode(s)</x:t>
  </x:si>
  <x:si>
    <x:t xml:space="preserve">Expected Target / Action</x:t>
  </x:si>
  <x:si>
    <x:t xml:space="preserve">Observations</x:t>
  </x:si>
  <x:si>
    <x:t xml:space="preserve">Condition</x:t>
  </x:si>
  <x:si>
    <x:t xml:space="preserve">Scene Family</x:t>
  </x:si>
  <x:si>
    <x:t xml:space="preserve">Comparison</x:t>
  </x:si>
  <x:si>
    <x:t xml:space="preserve">Tested Cell / Role</x:t>
  </x:si>
  <x:si>
    <x:t xml:space="preserve">Target Object</x:t>
  </x:si>
  <x:si>
    <x:t xml:space="preserve">Target Side</x:t>
  </x:si>
  <x:si>
    <x:t xml:space="preserve">Object Count</x:t>
  </x:si>
  <x:si>
    <x:t xml:space="preserve">Separation (cm)</x:t>
  </x:si>
  <x:si>
    <x:t xml:space="preserve">Setup Change from Previous</x:t>
  </x:si>
  <x:si>
    <x:t xml:space="preserve">Design Note</x:t>
  </x:si>
  <x:si>
    <x:t xml:space="preserve">Reference Media Filename</x:t>
  </x:si>
  <x:si>
    <x:t xml:space="preserve">Not collected</x:t>
  </x:si>
  <x:si>
    <x:t xml:space="preserve">Move the object that is smallest into the bowl.</x:t>
  </x:si>
  <x:si>
    <x:t xml:space="preserve">Bowl: empty. Table, robot-left→robot-right: P1 red pencil sharpener; P2 green block; P3 juggling ball; P4 crushed Pepsi can. Adjacent centers 8 cm apart; row centered on the workspace; all objects fully visible and grasp paths clear.</x:t>
  </x:si>
  <x:si>
    <x:t xml:space="preserve">1005</x:t>
  </x:si>
  <x:si>
    <x:t xml:space="preserve">MOVE red pencil sharpener to bowl</x:t>
  </x:si>
  <x:si>
    <x:t xml:space="preserve">In-distribution concept baseline</x:t>
  </x:si>
  <x:si>
    <x:t xml:space="preserve">SZ-ID-SH01</x:t>
  </x:si>
  <x:si>
    <x:t xml:space="preserve">smallest</x:t>
  </x:si>
  <x:si>
    <x:t xml:space="preserve">Explicitly trained smallest × red pencil sharpener</x:t>
  </x:si>
  <x:si>
    <x:t xml:space="preserve">red pencil sharpener</x:t>
  </x:si>
  <x:si>
    <x:t xml:space="preserve">Left</x:t>
  </x:si>
  <x:si>
    <x:t xml:space="preserve">Build the listed manifest-supported scene.</x:t>
  </x:si>
  <x:si>
    <x:t xml:space="preserve">Exact prompt and object composition from training episode 1005; this establishes the familiar smallest × red pencil sharpener cell.</x:t>
  </x:si>
  <x:si>
    <x:t xml:space="preserve">Pick up the smallest item and place it in the bowl.</x:t>
  </x:si>
  <x:si>
    <x:t xml:space="preserve">Bowl: empty. Table, robot-left→robot-right: P1 crushed Pepsi can; P2 juggling ball; P3 green block. Adjacent centers 12 cm apart; row shifted 4 cm toward robot-left; all objects fully visible and grasp paths clear.</x:t>
  </x:si>
  <x:si>
    <x:t xml:space="preserve">1050</x:t>
  </x:si>
  <x:si>
    <x:t xml:space="preserve">MOVE green block to bowl</x:t>
  </x:si>
  <x:si>
    <x:t xml:space="preserve">SZ-ID-GB01</x:t>
  </x:si>
  <x:si>
    <x:t xml:space="preserve">Explicitly trained smallest × green block</x:t>
  </x:si>
  <x:si>
    <x:t xml:space="preserve">green block</x:t>
  </x:si>
  <x:si>
    <x:t xml:space="preserve">Right</x:t>
  </x:si>
  <x:si>
    <x:t xml:space="preserve">Exact prompt and object composition from training episode 1050; this establishes the familiar smallest × green block cell.</x:t>
  </x:si>
  <x:si>
    <x:t xml:space="preserve">Put the largest object in the bowl.</x:t>
  </x:si>
  <x:si>
    <x:t xml:space="preserve">Bowl: empty. Table, robot-left→robot-right: P1 juggling ball; P2 red pencil sharpener; P3 green block. Adjacent centers 16 cm apart; row shifted 4 cm toward robot-right; all objects fully visible and grasp paths clear.</x:t>
  </x:si>
  <x:si>
    <x:t xml:space="preserve">1125</x:t>
  </x:si>
  <x:si>
    <x:t xml:space="preserve">MOVE juggling ball to bowl</x:t>
  </x:si>
  <x:si>
    <x:t xml:space="preserve">SZ-ID-JB01</x:t>
  </x:si>
  <x:si>
    <x:t xml:space="preserve">largest</x:t>
  </x:si>
  <x:si>
    <x:t xml:space="preserve">Explicitly trained largest × juggling ball</x:t>
  </x:si>
  <x:si>
    <x:t xml:space="preserve">juggling ball</x:t>
  </x:si>
  <x:si>
    <x:t xml:space="preserve">Exact prompt and object composition from training episode 1125; this establishes the familiar largest × juggling ball cell.</x:t>
  </x:si>
  <x:si>
    <x:t xml:space="preserve">Pick up the largest item and place it in the bowl.</x:t>
  </x:si>
  <x:si>
    <x:t xml:space="preserve">Bowl: empty. Table, robot-left→robot-right: P1 red pencil sharpener; P2 green block; P3 juggling ball; P4 crushed Pepsi can. Adjacent centers 8 cm apart; row shifted 4 cm toward the robot; all objects fully visible and grasp paths clear.</x:t>
  </x:si>
  <x:si>
    <x:t xml:space="preserve">1155</x:t>
  </x:si>
  <x:si>
    <x:t xml:space="preserve">MOVE crushed Pepsi can to bowl</x:t>
  </x:si>
  <x:si>
    <x:t xml:space="preserve">SZ-ID-PC01</x:t>
  </x:si>
  <x:si>
    <x:t xml:space="preserve">Explicitly trained largest × crushed Pepsi can</x:t>
  </x:si>
  <x:si>
    <x:t xml:space="preserve">crushed Pepsi can</x:t>
  </x:si>
  <x:si>
    <x:t xml:space="preserve">Exact prompt and object composition from training episode 1155; this establishes the familiar largest × crushed Pepsi can cell.</x:t>
  </x:si>
  <x:si>
    <x:t xml:space="preserve">Bowl: empty. Table, robot-left→robot-right: P1 juggling ball; P2 crushed Pepsi can; P3 green block; P4 red pencil sharpener. Adjacent centers 12 cm apart; row shifted 4 cm toward robot-left; all objects fully visible and grasp paths clear.</x:t>
  </x:si>
  <x:si>
    <x:t xml:space="preserve">1006</x:t>
  </x:si>
  <x:si>
    <x:t xml:space="preserve">SZ-ID-SH02</x:t>
  </x:si>
  <x:si>
    <x:t xml:space="preserve">Exact prompt and object composition from training episode 1006; this establishes the familiar smallest × red pencil sharpener cell.</x:t>
  </x:si>
  <x:si>
    <x:t xml:space="preserve">Bowl: empty. Table, robot-left→robot-right: P1 green block; P2 juggling ball; P3 crushed Pepsi can. Adjacent centers 16 cm apart; row shifted 4 cm toward robot-right; all objects fully visible and grasp paths clear.</x:t>
  </x:si>
  <x:si>
    <x:t xml:space="preserve">1051</x:t>
  </x:si>
  <x:si>
    <x:t xml:space="preserve">SZ-ID-GB02</x:t>
  </x:si>
  <x:si>
    <x:t xml:space="preserve">Exact prompt and object composition from training episode 1051; this establishes the familiar smallest × green block cell.</x:t>
  </x:si>
  <x:si>
    <x:t xml:space="preserve">Bowl: empty. Table, robot-left→robot-right: P1 green block; P2 red pencil sharpener; P3 juggling ball. Adjacent centers 8 cm apart; row shifted 4 cm toward the robot; all objects fully visible and grasp paths clear.</x:t>
  </x:si>
  <x:si>
    <x:t xml:space="preserve">1126</x:t>
  </x:si>
  <x:si>
    <x:t xml:space="preserve">SZ-ID-JB02</x:t>
  </x:si>
  <x:si>
    <x:t xml:space="preserve">Exact prompt and object composition from training episode 1126; this establishes the familiar largest × juggling ball cell.</x:t>
  </x:si>
  <x:si>
    <x:t xml:space="preserve">Move the object that is largest into the bowl.</x:t>
  </x:si>
  <x:si>
    <x:t xml:space="preserve">Bowl: empty. Table, robot-left→robot-right: P1 crushed Pepsi can; P2 green block; P3 juggling ball; P4 red pencil sharpener. Adjacent centers 12 cm apart; row shifted 4 cm away from the robot; all objects fully visible and grasp paths clear.</x:t>
  </x:si>
  <x:si>
    <x:t xml:space="preserve">1156</x:t>
  </x:si>
  <x:si>
    <x:t xml:space="preserve">SZ-ID-PC02</x:t>
  </x:si>
  <x:si>
    <x:t xml:space="preserve">Exact prompt and object composition from training episode 1156; this establishes the familiar largest × crushed Pepsi can cell.</x:t>
  </x:si>
  <x:si>
    <x:t xml:space="preserve">Bowl: empty. Table, robot-left→robot-right: P1 red pencil sharpener; P2 crushed Pepsi can; P3 green block; P4 juggling ball. Adjacent centers 16 cm apart; row shifted 4 cm toward robot-right; all objects fully visible and grasp paths clear.</x:t>
  </x:si>
  <x:si>
    <x:t xml:space="preserve">1007</x:t>
  </x:si>
  <x:si>
    <x:t xml:space="preserve">SZ-ID-SH03</x:t>
  </x:si>
  <x:si>
    <x:t xml:space="preserve">Exact prompt and object composition from training episode 1007; this establishes the familiar smallest × red pencil sharpener cell.</x:t>
  </x:si>
  <x:si>
    <x:t xml:space="preserve">Put the smallest object in the bowl.</x:t>
  </x:si>
  <x:si>
    <x:t xml:space="preserve">Bowl: empty. Table, robot-left→robot-right: P1 crushed Pepsi can; P2 juggling ball; P3 green block. Adjacent centers 8 cm apart; row shifted 4 cm toward the robot; all objects fully visible and grasp paths clear.</x:t>
  </x:si>
  <x:si>
    <x:t xml:space="preserve">1052</x:t>
  </x:si>
  <x:si>
    <x:t xml:space="preserve">SZ-ID-GB03</x:t>
  </x:si>
  <x:si>
    <x:t xml:space="preserve">Exact prompt and object composition from training episode 1052; this establishes the familiar smallest × green block cell.</x:t>
  </x:si>
  <x:si>
    <x:t xml:space="preserve">Bowl: empty. Table, robot-left→robot-right: P1 juggling ball; P2 red pencil sharpener; P3 green block. Adjacent centers 12 cm apart; row shifted 4 cm away from the robot; all objects fully visible and grasp paths clear.</x:t>
  </x:si>
  <x:si>
    <x:t xml:space="preserve">1127</x:t>
  </x:si>
  <x:si>
    <x:t xml:space="preserve">SZ-ID-JB03</x:t>
  </x:si>
  <x:si>
    <x:t xml:space="preserve">Exact prompt and object composition from training episode 1127; this establishes the familiar largest × juggling ball cell.</x:t>
  </x:si>
  <x:si>
    <x:t xml:space="preserve">Bowl: empty. Table, robot-left→robot-right: P1 juggling ball; P2 red pencil sharpener; P3 green block; P4 crushed Pepsi can. Adjacent centers 16 cm apart; row centered on the workspace; all objects fully visible and grasp paths clear.</x:t>
  </x:si>
  <x:si>
    <x:t xml:space="preserve">1157</x:t>
  </x:si>
  <x:si>
    <x:t xml:space="preserve">SZ-ID-PC03</x:t>
  </x:si>
  <x:si>
    <x:t xml:space="preserve">Exact prompt and object composition from training episode 1157; this establishes the familiar largest × crushed Pepsi can cell.</x:t>
  </x:si>
  <x:si>
    <x:t xml:space="preserve">Bowl: empty. Table, robot-left→robot-right: P1 green block; P2 juggling ball; P3 crushed Pepsi can; P4 red pencil sharpener. Adjacent centers 8 cm apart; row shifted 4 cm toward the robot; all objects fully visible and grasp paths clear.</x:t>
  </x:si>
  <x:si>
    <x:t xml:space="preserve">1008</x:t>
  </x:si>
  <x:si>
    <x:t xml:space="preserve">SZ-ID-SH04</x:t>
  </x:si>
  <x:si>
    <x:t xml:space="preserve">Exact prompt and object composition from training episode 1008; this establishes the familiar smallest × red pencil sharpener cell.</x:t>
  </x:si>
  <x:si>
    <x:t xml:space="preserve">Bowl: empty. Table, robot-left→robot-right: P1 green block; P2 juggling ball; P3 crushed Pepsi can. Adjacent centers 12 cm apart; row shifted 4 cm away from the robot; all objects fully visible and grasp paths clear.</x:t>
  </x:si>
  <x:si>
    <x:t xml:space="preserve">1053</x:t>
  </x:si>
  <x:si>
    <x:t xml:space="preserve">SZ-ID-GB04</x:t>
  </x:si>
  <x:si>
    <x:t xml:space="preserve">Exact prompt and object composition from training episode 1053; this establishes the familiar smallest × green block cell.</x:t>
  </x:si>
  <x:si>
    <x:t xml:space="preserve">Bowl: empty. Table, robot-left→robot-right: P1 green block; P2 red pencil sharpener; P3 juggling ball. Adjacent centers 16 cm apart; row centered on the workspace; all objects fully visible and grasp paths clear.</x:t>
  </x:si>
  <x:si>
    <x:t xml:space="preserve">1128</x:t>
  </x:si>
  <x:si>
    <x:t xml:space="preserve">SZ-ID-JB04</x:t>
  </x:si>
  <x:si>
    <x:t xml:space="preserve">Exact prompt and object composition from training episode 1128; this establishes the familiar largest × juggling ball cell.</x:t>
  </x:si>
  <x:si>
    <x:t xml:space="preserve">Bowl: empty. Table, robot-left→robot-right: P1 crushed Pepsi can; P2 red pencil sharpener; P3 green block; P4 juggling ball. Adjacent centers 8 cm apart; row shifted 4 cm toward robot-left; all objects fully visible and grasp paths clear.</x:t>
  </x:si>
  <x:si>
    <x:t xml:space="preserve">1158</x:t>
  </x:si>
  <x:si>
    <x:t xml:space="preserve">SZ-ID-PC04</x:t>
  </x:si>
  <x:si>
    <x:t xml:space="preserve">Exact prompt and object composition from training episode 1158; this establishes the familiar largest × crushed Pepsi can cell.</x:t>
  </x:si>
  <x:si>
    <x:t xml:space="preserve">Bowl: empty. Table, robot-left→robot-right: P1 red pencil sharpener; P2 juggling ball; P3 crushed Pepsi can; P4 green block. Adjacent centers 12 cm apart; row shifted 4 cm away from the robot; all objects fully visible and grasp paths clear.</x:t>
  </x:si>
  <x:si>
    <x:t xml:space="preserve">1009</x:t>
  </x:si>
  <x:si>
    <x:t xml:space="preserve">SZ-ID-SH05</x:t>
  </x:si>
  <x:si>
    <x:t xml:space="preserve">Exact prompt and object composition from training episode 1009; this establishes the familiar smallest × red pencil sharpener cell.</x:t>
  </x:si>
  <x:si>
    <x:t xml:space="preserve">Bowl: empty. Table, robot-left→robot-right: P1 crushed Pepsi can; P2 juggling ball; P3 green block. Adjacent centers 16 cm apart; row centered on the workspace; all objects fully visible and grasp paths clear.</x:t>
  </x:si>
  <x:si>
    <x:t xml:space="preserve">1054</x:t>
  </x:si>
  <x:si>
    <x:t xml:space="preserve">SZ-ID-GB05</x:t>
  </x:si>
  <x:si>
    <x:t xml:space="preserve">Exact prompt and object composition from training episode 1054; this establishes the familiar smallest × green block cell.</x:t>
  </x:si>
  <x:si>
    <x:t xml:space="preserve">Bowl: empty. Table, robot-left→robot-right: P1 juggling ball; P2 red pencil sharpener; P3 green block. Adjacent centers 8 cm apart; row shifted 4 cm toward robot-left; all objects fully visible and grasp paths clear.</x:t>
  </x:si>
  <x:si>
    <x:t xml:space="preserve">1129</x:t>
  </x:si>
  <x:si>
    <x:t xml:space="preserve">SZ-ID-JB05</x:t>
  </x:si>
  <x:si>
    <x:t xml:space="preserve">Exact prompt and object composition from training episode 1129; this establishes the familiar largest × juggling ball cell.</x:t>
  </x:si>
  <x:si>
    <x:t xml:space="preserve">Bowl: empty. Table, robot-left→robot-right: P1 green block; P2 juggling ball; P3 red pencil sharpener; P4 crushed Pepsi can. Adjacent centers 12 cm apart; row shifted 4 cm toward robot-right; all objects fully visible and grasp paths clear.</x:t>
  </x:si>
  <x:si>
    <x:t xml:space="preserve">1159</x:t>
  </x:si>
  <x:si>
    <x:t xml:space="preserve">SZ-ID-PC05</x:t>
  </x:si>
  <x:si>
    <x:t xml:space="preserve">Exact prompt and object composition from training episode 1159; this establishes the familiar largest × crushed Pepsi can cell.</x:t>
  </x:si>
  <x:si>
    <x:t xml:space="preserve">Bowl: empty. Table, robot-left→robot-right: P1 green block; P2 red pencil sharpener. Adjacent centers 8 cm apart; row centered on the workspace; all objects fully visible and grasp paths clear.</x:t>
  </x:si>
  <x:si>
    <x:t xml:space="preserve">1080</x:t>
  </x:si>
  <x:si>
    <x:t xml:space="preserve">Concept/compositional transfer</x:t>
  </x:si>
  <x:si>
    <x:t xml:space="preserve">SZ-CT-LG01</x:t>
  </x:si>
  <x:si>
    <x:t xml:space="preserve">Held-out largest × green block — Move</x:t>
  </x:si>
  <x:si>
    <x:t xml:space="preserve">Build the listed two-object scene and save a first-frame filename.</x:t>
  </x:si>
  <x:si>
    <x:t xml:space="preserve">Primary missing cell. Training episode 1080 contains the same target trajectory but masks the size word with a direct identity prompt.</x:t>
  </x:si>
  <x:si>
    <x:t xml:space="preserve">Put the green block in the bowl.</x:t>
  </x:si>
  <x:si>
    <x:t xml:space="preserve">1075</x:t>
  </x:si>
  <x:si>
    <x:t xml:space="preserve">Matched manipulation control</x:t>
  </x:si>
  <x:si>
    <x:t xml:space="preserve">Direct</x:t>
  </x:si>
  <x:si>
    <x:t xml:space="preserve">Same-scene direct target control</x:t>
  </x:si>
  <x:si>
    <x:t xml:space="preserve">Reset the target to its original pose; change only the prompt.</x:t>
  </x:si>
  <x:si>
    <x:t xml:space="preserve">Exact-scene control using a direct prompt supported by training episode 1075.</x:t>
  </x:si>
  <x:si>
    <x:t xml:space="preserve">Choose the biggest item and move it into the bowl.</x:t>
  </x:si>
  <x:si>
    <x:t xml:space="preserve">Language robustness</x:t>
  </x:si>
  <x:si>
    <x:t xml:space="preserve">Primary compositional-transfer prompt paraphrase</x:t>
  </x:si>
  <x:si>
    <x:t xml:space="preserve">Reset the target; preserve the exact scene and paraphrase only the transfer prompt.</x:t>
  </x:si>
  <x:si>
    <x:t xml:space="preserve">Exact-scene paraphrase of the primary transfer instruction.</x:t>
  </x:si>
  <x:si>
    <x:t xml:space="preserve">Transfer the green block from the table into the bowl.</x:t>
  </x:si>
  <x:si>
    <x:t xml:space="preserve">Matched-control direct prompt paraphrase</x:t>
  </x:si>
  <x:si>
    <x:t xml:space="preserve">Reset the target; preserve the exact scene and paraphrase only the matched-control prompt.</x:t>
  </x:si>
  <x:si>
    <x:t xml:space="preserve">Exact-scene paraphrase of the direct manipulation control.</x:t>
  </x:si>
  <x:si>
    <x:t xml:space="preserve">Bowl: empty. Table, robot-left→robot-right: P1 crushed Pepsi can; P2 juggling ball. Adjacent centers 12 cm apart; row shifted 4 cm toward robot-right; all objects fully visible and grasp paths clear.</x:t>
  </x:si>
  <x:si>
    <x:t xml:space="preserve">1105</x:t>
  </x:si>
  <x:si>
    <x:t xml:space="preserve">SZ-CT-SJ01</x:t>
  </x:si>
  <x:si>
    <x:t xml:space="preserve">Held-out smallest × juggling ball — Pick up</x:t>
  </x:si>
  <x:si>
    <x:t xml:space="preserve">Primary missing cell. Training episode 1105 contains the same target trajectory but masks the size word with a direct identity prompt.</x:t>
  </x:si>
  <x:si>
    <x:t xml:space="preserve">Put the juggling ball in the bowl.</x:t>
  </x:si>
  <x:si>
    <x:t xml:space="preserve">1100</x:t>
  </x:si>
  <x:si>
    <x:t xml:space="preserve">Exact-scene control using a direct prompt supported by training episode 1100.</x:t>
  </x:si>
  <x:si>
    <x:t xml:space="preserve">Choose the tiniest item and move it into the bowl.</x:t>
  </x:si>
  <x:si>
    <x:t xml:space="preserve">Transfer the juggling ball from the table into the bowl.</x:t>
  </x:si>
  <x:si>
    <x:t xml:space="preserve">Bowl: empty. Table, robot-left→robot-right: P1 red pencil sharpener; P2 green block. Adjacent centers 12 cm apart; row shifted 4 cm toward robot-left; all objects fully visible and grasp paths clear.</x:t>
  </x:si>
  <x:si>
    <x:t xml:space="preserve">1081</x:t>
  </x:si>
  <x:si>
    <x:t xml:space="preserve">SZ-CT-LG02</x:t>
  </x:si>
  <x:si>
    <x:t xml:space="preserve">Held-out largest × green block — Pick up</x:t>
  </x:si>
  <x:si>
    <x:t xml:space="preserve">Primary missing cell. Training episode 1081 contains the same target trajectory but masks the size word with a direct identity prompt.</x:t>
  </x:si>
  <x:si>
    <x:t xml:space="preserve">Move the green block into the bowl.</x:t>
  </x:si>
  <x:si>
    <x:t xml:space="preserve">1076</x:t>
  </x:si>
  <x:si>
    <x:t xml:space="preserve">Exact-scene control using a direct prompt supported by training episode 1076.</x:t>
  </x:si>
  <x:si>
    <x:t xml:space="preserve">Place whichever object is greatest in size inside the bowl.</x:t>
  </x:si>
  <x:si>
    <x:t xml:space="preserve">Lift the green block and set it inside the bowl.</x:t>
  </x:si>
  <x:si>
    <x:t xml:space="preserve">Bowl: empty. Table, robot-left→robot-right: P1 juggling ball; P2 crushed Pepsi can. Adjacent centers 16 cm apart; row shifted 4 cm toward the robot; all objects fully visible and grasp paths clear.</x:t>
  </x:si>
  <x:si>
    <x:t xml:space="preserve">1106</x:t>
  </x:si>
  <x:si>
    <x:t xml:space="preserve">SZ-CT-SJ02</x:t>
  </x:si>
  <x:si>
    <x:t xml:space="preserve">Held-out smallest × juggling ball — Put</x:t>
  </x:si>
  <x:si>
    <x:t xml:space="preserve">Primary missing cell. Training episode 1106 contains the same target trajectory but masks the size word with a direct identity prompt.</x:t>
  </x:si>
  <x:si>
    <x:t xml:space="preserve">Move the juggling ball into the bowl.</x:t>
  </x:si>
  <x:si>
    <x:t xml:space="preserve">1101</x:t>
  </x:si>
  <x:si>
    <x:t xml:space="preserve">Exact-scene control using a direct prompt supported by training episode 1101.</x:t>
  </x:si>
  <x:si>
    <x:t xml:space="preserve">Place whichever object is least in size inside the bowl.</x:t>
  </x:si>
  <x:si>
    <x:t xml:space="preserve">Lift the juggling ball and set it inside the bowl.</x:t>
  </x:si>
  <x:si>
    <x:t xml:space="preserve">Bowl: empty. Table, robot-left→robot-right: P1 green block; P2 red pencil sharpener. Adjacent centers 16 cm apart; row shifted 4 cm toward robot-right; all objects fully visible and grasp paths clear.</x:t>
  </x:si>
  <x:si>
    <x:t xml:space="preserve">1082</x:t>
  </x:si>
  <x:si>
    <x:t xml:space="preserve">SZ-CT-LG03</x:t>
  </x:si>
  <x:si>
    <x:t xml:space="preserve">Held-out largest × green block — Put</x:t>
  </x:si>
  <x:si>
    <x:t xml:space="preserve">Primary missing cell. Training episode 1082 contains the same target trajectory but masks the size word with a direct identity prompt.</x:t>
  </x:si>
  <x:si>
    <x:t xml:space="preserve">Pick up the green block and place it in the bowl.</x:t>
  </x:si>
  <x:si>
    <x:t xml:space="preserve">1077</x:t>
  </x:si>
  <x:si>
    <x:t xml:space="preserve">Exact-scene control using a direct prompt supported by training episode 1077.</x:t>
  </x:si>
  <x:si>
    <x:t xml:space="preserve">Select the bigger object and put it into the bowl.</x:t>
  </x:si>
  <x:si>
    <x:t xml:space="preserve">Move the green block off the table and into the bowl.</x:t>
  </x:si>
  <x:si>
    <x:t xml:space="preserve">Bowl: empty. Table, robot-left→robot-right: P1 crushed Pepsi can; P2 juggling ball. Adjacent centers 8 cm apart; row shifted 4 cm away from the robot; all objects fully visible and grasp paths clear.</x:t>
  </x:si>
  <x:si>
    <x:t xml:space="preserve">1107</x:t>
  </x:si>
  <x:si>
    <x:t xml:space="preserve">SZ-CT-SJ03</x:t>
  </x:si>
  <x:si>
    <x:t xml:space="preserve">Held-out smallest × juggling ball — Move</x:t>
  </x:si>
  <x:si>
    <x:t xml:space="preserve">Primary missing cell. Training episode 1107 contains the same target trajectory but masks the size word with a direct identity prompt.</x:t>
  </x:si>
  <x:si>
    <x:t xml:space="preserve">Pick up the juggling ball and place it in the bowl.</x:t>
  </x:si>
  <x:si>
    <x:t xml:space="preserve">1102</x:t>
  </x:si>
  <x:si>
    <x:t xml:space="preserve">Exact-scene control using a direct prompt supported by training episode 1102.</x:t>
  </x:si>
  <x:si>
    <x:t xml:space="preserve">Select the smaller object and put it into the bowl.</x:t>
  </x:si>
  <x:si>
    <x:t xml:space="preserve">Move the juggling ball off the table and into the bowl.</x:t>
  </x:si>
  <x:si>
    <x:t xml:space="preserve">Bowl: empty. Table, robot-left→robot-right: P1 red pencil sharpener; P2 green block. Adjacent centers 8 cm apart; row shifted 4 cm toward the robot; all objects fully visible and grasp paths clear.</x:t>
  </x:si>
  <x:si>
    <x:t xml:space="preserve">1083</x:t>
  </x:si>
  <x:si>
    <x:t xml:space="preserve">SZ-CT-LG04</x:t>
  </x:si>
  <x:si>
    <x:t xml:space="preserve">Primary missing cell. Training episode 1083 contains the same target trajectory but masks the size word with a direct identity prompt.</x:t>
  </x:si>
  <x:si>
    <x:t xml:space="preserve">1078</x:t>
  </x:si>
  <x:si>
    <x:t xml:space="preserve">Exact-scene control using a direct prompt supported by training episode 1078.</x:t>
  </x:si>
  <x:si>
    <x:t xml:space="preserve">Find the greatest-sized item and move it to the bowl.</x:t>
  </x:si>
  <x:si>
    <x:t xml:space="preserve">Place the table's green block inside the bowl.</x:t>
  </x:si>
  <x:si>
    <x:t xml:space="preserve">Bowl: empty. Table, robot-left→robot-right: P1 juggling ball; P2 crushed Pepsi can. Adjacent centers 12 cm apart; row centered on the workspace; all objects fully visible and grasp paths clear.</x:t>
  </x:si>
  <x:si>
    <x:t xml:space="preserve">1108</x:t>
  </x:si>
  <x:si>
    <x:t xml:space="preserve">SZ-CT-SJ04</x:t>
  </x:si>
  <x:si>
    <x:t xml:space="preserve">Primary missing cell. Training episode 1108 contains the same target trajectory but masks the size word with a direct identity prompt.</x:t>
  </x:si>
  <x:si>
    <x:t xml:space="preserve">1103</x:t>
  </x:si>
  <x:si>
    <x:t xml:space="preserve">Exact-scene control using a direct prompt supported by training episode 1103.</x:t>
  </x:si>
  <x:si>
    <x:t xml:space="preserve">Find the least-sized item and move it to the bowl.</x:t>
  </x:si>
  <x:si>
    <x:t xml:space="preserve">Place the table's juggling ball inside the bowl.</x:t>
  </x:si>
  <x:si>
    <x:t xml:space="preserve">Bowl: empty. Table, robot-left→robot-right: P1 green block; P2 red pencil sharpener. Adjacent centers 12 cm apart; row shifted 4 cm away from the robot; all objects fully visible and grasp paths clear.</x:t>
  </x:si>
  <x:si>
    <x:t xml:space="preserve">1084</x:t>
  </x:si>
  <x:si>
    <x:t xml:space="preserve">SZ-CT-LG05</x:t>
  </x:si>
  <x:si>
    <x:t xml:space="preserve">Primary missing cell. Training episode 1084 contains the same target trajectory but masks the size word with a direct identity prompt.</x:t>
  </x:si>
  <x:si>
    <x:t xml:space="preserve">1079</x:t>
  </x:si>
  <x:si>
    <x:t xml:space="preserve">Exact-scene control using a direct prompt supported by training episode 1079.</x:t>
  </x:si>
  <x:si>
    <x:t xml:space="preserve">Move whichever item is larger into the bowl.</x:t>
  </x:si>
  <x:si>
    <x:t xml:space="preserve">Take the green block from the table and put it in the bowl.</x:t>
  </x:si>
  <x:si>
    <x:t xml:space="preserve">Bowl: empty. Table, robot-left→robot-right: P1 crushed Pepsi can; P2 juggling ball. Adjacent centers 16 cm apart; row shifted 4 cm toward robot-left; all objects fully visible and grasp paths clear.</x:t>
  </x:si>
  <x:si>
    <x:t xml:space="preserve">1109</x:t>
  </x:si>
  <x:si>
    <x:t xml:space="preserve">SZ-CT-SJ05</x:t>
  </x:si>
  <x:si>
    <x:t xml:space="preserve">Primary missing cell. Training episode 1109 contains the same target trajectory but masks the size word with a direct identity prompt.</x:t>
  </x:si>
  <x:si>
    <x:t xml:space="preserve">1104</x:t>
  </x:si>
  <x:si>
    <x:t xml:space="preserve">Exact-scene control using a direct prompt supported by training episode 1104.</x:t>
  </x:si>
  <x:si>
    <x:t xml:space="preserve">Move whichever item is smaller into the bowl.</x:t>
  </x:si>
  <x:si>
    <x:t xml:space="preserve">Take the juggling ball from the table and put it in the bowl.</x:t>
  </x:si>
  <x:si>
    <x:t xml:space="preserve">Bowl: empty. Table, robot-left→robot-right: P1 red pencil sharpener; P2 green block. Adjacent centers 16 cm apart; row centered on the workspace; all objects fully visible and grasp paths clear.</x:t>
  </x:si>
  <x:si>
    <x:t xml:space="preserve">1085</x:t>
  </x:si>
  <x:si>
    <x:t xml:space="preserve">SZ-CT-LG06</x:t>
  </x:si>
  <x:si>
    <x:t xml:space="preserve">Primary missing cell. Training episode 1085 contains the same target trajectory but masks the size word with a direct identity prompt.</x:t>
  </x:si>
  <x:si>
    <x:t xml:space="preserve">Bowl: empty. Table, robot-left→robot-right: P1 juggling ball; P2 crushed Pepsi can. Adjacent centers 8 cm apart; row shifted 4 cm toward robot-right; all objects fully visible and grasp paths clear.</x:t>
  </x:si>
  <x:si>
    <x:t xml:space="preserve">1110</x:t>
  </x:si>
  <x:si>
    <x:t xml:space="preserve">SZ-CT-SJ06</x:t>
  </x:si>
  <x:si>
    <x:t xml:space="preserve">Primary missing cell. Training episode 1110 contains the same target trajectory but masks the size word with a direct identity prompt.</x:t>
  </x:si>
  <x:si>
    <x:t xml:space="preserve">Bowl: empty. Table, robot-left→robot-right: P1 green block; P2 red pencil sharpener. Adjacent centers 8 cm apart; row shifted 4 cm toward robot-left; all objects fully visible and grasp paths clear.</x:t>
  </x:si>
  <x:si>
    <x:t xml:space="preserve">1086</x:t>
  </x:si>
  <x:si>
    <x:t xml:space="preserve">SZ-CT-LG07</x:t>
  </x:si>
  <x:si>
    <x:t xml:space="preserve">Primary missing cell. Training episode 1086 contains the same target trajectory but masks the size word with a direct identity prompt.</x:t>
  </x:si>
  <x:si>
    <x:t xml:space="preserve">Bowl: empty. Table, robot-left→robot-right: P1 crushed Pepsi can; P2 juggling ball. Adjacent centers 12 cm apart; row shifted 4 cm toward the robot; all objects fully visible and grasp paths clear.</x:t>
  </x:si>
  <x:si>
    <x:t xml:space="preserve">1111</x:t>
  </x:si>
  <x:si>
    <x:t xml:space="preserve">SZ-CT-SJ07</x:t>
  </x:si>
  <x:si>
    <x:t xml:space="preserve">Primary missing cell. Training episode 1111 contains the same target trajectory but masks the size word with a direct identity prompt.</x:t>
  </x:si>
  <x:si>
    <x:t xml:space="preserve">Bowl: empty. Table, robot-left→robot-right: P1 red pencil sharpener; P2 green block. Adjacent centers 12 cm apart; row shifted 4 cm toward robot-right; all objects fully visible and grasp paths clear.</x:t>
  </x:si>
  <x:si>
    <x:t xml:space="preserve">1087</x:t>
  </x:si>
  <x:si>
    <x:t xml:space="preserve">SZ-CT-LG08</x:t>
  </x:si>
  <x:si>
    <x:t xml:space="preserve">Primary missing cell. Training episode 1087 contains the same target trajectory but masks the size word with a direct identity prompt.</x:t>
  </x:si>
  <x:si>
    <x:t xml:space="preserve">Bowl: empty. Table, robot-left→robot-right: P1 juggling ball; P2 crushed Pepsi can. Adjacent centers 16 cm apart; row shifted 4 cm away from the robot; all objects fully visible and grasp paths clear.</x:t>
  </x:si>
  <x:si>
    <x:t xml:space="preserve">1112</x:t>
  </x:si>
  <x:si>
    <x:t xml:space="preserve">SZ-CT-SJ08</x:t>
  </x:si>
  <x:si>
    <x:t xml:space="preserve">Primary missing cell. Training episode 1112 contains the same target trajectory but masks the size word with a direct identity prompt.</x:t>
  </x:si>
  <x:si>
    <x:t xml:space="preserve">Bowl: empty. Table, robot-left→robot-right: P1 green block; P2 red pencil sharpener. Adjacent centers 16 cm apart; row shifted 4 cm toward the robot; all objects fully visible and grasp paths clear.</x:t>
  </x:si>
  <x:si>
    <x:t xml:space="preserve">1088</x:t>
  </x:si>
  <x:si>
    <x:t xml:space="preserve">SZ-CT-LG09</x:t>
  </x:si>
  <x:si>
    <x:t xml:space="preserve">Primary missing cell. Training episode 1088 contains the same target trajectory but masks the size word with a direct identity prompt.</x:t>
  </x:si>
  <x:si>
    <x:t xml:space="preserve">Bowl: empty. Table, robot-left→robot-right: P1 crushed Pepsi can; P2 juggling ball. Adjacent centers 8 cm apart; row centered on the workspace; all objects fully visible and grasp paths clear.</x:t>
  </x:si>
  <x:si>
    <x:t xml:space="preserve">1113</x:t>
  </x:si>
  <x:si>
    <x:t xml:space="preserve">SZ-CT-SJ09</x:t>
  </x:si>
  <x:si>
    <x:t xml:space="preserve">Primary missing cell. Training episode 1113 contains the same target trajectory but masks the size word with a direct identity prompt.</x:t>
  </x:si>
  <x:si>
    <x:t xml:space="preserve">Bowl: empty. Table, robot-left→robot-right: P1 red pencil sharpener; P2 green block. Adjacent centers 8 cm apart; row shifted 4 cm away from the robot; all objects fully visible and grasp paths clear.</x:t>
  </x:si>
  <x:si>
    <x:t xml:space="preserve">1089</x:t>
  </x:si>
  <x:si>
    <x:t xml:space="preserve">SZ-CT-LG10</x:t>
  </x:si>
  <x:si>
    <x:t xml:space="preserve">Primary missing cell. Training episode 1089 contains the same target trajectory but masks the size word with a direct identity prompt.</x:t>
  </x:si>
  <x:si>
    <x:t xml:space="preserve">Bowl: empty. Table, robot-left→robot-right: P1 juggling ball; P2 crushed Pepsi can. Adjacent centers 12 cm apart; row shifted 4 cm toward robot-left; all objects fully visible and grasp paths clear.</x:t>
  </x:si>
  <x:si>
    <x:t xml:space="preserve">1114</x:t>
  </x:si>
  <x:si>
    <x:t xml:space="preserve">SZ-CT-SJ10</x:t>
  </x:si>
  <x:si>
    <x:t xml:space="preserve">Primary missing cell. Training episode 1114 contains the same target trajectory but masks the size word with a direct identity prompt.</x:t>
  </x:si>
  <x:si>
    <x:t xml:space="preserve">Bowl: empty. Table, robot-left→robot-right: P1 green block; P2 red pencil sharpener. Adjacent centers 12 cm apart; row centered on the workspace; all objects fully visible and grasp paths clear.</x:t>
  </x:si>
  <x:si>
    <x:t xml:space="preserve">1090</x:t>
  </x:si>
  <x:si>
    <x:t xml:space="preserve">SZ-CT-LG11</x:t>
  </x:si>
  <x:si>
    <x:t xml:space="preserve">Primary missing cell. Training episode 1090 contains the same target trajectory but masks the size word with a direct identity prompt.</x:t>
  </x:si>
  <x:si>
    <x:t xml:space="preserve">Bowl: empty. Table, robot-left→robot-right: P1 crushed Pepsi can; P2 juggling ball. Adjacent centers 16 cm apart; row shifted 4 cm toward robot-right; all objects fully visible and grasp paths clear.</x:t>
  </x:si>
  <x:si>
    <x:t xml:space="preserve">1115</x:t>
  </x:si>
  <x:si>
    <x:t xml:space="preserve">SZ-CT-SJ11</x:t>
  </x:si>
  <x:si>
    <x:t xml:space="preserve">Primary missing cell. Training episode 1115 contains the same target trajectory but masks the size word with a direct identity prompt.</x:t>
  </x:si>
  <x:si>
    <x:t xml:space="preserve">Bowl: empty. Table, robot-left→robot-right: P1 red pencil sharpener; P2 green block. Adjacent centers 16 cm apart; row shifted 4 cm toward robot-left; all objects fully visible and grasp paths clear.</x:t>
  </x:si>
  <x:si>
    <x:t xml:space="preserve">1091</x:t>
  </x:si>
  <x:si>
    <x:t xml:space="preserve">SZ-CT-LG12</x:t>
  </x:si>
  <x:si>
    <x:t xml:space="preserve">Primary missing cell. Training episode 1091 contains the same target trajectory but masks the size word with a direct identity prompt.</x:t>
  </x:si>
  <x:si>
    <x:t xml:space="preserve">Bowl: empty. Table, robot-left→robot-right: P1 juggling ball; P2 crushed Pepsi can. Adjacent centers 8 cm apart; row shifted 4 cm toward the robot; all objects fully visible and grasp paths clear.</x:t>
  </x:si>
  <x:si>
    <x:t xml:space="preserve">1116</x:t>
  </x:si>
  <x:si>
    <x:t xml:space="preserve">SZ-CT-SJ12</x:t>
  </x:si>
  <x:si>
    <x:t xml:space="preserve">Primary missing cell. Training episode 1116 contains the same target trajectory but masks the size word with a direct identity prompt.</x:t>
  </x:si>
  <x:si>
    <x:t xml:space="preserve">Bowl: empty. Table, robot-left→robot-right: P1 green block; P2 red pencil sharpener. Adjacent centers 8 cm apart; row shifted 4 cm toward robot-right; all objects fully visible and grasp paths clear.</x:t>
  </x:si>
  <x:si>
    <x:t xml:space="preserve">1092</x:t>
  </x:si>
  <x:si>
    <x:t xml:space="preserve">SZ-CT-LG13</x:t>
  </x:si>
  <x:si>
    <x:t xml:space="preserve">Primary missing cell. Training episode 1092 contains the same target trajectory but masks the size word with a direct identity prompt.</x:t>
  </x:si>
  <x:si>
    <x:t xml:space="preserve">Bowl: empty. Table, robot-left→robot-right: P1 crushed Pepsi can; P2 juggling ball. Adjacent centers 12 cm apart; row shifted 4 cm away from the robot; all objects fully visible and grasp paths clear.</x:t>
  </x:si>
  <x:si>
    <x:t xml:space="preserve">1117</x:t>
  </x:si>
  <x:si>
    <x:t xml:space="preserve">SZ-CT-SJ13</x:t>
  </x:si>
  <x:si>
    <x:t xml:space="preserve">Primary missing cell. Training episode 1117 contains the same target trajectory but masks the size word with a direct identity prompt.</x:t>
  </x:si>
  <x:si>
    <x:t xml:space="preserve">Bowl: empty. Table, robot-left→robot-right: P1 red pencil sharpener; P2 green block. Adjacent centers 12 cm apart; row shifted 4 cm toward the robot; all objects fully visible and grasp paths clear.</x:t>
  </x:si>
  <x:si>
    <x:t xml:space="preserve">1093</x:t>
  </x:si>
  <x:si>
    <x:t xml:space="preserve">SZ-CT-LG14</x:t>
  </x:si>
  <x:si>
    <x:t xml:space="preserve">Primary missing cell. Training episode 1093 contains the same target trajectory but masks the size word with a direct identity prompt.</x:t>
  </x:si>
  <x:si>
    <x:t xml:space="preserve">Bowl: empty. Table, robot-left→robot-right: P1 juggling ball; P2 crushed Pepsi can. Adjacent centers 16 cm apart; row centered on the workspace; all objects fully visible and grasp paths clear.</x:t>
  </x:si>
  <x:si>
    <x:t xml:space="preserve">1118</x:t>
  </x:si>
  <x:si>
    <x:t xml:space="preserve">SZ-CT-SJ14</x:t>
  </x:si>
  <x:si>
    <x:t xml:space="preserve">Primary missing cell. Training episode 1118 contains the same target trajectory but masks the size word with a direct identity prompt.</x:t>
  </x:si>
  <x:si>
    <x:t xml:space="preserve">Bowl: empty. Table, robot-left→robot-right: P1 green block; P2 red pencil sharpener. Adjacent centers 16 cm apart; row shifted 4 cm away from the robot; all objects fully visible and grasp paths clear.</x:t>
  </x:si>
  <x:si>
    <x:t xml:space="preserve">1094</x:t>
  </x:si>
  <x:si>
    <x:t xml:space="preserve">SZ-CT-LG15</x:t>
  </x:si>
  <x:si>
    <x:t xml:space="preserve">Primary missing cell. Training episode 1094 contains the same target trajectory but masks the size word with a direct identity prompt.</x:t>
  </x:si>
  <x:si>
    <x:t xml:space="preserve">Bowl: empty. Table, robot-left→robot-right: P1 crushed Pepsi can; P2 juggling ball. Adjacent centers 8 cm apart; row shifted 4 cm toward robot-left; all objects fully visible and grasp paths clear.</x:t>
  </x:si>
  <x:si>
    <x:t xml:space="preserve">1119</x:t>
  </x:si>
  <x:si>
    <x:t xml:space="preserve">SZ-CT-SJ15</x:t>
  </x:si>
  <x:si>
    <x:t xml:space="preserve">Primary missing cell. Training episode 1119 contains the same target trajectory but masks the size word with a direct identity prompt.</x:t>
  </x:si>
  <x:si>
    <x:t xml:space="preserve">Bowl: empty. Table, robot-left→robot-right: P1 red pencil sharpener; P2 green block. Adjacent centers 8 cm apart; row centered on the workspace; all objects fully visible and grasp paths clear.</x:t>
  </x:si>
  <x:si>
    <x:t xml:space="preserve">1095</x:t>
  </x:si>
  <x:si>
    <x:t xml:space="preserve">SZ-CT-LG16</x:t>
  </x:si>
  <x:si>
    <x:t xml:space="preserve">Primary missing cell. Training episode 1095 contains the same target trajectory but masks the size word with a direct identity prompt.</x:t>
  </x:si>
  <x:si>
    <x:t xml:space="preserve">Bowl: empty. Table, robot-left→robot-right: P1 juggling ball; P2 crushed Pepsi can. Adjacent centers 12 cm apart; row shifted 4 cm toward robot-right; all objects fully visible and grasp paths clear.</x:t>
  </x:si>
  <x:si>
    <x:t xml:space="preserve">1120</x:t>
  </x:si>
  <x:si>
    <x:t xml:space="preserve">SZ-CT-SJ16</x:t>
  </x:si>
  <x:si>
    <x:t xml:space="preserve">Primary missing cell. Training episode 1120 contains the same target trajectory but masks the size word with a direct identity prompt.</x:t>
  </x:si>
  <x:si>
    <x:t xml:space="preserve">Bowl: empty. Table, robot-left→robot-right: P1 green block; P2 red pencil sharpener. Adjacent centers 12 cm apart; row shifted 4 cm toward robot-left; all objects fully visible and grasp paths clear.</x:t>
  </x:si>
  <x:si>
    <x:t xml:space="preserve">1096</x:t>
  </x:si>
  <x:si>
    <x:t xml:space="preserve">SZ-CT-LG17</x:t>
  </x:si>
  <x:si>
    <x:t xml:space="preserve">Primary missing cell. Training episode 1096 contains the same target trajectory but masks the size word with a direct identity prompt.</x:t>
  </x:si>
  <x:si>
    <x:t xml:space="preserve">Bowl: empty. Table, robot-left→robot-right: P1 crushed Pepsi can; P2 juggling ball. Adjacent centers 16 cm apart; row shifted 4 cm toward the robot; all objects fully visible and grasp paths clear.</x:t>
  </x:si>
  <x:si>
    <x:t xml:space="preserve">1121</x:t>
  </x:si>
  <x:si>
    <x:t xml:space="preserve">SZ-CT-SJ17</x:t>
  </x:si>
  <x:si>
    <x:t xml:space="preserve">Primary missing cell. Training episode 1121 contains the same target trajectory but masks the size word with a direct identity prompt.</x:t>
  </x:si>
  <x:si>
    <x:t xml:space="preserve">Bowl: empty. Table, robot-left→robot-right: P1 red pencil sharpener; P2 green block. Adjacent centers 16 cm apart; row shifted 4 cm toward robot-right; all objects fully visible and grasp paths clear.</x:t>
  </x:si>
  <x:si>
    <x:t xml:space="preserve">1097</x:t>
  </x:si>
  <x:si>
    <x:t xml:space="preserve">SZ-CT-LG18</x:t>
  </x:si>
  <x:si>
    <x:t xml:space="preserve">Primary missing cell. Training episode 1097 contains the same target trajectory but masks the size word with a direct identity prompt.</x:t>
  </x:si>
  <x:si>
    <x:t xml:space="preserve">Bowl: empty. Table, robot-left→robot-right: P1 juggling ball; P2 crushed Pepsi can. Adjacent centers 8 cm apart; row shifted 4 cm away from the robot; all objects fully visible and grasp paths clear.</x:t>
  </x:si>
  <x:si>
    <x:t xml:space="preserve">1122</x:t>
  </x:si>
  <x:si>
    <x:t xml:space="preserve">SZ-CT-SJ18</x:t>
  </x:si>
  <x:si>
    <x:t xml:space="preserve">Primary missing cell. Training episode 1122 contains the same target trajectory but masks the size word with a direct identity prompt.</x:t>
  </x:si>
  <x:si>
    <x:t xml:space="preserve">Bowl: empty. Table, robot-left→robot-right: P1 green block; P2 red pencil sharpener. Adjacent centers 8 cm apart; row shifted 4 cm toward the robot; all objects fully visible and grasp paths clear.</x:t>
  </x:si>
  <x:si>
    <x:t xml:space="preserve">1098</x:t>
  </x:si>
  <x:si>
    <x:t xml:space="preserve">SZ-CT-LG19</x:t>
  </x:si>
  <x:si>
    <x:t xml:space="preserve">Primary missing cell. Training episode 1098 contains the same target trajectory but masks the size word with a direct identity prompt.</x:t>
  </x:si>
  <x:si>
    <x:t xml:space="preserve">Bowl: empty. Table, robot-left→robot-right: P1 crushed Pepsi can; P2 juggling ball. Adjacent centers 12 cm apart; row centered on the workspace; all objects fully visible and grasp paths clear.</x:t>
  </x:si>
  <x:si>
    <x:t xml:space="preserve">1123</x:t>
  </x:si>
  <x:si>
    <x:t xml:space="preserve">SZ-CT-SJ19</x:t>
  </x:si>
  <x:si>
    <x:t xml:space="preserve">Primary missing cell. Training episode 1123 contains the same target trajectory but masks the size word with a direct identity prompt.</x:t>
  </x:si>
  <x:si>
    <x:t xml:space="preserve">Bowl: empty. Table, robot-left→robot-right: P1 red pencil sharpener; P2 green block. Adjacent centers 12 cm apart; row shifted 4 cm away from the robot; all objects fully visible and grasp paths clear.</x:t>
  </x:si>
  <x:si>
    <x:t xml:space="preserve">1099</x:t>
  </x:si>
  <x:si>
    <x:t xml:space="preserve">SZ-CT-LG20</x:t>
  </x:si>
  <x:si>
    <x:t xml:space="preserve">Primary missing cell. Training episode 1099 contains the same target trajectory but masks the size word with a direct identity prompt.</x:t>
  </x:si>
  <x:si>
    <x:t xml:space="preserve">Bowl: empty. Table, robot-left→robot-right: P1 juggling ball; P2 crushed Pepsi can. Adjacent centers 16 cm apart; row shifted 4 cm toward robot-left; all objects fully visible and grasp paths clear.</x:t>
  </x:si>
  <x:si>
    <x:t xml:space="preserve">1124</x:t>
  </x:si>
  <x:si>
    <x:t xml:space="preserve">SZ-CT-SJ20</x:t>
  </x:si>
  <x:si>
    <x:t xml:space="preserve">Primary missing cell. Training episode 1124 contains the same target trajectory but masks the size word with a direct identity prompt.</x:t>
  </x:si>
  <x:si>
    <x:t xml:space="preserve">Bowl: empty. Table, robot-left→robot-right: P1 green block; P2 red pencil sharpener. Adjacent centers 16 cm apart; row centered on the workspace; all objects fully visible and grasp paths clear.</x:t>
  </x:si>
  <x:si>
    <x:t xml:space="preserve">SZ-CT-LG21</x:t>
  </x:si>
  <x:si>
    <x:t xml:space="preserve">Bowl: empty. Table, robot-left→robot-right: P1 crushed Pepsi can; P2 juggling ball. Adjacent centers 8 cm apart; row shifted 4 cm toward robot-right; all objects fully visible and grasp paths clear.</x:t>
  </x:si>
  <x:si>
    <x:t xml:space="preserve">SZ-CT-SJ21</x:t>
  </x:si>
  <x:si>
    <x:t xml:space="preserve">Bowl: empty. Table, robot-left→robot-right: P1 red pencil sharpener; P2 green block. Adjacent centers 8 cm apart; row shifted 4 cm toward robot-left; all objects fully visible and grasp paths clear.</x:t>
  </x:si>
  <x:si>
    <x:t xml:space="preserve">SZ-CT-LG22</x:t>
  </x:si>
  <x:si>
    <x:t xml:space="preserve">Bowl: empty. Table, robot-left→robot-right: P1 juggling ball; P2 crushed Pepsi can. Adjacent centers 12 cm apart; row shifted 4 cm toward the robot; all objects fully visible and grasp paths clear.</x:t>
  </x:si>
  <x:si>
    <x:t xml:space="preserve">SZ-CT-SJ22</x:t>
  </x:si>
  <x:si>
    <x:t xml:space="preserve">Bowl: empty. Table, robot-left→robot-right: P1 green block; P2 red pencil sharpener. Adjacent centers 12 cm apart; row shifted 4 cm toward robot-right; all objects fully visible and grasp paths clear.</x:t>
  </x:si>
  <x:si>
    <x:t xml:space="preserve">SZ-CT-LG23</x:t>
  </x:si>
  <x:si>
    <x:t xml:space="preserve">Bowl: empty. Table, robot-left→robot-right: P1 crushed Pepsi can; P2 juggling ball. Adjacent centers 16 cm apart; row shifted 4 cm away from the robot; all objects fully visible and grasp paths clear.</x:t>
  </x:si>
  <x:si>
    <x:t xml:space="preserve">SZ-CT-SJ23</x:t>
  </x:si>
  <x:si>
    <x:t xml:space="preserve">Bowl: empty. Table, robot-left→robot-right: P1 red pencil sharpener; P2 green block. Adjacent centers 16 cm apart; row shifted 4 cm toward the robot; all objects fully visible and grasp paths clear.</x:t>
  </x:si>
  <x:si>
    <x:t xml:space="preserve">SZ-CT-LG24</x:t>
  </x:si>
  <x:si>
    <x:t xml:space="preserve">Bowl: empty. Table, robot-left→robot-right: P1 juggling ball; P2 crushed Pepsi can. Adjacent centers 8 cm apart; row centered on the workspace; all objects fully visible and grasp paths clear.</x:t>
  </x:si>
  <x:si>
    <x:t xml:space="preserve">SZ-CT-SJ24</x:t>
  </x:si>
  <x:si>
    <x:t xml:space="preserve">Bowl: empty. Table, robot-left→robot-right: P1 green block; P2 red pencil sharpener. Adjacent centers 8 cm apart; row shifted 4 cm away from the robot; all objects fully visible and grasp paths clear.</x:t>
  </x:si>
  <x:si>
    <x:t xml:space="preserve">SZ-CT-LG25</x:t>
  </x:si>
  <x:si>
    <x:t xml:space="preserve">Bowl: empty. Table, robot-left→robot-right: P1 crushed Pepsi can; P2 juggling ball. Adjacent centers 12 cm apart; row shifted 4 cm toward robot-left; all objects fully visible and grasp paths clear.</x:t>
  </x:si>
  <x:si>
    <x:t xml:space="preserve">SZ-CT-SJ25</x:t>
  </x:si>
  <x:si>
    <x:t xml:space="preserve">Bowl: empty. Table, robot-left→robot-right: P1 airplane toy with propellers; P2 red pencil sharpener. Adjacent centers 8 cm apart; row centered on the workspace; all objects fully visible and grasp paths clear.</x:t>
  </x:si>
  <x:si>
    <x:t xml:space="preserve">airplane exposure 550</x:t>
  </x:si>
  <x:si>
    <x:t xml:space="preserve">MOVE airplane toy with propellers to bowl</x:t>
  </x:si>
  <x:si>
    <x:t xml:space="preserve">Cross-task airplane reasoning</x:t>
  </x:si>
  <x:si>
    <x:t xml:space="preserve">SZ-XA01</x:t>
  </x:si>
  <x:si>
    <x:t xml:space="preserve">Airplane is largest</x:t>
  </x:si>
  <x:si>
    <x:t xml:space="preserve">airplane toy with propellers</x:t>
  </x:si>
  <x:si>
    <x:t xml:space="preserve">Build the listed airplane scene and save a first-frame filename.</x:t>
  </x:si>
  <x:si>
    <x:t xml:space="preserve">The airplane is larger than the red pencil sharpener. It is known globally but never received size language in training.</x:t>
  </x:si>
  <x:si>
    <x:t xml:space="preserve">1005; airplane exposure 550</x:t>
  </x:si>
  <x:si>
    <x:t xml:space="preserve">Cross-task airplane counterfactual</x:t>
  </x:si>
  <x:si>
    <x:t xml:space="preserve">Exact-scene opposite-comparison reasoning control</x:t>
  </x:si>
  <x:si>
    <x:t xml:space="preserve">Reset the airplane; preserve the exact scene and reverse only the size comparison.</x:t>
  </x:si>
  <x:si>
    <x:t xml:space="preserve">Reasoning-only counterfactual grounded by trained cell smallest × red pencil sharpener; an always-pick-airplane shortcut must fail.</x:t>
  </x:si>
  <x:si>
    <x:t xml:space="preserve">Bowl: empty. Table, robot-left→robot-right: P1 airplane toy with propellers; P2 green block; P3 crushed Pepsi can. Adjacent centers 12 cm apart; row shifted 4 cm toward robot-right; all objects fully visible and grasp paths clear.</x:t>
  </x:si>
  <x:si>
    <x:t xml:space="preserve">airplane exposure 552</x:t>
  </x:si>
  <x:si>
    <x:t xml:space="preserve">SZ-XA02</x:t>
  </x:si>
  <x:si>
    <x:t xml:space="preserve">Airplane is smallest</x:t>
  </x:si>
  <x:si>
    <x:t xml:space="preserve">The airplane is smaller than every listed table comparator. Green-block scenes also include a trained larger endpoint so the counterfactual does not test largest×green.</x:t>
  </x:si>
  <x:si>
    <x:t xml:space="preserve">1155; airplane exposure 552</x:t>
  </x:si>
  <x:si>
    <x:t xml:space="preserve">Reasoning-only counterfactual grounded by trained cell largest × crushed Pepsi can; an always-pick-airplane shortcut must fail.</x:t>
  </x:si>
  <x:si>
    <x:t xml:space="preserve">Bowl: empty. Table, robot-left→robot-right: P1 red pencil sharpener; P2 airplane toy with propellers. Adjacent centers 12 cm apart; row shifted 4 cm toward robot-left; all objects fully visible and grasp paths clear.</x:t>
  </x:si>
  <x:si>
    <x:t xml:space="preserve">airplane exposure 554</x:t>
  </x:si>
  <x:si>
    <x:t xml:space="preserve">SZ-XA03</x:t>
  </x:si>
  <x:si>
    <x:t xml:space="preserve">1006; airplane exposure 554</x:t>
  </x:si>
  <x:si>
    <x:t xml:space="preserve">Bowl: empty. Table, robot-left→robot-right: P1 juggling ball; P2 green block; P3 airplane toy with propellers. Adjacent centers 16 cm apart; row shifted 4 cm toward the robot; all objects fully visible and grasp paths clear.</x:t>
  </x:si>
  <x:si>
    <x:t xml:space="preserve">airplane exposure 556</x:t>
  </x:si>
  <x:si>
    <x:t xml:space="preserve">SZ-XA04</x:t>
  </x:si>
  <x:si>
    <x:t xml:space="preserve">1126; airplane exposure 556</x:t>
  </x:si>
  <x:si>
    <x:t xml:space="preserve">Reasoning-only counterfactual grounded by trained cell largest × juggling ball; an always-pick-airplane shortcut must fail.</x:t>
  </x:si>
  <x:si>
    <x:t xml:space="preserve">Bowl: empty. Table, robot-left→robot-right: P1 airplane toy with propellers; P2 red pencil sharpener. Adjacent centers 16 cm apart; row shifted 4 cm toward robot-right; all objects fully visible and grasp paths clear.</x:t>
  </x:si>
  <x:si>
    <x:t xml:space="preserve">airplane exposure 558</x:t>
  </x:si>
  <x:si>
    <x:t xml:space="preserve">SZ-XA05</x:t>
  </x:si>
  <x:si>
    <x:t xml:space="preserve">1007; airplane exposure 558</x:t>
  </x:si>
  <x:si>
    <x:t xml:space="preserve">Bowl: empty. Table, robot-left→robot-right: P1 green block; P2 crushed Pepsi can; P3 airplane toy with propellers. Adjacent centers 8 cm apart; row shifted 4 cm away from the robot; all objects fully visible and grasp paths clear.</x:t>
  </x:si>
  <x:si>
    <x:t xml:space="preserve">airplane exposure 560</x:t>
  </x:si>
  <x:si>
    <x:t xml:space="preserve">SZ-XA06</x:t>
  </x:si>
  <x:si>
    <x:t xml:space="preserve">1157; airplane exposure 560</x:t>
  </x:si>
  <x:si>
    <x:t xml:space="preserve">Center</x:t>
  </x:si>
  <x:si>
    <x:t xml:space="preserve">Bowl: empty. Table, robot-left→robot-right: P1 red pencil sharpener; P2 airplane toy with propellers. Adjacent centers 8 cm apart; row shifted 4 cm toward the robot; all objects fully visible and grasp paths clear.</x:t>
  </x:si>
  <x:si>
    <x:t xml:space="preserve">airplane exposure 562</x:t>
  </x:si>
  <x:si>
    <x:t xml:space="preserve">SZ-XA07</x:t>
  </x:si>
  <x:si>
    <x:t xml:space="preserve">1008; airplane exposure 562</x:t>
  </x:si>
  <x:si>
    <x:t xml:space="preserve">Bowl: empty. Table, robot-left→robot-right: P1 airplane toy with propellers; P2 green block; P3 juggling ball. Adjacent centers 12 cm apart; row centered on the workspace; all objects fully visible and grasp paths clear.</x:t>
  </x:si>
  <x:si>
    <x:t xml:space="preserve">airplane exposure 564</x:t>
  </x:si>
  <x:si>
    <x:t xml:space="preserve">SZ-XA08</x:t>
  </x:si>
  <x:si>
    <x:t xml:space="preserve">1128; airplane exposure 564</x:t>
  </x:si>
  <x:si>
    <x:t xml:space="preserve">Bowl: empty. Table, robot-left→robot-right: P1 airplane toy with propellers; P2 red pencil sharpener. Adjacent centers 12 cm apart; row shifted 4 cm away from the robot; all objects fully visible and grasp paths clear.</x:t>
  </x:si>
  <x:si>
    <x:t xml:space="preserve">airplane exposure 566</x:t>
  </x:si>
  <x:si>
    <x:t xml:space="preserve">SZ-XA09</x:t>
  </x:si>
  <x:si>
    <x:t xml:space="preserve">1009; airplane exposure 566</x:t>
  </x:si>
  <x:si>
    <x:t xml:space="preserve">Bowl: empty. Table, robot-left→robot-right: P1 crushed Pepsi can; P2 juggling ball; P3 airplane toy with propellers. Adjacent centers 16 cm apart; row shifted 4 cm toward robot-left; all objects fully visible and grasp paths clear.</x:t>
  </x:si>
  <x:si>
    <x:t xml:space="preserve">airplane exposure 568</x:t>
  </x:si>
  <x:si>
    <x:t xml:space="preserve">SZ-XA10</x:t>
  </x:si>
  <x:si>
    <x:t xml:space="preserve">1159; airplane exposure 568</x:t>
  </x:si>
  <x:si>
    <x:t xml:space="preserve">Bowl: red pencil sharpener. Table: green block. row centered on the workspace; every object fully visible. The requested extremal object is already in the bowl.</x:t>
  </x:si>
  <x:si>
    <x:t xml:space="preserve">1010</x:t>
  </x:si>
  <x:si>
    <x:t xml:space="preserve">NO MOVEMENT — goal already satisfied</x:t>
  </x:si>
  <x:si>
    <x:t xml:space="preserve">Goal already satisfied / no movement</x:t>
  </x:si>
  <x:si>
    <x:t xml:space="preserve">SZ-NOOP-1-1</x:t>
  </x:si>
  <x:si>
    <x:t xml:space="preserve">Trained smallest × red pencil sharpener; target already in bowl</x:t>
  </x:si>
  <x:si>
    <x:t xml:space="preserve">In bowl</x:t>
  </x:si>
  <x:si>
    <x:t xml:space="preserve">Place the target in the bowl before starting; arrange the listed distractors on the table.</x:t>
  </x:si>
  <x:si>
    <x:t xml:space="preserve">Normal training-supported size wording is retained, so no-movement behavior is not correlated with a special phrase. Success requires no object contact or displacement.</x:t>
  </x:si>
  <x:si>
    <x:t xml:space="preserve">Bowl: green block. Table: juggling ball. row shifted 4 cm toward robot-left; every object fully visible. The requested extremal object is already in the bowl.</x:t>
  </x:si>
  <x:si>
    <x:t xml:space="preserve">1055</x:t>
  </x:si>
  <x:si>
    <x:t xml:space="preserve">SZ-NOOP-2-1</x:t>
  </x:si>
  <x:si>
    <x:t xml:space="preserve">Trained smallest × green block; target already in bowl</x:t>
  </x:si>
  <x:si>
    <x:t xml:space="preserve">Bowl: juggling ball. Table: red pencil sharpener. row shifted 4 cm toward robot-right; every object fully visible. The requested extremal object is already in the bowl.</x:t>
  </x:si>
  <x:si>
    <x:t xml:space="preserve">1130</x:t>
  </x:si>
  <x:si>
    <x:t xml:space="preserve">SZ-NOOP-3-1</x:t>
  </x:si>
  <x:si>
    <x:t xml:space="preserve">Trained largest × juggling ball; target already in bowl</x:t>
  </x:si>
  <x:si>
    <x:t xml:space="preserve">Bowl: crushed Pepsi can. Table: juggling ball. row shifted 4 cm toward the robot; every object fully visible. The requested extremal object is already in the bowl.</x:t>
  </x:si>
  <x:si>
    <x:t xml:space="preserve">1160</x:t>
  </x:si>
  <x:si>
    <x:t xml:space="preserve">SZ-NOOP-4-1</x:t>
  </x:si>
  <x:si>
    <x:t xml:space="preserve">Trained largest × crushed Pepsi can; target already in bowl</x:t>
  </x:si>
  <x:si>
    <x:t xml:space="preserve">Bowl: red pencil sharpener. Table: juggling ball; crushed Pepsi can. row shifted 4 cm toward robot-left; every object fully visible. The requested extremal object is already in the bowl.</x:t>
  </x:si>
  <x:si>
    <x:t xml:space="preserve">1011</x:t>
  </x:si>
  <x:si>
    <x:t xml:space="preserve">SZ-NOOP-1-2</x:t>
  </x:si>
  <x:si>
    <x:t xml:space="preserve">Bowl: green block. Table: crushed Pepsi can. row shifted 4 cm toward robot-right; every object fully visible. The requested extremal object is already in the bowl.</x:t>
  </x:si>
  <x:si>
    <x:t xml:space="preserve">1056</x:t>
  </x:si>
  <x:si>
    <x:t xml:space="preserve">SZ-NOOP-2-2</x:t>
  </x:si>
  <x:si>
    <x:t xml:space="preserve">Bowl: juggling ball. Table: green block. row shifted 4 cm toward the robot; every object fully visible. The requested extremal object is already in the bowl.</x:t>
  </x:si>
  <x:si>
    <x:t xml:space="preserve">1131</x:t>
  </x:si>
  <x:si>
    <x:t xml:space="preserve">SZ-NOOP-3-2</x:t>
  </x:si>
  <x:si>
    <x:t xml:space="preserve">Bowl: crushed Pepsi can. Table: green block. row shifted 4 cm away from the robot; every object fully visible. The requested extremal object is already in the bowl.</x:t>
  </x:si>
  <x:si>
    <x:t xml:space="preserve">1161</x:t>
  </x:si>
  <x:si>
    <x:t xml:space="preserve">SZ-NOOP-4-2</x:t>
  </x:si>
  <x:si>
    <x:t xml:space="preserve">Bowl: red pencil sharpener. Table: green block; juggling ball; crushed Pepsi can. row shifted 4 cm toward robot-right; every object fully visible. The requested extremal object is already in the bowl.</x:t>
  </x:si>
  <x:si>
    <x:t xml:space="preserve">1012</x:t>
  </x:si>
  <x:si>
    <x:t xml:space="preserve">SZ-NOOP-1-3</x:t>
  </x:si>
  <x:si>
    <x:t xml:space="preserve">Bowl: green block. Table: juggling ball; crushed Pepsi can. row shifted 4 cm toward the robot; every object fully visible. The requested extremal object is already in the bowl.</x:t>
  </x:si>
  <x:si>
    <x:t xml:space="preserve">1057</x:t>
  </x:si>
  <x:si>
    <x:t xml:space="preserve">SZ-NOOP-2-3</x:t>
  </x:si>
  <x:si>
    <x:t xml:space="preserve">Bowl: juggling ball. Table: red pencil sharpener; green block. row shifted 4 cm away from the robot; every object fully visible. The requested extremal object is already in the bowl.</x:t>
  </x:si>
  <x:si>
    <x:t xml:space="preserve">1132</x:t>
  </x:si>
  <x:si>
    <x:t xml:space="preserve">SZ-NOOP-3-3</x:t>
  </x:si>
  <x:si>
    <x:t xml:space="preserve">Bowl: crushed Pepsi can. Table: red pencil sharpener; green block; juggling ball. row centered on the workspace; every object fully visible. The requested extremal object is already in the bowl.</x:t>
  </x:si>
  <x:si>
    <x:t xml:space="preserve">1162</x:t>
  </x:si>
  <x:si>
    <x:t xml:space="preserve">SZ-NOOP-4-3</x:t>
  </x:si>
  <x:si>
    <x:t xml:space="preserve">Bowl: red pencil sharpener. Table: juggling ball; crushed Pepsi can; green block. row shifted 4 cm toward the robot; every object fully visible. The requested extremal object is already in the bowl.</x:t>
  </x:si>
  <x:si>
    <x:t xml:space="preserve">1013</x:t>
  </x:si>
  <x:si>
    <x:t xml:space="preserve">SZ-NOOP-1-4</x:t>
  </x:si>
  <x:si>
    <x:t xml:space="preserve">Bowl: green block. Table: crushed Pepsi can; juggling ball. row shifted 4 cm away from the robot; every object fully visible. The requested extremal object is already in the bowl.</x:t>
  </x:si>
  <x:si>
    <x:t xml:space="preserve">1058</x:t>
  </x:si>
  <x:si>
    <x:t xml:space="preserve">SZ-NOOP-2-4</x:t>
  </x:si>
  <x:si>
    <x:t xml:space="preserve">Bowl: juggling ball. Table: green block; red pencil sharpener. row centered on the workspace; every object fully visible. The requested extremal object is already in the bowl.</x:t>
  </x:si>
  <x:si>
    <x:t xml:space="preserve">1133</x:t>
  </x:si>
  <x:si>
    <x:t xml:space="preserve">SZ-NOOP-3-4</x:t>
  </x:si>
  <x:si>
    <x:t xml:space="preserve">Bowl: crushed Pepsi can. Table: green block; juggling ball; red pencil sharpener. row shifted 4 cm toward robot-left; every object fully visible. The requested extremal object is already in the bowl.</x:t>
  </x:si>
  <x:si>
    <x:t xml:space="preserve">1163</x:t>
  </x:si>
  <x:si>
    <x:t xml:space="preserve">SZ-NOOP-4-4</x:t>
  </x:si>
  <x:si>
    <x:t xml:space="preserve">Bowl: red pencil sharpener. Table: crushed Pepsi can; green block; juggling ball. row shifted 4 cm away from the robot; every object fully visible. The requested extremal object is already in the bowl.</x:t>
  </x:si>
  <x:si>
    <x:t xml:space="preserve">1014</x:t>
  </x:si>
  <x:si>
    <x:t xml:space="preserve">SZ-NOOP-1-5</x:t>
  </x:si>
  <x:si>
    <x:t xml:space="preserve">Bowl: green block. Table: juggling ball; crushed Pepsi can. row centered on the workspace; every object fully visible. The requested extremal object is already in the bowl.</x:t>
  </x:si>
  <x:si>
    <x:t xml:space="preserve">1059</x:t>
  </x:si>
  <x:si>
    <x:t xml:space="preserve">SZ-NOOP-2-5</x:t>
  </x:si>
  <x:si>
    <x:t xml:space="preserve">Bowl: juggling ball. Table: red pencil sharpener; green block. row shifted 4 cm toward robot-left; every object fully visible. The requested extremal object is already in the bowl.</x:t>
  </x:si>
  <x:si>
    <x:t xml:space="preserve">1134</x:t>
  </x:si>
  <x:si>
    <x:t xml:space="preserve">SZ-NOOP-3-5</x:t>
  </x:si>
  <x:si>
    <x:t xml:space="preserve">Bowl: crushed Pepsi can. Table: juggling ball; red pencil sharpener; green block. row shifted 4 cm toward robot-right; every object fully visible. The requested extremal object is already in the bowl.</x:t>
  </x:si>
  <x:si>
    <x:t xml:space="preserve">1164</x:t>
  </x:si>
  <x:si>
    <x:t xml:space="preserve">SZ-NOOP-4-5</x:t>
  </x:si>
  <x:si>
    <x:t xml:space="preserve">Object</x:t>
  </x:si>
  <x:si>
    <x:t xml:space="preserve">Training Source</x:t>
  </x:si>
  <x:si>
    <x:t xml:space="preserve">Observed Exposure</x:t>
  </x:si>
  <x:si>
    <x:t xml:space="preserve">Size / Composition Role</x:t>
  </x:si>
  <x:si>
    <x:t xml:space="preserve">Evaluation Role</x:t>
  </x:si>
  <x:si>
    <x:t xml:space="preserve">Documented Relation</x:t>
  </x:si>
  <x:si>
    <x:t xml:space="preserve">Same-task Size Recognition</x:t>
  </x:si>
  <x:si>
    <x:t xml:space="preserve">Explicit smallest; direct identity</x:t>
  </x:si>
  <x:si>
    <x:t xml:space="preserve">Smallest known Size object</x:t>
  </x:si>
  <x:si>
    <x:t xml:space="preserve">In-distribution, primary comparator, airplane-largest comparator, no-op</x:t>
  </x:si>
  <x:si>
    <x:t xml:space="preserve">smaller than green block, juggling ball, Pepsi can, and designated airplane</x:t>
  </x:si>
  <x:si>
    <x:t xml:space="preserve">Explicit smallest; largest masked</x:t>
  </x:si>
  <x:si>
    <x:t xml:space="preserve">Held-out largest composition</x:t>
  </x:si>
  <x:si>
    <x:t xml:space="preserve">Primary target; airplane-smallest comparator; no-op trained-smallest</x:t>
  </x:si>
  <x:si>
    <x:t xml:space="preserve">larger than sharpener and airplane; smaller than juggling ball and Pepsi can</x:t>
  </x:si>
  <x:si>
    <x:t xml:space="preserve">Explicit largest; smallest masked</x:t>
  </x:si>
  <x:si>
    <x:t xml:space="preserve">Held-out smallest composition</x:t>
  </x:si>
  <x:si>
    <x:t xml:space="preserve">Primary target; airplane-smallest comparator; no-op trained-largest</x:t>
  </x:si>
  <x:si>
    <x:t xml:space="preserve">larger than sharpener, green block, and airplane; smaller than Pepsi can</x:t>
  </x:si>
  <x:si>
    <x:t xml:space="preserve">Explicit largest; direct identity</x:t>
  </x:si>
  <x:si>
    <x:t xml:space="preserve">Largest known Size object</x:t>
  </x:si>
  <x:si>
    <x:t xml:space="preserve">In-distribution; airplane-smallest comparator; no-op</x:t>
  </x:si>
  <x:si>
    <x:t xml:space="preserve">larger than all other listed objects</x:t>
  </x:si>
  <x:si>
    <x:t xml:space="preserve">Referential Disambiguation + Ordering/Sequencing</x:t>
  </x:si>
  <x:si>
    <x:t xml:space="preserve">269 global training scenes; target in 75; 0 Size scenes</x:t>
  </x:si>
  <x:si>
    <x:t xml:space="preserve">Known globally but novel to Size Recognition</x:t>
  </x:si>
  <x:si>
    <x:t xml:space="preserve">10 airplane-target reasoning trials plus 10 exact-scene counterfactual controls</x:t>
  </x:si>
  <x:si>
    <x:t xml:space="preserve">larger than sharpener; smaller than green block, juggling ball, and Pepsi can</x:t>
  </x:si>
  <x:si>
    <x:t xml:space="preserve">Training / Evaluation Feature</x:t>
  </x:si>
  <x:si>
    <x:t xml:space="preserve">Manifest evidence</x:t>
  </x:si>
  <x:si>
    <x:t xml:space="preserve">Evaluation consequence</x:t>
  </x:si>
  <x:si>
    <x:t xml:space="preserve">Size Recognition training episodes</x:t>
  </x:si>
  <x:si>
    <x:t xml:space="preserve">The revised evaluation cites global source episode numbers 1000-1199.</x:t>
  </x:si>
  <x:si>
    <x:t xml:space="preserve">Explicit size grounding</x:t>
  </x:si>
  <x:si>
    <x:t xml:space="preserve">45 smallest-sharpener, 25 smallest-green, 25 largest-juggling, and 45 largest-Pepsi episodes.</x:t>
  </x:si>
  <x:si>
    <x:t xml:space="preserve">Direct identity controls</x:t>
  </x:si>
  <x:si>
    <x:t xml:space="preserve">Five per Size object.</x:t>
  </x:si>
  <x:si>
    <x:t xml:space="preserve">Masked compositions</x:t>
  </x:si>
  <x:si>
    <x:t xml:space="preserve">20 largest-green and 20 smallest-juggling trajectories are relabelled with direct target names.</x:t>
  </x:si>
  <x:si>
    <x:t xml:space="preserve">Primary missing cells</x:t>
  </x:si>
  <x:si>
    <x:t xml:space="preserve">largest × green block; smallest × juggling ball</x:t>
  </x:si>
  <x:si>
    <x:t xml:space="preserve">Fifty primary trials are balanced 25/25.</x:t>
  </x:si>
  <x:si>
    <x:t xml:space="preserve">In-distribution cells</x:t>
  </x:si>
  <x:si>
    <x:t xml:space="preserve">smallest × sharpener/green; largest × juggling/Pepsi</x:t>
  </x:si>
  <x:si>
    <x:t xml:space="preserve">Twenty baselines use exact manifest prompts and cite five source episodes per cell.</x:t>
  </x:si>
  <x:si>
    <x:t xml:space="preserve">Matched and language controls</x:t>
  </x:si>
  <x:si>
    <x:t xml:space="preserve">20 matched; 10 transfer paraphrases; 10 control paraphrases</x:t>
  </x:si>
  <x:si>
    <x:t xml:space="preserve">First ten primary families are adjacent four-row exact-scene families.</x:t>
  </x:si>
  <x:si>
    <x:t xml:space="preserve">Airplane status</x:t>
  </x:si>
  <x:si>
    <x:t xml:space="preserve">269 global scenes; target in 75; 0 Size scenes</x:t>
  </x:si>
  <x:si>
    <x:t xml:space="preserve">Report as cross-task object transfer, not globally unseen-object generalization.</x:t>
  </x:si>
  <x:si>
    <x:t xml:space="preserve">Airplane target block</x:t>
  </x:si>
  <x:si>
    <x:t xml:space="preserve">5 largest + 5 smallest airplane selections</x:t>
  </x:si>
  <x:si>
    <x:t xml:space="preserve">All use comparative reasoning prompts; no direct-name airplane prompts.</x:t>
  </x:si>
  <x:si>
    <x:t xml:space="preserve">Airplane shortcut control</x:t>
  </x:si>
  <x:si>
    <x:t xml:space="preserve">10 exact-scene opposite-comparison trials</x:t>
  </x:si>
  <x:si>
    <x:t xml:space="preserve">Without these rows, always selecting the airplane would score 10/10.</x:t>
  </x:si>
  <x:si>
    <x:t xml:space="preserve">No-movement block</x:t>
  </x:si>
  <x:si>
    <x:t xml:space="preserve">Four explicitly trained cells, five rows each</x:t>
  </x:si>
  <x:si>
    <x:t xml:space="preserve">The extremal target begins in the bowl; ordinary wording prevents phrase/no-op correlation.</x:t>
  </x:si>
  <x:si>
    <x:t xml:space="preserve">Total evaluation</x:t>
  </x:si>
  <x:si>
    <x:t xml:space="preserve">The 20-trial airplane block contains ten target trials and ten exact-scene counterfactual controls.</x:t>
  </x:si>
  <x:si>
    <x:t xml:space="preserve">Source files</x:t>
  </x:si>
  <x:si>
    <x:t xml:space="preserve">/Users/justintiensmith/Documents/lerobot/outputs/vla_reasoning_training_dataset_1200_2026-08-06/VLA_Reasoning_Dataset_Missing_Cell_Prompt_Manifest.csv
/Users/justintiensmith/Downloads/Eval_Size_Recognition.xlsx</x:t>
  </x:si>
  <x:si>
    <x:t xml:space="preserve">Manifest defines training support; the supplied workbook defines presentation conventions.</x:t>
  </x:si>
  <x:si>
    <x:t xml:space="preserve">SIZE RECOGNITION EVALUATION — ISOLATED DESIGN (150 TRIALS)</x:t>
  </x:si>
  <x:si>
    <x:t xml:space="preserve">Episodes 0-19</x:t>
  </x:si>
  <x:si>
    <x:t xml:space="preserve">In-distribution concept baselines. Five exact manifest-supported prompts per trained cell, with source episodes recorded.</x:t>
  </x:si>
  <x:si>
    <x:t xml:space="preserve">Episodes 20-59</x:t>
  </x:si>
  <x:si>
    <x:t xml:space="preserve">Ten adjacent four-row families: canonical transfer → matched direct control → transfer paraphrase → matched-control paraphrase.</x:t>
  </x:si>
  <x:si>
    <x:t xml:space="preserve">Episodes 60-79</x:t>
  </x:si>
  <x:si>
    <x:t xml:space="preserve">Ten adjacent transfer/control pairs using exact same scenes.</x:t>
  </x:si>
  <x:si>
    <x:t xml:space="preserve">Episodes 80-109</x:t>
  </x:si>
  <x:si>
    <x:t xml:space="preserve">Thirty additional primary transfer trials.</x:t>
  </x:si>
  <x:si>
    <x:t xml:space="preserve">Episodes 110-129</x:t>
  </x:si>
  <x:si>
    <x:t xml:space="preserve">Ten adjacent airplane reasoning/counterfactual pairs. Five make the airplane the largest target and five make it the smallest target; the paired prompt selects another object in the exact same scene.</x:t>
  </x:si>
  <x:si>
    <x:t xml:space="preserve">Episodes 130-149</x:t>
  </x:si>
  <x:si>
    <x:t xml:space="preserve">Goal-already-satisfied trials using only trained size×object cells.</x:t>
  </x:si>
  <x:si>
    <x:t xml:space="preserve">Primary endpoint</x:t>
  </x:si>
  <x:si>
    <x:t xml:space="preserve">Report 50 compositional-transfer trials: 25 largest-green and 25 smallest-juggling.</x:t>
  </x:si>
  <x:si>
    <x:t xml:space="preserve">Matched controls</x:t>
  </x:si>
  <x:si>
    <x:t xml:space="preserve">Same target, scene, side, layout, and spacing as the paired primary row; only the prompt becomes a trained direct instruction.</x:t>
  </x:si>
  <x:si>
    <x:t xml:space="preserve">Language split</x:t>
  </x:si>
  <x:si>
    <x:t xml:space="preserve">Ten exact primary scenes and ten exact matched-control scenes are reused with paraphrased wording.</x:t>
  </x:si>
  <x:si>
    <x:t xml:space="preserve">Airplane target requirement</x:t>
  </x:si>
  <x:si>
    <x:t xml:space="preserve">The airplane is selected five times as largest versus the sharpener and five times as smallest relative to block, juggling ball, and/or Pepsi can.</x:t>
  </x:si>
  <x:si>
    <x:t xml:space="preserve">Why 10 airplane counterfactuals</x:t>
  </x:si>
  <x:si>
    <x:t xml:space="preserve">Each airplane-target trial has an adjacent exact-scene prompt that selects another object. Reversing largest↔smallest forces target switching and prevents an always-pick-airplane shortcut.</x:t>
  </x:si>
  <x:si>
    <x:t xml:space="preserve">No direct airplane prompt</x:t>
  </x:si>
  <x:si>
    <x:t xml:space="preserve">Every airplane-block row uses smallest/largest reasoning. Counterfactual targets use explicitly trained size cells.</x:t>
  </x:si>
  <x:si>
    <x:t xml:space="preserve">No-op definition</x:t>
  </x:si>
  <x:si>
    <x:t xml:space="preserve">The requested extremal object is already in the bowl. Success means no object contact or displacement for the full decision window.</x:t>
  </x:si>
  <x:si>
    <x:t xml:space="preserve">Scene coordinates</x:t>
  </x:si>
  <x:si>
    <x:t xml:space="preserve">All left/right labels are from the robot's perspective. Preserve object instances, order, layout, spacing, bowl location, camera pose, and lighting across models.</x:t>
  </x:si>
  <x:si>
    <x:t xml:space="preserve">Size ordering assumption</x:t>
  </x:si>
  <x:si>
    <x:t xml:space="preserve">red pencil sharpener &lt; airplane toy with propellers &lt; green block &lt; juggling ball &lt; crushed Pepsi can. Verify this visually for the exact instances before collection.</x:t>
  </x:si>
  <x:si>
    <x:t xml:space="preserve">Collection reproducibility</x:t>
  </x:si>
  <x:si>
    <x:t xml:space="preserve">Save one first-frame filename per scene family and reuse it across models.</x:t>
  </x:si>
  <x:si>
    <x:t xml:space="preserve">Success</x:t>
  </x:si>
  <x:si>
    <x:t xml:space="preserve">Active rows succeed only when the expected object reaches the bowl. No-op rows succeed only when the robot leaves the scene unchanged.</x:t>
  </x:si>
  <x:si>
    <x:t xml:space="preserve">Failure annotation</x:t>
  </x:si>
  <x:si>
    <x:t xml:space="preserve">Record wrong object, reversed comparison, fixed-side behavior, fixed-airplane behavior, grasp failure, placement failure, timeout, premature movement, or scene disturbance.</x:t>
  </x:si>
  <x:si>
    <x:t xml:space="preserve">Analysis</x:t>
  </x:si>
  <x:si>
    <x:t xml:space="preserve">Report Clopper-Pearson intervals by condition. For paired families, also report discordant outcomes and an exact paired test when comparing paired prompts.</x:t>
  </x:si>
  <x:si>
    <x:t xml:space="preserve">Claim boundary</x:t>
  </x:si>
  <x:si>
    <x:t xml:space="preserve">Primary claims concern two masked size×object compositions. Airplane and no-op results are separate diagnostics and must not be pooled into the primary score.</x:t>
  </x:si>
  <x:si>
    <x:t xml:space="preserve">Important limitation</x:t>
  </x:si>
  <x:si>
    <x:t xml:space="preserve">The physical object hierarchy constrains which comparators can make the airplane smallest or largest. Interpret the airplane block as context-dependent rank transfer, not arbitrary shape generalization.</x:t>
  </x:si>
  <x:si>
    <x:t xml:space="preserve">Check</x:t>
  </x:si>
  <x:si>
    <x:t xml:space="preserve">Actual</x:t>
  </x:si>
  <x:si>
    <x:t xml:space="preserve">Expected</x:t>
  </x:si>
  <x:si>
    <x:t xml:space="preserve">Notes</x:t>
  </x:si>
  <x:si>
    <x:t xml:space="preserve">Total evaluation rows</x:t>
  </x:si>
  <x:si>
    <x:t xml:space="preserve">Episodes 0-149.</x:t>
  </x:si>
  <x:si>
    <x:t xml:space="preserve">Rows with training provenance</x:t>
  </x:si>
  <x:si>
    <x:t xml:space="preserve">Every row cites manifest grounding or airplane exposure.</x:t>
  </x:si>
  <x:si>
    <x:t xml:space="preserve">In-distribution total</x:t>
  </x:si>
  <x:si>
    <x:t xml:space="preserve">Episodes 0-19.</x:t>
  </x:si>
  <x:si>
    <x:t xml:space="preserve">ID cell: smallest × red pencil sharpener</x:t>
  </x:si>
  <x:si>
    <x:t xml:space="preserve">Five exact manifest-supported rows.</x:t>
  </x:si>
  <x:si>
    <x:t xml:space="preserve">ID cell: smallest × green block</x:t>
  </x:si>
  <x:si>
    <x:t xml:space="preserve">ID cell: largest × juggling ball</x:t>
  </x:si>
  <x:si>
    <x:t xml:space="preserve">ID cell: largest × crushed Pepsi can</x:t>
  </x:si>
  <x:si>
    <x:t xml:space="preserve">Primary total</x:t>
  </x:si>
  <x:si>
    <x:t xml:space="preserve">Primary endpoint.</x:t>
  </x:si>
  <x:si>
    <x:t xml:space="preserve">Primary largest × green block</x:t>
  </x:si>
  <x:si>
    <x:t xml:space="preserve">Held-out composition A.</x:t>
  </x:si>
  <x:si>
    <x:t xml:space="preserve">Primary smallest × juggling ball</x:t>
  </x:si>
  <x:si>
    <x:t xml:space="preserve">Held-out composition B.</x:t>
  </x:si>
  <x:si>
    <x:t xml:space="preserve">Primary largest-green wording: Move</x:t>
  </x:si>
  <x:si>
    <x:t xml:space="preserve">Action frames balanced 9/8/8.</x:t>
  </x:si>
  <x:si>
    <x:t xml:space="preserve">Primary largest-green wording: Pick up</x:t>
  </x:si>
  <x:si>
    <x:t xml:space="preserve">Primary largest-green wording: Put</x:t>
  </x:si>
  <x:si>
    <x:t xml:space="preserve">Primary smallest-juggling wording: Move</x:t>
  </x:si>
  <x:si>
    <x:t xml:space="preserve">Action frames balanced 8/9/8.</x:t>
  </x:si>
  <x:si>
    <x:t xml:space="preserve">Primary smallest-juggling wording: Pick up</x:t>
  </x:si>
  <x:si>
    <x:t xml:space="preserve">Primary smallest-juggling wording: Put</x:t>
  </x:si>
  <x:si>
    <x:t xml:space="preserve">Primary target on left</x:t>
  </x:si>
  <x:si>
    <x:t xml:space="preserve">Balanced side.</x:t>
  </x:si>
  <x:si>
    <x:t xml:space="preserve">Primary target on right</x:t>
  </x:si>
  <x:si>
    <x:t xml:space="preserve">Same scene and same target as primary.</x:t>
  </x:si>
  <x:si>
    <x:t xml:space="preserve">Matched green targets</x:t>
  </x:si>
  <x:si>
    <x:t xml:space="preserve">Balanced target identity.</x:t>
  </x:si>
  <x:si>
    <x:t xml:space="preserve">Matched juggling targets</x:t>
  </x:si>
  <x:si>
    <x:t xml:space="preserve">Matched rows with references</x:t>
  </x:si>
  <x:si>
    <x:t xml:space="preserve">Exact-scene linkage.</x:t>
  </x:si>
  <x:si>
    <x:t xml:space="preserve">Language robustness total</x:t>
  </x:si>
  <x:si>
    <x:t xml:space="preserve">Ten transfer + ten matched controls.</x:t>
  </x:si>
  <x:si>
    <x:t xml:space="preserve">Language transfer paraphrases</x:t>
  </x:si>
  <x:si>
    <x:t xml:space="preserve">Exact primary scenes.</x:t>
  </x:si>
  <x:si>
    <x:t xml:space="preserve">Language control paraphrases</x:t>
  </x:si>
  <x:si>
    <x:t xml:space="preserve">Exact control scenes.</x:t>
  </x:si>
  <x:si>
    <x:t xml:space="preserve">Airplane-target reasoning total</x:t>
  </x:si>
  <x:si>
    <x:t xml:space="preserve">Ten airplane-target trials.</x:t>
  </x:si>
  <x:si>
    <x:t xml:space="preserve">Airplane target as largest</x:t>
  </x:si>
  <x:si>
    <x:t xml:space="preserve">Versus sharpener.</x:t>
  </x:si>
  <x:si>
    <x:t xml:space="preserve">Airplane target as smallest</x:t>
  </x:si>
  <x:si>
    <x:t xml:space="preserve">Relative to larger comparators.</x:t>
  </x:si>
  <x:si>
    <x:t xml:space="preserve">Airplane target on left</x:t>
  </x:si>
  <x:si>
    <x:t xml:space="preserve">Airplane target on right</x:t>
  </x:si>
  <x:si>
    <x:t xml:space="preserve">Airplane-largest scenes with two objects</x:t>
  </x:si>
  <x:si>
    <x:t xml:space="preserve">Airplane plus sharpener.</x:t>
  </x:si>
  <x:si>
    <x:t xml:space="preserve">Airplane-smallest scenes with three objects</x:t>
  </x:si>
  <x:si>
    <x:t xml:space="preserve">Two larger comparators; opposite target is trained.</x:t>
  </x:si>
  <x:si>
    <x:t xml:space="preserve">Airplane counterfactual total</x:t>
  </x:si>
  <x:si>
    <x:t xml:space="preserve">One exact-scene control per airplane-target trial.</x:t>
  </x:si>
  <x:si>
    <x:t xml:space="preserve">Airplane counterfactuals targeting another object</x:t>
  </x:si>
  <x:si>
    <x:t xml:space="preserve">The airplane is never the target in the paired control.</x:t>
  </x:si>
  <x:si>
    <x:t xml:space="preserve">Airplane counterfactual smallest prompts</x:t>
  </x:si>
  <x:si>
    <x:t xml:space="preserve">Paired with the five airplane-largest trials.</x:t>
  </x:si>
  <x:si>
    <x:t xml:space="preserve">Airplane counterfactual largest prompts</x:t>
  </x:si>
  <x:si>
    <x:t xml:space="preserve">Paired with the five airplane-smallest trials.</x:t>
  </x:si>
  <x:si>
    <x:t xml:space="preserve">Airplane counterfactual rows with references</x:t>
  </x:si>
  <x:si>
    <x:t xml:space="preserve">Each control points to its adjacent exact-scene airplane-target row.</x:t>
  </x:si>
  <x:si>
    <x:t xml:space="preserve">Counterfactual target: red pencil sharpener</x:t>
  </x:si>
  <x:si>
    <x:t xml:space="preserve">Paired with airplane-largest scenes.</x:t>
  </x:si>
  <x:si>
    <x:t xml:space="preserve">Counterfactual target: juggling ball</x:t>
  </x:si>
  <x:si>
    <x:t xml:space="preserve">Trained largest cell.</x:t>
  </x:si>
  <x:si>
    <x:t xml:space="preserve">Counterfactual target: crushed Pepsi can</x:t>
  </x:si>
  <x:si>
    <x:t xml:space="preserve">Airplane block direct prompts</x:t>
  </x:si>
  <x:si>
    <x:t xml:space="preserve">Reasoning prompts only.</x:t>
  </x:si>
  <x:si>
    <x:t xml:space="preserve">Goal-already-satisfied total</x:t>
  </x:si>
  <x:si>
    <x:t xml:space="preserve">Separate diagnostic.</x:t>
  </x:si>
  <x:si>
    <x:t xml:space="preserve">No-op smallest</x:t>
  </x:si>
  <x:si>
    <x:t xml:space="preserve">Balanced comparison.</x:t>
  </x:si>
  <x:si>
    <x:t xml:space="preserve">No-op largest</x:t>
  </x:si>
  <x:si>
    <x:t xml:space="preserve">No-op target: red pencil sharpener</x:t>
  </x:si>
  <x:si>
    <x:t xml:space="preserve">Five per trained cell.</x:t>
  </x:si>
  <x:si>
    <x:t xml:space="preserve">No-op target: green block</x:t>
  </x:si>
  <x:si>
    <x:t xml:space="preserve">No-op target: juggling ball</x:t>
  </x:si>
  <x:si>
    <x:t xml:space="preserve">No-op target: crushed Pepsi can</x:t>
  </x:si>
  <x:si>
    <x:t xml:space="preserve">No-op scenes with two objects</x:t>
  </x:si>
  <x:si>
    <x:t xml:space="preserve">Varied scene complexity.</x:t>
  </x:si>
  <x:si>
    <x:t xml:space="preserve">No-op scenes with three objects</x:t>
  </x:si>
  <x:si>
    <x:t xml:space="preserve">No-op scenes with four objects</x:t>
  </x:si>
  <x:si>
    <x:t xml:space="preserve">Initial Not collected statuses</x:t>
  </x:si>
  <x:si>
    <x:t xml:space="preserve">Ready for collection.</x:t>
  </x:si>
  <x:si>
    <x:t xml:space="preserve">Minimum episode</x:t>
  </x:si>
  <x:si>
    <x:t xml:space="preserve">No gaps.</x:t>
  </x:si>
  <x:si>
    <x:t xml:space="preserve">Maximum episode</x:t>
  </x:si>
  <x:si>
    <x:t xml:space="preserve">Failure</x:t>
  </x:si>
  <x:si>
    <x:t xml:space="preserve">Failed grasping the can and during recovery, went for juggling ball. Grasping failure.</x:t>
  </x:si>
  <x:si>
    <x:t xml:space="preserve">Picked largest object.</x:t>
  </x:si>
  <x:si>
    <x:t xml:space="preserve">Picked the soda can</x:t>
  </x:si>
  <x:si>
    <x:t xml:space="preserve">Picked the pencil sharpener</x:t>
  </x:si>
  <x:si>
    <x:t xml:space="preserve">Used the gripping strategy for the pepsi can, but got the ball.</x:t>
  </x:si>
  <x:si>
    <x:t xml:space="preserve">Picked pencil sharpener</x:t>
  </x:si>
  <x:si>
    <x:t xml:space="preserve">grabbed soda can</x:t>
  </x:si>
  <x:si>
    <x:t xml:space="preserve">Picked soda can</x:t>
  </x:si>
  <x:si>
    <x:t xml:space="preserve">Placed the soda can</x:t>
  </x:si>
  <x:si>
    <x:t xml:space="preserve">Grabbed red pencil sharpener. pencil sharpener was placed in front of the robot. </x:t>
  </x:si>
  <x:si>
    <x:t xml:space="preserve">Grabbed soda can. can was placed in front of the robot</x:t>
  </x:si>
  <x:si>
    <x:t xml:space="preserve">Had a good recovery</x:t>
  </x:si>
  <x:si>
    <x:t xml:space="preserve">Grabbed soda can</x:t>
  </x:si>
  <x:si>
    <x:t xml:space="preserve">Grabbed pencil sharpener. I think the model may have learned to detect smaller visual pixel area from the middle camera. the block was oriented so it would look smaller</x:t>
  </x:si>
  <x:si>
    <x:t xml:space="preserve">Went for red pencil sharpener. Positioned closer to the camera than green block and green block oriented with the top of the block facing the camera.</x:t>
  </x:si>
  <x:si>
    <x:t xml:space="preserve">grabbed soda can. soda can near front of robot.</x:t>
  </x:si>
  <x:si>
    <x:t xml:space="preserve">Picked soda can; I think the middle camera would have more pixels for the soda can than the juggling ball, so maybe hypothesis is incorrect</x:t>
  </x:si>
  <x:si>
    <x:t xml:space="preserve">Grabbed red pencil sharpener; was placed in front of the robot.</x:t>
  </x:si>
  <x:si>
    <x:t xml:space="preserve">red pencil sharpener. pixels on middle camera prob would have green block bigger. Maybe the green block was too far at edge of the robots reaching range.</x:t>
  </x:si>
  <x:si>
    <x:t xml:space="preserve">Weird behavoir. trying to pick up object that isn't there. Didn't even grasp anything.</x:t>
  </x:si>
  <x:si>
    <x:t xml:space="preserve">red pencil sharpener. pixels on middle camera prob would have green block bigger. green block definitely in range this time.</x:t>
  </x:si>
  <x:si>
    <x:t xml:space="preserve">Went for soda can and then knocked it over and could not recover</x:t>
  </x:si>
  <x:si>
    <x:t xml:space="preserve">Grabbed red pencil sharpener.</x:t>
  </x:si>
  <x:si>
    <x:t xml:space="preserve">grabbed red pencil sharpener</x:t>
  </x:si>
  <x:si>
    <x:t xml:space="preserve">Tried to pick can, knocked it out of range and during recovery, went for juggling ball</x:t>
  </x:si>
  <x:si>
    <x:t xml:space="preserve">Picked red sharpener</x:t>
  </x:si>
  <x:si>
    <x:t xml:space="preserve">Started doing grasping strategy for pepsi can and was jittering around before eventually finding the green block and getting it.</x:t>
  </x:si>
  <x:si>
    <x:t xml:space="preserve">Tried to get the soda can, dropped it, and then during recovery, started going for ball, but didn't get it and went back trying to get pepsi can.</x:t>
  </x:si>
  <x:si>
    <x:t xml:space="preserve">Grabbed the ball with the soda can gripping strategy.</x:t>
  </x:si>
  <x:si>
    <x:t xml:space="preserve">Picked up green block</x:t>
  </x:si>
  <x:si>
    <x:t xml:space="preserve">Failed grasping. Picked the block, it went up on its side, then it flew out of the range of the robot. Reasoning succeeded</x:t>
  </x:si>
  <x:si>
    <x:t xml:space="preserve">Grabbed the green block</x:t>
  </x:si>
  <x:si>
    <x:t xml:space="preserve">picked the green block</x:t>
  </x:si>
  <x:si>
    <x:t xml:space="preserve">picked juggling ball</x:t>
  </x:si>
  <x:si>
    <x:t xml:space="preserve">picked the juggling ball</x:t>
  </x:si>
  <x:si>
    <x:t xml:space="preserve">picked pencil sharpener</x:t>
  </x:si>
  <x:si>
    <x:t xml:space="preserve">had a long hesitation before movement</x:t>
  </x:si>
  <x:si>
    <x:t xml:space="preserve">picked red pencil sharpener</x:t>
  </x:si>
  <x:si>
    <x:t xml:space="preserve">took a very long pause and then went for the red pencil sharpener. Didn't finish rollout since time ran out.</x:t>
  </x:si>
  <x:si>
    <x:t xml:space="preserve">didn't move</x:t>
  </x:si>
  <x:si>
    <x:t xml:space="preserve">picked it up like the soda can</x:t>
  </x:si>
  <x:si>
    <x:t xml:space="preserve">went for the pepsi can, but tried to grab it like the juggling ball. Couldn't recover.</x:t>
  </x:si>
  <x:si>
    <x:t xml:space="preserve">barely got the ball in 60 seconds. was trying to get is for like 45 seconds before grabbing it </x:t>
  </x:si>
  <x:si>
    <x:t xml:space="preserve">went for pepsi can with juggling ball grasping strategy. could not pick up/recover</x:t>
  </x:si>
  <x:si>
    <x:t xml:space="preserve">picked the pencil sharpener</x:t>
  </x:si>
  <x:si>
    <x:t xml:space="preserve">initially went for the pepsi can, but switched to go for the juggling ball</x:t>
  </x:si>
  <x:si>
    <x:t xml:space="preserve">robot didn't move</x:t>
  </x:si>
  <x:si>
    <x:t xml:space="preserve">picked red pencil sharpener. paused for a long time at the beginning but picked it at just the last minute.</x:t>
  </x:si>
  <x:si>
    <x:t xml:space="preserve">picked it like soda can</x:t>
  </x:si>
  <x:si>
    <x:t xml:space="preserve">went for pepsi can, knocked it out of range, and kept trying to pick it up until 60 seconds elapsed</x:t>
  </x:si>
  <x:si>
    <x:t xml:space="preserve">went for red pencil sharpener</x:t>
  </x:si>
  <x:si>
    <x:t xml:space="preserve">Succeeded on readoning, but failed to grasp the pepsi can, and knocked it out of frame. Upon recovery, picked the green block, which is technically the next largest item, however, the grene block was also close to the pepsi can</x:t>
  </x:si>
  <x:si>
    <x:t xml:space="preserve">started to pick the airplane toy like the soda can, then recovered</x:t>
  </x:si>
  <x:si>
    <x:t xml:space="preserve">picked airplane toy</x:t>
  </x:si>
  <x:si>
    <x:t xml:space="preserve">initially tried to pick airplane toy like soda can, recorded to pick normally, knocked it a bit, and by the time it finally grabbed it, time ran out. Successful reasoning, but timed out.</x:t>
  </x:si>
  <x:si>
    <x:t xml:space="preserve">picked airplane toy, but grabbed it normally</x:t>
  </x:si>
  <x:si>
    <x:t xml:space="preserve">picked airplane toy again</x:t>
  </x:si>
</x:sst>
</file>

<file path=xl/styles.xml><?xml version="1.0" encoding="utf-8"?>
<x:styleSheet xmlns:x="http://schemas.openxmlformats.org/spreadsheetml/2006/main">
  <x:numFmts count="4">
    <x:numFmt numFmtId="200" formatCode="0.00"/>
    <x:numFmt numFmtId="201" formatCode="0"/>
    <x:numFmt numFmtId="202" formatCode="0.0%"/>
    <x:numFmt numFmtId="203" formatCode="0%"/>
  </x:numFmts>
  <x:fonts count="29">
    <x:font>
      <x:sz val="11"/>
      <x:color rgb="FF000000"/>
      <x:name val="Carlito"/>
    </x:font>
    <x:font>
      <x:b/>
      <x:sz val="16"/>
      <x:color rgb="FFFFFFFF"/>
      <x:name val="Carlito"/>
    </x:font>
    <x:font/>
    <x:font>
      <x:b/>
      <x:sz val="11"/>
      <x:color theme="1"/>
      <x:name val="Carlito"/>
    </x:font>
    <x:font>
      <x:sz val="11"/>
      <x:color theme="1"/>
      <x:name val="Carlito"/>
    </x:font>
    <x:font>
      <x:b/>
      <x:sz val="11"/>
      <x:color rgb="FFFFFFFF"/>
      <x:name val="Carlito"/>
    </x:font>
    <x:font>
      <x:sz val="11"/>
      <x:color rgb="FFFFFFFF"/>
      <x:name val="Carlito"/>
    </x:font>
    <x:font>
      <x:b/>
      <x:sz val="11"/>
      <x:color rgb="FF7F0000"/>
      <x:name val="Carlito"/>
    </x:font>
    <x:font>
      <x:sz val="11"/>
      <x:color rgb="FFFFFF00"/>
      <x:name val="Carlito"/>
    </x:font>
    <x:font>
      <x:color theme="1"/>
      <x:name val="Carlito"/>
    </x:font>
    <x:font>
      <x:color rgb="FFFFFF00"/>
      <x:name val="Carlito"/>
    </x:font>
    <x:font>
      <x:b/>
      <x:sz val="18"/>
      <x:color rgb="FFFFFFFF"/>
      <x:name val="Carlito"/>
    </x:font>
    <x:font>
      <x:b/>
      <x:sz val="14"/>
      <x:color rgb="FF153B5B"/>
      <x:name val="Carlito"/>
    </x:font>
    <x:font>
      <x:i/>
      <x:sz val="11"/>
      <x:color rgb="FF1F2937"/>
      <x:name val="Carlito"/>
    </x:font>
    <x:font>
      <x:sz val="11"/>
      <x:color rgb="FF6B7280"/>
      <x:name val="Carlito"/>
    </x:font>
    <x:font>
      <x:b/>
      <x:sz val="11"/>
      <x:color rgb="FF153B5B"/>
      <x:name val="Carlito"/>
    </x:font>
    <x:font>
      <x:sz val="11"/>
      <x:color rgb="FF1F2937"/>
      <x:name val="Carlito"/>
    </x:font>
    <x:font>
      <x:b/>
      <x:sz val="13"/>
      <x:color rgb="FF153B5B"/>
      <x:name val="Carlito"/>
    </x:font>
    <x:font>
      <x:b/>
      <x:sz val="18"/>
      <x:color rgb="FF1F2937"/>
      <x:name val="Aptos"/>
    </x:font>
    <x:font>
      <x:b/>
      <x:sz val="14"/>
      <x:color rgb="FF1F2937"/>
      <x:name val="Aptos"/>
    </x:font>
    <x:font>
      <x:i/>
      <x:sz val="11"/>
      <x:color rgb="FF1F2937"/>
      <x:name val="Aptos"/>
    </x:font>
    <x:font>
      <x:sz val="11"/>
      <x:color rgb="FF1F2937"/>
      <x:name val="Aptos"/>
    </x:font>
    <x:font>
      <x:b/>
      <x:sz val="11"/>
      <x:color rgb="FF1F2937"/>
      <x:name val="Aptos"/>
    </x:font>
    <x:font>
      <x:b/>
      <x:sz val="13"/>
      <x:color rgb="FF1F2937"/>
      <x:name val="Aptos"/>
    </x:font>
    <x:font>
      <x:b/>
      <x:sz val="18"/>
      <x:color rgb="FFFFFFFF"/>
      <x:name val="Aptos Display"/>
    </x:font>
    <x:font>
      <x:b/>
      <x:sz val="14"/>
      <x:color rgb="FF153B5B"/>
      <x:name val="Aptos Display"/>
    </x:font>
    <x:font>
      <x:b/>
      <x:sz val="11"/>
      <x:color rgb="FF153B5B"/>
      <x:name val="Aptos"/>
    </x:font>
    <x:font>
      <x:b/>
      <x:sz val="11"/>
      <x:color rgb="FFFFFFFF"/>
      <x:name val="Aptos"/>
    </x:font>
    <x:font>
      <x:b/>
      <x:sz val="13"/>
      <x:color rgb="FF153B5B"/>
      <x:name val="Aptos"/>
    </x:font>
  </x:fonts>
  <x:fills count="14">
    <x:fill>
      <x:patternFill patternType="none"/>
    </x:fill>
    <x:fill>
      <x:patternFill patternType="lightGray"/>
    </x:fill>
    <x:fill>
      <x:patternFill patternType="solid">
        <x:fgColor rgb="FF1F4E78"/>
      </x:patternFill>
    </x:fill>
    <x:fill>
      <x:patternFill patternType="solid">
        <x:fgColor rgb="FFD9EAF7"/>
      </x:patternFill>
    </x:fill>
    <x:fill>
      <x:patternFill patternType="solid">
        <x:fgColor rgb="FFE4DFEC"/>
      </x:patternFill>
    </x:fill>
    <x:fill>
      <x:patternFill patternType="solid">
        <x:fgColor rgb="FF374151"/>
      </x:patternFill>
    </x:fill>
    <x:fill>
      <x:patternFill patternType="solid">
        <x:fgColor rgb="FFF4CCCC"/>
      </x:patternFill>
    </x:fill>
    <x:fill>
      <x:patternFill patternType="solid">
        <x:fgColor rgb="FFFFFF00"/>
      </x:patternFill>
    </x:fill>
    <x:fill>
      <x:patternFill patternType="solid">
        <x:fgColor rgb="FF153B5B"/>
      </x:patternFill>
    </x:fill>
    <x:fill>
      <x:patternFill patternType="solid">
        <x:fgColor rgb="FFF4B942"/>
      </x:patternFill>
    </x:fill>
    <x:fill>
      <x:patternFill patternType="solid">
        <x:fgColor rgb="FFEFF7FB"/>
      </x:patternFill>
    </x:fill>
    <x:fill>
      <x:patternFill patternType="solid">
        <x:fgColor rgb="FFFFF2CC"/>
      </x:patternFill>
    </x:fill>
    <x:fill>
      <x:patternFill patternType="solid">
        <x:fgColor rgb="FF24587A"/>
      </x:patternFill>
    </x:fill>
    <x:fill>
      <x:patternFill patternType="solid">
        <x:fgColor rgb="FFFFFFFF"/>
      </x:patternFill>
    </x:fill>
  </x:fills>
  <x:borders count="17">
    <x:border/>
    <x:border>
      <x:left style="thin">
        <x:color rgb="FFB7C9D6"/>
      </x:left>
      <x:top style="thin">
        <x:color rgb="FFB7C9D6"/>
      </x:top>
      <x:bottom style="thin">
        <x:color rgb="FFB7C9D6"/>
      </x:bottom>
    </x:border>
    <x:border>
      <x:right style="thin">
        <x:color rgb="FFB7C9D6"/>
      </x:right>
      <x:top style="thin">
        <x:color rgb="FFB7C9D6"/>
      </x:top>
      <x:bottom style="thin">
        <x:color rgb="FFB7C9D6"/>
      </x:bottom>
    </x:border>
    <x:border>
      <x:left style="thin">
        <x:color rgb="FFB7C9D6"/>
      </x:left>
      <x:right style="thin">
        <x:color rgb="FFB7C9D6"/>
      </x:right>
      <x:top style="thin">
        <x:color rgb="FFB7C9D6"/>
      </x:top>
      <x:bottom style="thin">
        <x:color rgb="FFB7C9D6"/>
      </x:bottom>
    </x:border>
    <x:border>
      <x:top style="medium">
        <x:color rgb="FF1F4E78"/>
      </x:top>
    </x:border>
    <x:border>
      <x:left style="thin">
        <x:color rgb="FF000000"/>
      </x:left>
      <x:right style="thin">
        <x:color rgb="FFD9D9D9"/>
      </x:right>
      <x:top style="medium">
        <x:color rgb="FF1F4E78"/>
      </x:top>
      <x:bottom style="thin">
        <x:color rgb="FFD9D9D9"/>
      </x:bottom>
    </x:border>
    <x:border>
      <x:left style="thin">
        <x:color rgb="FFD9D9D9"/>
      </x:left>
      <x:right style="thin">
        <x:color rgb="FFD9D9D9"/>
      </x:right>
      <x:top style="medium">
        <x:color rgb="FF1F4E78"/>
      </x:top>
      <x:bottom style="thin">
        <x:color rgb="FFD9D9D9"/>
      </x:bottom>
    </x:border>
    <x:border>
      <x:left style="thin">
        <x:color rgb="FFD9D9D9"/>
      </x:left>
      <x:right style="thin">
        <x:color rgb="FF000000"/>
      </x:right>
      <x:top style="medium">
        <x:color rgb="FF1F4E78"/>
      </x:top>
      <x:bottom style="thin">
        <x:color rgb="FFD9D9D9"/>
      </x:bottom>
    </x:border>
    <x:border>
      <x:left style="thin">
        <x:color rgb="FF000000"/>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right style="thin">
        <x:color rgb="FF000000"/>
      </x:right>
      <x:top style="thin">
        <x:color rgb="FFD9D9D9"/>
      </x:top>
      <x:bottom style="thin">
        <x:color rgb="FFD9D9D9"/>
      </x:bottom>
    </x:border>
    <x:border>
      <x:left style="medium">
        <x:color rgb="FFF4B942"/>
      </x:left>
      <x:top style="medium">
        <x:color rgb="FFF4B942"/>
      </x:top>
      <x:bottom style="medium">
        <x:color rgb="FFF4B942"/>
      </x:bottom>
    </x:border>
    <x:border>
      <x:top style="medium">
        <x:color rgb="FFF4B942"/>
      </x:top>
      <x:bottom style="medium">
        <x:color rgb="FFF4B942"/>
      </x:bottom>
    </x:border>
    <x:border>
      <x:right style="medium">
        <x:color rgb="FFF4B942"/>
      </x:right>
      <x:top style="medium">
        <x:color rgb="FFF4B942"/>
      </x:top>
      <x:bottom style="medium">
        <x:color rgb="FFF4B942"/>
      </x:bottom>
    </x:border>
    <x:border>
      <x:left style="thin">
        <x:color rgb="FFB8C7D1"/>
      </x:left>
      <x:right style="thin">
        <x:color rgb="FFB8C7D1"/>
      </x:right>
      <x:top style="thin">
        <x:color rgb="FFB8C7D1"/>
      </x:top>
      <x:bottom style="thin">
        <x:color rgb="FFB8C7D1"/>
      </x:bottom>
    </x:border>
    <x:border>
      <x:left style="medium">
        <x:color rgb="FFF4B942"/>
      </x:left>
      <x:right style="medium">
        <x:color rgb="FFF4B942"/>
      </x:right>
      <x:top style="medium">
        <x:color rgb="FFF4B942"/>
      </x:top>
      <x:bottom style="medium">
        <x:color rgb="FFF4B942"/>
      </x:bottom>
    </x:border>
    <x:border>
      <x:left style="thin">
        <x:color rgb="FFF4B942"/>
      </x:left>
      <x:right style="thin">
        <x:color rgb="FFF4B942"/>
      </x:right>
      <x:top style="thin">
        <x:color rgb="FFF4B942"/>
      </x:top>
      <x:bottom style="thin">
        <x:color rgb="FFF4B942"/>
      </x:bottom>
    </x:border>
  </x:borders>
  <x:cellStyleXfs count="1">
    <x:xf numFmtId="0" fontId="0" fillId="0" borderId="0" applyFont="1" applyAlignment="1"/>
  </x:cellStyleXfs>
  <x:cellXfs count="150">
    <x:xf numFmtId="0" fontId="0" fillId="0" borderId="0" xfId="0" applyFont="1" applyAlignment="1">
      <x:alignment vertical="bottom" wrapText="0"/>
    </x:xf>
    <x:xf numFmtId="0" fontId="1" fillId="2" borderId="1" xfId="0" applyFont="1" applyFill="1" applyBorder="1" applyAlignment="1">
      <x:alignment horizontal="center" vertical="center"/>
    </x:xf>
    <x:xf numFmtId="0" fontId="2" fillId="0" borderId="2" xfId="0" applyFont="1" applyBorder="1"/>
    <x:xf numFmtId="0" fontId="3" fillId="3" borderId="3" xfId="0" applyFont="1" applyFill="1" applyBorder="1" applyAlignment="1">
      <x:alignment vertical="top" wrapText="1"/>
    </x:xf>
    <x:xf numFmtId="0" fontId="4" fillId="0" borderId="3" xfId="0" applyFont="1" applyBorder="1" applyAlignment="1">
      <x:alignment vertical="top" wrapText="1"/>
    </x:xf>
    <x:xf numFmtId="0" fontId="5" fillId="2" borderId="0" xfId="0" applyFont="1" applyAlignment="1">
      <x:alignment horizontal="center" vertical="center" wrapText="1"/>
    </x:xf>
    <x:xf numFmtId="0" fontId="4" fillId="0" borderId="0" xfId="0" applyFont="1" applyAlignment="1">
      <x:alignment vertical="top" wrapText="1"/>
    </x:xf>
    <x:xf numFmtId="0" fontId="4" fillId="4" borderId="0" xfId="0" applyFont="1" applyFill="1" applyAlignment="1">
      <x:alignment vertical="top" wrapText="1"/>
    </x:xf>
    <x:xf numFmtId="0" fontId="4" fillId="0" borderId="4" xfId="0" applyFont="1" applyBorder="1" applyAlignment="1">
      <x:alignment horizontal="center" vertical="top" wrapText="1"/>
    </x:xf>
    <x:xf numFmtId="0" fontId="4" fillId="0" borderId="4" xfId="0" applyFont="1" applyBorder="1" applyAlignment="1">
      <x:alignment vertical="top" wrapText="1"/>
    </x:xf>
    <x:xf numFmtId="0" fontId="6" fillId="5" borderId="5" xfId="0" applyFont="1" applyFill="1" applyBorder="1" applyAlignment="1">
      <x:alignment horizontal="center" vertical="top" wrapText="1"/>
    </x:xf>
    <x:xf numFmtId="0" fontId="6" fillId="5" borderId="6" xfId="0" applyFont="1" applyBorder="1" applyAlignment="1">
      <x:alignment horizontal="center" vertical="top" wrapText="1"/>
    </x:xf>
    <x:xf numFmtId="0" fontId="6" fillId="5" borderId="6" xfId="0" applyFont="1" applyBorder="1" applyAlignment="1">
      <x:alignment vertical="top" wrapText="1"/>
    </x:xf>
    <x:xf numFmtId="0" fontId="4" fillId="5" borderId="6" xfId="0" applyFont="1" applyBorder="1" applyAlignment="1">
      <x:alignment vertical="top" wrapText="0"/>
    </x:xf>
    <x:xf numFmtId="0" fontId="4" fillId="5" borderId="7" xfId="0" applyFont="1" applyBorder="1" applyAlignment="1">
      <x:alignment vertical="top" wrapText="0"/>
    </x:xf>
    <x:xf numFmtId="0" fontId="4" fillId="0" borderId="0" xfId="0" applyFont="1" applyAlignment="1">
      <x:alignment vertical="bottom"/>
    </x:xf>
    <x:xf numFmtId="0" fontId="4" fillId="0" borderId="0" xfId="0" applyFont="1" applyAlignment="1">
      <x:alignment horizontal="center" vertical="top" wrapText="1"/>
    </x:xf>
    <x:xf numFmtId="0" fontId="7" fillId="6" borderId="5" xfId="0" applyFont="1" applyFill="1" applyBorder="1" applyAlignment="1">
      <x:alignment horizontal="center" vertical="top" wrapText="1"/>
    </x:xf>
    <x:xf numFmtId="0" fontId="7" fillId="6" borderId="6" xfId="0" applyFont="1" applyBorder="1" applyAlignment="1">
      <x:alignment horizontal="center" vertical="top" wrapText="1"/>
    </x:xf>
    <x:xf numFmtId="0" fontId="7" fillId="6" borderId="6" xfId="0" applyFont="1" applyBorder="1" applyAlignment="1">
      <x:alignment vertical="top" wrapText="1"/>
    </x:xf>
    <x:xf numFmtId="0" fontId="4" fillId="6" borderId="6" xfId="0" applyFont="1" applyBorder="1" applyAlignment="1">
      <x:alignment vertical="top" wrapText="0"/>
    </x:xf>
    <x:xf numFmtId="0" fontId="4" fillId="6" borderId="7" xfId="0" applyFont="1" applyBorder="1" applyAlignment="1">
      <x:alignment vertical="top" wrapText="0"/>
    </x:xf>
    <x:xf numFmtId="0" fontId="4" fillId="0" borderId="4" xfId="0" applyFont="1" applyBorder="1" applyAlignment="1">
      <x:alignment horizontal="center" vertical="top" wrapText="1"/>
    </x:xf>
    <x:xf numFmtId="0" fontId="4" fillId="0" borderId="4" xfId="0" applyFont="1" applyBorder="1" applyAlignment="1">
      <x:alignment vertical="top" wrapText="1"/>
    </x:xf>
    <x:xf numFmtId="0" fontId="6" fillId="5" borderId="8" xfId="0" applyFont="1" applyBorder="1" applyAlignment="1">
      <x:alignment horizontal="center" vertical="top" wrapText="1"/>
    </x:xf>
    <x:xf numFmtId="0" fontId="6" fillId="5" borderId="9" xfId="0" applyFont="1" applyBorder="1" applyAlignment="1">
      <x:alignment horizontal="center" vertical="top" wrapText="1"/>
    </x:xf>
    <x:xf numFmtId="0" fontId="6" fillId="5" borderId="9" xfId="0" applyFont="1" applyBorder="1" applyAlignment="1">
      <x:alignment vertical="top" wrapText="1"/>
    </x:xf>
    <x:xf numFmtId="0" fontId="4" fillId="5" borderId="9" xfId="0" applyFont="1" applyBorder="1" applyAlignment="1">
      <x:alignment vertical="top" wrapText="0"/>
    </x:xf>
    <x:xf numFmtId="0" fontId="4" fillId="5" borderId="10" xfId="0" applyFont="1" applyBorder="1" applyAlignment="1">
      <x:alignment vertical="top" wrapText="0"/>
    </x:xf>
    <x:xf numFmtId="0" fontId="7" fillId="6" borderId="8" xfId="0" applyFont="1" applyBorder="1" applyAlignment="1">
      <x:alignment horizontal="center" vertical="top" wrapText="1"/>
    </x:xf>
    <x:xf numFmtId="0" fontId="7" fillId="6" borderId="9" xfId="0" applyFont="1" applyBorder="1" applyAlignment="1">
      <x:alignment horizontal="center" vertical="top" wrapText="1"/>
    </x:xf>
    <x:xf numFmtId="0" fontId="7" fillId="6" borderId="9" xfId="0" applyFont="1" applyBorder="1" applyAlignment="1">
      <x:alignment vertical="top" wrapText="1"/>
    </x:xf>
    <x:xf numFmtId="0" fontId="4" fillId="6" borderId="10" xfId="0" applyFont="1" applyBorder="1" applyAlignment="1">
      <x:alignment vertical="top" wrapText="0"/>
    </x:xf>
    <x:xf numFmtId="0" fontId="4" fillId="0" borderId="0" xfId="0" applyFont="1" applyAlignment="1">
      <x:alignment horizontal="center" vertical="top" wrapText="1"/>
    </x:xf>
    <x:xf numFmtId="0" fontId="4" fillId="0" borderId="0" xfId="0" applyFont="1" applyAlignment="1">
      <x:alignment vertical="top" wrapText="1"/>
    </x:xf>
    <x:xf numFmtId="0" fontId="8" fillId="7" borderId="4" xfId="0" applyFont="1" applyFill="1" applyBorder="1" applyAlignment="1">
      <x:alignment horizontal="center" vertical="top" wrapText="1"/>
    </x:xf>
    <x:xf numFmtId="0" fontId="8" fillId="7" borderId="4" xfId="0" applyFont="1" applyBorder="1" applyAlignment="1">
      <x:alignment horizontal="center" vertical="top" wrapText="1"/>
    </x:xf>
    <x:xf numFmtId="0" fontId="8" fillId="7" borderId="4" xfId="0" applyFont="1" applyBorder="1" applyAlignment="1">
      <x:alignment vertical="top" wrapText="1"/>
    </x:xf>
    <x:xf numFmtId="0" fontId="9" fillId="0" borderId="0" xfId="0" applyFont="1"/>
    <x:xf numFmtId="0" fontId="10" fillId="7" borderId="0" xfId="0" applyFont="1"/>
    <x:xf numFmtId="0" fontId="0" fillId="8" borderId="0" xfId="0" applyNumberFormat="1" applyFont="1" applyFill="1" applyBorder="1" applyAlignment="1">
      <x:alignment vertical="bottom" wrapText="0"/>
    </x:xf>
    <x:xf numFmtId="0" fontId="11" fillId="8" borderId="0" xfId="0" applyNumberFormat="1" applyFont="1" applyFill="1" applyBorder="1" applyAlignment="1">
      <x:alignment vertical="bottom" wrapText="0"/>
    </x:xf>
    <x:xf numFmtId="0" fontId="11" fillId="8" borderId="0" xfId="0" applyNumberFormat="1" applyFont="1" applyFill="1" applyBorder="1" applyAlignment="1">
      <x:alignment horizontal="left" vertical="bottom" wrapText="0"/>
    </x:xf>
    <x:xf numFmtId="0" fontId="11" fillId="8" borderId="0" xfId="0" applyNumberFormat="1" applyFont="1" applyFill="1" applyBorder="1" applyAlignment="1">
      <x:alignment horizontal="left" vertical="center" wrapText="0"/>
    </x:xf>
    <x:xf numFmtId="0" fontId="0" fillId="9" borderId="0" xfId="0" applyNumberFormat="1" applyFont="1" applyFill="1" applyBorder="1" applyAlignment="1">
      <x:alignment vertical="bottom" wrapText="0"/>
    </x:xf>
    <x:xf numFmtId="0" fontId="12" fillId="9" borderId="0" xfId="0" applyNumberFormat="1" applyFont="1" applyFill="1" applyBorder="1" applyAlignment="1">
      <x:alignment vertical="bottom" wrapText="0"/>
    </x:xf>
    <x:xf numFmtId="0" fontId="12" fillId="9" borderId="0" xfId="0" applyNumberFormat="1" applyFont="1" applyFill="1" applyBorder="1" applyAlignment="1">
      <x:alignment horizontal="left" vertical="bottom" wrapText="0"/>
    </x:xf>
    <x:xf numFmtId="0" fontId="12" fillId="9" borderId="0" xfId="0" applyNumberFormat="1" applyFont="1" applyFill="1" applyBorder="1" applyAlignment="1">
      <x:alignment horizontal="left" vertical="center" wrapText="0"/>
    </x:xf>
    <x:xf numFmtId="0" fontId="0" fillId="10" borderId="0" xfId="0" applyNumberFormat="1" applyFont="1" applyFill="1" applyBorder="1" applyAlignment="1">
      <x:alignment vertical="bottom" wrapText="0"/>
    </x:xf>
    <x:xf numFmtId="0" fontId="13" fillId="10" borderId="0" xfId="0" applyNumberFormat="1" applyFont="1" applyFill="1" applyBorder="1" applyAlignment="1">
      <x:alignment vertical="bottom" wrapText="0"/>
    </x:xf>
    <x:xf numFmtId="0" fontId="13" fillId="10" borderId="0" xfId="0" applyNumberFormat="1" applyFont="1" applyFill="1" applyBorder="1" applyAlignment="1">
      <x:alignment vertical="center" wrapText="0"/>
    </x:xf>
    <x:xf numFmtId="0" fontId="14" fillId="10" borderId="0" xfId="0" applyNumberFormat="1" applyFont="1" applyFill="1" applyBorder="1" applyAlignment="1">
      <x:alignment vertical="bottom" wrapText="0"/>
    </x:xf>
    <x:xf numFmtId="0" fontId="14" fillId="10" borderId="0" xfId="0" applyNumberFormat="1" applyFont="1" applyFill="1" applyBorder="1" applyAlignment="1">
      <x:alignment horizontal="center" vertical="bottom" wrapText="0"/>
    </x:xf>
    <x:xf numFmtId="200" fontId="14" fillId="10" borderId="0" xfId="0" applyNumberFormat="1" applyFont="1" applyFill="1" applyBorder="1" applyAlignment="1">
      <x:alignment horizontal="center" vertical="bottom" wrapText="0"/>
    </x:xf>
    <x:xf numFmtId="0" fontId="0" fillId="11" borderId="0" xfId="0" applyNumberFormat="1" applyFont="1" applyFill="1" applyBorder="1" applyAlignment="1">
      <x:alignment vertical="bottom" wrapText="0"/>
    </x:xf>
    <x:xf numFmtId="0" fontId="15" fillId="11" borderId="0" xfId="0" applyNumberFormat="1" applyFont="1" applyFill="1" applyBorder="1" applyAlignment="1">
      <x:alignment vertical="bottom" wrapText="0"/>
    </x:xf>
    <x:xf numFmtId="0" fontId="15" fillId="11" borderId="11" xfId="0" applyNumberFormat="1" applyFont="1" applyFill="1" applyBorder="1" applyAlignment="1">
      <x:alignment vertical="bottom" wrapText="0"/>
    </x:xf>
    <x:xf numFmtId="0" fontId="15" fillId="11" borderId="12" xfId="0" applyNumberFormat="1" applyFont="1" applyFill="1" applyBorder="1" applyAlignment="1">
      <x:alignment vertical="bottom" wrapText="0"/>
    </x:xf>
    <x:xf numFmtId="0" fontId="15" fillId="11" borderId="13" xfId="0" applyNumberFormat="1" applyFont="1" applyFill="1" applyBorder="1" applyAlignment="1">
      <x:alignment vertical="bottom" wrapText="0"/>
    </x:xf>
    <x:xf numFmtId="0" fontId="15" fillId="11" borderId="11" xfId="0" applyNumberFormat="1" applyFont="1" applyFill="1" applyBorder="1" applyAlignment="1">
      <x:alignment vertical="center" wrapText="0"/>
    </x:xf>
    <x:xf numFmtId="0" fontId="15" fillId="11" borderId="12" xfId="0" applyNumberFormat="1" applyFont="1" applyFill="1" applyBorder="1" applyAlignment="1">
      <x:alignment vertical="center" wrapText="0"/>
    </x:xf>
    <x:xf numFmtId="0" fontId="15" fillId="11" borderId="13" xfId="0" applyNumberFormat="1" applyFont="1" applyFill="1" applyBorder="1" applyAlignment="1">
      <x:alignment vertical="center" wrapText="0"/>
    </x:xf>
    <x:xf numFmtId="0" fontId="0" fillId="12" borderId="0" xfId="0" applyNumberFormat="1" applyFont="1" applyFill="1" applyBorder="1" applyAlignment="1">
      <x:alignment vertical="bottom" wrapText="0"/>
    </x:xf>
    <x:xf numFmtId="0" fontId="5" fillId="12" borderId="0" xfId="0" applyNumberFormat="1" applyFont="1" applyFill="1" applyBorder="1" applyAlignment="1">
      <x:alignment vertical="bottom" wrapText="0"/>
    </x:xf>
    <x:xf numFmtId="0" fontId="5" fillId="12" borderId="14" xfId="0" applyNumberFormat="1" applyFont="1" applyFill="1" applyBorder="1" applyAlignment="1">
      <x:alignment vertical="bottom" wrapText="0"/>
    </x:xf>
    <x:xf numFmtId="0" fontId="5" fillId="12" borderId="14" xfId="0" applyNumberFormat="1" applyFont="1" applyFill="1" applyBorder="1" applyAlignment="1">
      <x:alignment vertical="bottom" wrapText="1"/>
    </x:xf>
    <x:xf numFmtId="0" fontId="5" fillId="12" borderId="14" xfId="0" applyNumberFormat="1" applyFont="1" applyFill="1" applyBorder="1" applyAlignment="1">
      <x:alignment horizontal="center" vertical="bottom" wrapText="1"/>
    </x:xf>
    <x:xf numFmtId="0" fontId="5" fillId="12" borderId="14" xfId="0" applyNumberFormat="1" applyFont="1" applyFill="1" applyBorder="1" applyAlignment="1">
      <x:alignment horizontal="center" vertical="center" wrapText="1"/>
    </x:xf>
    <x:xf numFmtId="0" fontId="0" fillId="13" borderId="0" xfId="0" applyNumberFormat="1" applyFont="1" applyFill="1" applyBorder="1" applyAlignment="1">
      <x:alignment vertical="bottom" wrapText="0"/>
    </x:xf>
    <x:xf numFmtId="0" fontId="16" fillId="13" borderId="0" xfId="0" applyNumberFormat="1" applyFont="1" applyFill="1" applyBorder="1" applyAlignment="1">
      <x:alignment vertical="bottom" wrapText="0"/>
    </x:xf>
    <x:xf numFmtId="0" fontId="16" fillId="13" borderId="14" xfId="0" applyNumberFormat="1" applyFont="1" applyFill="1" applyBorder="1" applyAlignment="1">
      <x:alignment vertical="bottom" wrapText="0"/>
    </x:xf>
    <x:xf numFmtId="0" fontId="16" fillId="13" borderId="14" xfId="0" applyNumberFormat="1" applyFont="1" applyFill="1" applyBorder="1" applyAlignment="1">
      <x:alignment vertical="center" wrapText="0"/>
    </x:xf>
    <x:xf numFmtId="0" fontId="15" fillId="13" borderId="14" xfId="0" applyNumberFormat="1" applyFont="1" applyFill="1" applyBorder="1" applyAlignment="1">
      <x:alignment vertical="center" wrapText="0"/>
    </x:xf>
    <x:xf numFmtId="201" fontId="16" fillId="13" borderId="14" xfId="0" applyNumberFormat="1" applyFont="1" applyFill="1" applyBorder="1" applyAlignment="1">
      <x:alignment vertical="center" wrapText="0"/>
    </x:xf>
    <x:xf numFmtId="202" fontId="16" fillId="13" borderId="14" xfId="0" applyNumberFormat="1" applyFont="1" applyFill="1" applyBorder="1" applyAlignment="1">
      <x:alignment vertical="center" wrapText="0"/>
    </x:xf>
    <x:xf numFmtId="203" fontId="16" fillId="13" borderId="14" xfId="0" applyNumberFormat="1" applyFont="1" applyFill="1" applyBorder="1" applyAlignment="1">
      <x:alignment vertical="center" wrapText="0"/>
    </x:xf>
    <x:xf numFmtId="201" fontId="16" fillId="13" borderId="14" xfId="0" applyNumberFormat="1" applyFont="1" applyFill="1" applyBorder="1" applyAlignment="1">
      <x:alignment horizontal="center" vertical="center" wrapText="0"/>
    </x:xf>
    <x:xf numFmtId="202" fontId="16" fillId="13" borderId="14" xfId="0" applyNumberFormat="1" applyFont="1" applyFill="1" applyBorder="1" applyAlignment="1">
      <x:alignment horizontal="center" vertical="center" wrapText="0"/>
    </x:xf>
    <x:xf numFmtId="0" fontId="16" fillId="13" borderId="14" xfId="0" applyNumberFormat="1" applyFont="1" applyFill="1" applyBorder="1" applyAlignment="1">
      <x:alignment horizontal="center" vertical="center" wrapText="0"/>
    </x:xf>
    <x:xf numFmtId="203" fontId="16" fillId="13" borderId="14" xfId="0" applyNumberFormat="1" applyFont="1" applyFill="1" applyBorder="1" applyAlignment="1">
      <x:alignment horizontal="center" vertical="center" wrapText="0"/>
    </x:xf>
    <x:xf numFmtId="202" fontId="16" fillId="11" borderId="14" xfId="0" applyNumberFormat="1" applyFont="1" applyFill="1" applyBorder="1" applyAlignment="1">
      <x:alignment horizontal="center" vertical="center" wrapText="0"/>
    </x:xf>
    <x:xf numFmtId="202" fontId="17" fillId="11" borderId="14" xfId="0" applyNumberFormat="1" applyFont="1" applyFill="1" applyBorder="1" applyAlignment="1">
      <x:alignment horizontal="center" vertical="center" wrapText="0"/>
    </x:xf>
    <x:xf numFmtId="0" fontId="5" fillId="8" borderId="0" xfId="0" applyNumberFormat="1" applyFont="1" applyFill="1" applyBorder="1" applyAlignment="1">
      <x:alignment vertical="bottom" wrapText="0"/>
    </x:xf>
    <x:xf numFmtId="0" fontId="5" fillId="8" borderId="0" xfId="0" applyNumberFormat="1" applyFont="1" applyFill="1" applyBorder="1" applyAlignment="1">
      <x:alignment vertical="center" wrapText="0"/>
    </x:xf>
    <x:xf numFmtId="0" fontId="16" fillId="11" borderId="14" xfId="0" applyNumberFormat="1" applyFont="1" applyFill="1" applyBorder="1" applyAlignment="1">
      <x:alignment vertical="center" wrapText="0"/>
    </x:xf>
    <x:xf numFmtId="201" fontId="16" fillId="11" borderId="14" xfId="0" applyNumberFormat="1" applyFont="1" applyFill="1" applyBorder="1" applyAlignment="1">
      <x:alignment vertical="center" wrapText="0"/>
    </x:xf>
    <x:xf numFmtId="201" fontId="16" fillId="11" borderId="14" xfId="0" applyNumberFormat="1" applyFont="1" applyFill="1" applyBorder="1" applyAlignment="1">
      <x:alignment horizontal="center" vertical="center" wrapText="0"/>
    </x:xf>
    <x:xf numFmtId="0" fontId="15" fillId="11" borderId="14" xfId="0" applyNumberFormat="1" applyFont="1" applyFill="1" applyBorder="1" applyAlignment="1">
      <x:alignment vertical="center" wrapText="0"/>
    </x:xf>
    <x:xf numFmtId="201" fontId="15" fillId="11" borderId="14" xfId="0" applyNumberFormat="1" applyFont="1" applyFill="1" applyBorder="1" applyAlignment="1">
      <x:alignment vertical="center" wrapText="0"/>
    </x:xf>
    <x:xf numFmtId="201" fontId="15" fillId="11" borderId="14" xfId="0" applyNumberFormat="1" applyFont="1" applyFill="1" applyBorder="1" applyAlignment="1">
      <x:alignment horizontal="center" vertical="center" wrapText="0"/>
    </x:xf>
    <x:xf numFmtId="202" fontId="15" fillId="11" borderId="14" xfId="0" applyNumberFormat="1" applyFont="1" applyFill="1" applyBorder="1" applyAlignment="1">
      <x:alignment horizontal="center" vertical="center" wrapText="0"/>
    </x:xf>
    <x:xf numFmtId="0" fontId="15" fillId="11" borderId="15" xfId="0" applyNumberFormat="1" applyFont="1" applyFill="1" applyBorder="1" applyAlignment="1">
      <x:alignment vertical="center" wrapText="0"/>
    </x:xf>
    <x:xf numFmtId="201" fontId="15" fillId="11" borderId="15" xfId="0" applyNumberFormat="1" applyFont="1" applyFill="1" applyBorder="1" applyAlignment="1">
      <x:alignment vertical="center" wrapText="0"/>
    </x:xf>
    <x:xf numFmtId="201" fontId="15" fillId="11" borderId="15" xfId="0" applyNumberFormat="1" applyFont="1" applyFill="1" applyBorder="1" applyAlignment="1">
      <x:alignment horizontal="center" vertical="center" wrapText="0"/>
    </x:xf>
    <x:xf numFmtId="202" fontId="15" fillId="11" borderId="15" xfId="0" applyNumberFormat="1" applyFont="1" applyFill="1" applyBorder="1" applyAlignment="1">
      <x:alignment horizontal="center" vertical="center" wrapText="0"/>
    </x:xf>
    <x:xf numFmtId="0" fontId="15" fillId="11" borderId="16" xfId="0" applyNumberFormat="1" applyFont="1" applyFill="1" applyBorder="1" applyAlignment="1">
      <x:alignment vertical="center" wrapText="0"/>
    </x:xf>
    <x:xf numFmtId="201" fontId="15" fillId="11" borderId="16" xfId="0" applyNumberFormat="1" applyFont="1" applyFill="1" applyBorder="1" applyAlignment="1">
      <x:alignment vertical="center" wrapText="0"/>
    </x:xf>
    <x:xf numFmtId="201" fontId="15" fillId="11" borderId="16" xfId="0" applyNumberFormat="1" applyFont="1" applyFill="1" applyBorder="1" applyAlignment="1">
      <x:alignment horizontal="center" vertical="center" wrapText="0"/>
    </x:xf>
    <x:xf numFmtId="202" fontId="15" fillId="11" borderId="16" xfId="0" applyNumberFormat="1" applyFont="1" applyFill="1" applyBorder="1" applyAlignment="1">
      <x:alignment horizontal="center" vertical="center" wrapText="0"/>
    </x:xf>
    <x:xf numFmtId="0" fontId="16" fillId="10" borderId="0" xfId="0" applyNumberFormat="1" applyFont="1" applyFill="1" applyBorder="1" applyAlignment="1">
      <x:alignment vertical="bottom" wrapText="0"/>
    </x:xf>
    <x:xf numFmtId="0" fontId="16" fillId="10" borderId="14" xfId="0" applyNumberFormat="1" applyFont="1" applyFill="1" applyBorder="1" applyAlignment="1">
      <x:alignment vertical="bottom" wrapText="0"/>
    </x:xf>
    <x:xf numFmtId="0" fontId="16" fillId="10" borderId="14" xfId="0" applyNumberFormat="1" applyFont="1" applyFill="1" applyBorder="1" applyAlignment="1">
      <x:alignment vertical="bottom" wrapText="1"/>
    </x:xf>
    <x:xf numFmtId="0" fontId="16" fillId="10" borderId="14" xfId="0" applyNumberFormat="1" applyFont="1" applyFill="1" applyBorder="1" applyAlignment="1">
      <x:alignment vertical="center" wrapText="1"/>
    </x:xf>
    <x:xf numFmtId="0" fontId="18" fillId="8" borderId="0" xfId="0" applyNumberFormat="1" applyFont="1" applyFill="1" applyBorder="1" applyAlignment="1">
      <x:alignment horizontal="left" vertical="center" wrapText="0"/>
    </x:xf>
    <x:xf numFmtId="0" fontId="19" fillId="9" borderId="0" xfId="0" applyNumberFormat="1" applyFont="1" applyFill="1" applyBorder="1" applyAlignment="1">
      <x:alignment horizontal="left" vertical="center" wrapText="0"/>
    </x:xf>
    <x:xf numFmtId="0" fontId="20" fillId="10" borderId="0" xfId="0" applyNumberFormat="1" applyFont="1" applyFill="1" applyBorder="1" applyAlignment="1">
      <x:alignment vertical="center" wrapText="0"/>
    </x:xf>
    <x:xf numFmtId="0" fontId="21" fillId="10" borderId="0" xfId="0" applyNumberFormat="1" applyFont="1" applyFill="1" applyBorder="1" applyAlignment="1">
      <x:alignment horizontal="center" vertical="bottom" wrapText="0"/>
    </x:xf>
    <x:xf numFmtId="200" fontId="21" fillId="10" borderId="0" xfId="0" applyNumberFormat="1" applyFont="1" applyFill="1" applyBorder="1" applyAlignment="1">
      <x:alignment horizontal="center" vertical="bottom" wrapText="0"/>
    </x:xf>
    <x:xf numFmtId="0" fontId="21" fillId="0" borderId="0" xfId="0" applyNumberFormat="1" applyFont="1" applyFill="1" applyBorder="1" applyAlignment="1">
      <x:alignment vertical="bottom" wrapText="0"/>
    </x:xf>
    <x:xf numFmtId="0" fontId="22" fillId="11" borderId="11" xfId="0" applyNumberFormat="1" applyFont="1" applyFill="1" applyBorder="1" applyAlignment="1">
      <x:alignment vertical="center" wrapText="0"/>
    </x:xf>
    <x:xf numFmtId="0" fontId="22" fillId="11" borderId="12" xfId="0" applyNumberFormat="1" applyFont="1" applyFill="1" applyBorder="1" applyAlignment="1">
      <x:alignment vertical="center" wrapText="0"/>
    </x:xf>
    <x:xf numFmtId="0" fontId="22" fillId="11" borderId="13" xfId="0" applyNumberFormat="1" applyFont="1" applyFill="1" applyBorder="1" applyAlignment="1">
      <x:alignment vertical="center" wrapText="0"/>
    </x:xf>
    <x:xf numFmtId="0" fontId="22" fillId="12" borderId="14" xfId="0" applyNumberFormat="1" applyFont="1" applyFill="1" applyBorder="1" applyAlignment="1">
      <x:alignment horizontal="center" vertical="center" wrapText="1"/>
    </x:xf>
    <x:xf numFmtId="0" fontId="22" fillId="13" borderId="14" xfId="0" applyNumberFormat="1" applyFont="1" applyFill="1" applyBorder="1" applyAlignment="1">
      <x:alignment vertical="center" wrapText="0"/>
    </x:xf>
    <x:xf numFmtId="201" fontId="21" fillId="13" borderId="14" xfId="0" applyNumberFormat="1" applyFont="1" applyFill="1" applyBorder="1" applyAlignment="1">
      <x:alignment horizontal="center" vertical="center" wrapText="0"/>
    </x:xf>
    <x:xf numFmtId="202" fontId="23" fillId="11" borderId="14" xfId="0" applyNumberFormat="1" applyFont="1" applyFill="1" applyBorder="1" applyAlignment="1">
      <x:alignment horizontal="center" vertical="center" wrapText="0"/>
    </x:xf>
    <x:xf numFmtId="0" fontId="21" fillId="13" borderId="14" xfId="0" applyNumberFormat="1" applyFont="1" applyFill="1" applyBorder="1" applyAlignment="1">
      <x:alignment horizontal="center" vertical="center" wrapText="0"/>
    </x:xf>
    <x:xf numFmtId="203" fontId="21" fillId="13" borderId="14" xfId="0" applyNumberFormat="1" applyFont="1" applyFill="1" applyBorder="1" applyAlignment="1">
      <x:alignment horizontal="center" vertical="center" wrapText="0"/>
    </x:xf>
    <x:xf numFmtId="0" fontId="22" fillId="8" borderId="0" xfId="0" applyNumberFormat="1" applyFont="1" applyFill="1" applyBorder="1" applyAlignment="1">
      <x:alignment vertical="center" wrapText="0"/>
    </x:xf>
    <x:xf numFmtId="0" fontId="21" fillId="13" borderId="14" xfId="0" applyNumberFormat="1" applyFont="1" applyFill="1" applyBorder="1" applyAlignment="1">
      <x:alignment vertical="center" wrapText="0"/>
    </x:xf>
    <x:xf numFmtId="201" fontId="21" fillId="13" borderId="14" xfId="0" applyNumberFormat="1" applyFont="1" applyFill="1" applyBorder="1" applyAlignment="1">
      <x:alignment vertical="center" wrapText="0"/>
    </x:xf>
    <x:xf numFmtId="202" fontId="21" fillId="13" borderId="14" xfId="0" applyNumberFormat="1" applyFont="1" applyFill="1" applyBorder="1" applyAlignment="1">
      <x:alignment horizontal="center" vertical="center" wrapText="0"/>
    </x:xf>
    <x:xf numFmtId="0" fontId="22" fillId="11" borderId="15" xfId="0" applyNumberFormat="1" applyFont="1" applyFill="1" applyBorder="1" applyAlignment="1">
      <x:alignment vertical="center" wrapText="0"/>
    </x:xf>
    <x:xf numFmtId="201" fontId="22" fillId="11" borderId="15" xfId="0" applyNumberFormat="1" applyFont="1" applyFill="1" applyBorder="1" applyAlignment="1">
      <x:alignment vertical="center" wrapText="0"/>
    </x:xf>
    <x:xf numFmtId="201" fontId="22" fillId="11" borderId="15" xfId="0" applyNumberFormat="1" applyFont="1" applyFill="1" applyBorder="1" applyAlignment="1">
      <x:alignment horizontal="center" vertical="center" wrapText="0"/>
    </x:xf>
    <x:xf numFmtId="202" fontId="22" fillId="11" borderId="15" xfId="0" applyNumberFormat="1" applyFont="1" applyFill="1" applyBorder="1" applyAlignment="1">
      <x:alignment horizontal="center" vertical="center" wrapText="0"/>
    </x:xf>
    <x:xf numFmtId="0" fontId="22" fillId="11" borderId="16" xfId="0" applyNumberFormat="1" applyFont="1" applyFill="1" applyBorder="1" applyAlignment="1">
      <x:alignment vertical="center" wrapText="0"/>
    </x:xf>
    <x:xf numFmtId="201" fontId="22" fillId="11" borderId="16" xfId="0" applyNumberFormat="1" applyFont="1" applyFill="1" applyBorder="1" applyAlignment="1">
      <x:alignment vertical="center" wrapText="0"/>
    </x:xf>
    <x:xf numFmtId="201" fontId="22" fillId="11" borderId="16" xfId="0" applyNumberFormat="1" applyFont="1" applyFill="1" applyBorder="1" applyAlignment="1">
      <x:alignment horizontal="center" vertical="center" wrapText="0"/>
    </x:xf>
    <x:xf numFmtId="202" fontId="22" fillId="11" borderId="16" xfId="0" applyNumberFormat="1" applyFont="1" applyFill="1" applyBorder="1" applyAlignment="1">
      <x:alignment horizontal="center" vertical="center" wrapText="0"/>
    </x:xf>
    <x:xf numFmtId="0" fontId="22" fillId="8" borderId="0" xfId="0" applyNumberFormat="1" applyFont="1" applyFill="1" applyBorder="1" applyAlignment="1">
      <x:alignment vertical="bottom" wrapText="0"/>
    </x:xf>
    <x:xf numFmtId="0" fontId="21" fillId="10" borderId="14" xfId="0" applyNumberFormat="1" applyFont="1" applyFill="1" applyBorder="1" applyAlignment="1">
      <x:alignment vertical="center" wrapText="1"/>
    </x:xf>
    <x:xf numFmtId="0" fontId="24" fillId="8" borderId="0" xfId="0" applyNumberFormat="1" applyFont="1" applyFill="1" applyBorder="1" applyAlignment="1">
      <x:alignment horizontal="left" vertical="center" wrapText="0"/>
    </x:xf>
    <x:xf numFmtId="0" fontId="25" fillId="9" borderId="0" xfId="0" applyNumberFormat="1" applyFont="1" applyFill="1" applyBorder="1" applyAlignment="1">
      <x:alignment horizontal="left" vertical="center" wrapText="0"/>
    </x:xf>
    <x:xf numFmtId="0" fontId="26" fillId="11" borderId="11" xfId="0" applyNumberFormat="1" applyFont="1" applyFill="1" applyBorder="1" applyAlignment="1">
      <x:alignment vertical="center" wrapText="0"/>
    </x:xf>
    <x:xf numFmtId="0" fontId="26" fillId="11" borderId="12" xfId="0" applyNumberFormat="1" applyFont="1" applyFill="1" applyBorder="1" applyAlignment="1">
      <x:alignment vertical="center" wrapText="0"/>
    </x:xf>
    <x:xf numFmtId="0" fontId="26" fillId="11" borderId="13" xfId="0" applyNumberFormat="1" applyFont="1" applyFill="1" applyBorder="1" applyAlignment="1">
      <x:alignment vertical="center" wrapText="0"/>
    </x:xf>
    <x:xf numFmtId="0" fontId="27" fillId="12" borderId="14" xfId="0" applyNumberFormat="1" applyFont="1" applyFill="1" applyBorder="1" applyAlignment="1">
      <x:alignment horizontal="center" vertical="center" wrapText="1"/>
    </x:xf>
    <x:xf numFmtId="0" fontId="27" fillId="8" borderId="0" xfId="0" applyNumberFormat="1" applyFont="1" applyFill="1" applyBorder="1" applyAlignment="1">
      <x:alignment vertical="center" wrapText="0"/>
    </x:xf>
    <x:xf numFmtId="0" fontId="27" fillId="8" borderId="0" xfId="0" applyNumberFormat="1" applyFont="1" applyFill="1" applyBorder="1" applyAlignment="1">
      <x:alignment vertical="bottom" wrapText="0"/>
    </x:xf>
    <x:xf numFmtId="0" fontId="26" fillId="11" borderId="15" xfId="0" applyNumberFormat="1" applyFont="1" applyFill="1" applyBorder="1" applyAlignment="1">
      <x:alignment vertical="center" wrapText="0"/>
    </x:xf>
    <x:xf numFmtId="201" fontId="26" fillId="11" borderId="15" xfId="0" applyNumberFormat="1" applyFont="1" applyFill="1" applyBorder="1" applyAlignment="1">
      <x:alignment vertical="center" wrapText="0"/>
    </x:xf>
    <x:xf numFmtId="201" fontId="26" fillId="11" borderId="15" xfId="0" applyNumberFormat="1" applyFont="1" applyFill="1" applyBorder="1" applyAlignment="1">
      <x:alignment horizontal="center" vertical="center" wrapText="0"/>
    </x:xf>
    <x:xf numFmtId="202" fontId="26" fillId="11" borderId="15" xfId="0" applyNumberFormat="1" applyFont="1" applyFill="1" applyBorder="1" applyAlignment="1">
      <x:alignment horizontal="center" vertical="center" wrapText="0"/>
    </x:xf>
    <x:xf numFmtId="0" fontId="26" fillId="11" borderId="16" xfId="0" applyNumberFormat="1" applyFont="1" applyFill="1" applyBorder="1" applyAlignment="1">
      <x:alignment vertical="center" wrapText="0"/>
    </x:xf>
    <x:xf numFmtId="201" fontId="26" fillId="11" borderId="16" xfId="0" applyNumberFormat="1" applyFont="1" applyFill="1" applyBorder="1" applyAlignment="1">
      <x:alignment vertical="center" wrapText="0"/>
    </x:xf>
    <x:xf numFmtId="201" fontId="26" fillId="11" borderId="16" xfId="0" applyNumberFormat="1" applyFont="1" applyFill="1" applyBorder="1" applyAlignment="1">
      <x:alignment horizontal="center" vertical="center" wrapText="0"/>
    </x:xf>
    <x:xf numFmtId="202" fontId="26" fillId="11" borderId="16" xfId="0" applyNumberFormat="1" applyFont="1" applyFill="1" applyBorder="1" applyAlignment="1">
      <x:alignment horizontal="center" vertical="center" wrapText="0"/>
    </x:xf>
    <x:xf numFmtId="0" fontId="26" fillId="13" borderId="14" xfId="0" applyNumberFormat="1" applyFont="1" applyFill="1" applyBorder="1" applyAlignment="1">
      <x:alignment vertical="center" wrapText="0"/>
    </x:xf>
    <x:xf numFmtId="202" fontId="28" fillId="11" borderId="14" xfId="0" applyNumberFormat="1" applyFont="1" applyFill="1" applyBorder="1" applyAlignment="1">
      <x:alignment horizontal="center" vertical="center" wrapText="0"/>
    </x:xf>
  </x:cellXfs>
  <x:cellStyles count="1">
    <x:cellStyle name="Normal" xfId="0"/>
  </x:cellStyles>
  <x:dxfs count="15">
    <x:dxf>
      <x:fill>
        <x:patternFill patternType="none"/>
      </x:fill>
      <x:border/>
    </x:dxf>
    <x:dxf>
      <x:fill>
        <x:patternFill>
          <x:bgColor theme="4"/>
        </x:patternFill>
      </x:fill>
      <x:border/>
    </x:dxf>
    <x:dxf>
      <x:fill>
        <x:patternFill>
          <x:bgColor rgb="FFC1E4F5"/>
        </x:patternFill>
      </x:fill>
      <x:border/>
    </x:dxf>
    <x:dxf>
      <x:fill>
        <x:patternFill>
          <x:bgColor theme="0"/>
        </x:patternFill>
      </x:fill>
      <x:border/>
    </x:dxf>
    <x:dxf>
      <x:border>
        <x:left style="thin">
          <x:color theme="4"/>
        </x:left>
        <x:right style="thin">
          <x:color theme="4"/>
        </x:right>
        <x:top style="thin">
          <x:color theme="4"/>
        </x:top>
        <x:bottom style="thin">
          <x:color theme="4"/>
        </x:bottom>
      </x:border>
    </x:dxf>
    <x:dxf>
      <x:font>
        <x:b/>
      </x:font>
      <x:fill>
        <x:patternFill>
          <x:bgColor rgb="FFD9EAD3"/>
        </x:patternFill>
      </x:fill>
      <x:border/>
    </x:dxf>
    <x:dxf>
      <x:font>
        <x:b/>
      </x:font>
      <x:fill>
        <x:patternFill>
          <x:bgColor rgb="FFF4CCCC"/>
        </x:patternFill>
      </x:fill>
      <x:border/>
    </x:dxf>
    <x:dxf>
      <x:font>
        <x:color rgb="FFFFFFFF"/>
      </x:font>
      <x:fill>
        <x:patternFill>
          <x:bgColor rgb="FF374151"/>
        </x:patternFill>
      </x:fill>
      <x:border/>
    </x:dxf>
    <x:dxf>
      <x:font>
        <x:b/>
        <x:color rgb="FF7F0000"/>
      </x:font>
      <x:fill>
        <x:patternFill>
          <x:bgColor rgb="FFF4CCCC"/>
        </x:patternFill>
      </x:fill>
      <x:border/>
    </x:dxf>
    <x:dxf>
      <x:fill>
        <x:patternFill>
          <x:bgColor rgb="FFD9EAF7"/>
        </x:patternFill>
      </x:fill>
      <x:border/>
    </x:dxf>
    <x:dxf>
      <x:fill>
        <x:patternFill>
          <x:bgColor rgb="FFE2F0D9"/>
        </x:patternFill>
      </x:fill>
      <x:border/>
    </x:dxf>
    <x:dxf>
      <x:fill>
        <x:patternFill>
          <x:bgColor rgb="FFFFF2CC"/>
        </x:patternFill>
      </x:fill>
      <x:border/>
    </x:dxf>
    <x:dxf>
      <x:fill>
        <x:patternFill>
          <x:bgColor rgb="FFDDEBF7"/>
        </x:patternFill>
      </x:fill>
      <x:border/>
    </x:dxf>
    <x:dxf>
      <x:fill>
        <x:patternFill>
          <x:bgColor rgb="FFE4DFEC"/>
        </x:patternFill>
      </x:fill>
      <x:border/>
    </x:dxf>
    <x:dxf>
      <x:fill>
        <x:patternFill>
          <x:bgColor rgb="FFFCE4D6"/>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55b86d2bece447d1" /><Relationship Type="http://schemas.openxmlformats.org/officeDocument/2006/relationships/theme" Target="/xl/theme/theme1.xml" Id="Rc9f05485eafe4d74" /><Relationship Type="http://schemas.openxmlformats.org/officeDocument/2006/relationships/sharedStrings" Target="/xl/sharedStrings.xml" Id="Rcf80495252a3468f" /><Relationship Type="http://schemas.openxmlformats.org/officeDocument/2006/relationships/worksheet" Target="/xl/worksheets/sheet1.xml" Id="R1ee4b19dbd6e4761" /><Relationship Type="http://schemas.openxmlformats.org/officeDocument/2006/relationships/worksheet" Target="/xl/worksheets/sheet2.xml" Id="Raa086d7d45a74cfa" /><Relationship Type="http://schemas.openxmlformats.org/officeDocument/2006/relationships/worksheet" Target="/xl/worksheets/sheet3.xml" Id="Rc61a614c9c8a43e0" /><Relationship Type="http://schemas.openxmlformats.org/officeDocument/2006/relationships/worksheet" Target="/xl/worksheets/sheet4.xml" Id="R3c2ff844853e4010" /><Relationship Type="http://schemas.openxmlformats.org/officeDocument/2006/relationships/worksheet" Target="/xl/worksheets/sheet5.xml" Id="R7b64d2eebdbe45b2" /><Relationship Type="http://schemas.openxmlformats.org/officeDocument/2006/relationships/worksheet" Target="/xl/worksheets/sheet6.xml" Id="Rca2242d827014cbd" /><Relationship Type="http://schemas.openxmlformats.org/officeDocument/2006/relationships/worksheet" Target="/xl/worksheets/sheet7.xml" Id="Rb91ecbec0e7342cd" /><Relationship Type="http://schemas.openxmlformats.org/officeDocument/2006/relationships/worksheet" Target="/xl/worksheets/sheet8.xml" Id="R14d052cff5084455" /><Relationship Type="http://schemas.openxmlformats.org/officeDocument/2006/relationships/worksheet" Target="/xl/worksheets/sheet9.xml" Id="R55ba42f1dc284991" /></Relationships>
</file>

<file path=xl/drawings/_rels/drawing1.xml.rels>&#65279;<?xml version="1.0" encoding="utf-8"?><Relationships xmlns="http://schemas.openxmlformats.org/package/2006/relationships"><Relationship Type="http://schemas.openxmlformats.org/officeDocument/2006/relationships/chart" Target="/xl/drawings/charts/chart1.xml" Id="Rbf404f479234440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t>Concept/compositional transfer success</a:t>
            </a:r>
          </a:p>
        </c:rich>
      </c:tx>
      <c:overlay val="0"/>
      <c:txPr>
        <a:bodyPr xmlns:a="http://schemas.openxmlformats.org/drawingml/2006/main" anchorCtr="1"/>
        <a:lstStyle xmlns:a="http://schemas.openxmlformats.org/drawingml/2006/main"/>
        <a:p xmlns:a="http://schemas.openxmlformats.org/drawingml/2006/main">
          <a:pPr>
            <a:defRPr sz="975"/>
          </a:pPr>
        </a:p>
      </c:txPr>
    </c:title>
    <c:plotArea>
      <c:barChart>
        <c:barDir val="col"/>
        <c:varyColors val="0"/>
        <c:ser>
          <c:idx val="0"/>
          <c:order val="0"/>
          <c:tx>
            <c:v>Success rate</c:v>
          </c:tx>
          <c:spPr>
            <a:solidFill xmlns:a="http://schemas.openxmlformats.org/drawingml/2006/main">
              <a:srgbClr val="24587A"/>
            </a:solidFill>
          </c:spPr>
          <c:cat>
            <c:strRef>
              <c:f>'Results Summary'!$A$7:$A$9</c:f>
              <c:strCache>
                <c:ptCount val="0"/>
              </c:strCache>
            </c:strRef>
          </c:cat>
          <c:val>
            <c:numRef>
              <c:f>'Results Summary'!$E$7:$E$9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pPr>
          </a:p>
        </c:txPr>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4</xdr:row>
      <xdr:rowOff>0</xdr:rowOff>
    </xdr:from>
    <xdr:to>
      <xdr:col>16</xdr:col>
      <xdr:colOff>0</xdr:colOff>
      <xdr:row>13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404f479234440d"/>
        </a:graphicData>
      </a:graphic>
    </xdr:graphicFrame>
    <xdr:clientData/>
  </xdr:twoCellAnchor>
</xdr:wsDr>
</file>

<file path=xl/tables/table1.xml><?xml version="1.0" encoding="utf-8"?>
<x:table xmlns:x="http://schemas.openxmlformats.org/spreadsheetml/2006/main" id="3" name="SizeEvaluationPlan" displayName="SizeEvaluationPlan" ref="A1:S151">
  <x:tableColumns count="19">
    <x:tableColumn id="1" name="Status"/>
    <x:tableColumn id="2" name="Episode"/>
    <x:tableColumn id="3" name="Prompt"/>
    <x:tableColumn id="4" name="Scene Setup"/>
    <x:tableColumn id="5" name="Reference Episode"/>
    <x:tableColumn id="6" name="Original Training Episode(s)"/>
    <x:tableColumn id="7" name="Expected Target / Action"/>
    <x:tableColumn id="8" name="Observations"/>
    <x:tableColumn id="9" name="Condition"/>
    <x:tableColumn id="10" name="Scene Family"/>
    <x:tableColumn id="11" name="Comparison"/>
    <x:tableColumn id="12" name="Tested Cell / Role"/>
    <x:tableColumn id="13" name="Target Object"/>
    <x:tableColumn id="14" name="Target Side"/>
    <x:tableColumn id="15" name="Object Count"/>
    <x:tableColumn id="16" name="Separation (cm)"/>
    <x:tableColumn id="17" name="Setup Change from Previous"/>
    <x:tableColumn id="18" name="Design Note"/>
    <x:tableColumn id="19" name="Reference Media Filename"/>
  </x:tableColumns>
  <x:tableStyleInfo name="Evaluation Plan-style" showFirstColumn="1" showLastColumn="1" showRowStripes="1" showColumnStripes="0"/>
</x:table>
</file>

<file path=xl/tables/table2.xml><?xml version="1.0" encoding="utf-8"?>
<x:table xmlns:x="http://schemas.openxmlformats.org/spreadsheetml/2006/main" id="1" name="SizeObjectInventory" displayName="SizeObjectInventory" ref="A1:F6">
  <x:tableColumns count="6">
    <x:tableColumn id="1" name="Object"/>
    <x:tableColumn id="2" name="Training Source"/>
    <x:tableColumn id="3" name="Observed Exposure"/>
    <x:tableColumn id="4" name="Size / Composition Role"/>
    <x:tableColumn id="5" name="Evaluation Role"/>
    <x:tableColumn id="6" name="Documented Relation"/>
  </x:tableColumns>
  <x:tableStyleInfo name="Object Inventory-style" showFirstColumn="1" showLastColumn="1" showRowStripes="1" showColumnStripes="0"/>
</x:table>
</file>

<file path=xl/tables/table3.xml><?xml version="1.0" encoding="utf-8"?>
<x:table xmlns:x="http://schemas.openxmlformats.org/spreadsheetml/2006/main" id="2" name="SizeTrainingAlignment" displayName="SizeTrainingAlignment" ref="A1:C14">
  <x:tableColumns count="3">
    <x:tableColumn id="1" name="Training / Evaluation Feature"/>
    <x:tableColumn id="2" name="Manifest evidence"/>
    <x:tableColumn id="3" name="Evaluation consequence"/>
  </x:tableColumns>
  <x:tableStyleInfo name="Training Alignment-style" showFirstColumn="1" showLastColumn="1" showRowStripes="1" showColumnStripes="0"/>
</x:table>
</file>

<file path=xl/tables/table4.xml><?xml version="1.0" encoding="utf-8"?>
<x:table xmlns:x="http://schemas.openxmlformats.org/spreadsheetml/2006/main" id="4" name="SizeDesignQA" displayName="SizeDesignQA" ref="A1:E55">
  <x:tableColumns count="5">
    <x:tableColumn id="1" name="Check"/>
    <x:tableColumn id="2" name="Actual"/>
    <x:tableColumn id="3" name="Expected"/>
    <x:tableColumn id="4" name="Status"/>
    <x:tableColumn id="5" name="Notes"/>
  </x:tableColumns>
  <x:tableStyleInfo name="Design QA-style" showFirstColumn="1" showLastColumn="1" showRowStripes="1" showColumnStripes="0"/>
</x:table>
</file>

<file path=xl/tables/table5.xml><?xml version="1.0" encoding="utf-8"?>
<x:table xmlns:x="http://schemas.openxmlformats.org/spreadsheetml/2006/main" id="5" name="Pi05SizeResults" displayName="Pi05SizeResults" ref="A1:S151">
  <x:tableColumns count="19">
    <x:tableColumn id="1" name="Status"/>
    <x:tableColumn id="2" name="Episode"/>
    <x:tableColumn id="3" name="Prompt"/>
    <x:tableColumn id="4" name="Scene Setup"/>
    <x:tableColumn id="5" name="Reference Episode"/>
    <x:tableColumn id="6" name="Original Training Episode(s)"/>
    <x:tableColumn id="7" name="Expected Target / Action"/>
    <x:tableColumn id="8" name="Observations"/>
    <x:tableColumn id="9" name="Condition"/>
    <x:tableColumn id="10" name="Scene Family"/>
    <x:tableColumn id="11" name="Comparison"/>
    <x:tableColumn id="12" name="Tested Cell / Role"/>
    <x:tableColumn id="13" name="Target Object"/>
    <x:tableColumn id="14" name="Target Side"/>
    <x:tableColumn id="15" name="Object Count"/>
    <x:tableColumn id="16" name="Separation (cm)"/>
    <x:tableColumn id="17" name="Setup Change from Previous"/>
    <x:tableColumn id="18" name="Design Note"/>
    <x:tableColumn id="19" name="Reference Media Filename"/>
  </x:tableColumns>
  <x:tableStyleInfo name="pi0.5 Results-style" showFirstColumn="1" showLastColumn="1" showRowStripes="1" showColumnStripes="0"/>
</x:table>
</file>

<file path=xl/tables/table6.xml><?xml version="1.0" encoding="utf-8"?>
<x:table xmlns:x="http://schemas.openxmlformats.org/spreadsheetml/2006/main" id="6" name="VLA0SizeResults" displayName="VLA0SizeResults" ref="A1:S151">
  <x:tableColumns count="19">
    <x:tableColumn id="1" name="Status"/>
    <x:tableColumn id="2" name="Episode"/>
    <x:tableColumn id="3" name="Prompt"/>
    <x:tableColumn id="4" name="Scene Setup"/>
    <x:tableColumn id="5" name="Reference Episode"/>
    <x:tableColumn id="6" name="Original Training Episode(s)"/>
    <x:tableColumn id="7" name="Expected Target / Action"/>
    <x:tableColumn id="8" name="Observations"/>
    <x:tableColumn id="9" name="Condition"/>
    <x:tableColumn id="10" name="Scene Family"/>
    <x:tableColumn id="11" name="Comparison"/>
    <x:tableColumn id="12" name="Tested Cell / Role"/>
    <x:tableColumn id="13" name="Target Object"/>
    <x:tableColumn id="14" name="Target Side"/>
    <x:tableColumn id="15" name="Object Count"/>
    <x:tableColumn id="16" name="Separation (cm)"/>
    <x:tableColumn id="17" name="Setup Change from Previous"/>
    <x:tableColumn id="18" name="Design Note"/>
    <x:tableColumn id="19" name="Reference Media Filename"/>
  </x:tableColumns>
  <x:tableStyleInfo name="VLA0 Results-style" showFirstColumn="1" showLastColumn="1" showRowStripes="1" showColumnStripes="0"/>
</x:table>
</file>

<file path=xl/tables/table7.xml><?xml version="1.0" encoding="utf-8"?>
<x:table xmlns:x="http://schemas.openxmlformats.org/spreadsheetml/2006/main" id="7" name="MolmoAct2SizeResults" displayName="MolmoAct2SizeResults" ref="A1:S151">
  <x:tableColumns count="19">
    <x:tableColumn id="1" name="Status"/>
    <x:tableColumn id="2" name="Episode"/>
    <x:tableColumn id="3" name="Prompt"/>
    <x:tableColumn id="4" name="Scene Setup"/>
    <x:tableColumn id="5" name="Reference Episode"/>
    <x:tableColumn id="6" name="Original Training Episode(s)"/>
    <x:tableColumn id="7" name="Expected Target / Action"/>
    <x:tableColumn id="8" name="Observations"/>
    <x:tableColumn id="9" name="Condition"/>
    <x:tableColumn id="10" name="Scene Family"/>
    <x:tableColumn id="11" name="Comparison"/>
    <x:tableColumn id="12" name="Tested Cell / Role"/>
    <x:tableColumn id="13" name="Target Object"/>
    <x:tableColumn id="14" name="Target Side"/>
    <x:tableColumn id="15" name="Object Count"/>
    <x:tableColumn id="16" name="Separation (cm)"/>
    <x:tableColumn id="17" name="Setup Change from Previous"/>
    <x:tableColumn id="18" name="Design Note"/>
    <x:tableColumn id="19" name="Reference Media Filename"/>
  </x:tableColumns>
  <x:tableStyleInfo name="MolmoAct2 Results-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fdd78d49fd74435" /></Relationships>
</file>

<file path=xl/worksheets/_rels/sheet2.xml.rels>&#65279;<?xml version="1.0" encoding="utf-8"?><Relationships xmlns="http://schemas.openxmlformats.org/package/2006/relationships"><Relationship Type="http://schemas.openxmlformats.org/officeDocument/2006/relationships/table" Target="/xl/tables/table2.xml" Id="R96600c0ba93641d6" /></Relationships>
</file>

<file path=xl/worksheets/_rels/sheet3.xml.rels>&#65279;<?xml version="1.0" encoding="utf-8"?><Relationships xmlns="http://schemas.openxmlformats.org/package/2006/relationships"><Relationship Type="http://schemas.openxmlformats.org/officeDocument/2006/relationships/table" Target="/xl/tables/table3.xml" Id="R2612d892102b4579" /></Relationships>
</file>

<file path=xl/worksheets/_rels/sheet5.xml.rels>&#65279;<?xml version="1.0" encoding="utf-8"?><Relationships xmlns="http://schemas.openxmlformats.org/package/2006/relationships"><Relationship Type="http://schemas.openxmlformats.org/officeDocument/2006/relationships/table" Target="/xl/tables/table4.xml" Id="Red15001370b845b4" /></Relationships>
</file>

<file path=xl/worksheets/_rels/sheet6.xml.rels>&#65279;<?xml version="1.0" encoding="utf-8"?><Relationships xmlns="http://schemas.openxmlformats.org/package/2006/relationships"><Relationship Type="http://schemas.openxmlformats.org/officeDocument/2006/relationships/table" Target="/xl/tables/table5.xml" Id="R8ef15beaaab4426e" /></Relationships>
</file>

<file path=xl/worksheets/_rels/sheet7.xml.rels>&#65279;<?xml version="1.0" encoding="utf-8"?><Relationships xmlns="http://schemas.openxmlformats.org/package/2006/relationships"><Relationship Type="http://schemas.openxmlformats.org/officeDocument/2006/relationships/table" Target="/xl/tables/table6.xml" Id="R8c8f1913c85a4249" /></Relationships>
</file>

<file path=xl/worksheets/_rels/sheet8.xml.rels>&#65279;<?xml version="1.0" encoding="utf-8"?><Relationships xmlns="http://schemas.openxmlformats.org/package/2006/relationships"><Relationship Type="http://schemas.openxmlformats.org/officeDocument/2006/relationships/table" Target="/xl/tables/table7.xml" Id="R7d38bc17a5be421d" /></Relationships>
</file>

<file path=xl/worksheets/_rels/sheet9.xml.rels>&#65279;<?xml version="1.0" encoding="utf-8"?><Relationships xmlns="http://schemas.openxmlformats.org/package/2006/relationships"><Relationship Type="http://schemas.openxmlformats.org/officeDocument/2006/relationships/drawing" Target="/xl/drawings/drawing1.xml" Id="Rd63e2252ff31486a" /></Relationships>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1" width="15" customWidth="1"/>
    <x:col min="2" max="2" width="9" customWidth="1"/>
    <x:col min="3" max="3" width="51" customWidth="1"/>
    <x:col min="4" max="4" width="78" customWidth="1"/>
    <x:col min="5" max="5" width="14" customWidth="1"/>
    <x:col min="6" max="6" width="24" customWidth="1"/>
    <x:col min="7" max="7" width="34" customWidth="1"/>
    <x:col min="8" max="8" width="42" customWidth="1"/>
    <x:col min="9" max="9" width="33" customWidth="1"/>
    <x:col min="10" max="10" width="18" customWidth="1"/>
    <x:col min="11" max="11" width="13" customWidth="1"/>
    <x:col min="12" max="12" width="50" customWidth="1"/>
    <x:col min="13" max="13" width="34" customWidth="1"/>
    <x:col min="14" max="15" width="12" customWidth="1"/>
    <x:col min="16" max="16" width="14" customWidth="1"/>
    <x:col min="17" max="17" width="64" customWidth="1"/>
    <x:col min="18" max="18" width="80" customWidth="1"/>
    <x:col min="19" max="19" width="30" customWidth="1"/>
    <x:col min="20" max="26" width="8.630000114440918" customWidth="1"/>
  </x:cols>
  <x:sheetData>
    <x:row r="1" ht="39.75" customHeight="1">
      <x:c r="A1" s="5" t="s">
        <x:v>0</x:v>
      </x:c>
      <x:c r="B1" s="5" t="s">
        <x:v>1</x:v>
      </x:c>
      <x:c r="C1" s="5" t="s">
        <x:v>2</x:v>
      </x:c>
      <x:c r="D1" s="5" t="s">
        <x:v>3</x:v>
      </x:c>
      <x:c r="E1" s="5" t="s">
        <x:v>4</x:v>
      </x:c>
      <x:c r="F1" s="5" t="s">
        <x:v>5</x:v>
      </x:c>
      <x:c r="G1" s="5" t="s">
        <x:v>6</x:v>
      </x:c>
      <x:c r="H1" s="5" t="s">
        <x:v>7</x:v>
      </x:c>
      <x:c r="I1" s="5" t="s">
        <x:v>8</x:v>
      </x:c>
      <x:c r="J1" s="5" t="s">
        <x:v>9</x:v>
      </x:c>
      <x:c r="K1" s="5" t="s">
        <x:v>10</x:v>
      </x:c>
      <x:c r="L1" s="5" t="s">
        <x:v>11</x:v>
      </x:c>
      <x:c r="M1" s="5" t="s">
        <x:v>12</x:v>
      </x:c>
      <x:c r="N1" s="5" t="s">
        <x:v>13</x:v>
      </x:c>
      <x:c r="O1" s="5" t="s">
        <x:v>14</x:v>
      </x:c>
      <x:c r="P1" s="5" t="s">
        <x:v>15</x:v>
      </x:c>
      <x:c r="Q1" s="5" t="s">
        <x:v>16</x:v>
      </x:c>
      <x:c r="R1" s="5" t="s">
        <x:v>17</x:v>
      </x:c>
      <x:c r="S1" s="5" t="s">
        <x:v>18</x:v>
      </x:c>
    </x:row>
    <x:row r="2" ht="67.5" customHeight="1">
      <x:c r="A2" s="8" t="s">
        <x:v>19</x:v>
      </x:c>
      <x:c r="B2" s="8">
        <x:v>0.0</x:v>
      </x:c>
      <x:c r="C2" s="9" t="s">
        <x:v>20</x:v>
      </x:c>
      <x:c r="D2" s="9" t="s">
        <x:v>21</x:v>
      </x:c>
      <x:c r="E2" s="8"/>
      <x:c r="F2" s="8" t="s">
        <x:v>22</x:v>
      </x:c>
      <x:c r="G2" s="8" t="s">
        <x:v>23</x:v>
      </x:c>
      <x:c r="H2" s="9"/>
      <x:c r="I2" s="8" t="s">
        <x:v>24</x:v>
      </x:c>
      <x:c r="J2" s="8" t="s">
        <x:v>25</x:v>
      </x:c>
      <x:c r="K2" s="8" t="s">
        <x:v>26</x:v>
      </x:c>
      <x:c r="L2" s="8" t="s">
        <x:v>27</x:v>
      </x:c>
      <x:c r="M2" s="8" t="s">
        <x:v>28</x:v>
      </x:c>
      <x:c r="N2" s="8" t="s">
        <x:v>29</x:v>
      </x:c>
      <x:c r="O2" s="8">
        <x:v>4.0</x:v>
      </x:c>
      <x:c r="P2" s="8">
        <x:v>8.0</x:v>
      </x:c>
      <x:c r="Q2" s="8" t="s">
        <x:v>30</x:v>
      </x:c>
      <x:c r="R2" s="9" t="s">
        <x:v>31</x:v>
      </x:c>
      <x:c r="S2" s="9"/>
    </x:row>
    <x:row r="3" ht="67.5" customHeight="1">
      <x:c r="A3" s="8" t="s">
        <x:v>19</x:v>
      </x:c>
      <x:c r="B3" s="8">
        <x:v>1.0</x:v>
      </x:c>
      <x:c r="C3" s="9" t="s">
        <x:v>32</x:v>
      </x:c>
      <x:c r="D3" s="9" t="s">
        <x:v>33</x:v>
      </x:c>
      <x:c r="E3" s="8"/>
      <x:c r="F3" s="8" t="s">
        <x:v>34</x:v>
      </x:c>
      <x:c r="G3" s="8" t="s">
        <x:v>35</x:v>
      </x:c>
      <x:c r="H3" s="9"/>
      <x:c r="I3" s="8" t="s">
        <x:v>24</x:v>
      </x:c>
      <x:c r="J3" s="8" t="s">
        <x:v>36</x:v>
      </x:c>
      <x:c r="K3" s="8" t="s">
        <x:v>26</x:v>
      </x:c>
      <x:c r="L3" s="8" t="s">
        <x:v>37</x:v>
      </x:c>
      <x:c r="M3" s="8" t="s">
        <x:v>38</x:v>
      </x:c>
      <x:c r="N3" s="8" t="s">
        <x:v>39</x:v>
      </x:c>
      <x:c r="O3" s="8">
        <x:v>3.0</x:v>
      </x:c>
      <x:c r="P3" s="8">
        <x:v>12.0</x:v>
      </x:c>
      <x:c r="Q3" s="8" t="s">
        <x:v>30</x:v>
      </x:c>
      <x:c r="R3" s="9" t="s">
        <x:v>40</x:v>
      </x:c>
      <x:c r="S3" s="9"/>
    </x:row>
    <x:row r="4" ht="67.5" customHeight="1">
      <x:c r="A4" s="8" t="s">
        <x:v>19</x:v>
      </x:c>
      <x:c r="B4" s="8">
        <x:v>2.0</x:v>
      </x:c>
      <x:c r="C4" s="9" t="s">
        <x:v>41</x:v>
      </x:c>
      <x:c r="D4" s="9" t="s">
        <x:v>42</x:v>
      </x:c>
      <x:c r="E4" s="8"/>
      <x:c r="F4" s="8" t="s">
        <x:v>43</x:v>
      </x:c>
      <x:c r="G4" s="8" t="s">
        <x:v>44</x:v>
      </x:c>
      <x:c r="H4" s="9"/>
      <x:c r="I4" s="8" t="s">
        <x:v>24</x:v>
      </x:c>
      <x:c r="J4" s="8" t="s">
        <x:v>45</x:v>
      </x:c>
      <x:c r="K4" s="8" t="s">
        <x:v>46</x:v>
      </x:c>
      <x:c r="L4" s="8" t="s">
        <x:v>47</x:v>
      </x:c>
      <x:c r="M4" s="8" t="s">
        <x:v>48</x:v>
      </x:c>
      <x:c r="N4" s="8" t="s">
        <x:v>29</x:v>
      </x:c>
      <x:c r="O4" s="8">
        <x:v>3.0</x:v>
      </x:c>
      <x:c r="P4" s="8">
        <x:v>16.0</x:v>
      </x:c>
      <x:c r="Q4" s="8" t="s">
        <x:v>30</x:v>
      </x:c>
      <x:c r="R4" s="9" t="s">
        <x:v>49</x:v>
      </x:c>
      <x:c r="S4" s="9"/>
    </x:row>
    <x:row r="5" ht="67.5" customHeight="1">
      <x:c r="A5" s="8" t="s">
        <x:v>19</x:v>
      </x:c>
      <x:c r="B5" s="8">
        <x:v>3.0</x:v>
      </x:c>
      <x:c r="C5" s="9" t="s">
        <x:v>50</x:v>
      </x:c>
      <x:c r="D5" s="9" t="s">
        <x:v>51</x:v>
      </x:c>
      <x:c r="E5" s="8"/>
      <x:c r="F5" s="8" t="s">
        <x:v>52</x:v>
      </x:c>
      <x:c r="G5" s="8" t="s">
        <x:v>53</x:v>
      </x:c>
      <x:c r="H5" s="9"/>
      <x:c r="I5" s="8" t="s">
        <x:v>24</x:v>
      </x:c>
      <x:c r="J5" s="8" t="s">
        <x:v>54</x:v>
      </x:c>
      <x:c r="K5" s="8" t="s">
        <x:v>46</x:v>
      </x:c>
      <x:c r="L5" s="8" t="s">
        <x:v>55</x:v>
      </x:c>
      <x:c r="M5" s="8" t="s">
        <x:v>56</x:v>
      </x:c>
      <x:c r="N5" s="8" t="s">
        <x:v>39</x:v>
      </x:c>
      <x:c r="O5" s="8">
        <x:v>4.0</x:v>
      </x:c>
      <x:c r="P5" s="8">
        <x:v>8.0</x:v>
      </x:c>
      <x:c r="Q5" s="8" t="s">
        <x:v>30</x:v>
      </x:c>
      <x:c r="R5" s="9" t="s">
        <x:v>57</x:v>
      </x:c>
      <x:c r="S5" s="9"/>
    </x:row>
    <x:row r="6" ht="67.5" customHeight="1">
      <x:c r="A6" s="8" t="s">
        <x:v>19</x:v>
      </x:c>
      <x:c r="B6" s="8">
        <x:v>4.0</x:v>
      </x:c>
      <x:c r="C6" s="9" t="s">
        <x:v>32</x:v>
      </x:c>
      <x:c r="D6" s="9" t="s">
        <x:v>58</x:v>
      </x:c>
      <x:c r="E6" s="8"/>
      <x:c r="F6" s="8" t="s">
        <x:v>59</x:v>
      </x:c>
      <x:c r="G6" s="8" t="s">
        <x:v>23</x:v>
      </x:c>
      <x:c r="H6" s="9"/>
      <x:c r="I6" s="8" t="s">
        <x:v>24</x:v>
      </x:c>
      <x:c r="J6" s="8" t="s">
        <x:v>60</x:v>
      </x:c>
      <x:c r="K6" s="8" t="s">
        <x:v>26</x:v>
      </x:c>
      <x:c r="L6" s="8" t="s">
        <x:v>27</x:v>
      </x:c>
      <x:c r="M6" s="8" t="s">
        <x:v>28</x:v>
      </x:c>
      <x:c r="N6" s="8" t="s">
        <x:v>39</x:v>
      </x:c>
      <x:c r="O6" s="8">
        <x:v>4.0</x:v>
      </x:c>
      <x:c r="P6" s="8">
        <x:v>12.0</x:v>
      </x:c>
      <x:c r="Q6" s="8" t="s">
        <x:v>30</x:v>
      </x:c>
      <x:c r="R6" s="9" t="s">
        <x:v>61</x:v>
      </x:c>
      <x:c r="S6" s="9"/>
    </x:row>
    <x:row r="7" ht="67.5" customHeight="1">
      <x:c r="A7" s="8" t="s">
        <x:v>19</x:v>
      </x:c>
      <x:c r="B7" s="8">
        <x:v>5.0</x:v>
      </x:c>
      <x:c r="C7" s="9" t="s">
        <x:v>32</x:v>
      </x:c>
      <x:c r="D7" s="9" t="s">
        <x:v>62</x:v>
      </x:c>
      <x:c r="E7" s="8"/>
      <x:c r="F7" s="8" t="s">
        <x:v>63</x:v>
      </x:c>
      <x:c r="G7" s="8" t="s">
        <x:v>35</x:v>
      </x:c>
      <x:c r="H7" s="9"/>
      <x:c r="I7" s="8" t="s">
        <x:v>24</x:v>
      </x:c>
      <x:c r="J7" s="8" t="s">
        <x:v>64</x:v>
      </x:c>
      <x:c r="K7" s="8" t="s">
        <x:v>26</x:v>
      </x:c>
      <x:c r="L7" s="8" t="s">
        <x:v>37</x:v>
      </x:c>
      <x:c r="M7" s="8" t="s">
        <x:v>38</x:v>
      </x:c>
      <x:c r="N7" s="8" t="s">
        <x:v>29</x:v>
      </x:c>
      <x:c r="O7" s="8">
        <x:v>3.0</x:v>
      </x:c>
      <x:c r="P7" s="8">
        <x:v>16.0</x:v>
      </x:c>
      <x:c r="Q7" s="8" t="s">
        <x:v>30</x:v>
      </x:c>
      <x:c r="R7" s="9" t="s">
        <x:v>65</x:v>
      </x:c>
      <x:c r="S7" s="9"/>
    </x:row>
    <x:row r="8" ht="67.5" customHeight="1">
      <x:c r="A8" s="8" t="s">
        <x:v>19</x:v>
      </x:c>
      <x:c r="B8" s="8">
        <x:v>6.0</x:v>
      </x:c>
      <x:c r="C8" s="9" t="s">
        <x:v>50</x:v>
      </x:c>
      <x:c r="D8" s="9" t="s">
        <x:v>66</x:v>
      </x:c>
      <x:c r="E8" s="8"/>
      <x:c r="F8" s="8" t="s">
        <x:v>67</x:v>
      </x:c>
      <x:c r="G8" s="8" t="s">
        <x:v>44</x:v>
      </x:c>
      <x:c r="H8" s="9"/>
      <x:c r="I8" s="8" t="s">
        <x:v>24</x:v>
      </x:c>
      <x:c r="J8" s="8" t="s">
        <x:v>68</x:v>
      </x:c>
      <x:c r="K8" s="8" t="s">
        <x:v>46</x:v>
      </x:c>
      <x:c r="L8" s="8" t="s">
        <x:v>47</x:v>
      </x:c>
      <x:c r="M8" s="8" t="s">
        <x:v>48</x:v>
      </x:c>
      <x:c r="N8" s="8" t="s">
        <x:v>39</x:v>
      </x:c>
      <x:c r="O8" s="8">
        <x:v>3.0</x:v>
      </x:c>
      <x:c r="P8" s="8">
        <x:v>8.0</x:v>
      </x:c>
      <x:c r="Q8" s="8" t="s">
        <x:v>30</x:v>
      </x:c>
      <x:c r="R8" s="9" t="s">
        <x:v>69</x:v>
      </x:c>
      <x:c r="S8" s="9"/>
    </x:row>
    <x:row r="9" ht="67.5" customHeight="1">
      <x:c r="A9" s="8" t="s">
        <x:v>19</x:v>
      </x:c>
      <x:c r="B9" s="8">
        <x:v>7.0</x:v>
      </x:c>
      <x:c r="C9" s="9" t="s">
        <x:v>70</x:v>
      </x:c>
      <x:c r="D9" s="9" t="s">
        <x:v>71</x:v>
      </x:c>
      <x:c r="E9" s="8"/>
      <x:c r="F9" s="8" t="s">
        <x:v>72</x:v>
      </x:c>
      <x:c r="G9" s="8" t="s">
        <x:v>53</x:v>
      </x:c>
      <x:c r="H9" s="9"/>
      <x:c r="I9" s="8" t="s">
        <x:v>24</x:v>
      </x:c>
      <x:c r="J9" s="8" t="s">
        <x:v>73</x:v>
      </x:c>
      <x:c r="K9" s="8" t="s">
        <x:v>46</x:v>
      </x:c>
      <x:c r="L9" s="8" t="s">
        <x:v>55</x:v>
      </x:c>
      <x:c r="M9" s="8" t="s">
        <x:v>56</x:v>
      </x:c>
      <x:c r="N9" s="8" t="s">
        <x:v>29</x:v>
      </x:c>
      <x:c r="O9" s="8">
        <x:v>4.0</x:v>
      </x:c>
      <x:c r="P9" s="8">
        <x:v>12.0</x:v>
      </x:c>
      <x:c r="Q9" s="8" t="s">
        <x:v>30</x:v>
      </x:c>
      <x:c r="R9" s="9" t="s">
        <x:v>74</x:v>
      </x:c>
      <x:c r="S9" s="9"/>
    </x:row>
    <x:row r="10" ht="67.5" customHeight="1">
      <x:c r="A10" s="8" t="s">
        <x:v>19</x:v>
      </x:c>
      <x:c r="B10" s="8">
        <x:v>8.0</x:v>
      </x:c>
      <x:c r="C10" s="9" t="s">
        <x:v>20</x:v>
      </x:c>
      <x:c r="D10" s="9" t="s">
        <x:v>75</x:v>
      </x:c>
      <x:c r="E10" s="8"/>
      <x:c r="F10" s="8" t="s">
        <x:v>76</x:v>
      </x:c>
      <x:c r="G10" s="8" t="s">
        <x:v>23</x:v>
      </x:c>
      <x:c r="H10" s="9"/>
      <x:c r="I10" s="8" t="s">
        <x:v>24</x:v>
      </x:c>
      <x:c r="J10" s="8" t="s">
        <x:v>77</x:v>
      </x:c>
      <x:c r="K10" s="8" t="s">
        <x:v>26</x:v>
      </x:c>
      <x:c r="L10" s="8" t="s">
        <x:v>27</x:v>
      </x:c>
      <x:c r="M10" s="8" t="s">
        <x:v>28</x:v>
      </x:c>
      <x:c r="N10" s="8" t="s">
        <x:v>29</x:v>
      </x:c>
      <x:c r="O10" s="8">
        <x:v>4.0</x:v>
      </x:c>
      <x:c r="P10" s="8">
        <x:v>16.0</x:v>
      </x:c>
      <x:c r="Q10" s="8" t="s">
        <x:v>30</x:v>
      </x:c>
      <x:c r="R10" s="9" t="s">
        <x:v>78</x:v>
      </x:c>
      <x:c r="S10" s="9"/>
    </x:row>
    <x:row r="11" ht="67.5" customHeight="1">
      <x:c r="A11" s="8" t="s">
        <x:v>19</x:v>
      </x:c>
      <x:c r="B11" s="8">
        <x:v>9.0</x:v>
      </x:c>
      <x:c r="C11" s="9" t="s">
        <x:v>79</x:v>
      </x:c>
      <x:c r="D11" s="9" t="s">
        <x:v>80</x:v>
      </x:c>
      <x:c r="E11" s="8"/>
      <x:c r="F11" s="8" t="s">
        <x:v>81</x:v>
      </x:c>
      <x:c r="G11" s="8" t="s">
        <x:v>35</x:v>
      </x:c>
      <x:c r="H11" s="9"/>
      <x:c r="I11" s="8" t="s">
        <x:v>24</x:v>
      </x:c>
      <x:c r="J11" s="8" t="s">
        <x:v>82</x:v>
      </x:c>
      <x:c r="K11" s="8" t="s">
        <x:v>26</x:v>
      </x:c>
      <x:c r="L11" s="8" t="s">
        <x:v>37</x:v>
      </x:c>
      <x:c r="M11" s="8" t="s">
        <x:v>38</x:v>
      </x:c>
      <x:c r="N11" s="8" t="s">
        <x:v>39</x:v>
      </x:c>
      <x:c r="O11" s="8">
        <x:v>3.0</x:v>
      </x:c>
      <x:c r="P11" s="8">
        <x:v>8.0</x:v>
      </x:c>
      <x:c r="Q11" s="8" t="s">
        <x:v>30</x:v>
      </x:c>
      <x:c r="R11" s="9" t="s">
        <x:v>83</x:v>
      </x:c>
      <x:c r="S11" s="9"/>
    </x:row>
    <x:row r="12" ht="67.5" customHeight="1">
      <x:c r="A12" s="8" t="s">
        <x:v>19</x:v>
      </x:c>
      <x:c r="B12" s="8">
        <x:v>10.0</x:v>
      </x:c>
      <x:c r="C12" s="9" t="s">
        <x:v>50</x:v>
      </x:c>
      <x:c r="D12" s="9" t="s">
        <x:v>84</x:v>
      </x:c>
      <x:c r="E12" s="8"/>
      <x:c r="F12" s="8" t="s">
        <x:v>85</x:v>
      </x:c>
      <x:c r="G12" s="8" t="s">
        <x:v>44</x:v>
      </x:c>
      <x:c r="H12" s="9"/>
      <x:c r="I12" s="8" t="s">
        <x:v>24</x:v>
      </x:c>
      <x:c r="J12" s="8" t="s">
        <x:v>86</x:v>
      </x:c>
      <x:c r="K12" s="8" t="s">
        <x:v>46</x:v>
      </x:c>
      <x:c r="L12" s="8" t="s">
        <x:v>47</x:v>
      </x:c>
      <x:c r="M12" s="8" t="s">
        <x:v>48</x:v>
      </x:c>
      <x:c r="N12" s="8" t="s">
        <x:v>29</x:v>
      </x:c>
      <x:c r="O12" s="8">
        <x:v>3.0</x:v>
      </x:c>
      <x:c r="P12" s="8">
        <x:v>12.0</x:v>
      </x:c>
      <x:c r="Q12" s="8" t="s">
        <x:v>30</x:v>
      </x:c>
      <x:c r="R12" s="9" t="s">
        <x:v>87</x:v>
      </x:c>
      <x:c r="S12" s="9"/>
    </x:row>
    <x:row r="13" ht="67.5" customHeight="1">
      <x:c r="A13" s="8" t="s">
        <x:v>19</x:v>
      </x:c>
      <x:c r="B13" s="8">
        <x:v>11.0</x:v>
      </x:c>
      <x:c r="C13" s="9" t="s">
        <x:v>41</x:v>
      </x:c>
      <x:c r="D13" s="9" t="s">
        <x:v>88</x:v>
      </x:c>
      <x:c r="E13" s="8"/>
      <x:c r="F13" s="8" t="s">
        <x:v>89</x:v>
      </x:c>
      <x:c r="G13" s="8" t="s">
        <x:v>53</x:v>
      </x:c>
      <x:c r="H13" s="9"/>
      <x:c r="I13" s="8" t="s">
        <x:v>24</x:v>
      </x:c>
      <x:c r="J13" s="8" t="s">
        <x:v>90</x:v>
      </x:c>
      <x:c r="K13" s="8" t="s">
        <x:v>46</x:v>
      </x:c>
      <x:c r="L13" s="8" t="s">
        <x:v>55</x:v>
      </x:c>
      <x:c r="M13" s="8" t="s">
        <x:v>56</x:v>
      </x:c>
      <x:c r="N13" s="8" t="s">
        <x:v>39</x:v>
      </x:c>
      <x:c r="O13" s="8">
        <x:v>4.0</x:v>
      </x:c>
      <x:c r="P13" s="8">
        <x:v>16.0</x:v>
      </x:c>
      <x:c r="Q13" s="8" t="s">
        <x:v>30</x:v>
      </x:c>
      <x:c r="R13" s="9" t="s">
        <x:v>91</x:v>
      </x:c>
      <x:c r="S13" s="9"/>
    </x:row>
    <x:row r="14" ht="67.5" customHeight="1">
      <x:c r="A14" s="8" t="s">
        <x:v>19</x:v>
      </x:c>
      <x:c r="B14" s="8">
        <x:v>12.0</x:v>
      </x:c>
      <x:c r="C14" s="9" t="s">
        <x:v>79</x:v>
      </x:c>
      <x:c r="D14" s="9" t="s">
        <x:v>92</x:v>
      </x:c>
      <x:c r="E14" s="8"/>
      <x:c r="F14" s="8" t="s">
        <x:v>93</x:v>
      </x:c>
      <x:c r="G14" s="8" t="s">
        <x:v>23</x:v>
      </x:c>
      <x:c r="H14" s="9"/>
      <x:c r="I14" s="8" t="s">
        <x:v>24</x:v>
      </x:c>
      <x:c r="J14" s="8" t="s">
        <x:v>94</x:v>
      </x:c>
      <x:c r="K14" s="8" t="s">
        <x:v>26</x:v>
      </x:c>
      <x:c r="L14" s="8" t="s">
        <x:v>27</x:v>
      </x:c>
      <x:c r="M14" s="8" t="s">
        <x:v>28</x:v>
      </x:c>
      <x:c r="N14" s="8" t="s">
        <x:v>39</x:v>
      </x:c>
      <x:c r="O14" s="8">
        <x:v>4.0</x:v>
      </x:c>
      <x:c r="P14" s="8">
        <x:v>8.0</x:v>
      </x:c>
      <x:c r="Q14" s="8" t="s">
        <x:v>30</x:v>
      </x:c>
      <x:c r="R14" s="9" t="s">
        <x:v>95</x:v>
      </x:c>
      <x:c r="S14" s="9"/>
    </x:row>
    <x:row r="15" ht="67.5" customHeight="1">
      <x:c r="A15" s="8" t="s">
        <x:v>19</x:v>
      </x:c>
      <x:c r="B15" s="8">
        <x:v>13.0</x:v>
      </x:c>
      <x:c r="C15" s="9" t="s">
        <x:v>79</x:v>
      </x:c>
      <x:c r="D15" s="9" t="s">
        <x:v>96</x:v>
      </x:c>
      <x:c r="E15" s="8"/>
      <x:c r="F15" s="8" t="s">
        <x:v>97</x:v>
      </x:c>
      <x:c r="G15" s="8" t="s">
        <x:v>35</x:v>
      </x:c>
      <x:c r="H15" s="9"/>
      <x:c r="I15" s="8" t="s">
        <x:v>24</x:v>
      </x:c>
      <x:c r="J15" s="8" t="s">
        <x:v>98</x:v>
      </x:c>
      <x:c r="K15" s="8" t="s">
        <x:v>26</x:v>
      </x:c>
      <x:c r="L15" s="8" t="s">
        <x:v>37</x:v>
      </x:c>
      <x:c r="M15" s="8" t="s">
        <x:v>38</x:v>
      </x:c>
      <x:c r="N15" s="8" t="s">
        <x:v>29</x:v>
      </x:c>
      <x:c r="O15" s="8">
        <x:v>3.0</x:v>
      </x:c>
      <x:c r="P15" s="8">
        <x:v>12.0</x:v>
      </x:c>
      <x:c r="Q15" s="8" t="s">
        <x:v>30</x:v>
      </x:c>
      <x:c r="R15" s="9" t="s">
        <x:v>99</x:v>
      </x:c>
      <x:c r="S15" s="9"/>
    </x:row>
    <x:row r="16" ht="67.5" customHeight="1">
      <x:c r="A16" s="8" t="s">
        <x:v>19</x:v>
      </x:c>
      <x:c r="B16" s="8">
        <x:v>14.0</x:v>
      </x:c>
      <x:c r="C16" s="9" t="s">
        <x:v>50</x:v>
      </x:c>
      <x:c r="D16" s="9" t="s">
        <x:v>100</x:v>
      </x:c>
      <x:c r="E16" s="8"/>
      <x:c r="F16" s="8" t="s">
        <x:v>101</x:v>
      </x:c>
      <x:c r="G16" s="8" t="s">
        <x:v>44</x:v>
      </x:c>
      <x:c r="H16" s="9"/>
      <x:c r="I16" s="8" t="s">
        <x:v>24</x:v>
      </x:c>
      <x:c r="J16" s="8" t="s">
        <x:v>102</x:v>
      </x:c>
      <x:c r="K16" s="8" t="s">
        <x:v>46</x:v>
      </x:c>
      <x:c r="L16" s="8" t="s">
        <x:v>47</x:v>
      </x:c>
      <x:c r="M16" s="8" t="s">
        <x:v>48</x:v>
      </x:c>
      <x:c r="N16" s="8" t="s">
        <x:v>39</x:v>
      </x:c>
      <x:c r="O16" s="8">
        <x:v>3.0</x:v>
      </x:c>
      <x:c r="P16" s="8">
        <x:v>16.0</x:v>
      </x:c>
      <x:c r="Q16" s="8" t="s">
        <x:v>30</x:v>
      </x:c>
      <x:c r="R16" s="9" t="s">
        <x:v>103</x:v>
      </x:c>
      <x:c r="S16" s="9"/>
    </x:row>
    <x:row r="17" ht="67.5" customHeight="1">
      <x:c r="A17" s="8" t="s">
        <x:v>19</x:v>
      </x:c>
      <x:c r="B17" s="8">
        <x:v>15.0</x:v>
      </x:c>
      <x:c r="C17" s="9" t="s">
        <x:v>41</x:v>
      </x:c>
      <x:c r="D17" s="9" t="s">
        <x:v>104</x:v>
      </x:c>
      <x:c r="E17" s="8"/>
      <x:c r="F17" s="8" t="s">
        <x:v>105</x:v>
      </x:c>
      <x:c r="G17" s="8" t="s">
        <x:v>53</x:v>
      </x:c>
      <x:c r="H17" s="9"/>
      <x:c r="I17" s="8" t="s">
        <x:v>24</x:v>
      </x:c>
      <x:c r="J17" s="8" t="s">
        <x:v>106</x:v>
      </x:c>
      <x:c r="K17" s="8" t="s">
        <x:v>46</x:v>
      </x:c>
      <x:c r="L17" s="8" t="s">
        <x:v>55</x:v>
      </x:c>
      <x:c r="M17" s="8" t="s">
        <x:v>56</x:v>
      </x:c>
      <x:c r="N17" s="8" t="s">
        <x:v>29</x:v>
      </x:c>
      <x:c r="O17" s="8">
        <x:v>4.0</x:v>
      </x:c>
      <x:c r="P17" s="8">
        <x:v>8.0</x:v>
      </x:c>
      <x:c r="Q17" s="8" t="s">
        <x:v>30</x:v>
      </x:c>
      <x:c r="R17" s="9" t="s">
        <x:v>107</x:v>
      </x:c>
      <x:c r="S17" s="9"/>
    </x:row>
    <x:row r="18" ht="67.5" customHeight="1">
      <x:c r="A18" s="8" t="s">
        <x:v>19</x:v>
      </x:c>
      <x:c r="B18" s="8">
        <x:v>16.0</x:v>
      </x:c>
      <x:c r="C18" s="9" t="s">
        <x:v>20</x:v>
      </x:c>
      <x:c r="D18" s="9" t="s">
        <x:v>108</x:v>
      </x:c>
      <x:c r="E18" s="8"/>
      <x:c r="F18" s="8" t="s">
        <x:v>109</x:v>
      </x:c>
      <x:c r="G18" s="8" t="s">
        <x:v>23</x:v>
      </x:c>
      <x:c r="H18" s="9"/>
      <x:c r="I18" s="8" t="s">
        <x:v>24</x:v>
      </x:c>
      <x:c r="J18" s="8" t="s">
        <x:v>110</x:v>
      </x:c>
      <x:c r="K18" s="8" t="s">
        <x:v>26</x:v>
      </x:c>
      <x:c r="L18" s="8" t="s">
        <x:v>27</x:v>
      </x:c>
      <x:c r="M18" s="8" t="s">
        <x:v>28</x:v>
      </x:c>
      <x:c r="N18" s="8" t="s">
        <x:v>29</x:v>
      </x:c>
      <x:c r="O18" s="8">
        <x:v>4.0</x:v>
      </x:c>
      <x:c r="P18" s="8">
        <x:v>12.0</x:v>
      </x:c>
      <x:c r="Q18" s="8" t="s">
        <x:v>30</x:v>
      </x:c>
      <x:c r="R18" s="9" t="s">
        <x:v>111</x:v>
      </x:c>
      <x:c r="S18" s="9"/>
    </x:row>
    <x:row r="19" ht="67.5" customHeight="1">
      <x:c r="A19" s="8" t="s">
        <x:v>19</x:v>
      </x:c>
      <x:c r="B19" s="8">
        <x:v>17.0</x:v>
      </x:c>
      <x:c r="C19" s="9" t="s">
        <x:v>79</x:v>
      </x:c>
      <x:c r="D19" s="9" t="s">
        <x:v>112</x:v>
      </x:c>
      <x:c r="E19" s="8"/>
      <x:c r="F19" s="8" t="s">
        <x:v>113</x:v>
      </x:c>
      <x:c r="G19" s="8" t="s">
        <x:v>35</x:v>
      </x:c>
      <x:c r="H19" s="9"/>
      <x:c r="I19" s="8" t="s">
        <x:v>24</x:v>
      </x:c>
      <x:c r="J19" s="8" t="s">
        <x:v>114</x:v>
      </x:c>
      <x:c r="K19" s="8" t="s">
        <x:v>26</x:v>
      </x:c>
      <x:c r="L19" s="8" t="s">
        <x:v>37</x:v>
      </x:c>
      <x:c r="M19" s="8" t="s">
        <x:v>38</x:v>
      </x:c>
      <x:c r="N19" s="8" t="s">
        <x:v>39</x:v>
      </x:c>
      <x:c r="O19" s="8">
        <x:v>3.0</x:v>
      </x:c>
      <x:c r="P19" s="8">
        <x:v>16.0</x:v>
      </x:c>
      <x:c r="Q19" s="8" t="s">
        <x:v>30</x:v>
      </x:c>
      <x:c r="R19" s="9" t="s">
        <x:v>115</x:v>
      </x:c>
      <x:c r="S19" s="9"/>
    </x:row>
    <x:row r="20" ht="67.5" customHeight="1">
      <x:c r="A20" s="8" t="s">
        <x:v>19</x:v>
      </x:c>
      <x:c r="B20" s="8">
        <x:v>18.0</x:v>
      </x:c>
      <x:c r="C20" s="9" t="s">
        <x:v>41</x:v>
      </x:c>
      <x:c r="D20" s="9" t="s">
        <x:v>116</x:v>
      </x:c>
      <x:c r="E20" s="8"/>
      <x:c r="F20" s="8" t="s">
        <x:v>117</x:v>
      </x:c>
      <x:c r="G20" s="8" t="s">
        <x:v>44</x:v>
      </x:c>
      <x:c r="H20" s="9"/>
      <x:c r="I20" s="8" t="s">
        <x:v>24</x:v>
      </x:c>
      <x:c r="J20" s="8" t="s">
        <x:v>118</x:v>
      </x:c>
      <x:c r="K20" s="8" t="s">
        <x:v>46</x:v>
      </x:c>
      <x:c r="L20" s="8" t="s">
        <x:v>47</x:v>
      </x:c>
      <x:c r="M20" s="8" t="s">
        <x:v>48</x:v>
      </x:c>
      <x:c r="N20" s="8" t="s">
        <x:v>29</x:v>
      </x:c>
      <x:c r="O20" s="8">
        <x:v>3.0</x:v>
      </x:c>
      <x:c r="P20" s="8">
        <x:v>8.0</x:v>
      </x:c>
      <x:c r="Q20" s="8" t="s">
        <x:v>30</x:v>
      </x:c>
      <x:c r="R20" s="9" t="s">
        <x:v>119</x:v>
      </x:c>
      <x:c r="S20" s="9"/>
    </x:row>
    <x:row r="21" ht="67.5" customHeight="1">
      <x:c r="A21" s="8" t="s">
        <x:v>19</x:v>
      </x:c>
      <x:c r="B21" s="8">
        <x:v>19.0</x:v>
      </x:c>
      <x:c r="C21" s="9" t="s">
        <x:v>70</x:v>
      </x:c>
      <x:c r="D21" s="9" t="s">
        <x:v>120</x:v>
      </x:c>
      <x:c r="E21" s="8"/>
      <x:c r="F21" s="8" t="s">
        <x:v>121</x:v>
      </x:c>
      <x:c r="G21" s="8" t="s">
        <x:v>53</x:v>
      </x:c>
      <x:c r="H21" s="9"/>
      <x:c r="I21" s="8" t="s">
        <x:v>24</x:v>
      </x:c>
      <x:c r="J21" s="8" t="s">
        <x:v>122</x:v>
      </x:c>
      <x:c r="K21" s="8" t="s">
        <x:v>46</x:v>
      </x:c>
      <x:c r="L21" s="8" t="s">
        <x:v>55</x:v>
      </x:c>
      <x:c r="M21" s="8" t="s">
        <x:v>56</x:v>
      </x:c>
      <x:c r="N21" s="8" t="s">
        <x:v>39</x:v>
      </x:c>
      <x:c r="O21" s="8">
        <x:v>4.0</x:v>
      </x:c>
      <x:c r="P21" s="8">
        <x:v>12.0</x:v>
      </x:c>
      <x:c r="Q21" s="8" t="s">
        <x:v>30</x:v>
      </x:c>
      <x:c r="R21" s="9" t="s">
        <x:v>123</x:v>
      </x:c>
      <x:c r="S21" s="9"/>
    </x:row>
    <x:row r="22" ht="67.5" customHeight="1">
      <x:c r="A22" s="8" t="s">
        <x:v>19</x:v>
      </x:c>
      <x:c r="B22" s="8">
        <x:v>20.0</x:v>
      </x:c>
      <x:c r="C22" s="9" t="s">
        <x:v>70</x:v>
      </x:c>
      <x:c r="D22" s="9" t="s">
        <x:v>124</x:v>
      </x:c>
      <x:c r="E22" s="8"/>
      <x:c r="F22" s="8" t="s">
        <x:v>125</x:v>
      </x:c>
      <x:c r="G22" s="8" t="s">
        <x:v>35</x:v>
      </x:c>
      <x:c r="H22" s="9"/>
      <x:c r="I22" s="8" t="s">
        <x:v>126</x:v>
      </x:c>
      <x:c r="J22" s="8" t="s">
        <x:v>127</x:v>
      </x:c>
      <x:c r="K22" s="8" t="s">
        <x:v>46</x:v>
      </x:c>
      <x:c r="L22" s="8" t="s">
        <x:v>128</x:v>
      </x:c>
      <x:c r="M22" s="8" t="s">
        <x:v>38</x:v>
      </x:c>
      <x:c r="N22" s="8" t="s">
        <x:v>29</x:v>
      </x:c>
      <x:c r="O22" s="8">
        <x:v>2.0</x:v>
      </x:c>
      <x:c r="P22" s="8">
        <x:v>8.0</x:v>
      </x:c>
      <x:c r="Q22" s="8" t="s">
        <x:v>129</x:v>
      </x:c>
      <x:c r="R22" s="9" t="s">
        <x:v>130</x:v>
      </x:c>
      <x:c r="S22" s="9"/>
    </x:row>
    <x:row r="23" ht="67.5" customHeight="1">
      <x:c r="A23" s="16" t="s">
        <x:v>19</x:v>
      </x:c>
      <x:c r="B23" s="16">
        <x:v>21.0</x:v>
      </x:c>
      <x:c r="C23" s="6" t="s">
        <x:v>131</x:v>
      </x:c>
      <x:c r="D23" s="6" t="s">
        <x:v>124</x:v>
      </x:c>
      <x:c r="E23" s="16">
        <x:v>20.0</x:v>
      </x:c>
      <x:c r="F23" s="16" t="s">
        <x:v>132</x:v>
      </x:c>
      <x:c r="G23" s="16" t="s">
        <x:v>35</x:v>
      </x:c>
      <x:c r="H23" s="6"/>
      <x:c r="I23" s="16" t="s">
        <x:v>133</x:v>
      </x:c>
      <x:c r="J23" s="16" t="s">
        <x:v>127</x:v>
      </x:c>
      <x:c r="K23" s="16" t="s">
        <x:v>134</x:v>
      </x:c>
      <x:c r="L23" s="16" t="s">
        <x:v>135</x:v>
      </x:c>
      <x:c r="M23" s="16" t="s">
        <x:v>38</x:v>
      </x:c>
      <x:c r="N23" s="16" t="s">
        <x:v>29</x:v>
      </x:c>
      <x:c r="O23" s="16">
        <x:v>2.0</x:v>
      </x:c>
      <x:c r="P23" s="16">
        <x:v>8.0</x:v>
      </x:c>
      <x:c r="Q23" s="16" t="s">
        <x:v>136</x:v>
      </x:c>
      <x:c r="R23" s="6" t="s">
        <x:v>137</x:v>
      </x:c>
      <x:c r="S23" s="6"/>
    </x:row>
    <x:row r="24" ht="67.5" customHeight="1">
      <x:c r="A24" s="16" t="s">
        <x:v>19</x:v>
      </x:c>
      <x:c r="B24" s="16">
        <x:v>22.0</x:v>
      </x:c>
      <x:c r="C24" s="6" t="s">
        <x:v>138</x:v>
      </x:c>
      <x:c r="D24" s="6" t="s">
        <x:v>124</x:v>
      </x:c>
      <x:c r="E24" s="16">
        <x:v>20.0</x:v>
      </x:c>
      <x:c r="F24" s="16" t="s">
        <x:v>125</x:v>
      </x:c>
      <x:c r="G24" s="16" t="s">
        <x:v>35</x:v>
      </x:c>
      <x:c r="H24" s="6"/>
      <x:c r="I24" s="16" t="s">
        <x:v>139</x:v>
      </x:c>
      <x:c r="J24" s="16" t="s">
        <x:v>127</x:v>
      </x:c>
      <x:c r="K24" s="16" t="s">
        <x:v>46</x:v>
      </x:c>
      <x:c r="L24" s="16" t="s">
        <x:v>140</x:v>
      </x:c>
      <x:c r="M24" s="16" t="s">
        <x:v>38</x:v>
      </x:c>
      <x:c r="N24" s="16" t="s">
        <x:v>29</x:v>
      </x:c>
      <x:c r="O24" s="16">
        <x:v>2.0</x:v>
      </x:c>
      <x:c r="P24" s="16">
        <x:v>8.0</x:v>
      </x:c>
      <x:c r="Q24" s="16" t="s">
        <x:v>141</x:v>
      </x:c>
      <x:c r="R24" s="6" t="s">
        <x:v>142</x:v>
      </x:c>
      <x:c r="S24" s="6"/>
    </x:row>
    <x:row r="25" ht="67.5" customHeight="1">
      <x:c r="A25" s="16" t="s">
        <x:v>19</x:v>
      </x:c>
      <x:c r="B25" s="16">
        <x:v>23.0</x:v>
      </x:c>
      <x:c r="C25" s="6" t="s">
        <x:v>143</x:v>
      </x:c>
      <x:c r="D25" s="6" t="s">
        <x:v>124</x:v>
      </x:c>
      <x:c r="E25" s="16">
        <x:v>21.0</x:v>
      </x:c>
      <x:c r="F25" s="16" t="s">
        <x:v>132</x:v>
      </x:c>
      <x:c r="G25" s="16" t="s">
        <x:v>35</x:v>
      </x:c>
      <x:c r="H25" s="6"/>
      <x:c r="I25" s="16" t="s">
        <x:v>139</x:v>
      </x:c>
      <x:c r="J25" s="16" t="s">
        <x:v>127</x:v>
      </x:c>
      <x:c r="K25" s="16" t="s">
        <x:v>134</x:v>
      </x:c>
      <x:c r="L25" s="16" t="s">
        <x:v>144</x:v>
      </x:c>
      <x:c r="M25" s="16" t="s">
        <x:v>38</x:v>
      </x:c>
      <x:c r="N25" s="16" t="s">
        <x:v>29</x:v>
      </x:c>
      <x:c r="O25" s="16">
        <x:v>2.0</x:v>
      </x:c>
      <x:c r="P25" s="16">
        <x:v>8.0</x:v>
      </x:c>
      <x:c r="Q25" s="16" t="s">
        <x:v>145</x:v>
      </x:c>
      <x:c r="R25" s="6" t="s">
        <x:v>146</x:v>
      </x:c>
      <x:c r="S25" s="6"/>
    </x:row>
    <x:row r="26" ht="67.5" customHeight="1">
      <x:c r="A26" s="8" t="s">
        <x:v>19</x:v>
      </x:c>
      <x:c r="B26" s="8">
        <x:v>24.0</x:v>
      </x:c>
      <x:c r="C26" s="9" t="s">
        <x:v>32</x:v>
      </x:c>
      <x:c r="D26" s="9" t="s">
        <x:v>147</x:v>
      </x:c>
      <x:c r="E26" s="8"/>
      <x:c r="F26" s="8" t="s">
        <x:v>148</x:v>
      </x:c>
      <x:c r="G26" s="8" t="s">
        <x:v>44</x:v>
      </x:c>
      <x:c r="H26" s="9"/>
      <x:c r="I26" s="8" t="s">
        <x:v>126</x:v>
      </x:c>
      <x:c r="J26" s="8" t="s">
        <x:v>149</x:v>
      </x:c>
      <x:c r="K26" s="8" t="s">
        <x:v>26</x:v>
      </x:c>
      <x:c r="L26" s="8" t="s">
        <x:v>150</x:v>
      </x:c>
      <x:c r="M26" s="8" t="s">
        <x:v>48</x:v>
      </x:c>
      <x:c r="N26" s="8" t="s">
        <x:v>39</x:v>
      </x:c>
      <x:c r="O26" s="8">
        <x:v>2.0</x:v>
      </x:c>
      <x:c r="P26" s="8">
        <x:v>12.0</x:v>
      </x:c>
      <x:c r="Q26" s="8" t="s">
        <x:v>129</x:v>
      </x:c>
      <x:c r="R26" s="9" t="s">
        <x:v>151</x:v>
      </x:c>
      <x:c r="S26" s="9"/>
    </x:row>
    <x:row r="27" ht="67.5" customHeight="1">
      <x:c r="A27" s="16" t="s">
        <x:v>19</x:v>
      </x:c>
      <x:c r="B27" s="16">
        <x:v>25.0</x:v>
      </x:c>
      <x:c r="C27" s="6" t="s">
        <x:v>152</x:v>
      </x:c>
      <x:c r="D27" s="6" t="s">
        <x:v>147</x:v>
      </x:c>
      <x:c r="E27" s="16">
        <x:v>24.0</x:v>
      </x:c>
      <x:c r="F27" s="16" t="s">
        <x:v>153</x:v>
      </x:c>
      <x:c r="G27" s="16" t="s">
        <x:v>44</x:v>
      </x:c>
      <x:c r="H27" s="6"/>
      <x:c r="I27" s="16" t="s">
        <x:v>133</x:v>
      </x:c>
      <x:c r="J27" s="16" t="s">
        <x:v>149</x:v>
      </x:c>
      <x:c r="K27" s="16" t="s">
        <x:v>134</x:v>
      </x:c>
      <x:c r="L27" s="16" t="s">
        <x:v>135</x:v>
      </x:c>
      <x:c r="M27" s="16" t="s">
        <x:v>48</x:v>
      </x:c>
      <x:c r="N27" s="16" t="s">
        <x:v>39</x:v>
      </x:c>
      <x:c r="O27" s="16">
        <x:v>2.0</x:v>
      </x:c>
      <x:c r="P27" s="16">
        <x:v>12.0</x:v>
      </x:c>
      <x:c r="Q27" s="16" t="s">
        <x:v>136</x:v>
      </x:c>
      <x:c r="R27" s="6" t="s">
        <x:v>154</x:v>
      </x:c>
      <x:c r="S27" s="6"/>
    </x:row>
    <x:row r="28" ht="67.5" customHeight="1">
      <x:c r="A28" s="16" t="s">
        <x:v>19</x:v>
      </x:c>
      <x:c r="B28" s="16">
        <x:v>26.0</x:v>
      </x:c>
      <x:c r="C28" s="6" t="s">
        <x:v>155</x:v>
      </x:c>
      <x:c r="D28" s="6" t="s">
        <x:v>147</x:v>
      </x:c>
      <x:c r="E28" s="16">
        <x:v>24.0</x:v>
      </x:c>
      <x:c r="F28" s="16" t="s">
        <x:v>148</x:v>
      </x:c>
      <x:c r="G28" s="16" t="s">
        <x:v>44</x:v>
      </x:c>
      <x:c r="H28" s="6"/>
      <x:c r="I28" s="16" t="s">
        <x:v>139</x:v>
      </x:c>
      <x:c r="J28" s="16" t="s">
        <x:v>149</x:v>
      </x:c>
      <x:c r="K28" s="16" t="s">
        <x:v>26</x:v>
      </x:c>
      <x:c r="L28" s="16" t="s">
        <x:v>140</x:v>
      </x:c>
      <x:c r="M28" s="16" t="s">
        <x:v>48</x:v>
      </x:c>
      <x:c r="N28" s="16" t="s">
        <x:v>39</x:v>
      </x:c>
      <x:c r="O28" s="16">
        <x:v>2.0</x:v>
      </x:c>
      <x:c r="P28" s="16">
        <x:v>12.0</x:v>
      </x:c>
      <x:c r="Q28" s="16" t="s">
        <x:v>141</x:v>
      </x:c>
      <x:c r="R28" s="6" t="s">
        <x:v>142</x:v>
      </x:c>
      <x:c r="S28" s="6"/>
    </x:row>
    <x:row r="29" ht="67.5" customHeight="1">
      <x:c r="A29" s="16" t="s">
        <x:v>19</x:v>
      </x:c>
      <x:c r="B29" s="16">
        <x:v>27.0</x:v>
      </x:c>
      <x:c r="C29" s="6" t="s">
        <x:v>156</x:v>
      </x:c>
      <x:c r="D29" s="6" t="s">
        <x:v>147</x:v>
      </x:c>
      <x:c r="E29" s="16">
        <x:v>25.0</x:v>
      </x:c>
      <x:c r="F29" s="16" t="s">
        <x:v>153</x:v>
      </x:c>
      <x:c r="G29" s="16" t="s">
        <x:v>44</x:v>
      </x:c>
      <x:c r="H29" s="6"/>
      <x:c r="I29" s="16" t="s">
        <x:v>139</x:v>
      </x:c>
      <x:c r="J29" s="16" t="s">
        <x:v>149</x:v>
      </x:c>
      <x:c r="K29" s="16" t="s">
        <x:v>134</x:v>
      </x:c>
      <x:c r="L29" s="16" t="s">
        <x:v>144</x:v>
      </x:c>
      <x:c r="M29" s="16" t="s">
        <x:v>48</x:v>
      </x:c>
      <x:c r="N29" s="16" t="s">
        <x:v>39</x:v>
      </x:c>
      <x:c r="O29" s="16">
        <x:v>2.0</x:v>
      </x:c>
      <x:c r="P29" s="16">
        <x:v>12.0</x:v>
      </x:c>
      <x:c r="Q29" s="16" t="s">
        <x:v>145</x:v>
      </x:c>
      <x:c r="R29" s="6" t="s">
        <x:v>146</x:v>
      </x:c>
      <x:c r="S29" s="6"/>
    </x:row>
    <x:row r="30" ht="67.5" customHeight="1">
      <x:c r="A30" s="8" t="s">
        <x:v>19</x:v>
      </x:c>
      <x:c r="B30" s="8">
        <x:v>28.0</x:v>
      </x:c>
      <x:c r="C30" s="9" t="s">
        <x:v>50</x:v>
      </x:c>
      <x:c r="D30" s="9" t="s">
        <x:v>157</x:v>
      </x:c>
      <x:c r="E30" s="8"/>
      <x:c r="F30" s="8" t="s">
        <x:v>158</x:v>
      </x:c>
      <x:c r="G30" s="8" t="s">
        <x:v>35</x:v>
      </x:c>
      <x:c r="H30" s="9"/>
      <x:c r="I30" s="8" t="s">
        <x:v>126</x:v>
      </x:c>
      <x:c r="J30" s="8" t="s">
        <x:v>159</x:v>
      </x:c>
      <x:c r="K30" s="8" t="s">
        <x:v>46</x:v>
      </x:c>
      <x:c r="L30" s="8" t="s">
        <x:v>160</x:v>
      </x:c>
      <x:c r="M30" s="8" t="s">
        <x:v>38</x:v>
      </x:c>
      <x:c r="N30" s="8" t="s">
        <x:v>39</x:v>
      </x:c>
      <x:c r="O30" s="8">
        <x:v>2.0</x:v>
      </x:c>
      <x:c r="P30" s="8">
        <x:v>12.0</x:v>
      </x:c>
      <x:c r="Q30" s="8" t="s">
        <x:v>129</x:v>
      </x:c>
      <x:c r="R30" s="9" t="s">
        <x:v>161</x:v>
      </x:c>
      <x:c r="S30" s="9"/>
    </x:row>
    <x:row r="31" ht="67.5" customHeight="1">
      <x:c r="A31" s="16" t="s">
        <x:v>19</x:v>
      </x:c>
      <x:c r="B31" s="16">
        <x:v>29.0</x:v>
      </x:c>
      <x:c r="C31" s="6" t="s">
        <x:v>162</x:v>
      </x:c>
      <x:c r="D31" s="6" t="s">
        <x:v>157</x:v>
      </x:c>
      <x:c r="E31" s="16">
        <x:v>28.0</x:v>
      </x:c>
      <x:c r="F31" s="16" t="s">
        <x:v>163</x:v>
      </x:c>
      <x:c r="G31" s="16" t="s">
        <x:v>35</x:v>
      </x:c>
      <x:c r="H31" s="6"/>
      <x:c r="I31" s="16" t="s">
        <x:v>133</x:v>
      </x:c>
      <x:c r="J31" s="16" t="s">
        <x:v>159</x:v>
      </x:c>
      <x:c r="K31" s="16" t="s">
        <x:v>134</x:v>
      </x:c>
      <x:c r="L31" s="16" t="s">
        <x:v>135</x:v>
      </x:c>
      <x:c r="M31" s="16" t="s">
        <x:v>38</x:v>
      </x:c>
      <x:c r="N31" s="16" t="s">
        <x:v>39</x:v>
      </x:c>
      <x:c r="O31" s="16">
        <x:v>2.0</x:v>
      </x:c>
      <x:c r="P31" s="16">
        <x:v>12.0</x:v>
      </x:c>
      <x:c r="Q31" s="16" t="s">
        <x:v>136</x:v>
      </x:c>
      <x:c r="R31" s="6" t="s">
        <x:v>164</x:v>
      </x:c>
      <x:c r="S31" s="6"/>
    </x:row>
    <x:row r="32" ht="67.5" customHeight="1">
      <x:c r="A32" s="16" t="s">
        <x:v>19</x:v>
      </x:c>
      <x:c r="B32" s="16">
        <x:v>30.0</x:v>
      </x:c>
      <x:c r="C32" s="6" t="s">
        <x:v>165</x:v>
      </x:c>
      <x:c r="D32" s="6" t="s">
        <x:v>157</x:v>
      </x:c>
      <x:c r="E32" s="16">
        <x:v>28.0</x:v>
      </x:c>
      <x:c r="F32" s="16" t="s">
        <x:v>158</x:v>
      </x:c>
      <x:c r="G32" s="16" t="s">
        <x:v>35</x:v>
      </x:c>
      <x:c r="H32" s="6"/>
      <x:c r="I32" s="16" t="s">
        <x:v>139</x:v>
      </x:c>
      <x:c r="J32" s="16" t="s">
        <x:v>159</x:v>
      </x:c>
      <x:c r="K32" s="16" t="s">
        <x:v>46</x:v>
      </x:c>
      <x:c r="L32" s="16" t="s">
        <x:v>140</x:v>
      </x:c>
      <x:c r="M32" s="16" t="s">
        <x:v>38</x:v>
      </x:c>
      <x:c r="N32" s="16" t="s">
        <x:v>39</x:v>
      </x:c>
      <x:c r="O32" s="16">
        <x:v>2.0</x:v>
      </x:c>
      <x:c r="P32" s="16">
        <x:v>12.0</x:v>
      </x:c>
      <x:c r="Q32" s="16" t="s">
        <x:v>141</x:v>
      </x:c>
      <x:c r="R32" s="6" t="s">
        <x:v>142</x:v>
      </x:c>
      <x:c r="S32" s="6"/>
    </x:row>
    <x:row r="33" ht="67.5" customHeight="1">
      <x:c r="A33" s="16" t="s">
        <x:v>19</x:v>
      </x:c>
      <x:c r="B33" s="16">
        <x:v>31.0</x:v>
      </x:c>
      <x:c r="C33" s="6" t="s">
        <x:v>166</x:v>
      </x:c>
      <x:c r="D33" s="6" t="s">
        <x:v>157</x:v>
      </x:c>
      <x:c r="E33" s="16">
        <x:v>29.0</x:v>
      </x:c>
      <x:c r="F33" s="16" t="s">
        <x:v>163</x:v>
      </x:c>
      <x:c r="G33" s="16" t="s">
        <x:v>35</x:v>
      </x:c>
      <x:c r="H33" s="6"/>
      <x:c r="I33" s="16" t="s">
        <x:v>139</x:v>
      </x:c>
      <x:c r="J33" s="16" t="s">
        <x:v>159</x:v>
      </x:c>
      <x:c r="K33" s="16" t="s">
        <x:v>134</x:v>
      </x:c>
      <x:c r="L33" s="16" t="s">
        <x:v>144</x:v>
      </x:c>
      <x:c r="M33" s="16" t="s">
        <x:v>38</x:v>
      </x:c>
      <x:c r="N33" s="16" t="s">
        <x:v>39</x:v>
      </x:c>
      <x:c r="O33" s="16">
        <x:v>2.0</x:v>
      </x:c>
      <x:c r="P33" s="16">
        <x:v>12.0</x:v>
      </x:c>
      <x:c r="Q33" s="16" t="s">
        <x:v>145</x:v>
      </x:c>
      <x:c r="R33" s="6" t="s">
        <x:v>146</x:v>
      </x:c>
      <x:c r="S33" s="6"/>
    </x:row>
    <x:row r="34" ht="67.5" customHeight="1">
      <x:c r="A34" s="8" t="s">
        <x:v>19</x:v>
      </x:c>
      <x:c r="B34" s="8">
        <x:v>32.0</x:v>
      </x:c>
      <x:c r="C34" s="9" t="s">
        <x:v>79</x:v>
      </x:c>
      <x:c r="D34" s="9" t="s">
        <x:v>167</x:v>
      </x:c>
      <x:c r="E34" s="8"/>
      <x:c r="F34" s="8" t="s">
        <x:v>168</x:v>
      </x:c>
      <x:c r="G34" s="8" t="s">
        <x:v>44</x:v>
      </x:c>
      <x:c r="H34" s="9"/>
      <x:c r="I34" s="8" t="s">
        <x:v>126</x:v>
      </x:c>
      <x:c r="J34" s="8" t="s">
        <x:v>169</x:v>
      </x:c>
      <x:c r="K34" s="8" t="s">
        <x:v>26</x:v>
      </x:c>
      <x:c r="L34" s="8" t="s">
        <x:v>170</x:v>
      </x:c>
      <x:c r="M34" s="8" t="s">
        <x:v>48</x:v>
      </x:c>
      <x:c r="N34" s="8" t="s">
        <x:v>29</x:v>
      </x:c>
      <x:c r="O34" s="8">
        <x:v>2.0</x:v>
      </x:c>
      <x:c r="P34" s="8">
        <x:v>16.0</x:v>
      </x:c>
      <x:c r="Q34" s="8" t="s">
        <x:v>129</x:v>
      </x:c>
      <x:c r="R34" s="9" t="s">
        <x:v>171</x:v>
      </x:c>
      <x:c r="S34" s="9"/>
    </x:row>
    <x:row r="35" ht="67.5" customHeight="1">
      <x:c r="A35" s="16" t="s">
        <x:v>19</x:v>
      </x:c>
      <x:c r="B35" s="16">
        <x:v>33.0</x:v>
      </x:c>
      <x:c r="C35" s="6" t="s">
        <x:v>172</x:v>
      </x:c>
      <x:c r="D35" s="6" t="s">
        <x:v>167</x:v>
      </x:c>
      <x:c r="E35" s="16">
        <x:v>32.0</x:v>
      </x:c>
      <x:c r="F35" s="16" t="s">
        <x:v>173</x:v>
      </x:c>
      <x:c r="G35" s="16" t="s">
        <x:v>44</x:v>
      </x:c>
      <x:c r="H35" s="6"/>
      <x:c r="I35" s="16" t="s">
        <x:v>133</x:v>
      </x:c>
      <x:c r="J35" s="16" t="s">
        <x:v>169</x:v>
      </x:c>
      <x:c r="K35" s="16" t="s">
        <x:v>134</x:v>
      </x:c>
      <x:c r="L35" s="16" t="s">
        <x:v>135</x:v>
      </x:c>
      <x:c r="M35" s="16" t="s">
        <x:v>48</x:v>
      </x:c>
      <x:c r="N35" s="16" t="s">
        <x:v>29</x:v>
      </x:c>
      <x:c r="O35" s="16">
        <x:v>2.0</x:v>
      </x:c>
      <x:c r="P35" s="16">
        <x:v>16.0</x:v>
      </x:c>
      <x:c r="Q35" s="16" t="s">
        <x:v>136</x:v>
      </x:c>
      <x:c r="R35" s="6" t="s">
        <x:v>174</x:v>
      </x:c>
      <x:c r="S35" s="6"/>
    </x:row>
    <x:row r="36" ht="67.5" customHeight="1">
      <x:c r="A36" s="16" t="s">
        <x:v>19</x:v>
      </x:c>
      <x:c r="B36" s="16">
        <x:v>34.0</x:v>
      </x:c>
      <x:c r="C36" s="6" t="s">
        <x:v>175</x:v>
      </x:c>
      <x:c r="D36" s="6" t="s">
        <x:v>167</x:v>
      </x:c>
      <x:c r="E36" s="16">
        <x:v>32.0</x:v>
      </x:c>
      <x:c r="F36" s="16" t="s">
        <x:v>168</x:v>
      </x:c>
      <x:c r="G36" s="16" t="s">
        <x:v>44</x:v>
      </x:c>
      <x:c r="H36" s="6"/>
      <x:c r="I36" s="16" t="s">
        <x:v>139</x:v>
      </x:c>
      <x:c r="J36" s="16" t="s">
        <x:v>169</x:v>
      </x:c>
      <x:c r="K36" s="16" t="s">
        <x:v>26</x:v>
      </x:c>
      <x:c r="L36" s="16" t="s">
        <x:v>140</x:v>
      </x:c>
      <x:c r="M36" s="16" t="s">
        <x:v>48</x:v>
      </x:c>
      <x:c r="N36" s="16" t="s">
        <x:v>29</x:v>
      </x:c>
      <x:c r="O36" s="16">
        <x:v>2.0</x:v>
      </x:c>
      <x:c r="P36" s="16">
        <x:v>16.0</x:v>
      </x:c>
      <x:c r="Q36" s="16" t="s">
        <x:v>141</x:v>
      </x:c>
      <x:c r="R36" s="6" t="s">
        <x:v>142</x:v>
      </x:c>
      <x:c r="S36" s="6"/>
    </x:row>
    <x:row r="37" ht="67.5" customHeight="1">
      <x:c r="A37" s="16" t="s">
        <x:v>19</x:v>
      </x:c>
      <x:c r="B37" s="16">
        <x:v>35.0</x:v>
      </x:c>
      <x:c r="C37" s="6" t="s">
        <x:v>176</x:v>
      </x:c>
      <x:c r="D37" s="6" t="s">
        <x:v>167</x:v>
      </x:c>
      <x:c r="E37" s="16">
        <x:v>33.0</x:v>
      </x:c>
      <x:c r="F37" s="16" t="s">
        <x:v>173</x:v>
      </x:c>
      <x:c r="G37" s="16" t="s">
        <x:v>44</x:v>
      </x:c>
      <x:c r="H37" s="6"/>
      <x:c r="I37" s="16" t="s">
        <x:v>139</x:v>
      </x:c>
      <x:c r="J37" s="16" t="s">
        <x:v>169</x:v>
      </x:c>
      <x:c r="K37" s="16" t="s">
        <x:v>134</x:v>
      </x:c>
      <x:c r="L37" s="16" t="s">
        <x:v>144</x:v>
      </x:c>
      <x:c r="M37" s="16" t="s">
        <x:v>48</x:v>
      </x:c>
      <x:c r="N37" s="16" t="s">
        <x:v>29</x:v>
      </x:c>
      <x:c r="O37" s="16">
        <x:v>2.0</x:v>
      </x:c>
      <x:c r="P37" s="16">
        <x:v>16.0</x:v>
      </x:c>
      <x:c r="Q37" s="16" t="s">
        <x:v>145</x:v>
      </x:c>
      <x:c r="R37" s="6" t="s">
        <x:v>146</x:v>
      </x:c>
      <x:c r="S37" s="6"/>
    </x:row>
    <x:row r="38" ht="67.5" customHeight="1">
      <x:c r="A38" s="8" t="s">
        <x:v>19</x:v>
      </x:c>
      <x:c r="B38" s="8">
        <x:v>36.0</x:v>
      </x:c>
      <x:c r="C38" s="9" t="s">
        <x:v>41</x:v>
      </x:c>
      <x:c r="D38" s="9" t="s">
        <x:v>177</x:v>
      </x:c>
      <x:c r="E38" s="8"/>
      <x:c r="F38" s="8" t="s">
        <x:v>178</x:v>
      </x:c>
      <x:c r="G38" s="8" t="s">
        <x:v>35</x:v>
      </x:c>
      <x:c r="H38" s="9"/>
      <x:c r="I38" s="8" t="s">
        <x:v>126</x:v>
      </x:c>
      <x:c r="J38" s="8" t="s">
        <x:v>179</x:v>
      </x:c>
      <x:c r="K38" s="8" t="s">
        <x:v>46</x:v>
      </x:c>
      <x:c r="L38" s="8" t="s">
        <x:v>180</x:v>
      </x:c>
      <x:c r="M38" s="8" t="s">
        <x:v>38</x:v>
      </x:c>
      <x:c r="N38" s="8" t="s">
        <x:v>29</x:v>
      </x:c>
      <x:c r="O38" s="8">
        <x:v>2.0</x:v>
      </x:c>
      <x:c r="P38" s="8">
        <x:v>16.0</x:v>
      </x:c>
      <x:c r="Q38" s="8" t="s">
        <x:v>129</x:v>
      </x:c>
      <x:c r="R38" s="9" t="s">
        <x:v>181</x:v>
      </x:c>
      <x:c r="S38" s="9"/>
    </x:row>
    <x:row r="39" ht="67.5" customHeight="1">
      <x:c r="A39" s="16" t="s">
        <x:v>19</x:v>
      </x:c>
      <x:c r="B39" s="16">
        <x:v>37.0</x:v>
      </x:c>
      <x:c r="C39" s="6" t="s">
        <x:v>182</x:v>
      </x:c>
      <x:c r="D39" s="6" t="s">
        <x:v>177</x:v>
      </x:c>
      <x:c r="E39" s="16">
        <x:v>36.0</x:v>
      </x:c>
      <x:c r="F39" s="16" t="s">
        <x:v>183</x:v>
      </x:c>
      <x:c r="G39" s="16" t="s">
        <x:v>35</x:v>
      </x:c>
      <x:c r="H39" s="6"/>
      <x:c r="I39" s="16" t="s">
        <x:v>133</x:v>
      </x:c>
      <x:c r="J39" s="16" t="s">
        <x:v>179</x:v>
      </x:c>
      <x:c r="K39" s="16" t="s">
        <x:v>134</x:v>
      </x:c>
      <x:c r="L39" s="16" t="s">
        <x:v>135</x:v>
      </x:c>
      <x:c r="M39" s="16" t="s">
        <x:v>38</x:v>
      </x:c>
      <x:c r="N39" s="16" t="s">
        <x:v>29</x:v>
      </x:c>
      <x:c r="O39" s="16">
        <x:v>2.0</x:v>
      </x:c>
      <x:c r="P39" s="16">
        <x:v>16.0</x:v>
      </x:c>
      <x:c r="Q39" s="16" t="s">
        <x:v>136</x:v>
      </x:c>
      <x:c r="R39" s="6" t="s">
        <x:v>184</x:v>
      </x:c>
      <x:c r="S39" s="6"/>
    </x:row>
    <x:row r="40" ht="67.5" customHeight="1">
      <x:c r="A40" s="16" t="s">
        <x:v>19</x:v>
      </x:c>
      <x:c r="B40" s="16">
        <x:v>38.0</x:v>
      </x:c>
      <x:c r="C40" s="6" t="s">
        <x:v>185</x:v>
      </x:c>
      <x:c r="D40" s="6" t="s">
        <x:v>177</x:v>
      </x:c>
      <x:c r="E40" s="16">
        <x:v>36.0</x:v>
      </x:c>
      <x:c r="F40" s="16" t="s">
        <x:v>178</x:v>
      </x:c>
      <x:c r="G40" s="16" t="s">
        <x:v>35</x:v>
      </x:c>
      <x:c r="H40" s="6"/>
      <x:c r="I40" s="16" t="s">
        <x:v>139</x:v>
      </x:c>
      <x:c r="J40" s="16" t="s">
        <x:v>179</x:v>
      </x:c>
      <x:c r="K40" s="16" t="s">
        <x:v>46</x:v>
      </x:c>
      <x:c r="L40" s="16" t="s">
        <x:v>140</x:v>
      </x:c>
      <x:c r="M40" s="16" t="s">
        <x:v>38</x:v>
      </x:c>
      <x:c r="N40" s="16" t="s">
        <x:v>29</x:v>
      </x:c>
      <x:c r="O40" s="16">
        <x:v>2.0</x:v>
      </x:c>
      <x:c r="P40" s="16">
        <x:v>16.0</x:v>
      </x:c>
      <x:c r="Q40" s="16" t="s">
        <x:v>141</x:v>
      </x:c>
      <x:c r="R40" s="6" t="s">
        <x:v>142</x:v>
      </x:c>
      <x:c r="S40" s="6"/>
    </x:row>
    <x:row r="41" ht="67.5" customHeight="1">
      <x:c r="A41" s="16" t="s">
        <x:v>19</x:v>
      </x:c>
      <x:c r="B41" s="16">
        <x:v>39.0</x:v>
      </x:c>
      <x:c r="C41" s="6" t="s">
        <x:v>186</x:v>
      </x:c>
      <x:c r="D41" s="6" t="s">
        <x:v>177</x:v>
      </x:c>
      <x:c r="E41" s="16">
        <x:v>37.0</x:v>
      </x:c>
      <x:c r="F41" s="16" t="s">
        <x:v>183</x:v>
      </x:c>
      <x:c r="G41" s="16" t="s">
        <x:v>35</x:v>
      </x:c>
      <x:c r="H41" s="6"/>
      <x:c r="I41" s="16" t="s">
        <x:v>139</x:v>
      </x:c>
      <x:c r="J41" s="16" t="s">
        <x:v>179</x:v>
      </x:c>
      <x:c r="K41" s="16" t="s">
        <x:v>134</x:v>
      </x:c>
      <x:c r="L41" s="16" t="s">
        <x:v>144</x:v>
      </x:c>
      <x:c r="M41" s="16" t="s">
        <x:v>38</x:v>
      </x:c>
      <x:c r="N41" s="16" t="s">
        <x:v>29</x:v>
      </x:c>
      <x:c r="O41" s="16">
        <x:v>2.0</x:v>
      </x:c>
      <x:c r="P41" s="16">
        <x:v>16.0</x:v>
      </x:c>
      <x:c r="Q41" s="16" t="s">
        <x:v>145</x:v>
      </x:c>
      <x:c r="R41" s="6" t="s">
        <x:v>146</x:v>
      </x:c>
      <x:c r="S41" s="6"/>
    </x:row>
    <x:row r="42" ht="67.5" customHeight="1">
      <x:c r="A42" s="8" t="s">
        <x:v>19</x:v>
      </x:c>
      <x:c r="B42" s="8">
        <x:v>40.0</x:v>
      </x:c>
      <x:c r="C42" s="9" t="s">
        <x:v>20</x:v>
      </x:c>
      <x:c r="D42" s="9" t="s">
        <x:v>187</x:v>
      </x:c>
      <x:c r="E42" s="8"/>
      <x:c r="F42" s="8" t="s">
        <x:v>188</x:v>
      </x:c>
      <x:c r="G42" s="8" t="s">
        <x:v>44</x:v>
      </x:c>
      <x:c r="H42" s="9"/>
      <x:c r="I42" s="8" t="s">
        <x:v>126</x:v>
      </x:c>
      <x:c r="J42" s="8" t="s">
        <x:v>189</x:v>
      </x:c>
      <x:c r="K42" s="8" t="s">
        <x:v>26</x:v>
      </x:c>
      <x:c r="L42" s="8" t="s">
        <x:v>190</x:v>
      </x:c>
      <x:c r="M42" s="8" t="s">
        <x:v>48</x:v>
      </x:c>
      <x:c r="N42" s="8" t="s">
        <x:v>39</x:v>
      </x:c>
      <x:c r="O42" s="8">
        <x:v>2.0</x:v>
      </x:c>
      <x:c r="P42" s="8">
        <x:v>8.0</x:v>
      </x:c>
      <x:c r="Q42" s="8" t="s">
        <x:v>129</x:v>
      </x:c>
      <x:c r="R42" s="9" t="s">
        <x:v>191</x:v>
      </x:c>
      <x:c r="S42" s="9"/>
    </x:row>
    <x:row r="43" ht="67.5" customHeight="1">
      <x:c r="A43" s="16" t="s">
        <x:v>19</x:v>
      </x:c>
      <x:c r="B43" s="16">
        <x:v>41.0</x:v>
      </x:c>
      <x:c r="C43" s="6" t="s">
        <x:v>192</x:v>
      </x:c>
      <x:c r="D43" s="6" t="s">
        <x:v>187</x:v>
      </x:c>
      <x:c r="E43" s="16">
        <x:v>40.0</x:v>
      </x:c>
      <x:c r="F43" s="16" t="s">
        <x:v>193</x:v>
      </x:c>
      <x:c r="G43" s="16" t="s">
        <x:v>44</x:v>
      </x:c>
      <x:c r="H43" s="6"/>
      <x:c r="I43" s="16" t="s">
        <x:v>133</x:v>
      </x:c>
      <x:c r="J43" s="16" t="s">
        <x:v>189</x:v>
      </x:c>
      <x:c r="K43" s="16" t="s">
        <x:v>134</x:v>
      </x:c>
      <x:c r="L43" s="16" t="s">
        <x:v>135</x:v>
      </x:c>
      <x:c r="M43" s="16" t="s">
        <x:v>48</x:v>
      </x:c>
      <x:c r="N43" s="16" t="s">
        <x:v>39</x:v>
      </x:c>
      <x:c r="O43" s="16">
        <x:v>2.0</x:v>
      </x:c>
      <x:c r="P43" s="16">
        <x:v>8.0</x:v>
      </x:c>
      <x:c r="Q43" s="16" t="s">
        <x:v>136</x:v>
      </x:c>
      <x:c r="R43" s="6" t="s">
        <x:v>194</x:v>
      </x:c>
      <x:c r="S43" s="6"/>
    </x:row>
    <x:row r="44" ht="67.5" customHeight="1">
      <x:c r="A44" s="16" t="s">
        <x:v>19</x:v>
      </x:c>
      <x:c r="B44" s="16">
        <x:v>42.0</x:v>
      </x:c>
      <x:c r="C44" s="6" t="s">
        <x:v>195</x:v>
      </x:c>
      <x:c r="D44" s="6" t="s">
        <x:v>187</x:v>
      </x:c>
      <x:c r="E44" s="16">
        <x:v>40.0</x:v>
      </x:c>
      <x:c r="F44" s="16" t="s">
        <x:v>188</x:v>
      </x:c>
      <x:c r="G44" s="16" t="s">
        <x:v>44</x:v>
      </x:c>
      <x:c r="H44" s="6"/>
      <x:c r="I44" s="16" t="s">
        <x:v>139</x:v>
      </x:c>
      <x:c r="J44" s="16" t="s">
        <x:v>189</x:v>
      </x:c>
      <x:c r="K44" s="16" t="s">
        <x:v>26</x:v>
      </x:c>
      <x:c r="L44" s="16" t="s">
        <x:v>140</x:v>
      </x:c>
      <x:c r="M44" s="16" t="s">
        <x:v>48</x:v>
      </x:c>
      <x:c r="N44" s="16" t="s">
        <x:v>39</x:v>
      </x:c>
      <x:c r="O44" s="16">
        <x:v>2.0</x:v>
      </x:c>
      <x:c r="P44" s="16">
        <x:v>8.0</x:v>
      </x:c>
      <x:c r="Q44" s="16" t="s">
        <x:v>141</x:v>
      </x:c>
      <x:c r="R44" s="6" t="s">
        <x:v>142</x:v>
      </x:c>
      <x:c r="S44" s="6"/>
    </x:row>
    <x:row r="45" ht="67.5" customHeight="1">
      <x:c r="A45" s="16" t="s">
        <x:v>19</x:v>
      </x:c>
      <x:c r="B45" s="16">
        <x:v>43.0</x:v>
      </x:c>
      <x:c r="C45" s="6" t="s">
        <x:v>196</x:v>
      </x:c>
      <x:c r="D45" s="6" t="s">
        <x:v>187</x:v>
      </x:c>
      <x:c r="E45" s="16">
        <x:v>41.0</x:v>
      </x:c>
      <x:c r="F45" s="16" t="s">
        <x:v>193</x:v>
      </x:c>
      <x:c r="G45" s="16" t="s">
        <x:v>44</x:v>
      </x:c>
      <x:c r="H45" s="6"/>
      <x:c r="I45" s="16" t="s">
        <x:v>139</x:v>
      </x:c>
      <x:c r="J45" s="16" t="s">
        <x:v>189</x:v>
      </x:c>
      <x:c r="K45" s="16" t="s">
        <x:v>134</x:v>
      </x:c>
      <x:c r="L45" s="16" t="s">
        <x:v>144</x:v>
      </x:c>
      <x:c r="M45" s="16" t="s">
        <x:v>48</x:v>
      </x:c>
      <x:c r="N45" s="16" t="s">
        <x:v>39</x:v>
      </x:c>
      <x:c r="O45" s="16">
        <x:v>2.0</x:v>
      </x:c>
      <x:c r="P45" s="16">
        <x:v>8.0</x:v>
      </x:c>
      <x:c r="Q45" s="16" t="s">
        <x:v>145</x:v>
      </x:c>
      <x:c r="R45" s="6" t="s">
        <x:v>146</x:v>
      </x:c>
      <x:c r="S45" s="6"/>
    </x:row>
    <x:row r="46" ht="67.5" customHeight="1">
      <x:c r="A46" s="8" t="s">
        <x:v>19</x:v>
      </x:c>
      <x:c r="B46" s="8">
        <x:v>44.0</x:v>
      </x:c>
      <x:c r="C46" s="9" t="s">
        <x:v>70</x:v>
      </x:c>
      <x:c r="D46" s="9" t="s">
        <x:v>197</x:v>
      </x:c>
      <x:c r="E46" s="8"/>
      <x:c r="F46" s="8" t="s">
        <x:v>198</x:v>
      </x:c>
      <x:c r="G46" s="8" t="s">
        <x:v>35</x:v>
      </x:c>
      <x:c r="H46" s="9"/>
      <x:c r="I46" s="8" t="s">
        <x:v>126</x:v>
      </x:c>
      <x:c r="J46" s="8" t="s">
        <x:v>199</x:v>
      </x:c>
      <x:c r="K46" s="8" t="s">
        <x:v>46</x:v>
      </x:c>
      <x:c r="L46" s="8" t="s">
        <x:v>128</x:v>
      </x:c>
      <x:c r="M46" s="8" t="s">
        <x:v>38</x:v>
      </x:c>
      <x:c r="N46" s="8" t="s">
        <x:v>39</x:v>
      </x:c>
      <x:c r="O46" s="8">
        <x:v>2.0</x:v>
      </x:c>
      <x:c r="P46" s="8">
        <x:v>8.0</x:v>
      </x:c>
      <x:c r="Q46" s="8" t="s">
        <x:v>129</x:v>
      </x:c>
      <x:c r="R46" s="9" t="s">
        <x:v>200</x:v>
      </x:c>
      <x:c r="S46" s="9"/>
    </x:row>
    <x:row r="47" ht="67.5" customHeight="1">
      <x:c r="A47" s="16" t="s">
        <x:v>19</x:v>
      </x:c>
      <x:c r="B47" s="16">
        <x:v>45.0</x:v>
      </x:c>
      <x:c r="C47" s="6" t="s">
        <x:v>131</x:v>
      </x:c>
      <x:c r="D47" s="6" t="s">
        <x:v>197</x:v>
      </x:c>
      <x:c r="E47" s="16">
        <x:v>44.0</x:v>
      </x:c>
      <x:c r="F47" s="16" t="s">
        <x:v>201</x:v>
      </x:c>
      <x:c r="G47" s="16" t="s">
        <x:v>35</x:v>
      </x:c>
      <x:c r="H47" s="6"/>
      <x:c r="I47" s="16" t="s">
        <x:v>133</x:v>
      </x:c>
      <x:c r="J47" s="16" t="s">
        <x:v>199</x:v>
      </x:c>
      <x:c r="K47" s="16" t="s">
        <x:v>134</x:v>
      </x:c>
      <x:c r="L47" s="16" t="s">
        <x:v>135</x:v>
      </x:c>
      <x:c r="M47" s="16" t="s">
        <x:v>38</x:v>
      </x:c>
      <x:c r="N47" s="16" t="s">
        <x:v>39</x:v>
      </x:c>
      <x:c r="O47" s="16">
        <x:v>2.0</x:v>
      </x:c>
      <x:c r="P47" s="16">
        <x:v>8.0</x:v>
      </x:c>
      <x:c r="Q47" s="16" t="s">
        <x:v>136</x:v>
      </x:c>
      <x:c r="R47" s="6" t="s">
        <x:v>202</x:v>
      </x:c>
      <x:c r="S47" s="6"/>
    </x:row>
    <x:row r="48" ht="67.5" customHeight="1">
      <x:c r="A48" s="16" t="s">
        <x:v>19</x:v>
      </x:c>
      <x:c r="B48" s="16">
        <x:v>46.0</x:v>
      </x:c>
      <x:c r="C48" s="6" t="s">
        <x:v>203</x:v>
      </x:c>
      <x:c r="D48" s="6" t="s">
        <x:v>197</x:v>
      </x:c>
      <x:c r="E48" s="16">
        <x:v>44.0</x:v>
      </x:c>
      <x:c r="F48" s="16" t="s">
        <x:v>198</x:v>
      </x:c>
      <x:c r="G48" s="16" t="s">
        <x:v>35</x:v>
      </x:c>
      <x:c r="H48" s="6"/>
      <x:c r="I48" s="16" t="s">
        <x:v>139</x:v>
      </x:c>
      <x:c r="J48" s="16" t="s">
        <x:v>199</x:v>
      </x:c>
      <x:c r="K48" s="16" t="s">
        <x:v>46</x:v>
      </x:c>
      <x:c r="L48" s="16" t="s">
        <x:v>140</x:v>
      </x:c>
      <x:c r="M48" s="16" t="s">
        <x:v>38</x:v>
      </x:c>
      <x:c r="N48" s="16" t="s">
        <x:v>39</x:v>
      </x:c>
      <x:c r="O48" s="16">
        <x:v>2.0</x:v>
      </x:c>
      <x:c r="P48" s="16">
        <x:v>8.0</x:v>
      </x:c>
      <x:c r="Q48" s="16" t="s">
        <x:v>141</x:v>
      </x:c>
      <x:c r="R48" s="6" t="s">
        <x:v>142</x:v>
      </x:c>
      <x:c r="S48" s="6"/>
    </x:row>
    <x:row r="49" ht="67.5" customHeight="1">
      <x:c r="A49" s="16" t="s">
        <x:v>19</x:v>
      </x:c>
      <x:c r="B49" s="16">
        <x:v>47.0</x:v>
      </x:c>
      <x:c r="C49" s="6" t="s">
        <x:v>204</x:v>
      </x:c>
      <x:c r="D49" s="6" t="s">
        <x:v>197</x:v>
      </x:c>
      <x:c r="E49" s="16">
        <x:v>45.0</x:v>
      </x:c>
      <x:c r="F49" s="16" t="s">
        <x:v>201</x:v>
      </x:c>
      <x:c r="G49" s="16" t="s">
        <x:v>35</x:v>
      </x:c>
      <x:c r="H49" s="6"/>
      <x:c r="I49" s="16" t="s">
        <x:v>139</x:v>
      </x:c>
      <x:c r="J49" s="16" t="s">
        <x:v>199</x:v>
      </x:c>
      <x:c r="K49" s="16" t="s">
        <x:v>134</x:v>
      </x:c>
      <x:c r="L49" s="16" t="s">
        <x:v>144</x:v>
      </x:c>
      <x:c r="M49" s="16" t="s">
        <x:v>38</x:v>
      </x:c>
      <x:c r="N49" s="16" t="s">
        <x:v>39</x:v>
      </x:c>
      <x:c r="O49" s="16">
        <x:v>2.0</x:v>
      </x:c>
      <x:c r="P49" s="16">
        <x:v>8.0</x:v>
      </x:c>
      <x:c r="Q49" s="16" t="s">
        <x:v>145</x:v>
      </x:c>
      <x:c r="R49" s="6" t="s">
        <x:v>146</x:v>
      </x:c>
      <x:c r="S49" s="6"/>
    </x:row>
    <x:row r="50" ht="67.5" customHeight="1">
      <x:c r="A50" s="8" t="s">
        <x:v>19</x:v>
      </x:c>
      <x:c r="B50" s="8">
        <x:v>48.0</x:v>
      </x:c>
      <x:c r="C50" s="9" t="s">
        <x:v>32</x:v>
      </x:c>
      <x:c r="D50" s="9" t="s">
        <x:v>205</x:v>
      </x:c>
      <x:c r="E50" s="8"/>
      <x:c r="F50" s="8" t="s">
        <x:v>206</x:v>
      </x:c>
      <x:c r="G50" s="8" t="s">
        <x:v>44</x:v>
      </x:c>
      <x:c r="H50" s="9"/>
      <x:c r="I50" s="8" t="s">
        <x:v>126</x:v>
      </x:c>
      <x:c r="J50" s="8" t="s">
        <x:v>207</x:v>
      </x:c>
      <x:c r="K50" s="8" t="s">
        <x:v>26</x:v>
      </x:c>
      <x:c r="L50" s="8" t="s">
        <x:v>150</x:v>
      </x:c>
      <x:c r="M50" s="8" t="s">
        <x:v>48</x:v>
      </x:c>
      <x:c r="N50" s="8" t="s">
        <x:v>29</x:v>
      </x:c>
      <x:c r="O50" s="8">
        <x:v>2.0</x:v>
      </x:c>
      <x:c r="P50" s="8">
        <x:v>12.0</x:v>
      </x:c>
      <x:c r="Q50" s="8" t="s">
        <x:v>129</x:v>
      </x:c>
      <x:c r="R50" s="9" t="s">
        <x:v>208</x:v>
      </x:c>
      <x:c r="S50" s="9"/>
    </x:row>
    <x:row r="51" ht="67.5" customHeight="1">
      <x:c r="A51" s="16" t="s">
        <x:v>19</x:v>
      </x:c>
      <x:c r="B51" s="16">
        <x:v>49.0</x:v>
      </x:c>
      <x:c r="C51" s="6" t="s">
        <x:v>152</x:v>
      </x:c>
      <x:c r="D51" s="6" t="s">
        <x:v>205</x:v>
      </x:c>
      <x:c r="E51" s="16">
        <x:v>48.0</x:v>
      </x:c>
      <x:c r="F51" s="16" t="s">
        <x:v>209</x:v>
      </x:c>
      <x:c r="G51" s="16" t="s">
        <x:v>44</x:v>
      </x:c>
      <x:c r="H51" s="6"/>
      <x:c r="I51" s="16" t="s">
        <x:v>133</x:v>
      </x:c>
      <x:c r="J51" s="16" t="s">
        <x:v>207</x:v>
      </x:c>
      <x:c r="K51" s="16" t="s">
        <x:v>134</x:v>
      </x:c>
      <x:c r="L51" s="16" t="s">
        <x:v>135</x:v>
      </x:c>
      <x:c r="M51" s="16" t="s">
        <x:v>48</x:v>
      </x:c>
      <x:c r="N51" s="16" t="s">
        <x:v>29</x:v>
      </x:c>
      <x:c r="O51" s="16">
        <x:v>2.0</x:v>
      </x:c>
      <x:c r="P51" s="16">
        <x:v>12.0</x:v>
      </x:c>
      <x:c r="Q51" s="16" t="s">
        <x:v>136</x:v>
      </x:c>
      <x:c r="R51" s="6" t="s">
        <x:v>210</x:v>
      </x:c>
      <x:c r="S51" s="6"/>
    </x:row>
    <x:row r="52" ht="67.5" customHeight="1">
      <x:c r="A52" s="16" t="s">
        <x:v>19</x:v>
      </x:c>
      <x:c r="B52" s="16">
        <x:v>50.0</x:v>
      </x:c>
      <x:c r="C52" s="6" t="s">
        <x:v>211</x:v>
      </x:c>
      <x:c r="D52" s="6" t="s">
        <x:v>205</x:v>
      </x:c>
      <x:c r="E52" s="16">
        <x:v>48.0</x:v>
      </x:c>
      <x:c r="F52" s="16" t="s">
        <x:v>206</x:v>
      </x:c>
      <x:c r="G52" s="16" t="s">
        <x:v>44</x:v>
      </x:c>
      <x:c r="H52" s="6"/>
      <x:c r="I52" s="16" t="s">
        <x:v>139</x:v>
      </x:c>
      <x:c r="J52" s="16" t="s">
        <x:v>207</x:v>
      </x:c>
      <x:c r="K52" s="16" t="s">
        <x:v>26</x:v>
      </x:c>
      <x:c r="L52" s="16" t="s">
        <x:v>140</x:v>
      </x:c>
      <x:c r="M52" s="16" t="s">
        <x:v>48</x:v>
      </x:c>
      <x:c r="N52" s="16" t="s">
        <x:v>29</x:v>
      </x:c>
      <x:c r="O52" s="16">
        <x:v>2.0</x:v>
      </x:c>
      <x:c r="P52" s="16">
        <x:v>12.0</x:v>
      </x:c>
      <x:c r="Q52" s="16" t="s">
        <x:v>141</x:v>
      </x:c>
      <x:c r="R52" s="6" t="s">
        <x:v>142</x:v>
      </x:c>
      <x:c r="S52" s="6"/>
    </x:row>
    <x:row r="53" ht="67.5" customHeight="1">
      <x:c r="A53" s="16" t="s">
        <x:v>19</x:v>
      </x:c>
      <x:c r="B53" s="16">
        <x:v>51.0</x:v>
      </x:c>
      <x:c r="C53" s="6" t="s">
        <x:v>212</x:v>
      </x:c>
      <x:c r="D53" s="6" t="s">
        <x:v>205</x:v>
      </x:c>
      <x:c r="E53" s="16">
        <x:v>49.0</x:v>
      </x:c>
      <x:c r="F53" s="16" t="s">
        <x:v>209</x:v>
      </x:c>
      <x:c r="G53" s="16" t="s">
        <x:v>44</x:v>
      </x:c>
      <x:c r="H53" s="6"/>
      <x:c r="I53" s="16" t="s">
        <x:v>139</x:v>
      </x:c>
      <x:c r="J53" s="16" t="s">
        <x:v>207</x:v>
      </x:c>
      <x:c r="K53" s="16" t="s">
        <x:v>134</x:v>
      </x:c>
      <x:c r="L53" s="16" t="s">
        <x:v>144</x:v>
      </x:c>
      <x:c r="M53" s="16" t="s">
        <x:v>48</x:v>
      </x:c>
      <x:c r="N53" s="16" t="s">
        <x:v>29</x:v>
      </x:c>
      <x:c r="O53" s="16">
        <x:v>2.0</x:v>
      </x:c>
      <x:c r="P53" s="16">
        <x:v>12.0</x:v>
      </x:c>
      <x:c r="Q53" s="16" t="s">
        <x:v>145</x:v>
      </x:c>
      <x:c r="R53" s="6" t="s">
        <x:v>146</x:v>
      </x:c>
      <x:c r="S53" s="6"/>
    </x:row>
    <x:row r="54" ht="67.5" customHeight="1">
      <x:c r="A54" s="8" t="s">
        <x:v>19</x:v>
      </x:c>
      <x:c r="B54" s="8">
        <x:v>52.0</x:v>
      </x:c>
      <x:c r="C54" s="9" t="s">
        <x:v>50</x:v>
      </x:c>
      <x:c r="D54" s="9" t="s">
        <x:v>213</x:v>
      </x:c>
      <x:c r="E54" s="8"/>
      <x:c r="F54" s="8" t="s">
        <x:v>214</x:v>
      </x:c>
      <x:c r="G54" s="8" t="s">
        <x:v>35</x:v>
      </x:c>
      <x:c r="H54" s="9"/>
      <x:c r="I54" s="8" t="s">
        <x:v>126</x:v>
      </x:c>
      <x:c r="J54" s="8" t="s">
        <x:v>215</x:v>
      </x:c>
      <x:c r="K54" s="8" t="s">
        <x:v>46</x:v>
      </x:c>
      <x:c r="L54" s="8" t="s">
        <x:v>160</x:v>
      </x:c>
      <x:c r="M54" s="8" t="s">
        <x:v>38</x:v>
      </x:c>
      <x:c r="N54" s="8" t="s">
        <x:v>29</x:v>
      </x:c>
      <x:c r="O54" s="8">
        <x:v>2.0</x:v>
      </x:c>
      <x:c r="P54" s="8">
        <x:v>12.0</x:v>
      </x:c>
      <x:c r="Q54" s="8" t="s">
        <x:v>129</x:v>
      </x:c>
      <x:c r="R54" s="9" t="s">
        <x:v>216</x:v>
      </x:c>
      <x:c r="S54" s="9"/>
    </x:row>
    <x:row r="55" ht="67.5" customHeight="1">
      <x:c r="A55" s="16" t="s">
        <x:v>19</x:v>
      </x:c>
      <x:c r="B55" s="16">
        <x:v>53.0</x:v>
      </x:c>
      <x:c r="C55" s="6" t="s">
        <x:v>162</x:v>
      </x:c>
      <x:c r="D55" s="6" t="s">
        <x:v>213</x:v>
      </x:c>
      <x:c r="E55" s="16">
        <x:v>52.0</x:v>
      </x:c>
      <x:c r="F55" s="16" t="s">
        <x:v>217</x:v>
      </x:c>
      <x:c r="G55" s="16" t="s">
        <x:v>35</x:v>
      </x:c>
      <x:c r="H55" s="6"/>
      <x:c r="I55" s="16" t="s">
        <x:v>133</x:v>
      </x:c>
      <x:c r="J55" s="16" t="s">
        <x:v>215</x:v>
      </x:c>
      <x:c r="K55" s="16" t="s">
        <x:v>134</x:v>
      </x:c>
      <x:c r="L55" s="16" t="s">
        <x:v>135</x:v>
      </x:c>
      <x:c r="M55" s="16" t="s">
        <x:v>38</x:v>
      </x:c>
      <x:c r="N55" s="16" t="s">
        <x:v>29</x:v>
      </x:c>
      <x:c r="O55" s="16">
        <x:v>2.0</x:v>
      </x:c>
      <x:c r="P55" s="16">
        <x:v>12.0</x:v>
      </x:c>
      <x:c r="Q55" s="16" t="s">
        <x:v>136</x:v>
      </x:c>
      <x:c r="R55" s="6" t="s">
        <x:v>218</x:v>
      </x:c>
      <x:c r="S55" s="6"/>
    </x:row>
    <x:row r="56" ht="67.5" customHeight="1">
      <x:c r="A56" s="16" t="s">
        <x:v>19</x:v>
      </x:c>
      <x:c r="B56" s="16">
        <x:v>54.0</x:v>
      </x:c>
      <x:c r="C56" s="6" t="s">
        <x:v>219</x:v>
      </x:c>
      <x:c r="D56" s="6" t="s">
        <x:v>213</x:v>
      </x:c>
      <x:c r="E56" s="16">
        <x:v>52.0</x:v>
      </x:c>
      <x:c r="F56" s="16" t="s">
        <x:v>214</x:v>
      </x:c>
      <x:c r="G56" s="16" t="s">
        <x:v>35</x:v>
      </x:c>
      <x:c r="H56" s="6"/>
      <x:c r="I56" s="16" t="s">
        <x:v>139</x:v>
      </x:c>
      <x:c r="J56" s="16" t="s">
        <x:v>215</x:v>
      </x:c>
      <x:c r="K56" s="16" t="s">
        <x:v>46</x:v>
      </x:c>
      <x:c r="L56" s="16" t="s">
        <x:v>140</x:v>
      </x:c>
      <x:c r="M56" s="16" t="s">
        <x:v>38</x:v>
      </x:c>
      <x:c r="N56" s="16" t="s">
        <x:v>29</x:v>
      </x:c>
      <x:c r="O56" s="16">
        <x:v>2.0</x:v>
      </x:c>
      <x:c r="P56" s="16">
        <x:v>12.0</x:v>
      </x:c>
      <x:c r="Q56" s="16" t="s">
        <x:v>141</x:v>
      </x:c>
      <x:c r="R56" s="6" t="s">
        <x:v>142</x:v>
      </x:c>
      <x:c r="S56" s="6"/>
    </x:row>
    <x:row r="57" ht="67.5" customHeight="1">
      <x:c r="A57" s="16" t="s">
        <x:v>19</x:v>
      </x:c>
      <x:c r="B57" s="16">
        <x:v>55.0</x:v>
      </x:c>
      <x:c r="C57" s="6" t="s">
        <x:v>220</x:v>
      </x:c>
      <x:c r="D57" s="6" t="s">
        <x:v>213</x:v>
      </x:c>
      <x:c r="E57" s="16">
        <x:v>53.0</x:v>
      </x:c>
      <x:c r="F57" s="16" t="s">
        <x:v>217</x:v>
      </x:c>
      <x:c r="G57" s="16" t="s">
        <x:v>35</x:v>
      </x:c>
      <x:c r="H57" s="6"/>
      <x:c r="I57" s="16" t="s">
        <x:v>139</x:v>
      </x:c>
      <x:c r="J57" s="16" t="s">
        <x:v>215</x:v>
      </x:c>
      <x:c r="K57" s="16" t="s">
        <x:v>134</x:v>
      </x:c>
      <x:c r="L57" s="16" t="s">
        <x:v>144</x:v>
      </x:c>
      <x:c r="M57" s="16" t="s">
        <x:v>38</x:v>
      </x:c>
      <x:c r="N57" s="16" t="s">
        <x:v>29</x:v>
      </x:c>
      <x:c r="O57" s="16">
        <x:v>2.0</x:v>
      </x:c>
      <x:c r="P57" s="16">
        <x:v>12.0</x:v>
      </x:c>
      <x:c r="Q57" s="16" t="s">
        <x:v>145</x:v>
      </x:c>
      <x:c r="R57" s="6" t="s">
        <x:v>146</x:v>
      </x:c>
      <x:c r="S57" s="6"/>
    </x:row>
    <x:row r="58" ht="67.5" customHeight="1">
      <x:c r="A58" s="8" t="s">
        <x:v>19</x:v>
      </x:c>
      <x:c r="B58" s="8">
        <x:v>56.0</x:v>
      </x:c>
      <x:c r="C58" s="9" t="s">
        <x:v>79</x:v>
      </x:c>
      <x:c r="D58" s="9" t="s">
        <x:v>221</x:v>
      </x:c>
      <x:c r="E58" s="8"/>
      <x:c r="F58" s="8" t="s">
        <x:v>222</x:v>
      </x:c>
      <x:c r="G58" s="8" t="s">
        <x:v>44</x:v>
      </x:c>
      <x:c r="H58" s="9"/>
      <x:c r="I58" s="8" t="s">
        <x:v>126</x:v>
      </x:c>
      <x:c r="J58" s="8" t="s">
        <x:v>223</x:v>
      </x:c>
      <x:c r="K58" s="8" t="s">
        <x:v>26</x:v>
      </x:c>
      <x:c r="L58" s="8" t="s">
        <x:v>170</x:v>
      </x:c>
      <x:c r="M58" s="8" t="s">
        <x:v>48</x:v>
      </x:c>
      <x:c r="N58" s="8" t="s">
        <x:v>39</x:v>
      </x:c>
      <x:c r="O58" s="8">
        <x:v>2.0</x:v>
      </x:c>
      <x:c r="P58" s="8">
        <x:v>16.0</x:v>
      </x:c>
      <x:c r="Q58" s="8" t="s">
        <x:v>129</x:v>
      </x:c>
      <x:c r="R58" s="9" t="s">
        <x:v>224</x:v>
      </x:c>
      <x:c r="S58" s="9"/>
    </x:row>
    <x:row r="59" ht="67.5" customHeight="1">
      <x:c r="A59" s="16" t="s">
        <x:v>19</x:v>
      </x:c>
      <x:c r="B59" s="16">
        <x:v>57.0</x:v>
      </x:c>
      <x:c r="C59" s="6" t="s">
        <x:v>172</x:v>
      </x:c>
      <x:c r="D59" s="6" t="s">
        <x:v>221</x:v>
      </x:c>
      <x:c r="E59" s="16">
        <x:v>56.0</x:v>
      </x:c>
      <x:c r="F59" s="16" t="s">
        <x:v>225</x:v>
      </x:c>
      <x:c r="G59" s="16" t="s">
        <x:v>44</x:v>
      </x:c>
      <x:c r="H59" s="6"/>
      <x:c r="I59" s="16" t="s">
        <x:v>133</x:v>
      </x:c>
      <x:c r="J59" s="16" t="s">
        <x:v>223</x:v>
      </x:c>
      <x:c r="K59" s="16" t="s">
        <x:v>134</x:v>
      </x:c>
      <x:c r="L59" s="16" t="s">
        <x:v>135</x:v>
      </x:c>
      <x:c r="M59" s="16" t="s">
        <x:v>48</x:v>
      </x:c>
      <x:c r="N59" s="16" t="s">
        <x:v>39</x:v>
      </x:c>
      <x:c r="O59" s="16">
        <x:v>2.0</x:v>
      </x:c>
      <x:c r="P59" s="16">
        <x:v>16.0</x:v>
      </x:c>
      <x:c r="Q59" s="16" t="s">
        <x:v>136</x:v>
      </x:c>
      <x:c r="R59" s="6" t="s">
        <x:v>226</x:v>
      </x:c>
      <x:c r="S59" s="6"/>
    </x:row>
    <x:row r="60" ht="67.5" customHeight="1">
      <x:c r="A60" s="16" t="s">
        <x:v>19</x:v>
      </x:c>
      <x:c r="B60" s="16">
        <x:v>58.0</x:v>
      </x:c>
      <x:c r="C60" s="6" t="s">
        <x:v>227</x:v>
      </x:c>
      <x:c r="D60" s="6" t="s">
        <x:v>221</x:v>
      </x:c>
      <x:c r="E60" s="16">
        <x:v>56.0</x:v>
      </x:c>
      <x:c r="F60" s="16" t="s">
        <x:v>222</x:v>
      </x:c>
      <x:c r="G60" s="16" t="s">
        <x:v>44</x:v>
      </x:c>
      <x:c r="H60" s="6"/>
      <x:c r="I60" s="16" t="s">
        <x:v>139</x:v>
      </x:c>
      <x:c r="J60" s="16" t="s">
        <x:v>223</x:v>
      </x:c>
      <x:c r="K60" s="16" t="s">
        <x:v>26</x:v>
      </x:c>
      <x:c r="L60" s="16" t="s">
        <x:v>140</x:v>
      </x:c>
      <x:c r="M60" s="16" t="s">
        <x:v>48</x:v>
      </x:c>
      <x:c r="N60" s="16" t="s">
        <x:v>39</x:v>
      </x:c>
      <x:c r="O60" s="16">
        <x:v>2.0</x:v>
      </x:c>
      <x:c r="P60" s="16">
        <x:v>16.0</x:v>
      </x:c>
      <x:c r="Q60" s="16" t="s">
        <x:v>141</x:v>
      </x:c>
      <x:c r="R60" s="6" t="s">
        <x:v>142</x:v>
      </x:c>
      <x:c r="S60" s="6"/>
    </x:row>
    <x:row r="61" ht="67.5" customHeight="1">
      <x:c r="A61" s="16" t="s">
        <x:v>19</x:v>
      </x:c>
      <x:c r="B61" s="16">
        <x:v>59.0</x:v>
      </x:c>
      <x:c r="C61" s="6" t="s">
        <x:v>228</x:v>
      </x:c>
      <x:c r="D61" s="6" t="s">
        <x:v>221</x:v>
      </x:c>
      <x:c r="E61" s="16">
        <x:v>57.0</x:v>
      </x:c>
      <x:c r="F61" s="16" t="s">
        <x:v>225</x:v>
      </x:c>
      <x:c r="G61" s="16" t="s">
        <x:v>44</x:v>
      </x:c>
      <x:c r="H61" s="6"/>
      <x:c r="I61" s="16" t="s">
        <x:v>139</x:v>
      </x:c>
      <x:c r="J61" s="16" t="s">
        <x:v>223</x:v>
      </x:c>
      <x:c r="K61" s="16" t="s">
        <x:v>134</x:v>
      </x:c>
      <x:c r="L61" s="16" t="s">
        <x:v>144</x:v>
      </x:c>
      <x:c r="M61" s="16" t="s">
        <x:v>48</x:v>
      </x:c>
      <x:c r="N61" s="16" t="s">
        <x:v>39</x:v>
      </x:c>
      <x:c r="O61" s="16">
        <x:v>2.0</x:v>
      </x:c>
      <x:c r="P61" s="16">
        <x:v>16.0</x:v>
      </x:c>
      <x:c r="Q61" s="16" t="s">
        <x:v>145</x:v>
      </x:c>
      <x:c r="R61" s="6" t="s">
        <x:v>146</x:v>
      </x:c>
      <x:c r="S61" s="6"/>
    </x:row>
    <x:row r="62" ht="67.5" customHeight="1">
      <x:c r="A62" s="8" t="s">
        <x:v>19</x:v>
      </x:c>
      <x:c r="B62" s="8">
        <x:v>60.0</x:v>
      </x:c>
      <x:c r="C62" s="9" t="s">
        <x:v>41</x:v>
      </x:c>
      <x:c r="D62" s="9" t="s">
        <x:v>229</x:v>
      </x:c>
      <x:c r="E62" s="8"/>
      <x:c r="F62" s="8" t="s">
        <x:v>230</x:v>
      </x:c>
      <x:c r="G62" s="8" t="s">
        <x:v>35</x:v>
      </x:c>
      <x:c r="H62" s="9"/>
      <x:c r="I62" s="8" t="s">
        <x:v>126</x:v>
      </x:c>
      <x:c r="J62" s="8" t="s">
        <x:v>231</x:v>
      </x:c>
      <x:c r="K62" s="8" t="s">
        <x:v>46</x:v>
      </x:c>
      <x:c r="L62" s="8" t="s">
        <x:v>180</x:v>
      </x:c>
      <x:c r="M62" s="8" t="s">
        <x:v>38</x:v>
      </x:c>
      <x:c r="N62" s="8" t="s">
        <x:v>39</x:v>
      </x:c>
      <x:c r="O62" s="8">
        <x:v>2.0</x:v>
      </x:c>
      <x:c r="P62" s="8">
        <x:v>16.0</x:v>
      </x:c>
      <x:c r="Q62" s="8" t="s">
        <x:v>129</x:v>
      </x:c>
      <x:c r="R62" s="9" t="s">
        <x:v>232</x:v>
      </x:c>
      <x:c r="S62" s="9"/>
    </x:row>
    <x:row r="63" ht="67.5" customHeight="1">
      <x:c r="A63" s="16" t="s">
        <x:v>19</x:v>
      </x:c>
      <x:c r="B63" s="16">
        <x:v>61.0</x:v>
      </x:c>
      <x:c r="C63" s="6" t="s">
        <x:v>182</x:v>
      </x:c>
      <x:c r="D63" s="6" t="s">
        <x:v>229</x:v>
      </x:c>
      <x:c r="E63" s="16">
        <x:v>60.0</x:v>
      </x:c>
      <x:c r="F63" s="16" t="s">
        <x:v>132</x:v>
      </x:c>
      <x:c r="G63" s="16" t="s">
        <x:v>35</x:v>
      </x:c>
      <x:c r="H63" s="6"/>
      <x:c r="I63" s="16" t="s">
        <x:v>133</x:v>
      </x:c>
      <x:c r="J63" s="16" t="s">
        <x:v>231</x:v>
      </x:c>
      <x:c r="K63" s="16" t="s">
        <x:v>134</x:v>
      </x:c>
      <x:c r="L63" s="16" t="s">
        <x:v>135</x:v>
      </x:c>
      <x:c r="M63" s="16" t="s">
        <x:v>38</x:v>
      </x:c>
      <x:c r="N63" s="16" t="s">
        <x:v>39</x:v>
      </x:c>
      <x:c r="O63" s="16">
        <x:v>2.0</x:v>
      </x:c>
      <x:c r="P63" s="16">
        <x:v>16.0</x:v>
      </x:c>
      <x:c r="Q63" s="16" t="s">
        <x:v>136</x:v>
      </x:c>
      <x:c r="R63" s="6" t="s">
        <x:v>137</x:v>
      </x:c>
      <x:c r="S63" s="6"/>
    </x:row>
    <x:row r="64" ht="67.5" customHeight="1">
      <x:c r="A64" s="8" t="s">
        <x:v>19</x:v>
      </x:c>
      <x:c r="B64" s="8">
        <x:v>62.0</x:v>
      </x:c>
      <x:c r="C64" s="9" t="s">
        <x:v>20</x:v>
      </x:c>
      <x:c r="D64" s="9" t="s">
        <x:v>233</x:v>
      </x:c>
      <x:c r="E64" s="8"/>
      <x:c r="F64" s="8" t="s">
        <x:v>234</x:v>
      </x:c>
      <x:c r="G64" s="8" t="s">
        <x:v>44</x:v>
      </x:c>
      <x:c r="H64" s="9"/>
      <x:c r="I64" s="8" t="s">
        <x:v>126</x:v>
      </x:c>
      <x:c r="J64" s="8" t="s">
        <x:v>235</x:v>
      </x:c>
      <x:c r="K64" s="8" t="s">
        <x:v>26</x:v>
      </x:c>
      <x:c r="L64" s="8" t="s">
        <x:v>190</x:v>
      </x:c>
      <x:c r="M64" s="8" t="s">
        <x:v>48</x:v>
      </x:c>
      <x:c r="N64" s="8" t="s">
        <x:v>29</x:v>
      </x:c>
      <x:c r="O64" s="8">
        <x:v>2.0</x:v>
      </x:c>
      <x:c r="P64" s="8">
        <x:v>8.0</x:v>
      </x:c>
      <x:c r="Q64" s="8" t="s">
        <x:v>129</x:v>
      </x:c>
      <x:c r="R64" s="9" t="s">
        <x:v>236</x:v>
      </x:c>
      <x:c r="S64" s="9"/>
    </x:row>
    <x:row r="65" ht="67.5" customHeight="1">
      <x:c r="A65" s="16" t="s">
        <x:v>19</x:v>
      </x:c>
      <x:c r="B65" s="16">
        <x:v>63.0</x:v>
      </x:c>
      <x:c r="C65" s="6" t="s">
        <x:v>192</x:v>
      </x:c>
      <x:c r="D65" s="6" t="s">
        <x:v>233</x:v>
      </x:c>
      <x:c r="E65" s="16">
        <x:v>62.0</x:v>
      </x:c>
      <x:c r="F65" s="16" t="s">
        <x:v>153</x:v>
      </x:c>
      <x:c r="G65" s="16" t="s">
        <x:v>44</x:v>
      </x:c>
      <x:c r="H65" s="6"/>
      <x:c r="I65" s="16" t="s">
        <x:v>133</x:v>
      </x:c>
      <x:c r="J65" s="16" t="s">
        <x:v>235</x:v>
      </x:c>
      <x:c r="K65" s="16" t="s">
        <x:v>134</x:v>
      </x:c>
      <x:c r="L65" s="16" t="s">
        <x:v>135</x:v>
      </x:c>
      <x:c r="M65" s="16" t="s">
        <x:v>48</x:v>
      </x:c>
      <x:c r="N65" s="16" t="s">
        <x:v>29</x:v>
      </x:c>
      <x:c r="O65" s="16">
        <x:v>2.0</x:v>
      </x:c>
      <x:c r="P65" s="16">
        <x:v>8.0</x:v>
      </x:c>
      <x:c r="Q65" s="16" t="s">
        <x:v>136</x:v>
      </x:c>
      <x:c r="R65" s="6" t="s">
        <x:v>154</x:v>
      </x:c>
      <x:c r="S65" s="6"/>
    </x:row>
    <x:row r="66" ht="67.5" customHeight="1">
      <x:c r="A66" s="8" t="s">
        <x:v>19</x:v>
      </x:c>
      <x:c r="B66" s="8">
        <x:v>64.0</x:v>
      </x:c>
      <x:c r="C66" s="9" t="s">
        <x:v>70</x:v>
      </x:c>
      <x:c r="D66" s="9" t="s">
        <x:v>237</x:v>
      </x:c>
      <x:c r="E66" s="8"/>
      <x:c r="F66" s="8" t="s">
        <x:v>238</x:v>
      </x:c>
      <x:c r="G66" s="8" t="s">
        <x:v>35</x:v>
      </x:c>
      <x:c r="H66" s="9"/>
      <x:c r="I66" s="8" t="s">
        <x:v>126</x:v>
      </x:c>
      <x:c r="J66" s="8" t="s">
        <x:v>239</x:v>
      </x:c>
      <x:c r="K66" s="8" t="s">
        <x:v>46</x:v>
      </x:c>
      <x:c r="L66" s="8" t="s">
        <x:v>128</x:v>
      </x:c>
      <x:c r="M66" s="8" t="s">
        <x:v>38</x:v>
      </x:c>
      <x:c r="N66" s="8" t="s">
        <x:v>29</x:v>
      </x:c>
      <x:c r="O66" s="8">
        <x:v>2.0</x:v>
      </x:c>
      <x:c r="P66" s="8">
        <x:v>8.0</x:v>
      </x:c>
      <x:c r="Q66" s="8" t="s">
        <x:v>129</x:v>
      </x:c>
      <x:c r="R66" s="9" t="s">
        <x:v>240</x:v>
      </x:c>
      <x:c r="S66" s="9"/>
    </x:row>
    <x:row r="67" ht="67.5" customHeight="1">
      <x:c r="A67" s="16" t="s">
        <x:v>19</x:v>
      </x:c>
      <x:c r="B67" s="16">
        <x:v>65.0</x:v>
      </x:c>
      <x:c r="C67" s="6" t="s">
        <x:v>131</x:v>
      </x:c>
      <x:c r="D67" s="6" t="s">
        <x:v>237</x:v>
      </x:c>
      <x:c r="E67" s="16">
        <x:v>64.0</x:v>
      </x:c>
      <x:c r="F67" s="16" t="s">
        <x:v>163</x:v>
      </x:c>
      <x:c r="G67" s="16" t="s">
        <x:v>35</x:v>
      </x:c>
      <x:c r="H67" s="6"/>
      <x:c r="I67" s="16" t="s">
        <x:v>133</x:v>
      </x:c>
      <x:c r="J67" s="16" t="s">
        <x:v>239</x:v>
      </x:c>
      <x:c r="K67" s="16" t="s">
        <x:v>134</x:v>
      </x:c>
      <x:c r="L67" s="16" t="s">
        <x:v>135</x:v>
      </x:c>
      <x:c r="M67" s="16" t="s">
        <x:v>38</x:v>
      </x:c>
      <x:c r="N67" s="16" t="s">
        <x:v>29</x:v>
      </x:c>
      <x:c r="O67" s="16">
        <x:v>2.0</x:v>
      </x:c>
      <x:c r="P67" s="16">
        <x:v>8.0</x:v>
      </x:c>
      <x:c r="Q67" s="16" t="s">
        <x:v>136</x:v>
      </x:c>
      <x:c r="R67" s="6" t="s">
        <x:v>164</x:v>
      </x:c>
      <x:c r="S67" s="6"/>
    </x:row>
    <x:row r="68" ht="67.5" customHeight="1">
      <x:c r="A68" s="8" t="s">
        <x:v>19</x:v>
      </x:c>
      <x:c r="B68" s="8">
        <x:v>66.0</x:v>
      </x:c>
      <x:c r="C68" s="9" t="s">
        <x:v>32</x:v>
      </x:c>
      <x:c r="D68" s="9" t="s">
        <x:v>241</x:v>
      </x:c>
      <x:c r="E68" s="8"/>
      <x:c r="F68" s="8" t="s">
        <x:v>242</x:v>
      </x:c>
      <x:c r="G68" s="8" t="s">
        <x:v>44</x:v>
      </x:c>
      <x:c r="H68" s="9"/>
      <x:c r="I68" s="8" t="s">
        <x:v>126</x:v>
      </x:c>
      <x:c r="J68" s="8" t="s">
        <x:v>243</x:v>
      </x:c>
      <x:c r="K68" s="8" t="s">
        <x:v>26</x:v>
      </x:c>
      <x:c r="L68" s="8" t="s">
        <x:v>150</x:v>
      </x:c>
      <x:c r="M68" s="8" t="s">
        <x:v>48</x:v>
      </x:c>
      <x:c r="N68" s="8" t="s">
        <x:v>39</x:v>
      </x:c>
      <x:c r="O68" s="8">
        <x:v>2.0</x:v>
      </x:c>
      <x:c r="P68" s="8">
        <x:v>12.0</x:v>
      </x:c>
      <x:c r="Q68" s="8" t="s">
        <x:v>129</x:v>
      </x:c>
      <x:c r="R68" s="9" t="s">
        <x:v>244</x:v>
      </x:c>
      <x:c r="S68" s="9"/>
    </x:row>
    <x:row r="69" ht="67.5" customHeight="1">
      <x:c r="A69" s="16" t="s">
        <x:v>19</x:v>
      </x:c>
      <x:c r="B69" s="16">
        <x:v>67.0</x:v>
      </x:c>
      <x:c r="C69" s="6" t="s">
        <x:v>152</x:v>
      </x:c>
      <x:c r="D69" s="6" t="s">
        <x:v>241</x:v>
      </x:c>
      <x:c r="E69" s="16">
        <x:v>66.0</x:v>
      </x:c>
      <x:c r="F69" s="16" t="s">
        <x:v>173</x:v>
      </x:c>
      <x:c r="G69" s="16" t="s">
        <x:v>44</x:v>
      </x:c>
      <x:c r="H69" s="6"/>
      <x:c r="I69" s="16" t="s">
        <x:v>133</x:v>
      </x:c>
      <x:c r="J69" s="16" t="s">
        <x:v>243</x:v>
      </x:c>
      <x:c r="K69" s="16" t="s">
        <x:v>134</x:v>
      </x:c>
      <x:c r="L69" s="16" t="s">
        <x:v>135</x:v>
      </x:c>
      <x:c r="M69" s="16" t="s">
        <x:v>48</x:v>
      </x:c>
      <x:c r="N69" s="16" t="s">
        <x:v>39</x:v>
      </x:c>
      <x:c r="O69" s="16">
        <x:v>2.0</x:v>
      </x:c>
      <x:c r="P69" s="16">
        <x:v>12.0</x:v>
      </x:c>
      <x:c r="Q69" s="16" t="s">
        <x:v>136</x:v>
      </x:c>
      <x:c r="R69" s="6" t="s">
        <x:v>174</x:v>
      </x:c>
      <x:c r="S69" s="6"/>
    </x:row>
    <x:row r="70" ht="67.5" customHeight="1">
      <x:c r="A70" s="8" t="s">
        <x:v>19</x:v>
      </x:c>
      <x:c r="B70" s="8">
        <x:v>68.0</x:v>
      </x:c>
      <x:c r="C70" s="9" t="s">
        <x:v>50</x:v>
      </x:c>
      <x:c r="D70" s="9" t="s">
        <x:v>245</x:v>
      </x:c>
      <x:c r="E70" s="8"/>
      <x:c r="F70" s="8" t="s">
        <x:v>246</x:v>
      </x:c>
      <x:c r="G70" s="8" t="s">
        <x:v>35</x:v>
      </x:c>
      <x:c r="H70" s="9"/>
      <x:c r="I70" s="8" t="s">
        <x:v>126</x:v>
      </x:c>
      <x:c r="J70" s="8" t="s">
        <x:v>247</x:v>
      </x:c>
      <x:c r="K70" s="8" t="s">
        <x:v>46</x:v>
      </x:c>
      <x:c r="L70" s="8" t="s">
        <x:v>160</x:v>
      </x:c>
      <x:c r="M70" s="8" t="s">
        <x:v>38</x:v>
      </x:c>
      <x:c r="N70" s="8" t="s">
        <x:v>39</x:v>
      </x:c>
      <x:c r="O70" s="8">
        <x:v>2.0</x:v>
      </x:c>
      <x:c r="P70" s="8">
        <x:v>12.0</x:v>
      </x:c>
      <x:c r="Q70" s="8" t="s">
        <x:v>129</x:v>
      </x:c>
      <x:c r="R70" s="9" t="s">
        <x:v>248</x:v>
      </x:c>
      <x:c r="S70" s="9"/>
    </x:row>
    <x:row r="71" ht="67.5" customHeight="1">
      <x:c r="A71" s="16" t="s">
        <x:v>19</x:v>
      </x:c>
      <x:c r="B71" s="16">
        <x:v>69.0</x:v>
      </x:c>
      <x:c r="C71" s="6" t="s">
        <x:v>162</x:v>
      </x:c>
      <x:c r="D71" s="6" t="s">
        <x:v>245</x:v>
      </x:c>
      <x:c r="E71" s="16">
        <x:v>68.0</x:v>
      </x:c>
      <x:c r="F71" s="16" t="s">
        <x:v>183</x:v>
      </x:c>
      <x:c r="G71" s="16" t="s">
        <x:v>35</x:v>
      </x:c>
      <x:c r="H71" s="6"/>
      <x:c r="I71" s="16" t="s">
        <x:v>133</x:v>
      </x:c>
      <x:c r="J71" s="16" t="s">
        <x:v>247</x:v>
      </x:c>
      <x:c r="K71" s="16" t="s">
        <x:v>134</x:v>
      </x:c>
      <x:c r="L71" s="16" t="s">
        <x:v>135</x:v>
      </x:c>
      <x:c r="M71" s="16" t="s">
        <x:v>38</x:v>
      </x:c>
      <x:c r="N71" s="16" t="s">
        <x:v>39</x:v>
      </x:c>
      <x:c r="O71" s="16">
        <x:v>2.0</x:v>
      </x:c>
      <x:c r="P71" s="16">
        <x:v>12.0</x:v>
      </x:c>
      <x:c r="Q71" s="16" t="s">
        <x:v>136</x:v>
      </x:c>
      <x:c r="R71" s="6" t="s">
        <x:v>184</x:v>
      </x:c>
      <x:c r="S71" s="6"/>
    </x:row>
    <x:row r="72" ht="67.5" customHeight="1">
      <x:c r="A72" s="8" t="s">
        <x:v>19</x:v>
      </x:c>
      <x:c r="B72" s="8">
        <x:v>70.0</x:v>
      </x:c>
      <x:c r="C72" s="9" t="s">
        <x:v>79</x:v>
      </x:c>
      <x:c r="D72" s="9" t="s">
        <x:v>249</x:v>
      </x:c>
      <x:c r="E72" s="8"/>
      <x:c r="F72" s="8" t="s">
        <x:v>250</x:v>
      </x:c>
      <x:c r="G72" s="8" t="s">
        <x:v>44</x:v>
      </x:c>
      <x:c r="H72" s="9"/>
      <x:c r="I72" s="8" t="s">
        <x:v>126</x:v>
      </x:c>
      <x:c r="J72" s="8" t="s">
        <x:v>251</x:v>
      </x:c>
      <x:c r="K72" s="8" t="s">
        <x:v>26</x:v>
      </x:c>
      <x:c r="L72" s="8" t="s">
        <x:v>170</x:v>
      </x:c>
      <x:c r="M72" s="8" t="s">
        <x:v>48</x:v>
      </x:c>
      <x:c r="N72" s="8" t="s">
        <x:v>29</x:v>
      </x:c>
      <x:c r="O72" s="8">
        <x:v>2.0</x:v>
      </x:c>
      <x:c r="P72" s="8">
        <x:v>16.0</x:v>
      </x:c>
      <x:c r="Q72" s="8" t="s">
        <x:v>129</x:v>
      </x:c>
      <x:c r="R72" s="9" t="s">
        <x:v>252</x:v>
      </x:c>
      <x:c r="S72" s="9"/>
    </x:row>
    <x:row r="73" ht="67.5" customHeight="1">
      <x:c r="A73" s="16" t="s">
        <x:v>19</x:v>
      </x:c>
      <x:c r="B73" s="16">
        <x:v>71.0</x:v>
      </x:c>
      <x:c r="C73" s="6" t="s">
        <x:v>172</x:v>
      </x:c>
      <x:c r="D73" s="6" t="s">
        <x:v>249</x:v>
      </x:c>
      <x:c r="E73" s="16">
        <x:v>70.0</x:v>
      </x:c>
      <x:c r="F73" s="16" t="s">
        <x:v>193</x:v>
      </x:c>
      <x:c r="G73" s="16" t="s">
        <x:v>44</x:v>
      </x:c>
      <x:c r="H73" s="6"/>
      <x:c r="I73" s="16" t="s">
        <x:v>133</x:v>
      </x:c>
      <x:c r="J73" s="16" t="s">
        <x:v>251</x:v>
      </x:c>
      <x:c r="K73" s="16" t="s">
        <x:v>134</x:v>
      </x:c>
      <x:c r="L73" s="16" t="s">
        <x:v>135</x:v>
      </x:c>
      <x:c r="M73" s="16" t="s">
        <x:v>48</x:v>
      </x:c>
      <x:c r="N73" s="16" t="s">
        <x:v>29</x:v>
      </x:c>
      <x:c r="O73" s="16">
        <x:v>2.0</x:v>
      </x:c>
      <x:c r="P73" s="16">
        <x:v>16.0</x:v>
      </x:c>
      <x:c r="Q73" s="16" t="s">
        <x:v>136</x:v>
      </x:c>
      <x:c r="R73" s="6" t="s">
        <x:v>194</x:v>
      </x:c>
      <x:c r="S73" s="6"/>
    </x:row>
    <x:row r="74" ht="67.5" customHeight="1">
      <x:c r="A74" s="8" t="s">
        <x:v>19</x:v>
      </x:c>
      <x:c r="B74" s="8">
        <x:v>72.0</x:v>
      </x:c>
      <x:c r="C74" s="9" t="s">
        <x:v>41</x:v>
      </x:c>
      <x:c r="D74" s="9" t="s">
        <x:v>253</x:v>
      </x:c>
      <x:c r="E74" s="8"/>
      <x:c r="F74" s="8" t="s">
        <x:v>254</x:v>
      </x:c>
      <x:c r="G74" s="8" t="s">
        <x:v>35</x:v>
      </x:c>
      <x:c r="H74" s="9"/>
      <x:c r="I74" s="8" t="s">
        <x:v>126</x:v>
      </x:c>
      <x:c r="J74" s="8" t="s">
        <x:v>255</x:v>
      </x:c>
      <x:c r="K74" s="8" t="s">
        <x:v>46</x:v>
      </x:c>
      <x:c r="L74" s="8" t="s">
        <x:v>180</x:v>
      </x:c>
      <x:c r="M74" s="8" t="s">
        <x:v>38</x:v>
      </x:c>
      <x:c r="N74" s="8" t="s">
        <x:v>29</x:v>
      </x:c>
      <x:c r="O74" s="8">
        <x:v>2.0</x:v>
      </x:c>
      <x:c r="P74" s="8">
        <x:v>16.0</x:v>
      </x:c>
      <x:c r="Q74" s="8" t="s">
        <x:v>129</x:v>
      </x:c>
      <x:c r="R74" s="9" t="s">
        <x:v>256</x:v>
      </x:c>
      <x:c r="S74" s="9"/>
    </x:row>
    <x:row r="75" ht="67.5" customHeight="1">
      <x:c r="A75" s="16" t="s">
        <x:v>19</x:v>
      </x:c>
      <x:c r="B75" s="16">
        <x:v>73.0</x:v>
      </x:c>
      <x:c r="C75" s="6" t="s">
        <x:v>182</x:v>
      </x:c>
      <x:c r="D75" s="6" t="s">
        <x:v>253</x:v>
      </x:c>
      <x:c r="E75" s="16">
        <x:v>72.0</x:v>
      </x:c>
      <x:c r="F75" s="16" t="s">
        <x:v>201</x:v>
      </x:c>
      <x:c r="G75" s="16" t="s">
        <x:v>35</x:v>
      </x:c>
      <x:c r="H75" s="6"/>
      <x:c r="I75" s="16" t="s">
        <x:v>133</x:v>
      </x:c>
      <x:c r="J75" s="16" t="s">
        <x:v>255</x:v>
      </x:c>
      <x:c r="K75" s="16" t="s">
        <x:v>134</x:v>
      </x:c>
      <x:c r="L75" s="16" t="s">
        <x:v>135</x:v>
      </x:c>
      <x:c r="M75" s="16" t="s">
        <x:v>38</x:v>
      </x:c>
      <x:c r="N75" s="16" t="s">
        <x:v>29</x:v>
      </x:c>
      <x:c r="O75" s="16">
        <x:v>2.0</x:v>
      </x:c>
      <x:c r="P75" s="16">
        <x:v>16.0</x:v>
      </x:c>
      <x:c r="Q75" s="16" t="s">
        <x:v>136</x:v>
      </x:c>
      <x:c r="R75" s="6" t="s">
        <x:v>202</x:v>
      </x:c>
      <x:c r="S75" s="6"/>
    </x:row>
    <x:row r="76" ht="67.5" customHeight="1">
      <x:c r="A76" s="8" t="s">
        <x:v>19</x:v>
      </x:c>
      <x:c r="B76" s="8">
        <x:v>74.0</x:v>
      </x:c>
      <x:c r="C76" s="9" t="s">
        <x:v>20</x:v>
      </x:c>
      <x:c r="D76" s="9" t="s">
        <x:v>257</x:v>
      </x:c>
      <x:c r="E76" s="8"/>
      <x:c r="F76" s="8" t="s">
        <x:v>258</x:v>
      </x:c>
      <x:c r="G76" s="8" t="s">
        <x:v>44</x:v>
      </x:c>
      <x:c r="H76" s="9"/>
      <x:c r="I76" s="8" t="s">
        <x:v>126</x:v>
      </x:c>
      <x:c r="J76" s="8" t="s">
        <x:v>259</x:v>
      </x:c>
      <x:c r="K76" s="8" t="s">
        <x:v>26</x:v>
      </x:c>
      <x:c r="L76" s="8" t="s">
        <x:v>190</x:v>
      </x:c>
      <x:c r="M76" s="8" t="s">
        <x:v>48</x:v>
      </x:c>
      <x:c r="N76" s="8" t="s">
        <x:v>39</x:v>
      </x:c>
      <x:c r="O76" s="8">
        <x:v>2.0</x:v>
      </x:c>
      <x:c r="P76" s="8">
        <x:v>8.0</x:v>
      </x:c>
      <x:c r="Q76" s="8" t="s">
        <x:v>129</x:v>
      </x:c>
      <x:c r="R76" s="9" t="s">
        <x:v>260</x:v>
      </x:c>
      <x:c r="S76" s="9"/>
    </x:row>
    <x:row r="77" ht="67.5" customHeight="1">
      <x:c r="A77" s="16" t="s">
        <x:v>19</x:v>
      </x:c>
      <x:c r="B77" s="16">
        <x:v>75.0</x:v>
      </x:c>
      <x:c r="C77" s="6" t="s">
        <x:v>192</x:v>
      </x:c>
      <x:c r="D77" s="6" t="s">
        <x:v>257</x:v>
      </x:c>
      <x:c r="E77" s="16">
        <x:v>74.0</x:v>
      </x:c>
      <x:c r="F77" s="16" t="s">
        <x:v>209</x:v>
      </x:c>
      <x:c r="G77" s="16" t="s">
        <x:v>44</x:v>
      </x:c>
      <x:c r="H77" s="6"/>
      <x:c r="I77" s="16" t="s">
        <x:v>133</x:v>
      </x:c>
      <x:c r="J77" s="16" t="s">
        <x:v>259</x:v>
      </x:c>
      <x:c r="K77" s="16" t="s">
        <x:v>134</x:v>
      </x:c>
      <x:c r="L77" s="16" t="s">
        <x:v>135</x:v>
      </x:c>
      <x:c r="M77" s="16" t="s">
        <x:v>48</x:v>
      </x:c>
      <x:c r="N77" s="16" t="s">
        <x:v>39</x:v>
      </x:c>
      <x:c r="O77" s="16">
        <x:v>2.0</x:v>
      </x:c>
      <x:c r="P77" s="16">
        <x:v>8.0</x:v>
      </x:c>
      <x:c r="Q77" s="16" t="s">
        <x:v>136</x:v>
      </x:c>
      <x:c r="R77" s="6" t="s">
        <x:v>210</x:v>
      </x:c>
      <x:c r="S77" s="6"/>
    </x:row>
    <x:row r="78" ht="67.5" customHeight="1">
      <x:c r="A78" s="8" t="s">
        <x:v>19</x:v>
      </x:c>
      <x:c r="B78" s="8">
        <x:v>76.0</x:v>
      </x:c>
      <x:c r="C78" s="9" t="s">
        <x:v>70</x:v>
      </x:c>
      <x:c r="D78" s="9" t="s">
        <x:v>261</x:v>
      </x:c>
      <x:c r="E78" s="8"/>
      <x:c r="F78" s="8" t="s">
        <x:v>262</x:v>
      </x:c>
      <x:c r="G78" s="8" t="s">
        <x:v>35</x:v>
      </x:c>
      <x:c r="H78" s="9"/>
      <x:c r="I78" s="8" t="s">
        <x:v>126</x:v>
      </x:c>
      <x:c r="J78" s="8" t="s">
        <x:v>263</x:v>
      </x:c>
      <x:c r="K78" s="8" t="s">
        <x:v>46</x:v>
      </x:c>
      <x:c r="L78" s="8" t="s">
        <x:v>128</x:v>
      </x:c>
      <x:c r="M78" s="8" t="s">
        <x:v>38</x:v>
      </x:c>
      <x:c r="N78" s="8" t="s">
        <x:v>39</x:v>
      </x:c>
      <x:c r="O78" s="8">
        <x:v>2.0</x:v>
      </x:c>
      <x:c r="P78" s="8">
        <x:v>8.0</x:v>
      </x:c>
      <x:c r="Q78" s="8" t="s">
        <x:v>129</x:v>
      </x:c>
      <x:c r="R78" s="9" t="s">
        <x:v>264</x:v>
      </x:c>
      <x:c r="S78" s="9"/>
    </x:row>
    <x:row r="79" ht="67.5" customHeight="1">
      <x:c r="A79" s="16" t="s">
        <x:v>19</x:v>
      </x:c>
      <x:c r="B79" s="16">
        <x:v>77.0</x:v>
      </x:c>
      <x:c r="C79" s="6" t="s">
        <x:v>131</x:v>
      </x:c>
      <x:c r="D79" s="6" t="s">
        <x:v>261</x:v>
      </x:c>
      <x:c r="E79" s="16">
        <x:v>76.0</x:v>
      </x:c>
      <x:c r="F79" s="16" t="s">
        <x:v>217</x:v>
      </x:c>
      <x:c r="G79" s="16" t="s">
        <x:v>35</x:v>
      </x:c>
      <x:c r="H79" s="6"/>
      <x:c r="I79" s="16" t="s">
        <x:v>133</x:v>
      </x:c>
      <x:c r="J79" s="16" t="s">
        <x:v>263</x:v>
      </x:c>
      <x:c r="K79" s="16" t="s">
        <x:v>134</x:v>
      </x:c>
      <x:c r="L79" s="16" t="s">
        <x:v>135</x:v>
      </x:c>
      <x:c r="M79" s="16" t="s">
        <x:v>38</x:v>
      </x:c>
      <x:c r="N79" s="16" t="s">
        <x:v>39</x:v>
      </x:c>
      <x:c r="O79" s="16">
        <x:v>2.0</x:v>
      </x:c>
      <x:c r="P79" s="16">
        <x:v>8.0</x:v>
      </x:c>
      <x:c r="Q79" s="16" t="s">
        <x:v>136</x:v>
      </x:c>
      <x:c r="R79" s="6" t="s">
        <x:v>218</x:v>
      </x:c>
      <x:c r="S79" s="6"/>
    </x:row>
    <x:row r="80" ht="67.5" customHeight="1">
      <x:c r="A80" s="8" t="s">
        <x:v>19</x:v>
      </x:c>
      <x:c r="B80" s="8">
        <x:v>78.0</x:v>
      </x:c>
      <x:c r="C80" s="9" t="s">
        <x:v>32</x:v>
      </x:c>
      <x:c r="D80" s="9" t="s">
        <x:v>265</x:v>
      </x:c>
      <x:c r="E80" s="8"/>
      <x:c r="F80" s="8" t="s">
        <x:v>266</x:v>
      </x:c>
      <x:c r="G80" s="8" t="s">
        <x:v>44</x:v>
      </x:c>
      <x:c r="H80" s="9"/>
      <x:c r="I80" s="8" t="s">
        <x:v>126</x:v>
      </x:c>
      <x:c r="J80" s="8" t="s">
        <x:v>267</x:v>
      </x:c>
      <x:c r="K80" s="8" t="s">
        <x:v>26</x:v>
      </x:c>
      <x:c r="L80" s="8" t="s">
        <x:v>150</x:v>
      </x:c>
      <x:c r="M80" s="8" t="s">
        <x:v>48</x:v>
      </x:c>
      <x:c r="N80" s="8" t="s">
        <x:v>29</x:v>
      </x:c>
      <x:c r="O80" s="8">
        <x:v>2.0</x:v>
      </x:c>
      <x:c r="P80" s="8">
        <x:v>12.0</x:v>
      </x:c>
      <x:c r="Q80" s="8" t="s">
        <x:v>129</x:v>
      </x:c>
      <x:c r="R80" s="9" t="s">
        <x:v>268</x:v>
      </x:c>
      <x:c r="S80" s="9"/>
    </x:row>
    <x:row r="81" ht="67.5" customHeight="1">
      <x:c r="A81" s="16" t="s">
        <x:v>19</x:v>
      </x:c>
      <x:c r="B81" s="16">
        <x:v>79.0</x:v>
      </x:c>
      <x:c r="C81" s="6" t="s">
        <x:v>152</x:v>
      </x:c>
      <x:c r="D81" s="6" t="s">
        <x:v>265</x:v>
      </x:c>
      <x:c r="E81" s="16">
        <x:v>78.0</x:v>
      </x:c>
      <x:c r="F81" s="16" t="s">
        <x:v>225</x:v>
      </x:c>
      <x:c r="G81" s="16" t="s">
        <x:v>44</x:v>
      </x:c>
      <x:c r="H81" s="6"/>
      <x:c r="I81" s="16" t="s">
        <x:v>133</x:v>
      </x:c>
      <x:c r="J81" s="16" t="s">
        <x:v>267</x:v>
      </x:c>
      <x:c r="K81" s="16" t="s">
        <x:v>134</x:v>
      </x:c>
      <x:c r="L81" s="16" t="s">
        <x:v>135</x:v>
      </x:c>
      <x:c r="M81" s="16" t="s">
        <x:v>48</x:v>
      </x:c>
      <x:c r="N81" s="16" t="s">
        <x:v>29</x:v>
      </x:c>
      <x:c r="O81" s="16">
        <x:v>2.0</x:v>
      </x:c>
      <x:c r="P81" s="16">
        <x:v>12.0</x:v>
      </x:c>
      <x:c r="Q81" s="16" t="s">
        <x:v>136</x:v>
      </x:c>
      <x:c r="R81" s="6" t="s">
        <x:v>226</x:v>
      </x:c>
      <x:c r="S81" s="6"/>
    </x:row>
    <x:row r="82" ht="67.5" customHeight="1">
      <x:c r="A82" s="8" t="s">
        <x:v>19</x:v>
      </x:c>
      <x:c r="B82" s="8">
        <x:v>80.0</x:v>
      </x:c>
      <x:c r="C82" s="9" t="s">
        <x:v>50</x:v>
      </x:c>
      <x:c r="D82" s="9" t="s">
        <x:v>269</x:v>
      </x:c>
      <x:c r="E82" s="8"/>
      <x:c r="F82" s="8" t="s">
        <x:v>270</x:v>
      </x:c>
      <x:c r="G82" s="8" t="s">
        <x:v>35</x:v>
      </x:c>
      <x:c r="H82" s="9"/>
      <x:c r="I82" s="8" t="s">
        <x:v>126</x:v>
      </x:c>
      <x:c r="J82" s="8" t="s">
        <x:v>271</x:v>
      </x:c>
      <x:c r="K82" s="8" t="s">
        <x:v>46</x:v>
      </x:c>
      <x:c r="L82" s="8" t="s">
        <x:v>160</x:v>
      </x:c>
      <x:c r="M82" s="8" t="s">
        <x:v>38</x:v>
      </x:c>
      <x:c r="N82" s="8" t="s">
        <x:v>29</x:v>
      </x:c>
      <x:c r="O82" s="8">
        <x:v>2.0</x:v>
      </x:c>
      <x:c r="P82" s="8">
        <x:v>12.0</x:v>
      </x:c>
      <x:c r="Q82" s="8" t="s">
        <x:v>129</x:v>
      </x:c>
      <x:c r="R82" s="9" t="s">
        <x:v>272</x:v>
      </x:c>
      <x:c r="S82" s="9"/>
    </x:row>
    <x:row r="83" ht="67.5" customHeight="1">
      <x:c r="A83" s="8" t="s">
        <x:v>19</x:v>
      </x:c>
      <x:c r="B83" s="8">
        <x:v>81.0</x:v>
      </x:c>
      <x:c r="C83" s="9" t="s">
        <x:v>79</x:v>
      </x:c>
      <x:c r="D83" s="9" t="s">
        <x:v>273</x:v>
      </x:c>
      <x:c r="E83" s="8"/>
      <x:c r="F83" s="8" t="s">
        <x:v>274</x:v>
      </x:c>
      <x:c r="G83" s="8" t="s">
        <x:v>44</x:v>
      </x:c>
      <x:c r="H83" s="9"/>
      <x:c r="I83" s="8" t="s">
        <x:v>126</x:v>
      </x:c>
      <x:c r="J83" s="8" t="s">
        <x:v>275</x:v>
      </x:c>
      <x:c r="K83" s="8" t="s">
        <x:v>26</x:v>
      </x:c>
      <x:c r="L83" s="8" t="s">
        <x:v>170</x:v>
      </x:c>
      <x:c r="M83" s="8" t="s">
        <x:v>48</x:v>
      </x:c>
      <x:c r="N83" s="8" t="s">
        <x:v>39</x:v>
      </x:c>
      <x:c r="O83" s="8">
        <x:v>2.0</x:v>
      </x:c>
      <x:c r="P83" s="8">
        <x:v>16.0</x:v>
      </x:c>
      <x:c r="Q83" s="8" t="s">
        <x:v>129</x:v>
      </x:c>
      <x:c r="R83" s="9" t="s">
        <x:v>276</x:v>
      </x:c>
      <x:c r="S83" s="9"/>
    </x:row>
    <x:row r="84" ht="67.5" customHeight="1">
      <x:c r="A84" s="8" t="s">
        <x:v>19</x:v>
      </x:c>
      <x:c r="B84" s="8">
        <x:v>82.0</x:v>
      </x:c>
      <x:c r="C84" s="9" t="s">
        <x:v>41</x:v>
      </x:c>
      <x:c r="D84" s="9" t="s">
        <x:v>277</x:v>
      </x:c>
      <x:c r="E84" s="8"/>
      <x:c r="F84" s="8" t="s">
        <x:v>278</x:v>
      </x:c>
      <x:c r="G84" s="8" t="s">
        <x:v>35</x:v>
      </x:c>
      <x:c r="H84" s="9"/>
      <x:c r="I84" s="8" t="s">
        <x:v>126</x:v>
      </x:c>
      <x:c r="J84" s="8" t="s">
        <x:v>279</x:v>
      </x:c>
      <x:c r="K84" s="8" t="s">
        <x:v>46</x:v>
      </x:c>
      <x:c r="L84" s="8" t="s">
        <x:v>180</x:v>
      </x:c>
      <x:c r="M84" s="8" t="s">
        <x:v>38</x:v>
      </x:c>
      <x:c r="N84" s="8" t="s">
        <x:v>39</x:v>
      </x:c>
      <x:c r="O84" s="8">
        <x:v>2.0</x:v>
      </x:c>
      <x:c r="P84" s="8">
        <x:v>16.0</x:v>
      </x:c>
      <x:c r="Q84" s="8" t="s">
        <x:v>129</x:v>
      </x:c>
      <x:c r="R84" s="9" t="s">
        <x:v>280</x:v>
      </x:c>
      <x:c r="S84" s="9"/>
    </x:row>
    <x:row r="85" ht="67.5" customHeight="1">
      <x:c r="A85" s="8" t="s">
        <x:v>19</x:v>
      </x:c>
      <x:c r="B85" s="8">
        <x:v>83.0</x:v>
      </x:c>
      <x:c r="C85" s="9" t="s">
        <x:v>20</x:v>
      </x:c>
      <x:c r="D85" s="9" t="s">
        <x:v>281</x:v>
      </x:c>
      <x:c r="E85" s="8"/>
      <x:c r="F85" s="8" t="s">
        <x:v>282</x:v>
      </x:c>
      <x:c r="G85" s="8" t="s">
        <x:v>44</x:v>
      </x:c>
      <x:c r="H85" s="9"/>
      <x:c r="I85" s="8" t="s">
        <x:v>126</x:v>
      </x:c>
      <x:c r="J85" s="8" t="s">
        <x:v>283</x:v>
      </x:c>
      <x:c r="K85" s="8" t="s">
        <x:v>26</x:v>
      </x:c>
      <x:c r="L85" s="8" t="s">
        <x:v>190</x:v>
      </x:c>
      <x:c r="M85" s="8" t="s">
        <x:v>48</x:v>
      </x:c>
      <x:c r="N85" s="8" t="s">
        <x:v>29</x:v>
      </x:c>
      <x:c r="O85" s="8">
        <x:v>2.0</x:v>
      </x:c>
      <x:c r="P85" s="8">
        <x:v>8.0</x:v>
      </x:c>
      <x:c r="Q85" s="8" t="s">
        <x:v>129</x:v>
      </x:c>
      <x:c r="R85" s="9" t="s">
        <x:v>284</x:v>
      </x:c>
      <x:c r="S85" s="9"/>
    </x:row>
    <x:row r="86" ht="67.5" customHeight="1">
      <x:c r="A86" s="8" t="s">
        <x:v>19</x:v>
      </x:c>
      <x:c r="B86" s="8">
        <x:v>84.0</x:v>
      </x:c>
      <x:c r="C86" s="9" t="s">
        <x:v>70</x:v>
      </x:c>
      <x:c r="D86" s="9" t="s">
        <x:v>285</x:v>
      </x:c>
      <x:c r="E86" s="8"/>
      <x:c r="F86" s="8" t="s">
        <x:v>286</x:v>
      </x:c>
      <x:c r="G86" s="8" t="s">
        <x:v>35</x:v>
      </x:c>
      <x:c r="H86" s="9"/>
      <x:c r="I86" s="8" t="s">
        <x:v>126</x:v>
      </x:c>
      <x:c r="J86" s="8" t="s">
        <x:v>287</x:v>
      </x:c>
      <x:c r="K86" s="8" t="s">
        <x:v>46</x:v>
      </x:c>
      <x:c r="L86" s="8" t="s">
        <x:v>128</x:v>
      </x:c>
      <x:c r="M86" s="8" t="s">
        <x:v>38</x:v>
      </x:c>
      <x:c r="N86" s="8" t="s">
        <x:v>29</x:v>
      </x:c>
      <x:c r="O86" s="8">
        <x:v>2.0</x:v>
      </x:c>
      <x:c r="P86" s="8">
        <x:v>8.0</x:v>
      </x:c>
      <x:c r="Q86" s="8" t="s">
        <x:v>129</x:v>
      </x:c>
      <x:c r="R86" s="9" t="s">
        <x:v>288</x:v>
      </x:c>
      <x:c r="S86" s="9"/>
    </x:row>
    <x:row r="87" ht="67.5" customHeight="1">
      <x:c r="A87" s="8" t="s">
        <x:v>19</x:v>
      </x:c>
      <x:c r="B87" s="8">
        <x:v>85.0</x:v>
      </x:c>
      <x:c r="C87" s="9" t="s">
        <x:v>32</x:v>
      </x:c>
      <x:c r="D87" s="9" t="s">
        <x:v>289</x:v>
      </x:c>
      <x:c r="E87" s="8"/>
      <x:c r="F87" s="8" t="s">
        <x:v>290</x:v>
      </x:c>
      <x:c r="G87" s="8" t="s">
        <x:v>44</x:v>
      </x:c>
      <x:c r="H87" s="9"/>
      <x:c r="I87" s="8" t="s">
        <x:v>126</x:v>
      </x:c>
      <x:c r="J87" s="8" t="s">
        <x:v>291</x:v>
      </x:c>
      <x:c r="K87" s="8" t="s">
        <x:v>26</x:v>
      </x:c>
      <x:c r="L87" s="8" t="s">
        <x:v>150</x:v>
      </x:c>
      <x:c r="M87" s="8" t="s">
        <x:v>48</x:v>
      </x:c>
      <x:c r="N87" s="8" t="s">
        <x:v>39</x:v>
      </x:c>
      <x:c r="O87" s="8">
        <x:v>2.0</x:v>
      </x:c>
      <x:c r="P87" s="8">
        <x:v>12.0</x:v>
      </x:c>
      <x:c r="Q87" s="8" t="s">
        <x:v>129</x:v>
      </x:c>
      <x:c r="R87" s="9" t="s">
        <x:v>292</x:v>
      </x:c>
      <x:c r="S87" s="9"/>
    </x:row>
    <x:row r="88" ht="67.5" customHeight="1">
      <x:c r="A88" s="8" t="s">
        <x:v>19</x:v>
      </x:c>
      <x:c r="B88" s="8">
        <x:v>86.0</x:v>
      </x:c>
      <x:c r="C88" s="9" t="s">
        <x:v>50</x:v>
      </x:c>
      <x:c r="D88" s="9" t="s">
        <x:v>293</x:v>
      </x:c>
      <x:c r="E88" s="8"/>
      <x:c r="F88" s="8" t="s">
        <x:v>294</x:v>
      </x:c>
      <x:c r="G88" s="8" t="s">
        <x:v>35</x:v>
      </x:c>
      <x:c r="H88" s="9"/>
      <x:c r="I88" s="8" t="s">
        <x:v>126</x:v>
      </x:c>
      <x:c r="J88" s="8" t="s">
        <x:v>295</x:v>
      </x:c>
      <x:c r="K88" s="8" t="s">
        <x:v>46</x:v>
      </x:c>
      <x:c r="L88" s="8" t="s">
        <x:v>160</x:v>
      </x:c>
      <x:c r="M88" s="8" t="s">
        <x:v>38</x:v>
      </x:c>
      <x:c r="N88" s="8" t="s">
        <x:v>39</x:v>
      </x:c>
      <x:c r="O88" s="8">
        <x:v>2.0</x:v>
      </x:c>
      <x:c r="P88" s="8">
        <x:v>12.0</x:v>
      </x:c>
      <x:c r="Q88" s="8" t="s">
        <x:v>129</x:v>
      </x:c>
      <x:c r="R88" s="9" t="s">
        <x:v>296</x:v>
      </x:c>
      <x:c r="S88" s="9"/>
    </x:row>
    <x:row r="89" ht="67.5" customHeight="1">
      <x:c r="A89" s="8" t="s">
        <x:v>19</x:v>
      </x:c>
      <x:c r="B89" s="8">
        <x:v>87.0</x:v>
      </x:c>
      <x:c r="C89" s="9" t="s">
        <x:v>79</x:v>
      </x:c>
      <x:c r="D89" s="9" t="s">
        <x:v>297</x:v>
      </x:c>
      <x:c r="E89" s="8"/>
      <x:c r="F89" s="8" t="s">
        <x:v>298</x:v>
      </x:c>
      <x:c r="G89" s="8" t="s">
        <x:v>44</x:v>
      </x:c>
      <x:c r="H89" s="9"/>
      <x:c r="I89" s="8" t="s">
        <x:v>126</x:v>
      </x:c>
      <x:c r="J89" s="8" t="s">
        <x:v>299</x:v>
      </x:c>
      <x:c r="K89" s="8" t="s">
        <x:v>26</x:v>
      </x:c>
      <x:c r="L89" s="8" t="s">
        <x:v>170</x:v>
      </x:c>
      <x:c r="M89" s="8" t="s">
        <x:v>48</x:v>
      </x:c>
      <x:c r="N89" s="8" t="s">
        <x:v>29</x:v>
      </x:c>
      <x:c r="O89" s="8">
        <x:v>2.0</x:v>
      </x:c>
      <x:c r="P89" s="8">
        <x:v>16.0</x:v>
      </x:c>
      <x:c r="Q89" s="8" t="s">
        <x:v>129</x:v>
      </x:c>
      <x:c r="R89" s="9" t="s">
        <x:v>300</x:v>
      </x:c>
      <x:c r="S89" s="9"/>
    </x:row>
    <x:row r="90" ht="67.5" customHeight="1">
      <x:c r="A90" s="8" t="s">
        <x:v>19</x:v>
      </x:c>
      <x:c r="B90" s="8">
        <x:v>88.0</x:v>
      </x:c>
      <x:c r="C90" s="9" t="s">
        <x:v>41</x:v>
      </x:c>
      <x:c r="D90" s="9" t="s">
        <x:v>301</x:v>
      </x:c>
      <x:c r="E90" s="8"/>
      <x:c r="F90" s="8" t="s">
        <x:v>302</x:v>
      </x:c>
      <x:c r="G90" s="8" t="s">
        <x:v>35</x:v>
      </x:c>
      <x:c r="H90" s="9"/>
      <x:c r="I90" s="8" t="s">
        <x:v>126</x:v>
      </x:c>
      <x:c r="J90" s="8" t="s">
        <x:v>303</x:v>
      </x:c>
      <x:c r="K90" s="8" t="s">
        <x:v>46</x:v>
      </x:c>
      <x:c r="L90" s="8" t="s">
        <x:v>180</x:v>
      </x:c>
      <x:c r="M90" s="8" t="s">
        <x:v>38</x:v>
      </x:c>
      <x:c r="N90" s="8" t="s">
        <x:v>29</x:v>
      </x:c>
      <x:c r="O90" s="8">
        <x:v>2.0</x:v>
      </x:c>
      <x:c r="P90" s="8">
        <x:v>16.0</x:v>
      </x:c>
      <x:c r="Q90" s="8" t="s">
        <x:v>129</x:v>
      </x:c>
      <x:c r="R90" s="9" t="s">
        <x:v>304</x:v>
      </x:c>
      <x:c r="S90" s="9"/>
    </x:row>
    <x:row r="91" ht="67.5" customHeight="1">
      <x:c r="A91" s="8" t="s">
        <x:v>19</x:v>
      </x:c>
      <x:c r="B91" s="8">
        <x:v>89.0</x:v>
      </x:c>
      <x:c r="C91" s="9" t="s">
        <x:v>20</x:v>
      </x:c>
      <x:c r="D91" s="9" t="s">
        <x:v>305</x:v>
      </x:c>
      <x:c r="E91" s="8"/>
      <x:c r="F91" s="8" t="s">
        <x:v>306</x:v>
      </x:c>
      <x:c r="G91" s="8" t="s">
        <x:v>44</x:v>
      </x:c>
      <x:c r="H91" s="9"/>
      <x:c r="I91" s="8" t="s">
        <x:v>126</x:v>
      </x:c>
      <x:c r="J91" s="8" t="s">
        <x:v>307</x:v>
      </x:c>
      <x:c r="K91" s="8" t="s">
        <x:v>26</x:v>
      </x:c>
      <x:c r="L91" s="8" t="s">
        <x:v>190</x:v>
      </x:c>
      <x:c r="M91" s="8" t="s">
        <x:v>48</x:v>
      </x:c>
      <x:c r="N91" s="8" t="s">
        <x:v>39</x:v>
      </x:c>
      <x:c r="O91" s="8">
        <x:v>2.0</x:v>
      </x:c>
      <x:c r="P91" s="8">
        <x:v>8.0</x:v>
      </x:c>
      <x:c r="Q91" s="8" t="s">
        <x:v>129</x:v>
      </x:c>
      <x:c r="R91" s="9" t="s">
        <x:v>308</x:v>
      </x:c>
      <x:c r="S91" s="9"/>
    </x:row>
    <x:row r="92" ht="67.5" customHeight="1">
      <x:c r="A92" s="8" t="s">
        <x:v>19</x:v>
      </x:c>
      <x:c r="B92" s="8">
        <x:v>90.0</x:v>
      </x:c>
      <x:c r="C92" s="9" t="s">
        <x:v>70</x:v>
      </x:c>
      <x:c r="D92" s="9" t="s">
        <x:v>309</x:v>
      </x:c>
      <x:c r="E92" s="8"/>
      <x:c r="F92" s="8" t="s">
        <x:v>310</x:v>
      </x:c>
      <x:c r="G92" s="8" t="s">
        <x:v>35</x:v>
      </x:c>
      <x:c r="H92" s="9"/>
      <x:c r="I92" s="8" t="s">
        <x:v>126</x:v>
      </x:c>
      <x:c r="J92" s="8" t="s">
        <x:v>311</x:v>
      </x:c>
      <x:c r="K92" s="8" t="s">
        <x:v>46</x:v>
      </x:c>
      <x:c r="L92" s="8" t="s">
        <x:v>128</x:v>
      </x:c>
      <x:c r="M92" s="8" t="s">
        <x:v>38</x:v>
      </x:c>
      <x:c r="N92" s="8" t="s">
        <x:v>39</x:v>
      </x:c>
      <x:c r="O92" s="8">
        <x:v>2.0</x:v>
      </x:c>
      <x:c r="P92" s="8">
        <x:v>8.0</x:v>
      </x:c>
      <x:c r="Q92" s="8" t="s">
        <x:v>129</x:v>
      </x:c>
      <x:c r="R92" s="9" t="s">
        <x:v>312</x:v>
      </x:c>
      <x:c r="S92" s="9"/>
    </x:row>
    <x:row r="93" ht="67.5" customHeight="1">
      <x:c r="A93" s="8" t="s">
        <x:v>19</x:v>
      </x:c>
      <x:c r="B93" s="8">
        <x:v>91.0</x:v>
      </x:c>
      <x:c r="C93" s="9" t="s">
        <x:v>32</x:v>
      </x:c>
      <x:c r="D93" s="9" t="s">
        <x:v>313</x:v>
      </x:c>
      <x:c r="E93" s="8"/>
      <x:c r="F93" s="8" t="s">
        <x:v>314</x:v>
      </x:c>
      <x:c r="G93" s="8" t="s">
        <x:v>44</x:v>
      </x:c>
      <x:c r="H93" s="9"/>
      <x:c r="I93" s="8" t="s">
        <x:v>126</x:v>
      </x:c>
      <x:c r="J93" s="8" t="s">
        <x:v>315</x:v>
      </x:c>
      <x:c r="K93" s="8" t="s">
        <x:v>26</x:v>
      </x:c>
      <x:c r="L93" s="8" t="s">
        <x:v>150</x:v>
      </x:c>
      <x:c r="M93" s="8" t="s">
        <x:v>48</x:v>
      </x:c>
      <x:c r="N93" s="8" t="s">
        <x:v>29</x:v>
      </x:c>
      <x:c r="O93" s="8">
        <x:v>2.0</x:v>
      </x:c>
      <x:c r="P93" s="8">
        <x:v>12.0</x:v>
      </x:c>
      <x:c r="Q93" s="8" t="s">
        <x:v>129</x:v>
      </x:c>
      <x:c r="R93" s="9" t="s">
        <x:v>316</x:v>
      </x:c>
      <x:c r="S93" s="9"/>
    </x:row>
    <x:row r="94" ht="67.5" customHeight="1">
      <x:c r="A94" s="8" t="s">
        <x:v>19</x:v>
      </x:c>
      <x:c r="B94" s="8">
        <x:v>92.0</x:v>
      </x:c>
      <x:c r="C94" s="9" t="s">
        <x:v>50</x:v>
      </x:c>
      <x:c r="D94" s="9" t="s">
        <x:v>317</x:v>
      </x:c>
      <x:c r="E94" s="8"/>
      <x:c r="F94" s="8" t="s">
        <x:v>318</x:v>
      </x:c>
      <x:c r="G94" s="8" t="s">
        <x:v>35</x:v>
      </x:c>
      <x:c r="H94" s="9"/>
      <x:c r="I94" s="8" t="s">
        <x:v>126</x:v>
      </x:c>
      <x:c r="J94" s="8" t="s">
        <x:v>319</x:v>
      </x:c>
      <x:c r="K94" s="8" t="s">
        <x:v>46</x:v>
      </x:c>
      <x:c r="L94" s="8" t="s">
        <x:v>160</x:v>
      </x:c>
      <x:c r="M94" s="8" t="s">
        <x:v>38</x:v>
      </x:c>
      <x:c r="N94" s="8" t="s">
        <x:v>29</x:v>
      </x:c>
      <x:c r="O94" s="8">
        <x:v>2.0</x:v>
      </x:c>
      <x:c r="P94" s="8">
        <x:v>12.0</x:v>
      </x:c>
      <x:c r="Q94" s="8" t="s">
        <x:v>129</x:v>
      </x:c>
      <x:c r="R94" s="9" t="s">
        <x:v>320</x:v>
      </x:c>
      <x:c r="S94" s="9"/>
    </x:row>
    <x:row r="95" ht="67.5" customHeight="1">
      <x:c r="A95" s="8" t="s">
        <x:v>19</x:v>
      </x:c>
      <x:c r="B95" s="8">
        <x:v>93.0</x:v>
      </x:c>
      <x:c r="C95" s="9" t="s">
        <x:v>79</x:v>
      </x:c>
      <x:c r="D95" s="9" t="s">
        <x:v>321</x:v>
      </x:c>
      <x:c r="E95" s="8"/>
      <x:c r="F95" s="8" t="s">
        <x:v>322</x:v>
      </x:c>
      <x:c r="G95" s="8" t="s">
        <x:v>44</x:v>
      </x:c>
      <x:c r="H95" s="9"/>
      <x:c r="I95" s="8" t="s">
        <x:v>126</x:v>
      </x:c>
      <x:c r="J95" s="8" t="s">
        <x:v>323</x:v>
      </x:c>
      <x:c r="K95" s="8" t="s">
        <x:v>26</x:v>
      </x:c>
      <x:c r="L95" s="8" t="s">
        <x:v>170</x:v>
      </x:c>
      <x:c r="M95" s="8" t="s">
        <x:v>48</x:v>
      </x:c>
      <x:c r="N95" s="8" t="s">
        <x:v>39</x:v>
      </x:c>
      <x:c r="O95" s="8">
        <x:v>2.0</x:v>
      </x:c>
      <x:c r="P95" s="8">
        <x:v>16.0</x:v>
      </x:c>
      <x:c r="Q95" s="8" t="s">
        <x:v>129</x:v>
      </x:c>
      <x:c r="R95" s="9" t="s">
        <x:v>324</x:v>
      </x:c>
      <x:c r="S95" s="9"/>
    </x:row>
    <x:row r="96" ht="67.5" customHeight="1">
      <x:c r="A96" s="8" t="s">
        <x:v>19</x:v>
      </x:c>
      <x:c r="B96" s="8">
        <x:v>94.0</x:v>
      </x:c>
      <x:c r="C96" s="9" t="s">
        <x:v>41</x:v>
      </x:c>
      <x:c r="D96" s="9" t="s">
        <x:v>325</x:v>
      </x:c>
      <x:c r="E96" s="8"/>
      <x:c r="F96" s="8" t="s">
        <x:v>326</x:v>
      </x:c>
      <x:c r="G96" s="8" t="s">
        <x:v>35</x:v>
      </x:c>
      <x:c r="H96" s="9"/>
      <x:c r="I96" s="8" t="s">
        <x:v>126</x:v>
      </x:c>
      <x:c r="J96" s="8" t="s">
        <x:v>327</x:v>
      </x:c>
      <x:c r="K96" s="8" t="s">
        <x:v>46</x:v>
      </x:c>
      <x:c r="L96" s="8" t="s">
        <x:v>180</x:v>
      </x:c>
      <x:c r="M96" s="8" t="s">
        <x:v>38</x:v>
      </x:c>
      <x:c r="N96" s="8" t="s">
        <x:v>39</x:v>
      </x:c>
      <x:c r="O96" s="8">
        <x:v>2.0</x:v>
      </x:c>
      <x:c r="P96" s="8">
        <x:v>16.0</x:v>
      </x:c>
      <x:c r="Q96" s="8" t="s">
        <x:v>129</x:v>
      </x:c>
      <x:c r="R96" s="9" t="s">
        <x:v>328</x:v>
      </x:c>
      <x:c r="S96" s="9"/>
    </x:row>
    <x:row r="97" ht="67.5" customHeight="1">
      <x:c r="A97" s="8" t="s">
        <x:v>19</x:v>
      </x:c>
      <x:c r="B97" s="8">
        <x:v>95.0</x:v>
      </x:c>
      <x:c r="C97" s="9" t="s">
        <x:v>20</x:v>
      </x:c>
      <x:c r="D97" s="9" t="s">
        <x:v>329</x:v>
      </x:c>
      <x:c r="E97" s="8"/>
      <x:c r="F97" s="8" t="s">
        <x:v>330</x:v>
      </x:c>
      <x:c r="G97" s="8" t="s">
        <x:v>44</x:v>
      </x:c>
      <x:c r="H97" s="9"/>
      <x:c r="I97" s="8" t="s">
        <x:v>126</x:v>
      </x:c>
      <x:c r="J97" s="8" t="s">
        <x:v>331</x:v>
      </x:c>
      <x:c r="K97" s="8" t="s">
        <x:v>26</x:v>
      </x:c>
      <x:c r="L97" s="8" t="s">
        <x:v>190</x:v>
      </x:c>
      <x:c r="M97" s="8" t="s">
        <x:v>48</x:v>
      </x:c>
      <x:c r="N97" s="8" t="s">
        <x:v>29</x:v>
      </x:c>
      <x:c r="O97" s="8">
        <x:v>2.0</x:v>
      </x:c>
      <x:c r="P97" s="8">
        <x:v>8.0</x:v>
      </x:c>
      <x:c r="Q97" s="8" t="s">
        <x:v>129</x:v>
      </x:c>
      <x:c r="R97" s="9" t="s">
        <x:v>332</x:v>
      </x:c>
      <x:c r="S97" s="9"/>
    </x:row>
    <x:row r="98" ht="67.5" customHeight="1">
      <x:c r="A98" s="8" t="s">
        <x:v>19</x:v>
      </x:c>
      <x:c r="B98" s="8">
        <x:v>96.0</x:v>
      </x:c>
      <x:c r="C98" s="9" t="s">
        <x:v>70</x:v>
      </x:c>
      <x:c r="D98" s="9" t="s">
        <x:v>333</x:v>
      </x:c>
      <x:c r="E98" s="8"/>
      <x:c r="F98" s="8" t="s">
        <x:v>334</x:v>
      </x:c>
      <x:c r="G98" s="8" t="s">
        <x:v>35</x:v>
      </x:c>
      <x:c r="H98" s="9"/>
      <x:c r="I98" s="8" t="s">
        <x:v>126</x:v>
      </x:c>
      <x:c r="J98" s="8" t="s">
        <x:v>335</x:v>
      </x:c>
      <x:c r="K98" s="8" t="s">
        <x:v>46</x:v>
      </x:c>
      <x:c r="L98" s="8" t="s">
        <x:v>128</x:v>
      </x:c>
      <x:c r="M98" s="8" t="s">
        <x:v>38</x:v>
      </x:c>
      <x:c r="N98" s="8" t="s">
        <x:v>29</x:v>
      </x:c>
      <x:c r="O98" s="8">
        <x:v>2.0</x:v>
      </x:c>
      <x:c r="P98" s="8">
        <x:v>8.0</x:v>
      </x:c>
      <x:c r="Q98" s="8" t="s">
        <x:v>129</x:v>
      </x:c>
      <x:c r="R98" s="9" t="s">
        <x:v>336</x:v>
      </x:c>
      <x:c r="S98" s="9"/>
    </x:row>
    <x:row r="99" ht="67.5" customHeight="1">
      <x:c r="A99" s="8" t="s">
        <x:v>19</x:v>
      </x:c>
      <x:c r="B99" s="8">
        <x:v>97.0</x:v>
      </x:c>
      <x:c r="C99" s="9" t="s">
        <x:v>32</x:v>
      </x:c>
      <x:c r="D99" s="9" t="s">
        <x:v>337</x:v>
      </x:c>
      <x:c r="E99" s="8"/>
      <x:c r="F99" s="8" t="s">
        <x:v>338</x:v>
      </x:c>
      <x:c r="G99" s="8" t="s">
        <x:v>44</x:v>
      </x:c>
      <x:c r="H99" s="9"/>
      <x:c r="I99" s="8" t="s">
        <x:v>126</x:v>
      </x:c>
      <x:c r="J99" s="8" t="s">
        <x:v>339</x:v>
      </x:c>
      <x:c r="K99" s="8" t="s">
        <x:v>26</x:v>
      </x:c>
      <x:c r="L99" s="8" t="s">
        <x:v>150</x:v>
      </x:c>
      <x:c r="M99" s="8" t="s">
        <x:v>48</x:v>
      </x:c>
      <x:c r="N99" s="8" t="s">
        <x:v>39</x:v>
      </x:c>
      <x:c r="O99" s="8">
        <x:v>2.0</x:v>
      </x:c>
      <x:c r="P99" s="8">
        <x:v>12.0</x:v>
      </x:c>
      <x:c r="Q99" s="8" t="s">
        <x:v>129</x:v>
      </x:c>
      <x:c r="R99" s="9" t="s">
        <x:v>340</x:v>
      </x:c>
      <x:c r="S99" s="9"/>
    </x:row>
    <x:row r="100" ht="67.5" customHeight="1">
      <x:c r="A100" s="8" t="s">
        <x:v>19</x:v>
      </x:c>
      <x:c r="B100" s="8">
        <x:v>98.0</x:v>
      </x:c>
      <x:c r="C100" s="9" t="s">
        <x:v>50</x:v>
      </x:c>
      <x:c r="D100" s="9" t="s">
        <x:v>341</x:v>
      </x:c>
      <x:c r="E100" s="8"/>
      <x:c r="F100" s="8" t="s">
        <x:v>342</x:v>
      </x:c>
      <x:c r="G100" s="8" t="s">
        <x:v>35</x:v>
      </x:c>
      <x:c r="H100" s="9"/>
      <x:c r="I100" s="8" t="s">
        <x:v>126</x:v>
      </x:c>
      <x:c r="J100" s="8" t="s">
        <x:v>343</x:v>
      </x:c>
      <x:c r="K100" s="8" t="s">
        <x:v>46</x:v>
      </x:c>
      <x:c r="L100" s="8" t="s">
        <x:v>160</x:v>
      </x:c>
      <x:c r="M100" s="8" t="s">
        <x:v>38</x:v>
      </x:c>
      <x:c r="N100" s="8" t="s">
        <x:v>39</x:v>
      </x:c>
      <x:c r="O100" s="8">
        <x:v>2.0</x:v>
      </x:c>
      <x:c r="P100" s="8">
        <x:v>12.0</x:v>
      </x:c>
      <x:c r="Q100" s="8" t="s">
        <x:v>129</x:v>
      </x:c>
      <x:c r="R100" s="9" t="s">
        <x:v>344</x:v>
      </x:c>
      <x:c r="S100" s="9"/>
    </x:row>
    <x:row r="101" ht="67.5" customHeight="1">
      <x:c r="A101" s="8" t="s">
        <x:v>19</x:v>
      </x:c>
      <x:c r="B101" s="8">
        <x:v>99.0</x:v>
      </x:c>
      <x:c r="C101" s="9" t="s">
        <x:v>79</x:v>
      </x:c>
      <x:c r="D101" s="9" t="s">
        <x:v>345</x:v>
      </x:c>
      <x:c r="E101" s="8"/>
      <x:c r="F101" s="8" t="s">
        <x:v>346</x:v>
      </x:c>
      <x:c r="G101" s="8" t="s">
        <x:v>44</x:v>
      </x:c>
      <x:c r="H101" s="9"/>
      <x:c r="I101" s="8" t="s">
        <x:v>126</x:v>
      </x:c>
      <x:c r="J101" s="8" t="s">
        <x:v>347</x:v>
      </x:c>
      <x:c r="K101" s="8" t="s">
        <x:v>26</x:v>
      </x:c>
      <x:c r="L101" s="8" t="s">
        <x:v>170</x:v>
      </x:c>
      <x:c r="M101" s="8" t="s">
        <x:v>48</x:v>
      </x:c>
      <x:c r="N101" s="8" t="s">
        <x:v>29</x:v>
      </x:c>
      <x:c r="O101" s="8">
        <x:v>2.0</x:v>
      </x:c>
      <x:c r="P101" s="8">
        <x:v>16.0</x:v>
      </x:c>
      <x:c r="Q101" s="8" t="s">
        <x:v>129</x:v>
      </x:c>
      <x:c r="R101" s="9" t="s">
        <x:v>348</x:v>
      </x:c>
      <x:c r="S101" s="9"/>
    </x:row>
    <x:row r="102" ht="67.5" customHeight="1">
      <x:c r="A102" s="8" t="s">
        <x:v>19</x:v>
      </x:c>
      <x:c r="B102" s="8">
        <x:v>100.0</x:v>
      </x:c>
      <x:c r="C102" s="9" t="s">
        <x:v>41</x:v>
      </x:c>
      <x:c r="D102" s="9" t="s">
        <x:v>349</x:v>
      </x:c>
      <x:c r="E102" s="8"/>
      <x:c r="F102" s="8" t="s">
        <x:v>125</x:v>
      </x:c>
      <x:c r="G102" s="8" t="s">
        <x:v>35</x:v>
      </x:c>
      <x:c r="H102" s="9"/>
      <x:c r="I102" s="8" t="s">
        <x:v>126</x:v>
      </x:c>
      <x:c r="J102" s="8" t="s">
        <x:v>350</x:v>
      </x:c>
      <x:c r="K102" s="8" t="s">
        <x:v>46</x:v>
      </x:c>
      <x:c r="L102" s="8" t="s">
        <x:v>180</x:v>
      </x:c>
      <x:c r="M102" s="8" t="s">
        <x:v>38</x:v>
      </x:c>
      <x:c r="N102" s="8" t="s">
        <x:v>29</x:v>
      </x:c>
      <x:c r="O102" s="8">
        <x:v>2.0</x:v>
      </x:c>
      <x:c r="P102" s="8">
        <x:v>16.0</x:v>
      </x:c>
      <x:c r="Q102" s="8" t="s">
        <x:v>129</x:v>
      </x:c>
      <x:c r="R102" s="9" t="s">
        <x:v>130</x:v>
      </x:c>
      <x:c r="S102" s="9"/>
    </x:row>
    <x:row r="103" ht="67.5" customHeight="1">
      <x:c r="A103" s="8" t="s">
        <x:v>19</x:v>
      </x:c>
      <x:c r="B103" s="8">
        <x:v>101.0</x:v>
      </x:c>
      <x:c r="C103" s="9" t="s">
        <x:v>20</x:v>
      </x:c>
      <x:c r="D103" s="9" t="s">
        <x:v>351</x:v>
      </x:c>
      <x:c r="E103" s="8"/>
      <x:c r="F103" s="8" t="s">
        <x:v>148</x:v>
      </x:c>
      <x:c r="G103" s="8" t="s">
        <x:v>44</x:v>
      </x:c>
      <x:c r="H103" s="9"/>
      <x:c r="I103" s="8" t="s">
        <x:v>126</x:v>
      </x:c>
      <x:c r="J103" s="8" t="s">
        <x:v>352</x:v>
      </x:c>
      <x:c r="K103" s="8" t="s">
        <x:v>26</x:v>
      </x:c>
      <x:c r="L103" s="8" t="s">
        <x:v>190</x:v>
      </x:c>
      <x:c r="M103" s="8" t="s">
        <x:v>48</x:v>
      </x:c>
      <x:c r="N103" s="8" t="s">
        <x:v>39</x:v>
      </x:c>
      <x:c r="O103" s="8">
        <x:v>2.0</x:v>
      </x:c>
      <x:c r="P103" s="8">
        <x:v>8.0</x:v>
      </x:c>
      <x:c r="Q103" s="8" t="s">
        <x:v>129</x:v>
      </x:c>
      <x:c r="R103" s="9" t="s">
        <x:v>151</x:v>
      </x:c>
      <x:c r="S103" s="9"/>
    </x:row>
    <x:row r="104" ht="67.5" customHeight="1">
      <x:c r="A104" s="8" t="s">
        <x:v>19</x:v>
      </x:c>
      <x:c r="B104" s="8">
        <x:v>102.0</x:v>
      </x:c>
      <x:c r="C104" s="9" t="s">
        <x:v>70</x:v>
      </x:c>
      <x:c r="D104" s="9" t="s">
        <x:v>353</x:v>
      </x:c>
      <x:c r="E104" s="8"/>
      <x:c r="F104" s="8" t="s">
        <x:v>158</x:v>
      </x:c>
      <x:c r="G104" s="8" t="s">
        <x:v>35</x:v>
      </x:c>
      <x:c r="H104" s="9"/>
      <x:c r="I104" s="8" t="s">
        <x:v>126</x:v>
      </x:c>
      <x:c r="J104" s="8" t="s">
        <x:v>354</x:v>
      </x:c>
      <x:c r="K104" s="8" t="s">
        <x:v>46</x:v>
      </x:c>
      <x:c r="L104" s="8" t="s">
        <x:v>128</x:v>
      </x:c>
      <x:c r="M104" s="8" t="s">
        <x:v>38</x:v>
      </x:c>
      <x:c r="N104" s="8" t="s">
        <x:v>39</x:v>
      </x:c>
      <x:c r="O104" s="8">
        <x:v>2.0</x:v>
      </x:c>
      <x:c r="P104" s="8">
        <x:v>8.0</x:v>
      </x:c>
      <x:c r="Q104" s="8" t="s">
        <x:v>129</x:v>
      </x:c>
      <x:c r="R104" s="9" t="s">
        <x:v>161</x:v>
      </x:c>
      <x:c r="S104" s="9"/>
    </x:row>
    <x:row r="105" ht="67.5" customHeight="1">
      <x:c r="A105" s="8" t="s">
        <x:v>19</x:v>
      </x:c>
      <x:c r="B105" s="8">
        <x:v>103.0</x:v>
      </x:c>
      <x:c r="C105" s="9" t="s">
        <x:v>32</x:v>
      </x:c>
      <x:c r="D105" s="9" t="s">
        <x:v>355</x:v>
      </x:c>
      <x:c r="E105" s="8"/>
      <x:c r="F105" s="8" t="s">
        <x:v>168</x:v>
      </x:c>
      <x:c r="G105" s="8" t="s">
        <x:v>44</x:v>
      </x:c>
      <x:c r="H105" s="9"/>
      <x:c r="I105" s="8" t="s">
        <x:v>126</x:v>
      </x:c>
      <x:c r="J105" s="8" t="s">
        <x:v>356</x:v>
      </x:c>
      <x:c r="K105" s="8" t="s">
        <x:v>26</x:v>
      </x:c>
      <x:c r="L105" s="8" t="s">
        <x:v>150</x:v>
      </x:c>
      <x:c r="M105" s="8" t="s">
        <x:v>48</x:v>
      </x:c>
      <x:c r="N105" s="8" t="s">
        <x:v>29</x:v>
      </x:c>
      <x:c r="O105" s="8">
        <x:v>2.0</x:v>
      </x:c>
      <x:c r="P105" s="8">
        <x:v>12.0</x:v>
      </x:c>
      <x:c r="Q105" s="8" t="s">
        <x:v>129</x:v>
      </x:c>
      <x:c r="R105" s="9" t="s">
        <x:v>171</x:v>
      </x:c>
      <x:c r="S105" s="9"/>
    </x:row>
    <x:row r="106" ht="67.5" customHeight="1">
      <x:c r="A106" s="8" t="s">
        <x:v>19</x:v>
      </x:c>
      <x:c r="B106" s="8">
        <x:v>104.0</x:v>
      </x:c>
      <x:c r="C106" s="9" t="s">
        <x:v>50</x:v>
      </x:c>
      <x:c r="D106" s="9" t="s">
        <x:v>357</x:v>
      </x:c>
      <x:c r="E106" s="8"/>
      <x:c r="F106" s="8" t="s">
        <x:v>178</x:v>
      </x:c>
      <x:c r="G106" s="8" t="s">
        <x:v>35</x:v>
      </x:c>
      <x:c r="H106" s="9"/>
      <x:c r="I106" s="8" t="s">
        <x:v>126</x:v>
      </x:c>
      <x:c r="J106" s="8" t="s">
        <x:v>358</x:v>
      </x:c>
      <x:c r="K106" s="8" t="s">
        <x:v>46</x:v>
      </x:c>
      <x:c r="L106" s="8" t="s">
        <x:v>160</x:v>
      </x:c>
      <x:c r="M106" s="8" t="s">
        <x:v>38</x:v>
      </x:c>
      <x:c r="N106" s="8" t="s">
        <x:v>29</x:v>
      </x:c>
      <x:c r="O106" s="8">
        <x:v>2.0</x:v>
      </x:c>
      <x:c r="P106" s="8">
        <x:v>12.0</x:v>
      </x:c>
      <x:c r="Q106" s="8" t="s">
        <x:v>129</x:v>
      </x:c>
      <x:c r="R106" s="9" t="s">
        <x:v>181</x:v>
      </x:c>
      <x:c r="S106" s="9"/>
    </x:row>
    <x:row r="107" ht="67.5" customHeight="1">
      <x:c r="A107" s="8" t="s">
        <x:v>19</x:v>
      </x:c>
      <x:c r="B107" s="8">
        <x:v>105.0</x:v>
      </x:c>
      <x:c r="C107" s="9" t="s">
        <x:v>79</x:v>
      </x:c>
      <x:c r="D107" s="9" t="s">
        <x:v>359</x:v>
      </x:c>
      <x:c r="E107" s="8"/>
      <x:c r="F107" s="8" t="s">
        <x:v>188</x:v>
      </x:c>
      <x:c r="G107" s="8" t="s">
        <x:v>44</x:v>
      </x:c>
      <x:c r="H107" s="9"/>
      <x:c r="I107" s="8" t="s">
        <x:v>126</x:v>
      </x:c>
      <x:c r="J107" s="8" t="s">
        <x:v>360</x:v>
      </x:c>
      <x:c r="K107" s="8" t="s">
        <x:v>26</x:v>
      </x:c>
      <x:c r="L107" s="8" t="s">
        <x:v>170</x:v>
      </x:c>
      <x:c r="M107" s="8" t="s">
        <x:v>48</x:v>
      </x:c>
      <x:c r="N107" s="8" t="s">
        <x:v>39</x:v>
      </x:c>
      <x:c r="O107" s="8">
        <x:v>2.0</x:v>
      </x:c>
      <x:c r="P107" s="8">
        <x:v>16.0</x:v>
      </x:c>
      <x:c r="Q107" s="8" t="s">
        <x:v>129</x:v>
      </x:c>
      <x:c r="R107" s="9" t="s">
        <x:v>191</x:v>
      </x:c>
      <x:c r="S107" s="9"/>
    </x:row>
    <x:row r="108" ht="67.5" customHeight="1">
      <x:c r="A108" s="8" t="s">
        <x:v>19</x:v>
      </x:c>
      <x:c r="B108" s="8">
        <x:v>106.0</x:v>
      </x:c>
      <x:c r="C108" s="9" t="s">
        <x:v>41</x:v>
      </x:c>
      <x:c r="D108" s="9" t="s">
        <x:v>361</x:v>
      </x:c>
      <x:c r="E108" s="8"/>
      <x:c r="F108" s="8" t="s">
        <x:v>198</x:v>
      </x:c>
      <x:c r="G108" s="8" t="s">
        <x:v>35</x:v>
      </x:c>
      <x:c r="H108" s="9"/>
      <x:c r="I108" s="8" t="s">
        <x:v>126</x:v>
      </x:c>
      <x:c r="J108" s="8" t="s">
        <x:v>362</x:v>
      </x:c>
      <x:c r="K108" s="8" t="s">
        <x:v>46</x:v>
      </x:c>
      <x:c r="L108" s="8" t="s">
        <x:v>180</x:v>
      </x:c>
      <x:c r="M108" s="8" t="s">
        <x:v>38</x:v>
      </x:c>
      <x:c r="N108" s="8" t="s">
        <x:v>39</x:v>
      </x:c>
      <x:c r="O108" s="8">
        <x:v>2.0</x:v>
      </x:c>
      <x:c r="P108" s="8">
        <x:v>16.0</x:v>
      </x:c>
      <x:c r="Q108" s="8" t="s">
        <x:v>129</x:v>
      </x:c>
      <x:c r="R108" s="9" t="s">
        <x:v>200</x:v>
      </x:c>
      <x:c r="S108" s="9"/>
    </x:row>
    <x:row r="109" ht="67.5" customHeight="1">
      <x:c r="A109" s="8" t="s">
        <x:v>19</x:v>
      </x:c>
      <x:c r="B109" s="8">
        <x:v>107.0</x:v>
      </x:c>
      <x:c r="C109" s="9" t="s">
        <x:v>20</x:v>
      </x:c>
      <x:c r="D109" s="9" t="s">
        <x:v>363</x:v>
      </x:c>
      <x:c r="E109" s="8"/>
      <x:c r="F109" s="8" t="s">
        <x:v>206</x:v>
      </x:c>
      <x:c r="G109" s="8" t="s">
        <x:v>44</x:v>
      </x:c>
      <x:c r="H109" s="9"/>
      <x:c r="I109" s="8" t="s">
        <x:v>126</x:v>
      </x:c>
      <x:c r="J109" s="8" t="s">
        <x:v>364</x:v>
      </x:c>
      <x:c r="K109" s="8" t="s">
        <x:v>26</x:v>
      </x:c>
      <x:c r="L109" s="8" t="s">
        <x:v>190</x:v>
      </x:c>
      <x:c r="M109" s="8" t="s">
        <x:v>48</x:v>
      </x:c>
      <x:c r="N109" s="8" t="s">
        <x:v>29</x:v>
      </x:c>
      <x:c r="O109" s="8">
        <x:v>2.0</x:v>
      </x:c>
      <x:c r="P109" s="8">
        <x:v>8.0</x:v>
      </x:c>
      <x:c r="Q109" s="8" t="s">
        <x:v>129</x:v>
      </x:c>
      <x:c r="R109" s="9" t="s">
        <x:v>208</x:v>
      </x:c>
      <x:c r="S109" s="9"/>
    </x:row>
    <x:row r="110" ht="67.5" customHeight="1">
      <x:c r="A110" s="8" t="s">
        <x:v>19</x:v>
      </x:c>
      <x:c r="B110" s="8">
        <x:v>108.0</x:v>
      </x:c>
      <x:c r="C110" s="9" t="s">
        <x:v>70</x:v>
      </x:c>
      <x:c r="D110" s="9" t="s">
        <x:v>365</x:v>
      </x:c>
      <x:c r="E110" s="8"/>
      <x:c r="F110" s="8" t="s">
        <x:v>214</x:v>
      </x:c>
      <x:c r="G110" s="8" t="s">
        <x:v>35</x:v>
      </x:c>
      <x:c r="H110" s="9"/>
      <x:c r="I110" s="8" t="s">
        <x:v>126</x:v>
      </x:c>
      <x:c r="J110" s="8" t="s">
        <x:v>366</x:v>
      </x:c>
      <x:c r="K110" s="8" t="s">
        <x:v>46</x:v>
      </x:c>
      <x:c r="L110" s="8" t="s">
        <x:v>128</x:v>
      </x:c>
      <x:c r="M110" s="8" t="s">
        <x:v>38</x:v>
      </x:c>
      <x:c r="N110" s="8" t="s">
        <x:v>29</x:v>
      </x:c>
      <x:c r="O110" s="8">
        <x:v>2.0</x:v>
      </x:c>
      <x:c r="P110" s="8">
        <x:v>8.0</x:v>
      </x:c>
      <x:c r="Q110" s="8" t="s">
        <x:v>129</x:v>
      </x:c>
      <x:c r="R110" s="9" t="s">
        <x:v>216</x:v>
      </x:c>
      <x:c r="S110" s="9"/>
    </x:row>
    <x:row r="111" ht="67.5" customHeight="1">
      <x:c r="A111" s="8" t="s">
        <x:v>19</x:v>
      </x:c>
      <x:c r="B111" s="8">
        <x:v>109.0</x:v>
      </x:c>
      <x:c r="C111" s="9" t="s">
        <x:v>32</x:v>
      </x:c>
      <x:c r="D111" s="9" t="s">
        <x:v>367</x:v>
      </x:c>
      <x:c r="E111" s="8"/>
      <x:c r="F111" s="8" t="s">
        <x:v>222</x:v>
      </x:c>
      <x:c r="G111" s="8" t="s">
        <x:v>44</x:v>
      </x:c>
      <x:c r="H111" s="9"/>
      <x:c r="I111" s="8" t="s">
        <x:v>126</x:v>
      </x:c>
      <x:c r="J111" s="8" t="s">
        <x:v>368</x:v>
      </x:c>
      <x:c r="K111" s="8" t="s">
        <x:v>26</x:v>
      </x:c>
      <x:c r="L111" s="8" t="s">
        <x:v>150</x:v>
      </x:c>
      <x:c r="M111" s="8" t="s">
        <x:v>48</x:v>
      </x:c>
      <x:c r="N111" s="8" t="s">
        <x:v>39</x:v>
      </x:c>
      <x:c r="O111" s="8">
        <x:v>2.0</x:v>
      </x:c>
      <x:c r="P111" s="8">
        <x:v>12.0</x:v>
      </x:c>
      <x:c r="Q111" s="8" t="s">
        <x:v>129</x:v>
      </x:c>
      <x:c r="R111" s="9" t="s">
        <x:v>224</x:v>
      </x:c>
      <x:c r="S111" s="9"/>
    </x:row>
    <x:row r="112" ht="67.5" customHeight="1">
      <x:c r="A112" s="8" t="s">
        <x:v>19</x:v>
      </x:c>
      <x:c r="B112" s="8">
        <x:v>110.0</x:v>
      </x:c>
      <x:c r="C112" s="9" t="s">
        <x:v>70</x:v>
      </x:c>
      <x:c r="D112" s="9" t="s">
        <x:v>369</x:v>
      </x:c>
      <x:c r="E112" s="8"/>
      <x:c r="F112" s="8" t="s">
        <x:v>370</x:v>
      </x:c>
      <x:c r="G112" s="8" t="s">
        <x:v>371</x:v>
      </x:c>
      <x:c r="H112" s="9"/>
      <x:c r="I112" s="8" t="s">
        <x:v>372</x:v>
      </x:c>
      <x:c r="J112" s="8" t="s">
        <x:v>373</x:v>
      </x:c>
      <x:c r="K112" s="8" t="s">
        <x:v>46</x:v>
      </x:c>
      <x:c r="L112" s="8" t="s">
        <x:v>374</x:v>
      </x:c>
      <x:c r="M112" s="8" t="s">
        <x:v>375</x:v>
      </x:c>
      <x:c r="N112" s="8" t="s">
        <x:v>29</x:v>
      </x:c>
      <x:c r="O112" s="8">
        <x:v>2.0</x:v>
      </x:c>
      <x:c r="P112" s="8">
        <x:v>8.0</x:v>
      </x:c>
      <x:c r="Q112" s="8" t="s">
        <x:v>376</x:v>
      </x:c>
      <x:c r="R112" s="9" t="s">
        <x:v>377</x:v>
      </x:c>
      <x:c r="S112" s="9"/>
    </x:row>
    <x:row r="113" ht="67.5" customHeight="1">
      <x:c r="A113" s="16" t="s">
        <x:v>19</x:v>
      </x:c>
      <x:c r="B113" s="16">
        <x:v>111.0</x:v>
      </x:c>
      <x:c r="C113" s="6" t="s">
        <x:v>79</x:v>
      </x:c>
      <x:c r="D113" s="6" t="s">
        <x:v>369</x:v>
      </x:c>
      <x:c r="E113" s="16">
        <x:v>110.0</x:v>
      </x:c>
      <x:c r="F113" s="16" t="s">
        <x:v>378</x:v>
      </x:c>
      <x:c r="G113" s="16" t="s">
        <x:v>23</x:v>
      </x:c>
      <x:c r="H113" s="6"/>
      <x:c r="I113" s="16" t="s">
        <x:v>379</x:v>
      </x:c>
      <x:c r="J113" s="16" t="s">
        <x:v>373</x:v>
      </x:c>
      <x:c r="K113" s="16" t="s">
        <x:v>26</x:v>
      </x:c>
      <x:c r="L113" s="16" t="s">
        <x:v>380</x:v>
      </x:c>
      <x:c r="M113" s="16" t="s">
        <x:v>28</x:v>
      </x:c>
      <x:c r="N113" s="16" t="s">
        <x:v>39</x:v>
      </x:c>
      <x:c r="O113" s="16">
        <x:v>2.0</x:v>
      </x:c>
      <x:c r="P113" s="16">
        <x:v>8.0</x:v>
      </x:c>
      <x:c r="Q113" s="16" t="s">
        <x:v>381</x:v>
      </x:c>
      <x:c r="R113" s="6" t="s">
        <x:v>382</x:v>
      </x:c>
      <x:c r="S113" s="6"/>
    </x:row>
    <x:row r="114" ht="67.5" customHeight="1">
      <x:c r="A114" s="8" t="s">
        <x:v>19</x:v>
      </x:c>
      <x:c r="B114" s="8">
        <x:v>112.0</x:v>
      </x:c>
      <x:c r="C114" s="9" t="s">
        <x:v>32</x:v>
      </x:c>
      <x:c r="D114" s="9" t="s">
        <x:v>383</x:v>
      </x:c>
      <x:c r="E114" s="8"/>
      <x:c r="F114" s="8" t="s">
        <x:v>384</x:v>
      </x:c>
      <x:c r="G114" s="8" t="s">
        <x:v>371</x:v>
      </x:c>
      <x:c r="H114" s="9"/>
      <x:c r="I114" s="8" t="s">
        <x:v>372</x:v>
      </x:c>
      <x:c r="J114" s="8" t="s">
        <x:v>385</x:v>
      </x:c>
      <x:c r="K114" s="8" t="s">
        <x:v>26</x:v>
      </x:c>
      <x:c r="L114" s="8" t="s">
        <x:v>386</x:v>
      </x:c>
      <x:c r="M114" s="8" t="s">
        <x:v>375</x:v>
      </x:c>
      <x:c r="N114" s="8" t="s">
        <x:v>29</x:v>
      </x:c>
      <x:c r="O114" s="8">
        <x:v>3.0</x:v>
      </x:c>
      <x:c r="P114" s="8">
        <x:v>12.0</x:v>
      </x:c>
      <x:c r="Q114" s="8" t="s">
        <x:v>376</x:v>
      </x:c>
      <x:c r="R114" s="9" t="s">
        <x:v>387</x:v>
      </x:c>
      <x:c r="S114" s="9"/>
    </x:row>
    <x:row r="115" ht="67.5" customHeight="1">
      <x:c r="A115" s="16" t="s">
        <x:v>19</x:v>
      </x:c>
      <x:c r="B115" s="16">
        <x:v>113.0</x:v>
      </x:c>
      <x:c r="C115" s="6" t="s">
        <x:v>41</x:v>
      </x:c>
      <x:c r="D115" s="6" t="s">
        <x:v>383</x:v>
      </x:c>
      <x:c r="E115" s="16">
        <x:v>112.0</x:v>
      </x:c>
      <x:c r="F115" s="16" t="s">
        <x:v>388</x:v>
      </x:c>
      <x:c r="G115" s="16" t="s">
        <x:v>53</x:v>
      </x:c>
      <x:c r="H115" s="6"/>
      <x:c r="I115" s="16" t="s">
        <x:v>379</x:v>
      </x:c>
      <x:c r="J115" s="16" t="s">
        <x:v>385</x:v>
      </x:c>
      <x:c r="K115" s="16" t="s">
        <x:v>46</x:v>
      </x:c>
      <x:c r="L115" s="16" t="s">
        <x:v>380</x:v>
      </x:c>
      <x:c r="M115" s="16" t="s">
        <x:v>56</x:v>
      </x:c>
      <x:c r="N115" s="16" t="s">
        <x:v>39</x:v>
      </x:c>
      <x:c r="O115" s="16">
        <x:v>3.0</x:v>
      </x:c>
      <x:c r="P115" s="16">
        <x:v>12.0</x:v>
      </x:c>
      <x:c r="Q115" s="16" t="s">
        <x:v>381</x:v>
      </x:c>
      <x:c r="R115" s="6" t="s">
        <x:v>389</x:v>
      </x:c>
      <x:c r="S115" s="6"/>
    </x:row>
    <x:row r="116" ht="67.5" customHeight="1">
      <x:c r="A116" s="8" t="s">
        <x:v>19</x:v>
      </x:c>
      <x:c r="B116" s="8">
        <x:v>114.0</x:v>
      </x:c>
      <x:c r="C116" s="9" t="s">
        <x:v>50</x:v>
      </x:c>
      <x:c r="D116" s="9" t="s">
        <x:v>390</x:v>
      </x:c>
      <x:c r="E116" s="8"/>
      <x:c r="F116" s="8" t="s">
        <x:v>391</x:v>
      </x:c>
      <x:c r="G116" s="8" t="s">
        <x:v>371</x:v>
      </x:c>
      <x:c r="H116" s="9"/>
      <x:c r="I116" s="8" t="s">
        <x:v>372</x:v>
      </x:c>
      <x:c r="J116" s="8" t="s">
        <x:v>392</x:v>
      </x:c>
      <x:c r="K116" s="8" t="s">
        <x:v>46</x:v>
      </x:c>
      <x:c r="L116" s="8" t="s">
        <x:v>374</x:v>
      </x:c>
      <x:c r="M116" s="8" t="s">
        <x:v>375</x:v>
      </x:c>
      <x:c r="N116" s="8" t="s">
        <x:v>39</x:v>
      </x:c>
      <x:c r="O116" s="8">
        <x:v>2.0</x:v>
      </x:c>
      <x:c r="P116" s="8">
        <x:v>12.0</x:v>
      </x:c>
      <x:c r="Q116" s="8" t="s">
        <x:v>376</x:v>
      </x:c>
      <x:c r="R116" s="9" t="s">
        <x:v>377</x:v>
      </x:c>
      <x:c r="S116" s="9"/>
    </x:row>
    <x:row r="117" ht="67.5" customHeight="1">
      <x:c r="A117" s="16" t="s">
        <x:v>19</x:v>
      </x:c>
      <x:c r="B117" s="16">
        <x:v>115.0</x:v>
      </x:c>
      <x:c r="C117" s="6" t="s">
        <x:v>20</x:v>
      </x:c>
      <x:c r="D117" s="6" t="s">
        <x:v>390</x:v>
      </x:c>
      <x:c r="E117" s="16">
        <x:v>114.0</x:v>
      </x:c>
      <x:c r="F117" s="16" t="s">
        <x:v>393</x:v>
      </x:c>
      <x:c r="G117" s="16" t="s">
        <x:v>23</x:v>
      </x:c>
      <x:c r="H117" s="6"/>
      <x:c r="I117" s="16" t="s">
        <x:v>379</x:v>
      </x:c>
      <x:c r="J117" s="16" t="s">
        <x:v>392</x:v>
      </x:c>
      <x:c r="K117" s="16" t="s">
        <x:v>26</x:v>
      </x:c>
      <x:c r="L117" s="16" t="s">
        <x:v>380</x:v>
      </x:c>
      <x:c r="M117" s="16" t="s">
        <x:v>28</x:v>
      </x:c>
      <x:c r="N117" s="16" t="s">
        <x:v>29</x:v>
      </x:c>
      <x:c r="O117" s="16">
        <x:v>2.0</x:v>
      </x:c>
      <x:c r="P117" s="16">
        <x:v>12.0</x:v>
      </x:c>
      <x:c r="Q117" s="16" t="s">
        <x:v>381</x:v>
      </x:c>
      <x:c r="R117" s="6" t="s">
        <x:v>382</x:v>
      </x:c>
      <x:c r="S117" s="6"/>
    </x:row>
    <x:row r="118" ht="67.5" customHeight="1">
      <x:c r="A118" s="8" t="s">
        <x:v>19</x:v>
      </x:c>
      <x:c r="B118" s="8">
        <x:v>116.0</x:v>
      </x:c>
      <x:c r="C118" s="9" t="s">
        <x:v>79</x:v>
      </x:c>
      <x:c r="D118" s="9" t="s">
        <x:v>394</x:v>
      </x:c>
      <x:c r="E118" s="8"/>
      <x:c r="F118" s="8" t="s">
        <x:v>395</x:v>
      </x:c>
      <x:c r="G118" s="8" t="s">
        <x:v>371</x:v>
      </x:c>
      <x:c r="H118" s="9"/>
      <x:c r="I118" s="8" t="s">
        <x:v>372</x:v>
      </x:c>
      <x:c r="J118" s="8" t="s">
        <x:v>396</x:v>
      </x:c>
      <x:c r="K118" s="8" t="s">
        <x:v>26</x:v>
      </x:c>
      <x:c r="L118" s="8" t="s">
        <x:v>386</x:v>
      </x:c>
      <x:c r="M118" s="8" t="s">
        <x:v>375</x:v>
      </x:c>
      <x:c r="N118" s="8" t="s">
        <x:v>39</x:v>
      </x:c>
      <x:c r="O118" s="8">
        <x:v>3.0</x:v>
      </x:c>
      <x:c r="P118" s="8">
        <x:v>16.0</x:v>
      </x:c>
      <x:c r="Q118" s="8" t="s">
        <x:v>376</x:v>
      </x:c>
      <x:c r="R118" s="9" t="s">
        <x:v>387</x:v>
      </x:c>
      <x:c r="S118" s="9"/>
    </x:row>
    <x:row r="119" ht="67.5" customHeight="1">
      <x:c r="A119" s="16" t="s">
        <x:v>19</x:v>
      </x:c>
      <x:c r="B119" s="16">
        <x:v>117.0</x:v>
      </x:c>
      <x:c r="C119" s="6" t="s">
        <x:v>70</x:v>
      </x:c>
      <x:c r="D119" s="6" t="s">
        <x:v>394</x:v>
      </x:c>
      <x:c r="E119" s="16">
        <x:v>116.0</x:v>
      </x:c>
      <x:c r="F119" s="16" t="s">
        <x:v>397</x:v>
      </x:c>
      <x:c r="G119" s="16" t="s">
        <x:v>44</x:v>
      </x:c>
      <x:c r="H119" s="6"/>
      <x:c r="I119" s="16" t="s">
        <x:v>379</x:v>
      </x:c>
      <x:c r="J119" s="16" t="s">
        <x:v>396</x:v>
      </x:c>
      <x:c r="K119" s="16" t="s">
        <x:v>46</x:v>
      </x:c>
      <x:c r="L119" s="16" t="s">
        <x:v>380</x:v>
      </x:c>
      <x:c r="M119" s="16" t="s">
        <x:v>48</x:v>
      </x:c>
      <x:c r="N119" s="16" t="s">
        <x:v>29</x:v>
      </x:c>
      <x:c r="O119" s="16">
        <x:v>3.0</x:v>
      </x:c>
      <x:c r="P119" s="16">
        <x:v>16.0</x:v>
      </x:c>
      <x:c r="Q119" s="16" t="s">
        <x:v>381</x:v>
      </x:c>
      <x:c r="R119" s="6" t="s">
        <x:v>398</x:v>
      </x:c>
      <x:c r="S119" s="6"/>
    </x:row>
    <x:row r="120" ht="67.5" customHeight="1">
      <x:c r="A120" s="8" t="s">
        <x:v>19</x:v>
      </x:c>
      <x:c r="B120" s="8">
        <x:v>118.0</x:v>
      </x:c>
      <x:c r="C120" s="9" t="s">
        <x:v>41</x:v>
      </x:c>
      <x:c r="D120" s="9" t="s">
        <x:v>399</x:v>
      </x:c>
      <x:c r="E120" s="8"/>
      <x:c r="F120" s="8" t="s">
        <x:v>400</x:v>
      </x:c>
      <x:c r="G120" s="8" t="s">
        <x:v>371</x:v>
      </x:c>
      <x:c r="H120" s="9"/>
      <x:c r="I120" s="8" t="s">
        <x:v>372</x:v>
      </x:c>
      <x:c r="J120" s="8" t="s">
        <x:v>401</x:v>
      </x:c>
      <x:c r="K120" s="8" t="s">
        <x:v>46</x:v>
      </x:c>
      <x:c r="L120" s="8" t="s">
        <x:v>374</x:v>
      </x:c>
      <x:c r="M120" s="8" t="s">
        <x:v>375</x:v>
      </x:c>
      <x:c r="N120" s="8" t="s">
        <x:v>29</x:v>
      </x:c>
      <x:c r="O120" s="8">
        <x:v>2.0</x:v>
      </x:c>
      <x:c r="P120" s="8">
        <x:v>16.0</x:v>
      </x:c>
      <x:c r="Q120" s="8" t="s">
        <x:v>376</x:v>
      </x:c>
      <x:c r="R120" s="9" t="s">
        <x:v>377</x:v>
      </x:c>
      <x:c r="S120" s="9"/>
    </x:row>
    <x:row r="121" ht="67.5" customHeight="1">
      <x:c r="A121" s="16" t="s">
        <x:v>19</x:v>
      </x:c>
      <x:c r="B121" s="16">
        <x:v>119.0</x:v>
      </x:c>
      <x:c r="C121" s="6" t="s">
        <x:v>32</x:v>
      </x:c>
      <x:c r="D121" s="6" t="s">
        <x:v>399</x:v>
      </x:c>
      <x:c r="E121" s="16">
        <x:v>118.0</x:v>
      </x:c>
      <x:c r="F121" s="16" t="s">
        <x:v>402</x:v>
      </x:c>
      <x:c r="G121" s="16" t="s">
        <x:v>23</x:v>
      </x:c>
      <x:c r="H121" s="6"/>
      <x:c r="I121" s="16" t="s">
        <x:v>379</x:v>
      </x:c>
      <x:c r="J121" s="16" t="s">
        <x:v>401</x:v>
      </x:c>
      <x:c r="K121" s="16" t="s">
        <x:v>26</x:v>
      </x:c>
      <x:c r="L121" s="16" t="s">
        <x:v>380</x:v>
      </x:c>
      <x:c r="M121" s="16" t="s">
        <x:v>28</x:v>
      </x:c>
      <x:c r="N121" s="16" t="s">
        <x:v>39</x:v>
      </x:c>
      <x:c r="O121" s="16">
        <x:v>2.0</x:v>
      </x:c>
      <x:c r="P121" s="16">
        <x:v>16.0</x:v>
      </x:c>
      <x:c r="Q121" s="16" t="s">
        <x:v>381</x:v>
      </x:c>
      <x:c r="R121" s="6" t="s">
        <x:v>382</x:v>
      </x:c>
      <x:c r="S121" s="6"/>
    </x:row>
    <x:row r="122" ht="67.5" customHeight="1">
      <x:c r="A122" s="8" t="s">
        <x:v>19</x:v>
      </x:c>
      <x:c r="B122" s="8">
        <x:v>120.0</x:v>
      </x:c>
      <x:c r="C122" s="9" t="s">
        <x:v>20</x:v>
      </x:c>
      <x:c r="D122" s="9" t="s">
        <x:v>403</x:v>
      </x:c>
      <x:c r="E122" s="8"/>
      <x:c r="F122" s="8" t="s">
        <x:v>404</x:v>
      </x:c>
      <x:c r="G122" s="8" t="s">
        <x:v>371</x:v>
      </x:c>
      <x:c r="H122" s="9"/>
      <x:c r="I122" s="8" t="s">
        <x:v>372</x:v>
      </x:c>
      <x:c r="J122" s="8" t="s">
        <x:v>405</x:v>
      </x:c>
      <x:c r="K122" s="8" t="s">
        <x:v>26</x:v>
      </x:c>
      <x:c r="L122" s="8" t="s">
        <x:v>386</x:v>
      </x:c>
      <x:c r="M122" s="8" t="s">
        <x:v>375</x:v>
      </x:c>
      <x:c r="N122" s="8" t="s">
        <x:v>39</x:v>
      </x:c>
      <x:c r="O122" s="8">
        <x:v>3.0</x:v>
      </x:c>
      <x:c r="P122" s="8">
        <x:v>8.0</x:v>
      </x:c>
      <x:c r="Q122" s="8" t="s">
        <x:v>376</x:v>
      </x:c>
      <x:c r="R122" s="9" t="s">
        <x:v>387</x:v>
      </x:c>
      <x:c r="S122" s="9"/>
    </x:row>
    <x:row r="123" ht="67.5" customHeight="1">
      <x:c r="A123" s="16" t="s">
        <x:v>19</x:v>
      </x:c>
      <x:c r="B123" s="16">
        <x:v>121.0</x:v>
      </x:c>
      <x:c r="C123" s="6" t="s">
        <x:v>50</x:v>
      </x:c>
      <x:c r="D123" s="6" t="s">
        <x:v>403</x:v>
      </x:c>
      <x:c r="E123" s="16">
        <x:v>120.0</x:v>
      </x:c>
      <x:c r="F123" s="16" t="s">
        <x:v>406</x:v>
      </x:c>
      <x:c r="G123" s="16" t="s">
        <x:v>53</x:v>
      </x:c>
      <x:c r="H123" s="6"/>
      <x:c r="I123" s="16" t="s">
        <x:v>379</x:v>
      </x:c>
      <x:c r="J123" s="16" t="s">
        <x:v>405</x:v>
      </x:c>
      <x:c r="K123" s="16" t="s">
        <x:v>46</x:v>
      </x:c>
      <x:c r="L123" s="16" t="s">
        <x:v>380</x:v>
      </x:c>
      <x:c r="M123" s="16" t="s">
        <x:v>56</x:v>
      </x:c>
      <x:c r="N123" s="16" t="s">
        <x:v>407</x:v>
      </x:c>
      <x:c r="O123" s="16">
        <x:v>3.0</x:v>
      </x:c>
      <x:c r="P123" s="16">
        <x:v>8.0</x:v>
      </x:c>
      <x:c r="Q123" s="16" t="s">
        <x:v>381</x:v>
      </x:c>
      <x:c r="R123" s="6" t="s">
        <x:v>389</x:v>
      </x:c>
      <x:c r="S123" s="6"/>
    </x:row>
    <x:row r="124" ht="67.5" customHeight="1">
      <x:c r="A124" s="8" t="s">
        <x:v>19</x:v>
      </x:c>
      <x:c r="B124" s="8">
        <x:v>122.0</x:v>
      </x:c>
      <x:c r="C124" s="9" t="s">
        <x:v>70</x:v>
      </x:c>
      <x:c r="D124" s="9" t="s">
        <x:v>408</x:v>
      </x:c>
      <x:c r="E124" s="8"/>
      <x:c r="F124" s="8" t="s">
        <x:v>409</x:v>
      </x:c>
      <x:c r="G124" s="8" t="s">
        <x:v>371</x:v>
      </x:c>
      <x:c r="H124" s="9"/>
      <x:c r="I124" s="8" t="s">
        <x:v>372</x:v>
      </x:c>
      <x:c r="J124" s="8" t="s">
        <x:v>410</x:v>
      </x:c>
      <x:c r="K124" s="8" t="s">
        <x:v>46</x:v>
      </x:c>
      <x:c r="L124" s="8" t="s">
        <x:v>374</x:v>
      </x:c>
      <x:c r="M124" s="8" t="s">
        <x:v>375</x:v>
      </x:c>
      <x:c r="N124" s="8" t="s">
        <x:v>39</x:v>
      </x:c>
      <x:c r="O124" s="8">
        <x:v>2.0</x:v>
      </x:c>
      <x:c r="P124" s="8">
        <x:v>8.0</x:v>
      </x:c>
      <x:c r="Q124" s="8" t="s">
        <x:v>376</x:v>
      </x:c>
      <x:c r="R124" s="9" t="s">
        <x:v>377</x:v>
      </x:c>
      <x:c r="S124" s="9"/>
    </x:row>
    <x:row r="125" ht="67.5" customHeight="1">
      <x:c r="A125" s="16" t="s">
        <x:v>19</x:v>
      </x:c>
      <x:c r="B125" s="16">
        <x:v>123.0</x:v>
      </x:c>
      <x:c r="C125" s="6" t="s">
        <x:v>79</x:v>
      </x:c>
      <x:c r="D125" s="6" t="s">
        <x:v>408</x:v>
      </x:c>
      <x:c r="E125" s="16">
        <x:v>122.0</x:v>
      </x:c>
      <x:c r="F125" s="16" t="s">
        <x:v>411</x:v>
      </x:c>
      <x:c r="G125" s="16" t="s">
        <x:v>23</x:v>
      </x:c>
      <x:c r="H125" s="6"/>
      <x:c r="I125" s="16" t="s">
        <x:v>379</x:v>
      </x:c>
      <x:c r="J125" s="16" t="s">
        <x:v>410</x:v>
      </x:c>
      <x:c r="K125" s="16" t="s">
        <x:v>26</x:v>
      </x:c>
      <x:c r="L125" s="16" t="s">
        <x:v>380</x:v>
      </x:c>
      <x:c r="M125" s="16" t="s">
        <x:v>28</x:v>
      </x:c>
      <x:c r="N125" s="16" t="s">
        <x:v>29</x:v>
      </x:c>
      <x:c r="O125" s="16">
        <x:v>2.0</x:v>
      </x:c>
      <x:c r="P125" s="16">
        <x:v>8.0</x:v>
      </x:c>
      <x:c r="Q125" s="16" t="s">
        <x:v>381</x:v>
      </x:c>
      <x:c r="R125" s="6" t="s">
        <x:v>382</x:v>
      </x:c>
      <x:c r="S125" s="6"/>
    </x:row>
    <x:row r="126" ht="67.5" customHeight="1">
      <x:c r="A126" s="8" t="s">
        <x:v>19</x:v>
      </x:c>
      <x:c r="B126" s="8">
        <x:v>124.0</x:v>
      </x:c>
      <x:c r="C126" s="9" t="s">
        <x:v>32</x:v>
      </x:c>
      <x:c r="D126" s="9" t="s">
        <x:v>412</x:v>
      </x:c>
      <x:c r="E126" s="8"/>
      <x:c r="F126" s="8" t="s">
        <x:v>413</x:v>
      </x:c>
      <x:c r="G126" s="8" t="s">
        <x:v>371</x:v>
      </x:c>
      <x:c r="H126" s="9"/>
      <x:c r="I126" s="8" t="s">
        <x:v>372</x:v>
      </x:c>
      <x:c r="J126" s="8" t="s">
        <x:v>414</x:v>
      </x:c>
      <x:c r="K126" s="8" t="s">
        <x:v>26</x:v>
      </x:c>
      <x:c r="L126" s="8" t="s">
        <x:v>386</x:v>
      </x:c>
      <x:c r="M126" s="8" t="s">
        <x:v>375</x:v>
      </x:c>
      <x:c r="N126" s="8" t="s">
        <x:v>29</x:v>
      </x:c>
      <x:c r="O126" s="8">
        <x:v>3.0</x:v>
      </x:c>
      <x:c r="P126" s="8">
        <x:v>12.0</x:v>
      </x:c>
      <x:c r="Q126" s="8" t="s">
        <x:v>376</x:v>
      </x:c>
      <x:c r="R126" s="9" t="s">
        <x:v>387</x:v>
      </x:c>
      <x:c r="S126" s="9"/>
    </x:row>
    <x:row r="127" ht="67.5" customHeight="1">
      <x:c r="A127" s="16" t="s">
        <x:v>19</x:v>
      </x:c>
      <x:c r="B127" s="16">
        <x:v>125.0</x:v>
      </x:c>
      <x:c r="C127" s="6" t="s">
        <x:v>41</x:v>
      </x:c>
      <x:c r="D127" s="6" t="s">
        <x:v>412</x:v>
      </x:c>
      <x:c r="E127" s="16">
        <x:v>124.0</x:v>
      </x:c>
      <x:c r="F127" s="16" t="s">
        <x:v>415</x:v>
      </x:c>
      <x:c r="G127" s="16" t="s">
        <x:v>44</x:v>
      </x:c>
      <x:c r="H127" s="6"/>
      <x:c r="I127" s="16" t="s">
        <x:v>379</x:v>
      </x:c>
      <x:c r="J127" s="16" t="s">
        <x:v>414</x:v>
      </x:c>
      <x:c r="K127" s="16" t="s">
        <x:v>46</x:v>
      </x:c>
      <x:c r="L127" s="16" t="s">
        <x:v>380</x:v>
      </x:c>
      <x:c r="M127" s="16" t="s">
        <x:v>48</x:v>
      </x:c>
      <x:c r="N127" s="16" t="s">
        <x:v>39</x:v>
      </x:c>
      <x:c r="O127" s="16">
        <x:v>3.0</x:v>
      </x:c>
      <x:c r="P127" s="16">
        <x:v>12.0</x:v>
      </x:c>
      <x:c r="Q127" s="16" t="s">
        <x:v>381</x:v>
      </x:c>
      <x:c r="R127" s="6" t="s">
        <x:v>398</x:v>
      </x:c>
      <x:c r="S127" s="6"/>
    </x:row>
    <x:row r="128" ht="67.5" customHeight="1">
      <x:c r="A128" s="8" t="s">
        <x:v>19</x:v>
      </x:c>
      <x:c r="B128" s="8">
        <x:v>126.0</x:v>
      </x:c>
      <x:c r="C128" s="9" t="s">
        <x:v>50</x:v>
      </x:c>
      <x:c r="D128" s="9" t="s">
        <x:v>416</x:v>
      </x:c>
      <x:c r="E128" s="8"/>
      <x:c r="F128" s="8" t="s">
        <x:v>417</x:v>
      </x:c>
      <x:c r="G128" s="8" t="s">
        <x:v>371</x:v>
      </x:c>
      <x:c r="H128" s="9"/>
      <x:c r="I128" s="8" t="s">
        <x:v>372</x:v>
      </x:c>
      <x:c r="J128" s="8" t="s">
        <x:v>418</x:v>
      </x:c>
      <x:c r="K128" s="8" t="s">
        <x:v>46</x:v>
      </x:c>
      <x:c r="L128" s="8" t="s">
        <x:v>374</x:v>
      </x:c>
      <x:c r="M128" s="8" t="s">
        <x:v>375</x:v>
      </x:c>
      <x:c r="N128" s="8" t="s">
        <x:v>29</x:v>
      </x:c>
      <x:c r="O128" s="8">
        <x:v>2.0</x:v>
      </x:c>
      <x:c r="P128" s="8">
        <x:v>12.0</x:v>
      </x:c>
      <x:c r="Q128" s="8" t="s">
        <x:v>376</x:v>
      </x:c>
      <x:c r="R128" s="9" t="s">
        <x:v>377</x:v>
      </x:c>
      <x:c r="S128" s="9"/>
    </x:row>
    <x:row r="129" ht="67.5" customHeight="1">
      <x:c r="A129" s="16" t="s">
        <x:v>19</x:v>
      </x:c>
      <x:c r="B129" s="16">
        <x:v>127.0</x:v>
      </x:c>
      <x:c r="C129" s="6" t="s">
        <x:v>20</x:v>
      </x:c>
      <x:c r="D129" s="6" t="s">
        <x:v>416</x:v>
      </x:c>
      <x:c r="E129" s="16">
        <x:v>126.0</x:v>
      </x:c>
      <x:c r="F129" s="16" t="s">
        <x:v>419</x:v>
      </x:c>
      <x:c r="G129" s="16" t="s">
        <x:v>23</x:v>
      </x:c>
      <x:c r="H129" s="6"/>
      <x:c r="I129" s="16" t="s">
        <x:v>379</x:v>
      </x:c>
      <x:c r="J129" s="16" t="s">
        <x:v>418</x:v>
      </x:c>
      <x:c r="K129" s="16" t="s">
        <x:v>26</x:v>
      </x:c>
      <x:c r="L129" s="16" t="s">
        <x:v>380</x:v>
      </x:c>
      <x:c r="M129" s="16" t="s">
        <x:v>28</x:v>
      </x:c>
      <x:c r="N129" s="16" t="s">
        <x:v>39</x:v>
      </x:c>
      <x:c r="O129" s="16">
        <x:v>2.0</x:v>
      </x:c>
      <x:c r="P129" s="16">
        <x:v>12.0</x:v>
      </x:c>
      <x:c r="Q129" s="16" t="s">
        <x:v>381</x:v>
      </x:c>
      <x:c r="R129" s="6" t="s">
        <x:v>382</x:v>
      </x:c>
      <x:c r="S129" s="6"/>
    </x:row>
    <x:row r="130" ht="67.5" customHeight="1">
      <x:c r="A130" s="8" t="s">
        <x:v>19</x:v>
      </x:c>
      <x:c r="B130" s="8">
        <x:v>128.0</x:v>
      </x:c>
      <x:c r="C130" s="9" t="s">
        <x:v>79</x:v>
      </x:c>
      <x:c r="D130" s="9" t="s">
        <x:v>420</x:v>
      </x:c>
      <x:c r="E130" s="8"/>
      <x:c r="F130" s="8" t="s">
        <x:v>421</x:v>
      </x:c>
      <x:c r="G130" s="8" t="s">
        <x:v>371</x:v>
      </x:c>
      <x:c r="H130" s="9"/>
      <x:c r="I130" s="8" t="s">
        <x:v>372</x:v>
      </x:c>
      <x:c r="J130" s="8" t="s">
        <x:v>422</x:v>
      </x:c>
      <x:c r="K130" s="8" t="s">
        <x:v>26</x:v>
      </x:c>
      <x:c r="L130" s="8" t="s">
        <x:v>386</x:v>
      </x:c>
      <x:c r="M130" s="8" t="s">
        <x:v>375</x:v>
      </x:c>
      <x:c r="N130" s="8" t="s">
        <x:v>39</x:v>
      </x:c>
      <x:c r="O130" s="8">
        <x:v>3.0</x:v>
      </x:c>
      <x:c r="P130" s="8">
        <x:v>16.0</x:v>
      </x:c>
      <x:c r="Q130" s="8" t="s">
        <x:v>376</x:v>
      </x:c>
      <x:c r="R130" s="9" t="s">
        <x:v>387</x:v>
      </x:c>
      <x:c r="S130" s="9"/>
    </x:row>
    <x:row r="131" ht="67.5" customHeight="1">
      <x:c r="A131" s="16" t="s">
        <x:v>19</x:v>
      </x:c>
      <x:c r="B131" s="16">
        <x:v>129.0</x:v>
      </x:c>
      <x:c r="C131" s="6" t="s">
        <x:v>70</x:v>
      </x:c>
      <x:c r="D131" s="6" t="s">
        <x:v>420</x:v>
      </x:c>
      <x:c r="E131" s="16">
        <x:v>128.0</x:v>
      </x:c>
      <x:c r="F131" s="16" t="s">
        <x:v>423</x:v>
      </x:c>
      <x:c r="G131" s="16" t="s">
        <x:v>53</x:v>
      </x:c>
      <x:c r="H131" s="6"/>
      <x:c r="I131" s="16" t="s">
        <x:v>379</x:v>
      </x:c>
      <x:c r="J131" s="16" t="s">
        <x:v>422</x:v>
      </x:c>
      <x:c r="K131" s="16" t="s">
        <x:v>46</x:v>
      </x:c>
      <x:c r="L131" s="16" t="s">
        <x:v>380</x:v>
      </x:c>
      <x:c r="M131" s="16" t="s">
        <x:v>56</x:v>
      </x:c>
      <x:c r="N131" s="16" t="s">
        <x:v>29</x:v>
      </x:c>
      <x:c r="O131" s="16">
        <x:v>3.0</x:v>
      </x:c>
      <x:c r="P131" s="16">
        <x:v>16.0</x:v>
      </x:c>
      <x:c r="Q131" s="16" t="s">
        <x:v>381</x:v>
      </x:c>
      <x:c r="R131" s="6" t="s">
        <x:v>389</x:v>
      </x:c>
      <x:c r="S131" s="6"/>
    </x:row>
    <x:row r="132" ht="67.5" customHeight="1">
      <x:c r="A132" s="8" t="s">
        <x:v>19</x:v>
      </x:c>
      <x:c r="B132" s="8">
        <x:v>130.0</x:v>
      </x:c>
      <x:c r="C132" s="9" t="s">
        <x:v>20</x:v>
      </x:c>
      <x:c r="D132" s="9" t="s">
        <x:v>424</x:v>
      </x:c>
      <x:c r="E132" s="8"/>
      <x:c r="F132" s="8" t="s">
        <x:v>425</x:v>
      </x:c>
      <x:c r="G132" s="8" t="s">
        <x:v>426</x:v>
      </x:c>
      <x:c r="H132" s="9"/>
      <x:c r="I132" s="8" t="s">
        <x:v>427</x:v>
      </x:c>
      <x:c r="J132" s="8" t="s">
        <x:v>428</x:v>
      </x:c>
      <x:c r="K132" s="8" t="s">
        <x:v>26</x:v>
      </x:c>
      <x:c r="L132" s="8" t="s">
        <x:v>429</x:v>
      </x:c>
      <x:c r="M132" s="8" t="s">
        <x:v>28</x:v>
      </x:c>
      <x:c r="N132" s="8" t="s">
        <x:v>430</x:v>
      </x:c>
      <x:c r="O132" s="8">
        <x:v>2.0</x:v>
      </x:c>
      <x:c r="P132" s="8"/>
      <x:c r="Q132" s="8" t="s">
        <x:v>431</x:v>
      </x:c>
      <x:c r="R132" s="9" t="s">
        <x:v>432</x:v>
      </x:c>
      <x:c r="S132" s="9"/>
    </x:row>
    <x:row r="133" ht="67.5" customHeight="1">
      <x:c r="A133" s="8" t="s">
        <x:v>19</x:v>
      </x:c>
      <x:c r="B133" s="8">
        <x:v>131.0</x:v>
      </x:c>
      <x:c r="C133" s="9" t="s">
        <x:v>32</x:v>
      </x:c>
      <x:c r="D133" s="9" t="s">
        <x:v>433</x:v>
      </x:c>
      <x:c r="E133" s="8"/>
      <x:c r="F133" s="8" t="s">
        <x:v>434</x:v>
      </x:c>
      <x:c r="G133" s="8" t="s">
        <x:v>426</x:v>
      </x:c>
      <x:c r="H133" s="9"/>
      <x:c r="I133" s="8" t="s">
        <x:v>427</x:v>
      </x:c>
      <x:c r="J133" s="8" t="s">
        <x:v>435</x:v>
      </x:c>
      <x:c r="K133" s="8" t="s">
        <x:v>26</x:v>
      </x:c>
      <x:c r="L133" s="8" t="s">
        <x:v>436</x:v>
      </x:c>
      <x:c r="M133" s="8" t="s">
        <x:v>38</x:v>
      </x:c>
      <x:c r="N133" s="8" t="s">
        <x:v>430</x:v>
      </x:c>
      <x:c r="O133" s="8">
        <x:v>2.0</x:v>
      </x:c>
      <x:c r="P133" s="8"/>
      <x:c r="Q133" s="8" t="s">
        <x:v>431</x:v>
      </x:c>
      <x:c r="R133" s="9" t="s">
        <x:v>432</x:v>
      </x:c>
      <x:c r="S133" s="9"/>
    </x:row>
    <x:row r="134" ht="67.5" customHeight="1">
      <x:c r="A134" s="8" t="s">
        <x:v>19</x:v>
      </x:c>
      <x:c r="B134" s="8">
        <x:v>132.0</x:v>
      </x:c>
      <x:c r="C134" s="9" t="s">
        <x:v>41</x:v>
      </x:c>
      <x:c r="D134" s="9" t="s">
        <x:v>437</x:v>
      </x:c>
      <x:c r="E134" s="8"/>
      <x:c r="F134" s="8" t="s">
        <x:v>438</x:v>
      </x:c>
      <x:c r="G134" s="8" t="s">
        <x:v>426</x:v>
      </x:c>
      <x:c r="H134" s="9"/>
      <x:c r="I134" s="8" t="s">
        <x:v>427</x:v>
      </x:c>
      <x:c r="J134" s="8" t="s">
        <x:v>439</x:v>
      </x:c>
      <x:c r="K134" s="8" t="s">
        <x:v>46</x:v>
      </x:c>
      <x:c r="L134" s="8" t="s">
        <x:v>440</x:v>
      </x:c>
      <x:c r="M134" s="8" t="s">
        <x:v>48</x:v>
      </x:c>
      <x:c r="N134" s="8" t="s">
        <x:v>430</x:v>
      </x:c>
      <x:c r="O134" s="8">
        <x:v>2.0</x:v>
      </x:c>
      <x:c r="P134" s="8"/>
      <x:c r="Q134" s="8" t="s">
        <x:v>431</x:v>
      </x:c>
      <x:c r="R134" s="9" t="s">
        <x:v>432</x:v>
      </x:c>
      <x:c r="S134" s="9"/>
    </x:row>
    <x:row r="135" ht="67.5" customHeight="1">
      <x:c r="A135" s="8" t="s">
        <x:v>19</x:v>
      </x:c>
      <x:c r="B135" s="8">
        <x:v>133.0</x:v>
      </x:c>
      <x:c r="C135" s="9" t="s">
        <x:v>70</x:v>
      </x:c>
      <x:c r="D135" s="9" t="s">
        <x:v>441</x:v>
      </x:c>
      <x:c r="E135" s="8"/>
      <x:c r="F135" s="8" t="s">
        <x:v>442</x:v>
      </x:c>
      <x:c r="G135" s="8" t="s">
        <x:v>426</x:v>
      </x:c>
      <x:c r="H135" s="9"/>
      <x:c r="I135" s="8" t="s">
        <x:v>427</x:v>
      </x:c>
      <x:c r="J135" s="8" t="s">
        <x:v>443</x:v>
      </x:c>
      <x:c r="K135" s="8" t="s">
        <x:v>46</x:v>
      </x:c>
      <x:c r="L135" s="8" t="s">
        <x:v>444</x:v>
      </x:c>
      <x:c r="M135" s="8" t="s">
        <x:v>56</x:v>
      </x:c>
      <x:c r="N135" s="8" t="s">
        <x:v>430</x:v>
      </x:c>
      <x:c r="O135" s="8">
        <x:v>2.0</x:v>
      </x:c>
      <x:c r="P135" s="8"/>
      <x:c r="Q135" s="8" t="s">
        <x:v>431</x:v>
      </x:c>
      <x:c r="R135" s="9" t="s">
        <x:v>432</x:v>
      </x:c>
      <x:c r="S135" s="9"/>
    </x:row>
    <x:row r="136" ht="67.5" customHeight="1">
      <x:c r="A136" s="8" t="s">
        <x:v>19</x:v>
      </x:c>
      <x:c r="B136" s="8">
        <x:v>134.0</x:v>
      </x:c>
      <x:c r="C136" s="9" t="s">
        <x:v>32</x:v>
      </x:c>
      <x:c r="D136" s="9" t="s">
        <x:v>445</x:v>
      </x:c>
      <x:c r="E136" s="8"/>
      <x:c r="F136" s="8" t="s">
        <x:v>446</x:v>
      </x:c>
      <x:c r="G136" s="8" t="s">
        <x:v>426</x:v>
      </x:c>
      <x:c r="H136" s="9"/>
      <x:c r="I136" s="8" t="s">
        <x:v>427</x:v>
      </x:c>
      <x:c r="J136" s="8" t="s">
        <x:v>447</x:v>
      </x:c>
      <x:c r="K136" s="8" t="s">
        <x:v>26</x:v>
      </x:c>
      <x:c r="L136" s="8" t="s">
        <x:v>429</x:v>
      </x:c>
      <x:c r="M136" s="8" t="s">
        <x:v>28</x:v>
      </x:c>
      <x:c r="N136" s="8" t="s">
        <x:v>430</x:v>
      </x:c>
      <x:c r="O136" s="8">
        <x:v>3.0</x:v>
      </x:c>
      <x:c r="P136" s="8"/>
      <x:c r="Q136" s="8" t="s">
        <x:v>431</x:v>
      </x:c>
      <x:c r="R136" s="9" t="s">
        <x:v>432</x:v>
      </x:c>
      <x:c r="S136" s="9"/>
    </x:row>
    <x:row r="137" ht="67.5" customHeight="1">
      <x:c r="A137" s="8" t="s">
        <x:v>19</x:v>
      </x:c>
      <x:c r="B137" s="8">
        <x:v>135.0</x:v>
      </x:c>
      <x:c r="C137" s="9" t="s">
        <x:v>79</x:v>
      </x:c>
      <x:c r="D137" s="9" t="s">
        <x:v>448</x:v>
      </x:c>
      <x:c r="E137" s="8"/>
      <x:c r="F137" s="8" t="s">
        <x:v>449</x:v>
      </x:c>
      <x:c r="G137" s="8" t="s">
        <x:v>426</x:v>
      </x:c>
      <x:c r="H137" s="9"/>
      <x:c r="I137" s="8" t="s">
        <x:v>427</x:v>
      </x:c>
      <x:c r="J137" s="8" t="s">
        <x:v>450</x:v>
      </x:c>
      <x:c r="K137" s="8" t="s">
        <x:v>26</x:v>
      </x:c>
      <x:c r="L137" s="8" t="s">
        <x:v>436</x:v>
      </x:c>
      <x:c r="M137" s="8" t="s">
        <x:v>38</x:v>
      </x:c>
      <x:c r="N137" s="8" t="s">
        <x:v>430</x:v>
      </x:c>
      <x:c r="O137" s="8">
        <x:v>2.0</x:v>
      </x:c>
      <x:c r="P137" s="8"/>
      <x:c r="Q137" s="8" t="s">
        <x:v>431</x:v>
      </x:c>
      <x:c r="R137" s="9" t="s">
        <x:v>432</x:v>
      </x:c>
      <x:c r="S137" s="9"/>
    </x:row>
    <x:row r="138" ht="67.5" customHeight="1">
      <x:c r="A138" s="8" t="s">
        <x:v>19</x:v>
      </x:c>
      <x:c r="B138" s="8">
        <x:v>136.0</x:v>
      </x:c>
      <x:c r="C138" s="9" t="s">
        <x:v>70</x:v>
      </x:c>
      <x:c r="D138" s="9" t="s">
        <x:v>451</x:v>
      </x:c>
      <x:c r="E138" s="8"/>
      <x:c r="F138" s="8" t="s">
        <x:v>452</x:v>
      </x:c>
      <x:c r="G138" s="8" t="s">
        <x:v>426</x:v>
      </x:c>
      <x:c r="H138" s="9"/>
      <x:c r="I138" s="8" t="s">
        <x:v>427</x:v>
      </x:c>
      <x:c r="J138" s="8" t="s">
        <x:v>453</x:v>
      </x:c>
      <x:c r="K138" s="8" t="s">
        <x:v>46</x:v>
      </x:c>
      <x:c r="L138" s="8" t="s">
        <x:v>440</x:v>
      </x:c>
      <x:c r="M138" s="8" t="s">
        <x:v>48</x:v>
      </x:c>
      <x:c r="N138" s="8" t="s">
        <x:v>430</x:v>
      </x:c>
      <x:c r="O138" s="8">
        <x:v>2.0</x:v>
      </x:c>
      <x:c r="P138" s="8"/>
      <x:c r="Q138" s="8" t="s">
        <x:v>431</x:v>
      </x:c>
      <x:c r="R138" s="9" t="s">
        <x:v>432</x:v>
      </x:c>
      <x:c r="S138" s="9"/>
    </x:row>
    <x:row r="139" ht="67.5" customHeight="1">
      <x:c r="A139" s="8" t="s">
        <x:v>19</x:v>
      </x:c>
      <x:c r="B139" s="8">
        <x:v>137.0</x:v>
      </x:c>
      <x:c r="C139" s="9" t="s">
        <x:v>50</x:v>
      </x:c>
      <x:c r="D139" s="9" t="s">
        <x:v>454</x:v>
      </x:c>
      <x:c r="E139" s="8"/>
      <x:c r="F139" s="8" t="s">
        <x:v>455</x:v>
      </x:c>
      <x:c r="G139" s="8" t="s">
        <x:v>426</x:v>
      </x:c>
      <x:c r="H139" s="9"/>
      <x:c r="I139" s="8" t="s">
        <x:v>427</x:v>
      </x:c>
      <x:c r="J139" s="8" t="s">
        <x:v>456</x:v>
      </x:c>
      <x:c r="K139" s="8" t="s">
        <x:v>46</x:v>
      </x:c>
      <x:c r="L139" s="8" t="s">
        <x:v>444</x:v>
      </x:c>
      <x:c r="M139" s="8" t="s">
        <x:v>56</x:v>
      </x:c>
      <x:c r="N139" s="8" t="s">
        <x:v>430</x:v>
      </x:c>
      <x:c r="O139" s="8">
        <x:v>2.0</x:v>
      </x:c>
      <x:c r="P139" s="8"/>
      <x:c r="Q139" s="8" t="s">
        <x:v>431</x:v>
      </x:c>
      <x:c r="R139" s="9" t="s">
        <x:v>432</x:v>
      </x:c>
      <x:c r="S139" s="9"/>
    </x:row>
    <x:row r="140" ht="67.5" customHeight="1">
      <x:c r="A140" s="8" t="s">
        <x:v>19</x:v>
      </x:c>
      <x:c r="B140" s="8">
        <x:v>138.0</x:v>
      </x:c>
      <x:c r="C140" s="9" t="s">
        <x:v>79</x:v>
      </x:c>
      <x:c r="D140" s="9" t="s">
        <x:v>457</x:v>
      </x:c>
      <x:c r="E140" s="8"/>
      <x:c r="F140" s="8" t="s">
        <x:v>458</x:v>
      </x:c>
      <x:c r="G140" s="8" t="s">
        <x:v>426</x:v>
      </x:c>
      <x:c r="H140" s="9"/>
      <x:c r="I140" s="8" t="s">
        <x:v>427</x:v>
      </x:c>
      <x:c r="J140" s="8" t="s">
        <x:v>459</x:v>
      </x:c>
      <x:c r="K140" s="8" t="s">
        <x:v>26</x:v>
      </x:c>
      <x:c r="L140" s="8" t="s">
        <x:v>429</x:v>
      </x:c>
      <x:c r="M140" s="8" t="s">
        <x:v>28</x:v>
      </x:c>
      <x:c r="N140" s="8" t="s">
        <x:v>430</x:v>
      </x:c>
      <x:c r="O140" s="8">
        <x:v>4.0</x:v>
      </x:c>
      <x:c r="P140" s="8"/>
      <x:c r="Q140" s="8" t="s">
        <x:v>431</x:v>
      </x:c>
      <x:c r="R140" s="9" t="s">
        <x:v>432</x:v>
      </x:c>
      <x:c r="S140" s="9"/>
    </x:row>
    <x:row r="141" ht="67.5" customHeight="1">
      <x:c r="A141" s="8" t="s">
        <x:v>19</x:v>
      </x:c>
      <x:c r="B141" s="8">
        <x:v>139.0</x:v>
      </x:c>
      <x:c r="C141" s="9" t="s">
        <x:v>20</x:v>
      </x:c>
      <x:c r="D141" s="9" t="s">
        <x:v>460</x:v>
      </x:c>
      <x:c r="E141" s="8"/>
      <x:c r="F141" s="8" t="s">
        <x:v>461</x:v>
      </x:c>
      <x:c r="G141" s="8" t="s">
        <x:v>426</x:v>
      </x:c>
      <x:c r="H141" s="9"/>
      <x:c r="I141" s="8" t="s">
        <x:v>427</x:v>
      </x:c>
      <x:c r="J141" s="8" t="s">
        <x:v>462</x:v>
      </x:c>
      <x:c r="K141" s="8" t="s">
        <x:v>26</x:v>
      </x:c>
      <x:c r="L141" s="8" t="s">
        <x:v>436</x:v>
      </x:c>
      <x:c r="M141" s="8" t="s">
        <x:v>38</x:v>
      </x:c>
      <x:c r="N141" s="8" t="s">
        <x:v>430</x:v>
      </x:c>
      <x:c r="O141" s="8">
        <x:v>3.0</x:v>
      </x:c>
      <x:c r="P141" s="8"/>
      <x:c r="Q141" s="8" t="s">
        <x:v>431</x:v>
      </x:c>
      <x:c r="R141" s="9" t="s">
        <x:v>432</x:v>
      </x:c>
      <x:c r="S141" s="9"/>
    </x:row>
    <x:row r="142" ht="67.5" customHeight="1">
      <x:c r="A142" s="8" t="s">
        <x:v>19</x:v>
      </x:c>
      <x:c r="B142" s="8">
        <x:v>140.0</x:v>
      </x:c>
      <x:c r="C142" s="9" t="s">
        <x:v>50</x:v>
      </x:c>
      <x:c r="D142" s="9" t="s">
        <x:v>463</x:v>
      </x:c>
      <x:c r="E142" s="8"/>
      <x:c r="F142" s="8" t="s">
        <x:v>464</x:v>
      </x:c>
      <x:c r="G142" s="8" t="s">
        <x:v>426</x:v>
      </x:c>
      <x:c r="H142" s="9"/>
      <x:c r="I142" s="8" t="s">
        <x:v>427</x:v>
      </x:c>
      <x:c r="J142" s="8" t="s">
        <x:v>465</x:v>
      </x:c>
      <x:c r="K142" s="8" t="s">
        <x:v>46</x:v>
      </x:c>
      <x:c r="L142" s="8" t="s">
        <x:v>440</x:v>
      </x:c>
      <x:c r="M142" s="8" t="s">
        <x:v>48</x:v>
      </x:c>
      <x:c r="N142" s="8" t="s">
        <x:v>430</x:v>
      </x:c>
      <x:c r="O142" s="8">
        <x:v>3.0</x:v>
      </x:c>
      <x:c r="P142" s="8"/>
      <x:c r="Q142" s="8" t="s">
        <x:v>431</x:v>
      </x:c>
      <x:c r="R142" s="9" t="s">
        <x:v>432</x:v>
      </x:c>
      <x:c r="S142" s="9"/>
    </x:row>
    <x:row r="143" ht="67.5" customHeight="1">
      <x:c r="A143" s="8" t="s">
        <x:v>19</x:v>
      </x:c>
      <x:c r="B143" s="8">
        <x:v>141.0</x:v>
      </x:c>
      <x:c r="C143" s="9" t="s">
        <x:v>41</x:v>
      </x:c>
      <x:c r="D143" s="9" t="s">
        <x:v>466</x:v>
      </x:c>
      <x:c r="E143" s="8"/>
      <x:c r="F143" s="8" t="s">
        <x:v>467</x:v>
      </x:c>
      <x:c r="G143" s="8" t="s">
        <x:v>426</x:v>
      </x:c>
      <x:c r="H143" s="9"/>
      <x:c r="I143" s="8" t="s">
        <x:v>427</x:v>
      </x:c>
      <x:c r="J143" s="8" t="s">
        <x:v>468</x:v>
      </x:c>
      <x:c r="K143" s="8" t="s">
        <x:v>46</x:v>
      </x:c>
      <x:c r="L143" s="8" t="s">
        <x:v>444</x:v>
      </x:c>
      <x:c r="M143" s="8" t="s">
        <x:v>56</x:v>
      </x:c>
      <x:c r="N143" s="8" t="s">
        <x:v>430</x:v>
      </x:c>
      <x:c r="O143" s="8">
        <x:v>4.0</x:v>
      </x:c>
      <x:c r="P143" s="8"/>
      <x:c r="Q143" s="8" t="s">
        <x:v>431</x:v>
      </x:c>
      <x:c r="R143" s="9" t="s">
        <x:v>432</x:v>
      </x:c>
      <x:c r="S143" s="9"/>
    </x:row>
    <x:row r="144" ht="67.5" customHeight="1">
      <x:c r="A144" s="8" t="s">
        <x:v>19</x:v>
      </x:c>
      <x:c r="B144" s="8">
        <x:v>142.0</x:v>
      </x:c>
      <x:c r="C144" s="9" t="s">
        <x:v>20</x:v>
      </x:c>
      <x:c r="D144" s="9" t="s">
        <x:v>469</x:v>
      </x:c>
      <x:c r="E144" s="8"/>
      <x:c r="F144" s="8" t="s">
        <x:v>470</x:v>
      </x:c>
      <x:c r="G144" s="8" t="s">
        <x:v>426</x:v>
      </x:c>
      <x:c r="H144" s="9"/>
      <x:c r="I144" s="8" t="s">
        <x:v>427</x:v>
      </x:c>
      <x:c r="J144" s="8" t="s">
        <x:v>471</x:v>
      </x:c>
      <x:c r="K144" s="8" t="s">
        <x:v>26</x:v>
      </x:c>
      <x:c r="L144" s="8" t="s">
        <x:v>429</x:v>
      </x:c>
      <x:c r="M144" s="8" t="s">
        <x:v>28</x:v>
      </x:c>
      <x:c r="N144" s="8" t="s">
        <x:v>430</x:v>
      </x:c>
      <x:c r="O144" s="8">
        <x:v>4.0</x:v>
      </x:c>
      <x:c r="P144" s="8"/>
      <x:c r="Q144" s="8" t="s">
        <x:v>431</x:v>
      </x:c>
      <x:c r="R144" s="9" t="s">
        <x:v>432</x:v>
      </x:c>
      <x:c r="S144" s="9"/>
    </x:row>
    <x:row r="145" ht="67.5" customHeight="1">
      <x:c r="A145" s="8" t="s">
        <x:v>19</x:v>
      </x:c>
      <x:c r="B145" s="8">
        <x:v>143.0</x:v>
      </x:c>
      <x:c r="C145" s="9" t="s">
        <x:v>32</x:v>
      </x:c>
      <x:c r="D145" s="9" t="s">
        <x:v>472</x:v>
      </x:c>
      <x:c r="E145" s="8"/>
      <x:c r="F145" s="8" t="s">
        <x:v>473</x:v>
      </x:c>
      <x:c r="G145" s="8" t="s">
        <x:v>426</x:v>
      </x:c>
      <x:c r="H145" s="9"/>
      <x:c r="I145" s="8" t="s">
        <x:v>427</x:v>
      </x:c>
      <x:c r="J145" s="8" t="s">
        <x:v>474</x:v>
      </x:c>
      <x:c r="K145" s="8" t="s">
        <x:v>26</x:v>
      </x:c>
      <x:c r="L145" s="8" t="s">
        <x:v>436</x:v>
      </x:c>
      <x:c r="M145" s="8" t="s">
        <x:v>38</x:v>
      </x:c>
      <x:c r="N145" s="8" t="s">
        <x:v>430</x:v>
      </x:c>
      <x:c r="O145" s="8">
        <x:v>3.0</x:v>
      </x:c>
      <x:c r="P145" s="8"/>
      <x:c r="Q145" s="8" t="s">
        <x:v>431</x:v>
      </x:c>
      <x:c r="R145" s="9" t="s">
        <x:v>432</x:v>
      </x:c>
      <x:c r="S145" s="9"/>
    </x:row>
    <x:row r="146" ht="67.5" customHeight="1">
      <x:c r="A146" s="8" t="s">
        <x:v>19</x:v>
      </x:c>
      <x:c r="B146" s="8">
        <x:v>144.0</x:v>
      </x:c>
      <x:c r="C146" s="9" t="s">
        <x:v>41</x:v>
      </x:c>
      <x:c r="D146" s="9" t="s">
        <x:v>475</x:v>
      </x:c>
      <x:c r="E146" s="8"/>
      <x:c r="F146" s="8" t="s">
        <x:v>476</x:v>
      </x:c>
      <x:c r="G146" s="8" t="s">
        <x:v>426</x:v>
      </x:c>
      <x:c r="H146" s="9"/>
      <x:c r="I146" s="8" t="s">
        <x:v>427</x:v>
      </x:c>
      <x:c r="J146" s="8" t="s">
        <x:v>477</x:v>
      </x:c>
      <x:c r="K146" s="8" t="s">
        <x:v>46</x:v>
      </x:c>
      <x:c r="L146" s="8" t="s">
        <x:v>440</x:v>
      </x:c>
      <x:c r="M146" s="8" t="s">
        <x:v>48</x:v>
      </x:c>
      <x:c r="N146" s="8" t="s">
        <x:v>430</x:v>
      </x:c>
      <x:c r="O146" s="8">
        <x:v>3.0</x:v>
      </x:c>
      <x:c r="P146" s="8"/>
      <x:c r="Q146" s="8" t="s">
        <x:v>431</x:v>
      </x:c>
      <x:c r="R146" s="9" t="s">
        <x:v>432</x:v>
      </x:c>
      <x:c r="S146" s="9"/>
    </x:row>
    <x:row r="147" ht="67.5" customHeight="1">
      <x:c r="A147" s="8" t="s">
        <x:v>19</x:v>
      </x:c>
      <x:c r="B147" s="8">
        <x:v>145.0</x:v>
      </x:c>
      <x:c r="C147" s="9" t="s">
        <x:v>70</x:v>
      </x:c>
      <x:c r="D147" s="9" t="s">
        <x:v>478</x:v>
      </x:c>
      <x:c r="E147" s="8"/>
      <x:c r="F147" s="8" t="s">
        <x:v>479</x:v>
      </x:c>
      <x:c r="G147" s="8" t="s">
        <x:v>426</x:v>
      </x:c>
      <x:c r="H147" s="9"/>
      <x:c r="I147" s="8" t="s">
        <x:v>427</x:v>
      </x:c>
      <x:c r="J147" s="8" t="s">
        <x:v>480</x:v>
      </x:c>
      <x:c r="K147" s="8" t="s">
        <x:v>46</x:v>
      </x:c>
      <x:c r="L147" s="8" t="s">
        <x:v>444</x:v>
      </x:c>
      <x:c r="M147" s="8" t="s">
        <x:v>56</x:v>
      </x:c>
      <x:c r="N147" s="8" t="s">
        <x:v>430</x:v>
      </x:c>
      <x:c r="O147" s="8">
        <x:v>4.0</x:v>
      </x:c>
      <x:c r="P147" s="8"/>
      <x:c r="Q147" s="8" t="s">
        <x:v>431</x:v>
      </x:c>
      <x:c r="R147" s="9" t="s">
        <x:v>432</x:v>
      </x:c>
      <x:c r="S147" s="9"/>
    </x:row>
    <x:row r="148" ht="67.5" customHeight="1">
      <x:c r="A148" s="8" t="s">
        <x:v>19</x:v>
      </x:c>
      <x:c r="B148" s="8">
        <x:v>146.0</x:v>
      </x:c>
      <x:c r="C148" s="9" t="s">
        <x:v>32</x:v>
      </x:c>
      <x:c r="D148" s="9" t="s">
        <x:v>481</x:v>
      </x:c>
      <x:c r="E148" s="8"/>
      <x:c r="F148" s="8" t="s">
        <x:v>482</x:v>
      </x:c>
      <x:c r="G148" s="8" t="s">
        <x:v>426</x:v>
      </x:c>
      <x:c r="H148" s="9"/>
      <x:c r="I148" s="8" t="s">
        <x:v>427</x:v>
      </x:c>
      <x:c r="J148" s="8" t="s">
        <x:v>483</x:v>
      </x:c>
      <x:c r="K148" s="8" t="s">
        <x:v>26</x:v>
      </x:c>
      <x:c r="L148" s="8" t="s">
        <x:v>429</x:v>
      </x:c>
      <x:c r="M148" s="8" t="s">
        <x:v>28</x:v>
      </x:c>
      <x:c r="N148" s="8" t="s">
        <x:v>430</x:v>
      </x:c>
      <x:c r="O148" s="8">
        <x:v>4.0</x:v>
      </x:c>
      <x:c r="P148" s="8"/>
      <x:c r="Q148" s="8" t="s">
        <x:v>431</x:v>
      </x:c>
      <x:c r="R148" s="9" t="s">
        <x:v>432</x:v>
      </x:c>
      <x:c r="S148" s="9"/>
    </x:row>
    <x:row r="149" ht="67.5" customHeight="1">
      <x:c r="A149" s="8" t="s">
        <x:v>19</x:v>
      </x:c>
      <x:c r="B149" s="8">
        <x:v>147.0</x:v>
      </x:c>
      <x:c r="C149" s="9" t="s">
        <x:v>79</x:v>
      </x:c>
      <x:c r="D149" s="9" t="s">
        <x:v>484</x:v>
      </x:c>
      <x:c r="E149" s="8"/>
      <x:c r="F149" s="8" t="s">
        <x:v>485</x:v>
      </x:c>
      <x:c r="G149" s="8" t="s">
        <x:v>426</x:v>
      </x:c>
      <x:c r="H149" s="9"/>
      <x:c r="I149" s="8" t="s">
        <x:v>427</x:v>
      </x:c>
      <x:c r="J149" s="8" t="s">
        <x:v>486</x:v>
      </x:c>
      <x:c r="K149" s="8" t="s">
        <x:v>26</x:v>
      </x:c>
      <x:c r="L149" s="8" t="s">
        <x:v>436</x:v>
      </x:c>
      <x:c r="M149" s="8" t="s">
        <x:v>38</x:v>
      </x:c>
      <x:c r="N149" s="8" t="s">
        <x:v>430</x:v>
      </x:c>
      <x:c r="O149" s="8">
        <x:v>3.0</x:v>
      </x:c>
      <x:c r="P149" s="8"/>
      <x:c r="Q149" s="8" t="s">
        <x:v>431</x:v>
      </x:c>
      <x:c r="R149" s="9" t="s">
        <x:v>432</x:v>
      </x:c>
      <x:c r="S149" s="9"/>
    </x:row>
    <x:row r="150" ht="67.5" customHeight="1">
      <x:c r="A150" s="8" t="s">
        <x:v>19</x:v>
      </x:c>
      <x:c r="B150" s="8">
        <x:v>148.0</x:v>
      </x:c>
      <x:c r="C150" s="9" t="s">
        <x:v>70</x:v>
      </x:c>
      <x:c r="D150" s="9" t="s">
        <x:v>487</x:v>
      </x:c>
      <x:c r="E150" s="8"/>
      <x:c r="F150" s="8" t="s">
        <x:v>488</x:v>
      </x:c>
      <x:c r="G150" s="8" t="s">
        <x:v>426</x:v>
      </x:c>
      <x:c r="H150" s="9"/>
      <x:c r="I150" s="8" t="s">
        <x:v>427</x:v>
      </x:c>
      <x:c r="J150" s="8" t="s">
        <x:v>489</x:v>
      </x:c>
      <x:c r="K150" s="8" t="s">
        <x:v>46</x:v>
      </x:c>
      <x:c r="L150" s="8" t="s">
        <x:v>440</x:v>
      </x:c>
      <x:c r="M150" s="8" t="s">
        <x:v>48</x:v>
      </x:c>
      <x:c r="N150" s="8" t="s">
        <x:v>430</x:v>
      </x:c>
      <x:c r="O150" s="8">
        <x:v>3.0</x:v>
      </x:c>
      <x:c r="P150" s="8"/>
      <x:c r="Q150" s="8" t="s">
        <x:v>431</x:v>
      </x:c>
      <x:c r="R150" s="9" t="s">
        <x:v>432</x:v>
      </x:c>
      <x:c r="S150" s="9"/>
    </x:row>
    <x:row r="151" ht="67.5" customHeight="1">
      <x:c r="A151" s="8" t="s">
        <x:v>19</x:v>
      </x:c>
      <x:c r="B151" s="8">
        <x:v>149.0</x:v>
      </x:c>
      <x:c r="C151" s="9" t="s">
        <x:v>50</x:v>
      </x:c>
      <x:c r="D151" s="9" t="s">
        <x:v>490</x:v>
      </x:c>
      <x:c r="E151" s="8"/>
      <x:c r="F151" s="8" t="s">
        <x:v>491</x:v>
      </x:c>
      <x:c r="G151" s="8" t="s">
        <x:v>426</x:v>
      </x:c>
      <x:c r="H151" s="9"/>
      <x:c r="I151" s="8" t="s">
        <x:v>427</x:v>
      </x:c>
      <x:c r="J151" s="8" t="s">
        <x:v>492</x:v>
      </x:c>
      <x:c r="K151" s="8" t="s">
        <x:v>46</x:v>
      </x:c>
      <x:c r="L151" s="8" t="s">
        <x:v>444</x:v>
      </x:c>
      <x:c r="M151" s="8" t="s">
        <x:v>56</x:v>
      </x:c>
      <x:c r="N151" s="8" t="s">
        <x:v>430</x:v>
      </x:c>
      <x:c r="O151" s="8">
        <x:v>4.0</x:v>
      </x:c>
      <x:c r="P151" s="8"/>
      <x:c r="Q151" s="8" t="s">
        <x:v>431</x:v>
      </x:c>
      <x:c r="R151" s="9" t="s">
        <x:v>432</x:v>
      </x:c>
      <x:c r="S151" s="9"/>
    </x:row>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A2:S151">
    <x:cfRule type="expression" dxfId="7" priority="1">
      <x:formula>$A2="Success"</x:formula>
    </x:cfRule>
  </x:conditionalFormatting>
  <x:conditionalFormatting sqref="A2:S151">
    <x:cfRule type="expression" dxfId="8" priority="2">
      <x:formula>$A2="Failure"</x:formula>
    </x:cfRule>
  </x:conditionalFormatting>
  <x:conditionalFormatting sqref="I2:I151">
    <x:cfRule type="containsText" dxfId="9" priority="3" operator="containsText" text="In-distribution">
      <x:formula>NOT(ISERROR(SEARCH(("In-distribution"),(I2))))</x:formula>
    </x:cfRule>
  </x:conditionalFormatting>
  <x:conditionalFormatting sqref="I2:I151">
    <x:cfRule type="containsText" dxfId="10" priority="4" operator="containsText" text="Concept/compositional">
      <x:formula>NOT(ISERROR(SEARCH(("Concept/compositional"),(I2))))</x:formula>
    </x:cfRule>
  </x:conditionalFormatting>
  <x:conditionalFormatting sqref="I2:I151">
    <x:cfRule type="containsText" dxfId="11" priority="5" operator="containsText" text="Matched manipulation">
      <x:formula>NOT(ISERROR(SEARCH(("Matched manipulation"),(I2))))</x:formula>
    </x:cfRule>
  </x:conditionalFormatting>
  <x:conditionalFormatting sqref="I2:I151">
    <x:cfRule type="containsText" dxfId="12" priority="6" operator="containsText" text="Language robustness">
      <x:formula>NOT(ISERROR(SEARCH(("Language robustness"),(I2))))</x:formula>
    </x:cfRule>
  </x:conditionalFormatting>
  <x:conditionalFormatting sqref="I2:I151">
    <x:cfRule type="containsText" dxfId="13" priority="7" operator="containsText" text="Cross-task">
      <x:formula>NOT(ISERROR(SEARCH(("Cross-task"),(I2))))</x:formula>
    </x:cfRule>
  </x:conditionalFormatting>
  <x:conditionalFormatting sqref="I2:I151">
    <x:cfRule type="containsText" dxfId="14" priority="8" operator="containsText" text="Goal already">
      <x:formula>NOT(ISERROR(SEARCH(("Goal already"),(I2))))</x:formula>
    </x:cfRule>
  </x:conditionalFormatting>
  <x:dataValidations count="1">
    <x:dataValidation type="list" allowBlank="1" sqref="A2:A151">
      <x:formula1>"Not collected,Success,Failure"</x:formula1>
    </x:dataValidation>
  </x:dataValidations>
  <x:pageMargins left="0.7" right="0.7" top="0.75" bottom="0.75" header="0.3" footer="0.3"/>
  <x:tableParts count="1">
    <x:tablePart xmlns:r="http://schemas.openxmlformats.org/officeDocument/2006/relationships" r:id="R8fdd78d49fd74435"/>
  </x:tableParts>
</x:worksheet>
</file>

<file path=xl/worksheets/sheet2.xml><?xml version="1.0" encoding="utf-8"?>
<x:worksheet xmlns:x="http://schemas.openxmlformats.org/spreadsheetml/2006/main">
  <x:sheetViews>
    <x:sheetView showGridLines="0" workbookViewId="0"/>
  </x:sheetViews>
  <x:sheetFormatPr defaultColWidth="12.630000114440918" defaultRowHeight="15"/>
  <x:cols>
    <x:col min="1" max="1" width="36" customWidth="1"/>
    <x:col min="2" max="2" width="38" customWidth="1"/>
    <x:col min="3" max="3" width="52" customWidth="1"/>
    <x:col min="4" max="4" width="48" customWidth="1"/>
    <x:col min="5" max="5" width="66" customWidth="1"/>
    <x:col min="6" max="6" width="76" customWidth="1"/>
    <x:col min="7" max="26" width="8.630000114440918" customWidth="1"/>
  </x:cols>
  <x:sheetData>
    <x:row r="1" ht="36" customHeight="1">
      <x:c r="A1" s="5" t="s">
        <x:v>493</x:v>
      </x:c>
      <x:c r="B1" s="5" t="s">
        <x:v>494</x:v>
      </x:c>
      <x:c r="C1" s="5" t="s">
        <x:v>495</x:v>
      </x:c>
      <x:c r="D1" s="5" t="s">
        <x:v>496</x:v>
      </x:c>
      <x:c r="E1" s="5" t="s">
        <x:v>497</x:v>
      </x:c>
      <x:c r="F1" s="5" t="s">
        <x:v>498</x:v>
      </x:c>
    </x:row>
    <x:row r="2" ht="67.5" customHeight="1">
      <x:c r="A2" s="6" t="s">
        <x:v>28</x:v>
      </x:c>
      <x:c r="B2" s="6" t="s">
        <x:v>499</x:v>
      </x:c>
      <x:c r="C2" s="6" t="s">
        <x:v>500</x:v>
      </x:c>
      <x:c r="D2" s="6" t="s">
        <x:v>501</x:v>
      </x:c>
      <x:c r="E2" s="6" t="s">
        <x:v>502</x:v>
      </x:c>
      <x:c r="F2" s="6" t="s">
        <x:v>503</x:v>
      </x:c>
    </x:row>
    <x:row r="3" ht="67.5" customHeight="1">
      <x:c r="A3" s="6" t="s">
        <x:v>38</x:v>
      </x:c>
      <x:c r="B3" s="6" t="s">
        <x:v>499</x:v>
      </x:c>
      <x:c r="C3" s="6" t="s">
        <x:v>504</x:v>
      </x:c>
      <x:c r="D3" s="6" t="s">
        <x:v>505</x:v>
      </x:c>
      <x:c r="E3" s="6" t="s">
        <x:v>506</x:v>
      </x:c>
      <x:c r="F3" s="6" t="s">
        <x:v>507</x:v>
      </x:c>
    </x:row>
    <x:row r="4" ht="67.5" customHeight="1">
      <x:c r="A4" s="6" t="s">
        <x:v>48</x:v>
      </x:c>
      <x:c r="B4" s="6" t="s">
        <x:v>499</x:v>
      </x:c>
      <x:c r="C4" s="6" t="s">
        <x:v>508</x:v>
      </x:c>
      <x:c r="D4" s="6" t="s">
        <x:v>509</x:v>
      </x:c>
      <x:c r="E4" s="6" t="s">
        <x:v>510</x:v>
      </x:c>
      <x:c r="F4" s="6" t="s">
        <x:v>511</x:v>
      </x:c>
    </x:row>
    <x:row r="5" ht="67.5" customHeight="1">
      <x:c r="A5" s="6" t="s">
        <x:v>56</x:v>
      </x:c>
      <x:c r="B5" s="6" t="s">
        <x:v>499</x:v>
      </x:c>
      <x:c r="C5" s="6" t="s">
        <x:v>512</x:v>
      </x:c>
      <x:c r="D5" s="6" t="s">
        <x:v>513</x:v>
      </x:c>
      <x:c r="E5" s="6" t="s">
        <x:v>514</x:v>
      </x:c>
      <x:c r="F5" s="6" t="s">
        <x:v>515</x:v>
      </x:c>
    </x:row>
    <x:row r="6" ht="67.5" customHeight="1">
      <x:c r="A6" s="7" t="s">
        <x:v>375</x:v>
      </x:c>
      <x:c r="B6" s="7" t="s">
        <x:v>516</x:v>
      </x:c>
      <x:c r="C6" s="7" t="s">
        <x:v>517</x:v>
      </x:c>
      <x:c r="D6" s="7" t="s">
        <x:v>518</x:v>
      </x:c>
      <x:c r="E6" s="7" t="s">
        <x:v>519</x:v>
      </x:c>
      <x:c r="F6" s="7" t="s">
        <x:v>520</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tableParts count="1">
    <x:tablePart xmlns:r="http://schemas.openxmlformats.org/officeDocument/2006/relationships" r:id="R96600c0ba93641d6"/>
  </x:tableParts>
</x:worksheet>
</file>

<file path=xl/worksheets/sheet3.xml><?xml version="1.0" encoding="utf-8"?>
<x:worksheet xmlns:x="http://schemas.openxmlformats.org/spreadsheetml/2006/main">
  <x:sheetViews>
    <x:sheetView showGridLines="0" workbookViewId="0"/>
  </x:sheetViews>
  <x:sheetFormatPr defaultColWidth="12.630000114440918" defaultRowHeight="15"/>
  <x:cols>
    <x:col min="1" max="1" width="48" customWidth="1"/>
    <x:col min="2" max="2" width="88" customWidth="1"/>
    <x:col min="3" max="3" width="94" customWidth="1"/>
    <x:col min="4" max="26" width="8.630000114440918" customWidth="1"/>
  </x:cols>
  <x:sheetData>
    <x:row r="1" ht="36" customHeight="1">
      <x:c r="A1" s="5" t="s">
        <x:v>521</x:v>
      </x:c>
      <x:c r="B1" s="5" t="s">
        <x:v>522</x:v>
      </x:c>
      <x:c r="C1" s="5" t="s">
        <x:v>523</x:v>
      </x:c>
    </x:row>
    <x:row r="2" ht="61.5" customHeight="1">
      <x:c r="A2" s="6" t="s">
        <x:v>524</x:v>
      </x:c>
      <x:c r="B2" s="6">
        <x:v>200.0</x:v>
      </x:c>
      <x:c r="C2" s="6" t="s">
        <x:v>525</x:v>
      </x:c>
    </x:row>
    <x:row r="3" ht="61.5" customHeight="1">
      <x:c r="A3" s="6" t="s">
        <x:v>526</x:v>
      </x:c>
      <x:c r="B3" s="6">
        <x:v>140.0</x:v>
      </x:c>
      <x:c r="C3" s="6" t="s">
        <x:v>527</x:v>
      </x:c>
    </x:row>
    <x:row r="4" ht="61.5" customHeight="1">
      <x:c r="A4" s="6" t="s">
        <x:v>528</x:v>
      </x:c>
      <x:c r="B4" s="6">
        <x:v>20.0</x:v>
      </x:c>
      <x:c r="C4" s="6" t="s">
        <x:v>529</x:v>
      </x:c>
    </x:row>
    <x:row r="5" ht="61.5" customHeight="1">
      <x:c r="A5" s="6" t="s">
        <x:v>530</x:v>
      </x:c>
      <x:c r="B5" s="6">
        <x:v>40.0</x:v>
      </x:c>
      <x:c r="C5" s="6" t="s">
        <x:v>531</x:v>
      </x:c>
    </x:row>
    <x:row r="6" ht="61.5" customHeight="1">
      <x:c r="A6" s="6" t="s">
        <x:v>532</x:v>
      </x:c>
      <x:c r="B6" s="6" t="s">
        <x:v>533</x:v>
      </x:c>
      <x:c r="C6" s="6" t="s">
        <x:v>534</x:v>
      </x:c>
    </x:row>
    <x:row r="7" ht="61.5" customHeight="1">
      <x:c r="A7" s="6" t="s">
        <x:v>535</x:v>
      </x:c>
      <x:c r="B7" s="6" t="s">
        <x:v>536</x:v>
      </x:c>
      <x:c r="C7" s="6" t="s">
        <x:v>537</x:v>
      </x:c>
    </x:row>
    <x:row r="8" ht="61.5" customHeight="1">
      <x:c r="A8" s="6" t="s">
        <x:v>538</x:v>
      </x:c>
      <x:c r="B8" s="6" t="s">
        <x:v>539</x:v>
      </x:c>
      <x:c r="C8" s="6" t="s">
        <x:v>540</x:v>
      </x:c>
    </x:row>
    <x:row r="9" ht="61.5" customHeight="1">
      <x:c r="A9" s="6" t="s">
        <x:v>541</x:v>
      </x:c>
      <x:c r="B9" s="6" t="s">
        <x:v>542</x:v>
      </x:c>
      <x:c r="C9" s="6" t="s">
        <x:v>543</x:v>
      </x:c>
    </x:row>
    <x:row r="10" ht="61.5" customHeight="1">
      <x:c r="A10" s="6" t="s">
        <x:v>544</x:v>
      </x:c>
      <x:c r="B10" s="6" t="s">
        <x:v>545</x:v>
      </x:c>
      <x:c r="C10" s="6" t="s">
        <x:v>546</x:v>
      </x:c>
    </x:row>
    <x:row r="11" ht="61.5" customHeight="1">
      <x:c r="A11" s="6" t="s">
        <x:v>547</x:v>
      </x:c>
      <x:c r="B11" s="6" t="s">
        <x:v>548</x:v>
      </x:c>
      <x:c r="C11" s="6" t="s">
        <x:v>549</x:v>
      </x:c>
    </x:row>
    <x:row r="12" ht="61.5" customHeight="1">
      <x:c r="A12" s="6" t="s">
        <x:v>550</x:v>
      </x:c>
      <x:c r="B12" s="6" t="s">
        <x:v>551</x:v>
      </x:c>
      <x:c r="C12" s="6" t="s">
        <x:v>552</x:v>
      </x:c>
    </x:row>
    <x:row r="13" ht="61.5" customHeight="1">
      <x:c r="A13" s="6" t="s">
        <x:v>553</x:v>
      </x:c>
      <x:c r="B13" s="6">
        <x:v>150.0</x:v>
      </x:c>
      <x:c r="C13" s="6" t="s">
        <x:v>554</x:v>
      </x:c>
    </x:row>
    <x:row r="14" ht="61.5" customHeight="1">
      <x:c r="A14" s="6" t="s">
        <x:v>555</x:v>
      </x:c>
      <x:c r="B14" s="6" t="s">
        <x:v>556</x:v>
      </x:c>
      <x:c r="C14" s="6" t="s">
        <x:v>557</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tableParts count="1">
    <x:tablePart xmlns:r="http://schemas.openxmlformats.org/officeDocument/2006/relationships" r:id="R2612d892102b4579"/>
  </x:tableParts>
</x:worksheet>
</file>

<file path=xl/worksheets/sheet4.xml><?xml version="1.0" encoding="utf-8"?>
<x:worksheet xmlns:x="http://schemas.openxmlformats.org/spreadsheetml/2006/main">
  <x:sheetViews>
    <x:sheetView showGridLines="0" workbookViewId="0"/>
  </x:sheetViews>
  <x:sheetFormatPr defaultColWidth="12.630000114440918" defaultRowHeight="15"/>
  <x:cols>
    <x:col min="1" max="1" width="42" customWidth="1"/>
    <x:col min="2" max="2" width="132" customWidth="1"/>
    <x:col min="3" max="26" width="8.630000114440918" customWidth="1"/>
  </x:cols>
  <x:sheetData>
    <x:row r="1" ht="39.75" customHeight="1">
      <x:c r="A1" s="1" t="s">
        <x:v>558</x:v>
      </x:c>
      <x:c r="B1" s="2"/>
    </x:row>
    <x:row r="2" ht="61.5" customHeight="1">
      <x:c r="A2" s="3" t="s">
        <x:v>559</x:v>
      </x:c>
      <x:c r="B2" s="4" t="s">
        <x:v>560</x:v>
      </x:c>
    </x:row>
    <x:row r="3" ht="61.5" customHeight="1">
      <x:c r="A3" s="3" t="s">
        <x:v>561</x:v>
      </x:c>
      <x:c r="B3" s="4" t="s">
        <x:v>562</x:v>
      </x:c>
    </x:row>
    <x:row r="4" ht="61.5" customHeight="1">
      <x:c r="A4" s="3" t="s">
        <x:v>563</x:v>
      </x:c>
      <x:c r="B4" s="4" t="s">
        <x:v>564</x:v>
      </x:c>
    </x:row>
    <x:row r="5" ht="61.5" customHeight="1">
      <x:c r="A5" s="3" t="s">
        <x:v>565</x:v>
      </x:c>
      <x:c r="B5" s="4" t="s">
        <x:v>566</x:v>
      </x:c>
    </x:row>
    <x:row r="6" ht="61.5" customHeight="1">
      <x:c r="A6" s="3" t="s">
        <x:v>567</x:v>
      </x:c>
      <x:c r="B6" s="4" t="s">
        <x:v>568</x:v>
      </x:c>
    </x:row>
    <x:row r="7" ht="61.5" customHeight="1">
      <x:c r="A7" s="3" t="s">
        <x:v>569</x:v>
      </x:c>
      <x:c r="B7" s="4" t="s">
        <x:v>570</x:v>
      </x:c>
    </x:row>
    <x:row r="8" ht="61.5" customHeight="1">
      <x:c r="A8" s="3" t="s">
        <x:v>571</x:v>
      </x:c>
      <x:c r="B8" s="4" t="s">
        <x:v>572</x:v>
      </x:c>
    </x:row>
    <x:row r="9" ht="61.5" customHeight="1">
      <x:c r="A9" s="3" t="s">
        <x:v>573</x:v>
      </x:c>
      <x:c r="B9" s="4" t="s">
        <x:v>574</x:v>
      </x:c>
    </x:row>
    <x:row r="10" ht="61.5" customHeight="1">
      <x:c r="A10" s="3" t="s">
        <x:v>575</x:v>
      </x:c>
      <x:c r="B10" s="4" t="s">
        <x:v>576</x:v>
      </x:c>
    </x:row>
    <x:row r="11" ht="61.5" customHeight="1">
      <x:c r="A11" s="3" t="s">
        <x:v>577</x:v>
      </x:c>
      <x:c r="B11" s="4" t="s">
        <x:v>578</x:v>
      </x:c>
    </x:row>
    <x:row r="12" ht="61.5" customHeight="1">
      <x:c r="A12" s="3" t="s">
        <x:v>579</x:v>
      </x:c>
      <x:c r="B12" s="4" t="s">
        <x:v>580</x:v>
      </x:c>
    </x:row>
    <x:row r="13" ht="61.5" customHeight="1">
      <x:c r="A13" s="3" t="s">
        <x:v>581</x:v>
      </x:c>
      <x:c r="B13" s="4" t="s">
        <x:v>582</x:v>
      </x:c>
    </x:row>
    <x:row r="14" ht="61.5" customHeight="1">
      <x:c r="A14" s="3" t="s">
        <x:v>583</x:v>
      </x:c>
      <x:c r="B14" s="4" t="s">
        <x:v>584</x:v>
      </x:c>
    </x:row>
    <x:row r="15" ht="61.5" customHeight="1">
      <x:c r="A15" s="3" t="s">
        <x:v>585</x:v>
      </x:c>
      <x:c r="B15" s="4" t="s">
        <x:v>586</x:v>
      </x:c>
    </x:row>
    <x:row r="16" ht="61.5" customHeight="1">
      <x:c r="A16" s="3" t="s">
        <x:v>587</x:v>
      </x:c>
      <x:c r="B16" s="4" t="s">
        <x:v>588</x:v>
      </x:c>
    </x:row>
    <x:row r="17" ht="61.5" customHeight="1">
      <x:c r="A17" s="3" t="s">
        <x:v>589</x:v>
      </x:c>
      <x:c r="B17" s="4" t="s">
        <x:v>590</x:v>
      </x:c>
    </x:row>
    <x:row r="18" ht="61.5" customHeight="1">
      <x:c r="A18" s="3" t="s">
        <x:v>591</x:v>
      </x:c>
      <x:c r="B18" s="4" t="s">
        <x:v>592</x:v>
      </x:c>
    </x:row>
    <x:row r="19" ht="61.5" customHeight="1">
      <x:c r="A19" s="3" t="s">
        <x:v>593</x:v>
      </x:c>
      <x:c r="B19" s="4" t="s">
        <x:v>594</x:v>
      </x:c>
    </x:row>
    <x:row r="20" ht="61.5" customHeight="1">
      <x:c r="A20" s="3" t="s">
        <x:v>595</x:v>
      </x:c>
      <x:c r="B20" s="4" t="s">
        <x:v>596</x:v>
      </x:c>
    </x:row>
    <x:row r="21" ht="61.5" customHeight="1">
      <x:c r="A21" s="3" t="s">
        <x:v>597</x:v>
      </x:c>
      <x:c r="B21" s="4" t="s">
        <x:v>598</x:v>
      </x:c>
    </x:row>
    <x:row r="22" ht="61.5" customHeight="1">
      <x:c r="A22" s="3" t="s">
        <x:v>599</x:v>
      </x:c>
      <x:c r="B22" s="4" t="s">
        <x:v>600</x:v>
      </x:c>
    </x:row>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B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2.630000114440918" defaultRowHeight="15"/>
  <x:cols>
    <x:col min="1" max="1" width="58" customWidth="1"/>
    <x:col min="2" max="4" width="14" customWidth="1"/>
    <x:col min="5" max="5" width="82" customWidth="1"/>
    <x:col min="6" max="26" width="8.630000114440918" customWidth="1"/>
  </x:cols>
  <x:sheetData>
    <x:row r="1" ht="36" customHeight="1">
      <x:c r="A1" s="5" t="s">
        <x:v>601</x:v>
      </x:c>
      <x:c r="B1" s="5" t="s">
        <x:v>602</x:v>
      </x:c>
      <x:c r="C1" s="5" t="s">
        <x:v>603</x:v>
      </x:c>
      <x:c r="D1" s="5" t="s">
        <x:v>0</x:v>
      </x:c>
      <x:c r="E1" s="5" t="s">
        <x:v>604</x:v>
      </x:c>
    </x:row>
    <x:row r="2" ht="42" customHeight="1">
      <x:c r="A2" s="6" t="s">
        <x:v>605</x:v>
      </x:c>
      <x:c r="B2" s="6" t="n">
        <x:f>COUNTA('Evaluation Plan'!B2:B151)</x:f>
        <x:v>150</x:v>
      </x:c>
      <x:c r="C2" s="6">
        <x:v>150.0</x:v>
      </x:c>
      <x:c r="D2" s="6" t="str">
        <x:f t="shared" ref="D2:D55" si="1">IF(B2=C2,"PASS","CHECK")</x:f>
        <x:v>PASS</x:v>
      </x:c>
      <x:c r="E2" s="6" t="s">
        <x:v>606</x:v>
      </x:c>
    </x:row>
    <x:row r="3" ht="42" customHeight="1">
      <x:c r="A3" s="6" t="s">
        <x:v>607</x:v>
      </x:c>
      <x:c r="B3" s="6" t="n">
        <x:f>COUNTA('Evaluation Plan'!F2:F151)</x:f>
        <x:v>150</x:v>
      </x:c>
      <x:c r="C3" s="6">
        <x:v>150.0</x:v>
      </x:c>
      <x:c r="D3" s="6" t="str">
        <x:f t="shared" si="1"/>
        <x:v>PASS</x:v>
      </x:c>
      <x:c r="E3" s="6" t="s">
        <x:v>608</x:v>
      </x:c>
    </x:row>
    <x:row r="4" ht="42" customHeight="1">
      <x:c r="A4" s="6" t="s">
        <x:v>609</x:v>
      </x:c>
      <x:c r="B4" s="6" t="n">
        <x:f>COUNTIF('Evaluation Plan'!I2:I151,"In-distribution concept baseline")</x:f>
        <x:v>20</x:v>
      </x:c>
      <x:c r="C4" s="6">
        <x:v>20.0</x:v>
      </x:c>
      <x:c r="D4" s="6" t="str">
        <x:f t="shared" si="1"/>
        <x:v>PASS</x:v>
      </x:c>
      <x:c r="E4" s="6" t="s">
        <x:v>610</x:v>
      </x:c>
    </x:row>
    <x:row r="5" ht="42" customHeight="1">
      <x:c r="A5" s="6" t="s">
        <x:v>611</x:v>
      </x:c>
      <x:c r="B5" s="6" t="n">
        <x:f>COUNTIFS('Evaluation Plan'!I2:I151,"In-distribution concept baseline",'Evaluation Plan'!M2:M151,"red pencil sharpener",'Evaluation Plan'!K2:K151,"smallest")</x:f>
        <x:v>5</x:v>
      </x:c>
      <x:c r="C5" s="6">
        <x:v>5.0</x:v>
      </x:c>
      <x:c r="D5" s="6" t="str">
        <x:f t="shared" si="1"/>
        <x:v>PASS</x:v>
      </x:c>
      <x:c r="E5" s="6" t="s">
        <x:v>612</x:v>
      </x:c>
    </x:row>
    <x:row r="6" ht="42" customHeight="1">
      <x:c r="A6" s="6" t="s">
        <x:v>613</x:v>
      </x:c>
      <x:c r="B6" s="6" t="n">
        <x:f>COUNTIFS('Evaluation Plan'!I2:I151,"In-distribution concept baseline",'Evaluation Plan'!M2:M151,"green block",'Evaluation Plan'!K2:K151,"smallest")</x:f>
        <x:v>5</x:v>
      </x:c>
      <x:c r="C6" s="6">
        <x:v>5.0</x:v>
      </x:c>
      <x:c r="D6" s="6" t="str">
        <x:f t="shared" si="1"/>
        <x:v>PASS</x:v>
      </x:c>
      <x:c r="E6" s="6" t="s">
        <x:v>612</x:v>
      </x:c>
    </x:row>
    <x:row r="7" ht="42" customHeight="1">
      <x:c r="A7" s="6" t="s">
        <x:v>614</x:v>
      </x:c>
      <x:c r="B7" s="6" t="n">
        <x:f>COUNTIFS('Evaluation Plan'!I2:I151,"In-distribution concept baseline",'Evaluation Plan'!M2:M151,"juggling ball",'Evaluation Plan'!K2:K151,"largest")</x:f>
        <x:v>5</x:v>
      </x:c>
      <x:c r="C7" s="6">
        <x:v>5.0</x:v>
      </x:c>
      <x:c r="D7" s="6" t="str">
        <x:f t="shared" si="1"/>
        <x:v>PASS</x:v>
      </x:c>
      <x:c r="E7" s="6" t="s">
        <x:v>612</x:v>
      </x:c>
    </x:row>
    <x:row r="8" ht="42" customHeight="1">
      <x:c r="A8" s="6" t="s">
        <x:v>615</x:v>
      </x:c>
      <x:c r="B8" s="6" t="n">
        <x:f>COUNTIFS('Evaluation Plan'!I2:I151,"In-distribution concept baseline",'Evaluation Plan'!M2:M151,"crushed Pepsi can",'Evaluation Plan'!K2:K151,"largest")</x:f>
        <x:v>5</x:v>
      </x:c>
      <x:c r="C8" s="6">
        <x:v>5.0</x:v>
      </x:c>
      <x:c r="D8" s="6" t="str">
        <x:f t="shared" si="1"/>
        <x:v>PASS</x:v>
      </x:c>
      <x:c r="E8" s="6" t="s">
        <x:v>612</x:v>
      </x:c>
    </x:row>
    <x:row r="9" ht="42" customHeight="1">
      <x:c r="A9" s="6" t="s">
        <x:v>616</x:v>
      </x:c>
      <x:c r="B9" s="6" t="n">
        <x:f>COUNTIF('Evaluation Plan'!I2:I151,"Concept/compositional transfer")</x:f>
        <x:v>50</x:v>
      </x:c>
      <x:c r="C9" s="6">
        <x:v>50.0</x:v>
      </x:c>
      <x:c r="D9" s="6" t="str">
        <x:f t="shared" si="1"/>
        <x:v>PASS</x:v>
      </x:c>
      <x:c r="E9" s="6" t="s">
        <x:v>617</x:v>
      </x:c>
    </x:row>
    <x:row r="10" ht="42" customHeight="1">
      <x:c r="A10" s="6" t="s">
        <x:v>618</x:v>
      </x:c>
      <x:c r="B10" s="6" t="n">
        <x:f>COUNTIFS('Evaluation Plan'!I2:I151,"Concept/compositional transfer",'Evaluation Plan'!M2:M151,"green block",'Evaluation Plan'!K2:K151,"largest")</x:f>
        <x:v>25</x:v>
      </x:c>
      <x:c r="C10" s="6">
        <x:v>25.0</x:v>
      </x:c>
      <x:c r="D10" s="6" t="str">
        <x:f t="shared" si="1"/>
        <x:v>PASS</x:v>
      </x:c>
      <x:c r="E10" s="6" t="s">
        <x:v>619</x:v>
      </x:c>
    </x:row>
    <x:row r="11" ht="42" customHeight="1">
      <x:c r="A11" s="6" t="s">
        <x:v>620</x:v>
      </x:c>
      <x:c r="B11" s="6" t="n">
        <x:f>COUNTIFS('Evaluation Plan'!I2:I151,"Concept/compositional transfer",'Evaluation Plan'!M2:M151,"juggling ball",'Evaluation Plan'!K2:K151,"smallest")</x:f>
        <x:v>25</x:v>
      </x:c>
      <x:c r="C11" s="6">
        <x:v>25.0</x:v>
      </x:c>
      <x:c r="D11" s="6" t="str">
        <x:f t="shared" si="1"/>
        <x:v>PASS</x:v>
      </x:c>
      <x:c r="E11" s="6" t="s">
        <x:v>621</x:v>
      </x:c>
    </x:row>
    <x:row r="12" ht="42" customHeight="1">
      <x:c r="A12" s="6" t="s">
        <x:v>622</x:v>
      </x:c>
      <x:c r="B12" s="6" t="n">
        <x:f>COUNTIFS('Evaluation Plan'!I2:I151,"Concept/compositional transfer",'Evaluation Plan'!L2:L151,"Held-out largest × green block — Move")</x:f>
        <x:v>9</x:v>
      </x:c>
      <x:c r="C12" s="6">
        <x:v>9.0</x:v>
      </x:c>
      <x:c r="D12" s="6" t="str">
        <x:f t="shared" si="1"/>
        <x:v>PASS</x:v>
      </x:c>
      <x:c r="E12" s="6" t="s">
        <x:v>623</x:v>
      </x:c>
    </x:row>
    <x:row r="13" ht="42" customHeight="1">
      <x:c r="A13" s="6" t="s">
        <x:v>624</x:v>
      </x:c>
      <x:c r="B13" s="6" t="n">
        <x:f>COUNTIFS('Evaluation Plan'!I2:I151,"Concept/compositional transfer",'Evaluation Plan'!L2:L151,"Held-out largest × green block — Pick up")</x:f>
        <x:v>8</x:v>
      </x:c>
      <x:c r="C13" s="6">
        <x:v>8.0</x:v>
      </x:c>
      <x:c r="D13" s="6" t="str">
        <x:f t="shared" si="1"/>
        <x:v>PASS</x:v>
      </x:c>
      <x:c r="E13" s="6" t="s">
        <x:v>623</x:v>
      </x:c>
    </x:row>
    <x:row r="14" ht="42" customHeight="1">
      <x:c r="A14" s="6" t="s">
        <x:v>625</x:v>
      </x:c>
      <x:c r="B14" s="6" t="n">
        <x:f>COUNTIFS('Evaluation Plan'!I2:I151,"Concept/compositional transfer",'Evaluation Plan'!L2:L151,"Held-out largest × green block — Put")</x:f>
        <x:v>8</x:v>
      </x:c>
      <x:c r="C14" s="6">
        <x:v>8.0</x:v>
      </x:c>
      <x:c r="D14" s="6" t="str">
        <x:f t="shared" si="1"/>
        <x:v>PASS</x:v>
      </x:c>
      <x:c r="E14" s="6" t="s">
        <x:v>623</x:v>
      </x:c>
    </x:row>
    <x:row r="15" ht="42" customHeight="1">
      <x:c r="A15" s="6" t="s">
        <x:v>626</x:v>
      </x:c>
      <x:c r="B15" s="6" t="n">
        <x:f>COUNTIFS('Evaluation Plan'!I2:I151,"Concept/compositional transfer",'Evaluation Plan'!L2:L151,"Held-out smallest × juggling ball — Move")</x:f>
        <x:v>8</x:v>
      </x:c>
      <x:c r="C15" s="6">
        <x:v>8.0</x:v>
      </x:c>
      <x:c r="D15" s="6" t="str">
        <x:f t="shared" si="1"/>
        <x:v>PASS</x:v>
      </x:c>
      <x:c r="E15" s="6" t="s">
        <x:v>627</x:v>
      </x:c>
    </x:row>
    <x:row r="16" ht="42" customHeight="1">
      <x:c r="A16" s="6" t="s">
        <x:v>628</x:v>
      </x:c>
      <x:c r="B16" s="6" t="n">
        <x:f>COUNTIFS('Evaluation Plan'!I2:I151,"Concept/compositional transfer",'Evaluation Plan'!L2:L151,"Held-out smallest × juggling ball — Pick up")</x:f>
        <x:v>9</x:v>
      </x:c>
      <x:c r="C16" s="6">
        <x:v>9.0</x:v>
      </x:c>
      <x:c r="D16" s="6" t="str">
        <x:f t="shared" si="1"/>
        <x:v>PASS</x:v>
      </x:c>
      <x:c r="E16" s="6" t="s">
        <x:v>627</x:v>
      </x:c>
    </x:row>
    <x:row r="17" ht="42" customHeight="1">
      <x:c r="A17" s="6" t="s">
        <x:v>629</x:v>
      </x:c>
      <x:c r="B17" s="6" t="n">
        <x:f>COUNTIFS('Evaluation Plan'!I2:I151,"Concept/compositional transfer",'Evaluation Plan'!L2:L151,"Held-out smallest × juggling ball — Put")</x:f>
        <x:v>8</x:v>
      </x:c>
      <x:c r="C17" s="6">
        <x:v>8.0</x:v>
      </x:c>
      <x:c r="D17" s="6" t="str">
        <x:f t="shared" si="1"/>
        <x:v>PASS</x:v>
      </x:c>
      <x:c r="E17" s="6" t="s">
        <x:v>627</x:v>
      </x:c>
    </x:row>
    <x:row r="18" ht="42" customHeight="1">
      <x:c r="A18" s="6" t="s">
        <x:v>630</x:v>
      </x:c>
      <x:c r="B18" s="6" t="n">
        <x:f>COUNTIFS('Evaluation Plan'!I2:I151,"Concept/compositional transfer",'Evaluation Plan'!N2:N151,"Left")</x:f>
        <x:v>25</x:v>
      </x:c>
      <x:c r="C18" s="6">
        <x:v>25.0</x:v>
      </x:c>
      <x:c r="D18" s="6" t="str">
        <x:f t="shared" si="1"/>
        <x:v>PASS</x:v>
      </x:c>
      <x:c r="E18" s="6" t="s">
        <x:v>631</x:v>
      </x:c>
    </x:row>
    <x:row r="19" ht="42" customHeight="1">
      <x:c r="A19" s="6" t="s">
        <x:v>632</x:v>
      </x:c>
      <x:c r="B19" s="6" t="n">
        <x:f>COUNTIFS('Evaluation Plan'!I2:I151,"Concept/compositional transfer",'Evaluation Plan'!N2:N151,"Right")</x:f>
        <x:v>25</x:v>
      </x:c>
      <x:c r="C19" s="6">
        <x:v>25.0</x:v>
      </x:c>
      <x:c r="D19" s="6" t="str">
        <x:f t="shared" si="1"/>
        <x:v>PASS</x:v>
      </x:c>
      <x:c r="E19" s="6" t="s">
        <x:v>631</x:v>
      </x:c>
    </x:row>
    <x:row r="20" ht="42" customHeight="1">
      <x:c r="A20" s="6" t="s">
        <x:v>573</x:v>
      </x:c>
      <x:c r="B20" s="6" t="n">
        <x:f>COUNTIF('Evaluation Plan'!I2:I151,"Matched manipulation control")</x:f>
        <x:v>20</x:v>
      </x:c>
      <x:c r="C20" s="6">
        <x:v>20.0</x:v>
      </x:c>
      <x:c r="D20" s="6" t="str">
        <x:f t="shared" si="1"/>
        <x:v>PASS</x:v>
      </x:c>
      <x:c r="E20" s="6" t="s">
        <x:v>633</x:v>
      </x:c>
    </x:row>
    <x:row r="21" ht="42" customHeight="1">
      <x:c r="A21" s="6" t="s">
        <x:v>634</x:v>
      </x:c>
      <x:c r="B21" s="6" t="n">
        <x:f>COUNTIFS('Evaluation Plan'!I2:I151,"Matched manipulation control",'Evaluation Plan'!M2:M151,"green block")</x:f>
        <x:v>10</x:v>
      </x:c>
      <x:c r="C21" s="6">
        <x:v>10.0</x:v>
      </x:c>
      <x:c r="D21" s="6" t="str">
        <x:f t="shared" si="1"/>
        <x:v>PASS</x:v>
      </x:c>
      <x:c r="E21" s="6" t="s">
        <x:v>635</x:v>
      </x:c>
    </x:row>
    <x:row r="22" ht="42" customHeight="1">
      <x:c r="A22" s="6" t="s">
        <x:v>636</x:v>
      </x:c>
      <x:c r="B22" s="6" t="n">
        <x:f>COUNTIFS('Evaluation Plan'!I2:I151,"Matched manipulation control",'Evaluation Plan'!M2:M151,"juggling ball")</x:f>
        <x:v>10</x:v>
      </x:c>
      <x:c r="C22" s="6">
        <x:v>10.0</x:v>
      </x:c>
      <x:c r="D22" s="6" t="str">
        <x:f t="shared" si="1"/>
        <x:v>PASS</x:v>
      </x:c>
      <x:c r="E22" s="6" t="s">
        <x:v>635</x:v>
      </x:c>
    </x:row>
    <x:row r="23" ht="42" customHeight="1">
      <x:c r="A23" s="6" t="s">
        <x:v>637</x:v>
      </x:c>
      <x:c r="B23" s="6" t="n">
        <x:f>COUNTIFS('Evaluation Plan'!I2:I151,"Matched manipulation control",'Evaluation Plan'!E2:E151,"&gt;=0")</x:f>
        <x:v>20</x:v>
      </x:c>
      <x:c r="C23" s="6">
        <x:v>20.0</x:v>
      </x:c>
      <x:c r="D23" s="6" t="str">
        <x:f t="shared" si="1"/>
        <x:v>PASS</x:v>
      </x:c>
      <x:c r="E23" s="6" t="s">
        <x:v>638</x:v>
      </x:c>
    </x:row>
    <x:row r="24" ht="42" customHeight="1">
      <x:c r="A24" s="6" t="s">
        <x:v>639</x:v>
      </x:c>
      <x:c r="B24" s="6" t="n">
        <x:f>COUNTIF('Evaluation Plan'!I2:I151,"Language robustness")</x:f>
        <x:v>20</x:v>
      </x:c>
      <x:c r="C24" s="6">
        <x:v>20.0</x:v>
      </x:c>
      <x:c r="D24" s="6" t="str">
        <x:f t="shared" si="1"/>
        <x:v>PASS</x:v>
      </x:c>
      <x:c r="E24" s="6" t="s">
        <x:v>640</x:v>
      </x:c>
    </x:row>
    <x:row r="25" ht="42" customHeight="1">
      <x:c r="A25" s="6" t="s">
        <x:v>641</x:v>
      </x:c>
      <x:c r="B25" s="6" t="n">
        <x:f>COUNTIFS('Evaluation Plan'!I2:I151,"Language robustness",'Evaluation Plan'!L2:L151,"Primary compositional-transfer prompt paraphrase")</x:f>
        <x:v>10</x:v>
      </x:c>
      <x:c r="C25" s="6">
        <x:v>10.0</x:v>
      </x:c>
      <x:c r="D25" s="6" t="str">
        <x:f t="shared" si="1"/>
        <x:v>PASS</x:v>
      </x:c>
      <x:c r="E25" s="6" t="s">
        <x:v>642</x:v>
      </x:c>
    </x:row>
    <x:row r="26" ht="42" customHeight="1">
      <x:c r="A26" s="6" t="s">
        <x:v>643</x:v>
      </x:c>
      <x:c r="B26" s="6" t="n">
        <x:f>COUNTIFS('Evaluation Plan'!I2:I151,"Language robustness",'Evaluation Plan'!L2:L151,"Matched-control direct prompt paraphrase")</x:f>
        <x:v>10</x:v>
      </x:c>
      <x:c r="C26" s="6">
        <x:v>10.0</x:v>
      </x:c>
      <x:c r="D26" s="6" t="str">
        <x:f t="shared" si="1"/>
        <x:v>PASS</x:v>
      </x:c>
      <x:c r="E26" s="6" t="s">
        <x:v>644</x:v>
      </x:c>
    </x:row>
    <x:row r="27" ht="42" customHeight="1">
      <x:c r="A27" s="6" t="s">
        <x:v>645</x:v>
      </x:c>
      <x:c r="B27" s="6" t="n">
        <x:f>COUNTIF('Evaluation Plan'!I2:I151,"Cross-task airplane reasoning")</x:f>
        <x:v>10</x:v>
      </x:c>
      <x:c r="C27" s="6">
        <x:v>10.0</x:v>
      </x:c>
      <x:c r="D27" s="6" t="str">
        <x:f t="shared" si="1"/>
        <x:v>PASS</x:v>
      </x:c>
      <x:c r="E27" s="6" t="s">
        <x:v>646</x:v>
      </x:c>
    </x:row>
    <x:row r="28" ht="42" customHeight="1">
      <x:c r="A28" s="6" t="s">
        <x:v>647</x:v>
      </x:c>
      <x:c r="B28" s="6" t="n">
        <x:f>COUNTIFS('Evaluation Plan'!I2:I151,"Cross-task airplane reasoning",'Evaluation Plan'!K2:K151,"largest")</x:f>
        <x:v>5</x:v>
      </x:c>
      <x:c r="C28" s="6">
        <x:v>5.0</x:v>
      </x:c>
      <x:c r="D28" s="6" t="str">
        <x:f t="shared" si="1"/>
        <x:v>PASS</x:v>
      </x:c>
      <x:c r="E28" s="6" t="s">
        <x:v>648</x:v>
      </x:c>
    </x:row>
    <x:row r="29" ht="42" customHeight="1">
      <x:c r="A29" s="6" t="s">
        <x:v>649</x:v>
      </x:c>
      <x:c r="B29" s="6" t="n">
        <x:f>COUNTIFS('Evaluation Plan'!I2:I151,"Cross-task airplane reasoning",'Evaluation Plan'!K2:K151,"smallest")</x:f>
        <x:v>5</x:v>
      </x:c>
      <x:c r="C29" s="6">
        <x:v>5.0</x:v>
      </x:c>
      <x:c r="D29" s="6" t="str">
        <x:f t="shared" si="1"/>
        <x:v>PASS</x:v>
      </x:c>
      <x:c r="E29" s="6" t="s">
        <x:v>650</x:v>
      </x:c>
    </x:row>
    <x:row r="30" ht="42" customHeight="1">
      <x:c r="A30" s="6" t="s">
        <x:v>651</x:v>
      </x:c>
      <x:c r="B30" s="6" t="n">
        <x:f>COUNTIFS('Evaluation Plan'!I2:I151,"Cross-task airplane reasoning",'Evaluation Plan'!N2:N151,"Left")</x:f>
        <x:v>5</x:v>
      </x:c>
      <x:c r="C30" s="6">
        <x:v>5.0</x:v>
      </x:c>
      <x:c r="D30" s="6" t="str">
        <x:f t="shared" si="1"/>
        <x:v>PASS</x:v>
      </x:c>
      <x:c r="E30" s="6" t="s">
        <x:v>631</x:v>
      </x:c>
    </x:row>
    <x:row r="31" ht="42" customHeight="1">
      <x:c r="A31" s="6" t="s">
        <x:v>652</x:v>
      </x:c>
      <x:c r="B31" s="6" t="n">
        <x:f>COUNTIFS('Evaluation Plan'!I2:I151,"Cross-task airplane reasoning",'Evaluation Plan'!N2:N151,"Right")</x:f>
        <x:v>5</x:v>
      </x:c>
      <x:c r="C31" s="6">
        <x:v>5.0</x:v>
      </x:c>
      <x:c r="D31" s="6" t="str">
        <x:f t="shared" si="1"/>
        <x:v>PASS</x:v>
      </x:c>
      <x:c r="E31" s="6" t="s">
        <x:v>631</x:v>
      </x:c>
    </x:row>
    <x:row r="32" ht="42" customHeight="1">
      <x:c r="A32" s="6" t="s">
        <x:v>653</x:v>
      </x:c>
      <x:c r="B32" s="6" t="n">
        <x:f>COUNTIFS('Evaluation Plan'!I2:I151,"Cross-task airplane reasoning",'Evaluation Plan'!K2:K151,"largest",'Evaluation Plan'!O2:O151,2)</x:f>
        <x:v>5</x:v>
      </x:c>
      <x:c r="C32" s="6">
        <x:v>5.0</x:v>
      </x:c>
      <x:c r="D32" s="6" t="str">
        <x:f t="shared" si="1"/>
        <x:v>PASS</x:v>
      </x:c>
      <x:c r="E32" s="6" t="s">
        <x:v>654</x:v>
      </x:c>
    </x:row>
    <x:row r="33" ht="42" customHeight="1">
      <x:c r="A33" s="6" t="s">
        <x:v>655</x:v>
      </x:c>
      <x:c r="B33" s="6" t="n">
        <x:f>COUNTIFS('Evaluation Plan'!I2:I151,"Cross-task airplane reasoning",'Evaluation Plan'!K2:K151,"smallest",'Evaluation Plan'!O2:O151,3)</x:f>
        <x:v>5</x:v>
      </x:c>
      <x:c r="C33" s="6">
        <x:v>5.0</x:v>
      </x:c>
      <x:c r="D33" s="6" t="str">
        <x:f t="shared" si="1"/>
        <x:v>PASS</x:v>
      </x:c>
      <x:c r="E33" s="6" t="s">
        <x:v>656</x:v>
      </x:c>
    </x:row>
    <x:row r="34" ht="42" customHeight="1">
      <x:c r="A34" s="6" t="s">
        <x:v>657</x:v>
      </x:c>
      <x:c r="B34" s="6" t="n">
        <x:f>COUNTIF('Evaluation Plan'!I2:I151,"Cross-task airplane counterfactual")</x:f>
        <x:v>10</x:v>
      </x:c>
      <x:c r="C34" s="6">
        <x:v>10.0</x:v>
      </x:c>
      <x:c r="D34" s="6" t="str">
        <x:f t="shared" si="1"/>
        <x:v>PASS</x:v>
      </x:c>
      <x:c r="E34" s="6" t="s">
        <x:v>658</x:v>
      </x:c>
    </x:row>
    <x:row r="35" ht="42" customHeight="1">
      <x:c r="A35" s="6" t="s">
        <x:v>659</x:v>
      </x:c>
      <x:c r="B35" s="6" t="n">
        <x:f>COUNTIFS('Evaluation Plan'!I2:I151,"Cross-task airplane counterfactual",'Evaluation Plan'!M2:M151,"&lt;&gt;airplane toy with propellers")</x:f>
        <x:v>10</x:v>
      </x:c>
      <x:c r="C35" s="6">
        <x:v>10.0</x:v>
      </x:c>
      <x:c r="D35" s="6" t="str">
        <x:f t="shared" si="1"/>
        <x:v>PASS</x:v>
      </x:c>
      <x:c r="E35" s="6" t="s">
        <x:v>660</x:v>
      </x:c>
    </x:row>
    <x:row r="36" ht="42" customHeight="1">
      <x:c r="A36" s="6" t="s">
        <x:v>661</x:v>
      </x:c>
      <x:c r="B36" s="6" t="n">
        <x:f>COUNTIFS('Evaluation Plan'!I2:I151,"Cross-task airplane counterfactual",'Evaluation Plan'!K2:K151,"smallest")</x:f>
        <x:v>5</x:v>
      </x:c>
      <x:c r="C36" s="6">
        <x:v>5.0</x:v>
      </x:c>
      <x:c r="D36" s="6" t="str">
        <x:f t="shared" si="1"/>
        <x:v>PASS</x:v>
      </x:c>
      <x:c r="E36" s="6" t="s">
        <x:v>662</x:v>
      </x:c>
    </x:row>
    <x:row r="37" ht="42" customHeight="1">
      <x:c r="A37" s="6" t="s">
        <x:v>663</x:v>
      </x:c>
      <x:c r="B37" s="6" t="n">
        <x:f>COUNTIFS('Evaluation Plan'!I2:I151,"Cross-task airplane counterfactual",'Evaluation Plan'!K2:K151,"largest")</x:f>
        <x:v>5</x:v>
      </x:c>
      <x:c r="C37" s="6">
        <x:v>5.0</x:v>
      </x:c>
      <x:c r="D37" s="6" t="str">
        <x:f t="shared" si="1"/>
        <x:v>PASS</x:v>
      </x:c>
      <x:c r="E37" s="6" t="s">
        <x:v>664</x:v>
      </x:c>
    </x:row>
    <x:row r="38" ht="42" customHeight="1">
      <x:c r="A38" s="6" t="s">
        <x:v>665</x:v>
      </x:c>
      <x:c r="B38" s="6" t="n">
        <x:f>COUNTIFS('Evaluation Plan'!I2:I151,"Cross-task airplane counterfactual",'Evaluation Plan'!E2:E151,"&gt;=0")</x:f>
        <x:v>10</x:v>
      </x:c>
      <x:c r="C38" s="6">
        <x:v>10.0</x:v>
      </x:c>
      <x:c r="D38" s="6" t="str">
        <x:f t="shared" si="1"/>
        <x:v>PASS</x:v>
      </x:c>
      <x:c r="E38" s="6" t="s">
        <x:v>666</x:v>
      </x:c>
    </x:row>
    <x:row r="39" ht="42" customHeight="1">
      <x:c r="A39" s="6" t="s">
        <x:v>667</x:v>
      </x:c>
      <x:c r="B39" s="6" t="n">
        <x:f>COUNTIFS('Evaluation Plan'!I2:I151,"Cross-task airplane counterfactual",'Evaluation Plan'!M2:M151,"red pencil sharpener")</x:f>
        <x:v>5</x:v>
      </x:c>
      <x:c r="C39" s="6">
        <x:v>5.0</x:v>
      </x:c>
      <x:c r="D39" s="6" t="str">
        <x:f t="shared" si="1"/>
        <x:v>PASS</x:v>
      </x:c>
      <x:c r="E39" s="6" t="s">
        <x:v>668</x:v>
      </x:c>
    </x:row>
    <x:row r="40" ht="42" customHeight="1">
      <x:c r="A40" s="6" t="s">
        <x:v>669</x:v>
      </x:c>
      <x:c r="B40" s="6" t="n">
        <x:f>COUNTIFS('Evaluation Plan'!I2:I151,"Cross-task airplane counterfactual",'Evaluation Plan'!M2:M151,"juggling ball")</x:f>
        <x:v>2</x:v>
      </x:c>
      <x:c r="C40" s="6">
        <x:v>2.0</x:v>
      </x:c>
      <x:c r="D40" s="6" t="str">
        <x:f t="shared" si="1"/>
        <x:v>PASS</x:v>
      </x:c>
      <x:c r="E40" s="6" t="s">
        <x:v>670</x:v>
      </x:c>
    </x:row>
    <x:row r="41" ht="42" customHeight="1">
      <x:c r="A41" s="6" t="s">
        <x:v>671</x:v>
      </x:c>
      <x:c r="B41" s="6" t="n">
        <x:f>COUNTIFS('Evaluation Plan'!I2:I151,"Cross-task airplane counterfactual",'Evaluation Plan'!M2:M151,"crushed Pepsi can")</x:f>
        <x:v>3</x:v>
      </x:c>
      <x:c r="C41" s="6">
        <x:v>3.0</x:v>
      </x:c>
      <x:c r="D41" s="6" t="str">
        <x:f t="shared" si="1"/>
        <x:v>PASS</x:v>
      </x:c>
      <x:c r="E41" s="6" t="s">
        <x:v>670</x:v>
      </x:c>
    </x:row>
    <x:row r="42" ht="42" customHeight="1">
      <x:c r="A42" s="6" t="s">
        <x:v>672</x:v>
      </x:c>
      <x:c r="B42" s="6" t="n">
        <x:f>COUNTIFS('Evaluation Plan'!I2:I151,"Cross-task airplane*",'Evaluation Plan'!K2:K151,"Direct")</x:f>
        <x:v>0</x:v>
      </x:c>
      <x:c r="C42" s="6">
        <x:v>0.0</x:v>
      </x:c>
      <x:c r="D42" s="6" t="str">
        <x:f t="shared" si="1"/>
        <x:v>PASS</x:v>
      </x:c>
      <x:c r="E42" s="6" t="s">
        <x:v>673</x:v>
      </x:c>
    </x:row>
    <x:row r="43" ht="42" customHeight="1">
      <x:c r="A43" s="6" t="s">
        <x:v>674</x:v>
      </x:c>
      <x:c r="B43" s="6" t="n">
        <x:f>COUNTIF('Evaluation Plan'!I2:I151,"Goal already satisfied / no movement")</x:f>
        <x:v>20</x:v>
      </x:c>
      <x:c r="C43" s="6">
        <x:v>20.0</x:v>
      </x:c>
      <x:c r="D43" s="6" t="str">
        <x:f t="shared" si="1"/>
        <x:v>PASS</x:v>
      </x:c>
      <x:c r="E43" s="6" t="s">
        <x:v>675</x:v>
      </x:c>
    </x:row>
    <x:row r="44" ht="42" customHeight="1">
      <x:c r="A44" s="6" t="s">
        <x:v>676</x:v>
      </x:c>
      <x:c r="B44" s="6" t="n">
        <x:f>COUNTIFS('Evaluation Plan'!I2:I151,"Goal already satisfied / no movement",'Evaluation Plan'!K2:K151,"smallest")</x:f>
        <x:v>10</x:v>
      </x:c>
      <x:c r="C44" s="6">
        <x:v>10.0</x:v>
      </x:c>
      <x:c r="D44" s="6" t="str">
        <x:f t="shared" si="1"/>
        <x:v>PASS</x:v>
      </x:c>
      <x:c r="E44" s="6" t="s">
        <x:v>677</x:v>
      </x:c>
    </x:row>
    <x:row r="45" ht="42" customHeight="1">
      <x:c r="A45" s="6" t="s">
        <x:v>678</x:v>
      </x:c>
      <x:c r="B45" s="6" t="n">
        <x:f>COUNTIFS('Evaluation Plan'!I2:I151,"Goal already satisfied / no movement",'Evaluation Plan'!K2:K151,"largest")</x:f>
        <x:v>10</x:v>
      </x:c>
      <x:c r="C45" s="6">
        <x:v>10.0</x:v>
      </x:c>
      <x:c r="D45" s="6" t="str">
        <x:f t="shared" si="1"/>
        <x:v>PASS</x:v>
      </x:c>
      <x:c r="E45" s="6" t="s">
        <x:v>677</x:v>
      </x:c>
    </x:row>
    <x:row r="46" ht="42" customHeight="1">
      <x:c r="A46" s="6" t="s">
        <x:v>679</x:v>
      </x:c>
      <x:c r="B46" s="6" t="n">
        <x:f>COUNTIFS('Evaluation Plan'!I2:I151,"Goal already satisfied / no movement",'Evaluation Plan'!M2:M151,"red pencil sharpener")</x:f>
        <x:v>5</x:v>
      </x:c>
      <x:c r="C46" s="6">
        <x:v>5.0</x:v>
      </x:c>
      <x:c r="D46" s="6" t="str">
        <x:f t="shared" si="1"/>
        <x:v>PASS</x:v>
      </x:c>
      <x:c r="E46" s="6" t="s">
        <x:v>680</x:v>
      </x:c>
    </x:row>
    <x:row r="47" ht="42" customHeight="1">
      <x:c r="A47" s="6" t="s">
        <x:v>681</x:v>
      </x:c>
      <x:c r="B47" s="6" t="n">
        <x:f>COUNTIFS('Evaluation Plan'!I2:I151,"Goal already satisfied / no movement",'Evaluation Plan'!M2:M151,"green block")</x:f>
        <x:v>5</x:v>
      </x:c>
      <x:c r="C47" s="6">
        <x:v>5.0</x:v>
      </x:c>
      <x:c r="D47" s="6" t="str">
        <x:f t="shared" si="1"/>
        <x:v>PASS</x:v>
      </x:c>
      <x:c r="E47" s="6" t="s">
        <x:v>680</x:v>
      </x:c>
    </x:row>
    <x:row r="48" ht="42" customHeight="1">
      <x:c r="A48" s="6" t="s">
        <x:v>682</x:v>
      </x:c>
      <x:c r="B48" s="6" t="n">
        <x:f>COUNTIFS('Evaluation Plan'!I2:I151,"Goal already satisfied / no movement",'Evaluation Plan'!M2:M151,"juggling ball")</x:f>
        <x:v>5</x:v>
      </x:c>
      <x:c r="C48" s="6">
        <x:v>5.0</x:v>
      </x:c>
      <x:c r="D48" s="6" t="str">
        <x:f t="shared" si="1"/>
        <x:v>PASS</x:v>
      </x:c>
      <x:c r="E48" s="6" t="s">
        <x:v>680</x:v>
      </x:c>
    </x:row>
    <x:row r="49" ht="42" customHeight="1">
      <x:c r="A49" s="6" t="s">
        <x:v>683</x:v>
      </x:c>
      <x:c r="B49" s="6" t="n">
        <x:f>COUNTIFS('Evaluation Plan'!I2:I151,"Goal already satisfied / no movement",'Evaluation Plan'!M2:M151,"crushed Pepsi can")</x:f>
        <x:v>5</x:v>
      </x:c>
      <x:c r="C49" s="6">
        <x:v>5.0</x:v>
      </x:c>
      <x:c r="D49" s="6" t="str">
        <x:f t="shared" si="1"/>
        <x:v>PASS</x:v>
      </x:c>
      <x:c r="E49" s="6" t="s">
        <x:v>680</x:v>
      </x:c>
    </x:row>
    <x:row r="50" ht="42" customHeight="1">
      <x:c r="A50" s="6" t="s">
        <x:v>684</x:v>
      </x:c>
      <x:c r="B50" s="6" t="n">
        <x:f>COUNTIFS('Evaluation Plan'!I2:I151,"Goal already satisfied / no movement",'Evaluation Plan'!O2:O151,2)</x:f>
        <x:v>7</x:v>
      </x:c>
      <x:c r="C50" s="6">
        <x:v>7.0</x:v>
      </x:c>
      <x:c r="D50" s="6" t="str">
        <x:f t="shared" si="1"/>
        <x:v>PASS</x:v>
      </x:c>
      <x:c r="E50" s="6" t="s">
        <x:v>685</x:v>
      </x:c>
    </x:row>
    <x:row r="51" ht="42" customHeight="1">
      <x:c r="A51" s="6" t="s">
        <x:v>686</x:v>
      </x:c>
      <x:c r="B51" s="6" t="n">
        <x:f>COUNTIFS('Evaluation Plan'!I2:I151,"Goal already satisfied / no movement",'Evaluation Plan'!O2:O151,3)</x:f>
        <x:v>7</x:v>
      </x:c>
      <x:c r="C51" s="6">
        <x:v>7.0</x:v>
      </x:c>
      <x:c r="D51" s="6" t="str">
        <x:f t="shared" si="1"/>
        <x:v>PASS</x:v>
      </x:c>
      <x:c r="E51" s="6" t="s">
        <x:v>685</x:v>
      </x:c>
    </x:row>
    <x:row r="52" ht="42" customHeight="1">
      <x:c r="A52" s="6" t="s">
        <x:v>687</x:v>
      </x:c>
      <x:c r="B52" s="6" t="n">
        <x:f>COUNTIFS('Evaluation Plan'!I2:I151,"Goal already satisfied / no movement",'Evaluation Plan'!O2:O151,4)</x:f>
        <x:v>6</x:v>
      </x:c>
      <x:c r="C52" s="6">
        <x:v>6.0</x:v>
      </x:c>
      <x:c r="D52" s="6" t="str">
        <x:f t="shared" si="1"/>
        <x:v>PASS</x:v>
      </x:c>
      <x:c r="E52" s="6" t="s">
        <x:v>685</x:v>
      </x:c>
    </x:row>
    <x:row r="53" ht="42" customHeight="1">
      <x:c r="A53" s="6" t="s">
        <x:v>688</x:v>
      </x:c>
      <x:c r="B53" s="6" t="n">
        <x:f>COUNTIF('Evaluation Plan'!A2:A151,"Not collected")</x:f>
        <x:v>150</x:v>
      </x:c>
      <x:c r="C53" s="6">
        <x:v>150.0</x:v>
      </x:c>
      <x:c r="D53" s="6" t="str">
        <x:f t="shared" si="1"/>
        <x:v>PASS</x:v>
      </x:c>
      <x:c r="E53" s="6" t="s">
        <x:v>689</x:v>
      </x:c>
    </x:row>
    <x:row r="54" ht="42" customHeight="1">
      <x:c r="A54" s="6" t="s">
        <x:v>690</x:v>
      </x:c>
      <x:c r="B54" s="6" t="n">
        <x:f>MIN('Evaluation Plan'!B2:B151)</x:f>
        <x:v>0</x:v>
      </x:c>
      <x:c r="C54" s="6">
        <x:v>0.0</x:v>
      </x:c>
      <x:c r="D54" s="6" t="str">
        <x:f t="shared" si="1"/>
        <x:v>PASS</x:v>
      </x:c>
      <x:c r="E54" s="6" t="s">
        <x:v>691</x:v>
      </x:c>
    </x:row>
    <x:row r="55" ht="42" customHeight="1">
      <x:c r="A55" s="6" t="s">
        <x:v>692</x:v>
      </x:c>
      <x:c r="B55" s="6" t="n">
        <x:f>MAX('Evaluation Plan'!B2:B151)</x:f>
        <x:v>149</x:v>
      </x:c>
      <x:c r="C55" s="6">
        <x:v>149.0</x:v>
      </x:c>
      <x:c r="D55" s="6" t="str">
        <x:f t="shared" si="1"/>
        <x:v>PASS</x:v>
      </x:c>
      <x:c r="E55" s="6" t="s">
        <x:v>691</x:v>
      </x:c>
    </x:row>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D2:D55">
    <x:cfRule type="containsText" dxfId="5" priority="1" operator="containsText" text="PASS">
      <x:formula>NOT(ISERROR(SEARCH(("PASS"),(D2))))</x:formula>
    </x:cfRule>
  </x:conditionalFormatting>
  <x:conditionalFormatting sqref="D2:D55">
    <x:cfRule type="containsText" dxfId="6" priority="2" operator="containsText" text="CHECK">
      <x:formula>NOT(ISERROR(SEARCH(("CHECK"),(D2))))</x:formula>
    </x:cfRule>
  </x:conditionalFormatting>
  <x:pageMargins left="0.7" right="0.7" top="0.75" bottom="0.75" header="0.3" footer="0.3"/>
  <x:tableParts count="1">
    <x:tablePart xmlns:r="http://schemas.openxmlformats.org/officeDocument/2006/relationships" r:id="Red15001370b845b4"/>
  </x:tableParts>
</x:worksheet>
</file>

<file path=xl/worksheets/sheet6.xml><?xml version="1.0" encoding="utf-8"?>
<x:worksheet xmlns:x="http://schemas.openxmlformats.org/spreadsheetml/2006/main">
  <x:sheetViews>
    <x:sheetView showGridLines="0" workbookViewId="0"/>
  </x:sheetViews>
  <x:sheetFormatPr defaultColWidth="12.630000114440918" defaultRowHeight="15"/>
  <x:cols>
    <x:col min="1" max="1" width="15" customWidth="1"/>
    <x:col min="2" max="2" width="9" customWidth="1"/>
    <x:col min="3" max="3" width="51" customWidth="1"/>
    <x:col min="4" max="4" width="78" customWidth="1"/>
    <x:col min="5" max="5" width="14" customWidth="1"/>
    <x:col min="6" max="6" width="24" customWidth="1"/>
    <x:col min="7" max="7" width="34" customWidth="1"/>
    <x:col min="8" max="8" width="42" customWidth="1"/>
    <x:col min="9" max="9" width="33" customWidth="1"/>
    <x:col min="10" max="10" width="18" customWidth="1"/>
    <x:col min="11" max="11" width="13" customWidth="1"/>
    <x:col min="12" max="12" width="50" customWidth="1"/>
    <x:col min="13" max="13" width="34" customWidth="1"/>
    <x:col min="14" max="15" width="12" customWidth="1"/>
    <x:col min="16" max="16" width="14" customWidth="1"/>
    <x:col min="17" max="17" width="64" customWidth="1"/>
    <x:col min="18" max="18" width="80" customWidth="1"/>
    <x:col min="19" max="19" width="30" customWidth="1"/>
    <x:col min="20" max="26" width="8.630000114440918" customWidth="1"/>
  </x:cols>
  <x:sheetData>
    <x:row r="1" ht="39.75" customHeight="1">
      <x:c r="A1" s="5" t="s">
        <x:v>0</x:v>
      </x:c>
      <x:c r="B1" s="5" t="s">
        <x:v>1</x:v>
      </x:c>
      <x:c r="C1" s="5" t="s">
        <x:v>2</x:v>
      </x:c>
      <x:c r="D1" s="5" t="s">
        <x:v>3</x:v>
      </x:c>
      <x:c r="E1" s="5" t="s">
        <x:v>4</x:v>
      </x:c>
      <x:c r="F1" s="5" t="s">
        <x:v>5</x:v>
      </x:c>
      <x:c r="G1" s="5" t="s">
        <x:v>6</x:v>
      </x:c>
      <x:c r="H1" s="5" t="s">
        <x:v>7</x:v>
      </x:c>
      <x:c r="I1" s="5" t="s">
        <x:v>8</x:v>
      </x:c>
      <x:c r="J1" s="5" t="s">
        <x:v>9</x:v>
      </x:c>
      <x:c r="K1" s="5" t="s">
        <x:v>10</x:v>
      </x:c>
      <x:c r="L1" s="5" t="s">
        <x:v>11</x:v>
      </x:c>
      <x:c r="M1" s="5" t="s">
        <x:v>12</x:v>
      </x:c>
      <x:c r="N1" s="5" t="s">
        <x:v>13</x:v>
      </x:c>
      <x:c r="O1" s="5" t="s">
        <x:v>14</x:v>
      </x:c>
      <x:c r="P1" s="5" t="s">
        <x:v>15</x:v>
      </x:c>
      <x:c r="Q1" s="5" t="s">
        <x:v>16</x:v>
      </x:c>
      <x:c r="R1" s="5" t="s">
        <x:v>17</x:v>
      </x:c>
      <x:c r="S1" s="5" t="s">
        <x:v>18</x:v>
      </x:c>
    </x:row>
    <x:row r="2" ht="67.5" customHeight="1">
      <x:c r="A2" s="10" t="s">
        <x:v>591</x:v>
      </x:c>
      <x:c r="B2" s="11" t="n">
        <x:f>'Evaluation Plan'!B2</x:f>
        <x:v>0</x:v>
      </x:c>
      <x:c r="C2" s="12" t="str">
        <x:f>'Evaluation Plan'!C2</x:f>
        <x:v>Move the object that is smallest into the bowl.</x:v>
      </x:c>
      <x:c r="D2" s="12" t="str">
        <x:f>'Evaluation Plan'!D2</x:f>
        <x:v>Bowl: empty. Table, robot-left→robot-right: P1 red pencil sharpener; P2 green block; P3 juggling ball; P4 crushed Pepsi can. Adjacent centers 8 cm apart; row centered on the workspace; all objects fully visible and grasp paths clear.</x:v>
      </x:c>
      <x:c r="E2" s="13" t="str">
        <x:f>IF(ISBLANK('Evaluation Plan'!E2),"",'Evaluation Plan'!E2)</x:f>
      </x:c>
      <x:c r="F2" s="11" t="str">
        <x:f>'Evaluation Plan'!F2</x:f>
        <x:v>1005</x:v>
      </x:c>
      <x:c r="G2" s="11" t="str">
        <x:f>'Evaluation Plan'!G2</x:f>
        <x:v>MOVE red pencil sharpener to bowl</x:v>
      </x:c>
      <x:c r="H2" s="13"/>
      <x:c r="I2" s="11" t="str">
        <x:f>'Evaluation Plan'!I2</x:f>
        <x:v>In-distribution concept baseline</x:v>
      </x:c>
      <x:c r="J2" s="11" t="str">
        <x:f>'Evaluation Plan'!J2</x:f>
        <x:v>SZ-ID-SH01</x:v>
      </x:c>
      <x:c r="K2" s="11" t="str">
        <x:f>'Evaluation Plan'!K2</x:f>
        <x:v>smallest</x:v>
      </x:c>
      <x:c r="L2" s="11" t="str">
        <x:f>'Evaluation Plan'!L2</x:f>
        <x:v>Explicitly trained smallest × red pencil sharpener</x:v>
      </x:c>
      <x:c r="M2" s="11" t="str">
        <x:f>'Evaluation Plan'!M2</x:f>
        <x:v>red pencil sharpener</x:v>
      </x:c>
      <x:c r="N2" s="11" t="str">
        <x:f>'Evaluation Plan'!N2</x:f>
        <x:v>Left</x:v>
      </x:c>
      <x:c r="O2" s="11" t="n">
        <x:f>'Evaluation Plan'!O2</x:f>
        <x:v>4</x:v>
      </x:c>
      <x:c r="P2" s="11" t="n">
        <x:f>IF(ISBLANK('Evaluation Plan'!P2),"",'Evaluation Plan'!P2)</x:f>
        <x:v>8</x:v>
      </x:c>
      <x:c r="Q2" s="11" t="str">
        <x:f>'Evaluation Plan'!Q2</x:f>
        <x:v>Build the listed manifest-supported scene.</x:v>
      </x:c>
      <x:c r="R2" s="12" t="str">
        <x:f>'Evaluation Plan'!R2</x:f>
        <x:v>Exact prompt and object composition from training episode 1005; this establishes the familiar smallest × red pencil sharpener cell.</x:v>
      </x:c>
      <x:c r="S2" s="14" t="str">
        <x:f>IF(ISBLANK('Evaluation Plan'!S2),"",'Evaluation Plan'!S2)</x:f>
      </x:c>
      <x:c r="T2" s="15"/>
      <x:c r="U2" s="15"/>
      <x:c r="V2" s="15"/>
      <x:c r="W2" s="15"/>
      <x:c r="X2" s="15"/>
      <x:c r="Y2" s="15"/>
      <x:c r="Z2" s="15"/>
    </x:row>
    <x:row r="3" ht="67.5" customHeight="1">
      <x:c r="A3" s="10" t="s">
        <x:v>591</x:v>
      </x:c>
      <x:c r="B3" s="11" t="n">
        <x:f>'Evaluation Plan'!B3</x:f>
        <x:v>1</x:v>
      </x:c>
      <x:c r="C3" s="12" t="str">
        <x:f>'Evaluation Plan'!C3</x:f>
        <x:v>Pick up the smallest item and place it in the bowl.</x:v>
      </x:c>
      <x:c r="D3" s="12" t="str">
        <x:f>'Evaluation Plan'!D3</x:f>
        <x:v>Bowl: empty. Table, robot-left→robot-right: P1 crushed Pepsi can; P2 juggling ball; P3 green block. Adjacent centers 12 cm apart; row shifted 4 cm toward robot-left; all objects fully visible and grasp paths clear.</x:v>
      </x:c>
      <x:c r="E3" s="13" t="str">
        <x:f>IF(ISBLANK('Evaluation Plan'!E3),"",'Evaluation Plan'!E3)</x:f>
      </x:c>
      <x:c r="F3" s="11" t="str">
        <x:f>'Evaluation Plan'!F3</x:f>
        <x:v>1050</x:v>
      </x:c>
      <x:c r="G3" s="11" t="str">
        <x:f>'Evaluation Plan'!G3</x:f>
        <x:v>MOVE green block to bowl</x:v>
      </x:c>
      <x:c r="H3" s="13"/>
      <x:c r="I3" s="11" t="str">
        <x:f>'Evaluation Plan'!I3</x:f>
        <x:v>In-distribution concept baseline</x:v>
      </x:c>
      <x:c r="J3" s="11" t="str">
        <x:f>'Evaluation Plan'!J3</x:f>
        <x:v>SZ-ID-GB01</x:v>
      </x:c>
      <x:c r="K3" s="11" t="str">
        <x:f>'Evaluation Plan'!K3</x:f>
        <x:v>smallest</x:v>
      </x:c>
      <x:c r="L3" s="11" t="str">
        <x:f>'Evaluation Plan'!L3</x:f>
        <x:v>Explicitly trained smallest × green block</x:v>
      </x:c>
      <x:c r="M3" s="11" t="str">
        <x:f>'Evaluation Plan'!M3</x:f>
        <x:v>green block</x:v>
      </x:c>
      <x:c r="N3" s="11" t="str">
        <x:f>'Evaluation Plan'!N3</x:f>
        <x:v>Right</x:v>
      </x:c>
      <x:c r="O3" s="11" t="n">
        <x:f>'Evaluation Plan'!O3</x:f>
        <x:v>3</x:v>
      </x:c>
      <x:c r="P3" s="11" t="n">
        <x:f>IF(ISBLANK('Evaluation Plan'!P3),"",'Evaluation Plan'!P3)</x:f>
        <x:v>12</x:v>
      </x:c>
      <x:c r="Q3" s="11" t="str">
        <x:f>'Evaluation Plan'!Q3</x:f>
        <x:v>Build the listed manifest-supported scene.</x:v>
      </x:c>
      <x:c r="R3" s="12" t="str">
        <x:f>'Evaluation Plan'!R3</x:f>
        <x:v>Exact prompt and object composition from training episode 1050; this establishes the familiar smallest × green block cell.</x:v>
      </x:c>
      <x:c r="S3" s="14" t="str">
        <x:f>IF(ISBLANK('Evaluation Plan'!S3),"",'Evaluation Plan'!S3)</x:f>
      </x:c>
      <x:c r="T3" s="15"/>
      <x:c r="U3" s="15"/>
      <x:c r="V3" s="15"/>
      <x:c r="W3" s="15"/>
      <x:c r="X3" s="15"/>
      <x:c r="Y3" s="15"/>
      <x:c r="Z3" s="15"/>
    </x:row>
    <x:row r="4" ht="67.5" customHeight="1">
      <x:c r="A4" s="10" t="s">
        <x:v>591</x:v>
      </x:c>
      <x:c r="B4" s="11" t="n">
        <x:f>'Evaluation Plan'!B4</x:f>
        <x:v>2</x:v>
      </x:c>
      <x:c r="C4" s="12" t="str">
        <x:f>'Evaluation Plan'!C4</x:f>
        <x:v>Put the largest object in the bowl.</x:v>
      </x:c>
      <x:c r="D4" s="12" t="str">
        <x:f>'Evaluation Plan'!D4</x:f>
        <x:v>Bowl: empty. Table, robot-left→robot-right: P1 juggling ball; P2 red pencil sharpener; P3 green block. Adjacent centers 16 cm apart; row shifted 4 cm toward robot-right; all objects fully visible and grasp paths clear.</x:v>
      </x:c>
      <x:c r="E4" s="13" t="str">
        <x:f>IF(ISBLANK('Evaluation Plan'!E4),"",'Evaluation Plan'!E4)</x:f>
      </x:c>
      <x:c r="F4" s="11" t="str">
        <x:f>'Evaluation Plan'!F4</x:f>
        <x:v>1125</x:v>
      </x:c>
      <x:c r="G4" s="11" t="str">
        <x:f>'Evaluation Plan'!G4</x:f>
        <x:v>MOVE juggling ball to bowl</x:v>
      </x:c>
      <x:c r="H4" s="13"/>
      <x:c r="I4" s="11" t="str">
        <x:f>'Evaluation Plan'!I4</x:f>
        <x:v>In-distribution concept baseline</x:v>
      </x:c>
      <x:c r="J4" s="11" t="str">
        <x:f>'Evaluation Plan'!J4</x:f>
        <x:v>SZ-ID-JB01</x:v>
      </x:c>
      <x:c r="K4" s="11" t="str">
        <x:f>'Evaluation Plan'!K4</x:f>
        <x:v>largest</x:v>
      </x:c>
      <x:c r="L4" s="11" t="str">
        <x:f>'Evaluation Plan'!L4</x:f>
        <x:v>Explicitly trained largest × juggling ball</x:v>
      </x:c>
      <x:c r="M4" s="11" t="str">
        <x:f>'Evaluation Plan'!M4</x:f>
        <x:v>juggling ball</x:v>
      </x:c>
      <x:c r="N4" s="11" t="str">
        <x:f>'Evaluation Plan'!N4</x:f>
        <x:v>Left</x:v>
      </x:c>
      <x:c r="O4" s="11" t="n">
        <x:f>'Evaluation Plan'!O4</x:f>
        <x:v>3</x:v>
      </x:c>
      <x:c r="P4" s="11" t="n">
        <x:f>IF(ISBLANK('Evaluation Plan'!P4),"",'Evaluation Plan'!P4)</x:f>
        <x:v>16</x:v>
      </x:c>
      <x:c r="Q4" s="11" t="str">
        <x:f>'Evaluation Plan'!Q4</x:f>
        <x:v>Build the listed manifest-supported scene.</x:v>
      </x:c>
      <x:c r="R4" s="12" t="str">
        <x:f>'Evaluation Plan'!R4</x:f>
        <x:v>Exact prompt and object composition from training episode 1125; this establishes the familiar largest × juggling ball cell.</x:v>
      </x:c>
      <x:c r="S4" s="14" t="str">
        <x:f>IF(ISBLANK('Evaluation Plan'!S4),"",'Evaluation Plan'!S4)</x:f>
      </x:c>
      <x:c r="T4" s="15"/>
      <x:c r="U4" s="15"/>
      <x:c r="V4" s="15"/>
      <x:c r="W4" s="15"/>
      <x:c r="X4" s="15"/>
      <x:c r="Y4" s="15"/>
      <x:c r="Z4" s="15"/>
    </x:row>
    <x:row r="5" ht="67.5" customHeight="1">
      <x:c r="A5" s="10" t="s">
        <x:v>591</x:v>
      </x:c>
      <x:c r="B5" s="11" t="n">
        <x:f>'Evaluation Plan'!B5</x:f>
        <x:v>3</x:v>
      </x:c>
      <x:c r="C5" s="12" t="str">
        <x:f>'Evaluation Plan'!C5</x:f>
        <x:v>Pick up the largest item and place it in the bowl.</x:v>
      </x:c>
      <x:c r="D5" s="12" t="str">
        <x:f>'Evaluation Plan'!D5</x:f>
        <x:v>Bowl: empty. Table, robot-left→robot-right: P1 red pencil sharpener; P2 green block; P3 juggling ball; P4 crushed Pepsi can. Adjacent centers 8 cm apart; row shifted 4 cm toward the robot; all objects fully visible and grasp paths clear.</x:v>
      </x:c>
      <x:c r="E5" s="13" t="str">
        <x:f>IF(ISBLANK('Evaluation Plan'!E5),"",'Evaluation Plan'!E5)</x:f>
      </x:c>
      <x:c r="F5" s="11" t="str">
        <x:f>'Evaluation Plan'!F5</x:f>
        <x:v>1155</x:v>
      </x:c>
      <x:c r="G5" s="11" t="str">
        <x:f>'Evaluation Plan'!G5</x:f>
        <x:v>MOVE crushed Pepsi can to bowl</x:v>
      </x:c>
      <x:c r="H5" s="13"/>
      <x:c r="I5" s="11" t="str">
        <x:f>'Evaluation Plan'!I5</x:f>
        <x:v>In-distribution concept baseline</x:v>
      </x:c>
      <x:c r="J5" s="11" t="str">
        <x:f>'Evaluation Plan'!J5</x:f>
        <x:v>SZ-ID-PC01</x:v>
      </x:c>
      <x:c r="K5" s="11" t="str">
        <x:f>'Evaluation Plan'!K5</x:f>
        <x:v>largest</x:v>
      </x:c>
      <x:c r="L5" s="11" t="str">
        <x:f>'Evaluation Plan'!L5</x:f>
        <x:v>Explicitly trained largest × crushed Pepsi can</x:v>
      </x:c>
      <x:c r="M5" s="11" t="str">
        <x:f>'Evaluation Plan'!M5</x:f>
        <x:v>crushed Pepsi can</x:v>
      </x:c>
      <x:c r="N5" s="11" t="str">
        <x:f>'Evaluation Plan'!N5</x:f>
        <x:v>Right</x:v>
      </x:c>
      <x:c r="O5" s="11" t="n">
        <x:f>'Evaluation Plan'!O5</x:f>
        <x:v>4</x:v>
      </x:c>
      <x:c r="P5" s="11" t="n">
        <x:f>IF(ISBLANK('Evaluation Plan'!P5),"",'Evaluation Plan'!P5)</x:f>
        <x:v>8</x:v>
      </x:c>
      <x:c r="Q5" s="11" t="str">
        <x:f>'Evaluation Plan'!Q5</x:f>
        <x:v>Build the listed manifest-supported scene.</x:v>
      </x:c>
      <x:c r="R5" s="12" t="str">
        <x:f>'Evaluation Plan'!R5</x:f>
        <x:v>Exact prompt and object composition from training episode 1155; this establishes the familiar largest × crushed Pepsi can cell.</x:v>
      </x:c>
      <x:c r="S5" s="14" t="str">
        <x:f>IF(ISBLANK('Evaluation Plan'!S5),"",'Evaluation Plan'!S5)</x:f>
      </x:c>
      <x:c r="T5" s="15"/>
      <x:c r="U5" s="15"/>
      <x:c r="V5" s="15"/>
      <x:c r="W5" s="15"/>
      <x:c r="X5" s="15"/>
      <x:c r="Y5" s="15"/>
      <x:c r="Z5" s="15"/>
    </x:row>
    <x:row r="6" ht="67.5" customHeight="1">
      <x:c r="A6" s="10" t="s">
        <x:v>591</x:v>
      </x:c>
      <x:c r="B6" s="11" t="n">
        <x:f>'Evaluation Plan'!B6</x:f>
        <x:v>4</x:v>
      </x:c>
      <x:c r="C6" s="12" t="str">
        <x:f>'Evaluation Plan'!C6</x:f>
        <x:v>Pick up the smallest item and place it in the bowl.</x:v>
      </x:c>
      <x:c r="D6" s="12" t="str">
        <x:f>'Evaluation Plan'!D6</x:f>
        <x:v>Bowl: empty. Table, robot-left→robot-right: P1 juggling ball; P2 crushed Pepsi can; P3 green block; P4 red pencil sharpener. Adjacent centers 12 cm apart; row shifted 4 cm toward robot-left; all objects fully visible and grasp paths clear.</x:v>
      </x:c>
      <x:c r="E6" s="13" t="str">
        <x:f>IF(ISBLANK('Evaluation Plan'!E6),"",'Evaluation Plan'!E6)</x:f>
      </x:c>
      <x:c r="F6" s="11" t="str">
        <x:f>'Evaluation Plan'!F6</x:f>
        <x:v>1006</x:v>
      </x:c>
      <x:c r="G6" s="11" t="str">
        <x:f>'Evaluation Plan'!G6</x:f>
        <x:v>MOVE red pencil sharpener to bowl</x:v>
      </x:c>
      <x:c r="H6" s="13"/>
      <x:c r="I6" s="11" t="str">
        <x:f>'Evaluation Plan'!I6</x:f>
        <x:v>In-distribution concept baseline</x:v>
      </x:c>
      <x:c r="J6" s="11" t="str">
        <x:f>'Evaluation Plan'!J6</x:f>
        <x:v>SZ-ID-SH02</x:v>
      </x:c>
      <x:c r="K6" s="11" t="str">
        <x:f>'Evaluation Plan'!K6</x:f>
        <x:v>smallest</x:v>
      </x:c>
      <x:c r="L6" s="11" t="str">
        <x:f>'Evaluation Plan'!L6</x:f>
        <x:v>Explicitly trained smallest × red pencil sharpener</x:v>
      </x:c>
      <x:c r="M6" s="11" t="str">
        <x:f>'Evaluation Plan'!M6</x:f>
        <x:v>red pencil sharpener</x:v>
      </x:c>
      <x:c r="N6" s="11" t="str">
        <x:f>'Evaluation Plan'!N6</x:f>
        <x:v>Right</x:v>
      </x:c>
      <x:c r="O6" s="11" t="n">
        <x:f>'Evaluation Plan'!O6</x:f>
        <x:v>4</x:v>
      </x:c>
      <x:c r="P6" s="11" t="n">
        <x:f>IF(ISBLANK('Evaluation Plan'!P6),"",'Evaluation Plan'!P6)</x:f>
        <x:v>12</x:v>
      </x:c>
      <x:c r="Q6" s="11" t="str">
        <x:f>'Evaluation Plan'!Q6</x:f>
        <x:v>Build the listed manifest-supported scene.</x:v>
      </x:c>
      <x:c r="R6" s="12" t="str">
        <x:f>'Evaluation Plan'!R6</x:f>
        <x:v>Exact prompt and object composition from training episode 1006; this establishes the familiar smallest × red pencil sharpener cell.</x:v>
      </x:c>
      <x:c r="S6" s="14" t="str">
        <x:f>IF(ISBLANK('Evaluation Plan'!S6),"",'Evaluation Plan'!S6)</x:f>
      </x:c>
      <x:c r="T6" s="15"/>
      <x:c r="U6" s="15"/>
      <x:c r="V6" s="15"/>
      <x:c r="W6" s="15"/>
      <x:c r="X6" s="15"/>
      <x:c r="Y6" s="15"/>
      <x:c r="Z6" s="15"/>
    </x:row>
    <x:row r="7" ht="67.5" customHeight="1">
      <x:c r="A7" s="10" t="s">
        <x:v>591</x:v>
      </x:c>
      <x:c r="B7" s="11" t="n">
        <x:f>'Evaluation Plan'!B7</x:f>
        <x:v>5</x:v>
      </x:c>
      <x:c r="C7" s="12" t="str">
        <x:f>'Evaluation Plan'!C7</x:f>
        <x:v>Pick up the smallest item and place it in the bowl.</x:v>
      </x:c>
      <x:c r="D7" s="12" t="str">
        <x:f>'Evaluation Plan'!D7</x:f>
        <x:v>Bowl: empty. Table, robot-left→robot-right: P1 green block; P2 juggling ball; P3 crushed Pepsi can. Adjacent centers 16 cm apart; row shifted 4 cm toward robot-right; all objects fully visible and grasp paths clear.</x:v>
      </x:c>
      <x:c r="E7" s="13" t="str">
        <x:f>IF(ISBLANK('Evaluation Plan'!E7),"",'Evaluation Plan'!E7)</x:f>
      </x:c>
      <x:c r="F7" s="11" t="str">
        <x:f>'Evaluation Plan'!F7</x:f>
        <x:v>1051</x:v>
      </x:c>
      <x:c r="G7" s="11" t="str">
        <x:f>'Evaluation Plan'!G7</x:f>
        <x:v>MOVE green block to bowl</x:v>
      </x:c>
      <x:c r="H7" s="13"/>
      <x:c r="I7" s="11" t="str">
        <x:f>'Evaluation Plan'!I7</x:f>
        <x:v>In-distribution concept baseline</x:v>
      </x:c>
      <x:c r="J7" s="11" t="str">
        <x:f>'Evaluation Plan'!J7</x:f>
        <x:v>SZ-ID-GB02</x:v>
      </x:c>
      <x:c r="K7" s="11" t="str">
        <x:f>'Evaluation Plan'!K7</x:f>
        <x:v>smallest</x:v>
      </x:c>
      <x:c r="L7" s="11" t="str">
        <x:f>'Evaluation Plan'!L7</x:f>
        <x:v>Explicitly trained smallest × green block</x:v>
      </x:c>
      <x:c r="M7" s="11" t="str">
        <x:f>'Evaluation Plan'!M7</x:f>
        <x:v>green block</x:v>
      </x:c>
      <x:c r="N7" s="11" t="str">
        <x:f>'Evaluation Plan'!N7</x:f>
        <x:v>Left</x:v>
      </x:c>
      <x:c r="O7" s="11" t="n">
        <x:f>'Evaluation Plan'!O7</x:f>
        <x:v>3</x:v>
      </x:c>
      <x:c r="P7" s="11" t="n">
        <x:f>IF(ISBLANK('Evaluation Plan'!P7),"",'Evaluation Plan'!P7)</x:f>
        <x:v>16</x:v>
      </x:c>
      <x:c r="Q7" s="11" t="str">
        <x:f>'Evaluation Plan'!Q7</x:f>
        <x:v>Build the listed manifest-supported scene.</x:v>
      </x:c>
      <x:c r="R7" s="12" t="str">
        <x:f>'Evaluation Plan'!R7</x:f>
        <x:v>Exact prompt and object composition from training episode 1051; this establishes the familiar smallest × green block cell.</x:v>
      </x:c>
      <x:c r="S7" s="14" t="str">
        <x:f>IF(ISBLANK('Evaluation Plan'!S7),"",'Evaluation Plan'!S7)</x:f>
      </x:c>
      <x:c r="T7" s="15"/>
      <x:c r="U7" s="15"/>
      <x:c r="V7" s="15"/>
      <x:c r="W7" s="15"/>
      <x:c r="X7" s="15"/>
      <x:c r="Y7" s="15"/>
      <x:c r="Z7" s="15"/>
    </x:row>
    <x:row r="8" ht="67.5" customHeight="1">
      <x:c r="A8" s="10" t="s">
        <x:v>591</x:v>
      </x:c>
      <x:c r="B8" s="11" t="n">
        <x:f>'Evaluation Plan'!B8</x:f>
        <x:v>6</x:v>
      </x:c>
      <x:c r="C8" s="12" t="str">
        <x:f>'Evaluation Plan'!C8</x:f>
        <x:v>Pick up the largest item and place it in the bowl.</x:v>
      </x:c>
      <x:c r="D8" s="12" t="str">
        <x:f>'Evaluation Plan'!D8</x:f>
        <x:v>Bowl: empty. Table, robot-left→robot-right: P1 green block; P2 red pencil sharpener; P3 juggling ball. Adjacent centers 8 cm apart; row shifted 4 cm toward the robot; all objects fully visible and grasp paths clear.</x:v>
      </x:c>
      <x:c r="E8" s="13" t="str">
        <x:f>IF(ISBLANK('Evaluation Plan'!E8),"",'Evaluation Plan'!E8)</x:f>
      </x:c>
      <x:c r="F8" s="11" t="str">
        <x:f>'Evaluation Plan'!F8</x:f>
        <x:v>1126</x:v>
      </x:c>
      <x:c r="G8" s="11" t="str">
        <x:f>'Evaluation Plan'!G8</x:f>
        <x:v>MOVE juggling ball to bowl</x:v>
      </x:c>
      <x:c r="H8" s="13"/>
      <x:c r="I8" s="11" t="str">
        <x:f>'Evaluation Plan'!I8</x:f>
        <x:v>In-distribution concept baseline</x:v>
      </x:c>
      <x:c r="J8" s="11" t="str">
        <x:f>'Evaluation Plan'!J8</x:f>
        <x:v>SZ-ID-JB02</x:v>
      </x:c>
      <x:c r="K8" s="11" t="str">
        <x:f>'Evaluation Plan'!K8</x:f>
        <x:v>largest</x:v>
      </x:c>
      <x:c r="L8" s="11" t="str">
        <x:f>'Evaluation Plan'!L8</x:f>
        <x:v>Explicitly trained largest × juggling ball</x:v>
      </x:c>
      <x:c r="M8" s="11" t="str">
        <x:f>'Evaluation Plan'!M8</x:f>
        <x:v>juggling ball</x:v>
      </x:c>
      <x:c r="N8" s="11" t="str">
        <x:f>'Evaluation Plan'!N8</x:f>
        <x:v>Right</x:v>
      </x:c>
      <x:c r="O8" s="11" t="n">
        <x:f>'Evaluation Plan'!O8</x:f>
        <x:v>3</x:v>
      </x:c>
      <x:c r="P8" s="11" t="n">
        <x:f>IF(ISBLANK('Evaluation Plan'!P8),"",'Evaluation Plan'!P8)</x:f>
        <x:v>8</x:v>
      </x:c>
      <x:c r="Q8" s="11" t="str">
        <x:f>'Evaluation Plan'!Q8</x:f>
        <x:v>Build the listed manifest-supported scene.</x:v>
      </x:c>
      <x:c r="R8" s="12" t="str">
        <x:f>'Evaluation Plan'!R8</x:f>
        <x:v>Exact prompt and object composition from training episode 1126; this establishes the familiar largest × juggling ball cell.</x:v>
      </x:c>
      <x:c r="S8" s="14" t="str">
        <x:f>IF(ISBLANK('Evaluation Plan'!S8),"",'Evaluation Plan'!S8)</x:f>
      </x:c>
      <x:c r="T8" s="15"/>
      <x:c r="U8" s="15"/>
      <x:c r="V8" s="15"/>
      <x:c r="W8" s="15"/>
      <x:c r="X8" s="15"/>
      <x:c r="Y8" s="15"/>
      <x:c r="Z8" s="15"/>
    </x:row>
    <x:row r="9" ht="67.5" customHeight="1">
      <x:c r="A9" s="17" t="s">
        <x:v>693</x:v>
      </x:c>
      <x:c r="B9" s="18" t="n">
        <x:f>'Evaluation Plan'!B9</x:f>
        <x:v>7</x:v>
      </x:c>
      <x:c r="C9" s="19" t="str">
        <x:f>'Evaluation Plan'!C9</x:f>
        <x:v>Move the object that is largest into the bowl.</x:v>
      </x:c>
      <x:c r="D9" s="19" t="str">
        <x:f>'Evaluation Plan'!D9</x:f>
        <x:v>Bowl: empty. Table, robot-left→robot-right: P1 crushed Pepsi can; P2 green block; P3 juggling ball; P4 red pencil sharpener. Adjacent centers 12 cm apart; row shifted 4 cm away from the robot; all objects fully visible and grasp paths clear.</x:v>
      </x:c>
      <x:c r="E9" s="20" t="str">
        <x:f>IF(ISBLANK('Evaluation Plan'!E9),"",'Evaluation Plan'!E9)</x:f>
      </x:c>
      <x:c r="F9" s="18" t="str">
        <x:f>'Evaluation Plan'!F9</x:f>
        <x:v>1156</x:v>
      </x:c>
      <x:c r="G9" s="18" t="str">
        <x:f>'Evaluation Plan'!G9</x:f>
        <x:v>MOVE crushed Pepsi can to bowl</x:v>
      </x:c>
      <x:c r="H9" s="19" t="s">
        <x:v>694</x:v>
      </x:c>
      <x:c r="I9" s="18" t="str">
        <x:f>'Evaluation Plan'!I9</x:f>
        <x:v>In-distribution concept baseline</x:v>
      </x:c>
      <x:c r="J9" s="18" t="str">
        <x:f>'Evaluation Plan'!J9</x:f>
        <x:v>SZ-ID-PC02</x:v>
      </x:c>
      <x:c r="K9" s="18" t="str">
        <x:f>'Evaluation Plan'!K9</x:f>
        <x:v>largest</x:v>
      </x:c>
      <x:c r="L9" s="18" t="str">
        <x:f>'Evaluation Plan'!L9</x:f>
        <x:v>Explicitly trained largest × crushed Pepsi can</x:v>
      </x:c>
      <x:c r="M9" s="18" t="str">
        <x:f>'Evaluation Plan'!M9</x:f>
        <x:v>crushed Pepsi can</x:v>
      </x:c>
      <x:c r="N9" s="18" t="str">
        <x:f>'Evaluation Plan'!N9</x:f>
        <x:v>Left</x:v>
      </x:c>
      <x:c r="O9" s="18" t="n">
        <x:f>'Evaluation Plan'!O9</x:f>
        <x:v>4</x:v>
      </x:c>
      <x:c r="P9" s="18" t="n">
        <x:f>IF(ISBLANK('Evaluation Plan'!P9),"",'Evaluation Plan'!P9)</x:f>
        <x:v>12</x:v>
      </x:c>
      <x:c r="Q9" s="18" t="str">
        <x:f>'Evaluation Plan'!Q9</x:f>
        <x:v>Build the listed manifest-supported scene.</x:v>
      </x:c>
      <x:c r="R9" s="19" t="str">
        <x:f>'Evaluation Plan'!R9</x:f>
        <x:v>Exact prompt and object composition from training episode 1156; this establishes the familiar largest × crushed Pepsi can cell.</x:v>
      </x:c>
      <x:c r="S9" s="21" t="str">
        <x:f>IF(ISBLANK('Evaluation Plan'!S9),"",'Evaluation Plan'!S9)</x:f>
      </x:c>
      <x:c r="T9" s="15"/>
      <x:c r="U9" s="15"/>
      <x:c r="V9" s="15"/>
      <x:c r="W9" s="15"/>
      <x:c r="X9" s="15"/>
      <x:c r="Y9" s="15"/>
      <x:c r="Z9" s="15"/>
    </x:row>
    <x:row r="10" ht="67.5" customHeight="1">
      <x:c r="A10" s="10" t="s">
        <x:v>591</x:v>
      </x:c>
      <x:c r="B10" s="11" t="n">
        <x:f>'Evaluation Plan'!B10</x:f>
        <x:v>8</x:v>
      </x:c>
      <x:c r="C10" s="12" t="str">
        <x:f>'Evaluation Plan'!C10</x:f>
        <x:v>Move the object that is smallest into the bowl.</x:v>
      </x:c>
      <x:c r="D10" s="12" t="str">
        <x:f>'Evaluation Plan'!D10</x:f>
        <x:v>Bowl: empty. Table, robot-left→robot-right: P1 red pencil sharpener; P2 crushed Pepsi can; P3 green block; P4 juggling ball. Adjacent centers 16 cm apart; row shifted 4 cm toward robot-right; all objects fully visible and grasp paths clear.</x:v>
      </x:c>
      <x:c r="E10" s="13" t="str">
        <x:f>IF(ISBLANK('Evaluation Plan'!E10),"",'Evaluation Plan'!E10)</x:f>
      </x:c>
      <x:c r="F10" s="11" t="str">
        <x:f>'Evaluation Plan'!F10</x:f>
        <x:v>1007</x:v>
      </x:c>
      <x:c r="G10" s="11" t="str">
        <x:f>'Evaluation Plan'!G10</x:f>
        <x:v>MOVE red pencil sharpener to bowl</x:v>
      </x:c>
      <x:c r="H10" s="13"/>
      <x:c r="I10" s="11" t="str">
        <x:f>'Evaluation Plan'!I10</x:f>
        <x:v>In-distribution concept baseline</x:v>
      </x:c>
      <x:c r="J10" s="11" t="str">
        <x:f>'Evaluation Plan'!J10</x:f>
        <x:v>SZ-ID-SH03</x:v>
      </x:c>
      <x:c r="K10" s="11" t="str">
        <x:f>'Evaluation Plan'!K10</x:f>
        <x:v>smallest</x:v>
      </x:c>
      <x:c r="L10" s="11" t="str">
        <x:f>'Evaluation Plan'!L10</x:f>
        <x:v>Explicitly trained smallest × red pencil sharpener</x:v>
      </x:c>
      <x:c r="M10" s="11" t="str">
        <x:f>'Evaluation Plan'!M10</x:f>
        <x:v>red pencil sharpener</x:v>
      </x:c>
      <x:c r="N10" s="11" t="str">
        <x:f>'Evaluation Plan'!N10</x:f>
        <x:v>Left</x:v>
      </x:c>
      <x:c r="O10" s="11" t="n">
        <x:f>'Evaluation Plan'!O10</x:f>
        <x:v>4</x:v>
      </x:c>
      <x:c r="P10" s="11" t="n">
        <x:f>IF(ISBLANK('Evaluation Plan'!P10),"",'Evaluation Plan'!P10)</x:f>
        <x:v>16</x:v>
      </x:c>
      <x:c r="Q10" s="11" t="str">
        <x:f>'Evaluation Plan'!Q10</x:f>
        <x:v>Build the listed manifest-supported scene.</x:v>
      </x:c>
      <x:c r="R10" s="12" t="str">
        <x:f>'Evaluation Plan'!R10</x:f>
        <x:v>Exact prompt and object composition from training episode 1007; this establishes the familiar smallest × red pencil sharpener cell.</x:v>
      </x:c>
      <x:c r="S10" s="14" t="str">
        <x:f>IF(ISBLANK('Evaluation Plan'!S10),"",'Evaluation Plan'!S10)</x:f>
      </x:c>
      <x:c r="T10" s="15"/>
      <x:c r="U10" s="15"/>
      <x:c r="V10" s="15"/>
      <x:c r="W10" s="15"/>
      <x:c r="X10" s="15"/>
      <x:c r="Y10" s="15"/>
      <x:c r="Z10" s="15"/>
    </x:row>
    <x:row r="11" ht="67.5" customHeight="1">
      <x:c r="A11" s="10" t="s">
        <x:v>591</x:v>
      </x:c>
      <x:c r="B11" s="11" t="n">
        <x:f>'Evaluation Plan'!B11</x:f>
        <x:v>9</x:v>
      </x:c>
      <x:c r="C11" s="12" t="str">
        <x:f>'Evaluation Plan'!C11</x:f>
        <x:v>Put the smallest object in the bowl.</x:v>
      </x:c>
      <x:c r="D11" s="12" t="str">
        <x:f>'Evaluation Plan'!D11</x:f>
        <x:v>Bowl: empty. Table, robot-left→robot-right: P1 crushed Pepsi can; P2 juggling ball; P3 green block. Adjacent centers 8 cm apart; row shifted 4 cm toward the robot; all objects fully visible and grasp paths clear.</x:v>
      </x:c>
      <x:c r="E11" s="13" t="str">
        <x:f>IF(ISBLANK('Evaluation Plan'!E11),"",'Evaluation Plan'!E11)</x:f>
      </x:c>
      <x:c r="F11" s="11" t="str">
        <x:f>'Evaluation Plan'!F11</x:f>
        <x:v>1052</x:v>
      </x:c>
      <x:c r="G11" s="11" t="str">
        <x:f>'Evaluation Plan'!G11</x:f>
        <x:v>MOVE green block to bowl</x:v>
      </x:c>
      <x:c r="H11" s="13"/>
      <x:c r="I11" s="11" t="str">
        <x:f>'Evaluation Plan'!I11</x:f>
        <x:v>In-distribution concept baseline</x:v>
      </x:c>
      <x:c r="J11" s="11" t="str">
        <x:f>'Evaluation Plan'!J11</x:f>
        <x:v>SZ-ID-GB03</x:v>
      </x:c>
      <x:c r="K11" s="11" t="str">
        <x:f>'Evaluation Plan'!K11</x:f>
        <x:v>smallest</x:v>
      </x:c>
      <x:c r="L11" s="11" t="str">
        <x:f>'Evaluation Plan'!L11</x:f>
        <x:v>Explicitly trained smallest × green block</x:v>
      </x:c>
      <x:c r="M11" s="11" t="str">
        <x:f>'Evaluation Plan'!M11</x:f>
        <x:v>green block</x:v>
      </x:c>
      <x:c r="N11" s="11" t="str">
        <x:f>'Evaluation Plan'!N11</x:f>
        <x:v>Right</x:v>
      </x:c>
      <x:c r="O11" s="11" t="n">
        <x:f>'Evaluation Plan'!O11</x:f>
        <x:v>3</x:v>
      </x:c>
      <x:c r="P11" s="11" t="n">
        <x:f>IF(ISBLANK('Evaluation Plan'!P11),"",'Evaluation Plan'!P11)</x:f>
        <x:v>8</x:v>
      </x:c>
      <x:c r="Q11" s="11" t="str">
        <x:f>'Evaluation Plan'!Q11</x:f>
        <x:v>Build the listed manifest-supported scene.</x:v>
      </x:c>
      <x:c r="R11" s="12" t="str">
        <x:f>'Evaluation Plan'!R11</x:f>
        <x:v>Exact prompt and object composition from training episode 1052; this establishes the familiar smallest × green block cell.</x:v>
      </x:c>
      <x:c r="S11" s="14" t="str">
        <x:f>IF(ISBLANK('Evaluation Plan'!S11),"",'Evaluation Plan'!S11)</x:f>
      </x:c>
      <x:c r="T11" s="15"/>
      <x:c r="U11" s="15"/>
      <x:c r="V11" s="15"/>
      <x:c r="W11" s="15"/>
      <x:c r="X11" s="15"/>
      <x:c r="Y11" s="15"/>
      <x:c r="Z11" s="15"/>
    </x:row>
    <x:row r="12" ht="67.5" customHeight="1">
      <x:c r="A12" s="10" t="s">
        <x:v>591</x:v>
      </x:c>
      <x:c r="B12" s="11" t="n">
        <x:f>'Evaluation Plan'!B12</x:f>
        <x:v>10</x:v>
      </x:c>
      <x:c r="C12" s="12" t="str">
        <x:f>'Evaluation Plan'!C12</x:f>
        <x:v>Pick up the largest item and place it in the bowl.</x:v>
      </x:c>
      <x:c r="D12" s="12" t="str">
        <x:f>'Evaluation Plan'!D12</x:f>
        <x:v>Bowl: empty. Table, robot-left→robot-right: P1 juggling ball; P2 red pencil sharpener; P3 green block. Adjacent centers 12 cm apart; row shifted 4 cm away from the robot; all objects fully visible and grasp paths clear.</x:v>
      </x:c>
      <x:c r="E12" s="13" t="str">
        <x:f>IF(ISBLANK('Evaluation Plan'!E12),"",'Evaluation Plan'!E12)</x:f>
      </x:c>
      <x:c r="F12" s="11" t="str">
        <x:f>'Evaluation Plan'!F12</x:f>
        <x:v>1127</x:v>
      </x:c>
      <x:c r="G12" s="11" t="str">
        <x:f>'Evaluation Plan'!G12</x:f>
        <x:v>MOVE juggling ball to bowl</x:v>
      </x:c>
      <x:c r="H12" s="13"/>
      <x:c r="I12" s="11" t="str">
        <x:f>'Evaluation Plan'!I12</x:f>
        <x:v>In-distribution concept baseline</x:v>
      </x:c>
      <x:c r="J12" s="11" t="str">
        <x:f>'Evaluation Plan'!J12</x:f>
        <x:v>SZ-ID-JB03</x:v>
      </x:c>
      <x:c r="K12" s="11" t="str">
        <x:f>'Evaluation Plan'!K12</x:f>
        <x:v>largest</x:v>
      </x:c>
      <x:c r="L12" s="11" t="str">
        <x:f>'Evaluation Plan'!L12</x:f>
        <x:v>Explicitly trained largest × juggling ball</x:v>
      </x:c>
      <x:c r="M12" s="11" t="str">
        <x:f>'Evaluation Plan'!M12</x:f>
        <x:v>juggling ball</x:v>
      </x:c>
      <x:c r="N12" s="11" t="str">
        <x:f>'Evaluation Plan'!N12</x:f>
        <x:v>Left</x:v>
      </x:c>
      <x:c r="O12" s="11" t="n">
        <x:f>'Evaluation Plan'!O12</x:f>
        <x:v>3</x:v>
      </x:c>
      <x:c r="P12" s="11" t="n">
        <x:f>IF(ISBLANK('Evaluation Plan'!P12),"",'Evaluation Plan'!P12)</x:f>
        <x:v>12</x:v>
      </x:c>
      <x:c r="Q12" s="11" t="str">
        <x:f>'Evaluation Plan'!Q12</x:f>
        <x:v>Build the listed manifest-supported scene.</x:v>
      </x:c>
      <x:c r="R12" s="12" t="str">
        <x:f>'Evaluation Plan'!R12</x:f>
        <x:v>Exact prompt and object composition from training episode 1127; this establishes the familiar largest × juggling ball cell.</x:v>
      </x:c>
      <x:c r="S12" s="14" t="str">
        <x:f>IF(ISBLANK('Evaluation Plan'!S12),"",'Evaluation Plan'!S12)</x:f>
      </x:c>
      <x:c r="T12" s="15"/>
      <x:c r="U12" s="15"/>
      <x:c r="V12" s="15"/>
      <x:c r="W12" s="15"/>
      <x:c r="X12" s="15"/>
      <x:c r="Y12" s="15"/>
      <x:c r="Z12" s="15"/>
    </x:row>
    <x:row r="13" ht="67.5" customHeight="1">
      <x:c r="A13" s="10" t="s">
        <x:v>591</x:v>
      </x:c>
      <x:c r="B13" s="11" t="n">
        <x:f>'Evaluation Plan'!B13</x:f>
        <x:v>11</x:v>
      </x:c>
      <x:c r="C13" s="12" t="str">
        <x:f>'Evaluation Plan'!C13</x:f>
        <x:v>Put the largest object in the bowl.</x:v>
      </x:c>
      <x:c r="D13" s="12" t="str">
        <x:f>'Evaluation Plan'!D13</x:f>
        <x:v>Bowl: empty. Table, robot-left→robot-right: P1 juggling ball; P2 red pencil sharpener; P3 green block; P4 crushed Pepsi can. Adjacent centers 16 cm apart; row centered on the workspace; all objects fully visible and grasp paths clear.</x:v>
      </x:c>
      <x:c r="E13" s="13" t="str">
        <x:f>IF(ISBLANK('Evaluation Plan'!E13),"",'Evaluation Plan'!E13)</x:f>
      </x:c>
      <x:c r="F13" s="11" t="str">
        <x:f>'Evaluation Plan'!F13</x:f>
        <x:v>1157</x:v>
      </x:c>
      <x:c r="G13" s="11" t="str">
        <x:f>'Evaluation Plan'!G13</x:f>
        <x:v>MOVE crushed Pepsi can to bowl</x:v>
      </x:c>
      <x:c r="H13" s="13"/>
      <x:c r="I13" s="11" t="str">
        <x:f>'Evaluation Plan'!I13</x:f>
        <x:v>In-distribution concept baseline</x:v>
      </x:c>
      <x:c r="J13" s="11" t="str">
        <x:f>'Evaluation Plan'!J13</x:f>
        <x:v>SZ-ID-PC03</x:v>
      </x:c>
      <x:c r="K13" s="11" t="str">
        <x:f>'Evaluation Plan'!K13</x:f>
        <x:v>largest</x:v>
      </x:c>
      <x:c r="L13" s="11" t="str">
        <x:f>'Evaluation Plan'!L13</x:f>
        <x:v>Explicitly trained largest × crushed Pepsi can</x:v>
      </x:c>
      <x:c r="M13" s="11" t="str">
        <x:f>'Evaluation Plan'!M13</x:f>
        <x:v>crushed Pepsi can</x:v>
      </x:c>
      <x:c r="N13" s="11" t="str">
        <x:f>'Evaluation Plan'!N13</x:f>
        <x:v>Right</x:v>
      </x:c>
      <x:c r="O13" s="11" t="n">
        <x:f>'Evaluation Plan'!O13</x:f>
        <x:v>4</x:v>
      </x:c>
      <x:c r="P13" s="11" t="n">
        <x:f>IF(ISBLANK('Evaluation Plan'!P13),"",'Evaluation Plan'!P13)</x:f>
        <x:v>16</x:v>
      </x:c>
      <x:c r="Q13" s="11" t="str">
        <x:f>'Evaluation Plan'!Q13</x:f>
        <x:v>Build the listed manifest-supported scene.</x:v>
      </x:c>
      <x:c r="R13" s="12" t="str">
        <x:f>'Evaluation Plan'!R13</x:f>
        <x:v>Exact prompt and object composition from training episode 1157; this establishes the familiar largest × crushed Pepsi can cell.</x:v>
      </x:c>
      <x:c r="S13" s="14" t="str">
        <x:f>IF(ISBLANK('Evaluation Plan'!S13),"",'Evaluation Plan'!S13)</x:f>
      </x:c>
      <x:c r="T13" s="15"/>
      <x:c r="U13" s="15"/>
      <x:c r="V13" s="15"/>
      <x:c r="W13" s="15"/>
      <x:c r="X13" s="15"/>
      <x:c r="Y13" s="15"/>
      <x:c r="Z13" s="15"/>
    </x:row>
    <x:row r="14" ht="67.5" customHeight="1">
      <x:c r="A14" s="10" t="s">
        <x:v>591</x:v>
      </x:c>
      <x:c r="B14" s="11" t="n">
        <x:f>'Evaluation Plan'!B14</x:f>
        <x:v>12</x:v>
      </x:c>
      <x:c r="C14" s="12" t="str">
        <x:f>'Evaluation Plan'!C14</x:f>
        <x:v>Put the smallest object in the bowl.</x:v>
      </x:c>
      <x:c r="D14" s="12" t="str">
        <x:f>'Evaluation Plan'!D14</x:f>
        <x:v>Bowl: empty. Table, robot-left→robot-right: P1 green block; P2 juggling ball; P3 crushed Pepsi can; P4 red pencil sharpener. Adjacent centers 8 cm apart; row shifted 4 cm toward the robot; all objects fully visible and grasp paths clear.</x:v>
      </x:c>
      <x:c r="E14" s="13"/>
      <x:c r="F14" s="11" t="str">
        <x:f>'Evaluation Plan'!F14</x:f>
        <x:v>1008</x:v>
      </x:c>
      <x:c r="G14" s="11" t="str">
        <x:f>'Evaluation Plan'!G14</x:f>
        <x:v>MOVE red pencil sharpener to bowl</x:v>
      </x:c>
      <x:c r="H14" s="12" t="s">
        <x:v>695</x:v>
      </x:c>
      <x:c r="I14" s="11" t="str">
        <x:f>'Evaluation Plan'!I14</x:f>
        <x:v>In-distribution concept baseline</x:v>
      </x:c>
      <x:c r="J14" s="11" t="str">
        <x:f>'Evaluation Plan'!J14</x:f>
        <x:v>SZ-ID-SH04</x:v>
      </x:c>
      <x:c r="K14" s="11" t="str">
        <x:f>'Evaluation Plan'!K14</x:f>
        <x:v>smallest</x:v>
      </x:c>
      <x:c r="L14" s="11" t="str">
        <x:f>'Evaluation Plan'!L14</x:f>
        <x:v>Explicitly trained smallest × red pencil sharpener</x:v>
      </x:c>
      <x:c r="M14" s="11" t="str">
        <x:f>'Evaluation Plan'!M14</x:f>
        <x:v>red pencil sharpener</x:v>
      </x:c>
      <x:c r="N14" s="11" t="str">
        <x:f>'Evaluation Plan'!N14</x:f>
        <x:v>Right</x:v>
      </x:c>
      <x:c r="O14" s="11" t="n">
        <x:f>'Evaluation Plan'!O14</x:f>
        <x:v>4</x:v>
      </x:c>
      <x:c r="P14" s="11" t="n">
        <x:f>IF(ISBLANK('Evaluation Plan'!P14),"",'Evaluation Plan'!P14)</x:f>
        <x:v>8</x:v>
      </x:c>
      <x:c r="Q14" s="11" t="str">
        <x:f>'Evaluation Plan'!Q14</x:f>
        <x:v>Build the listed manifest-supported scene.</x:v>
      </x:c>
      <x:c r="R14" s="12" t="str">
        <x:f>'Evaluation Plan'!R14</x:f>
        <x:v>Exact prompt and object composition from training episode 1008; this establishes the familiar smallest × red pencil sharpener cell.</x:v>
      </x:c>
      <x:c r="S14" s="14" t="str">
        <x:f>IF(ISBLANK('Evaluation Plan'!S14),"",'Evaluation Plan'!S14)</x:f>
      </x:c>
      <x:c r="T14" s="15"/>
      <x:c r="U14" s="15"/>
      <x:c r="V14" s="15"/>
      <x:c r="W14" s="15"/>
      <x:c r="X14" s="15"/>
      <x:c r="Y14" s="15"/>
      <x:c r="Z14" s="15"/>
    </x:row>
    <x:row r="15" ht="67.5" customHeight="1">
      <x:c r="A15" s="10" t="s">
        <x:v>591</x:v>
      </x:c>
      <x:c r="B15" s="11" t="n">
        <x:f>'Evaluation Plan'!B15</x:f>
        <x:v>13</x:v>
      </x:c>
      <x:c r="C15" s="12" t="str">
        <x:f>'Evaluation Plan'!C15</x:f>
        <x:v>Put the smallest object in the bowl.</x:v>
      </x:c>
      <x:c r="D15" s="12" t="str">
        <x:f>'Evaluation Plan'!D15</x:f>
        <x:v>Bowl: empty. Table, robot-left→robot-right: P1 green block; P2 juggling ball; P3 crushed Pepsi can. Adjacent centers 12 cm apart; row shifted 4 cm away from the robot; all objects fully visible and grasp paths clear.</x:v>
      </x:c>
      <x:c r="E15" s="13" t="str">
        <x:f>IF(ISBLANK('Evaluation Plan'!E15),"",'Evaluation Plan'!E15)</x:f>
      </x:c>
      <x:c r="F15" s="11" t="str">
        <x:f>'Evaluation Plan'!F15</x:f>
        <x:v>1053</x:v>
      </x:c>
      <x:c r="G15" s="11" t="str">
        <x:f>'Evaluation Plan'!G15</x:f>
        <x:v>MOVE green block to bowl</x:v>
      </x:c>
      <x:c r="H15" s="13"/>
      <x:c r="I15" s="11" t="str">
        <x:f>'Evaluation Plan'!I15</x:f>
        <x:v>In-distribution concept baseline</x:v>
      </x:c>
      <x:c r="J15" s="11" t="str">
        <x:f>'Evaluation Plan'!J15</x:f>
        <x:v>SZ-ID-GB04</x:v>
      </x:c>
      <x:c r="K15" s="11" t="str">
        <x:f>'Evaluation Plan'!K15</x:f>
        <x:v>smallest</x:v>
      </x:c>
      <x:c r="L15" s="11" t="str">
        <x:f>'Evaluation Plan'!L15</x:f>
        <x:v>Explicitly trained smallest × green block</x:v>
      </x:c>
      <x:c r="M15" s="11" t="str">
        <x:f>'Evaluation Plan'!M15</x:f>
        <x:v>green block</x:v>
      </x:c>
      <x:c r="N15" s="11" t="str">
        <x:f>'Evaluation Plan'!N15</x:f>
        <x:v>Left</x:v>
      </x:c>
      <x:c r="O15" s="11" t="n">
        <x:f>'Evaluation Plan'!O15</x:f>
        <x:v>3</x:v>
      </x:c>
      <x:c r="P15" s="11" t="n">
        <x:f>IF(ISBLANK('Evaluation Plan'!P15),"",'Evaluation Plan'!P15)</x:f>
        <x:v>12</x:v>
      </x:c>
      <x:c r="Q15" s="11" t="str">
        <x:f>'Evaluation Plan'!Q15</x:f>
        <x:v>Build the listed manifest-supported scene.</x:v>
      </x:c>
      <x:c r="R15" s="12" t="str">
        <x:f>'Evaluation Plan'!R15</x:f>
        <x:v>Exact prompt and object composition from training episode 1053; this establishes the familiar smallest × green block cell.</x:v>
      </x:c>
      <x:c r="S15" s="14" t="str">
        <x:f>IF(ISBLANK('Evaluation Plan'!S15),"",'Evaluation Plan'!S15)</x:f>
      </x:c>
      <x:c r="T15" s="15"/>
      <x:c r="U15" s="15"/>
      <x:c r="V15" s="15"/>
      <x:c r="W15" s="15"/>
      <x:c r="X15" s="15"/>
      <x:c r="Y15" s="15"/>
      <x:c r="Z15" s="15"/>
    </x:row>
    <x:row r="16" ht="67.5" customHeight="1">
      <x:c r="A16" s="10" t="s">
        <x:v>591</x:v>
      </x:c>
      <x:c r="B16" s="11" t="n">
        <x:f>'Evaluation Plan'!B16</x:f>
        <x:v>14</x:v>
      </x:c>
      <x:c r="C16" s="12" t="str">
        <x:f>'Evaluation Plan'!C16</x:f>
        <x:v>Pick up the largest item and place it in the bowl.</x:v>
      </x:c>
      <x:c r="D16" s="12" t="str">
        <x:f>'Evaluation Plan'!D16</x:f>
        <x:v>Bowl: empty. Table, robot-left→robot-right: P1 green block; P2 red pencil sharpener; P3 juggling ball. Adjacent centers 16 cm apart; row centered on the workspace; all objects fully visible and grasp paths clear.</x:v>
      </x:c>
      <x:c r="E16" s="13" t="str">
        <x:f>IF(ISBLANK('Evaluation Plan'!E16),"",'Evaluation Plan'!E16)</x:f>
      </x:c>
      <x:c r="F16" s="11" t="str">
        <x:f>'Evaluation Plan'!F16</x:f>
        <x:v>1128</x:v>
      </x:c>
      <x:c r="G16" s="11" t="str">
        <x:f>'Evaluation Plan'!G16</x:f>
        <x:v>MOVE juggling ball to bowl</x:v>
      </x:c>
      <x:c r="H16" s="13"/>
      <x:c r="I16" s="11" t="str">
        <x:f>'Evaluation Plan'!I16</x:f>
        <x:v>In-distribution concept baseline</x:v>
      </x:c>
      <x:c r="J16" s="11" t="str">
        <x:f>'Evaluation Plan'!J16</x:f>
        <x:v>SZ-ID-JB04</x:v>
      </x:c>
      <x:c r="K16" s="11" t="str">
        <x:f>'Evaluation Plan'!K16</x:f>
        <x:v>largest</x:v>
      </x:c>
      <x:c r="L16" s="11" t="str">
        <x:f>'Evaluation Plan'!L16</x:f>
        <x:v>Explicitly trained largest × juggling ball</x:v>
      </x:c>
      <x:c r="M16" s="11" t="str">
        <x:f>'Evaluation Plan'!M16</x:f>
        <x:v>juggling ball</x:v>
      </x:c>
      <x:c r="N16" s="11" t="str">
        <x:f>'Evaluation Plan'!N16</x:f>
        <x:v>Right</x:v>
      </x:c>
      <x:c r="O16" s="11" t="n">
        <x:f>'Evaluation Plan'!O16</x:f>
        <x:v>3</x:v>
      </x:c>
      <x:c r="P16" s="11" t="n">
        <x:f>IF(ISBLANK('Evaluation Plan'!P16),"",'Evaluation Plan'!P16)</x:f>
        <x:v>16</x:v>
      </x:c>
      <x:c r="Q16" s="11" t="str">
        <x:f>'Evaluation Plan'!Q16</x:f>
        <x:v>Build the listed manifest-supported scene.</x:v>
      </x:c>
      <x:c r="R16" s="12" t="str">
        <x:f>'Evaluation Plan'!R16</x:f>
        <x:v>Exact prompt and object composition from training episode 1128; this establishes the familiar largest × juggling ball cell.</x:v>
      </x:c>
      <x:c r="S16" s="14" t="str">
        <x:f>IF(ISBLANK('Evaluation Plan'!S16),"",'Evaluation Plan'!S16)</x:f>
      </x:c>
      <x:c r="T16" s="15"/>
      <x:c r="U16" s="15"/>
      <x:c r="V16" s="15"/>
      <x:c r="W16" s="15"/>
      <x:c r="X16" s="15"/>
      <x:c r="Y16" s="15"/>
      <x:c r="Z16" s="15"/>
    </x:row>
    <x:row r="17" ht="67.5" customHeight="1">
      <x:c r="A17" s="10" t="s">
        <x:v>591</x:v>
      </x:c>
      <x:c r="B17" s="11" t="n">
        <x:f>'Evaluation Plan'!B17</x:f>
        <x:v>15</x:v>
      </x:c>
      <x:c r="C17" s="12" t="str">
        <x:f>'Evaluation Plan'!C17</x:f>
        <x:v>Put the largest object in the bowl.</x:v>
      </x:c>
      <x:c r="D17" s="12" t="str">
        <x:f>'Evaluation Plan'!D17</x:f>
        <x:v>Bowl: empty. Table, robot-left→robot-right: P1 crushed Pepsi can; P2 red pencil sharpener; P3 green block; P4 juggling ball. Adjacent centers 8 cm apart; row shifted 4 cm toward robot-left; all objects fully visible and grasp paths clear.</x:v>
      </x:c>
      <x:c r="E17" s="13" t="str">
        <x:f>IF(ISBLANK('Evaluation Plan'!E17),"",'Evaluation Plan'!E17)</x:f>
      </x:c>
      <x:c r="F17" s="11" t="str">
        <x:f>'Evaluation Plan'!F17</x:f>
        <x:v>1158</x:v>
      </x:c>
      <x:c r="G17" s="11" t="str">
        <x:f>'Evaluation Plan'!G17</x:f>
        <x:v>MOVE crushed Pepsi can to bowl</x:v>
      </x:c>
      <x:c r="H17" s="13"/>
      <x:c r="I17" s="11" t="str">
        <x:f>'Evaluation Plan'!I17</x:f>
        <x:v>In-distribution concept baseline</x:v>
      </x:c>
      <x:c r="J17" s="11" t="str">
        <x:f>'Evaluation Plan'!J17</x:f>
        <x:v>SZ-ID-PC04</x:v>
      </x:c>
      <x:c r="K17" s="11" t="str">
        <x:f>'Evaluation Plan'!K17</x:f>
        <x:v>largest</x:v>
      </x:c>
      <x:c r="L17" s="11" t="str">
        <x:f>'Evaluation Plan'!L17</x:f>
        <x:v>Explicitly trained largest × crushed Pepsi can</x:v>
      </x:c>
      <x:c r="M17" s="11" t="str">
        <x:f>'Evaluation Plan'!M17</x:f>
        <x:v>crushed Pepsi can</x:v>
      </x:c>
      <x:c r="N17" s="11" t="str">
        <x:f>'Evaluation Plan'!N17</x:f>
        <x:v>Left</x:v>
      </x:c>
      <x:c r="O17" s="11" t="n">
        <x:f>'Evaluation Plan'!O17</x:f>
        <x:v>4</x:v>
      </x:c>
      <x:c r="P17" s="11" t="n">
        <x:f>IF(ISBLANK('Evaluation Plan'!P17),"",'Evaluation Plan'!P17)</x:f>
        <x:v>8</x:v>
      </x:c>
      <x:c r="Q17" s="11" t="str">
        <x:f>'Evaluation Plan'!Q17</x:f>
        <x:v>Build the listed manifest-supported scene.</x:v>
      </x:c>
      <x:c r="R17" s="12" t="str">
        <x:f>'Evaluation Plan'!R17</x:f>
        <x:v>Exact prompt and object composition from training episode 1158; this establishes the familiar largest × crushed Pepsi can cell.</x:v>
      </x:c>
      <x:c r="S17" s="14" t="str">
        <x:f>IF(ISBLANK('Evaluation Plan'!S17),"",'Evaluation Plan'!S17)</x:f>
      </x:c>
      <x:c r="T17" s="15"/>
      <x:c r="U17" s="15"/>
      <x:c r="V17" s="15"/>
      <x:c r="W17" s="15"/>
      <x:c r="X17" s="15"/>
      <x:c r="Y17" s="15"/>
      <x:c r="Z17" s="15"/>
    </x:row>
    <x:row r="18" ht="67.5" customHeight="1">
      <x:c r="A18" s="10" t="s">
        <x:v>591</x:v>
      </x:c>
      <x:c r="B18" s="11" t="n">
        <x:f>'Evaluation Plan'!B18</x:f>
        <x:v>16</x:v>
      </x:c>
      <x:c r="C18" s="12" t="str">
        <x:f>'Evaluation Plan'!C18</x:f>
        <x:v>Move the object that is smallest into the bowl.</x:v>
      </x:c>
      <x:c r="D18" s="12" t="str">
        <x:f>'Evaluation Plan'!D18</x:f>
        <x:v>Bowl: empty. Table, robot-left→robot-right: P1 red pencil sharpener; P2 juggling ball; P3 crushed Pepsi can; P4 green block. Adjacent centers 12 cm apart; row shifted 4 cm away from the robot; all objects fully visible and grasp paths clear.</x:v>
      </x:c>
      <x:c r="E18" s="13" t="str">
        <x:f>IF(ISBLANK('Evaluation Plan'!E18),"",'Evaluation Plan'!E18)</x:f>
      </x:c>
      <x:c r="F18" s="11" t="str">
        <x:f>'Evaluation Plan'!F18</x:f>
        <x:v>1009</x:v>
      </x:c>
      <x:c r="G18" s="11" t="str">
        <x:f>'Evaluation Plan'!G18</x:f>
        <x:v>MOVE red pencil sharpener to bowl</x:v>
      </x:c>
      <x:c r="H18" s="13"/>
      <x:c r="I18" s="11" t="str">
        <x:f>'Evaluation Plan'!I18</x:f>
        <x:v>In-distribution concept baseline</x:v>
      </x:c>
      <x:c r="J18" s="11" t="str">
        <x:f>'Evaluation Plan'!J18</x:f>
        <x:v>SZ-ID-SH05</x:v>
      </x:c>
      <x:c r="K18" s="11" t="str">
        <x:f>'Evaluation Plan'!K18</x:f>
        <x:v>smallest</x:v>
      </x:c>
      <x:c r="L18" s="11" t="str">
        <x:f>'Evaluation Plan'!L18</x:f>
        <x:v>Explicitly trained smallest × red pencil sharpener</x:v>
      </x:c>
      <x:c r="M18" s="11" t="str">
        <x:f>'Evaluation Plan'!M18</x:f>
        <x:v>red pencil sharpener</x:v>
      </x:c>
      <x:c r="N18" s="11" t="str">
        <x:f>'Evaluation Plan'!N18</x:f>
        <x:v>Left</x:v>
      </x:c>
      <x:c r="O18" s="11" t="n">
        <x:f>'Evaluation Plan'!O18</x:f>
        <x:v>4</x:v>
      </x:c>
      <x:c r="P18" s="11" t="n">
        <x:f>IF(ISBLANK('Evaluation Plan'!P18),"",'Evaluation Plan'!P18)</x:f>
        <x:v>12</x:v>
      </x:c>
      <x:c r="Q18" s="11" t="str">
        <x:f>'Evaluation Plan'!Q18</x:f>
        <x:v>Build the listed manifest-supported scene.</x:v>
      </x:c>
      <x:c r="R18" s="12" t="str">
        <x:f>'Evaluation Plan'!R18</x:f>
        <x:v>Exact prompt and object composition from training episode 1009; this establishes the familiar smallest × red pencil sharpener cell.</x:v>
      </x:c>
      <x:c r="S18" s="14" t="str">
        <x:f>IF(ISBLANK('Evaluation Plan'!S18),"",'Evaluation Plan'!S18)</x:f>
      </x:c>
      <x:c r="T18" s="15"/>
      <x:c r="U18" s="15"/>
      <x:c r="V18" s="15"/>
      <x:c r="W18" s="15"/>
      <x:c r="X18" s="15"/>
      <x:c r="Y18" s="15"/>
      <x:c r="Z18" s="15"/>
    </x:row>
    <x:row r="19" ht="67.5" customHeight="1">
      <x:c r="A19" s="10" t="s">
        <x:v>591</x:v>
      </x:c>
      <x:c r="B19" s="11" t="n">
        <x:f>'Evaluation Plan'!B19</x:f>
        <x:v>17</x:v>
      </x:c>
      <x:c r="C19" s="12" t="str">
        <x:f>'Evaluation Plan'!C19</x:f>
        <x:v>Put the smallest object in the bowl.</x:v>
      </x:c>
      <x:c r="D19" s="12" t="str">
        <x:f>'Evaluation Plan'!D19</x:f>
        <x:v>Bowl: empty. Table, robot-left→robot-right: P1 crushed Pepsi can; P2 juggling ball; P3 green block. Adjacent centers 16 cm apart; row centered on the workspace; all objects fully visible and grasp paths clear.</x:v>
      </x:c>
      <x:c r="E19" s="13" t="str">
        <x:f>IF(ISBLANK('Evaluation Plan'!E19),"",'Evaluation Plan'!E19)</x:f>
      </x:c>
      <x:c r="F19" s="11" t="str">
        <x:f>'Evaluation Plan'!F19</x:f>
        <x:v>1054</x:v>
      </x:c>
      <x:c r="G19" s="11" t="str">
        <x:f>'Evaluation Plan'!G19</x:f>
        <x:v>MOVE green block to bowl</x:v>
      </x:c>
      <x:c r="H19" s="13"/>
      <x:c r="I19" s="11" t="str">
        <x:f>'Evaluation Plan'!I19</x:f>
        <x:v>In-distribution concept baseline</x:v>
      </x:c>
      <x:c r="J19" s="11" t="str">
        <x:f>'Evaluation Plan'!J19</x:f>
        <x:v>SZ-ID-GB05</x:v>
      </x:c>
      <x:c r="K19" s="11" t="str">
        <x:f>'Evaluation Plan'!K19</x:f>
        <x:v>smallest</x:v>
      </x:c>
      <x:c r="L19" s="11" t="str">
        <x:f>'Evaluation Plan'!L19</x:f>
        <x:v>Explicitly trained smallest × green block</x:v>
      </x:c>
      <x:c r="M19" s="11" t="str">
        <x:f>'Evaluation Plan'!M19</x:f>
        <x:v>green block</x:v>
      </x:c>
      <x:c r="N19" s="11" t="str">
        <x:f>'Evaluation Plan'!N19</x:f>
        <x:v>Right</x:v>
      </x:c>
      <x:c r="O19" s="11" t="n">
        <x:f>'Evaluation Plan'!O19</x:f>
        <x:v>3</x:v>
      </x:c>
      <x:c r="P19" s="11" t="n">
        <x:f>IF(ISBLANK('Evaluation Plan'!P19),"",'Evaluation Plan'!P19)</x:f>
        <x:v>16</x:v>
      </x:c>
      <x:c r="Q19" s="11" t="str">
        <x:f>'Evaluation Plan'!Q19</x:f>
        <x:v>Build the listed manifest-supported scene.</x:v>
      </x:c>
      <x:c r="R19" s="12" t="str">
        <x:f>'Evaluation Plan'!R19</x:f>
        <x:v>Exact prompt and object composition from training episode 1054; this establishes the familiar smallest × green block cell.</x:v>
      </x:c>
      <x:c r="S19" s="14" t="str">
        <x:f>IF(ISBLANK('Evaluation Plan'!S19),"",'Evaluation Plan'!S19)</x:f>
      </x:c>
      <x:c r="T19" s="15"/>
      <x:c r="U19" s="15"/>
      <x:c r="V19" s="15"/>
      <x:c r="W19" s="15"/>
      <x:c r="X19" s="15"/>
      <x:c r="Y19" s="15"/>
      <x:c r="Z19" s="15"/>
    </x:row>
    <x:row r="20" ht="67.5" customHeight="1">
      <x:c r="A20" s="10" t="s">
        <x:v>591</x:v>
      </x:c>
      <x:c r="B20" s="11" t="n">
        <x:f>'Evaluation Plan'!B20</x:f>
        <x:v>18</x:v>
      </x:c>
      <x:c r="C20" s="12" t="str">
        <x:f>'Evaluation Plan'!C20</x:f>
        <x:v>Put the largest object in the bowl.</x:v>
      </x:c>
      <x:c r="D20" s="12" t="str">
        <x:f>'Evaluation Plan'!D20</x:f>
        <x:v>Bowl: empty. Table, robot-left→robot-right: P1 juggling ball; P2 red pencil sharpener; P3 green block. Adjacent centers 8 cm apart; row shifted 4 cm toward robot-left; all objects fully visible and grasp paths clear.</x:v>
      </x:c>
      <x:c r="E20" s="13" t="str">
        <x:f>IF(ISBLANK('Evaluation Plan'!E20),"",'Evaluation Plan'!E20)</x:f>
      </x:c>
      <x:c r="F20" s="11" t="str">
        <x:f>'Evaluation Plan'!F20</x:f>
        <x:v>1129</x:v>
      </x:c>
      <x:c r="G20" s="11" t="str">
        <x:f>'Evaluation Plan'!G20</x:f>
        <x:v>MOVE juggling ball to bowl</x:v>
      </x:c>
      <x:c r="H20" s="13"/>
      <x:c r="I20" s="11" t="str">
        <x:f>'Evaluation Plan'!I20</x:f>
        <x:v>In-distribution concept baseline</x:v>
      </x:c>
      <x:c r="J20" s="11" t="str">
        <x:f>'Evaluation Plan'!J20</x:f>
        <x:v>SZ-ID-JB05</x:v>
      </x:c>
      <x:c r="K20" s="11" t="str">
        <x:f>'Evaluation Plan'!K20</x:f>
        <x:v>largest</x:v>
      </x:c>
      <x:c r="L20" s="11" t="str">
        <x:f>'Evaluation Plan'!L20</x:f>
        <x:v>Explicitly trained largest × juggling ball</x:v>
      </x:c>
      <x:c r="M20" s="11" t="str">
        <x:f>'Evaluation Plan'!M20</x:f>
        <x:v>juggling ball</x:v>
      </x:c>
      <x:c r="N20" s="11" t="str">
        <x:f>'Evaluation Plan'!N20</x:f>
        <x:v>Left</x:v>
      </x:c>
      <x:c r="O20" s="11" t="n">
        <x:f>'Evaluation Plan'!O20</x:f>
        <x:v>3</x:v>
      </x:c>
      <x:c r="P20" s="11" t="n">
        <x:f>IF(ISBLANK('Evaluation Plan'!P20),"",'Evaluation Plan'!P20)</x:f>
        <x:v>8</x:v>
      </x:c>
      <x:c r="Q20" s="11" t="str">
        <x:f>'Evaluation Plan'!Q20</x:f>
        <x:v>Build the listed manifest-supported scene.</x:v>
      </x:c>
      <x:c r="R20" s="12" t="str">
        <x:f>'Evaluation Plan'!R20</x:f>
        <x:v>Exact prompt and object composition from training episode 1129; this establishes the familiar largest × juggling ball cell.</x:v>
      </x:c>
      <x:c r="S20" s="14" t="str">
        <x:f>IF(ISBLANK('Evaluation Plan'!S20),"",'Evaluation Plan'!S20)</x:f>
      </x:c>
      <x:c r="T20" s="15"/>
      <x:c r="U20" s="15"/>
      <x:c r="V20" s="15"/>
      <x:c r="W20" s="15"/>
      <x:c r="X20" s="15"/>
      <x:c r="Y20" s="15"/>
      <x:c r="Z20" s="15"/>
    </x:row>
    <x:row r="21" ht="67.5" customHeight="1">
      <x:c r="A21" s="10" t="s">
        <x:v>591</x:v>
      </x:c>
      <x:c r="B21" s="11" t="n">
        <x:f>'Evaluation Plan'!B21</x:f>
        <x:v>19</x:v>
      </x:c>
      <x:c r="C21" s="12" t="str">
        <x:f>'Evaluation Plan'!C21</x:f>
        <x:v>Move the object that is largest into the bowl.</x:v>
      </x:c>
      <x:c r="D21" s="12" t="str">
        <x:f>'Evaluation Plan'!D21</x:f>
        <x:v>Bowl: empty. Table, robot-left→robot-right: P1 green block; P2 juggling ball; P3 red pencil sharpener; P4 crushed Pepsi can. Adjacent centers 12 cm apart; row shifted 4 cm toward robot-right; all objects fully visible and grasp paths clear.</x:v>
      </x:c>
      <x:c r="E21" s="13" t="str">
        <x:f>IF(ISBLANK('Evaluation Plan'!E21),"",'Evaluation Plan'!E21)</x:f>
      </x:c>
      <x:c r="F21" s="11" t="str">
        <x:f>'Evaluation Plan'!F21</x:f>
        <x:v>1159</x:v>
      </x:c>
      <x:c r="G21" s="11" t="str">
        <x:f>'Evaluation Plan'!G21</x:f>
        <x:v>MOVE crushed Pepsi can to bowl</x:v>
      </x:c>
      <x:c r="H21" s="13"/>
      <x:c r="I21" s="11" t="str">
        <x:f>'Evaluation Plan'!I21</x:f>
        <x:v>In-distribution concept baseline</x:v>
      </x:c>
      <x:c r="J21" s="11" t="str">
        <x:f>'Evaluation Plan'!J21</x:f>
        <x:v>SZ-ID-PC05</x:v>
      </x:c>
      <x:c r="K21" s="11" t="str">
        <x:f>'Evaluation Plan'!K21</x:f>
        <x:v>largest</x:v>
      </x:c>
      <x:c r="L21" s="11" t="str">
        <x:f>'Evaluation Plan'!L21</x:f>
        <x:v>Explicitly trained largest × crushed Pepsi can</x:v>
      </x:c>
      <x:c r="M21" s="11" t="str">
        <x:f>'Evaluation Plan'!M21</x:f>
        <x:v>crushed Pepsi can</x:v>
      </x:c>
      <x:c r="N21" s="11" t="str">
        <x:f>'Evaluation Plan'!N21</x:f>
        <x:v>Right</x:v>
      </x:c>
      <x:c r="O21" s="11" t="n">
        <x:f>'Evaluation Plan'!O21</x:f>
        <x:v>4</x:v>
      </x:c>
      <x:c r="P21" s="11" t="n">
        <x:f>IF(ISBLANK('Evaluation Plan'!P21),"",'Evaluation Plan'!P21)</x:f>
        <x:v>12</x:v>
      </x:c>
      <x:c r="Q21" s="11" t="str">
        <x:f>'Evaluation Plan'!Q21</x:f>
        <x:v>Build the listed manifest-supported scene.</x:v>
      </x:c>
      <x:c r="R21" s="12" t="str">
        <x:f>'Evaluation Plan'!R21</x:f>
        <x:v>Exact prompt and object composition from training episode 1159; this establishes the familiar largest × crushed Pepsi can cell.</x:v>
      </x:c>
      <x:c r="S21" s="14" t="str">
        <x:f>IF(ISBLANK('Evaluation Plan'!S21),"",'Evaluation Plan'!S21)</x:f>
      </x:c>
      <x:c r="T21" s="15"/>
      <x:c r="U21" s="15"/>
      <x:c r="V21" s="15"/>
      <x:c r="W21" s="15"/>
      <x:c r="X21" s="15"/>
      <x:c r="Y21" s="15"/>
      <x:c r="Z21" s="15"/>
    </x:row>
    <x:row r="22" ht="67.5" customHeight="1">
      <x:c r="A22" s="10" t="s">
        <x:v>591</x:v>
      </x:c>
      <x:c r="B22" s="11" t="n">
        <x:f>'Evaluation Plan'!B22</x:f>
        <x:v>20</x:v>
      </x:c>
      <x:c r="C22" s="12" t="str">
        <x:f>'Evaluation Plan'!C22</x:f>
        <x:v>Move the object that is largest into the bowl.</x:v>
      </x:c>
      <x:c r="D22" s="12" t="str">
        <x:f>'Evaluation Plan'!D22</x:f>
        <x:v>Bowl: empty. Table, robot-left→robot-right: P1 green block; P2 red pencil sharpener. Adjacent centers 8 cm apart; row centered on the workspace; all objects fully visible and grasp paths clear.</x:v>
      </x:c>
      <x:c r="E22" s="13" t="str">
        <x:f>IF(ISBLANK('Evaluation Plan'!E22),"",'Evaluation Plan'!E22)</x:f>
      </x:c>
      <x:c r="F22" s="11" t="str">
        <x:f>'Evaluation Plan'!F22</x:f>
        <x:v>1080</x:v>
      </x:c>
      <x:c r="G22" s="11" t="str">
        <x:f>'Evaluation Plan'!G22</x:f>
        <x:v>MOVE green block to bowl</x:v>
      </x:c>
      <x:c r="H22" s="13"/>
      <x:c r="I22" s="11" t="str">
        <x:f>'Evaluation Plan'!I22</x:f>
        <x:v>Concept/compositional transfer</x:v>
      </x:c>
      <x:c r="J22" s="11" t="str">
        <x:f>'Evaluation Plan'!J22</x:f>
        <x:v>SZ-CT-LG01</x:v>
      </x:c>
      <x:c r="K22" s="11" t="str">
        <x:f>'Evaluation Plan'!K22</x:f>
        <x:v>largest</x:v>
      </x:c>
      <x:c r="L22" s="11" t="str">
        <x:f>'Evaluation Plan'!L22</x:f>
        <x:v>Held-out largest × green block — Move</x:v>
      </x:c>
      <x:c r="M22" s="11" t="str">
        <x:f>'Evaluation Plan'!M22</x:f>
        <x:v>green block</x:v>
      </x:c>
      <x:c r="N22" s="11" t="str">
        <x:f>'Evaluation Plan'!N22</x:f>
        <x:v>Left</x:v>
      </x:c>
      <x:c r="O22" s="11" t="n">
        <x:f>'Evaluation Plan'!O22</x:f>
        <x:v>2</x:v>
      </x:c>
      <x:c r="P22" s="11" t="n">
        <x:f>IF(ISBLANK('Evaluation Plan'!P22),"",'Evaluation Plan'!P22)</x:f>
        <x:v>8</x:v>
      </x:c>
      <x:c r="Q22" s="11" t="str">
        <x:f>'Evaluation Plan'!Q22</x:f>
        <x:v>Build the listed two-object scene and save a first-frame filename.</x:v>
      </x:c>
      <x:c r="R22" s="12" t="str">
        <x:f>'Evaluation Plan'!R22</x:f>
        <x:v>Primary missing cell. Training episode 1080 contains the same target trajectory but masks the size word with a direct identity prompt.</x:v>
      </x:c>
      <x:c r="S22" s="14" t="str">
        <x:f>IF(ISBLANK('Evaluation Plan'!S22),"",'Evaluation Plan'!S22)</x:f>
      </x:c>
      <x:c r="T22" s="15"/>
      <x:c r="U22" s="15"/>
      <x:c r="V22" s="15"/>
      <x:c r="W22" s="15"/>
      <x:c r="X22" s="15"/>
      <x:c r="Y22" s="15"/>
      <x:c r="Z22" s="15"/>
    </x:row>
    <x:row r="23" ht="67.5" customHeight="1">
      <x:c r="A23" s="24" t="s">
        <x:v>591</x:v>
      </x:c>
      <x:c r="B23" s="25" t="n">
        <x:f>'Evaluation Plan'!B23</x:f>
        <x:v>21</x:v>
      </x:c>
      <x:c r="C23" s="26" t="str">
        <x:f>'Evaluation Plan'!C23</x:f>
        <x:v>Put the green block in the bowl.</x:v>
      </x:c>
      <x:c r="D23" s="26" t="str">
        <x:f>'Evaluation Plan'!D23</x:f>
        <x:v>Bowl: empty. Table, robot-left→robot-right: P1 green block; P2 red pencil sharpener. Adjacent centers 8 cm apart; row centered on the workspace; all objects fully visible and grasp paths clear.</x:v>
      </x:c>
      <x:c r="E23" s="25" t="n">
        <x:f>IF(ISBLANK('Evaluation Plan'!E23),"",'Evaluation Plan'!E23)</x:f>
        <x:v>20</x:v>
      </x:c>
      <x:c r="F23" s="25" t="str">
        <x:f>'Evaluation Plan'!F23</x:f>
        <x:v>1075</x:v>
      </x:c>
      <x:c r="G23" s="25" t="str">
        <x:f>'Evaluation Plan'!G23</x:f>
        <x:v>MOVE green block to bowl</x:v>
      </x:c>
      <x:c r="H23" s="27"/>
      <x:c r="I23" s="25" t="str">
        <x:f>'Evaluation Plan'!I23</x:f>
        <x:v>Matched manipulation control</x:v>
      </x:c>
      <x:c r="J23" s="25" t="str">
        <x:f>'Evaluation Plan'!J23</x:f>
        <x:v>SZ-CT-LG01</x:v>
      </x:c>
      <x:c r="K23" s="25" t="str">
        <x:f>'Evaluation Plan'!K23</x:f>
        <x:v>Direct</x:v>
      </x:c>
      <x:c r="L23" s="25" t="str">
        <x:f>'Evaluation Plan'!L23</x:f>
        <x:v>Same-scene direct target control</x:v>
      </x:c>
      <x:c r="M23" s="25" t="str">
        <x:f>'Evaluation Plan'!M23</x:f>
        <x:v>green block</x:v>
      </x:c>
      <x:c r="N23" s="25" t="str">
        <x:f>'Evaluation Plan'!N23</x:f>
        <x:v>Left</x:v>
      </x:c>
      <x:c r="O23" s="25" t="n">
        <x:f>'Evaluation Plan'!O23</x:f>
        <x:v>2</x:v>
      </x:c>
      <x:c r="P23" s="25" t="n">
        <x:f>IF(ISBLANK('Evaluation Plan'!P23),"",'Evaluation Plan'!P23)</x:f>
        <x:v>8</x:v>
      </x:c>
      <x:c r="Q23" s="25" t="str">
        <x:f>'Evaluation Plan'!Q23</x:f>
        <x:v>Reset the target to its original pose; change only the prompt.</x:v>
      </x:c>
      <x:c r="R23" s="26" t="str">
        <x:f>'Evaluation Plan'!R23</x:f>
        <x:v>Exact-scene control using a direct prompt supported by training episode 1075.</x:v>
      </x:c>
      <x:c r="S23" s="28" t="str">
        <x:f>IF(ISBLANK('Evaluation Plan'!S23),"",'Evaluation Plan'!S23)</x:f>
      </x:c>
      <x:c r="T23" s="15"/>
      <x:c r="U23" s="15"/>
      <x:c r="V23" s="15"/>
      <x:c r="W23" s="15"/>
      <x:c r="X23" s="15"/>
      <x:c r="Y23" s="15"/>
      <x:c r="Z23" s="15"/>
    </x:row>
    <x:row r="24" ht="67.5" customHeight="1">
      <x:c r="A24" s="24" t="s">
        <x:v>591</x:v>
      </x:c>
      <x:c r="B24" s="25" t="n">
        <x:f>'Evaluation Plan'!B24</x:f>
        <x:v>22</x:v>
      </x:c>
      <x:c r="C24" s="26" t="str">
        <x:f>'Evaluation Plan'!C24</x:f>
        <x:v>Choose the biggest item and move it into the bowl.</x:v>
      </x:c>
      <x:c r="D24" s="26" t="str">
        <x:f>'Evaluation Plan'!D24</x:f>
        <x:v>Bowl: empty. Table, robot-left→robot-right: P1 green block; P2 red pencil sharpener. Adjacent centers 8 cm apart; row centered on the workspace; all objects fully visible and grasp paths clear.</x:v>
      </x:c>
      <x:c r="E24" s="25" t="n">
        <x:f>IF(ISBLANK('Evaluation Plan'!E24),"",'Evaluation Plan'!E24)</x:f>
        <x:v>20</x:v>
      </x:c>
      <x:c r="F24" s="25" t="str">
        <x:f>'Evaluation Plan'!F24</x:f>
        <x:v>1080</x:v>
      </x:c>
      <x:c r="G24" s="25" t="str">
        <x:f>'Evaluation Plan'!G24</x:f>
        <x:v>MOVE green block to bowl</x:v>
      </x:c>
      <x:c r="H24" s="27"/>
      <x:c r="I24" s="25" t="str">
        <x:f>'Evaluation Plan'!I24</x:f>
        <x:v>Language robustness</x:v>
      </x:c>
      <x:c r="J24" s="25" t="str">
        <x:f>'Evaluation Plan'!J24</x:f>
        <x:v>SZ-CT-LG01</x:v>
      </x:c>
      <x:c r="K24" s="25" t="str">
        <x:f>'Evaluation Plan'!K24</x:f>
        <x:v>largest</x:v>
      </x:c>
      <x:c r="L24" s="25" t="str">
        <x:f>'Evaluation Plan'!L24</x:f>
        <x:v>Primary compositional-transfer prompt paraphrase</x:v>
      </x:c>
      <x:c r="M24" s="25" t="str">
        <x:f>'Evaluation Plan'!M24</x:f>
        <x:v>green block</x:v>
      </x:c>
      <x:c r="N24" s="25" t="str">
        <x:f>'Evaluation Plan'!N24</x:f>
        <x:v>Left</x:v>
      </x:c>
      <x:c r="O24" s="25" t="n">
        <x:f>'Evaluation Plan'!O24</x:f>
        <x:v>2</x:v>
      </x:c>
      <x:c r="P24" s="25" t="n">
        <x:f>IF(ISBLANK('Evaluation Plan'!P24),"",'Evaluation Plan'!P24)</x:f>
        <x:v>8</x:v>
      </x:c>
      <x:c r="Q24" s="25" t="str">
        <x:f>'Evaluation Plan'!Q24</x:f>
        <x:v>Reset the target; preserve the exact scene and paraphrase only the transfer prompt.</x:v>
      </x:c>
      <x:c r="R24" s="26" t="str">
        <x:f>'Evaluation Plan'!R24</x:f>
        <x:v>Exact-scene paraphrase of the primary transfer instruction.</x:v>
      </x:c>
      <x:c r="S24" s="28" t="str">
        <x:f>IF(ISBLANK('Evaluation Plan'!S24),"",'Evaluation Plan'!S24)</x:f>
      </x:c>
      <x:c r="T24" s="15"/>
      <x:c r="U24" s="15"/>
      <x:c r="V24" s="15"/>
      <x:c r="W24" s="15"/>
      <x:c r="X24" s="15"/>
      <x:c r="Y24" s="15"/>
      <x:c r="Z24" s="15"/>
    </x:row>
    <x:row r="25" ht="67.5" customHeight="1">
      <x:c r="A25" s="24" t="s">
        <x:v>591</x:v>
      </x:c>
      <x:c r="B25" s="25" t="n">
        <x:f>'Evaluation Plan'!B25</x:f>
        <x:v>23</x:v>
      </x:c>
      <x:c r="C25" s="26" t="str">
        <x:f>'Evaluation Plan'!C25</x:f>
        <x:v>Transfer the green block from the table into the bowl.</x:v>
      </x:c>
      <x:c r="D25" s="26" t="str">
        <x:f>'Evaluation Plan'!D25</x:f>
        <x:v>Bowl: empty. Table, robot-left→robot-right: P1 green block; P2 red pencil sharpener. Adjacent centers 8 cm apart; row centered on the workspace; all objects fully visible and grasp paths clear.</x:v>
      </x:c>
      <x:c r="E25" s="25" t="n">
        <x:f>IF(ISBLANK('Evaluation Plan'!E25),"",'Evaluation Plan'!E25)</x:f>
        <x:v>21</x:v>
      </x:c>
      <x:c r="F25" s="25" t="str">
        <x:f>'Evaluation Plan'!F25</x:f>
        <x:v>1075</x:v>
      </x:c>
      <x:c r="G25" s="25" t="str">
        <x:f>'Evaluation Plan'!G25</x:f>
        <x:v>MOVE green block to bowl</x:v>
      </x:c>
      <x:c r="H25" s="27"/>
      <x:c r="I25" s="25" t="str">
        <x:f>'Evaluation Plan'!I25</x:f>
        <x:v>Language robustness</x:v>
      </x:c>
      <x:c r="J25" s="25" t="str">
        <x:f>'Evaluation Plan'!J25</x:f>
        <x:v>SZ-CT-LG01</x:v>
      </x:c>
      <x:c r="K25" s="25" t="str">
        <x:f>'Evaluation Plan'!K25</x:f>
        <x:v>Direct</x:v>
      </x:c>
      <x:c r="L25" s="25" t="str">
        <x:f>'Evaluation Plan'!L25</x:f>
        <x:v>Matched-control direct prompt paraphrase</x:v>
      </x:c>
      <x:c r="M25" s="25" t="str">
        <x:f>'Evaluation Plan'!M25</x:f>
        <x:v>green block</x:v>
      </x:c>
      <x:c r="N25" s="25" t="str">
        <x:f>'Evaluation Plan'!N25</x:f>
        <x:v>Left</x:v>
      </x:c>
      <x:c r="O25" s="25" t="n">
        <x:f>'Evaluation Plan'!O25</x:f>
        <x:v>2</x:v>
      </x:c>
      <x:c r="P25" s="25" t="n">
        <x:f>IF(ISBLANK('Evaluation Plan'!P25),"",'Evaluation Plan'!P25)</x:f>
        <x:v>8</x:v>
      </x:c>
      <x:c r="Q25" s="25" t="str">
        <x:f>'Evaluation Plan'!Q25</x:f>
        <x:v>Reset the target; preserve the exact scene and paraphrase only the matched-control prompt.</x:v>
      </x:c>
      <x:c r="R25" s="26" t="str">
        <x:f>'Evaluation Plan'!R25</x:f>
        <x:v>Exact-scene paraphrase of the direct manipulation control.</x:v>
      </x:c>
      <x:c r="S25" s="28" t="str">
        <x:f>IF(ISBLANK('Evaluation Plan'!S25),"",'Evaluation Plan'!S25)</x:f>
      </x:c>
      <x:c r="T25" s="15"/>
      <x:c r="U25" s="15"/>
      <x:c r="V25" s="15"/>
      <x:c r="W25" s="15"/>
      <x:c r="X25" s="15"/>
      <x:c r="Y25" s="15"/>
      <x:c r="Z25" s="15"/>
    </x:row>
    <x:row r="26" ht="67.5" customHeight="1">
      <x:c r="A26" s="10" t="s">
        <x:v>591</x:v>
      </x:c>
      <x:c r="B26" s="11" t="n">
        <x:f>'Evaluation Plan'!B26</x:f>
        <x:v>24</x:v>
      </x:c>
      <x:c r="C26" s="12" t="str">
        <x:f>'Evaluation Plan'!C26</x:f>
        <x:v>Pick up the smallest item and place it in the bowl.</x:v>
      </x:c>
      <x:c r="D26" s="12" t="str">
        <x:f>'Evaluation Plan'!D26</x:f>
        <x:v>Bowl: empty. Table, robot-left→robot-right: P1 crushed Pepsi can; P2 juggling ball. Adjacent centers 12 cm apart; row shifted 4 cm toward robot-right; all objects fully visible and grasp paths clear.</x:v>
      </x:c>
      <x:c r="E26" s="13" t="str">
        <x:f>IF(ISBLANK('Evaluation Plan'!E26),"",'Evaluation Plan'!E26)</x:f>
      </x:c>
      <x:c r="F26" s="11" t="str">
        <x:f>'Evaluation Plan'!F26</x:f>
        <x:v>1105</x:v>
      </x:c>
      <x:c r="G26" s="11" t="str">
        <x:f>'Evaluation Plan'!G26</x:f>
        <x:v>MOVE juggling ball to bowl</x:v>
      </x:c>
      <x:c r="H26" s="13"/>
      <x:c r="I26" s="11" t="str">
        <x:f>'Evaluation Plan'!I26</x:f>
        <x:v>Concept/compositional transfer</x:v>
      </x:c>
      <x:c r="J26" s="11" t="str">
        <x:f>'Evaluation Plan'!J26</x:f>
        <x:v>SZ-CT-SJ01</x:v>
      </x:c>
      <x:c r="K26" s="11" t="str">
        <x:f>'Evaluation Plan'!K26</x:f>
        <x:v>smallest</x:v>
      </x:c>
      <x:c r="L26" s="11" t="str">
        <x:f>'Evaluation Plan'!L26</x:f>
        <x:v>Held-out smallest × juggling ball — Pick up</x:v>
      </x:c>
      <x:c r="M26" s="11" t="str">
        <x:f>'Evaluation Plan'!M26</x:f>
        <x:v>juggling ball</x:v>
      </x:c>
      <x:c r="N26" s="11" t="str">
        <x:f>'Evaluation Plan'!N26</x:f>
        <x:v>Right</x:v>
      </x:c>
      <x:c r="O26" s="11" t="n">
        <x:f>'Evaluation Plan'!O26</x:f>
        <x:v>2</x:v>
      </x:c>
      <x:c r="P26" s="11" t="n">
        <x:f>IF(ISBLANK('Evaluation Plan'!P26),"",'Evaluation Plan'!P26)</x:f>
        <x:v>12</x:v>
      </x:c>
      <x:c r="Q26" s="11" t="str">
        <x:f>'Evaluation Plan'!Q26</x:f>
        <x:v>Build the listed two-object scene and save a first-frame filename.</x:v>
      </x:c>
      <x:c r="R26" s="12" t="str">
        <x:f>'Evaluation Plan'!R26</x:f>
        <x:v>Primary missing cell. Training episode 1105 contains the same target trajectory but masks the size word with a direct identity prompt.</x:v>
      </x:c>
      <x:c r="S26" s="14" t="str">
        <x:f>IF(ISBLANK('Evaluation Plan'!S26),"",'Evaluation Plan'!S26)</x:f>
      </x:c>
      <x:c r="T26" s="15"/>
      <x:c r="U26" s="15"/>
      <x:c r="V26" s="15"/>
      <x:c r="W26" s="15"/>
      <x:c r="X26" s="15"/>
      <x:c r="Y26" s="15"/>
      <x:c r="Z26" s="15"/>
    </x:row>
    <x:row r="27" ht="67.5" customHeight="1">
      <x:c r="A27" s="24" t="s">
        <x:v>591</x:v>
      </x:c>
      <x:c r="B27" s="25" t="n">
        <x:f>'Evaluation Plan'!B27</x:f>
        <x:v>25</x:v>
      </x:c>
      <x:c r="C27" s="26" t="str">
        <x:f>'Evaluation Plan'!C27</x:f>
        <x:v>Put the juggling ball in the bowl.</x:v>
      </x:c>
      <x:c r="D27" s="26" t="str">
        <x:f>'Evaluation Plan'!D27</x:f>
        <x:v>Bowl: empty. Table, robot-left→robot-right: P1 crushed Pepsi can; P2 juggling ball. Adjacent centers 12 cm apart; row shifted 4 cm toward robot-right; all objects fully visible and grasp paths clear.</x:v>
      </x:c>
      <x:c r="E27" s="25" t="n">
        <x:f>IF(ISBLANK('Evaluation Plan'!E27),"",'Evaluation Plan'!E27)</x:f>
        <x:v>24</x:v>
      </x:c>
      <x:c r="F27" s="25" t="str">
        <x:f>'Evaluation Plan'!F27</x:f>
        <x:v>1100</x:v>
      </x:c>
      <x:c r="G27" s="25" t="str">
        <x:f>'Evaluation Plan'!G27</x:f>
        <x:v>MOVE juggling ball to bowl</x:v>
      </x:c>
      <x:c r="H27" s="27"/>
      <x:c r="I27" s="25" t="str">
        <x:f>'Evaluation Plan'!I27</x:f>
        <x:v>Matched manipulation control</x:v>
      </x:c>
      <x:c r="J27" s="25" t="str">
        <x:f>'Evaluation Plan'!J27</x:f>
        <x:v>SZ-CT-SJ01</x:v>
      </x:c>
      <x:c r="K27" s="25" t="str">
        <x:f>'Evaluation Plan'!K27</x:f>
        <x:v>Direct</x:v>
      </x:c>
      <x:c r="L27" s="25" t="str">
        <x:f>'Evaluation Plan'!L27</x:f>
        <x:v>Same-scene direct target control</x:v>
      </x:c>
      <x:c r="M27" s="25" t="str">
        <x:f>'Evaluation Plan'!M27</x:f>
        <x:v>juggling ball</x:v>
      </x:c>
      <x:c r="N27" s="25" t="str">
        <x:f>'Evaluation Plan'!N27</x:f>
        <x:v>Right</x:v>
      </x:c>
      <x:c r="O27" s="25" t="n">
        <x:f>'Evaluation Plan'!O27</x:f>
        <x:v>2</x:v>
      </x:c>
      <x:c r="P27" s="25" t="n">
        <x:f>IF(ISBLANK('Evaluation Plan'!P27),"",'Evaluation Plan'!P27)</x:f>
        <x:v>12</x:v>
      </x:c>
      <x:c r="Q27" s="25" t="str">
        <x:f>'Evaluation Plan'!Q27</x:f>
        <x:v>Reset the target to its original pose; change only the prompt.</x:v>
      </x:c>
      <x:c r="R27" s="26" t="str">
        <x:f>'Evaluation Plan'!R27</x:f>
        <x:v>Exact-scene control using a direct prompt supported by training episode 1100.</x:v>
      </x:c>
      <x:c r="S27" s="28" t="str">
        <x:f>IF(ISBLANK('Evaluation Plan'!S27),"",'Evaluation Plan'!S27)</x:f>
      </x:c>
      <x:c r="T27" s="15"/>
      <x:c r="U27" s="15"/>
      <x:c r="V27" s="15"/>
      <x:c r="W27" s="15"/>
      <x:c r="X27" s="15"/>
      <x:c r="Y27" s="15"/>
      <x:c r="Z27" s="15"/>
    </x:row>
    <x:row r="28" ht="67.5" customHeight="1">
      <x:c r="A28" s="29" t="s">
        <x:v>693</x:v>
      </x:c>
      <x:c r="B28" s="30" t="n">
        <x:f>'Evaluation Plan'!B28</x:f>
        <x:v>26</x:v>
      </x:c>
      <x:c r="C28" s="31" t="str">
        <x:f>'Evaluation Plan'!C28</x:f>
        <x:v>Choose the tiniest item and move it into the bowl.</x:v>
      </x:c>
      <x:c r="D28" s="31" t="str">
        <x:f>'Evaluation Plan'!D28</x:f>
        <x:v>Bowl: empty. Table, robot-left→robot-right: P1 crushed Pepsi can; P2 juggling ball. Adjacent centers 12 cm apart; row shifted 4 cm toward robot-right; all objects fully visible and grasp paths clear.</x:v>
      </x:c>
      <x:c r="E28" s="30" t="n">
        <x:f>IF(ISBLANK('Evaluation Plan'!E28),"",'Evaluation Plan'!E28)</x:f>
        <x:v>24</x:v>
      </x:c>
      <x:c r="F28" s="30" t="str">
        <x:f>'Evaluation Plan'!F28</x:f>
        <x:v>1105</x:v>
      </x:c>
      <x:c r="G28" s="30" t="str">
        <x:f>'Evaluation Plan'!G28</x:f>
        <x:v>MOVE juggling ball to bowl</x:v>
      </x:c>
      <x:c r="H28" s="31" t="s">
        <x:v>696</x:v>
      </x:c>
      <x:c r="I28" s="30" t="str">
        <x:f>'Evaluation Plan'!I28</x:f>
        <x:v>Language robustness</x:v>
      </x:c>
      <x:c r="J28" s="30" t="str">
        <x:f>'Evaluation Plan'!J28</x:f>
        <x:v>SZ-CT-SJ01</x:v>
      </x:c>
      <x:c r="K28" s="30" t="str">
        <x:f>'Evaluation Plan'!K28</x:f>
        <x:v>smallest</x:v>
      </x:c>
      <x:c r="L28" s="30" t="str">
        <x:f>'Evaluation Plan'!L28</x:f>
        <x:v>Primary compositional-transfer prompt paraphrase</x:v>
      </x:c>
      <x:c r="M28" s="30" t="str">
        <x:f>'Evaluation Plan'!M28</x:f>
        <x:v>juggling ball</x:v>
      </x:c>
      <x:c r="N28" s="30" t="str">
        <x:f>'Evaluation Plan'!N28</x:f>
        <x:v>Right</x:v>
      </x:c>
      <x:c r="O28" s="30" t="n">
        <x:f>'Evaluation Plan'!O28</x:f>
        <x:v>2</x:v>
      </x:c>
      <x:c r="P28" s="30" t="n">
        <x:f>IF(ISBLANK('Evaluation Plan'!P28),"",'Evaluation Plan'!P28)</x:f>
        <x:v>12</x:v>
      </x:c>
      <x:c r="Q28" s="30" t="str">
        <x:f>'Evaluation Plan'!Q28</x:f>
        <x:v>Reset the target; preserve the exact scene and paraphrase only the transfer prompt.</x:v>
      </x:c>
      <x:c r="R28" s="31" t="str">
        <x:f>'Evaluation Plan'!R28</x:f>
        <x:v>Exact-scene paraphrase of the primary transfer instruction.</x:v>
      </x:c>
      <x:c r="S28" s="32" t="str">
        <x:f>IF(ISBLANK('Evaluation Plan'!S28),"",'Evaluation Plan'!S28)</x:f>
      </x:c>
      <x:c r="T28" s="15"/>
      <x:c r="U28" s="15"/>
      <x:c r="V28" s="15"/>
      <x:c r="W28" s="15"/>
      <x:c r="X28" s="15"/>
      <x:c r="Y28" s="15"/>
      <x:c r="Z28" s="15"/>
    </x:row>
    <x:row r="29" ht="67.5" customHeight="1">
      <x:c r="A29" s="24" t="s">
        <x:v>591</x:v>
      </x:c>
      <x:c r="B29" s="25" t="n">
        <x:f>'Evaluation Plan'!B29</x:f>
        <x:v>27</x:v>
      </x:c>
      <x:c r="C29" s="26" t="str">
        <x:f>'Evaluation Plan'!C29</x:f>
        <x:v>Transfer the juggling ball from the table into the bowl.</x:v>
      </x:c>
      <x:c r="D29" s="26" t="str">
        <x:f>'Evaluation Plan'!D29</x:f>
        <x:v>Bowl: empty. Table, robot-left→robot-right: P1 crushed Pepsi can; P2 juggling ball. Adjacent centers 12 cm apart; row shifted 4 cm toward robot-right; all objects fully visible and grasp paths clear.</x:v>
      </x:c>
      <x:c r="E29" s="25" t="n">
        <x:f>IF(ISBLANK('Evaluation Plan'!E29),"",'Evaluation Plan'!E29)</x:f>
        <x:v>25</x:v>
      </x:c>
      <x:c r="F29" s="25" t="str">
        <x:f>'Evaluation Plan'!F29</x:f>
        <x:v>1100</x:v>
      </x:c>
      <x:c r="G29" s="25" t="str">
        <x:f>'Evaluation Plan'!G29</x:f>
        <x:v>MOVE juggling ball to bowl</x:v>
      </x:c>
      <x:c r="H29" s="27"/>
      <x:c r="I29" s="25" t="str">
        <x:f>'Evaluation Plan'!I29</x:f>
        <x:v>Language robustness</x:v>
      </x:c>
      <x:c r="J29" s="25" t="str">
        <x:f>'Evaluation Plan'!J29</x:f>
        <x:v>SZ-CT-SJ01</x:v>
      </x:c>
      <x:c r="K29" s="25" t="str">
        <x:f>'Evaluation Plan'!K29</x:f>
        <x:v>Direct</x:v>
      </x:c>
      <x:c r="L29" s="25" t="str">
        <x:f>'Evaluation Plan'!L29</x:f>
        <x:v>Matched-control direct prompt paraphrase</x:v>
      </x:c>
      <x:c r="M29" s="25" t="str">
        <x:f>'Evaluation Plan'!M29</x:f>
        <x:v>juggling ball</x:v>
      </x:c>
      <x:c r="N29" s="25" t="str">
        <x:f>'Evaluation Plan'!N29</x:f>
        <x:v>Right</x:v>
      </x:c>
      <x:c r="O29" s="25" t="n">
        <x:f>'Evaluation Plan'!O29</x:f>
        <x:v>2</x:v>
      </x:c>
      <x:c r="P29" s="25" t="n">
        <x:f>IF(ISBLANK('Evaluation Plan'!P29),"",'Evaluation Plan'!P29)</x:f>
        <x:v>12</x:v>
      </x:c>
      <x:c r="Q29" s="25" t="str">
        <x:f>'Evaluation Plan'!Q29</x:f>
        <x:v>Reset the target; preserve the exact scene and paraphrase only the matched-control prompt.</x:v>
      </x:c>
      <x:c r="R29" s="26" t="str">
        <x:f>'Evaluation Plan'!R29</x:f>
        <x:v>Exact-scene paraphrase of the direct manipulation control.</x:v>
      </x:c>
      <x:c r="S29" s="28" t="str">
        <x:f>IF(ISBLANK('Evaluation Plan'!S29),"",'Evaluation Plan'!S29)</x:f>
      </x:c>
      <x:c r="T29" s="15"/>
      <x:c r="U29" s="15"/>
      <x:c r="V29" s="15"/>
      <x:c r="W29" s="15"/>
      <x:c r="X29" s="15"/>
      <x:c r="Y29" s="15"/>
      <x:c r="Z29" s="15"/>
    </x:row>
    <x:row r="30" ht="67.5" customHeight="1">
      <x:c r="A30" s="17" t="s">
        <x:v>693</x:v>
      </x:c>
      <x:c r="B30" s="18" t="n">
        <x:f>'Evaluation Plan'!B30</x:f>
        <x:v>28</x:v>
      </x:c>
      <x:c r="C30" s="19" t="str">
        <x:f>'Evaluation Plan'!C30</x:f>
        <x:v>Pick up the largest item and place it in the bowl.</x:v>
      </x:c>
      <x:c r="D30" s="19" t="str">
        <x:f>'Evaluation Plan'!D30</x:f>
        <x:v>Bowl: empty. Table, robot-left→robot-right: P1 red pencil sharpener; P2 green block. Adjacent centers 12 cm apart; row shifted 4 cm toward robot-left; all objects fully visible and grasp paths clear.</x:v>
      </x:c>
      <x:c r="E30" s="20" t="str">
        <x:f>IF(ISBLANK('Evaluation Plan'!E30),"",'Evaluation Plan'!E30)</x:f>
      </x:c>
      <x:c r="F30" s="18" t="str">
        <x:f>'Evaluation Plan'!F30</x:f>
        <x:v>1081</x:v>
      </x:c>
      <x:c r="G30" s="18" t="str">
        <x:f>'Evaluation Plan'!G30</x:f>
        <x:v>MOVE green block to bowl</x:v>
      </x:c>
      <x:c r="H30" s="19" t="s">
        <x:v>697</x:v>
      </x:c>
      <x:c r="I30" s="18" t="str">
        <x:f>'Evaluation Plan'!I30</x:f>
        <x:v>Concept/compositional transfer</x:v>
      </x:c>
      <x:c r="J30" s="18" t="str">
        <x:f>'Evaluation Plan'!J30</x:f>
        <x:v>SZ-CT-LG02</x:v>
      </x:c>
      <x:c r="K30" s="18" t="str">
        <x:f>'Evaluation Plan'!K30</x:f>
        <x:v>largest</x:v>
      </x:c>
      <x:c r="L30" s="18" t="str">
        <x:f>'Evaluation Plan'!L30</x:f>
        <x:v>Held-out largest × green block — Pick up</x:v>
      </x:c>
      <x:c r="M30" s="18" t="str">
        <x:f>'Evaluation Plan'!M30</x:f>
        <x:v>green block</x:v>
      </x:c>
      <x:c r="N30" s="18" t="str">
        <x:f>'Evaluation Plan'!N30</x:f>
        <x:v>Right</x:v>
      </x:c>
      <x:c r="O30" s="18" t="n">
        <x:f>'Evaluation Plan'!O30</x:f>
        <x:v>2</x:v>
      </x:c>
      <x:c r="P30" s="18" t="n">
        <x:f>IF(ISBLANK('Evaluation Plan'!P30),"",'Evaluation Plan'!P30)</x:f>
        <x:v>12</x:v>
      </x:c>
      <x:c r="Q30" s="18" t="str">
        <x:f>'Evaluation Plan'!Q30</x:f>
        <x:v>Build the listed two-object scene and save a first-frame filename.</x:v>
      </x:c>
      <x:c r="R30" s="19" t="str">
        <x:f>'Evaluation Plan'!R30</x:f>
        <x:v>Primary missing cell. Training episode 1081 contains the same target trajectory but masks the size word with a direct identity prompt.</x:v>
      </x:c>
      <x:c r="S30" s="21" t="str">
        <x:f>IF(ISBLANK('Evaluation Plan'!S30),"",'Evaluation Plan'!S30)</x:f>
      </x:c>
      <x:c r="T30" s="15"/>
      <x:c r="U30" s="15"/>
      <x:c r="V30" s="15"/>
      <x:c r="W30" s="15"/>
      <x:c r="X30" s="15"/>
      <x:c r="Y30" s="15"/>
      <x:c r="Z30" s="15"/>
    </x:row>
    <x:row r="31" ht="67.5" customHeight="1">
      <x:c r="A31" s="24" t="s">
        <x:v>591</x:v>
      </x:c>
      <x:c r="B31" s="25" t="n">
        <x:f>'Evaluation Plan'!B31</x:f>
        <x:v>29</x:v>
      </x:c>
      <x:c r="C31" s="26" t="str">
        <x:f>'Evaluation Plan'!C31</x:f>
        <x:v>Move the green block into the bowl.</x:v>
      </x:c>
      <x:c r="D31" s="26" t="str">
        <x:f>'Evaluation Plan'!D31</x:f>
        <x:v>Bowl: empty. Table, robot-left→robot-right: P1 red pencil sharpener; P2 green block. Adjacent centers 12 cm apart; row shifted 4 cm toward robot-left; all objects fully visible and grasp paths clear.</x:v>
      </x:c>
      <x:c r="E31" s="25" t="n">
        <x:f>IF(ISBLANK('Evaluation Plan'!E31),"",'Evaluation Plan'!E31)</x:f>
        <x:v>28</x:v>
      </x:c>
      <x:c r="F31" s="25" t="str">
        <x:f>'Evaluation Plan'!F31</x:f>
        <x:v>1076</x:v>
      </x:c>
      <x:c r="G31" s="25" t="str">
        <x:f>'Evaluation Plan'!G31</x:f>
        <x:v>MOVE green block to bowl</x:v>
      </x:c>
      <x:c r="H31" s="27"/>
      <x:c r="I31" s="25" t="str">
        <x:f>'Evaluation Plan'!I31</x:f>
        <x:v>Matched manipulation control</x:v>
      </x:c>
      <x:c r="J31" s="25" t="str">
        <x:f>'Evaluation Plan'!J31</x:f>
        <x:v>SZ-CT-LG02</x:v>
      </x:c>
      <x:c r="K31" s="25" t="str">
        <x:f>'Evaluation Plan'!K31</x:f>
        <x:v>Direct</x:v>
      </x:c>
      <x:c r="L31" s="25" t="str">
        <x:f>'Evaluation Plan'!L31</x:f>
        <x:v>Same-scene direct target control</x:v>
      </x:c>
      <x:c r="M31" s="25" t="str">
        <x:f>'Evaluation Plan'!M31</x:f>
        <x:v>green block</x:v>
      </x:c>
      <x:c r="N31" s="25" t="str">
        <x:f>'Evaluation Plan'!N31</x:f>
        <x:v>Right</x:v>
      </x:c>
      <x:c r="O31" s="25" t="n">
        <x:f>'Evaluation Plan'!O31</x:f>
        <x:v>2</x:v>
      </x:c>
      <x:c r="P31" s="25" t="n">
        <x:f>IF(ISBLANK('Evaluation Plan'!P31),"",'Evaluation Plan'!P31)</x:f>
        <x:v>12</x:v>
      </x:c>
      <x:c r="Q31" s="25" t="str">
        <x:f>'Evaluation Plan'!Q31</x:f>
        <x:v>Reset the target to its original pose; change only the prompt.</x:v>
      </x:c>
      <x:c r="R31" s="26" t="str">
        <x:f>'Evaluation Plan'!R31</x:f>
        <x:v>Exact-scene control using a direct prompt supported by training episode 1076.</x:v>
      </x:c>
      <x:c r="S31" s="28" t="str">
        <x:f>IF(ISBLANK('Evaluation Plan'!S31),"",'Evaluation Plan'!S31)</x:f>
      </x:c>
      <x:c r="T31" s="15"/>
      <x:c r="U31" s="15"/>
      <x:c r="V31" s="15"/>
      <x:c r="W31" s="15"/>
      <x:c r="X31" s="15"/>
      <x:c r="Y31" s="15"/>
      <x:c r="Z31" s="15"/>
    </x:row>
    <x:row r="32" ht="67.5" customHeight="1">
      <x:c r="A32" s="24" t="s">
        <x:v>591</x:v>
      </x:c>
      <x:c r="B32" s="25" t="n">
        <x:f>'Evaluation Plan'!B32</x:f>
        <x:v>30</x:v>
      </x:c>
      <x:c r="C32" s="26" t="str">
        <x:f>'Evaluation Plan'!C32</x:f>
        <x:v>Place whichever object is greatest in size inside the bowl.</x:v>
      </x:c>
      <x:c r="D32" s="26" t="str">
        <x:f>'Evaluation Plan'!D32</x:f>
        <x:v>Bowl: empty. Table, robot-left→robot-right: P1 red pencil sharpener; P2 green block. Adjacent centers 12 cm apart; row shifted 4 cm toward robot-left; all objects fully visible and grasp paths clear.</x:v>
      </x:c>
      <x:c r="E32" s="25" t="n">
        <x:f>IF(ISBLANK('Evaluation Plan'!E32),"",'Evaluation Plan'!E32)</x:f>
        <x:v>28</x:v>
      </x:c>
      <x:c r="F32" s="25" t="str">
        <x:f>'Evaluation Plan'!F32</x:f>
        <x:v>1081</x:v>
      </x:c>
      <x:c r="G32" s="25" t="str">
        <x:f>'Evaluation Plan'!G32</x:f>
        <x:v>MOVE green block to bowl</x:v>
      </x:c>
      <x:c r="H32" s="27"/>
      <x:c r="I32" s="25" t="str">
        <x:f>'Evaluation Plan'!I32</x:f>
        <x:v>Language robustness</x:v>
      </x:c>
      <x:c r="J32" s="25" t="str">
        <x:f>'Evaluation Plan'!J32</x:f>
        <x:v>SZ-CT-LG02</x:v>
      </x:c>
      <x:c r="K32" s="25" t="str">
        <x:f>'Evaluation Plan'!K32</x:f>
        <x:v>largest</x:v>
      </x:c>
      <x:c r="L32" s="25" t="str">
        <x:f>'Evaluation Plan'!L32</x:f>
        <x:v>Primary compositional-transfer prompt paraphrase</x:v>
      </x:c>
      <x:c r="M32" s="25" t="str">
        <x:f>'Evaluation Plan'!M32</x:f>
        <x:v>green block</x:v>
      </x:c>
      <x:c r="N32" s="25" t="str">
        <x:f>'Evaluation Plan'!N32</x:f>
        <x:v>Right</x:v>
      </x:c>
      <x:c r="O32" s="25" t="n">
        <x:f>'Evaluation Plan'!O32</x:f>
        <x:v>2</x:v>
      </x:c>
      <x:c r="P32" s="25" t="n">
        <x:f>IF(ISBLANK('Evaluation Plan'!P32),"",'Evaluation Plan'!P32)</x:f>
        <x:v>12</x:v>
      </x:c>
      <x:c r="Q32" s="25" t="str">
        <x:f>'Evaluation Plan'!Q32</x:f>
        <x:v>Reset the target; preserve the exact scene and paraphrase only the transfer prompt.</x:v>
      </x:c>
      <x:c r="R32" s="26" t="str">
        <x:f>'Evaluation Plan'!R32</x:f>
        <x:v>Exact-scene paraphrase of the primary transfer instruction.</x:v>
      </x:c>
      <x:c r="S32" s="28" t="str">
        <x:f>IF(ISBLANK('Evaluation Plan'!S32),"",'Evaluation Plan'!S32)</x:f>
      </x:c>
      <x:c r="T32" s="15"/>
      <x:c r="U32" s="15"/>
      <x:c r="V32" s="15"/>
      <x:c r="W32" s="15"/>
      <x:c r="X32" s="15"/>
      <x:c r="Y32" s="15"/>
      <x:c r="Z32" s="15"/>
    </x:row>
    <x:row r="33" ht="67.5" customHeight="1">
      <x:c r="A33" s="24" t="s">
        <x:v>591</x:v>
      </x:c>
      <x:c r="B33" s="25" t="n">
        <x:f>'Evaluation Plan'!B33</x:f>
        <x:v>31</x:v>
      </x:c>
      <x:c r="C33" s="26" t="str">
        <x:f>'Evaluation Plan'!C33</x:f>
        <x:v>Lift the green block and set it inside the bowl.</x:v>
      </x:c>
      <x:c r="D33" s="26" t="str">
        <x:f>'Evaluation Plan'!D33</x:f>
        <x:v>Bowl: empty. Table, robot-left→robot-right: P1 red pencil sharpener; P2 green block. Adjacent centers 12 cm apart; row shifted 4 cm toward robot-left; all objects fully visible and grasp paths clear.</x:v>
      </x:c>
      <x:c r="E33" s="25" t="n">
        <x:f>IF(ISBLANK('Evaluation Plan'!E33),"",'Evaluation Plan'!E33)</x:f>
        <x:v>29</x:v>
      </x:c>
      <x:c r="F33" s="25" t="str">
        <x:f>'Evaluation Plan'!F33</x:f>
        <x:v>1076</x:v>
      </x:c>
      <x:c r="G33" s="25" t="str">
        <x:f>'Evaluation Plan'!G33</x:f>
        <x:v>MOVE green block to bowl</x:v>
      </x:c>
      <x:c r="H33" s="27"/>
      <x:c r="I33" s="25" t="str">
        <x:f>'Evaluation Plan'!I33</x:f>
        <x:v>Language robustness</x:v>
      </x:c>
      <x:c r="J33" s="25" t="str">
        <x:f>'Evaluation Plan'!J33</x:f>
        <x:v>SZ-CT-LG02</x:v>
      </x:c>
      <x:c r="K33" s="25" t="str">
        <x:f>'Evaluation Plan'!K33</x:f>
        <x:v>Direct</x:v>
      </x:c>
      <x:c r="L33" s="25" t="str">
        <x:f>'Evaluation Plan'!L33</x:f>
        <x:v>Matched-control direct prompt paraphrase</x:v>
      </x:c>
      <x:c r="M33" s="25" t="str">
        <x:f>'Evaluation Plan'!M33</x:f>
        <x:v>green block</x:v>
      </x:c>
      <x:c r="N33" s="25" t="str">
        <x:f>'Evaluation Plan'!N33</x:f>
        <x:v>Right</x:v>
      </x:c>
      <x:c r="O33" s="25" t="n">
        <x:f>'Evaluation Plan'!O33</x:f>
        <x:v>2</x:v>
      </x:c>
      <x:c r="P33" s="25" t="n">
        <x:f>IF(ISBLANK('Evaluation Plan'!P33),"",'Evaluation Plan'!P33)</x:f>
        <x:v>12</x:v>
      </x:c>
      <x:c r="Q33" s="25" t="str">
        <x:f>'Evaluation Plan'!Q33</x:f>
        <x:v>Reset the target; preserve the exact scene and paraphrase only the matched-control prompt.</x:v>
      </x:c>
      <x:c r="R33" s="26" t="str">
        <x:f>'Evaluation Plan'!R33</x:f>
        <x:v>Exact-scene paraphrase of the direct manipulation control.</x:v>
      </x:c>
      <x:c r="S33" s="28" t="str">
        <x:f>IF(ISBLANK('Evaluation Plan'!S33),"",'Evaluation Plan'!S33)</x:f>
      </x:c>
      <x:c r="T33" s="15"/>
      <x:c r="U33" s="15"/>
      <x:c r="V33" s="15"/>
      <x:c r="W33" s="15"/>
      <x:c r="X33" s="15"/>
      <x:c r="Y33" s="15"/>
      <x:c r="Z33" s="15"/>
    </x:row>
    <x:row r="34" ht="67.5" customHeight="1">
      <x:c r="A34" s="10" t="s">
        <x:v>591</x:v>
      </x:c>
      <x:c r="B34" s="11" t="n">
        <x:f>'Evaluation Plan'!B34</x:f>
        <x:v>32</x:v>
      </x:c>
      <x:c r="C34" s="12" t="str">
        <x:f>'Evaluation Plan'!C34</x:f>
        <x:v>Put the smallest object in the bowl.</x:v>
      </x:c>
      <x:c r="D34" s="12" t="str">
        <x:f>'Evaluation Plan'!D34</x:f>
        <x:v>Bowl: empty. Table, robot-left→robot-right: P1 juggling ball; P2 crushed Pepsi can. Adjacent centers 16 cm apart; row shifted 4 cm toward the robot; all objects fully visible and grasp paths clear.</x:v>
      </x:c>
      <x:c r="E34" s="13" t="str">
        <x:f>IF(ISBLANK('Evaluation Plan'!E34),"",'Evaluation Plan'!E34)</x:f>
      </x:c>
      <x:c r="F34" s="11" t="str">
        <x:f>'Evaluation Plan'!F34</x:f>
        <x:v>1106</x:v>
      </x:c>
      <x:c r="G34" s="11" t="str">
        <x:f>'Evaluation Plan'!G34</x:f>
        <x:v>MOVE juggling ball to bowl</x:v>
      </x:c>
      <x:c r="H34" s="13"/>
      <x:c r="I34" s="11" t="str">
        <x:f>'Evaluation Plan'!I34</x:f>
        <x:v>Concept/compositional transfer</x:v>
      </x:c>
      <x:c r="J34" s="11" t="str">
        <x:f>'Evaluation Plan'!J34</x:f>
        <x:v>SZ-CT-SJ02</x:v>
      </x:c>
      <x:c r="K34" s="11" t="str">
        <x:f>'Evaluation Plan'!K34</x:f>
        <x:v>smallest</x:v>
      </x:c>
      <x:c r="L34" s="11" t="str">
        <x:f>'Evaluation Plan'!L34</x:f>
        <x:v>Held-out smallest × juggling ball — Put</x:v>
      </x:c>
      <x:c r="M34" s="11" t="str">
        <x:f>'Evaluation Plan'!M34</x:f>
        <x:v>juggling ball</x:v>
      </x:c>
      <x:c r="N34" s="11" t="str">
        <x:f>'Evaluation Plan'!N34</x:f>
        <x:v>Left</x:v>
      </x:c>
      <x:c r="O34" s="11" t="n">
        <x:f>'Evaluation Plan'!O34</x:f>
        <x:v>2</x:v>
      </x:c>
      <x:c r="P34" s="11" t="n">
        <x:f>IF(ISBLANK('Evaluation Plan'!P34),"",'Evaluation Plan'!P34)</x:f>
        <x:v>16</x:v>
      </x:c>
      <x:c r="Q34" s="11" t="str">
        <x:f>'Evaluation Plan'!Q34</x:f>
        <x:v>Build the listed two-object scene and save a first-frame filename.</x:v>
      </x:c>
      <x:c r="R34" s="12" t="str">
        <x:f>'Evaluation Plan'!R34</x:f>
        <x:v>Primary missing cell. Training episode 1106 contains the same target trajectory but masks the size word with a direct identity prompt.</x:v>
      </x:c>
      <x:c r="S34" s="14" t="str">
        <x:f>IF(ISBLANK('Evaluation Plan'!S34),"",'Evaluation Plan'!S34)</x:f>
      </x:c>
      <x:c r="T34" s="15"/>
      <x:c r="U34" s="15"/>
      <x:c r="V34" s="15"/>
      <x:c r="W34" s="15"/>
      <x:c r="X34" s="15"/>
      <x:c r="Y34" s="15"/>
      <x:c r="Z34" s="15"/>
    </x:row>
    <x:row r="35" ht="67.5" customHeight="1">
      <x:c r="A35" s="24" t="s">
        <x:v>591</x:v>
      </x:c>
      <x:c r="B35" s="25" t="n">
        <x:f>'Evaluation Plan'!B35</x:f>
        <x:v>33</x:v>
      </x:c>
      <x:c r="C35" s="26" t="str">
        <x:f>'Evaluation Plan'!C35</x:f>
        <x:v>Move the juggling ball into the bowl.</x:v>
      </x:c>
      <x:c r="D35" s="26" t="str">
        <x:f>'Evaluation Plan'!D35</x:f>
        <x:v>Bowl: empty. Table, robot-left→robot-right: P1 juggling ball; P2 crushed Pepsi can. Adjacent centers 16 cm apart; row shifted 4 cm toward the robot; all objects fully visible and grasp paths clear.</x:v>
      </x:c>
      <x:c r="E35" s="25" t="n">
        <x:f>IF(ISBLANK('Evaluation Plan'!E35),"",'Evaluation Plan'!E35)</x:f>
        <x:v>32</x:v>
      </x:c>
      <x:c r="F35" s="25" t="str">
        <x:f>'Evaluation Plan'!F35</x:f>
        <x:v>1101</x:v>
      </x:c>
      <x:c r="G35" s="25" t="str">
        <x:f>'Evaluation Plan'!G35</x:f>
        <x:v>MOVE juggling ball to bowl</x:v>
      </x:c>
      <x:c r="H35" s="27"/>
      <x:c r="I35" s="25" t="str">
        <x:f>'Evaluation Plan'!I35</x:f>
        <x:v>Matched manipulation control</x:v>
      </x:c>
      <x:c r="J35" s="25" t="str">
        <x:f>'Evaluation Plan'!J35</x:f>
        <x:v>SZ-CT-SJ02</x:v>
      </x:c>
      <x:c r="K35" s="25" t="str">
        <x:f>'Evaluation Plan'!K35</x:f>
        <x:v>Direct</x:v>
      </x:c>
      <x:c r="L35" s="25" t="str">
        <x:f>'Evaluation Plan'!L35</x:f>
        <x:v>Same-scene direct target control</x:v>
      </x:c>
      <x:c r="M35" s="25" t="str">
        <x:f>'Evaluation Plan'!M35</x:f>
        <x:v>juggling ball</x:v>
      </x:c>
      <x:c r="N35" s="25" t="str">
        <x:f>'Evaluation Plan'!N35</x:f>
        <x:v>Left</x:v>
      </x:c>
      <x:c r="O35" s="25" t="n">
        <x:f>'Evaluation Plan'!O35</x:f>
        <x:v>2</x:v>
      </x:c>
      <x:c r="P35" s="25" t="n">
        <x:f>IF(ISBLANK('Evaluation Plan'!P35),"",'Evaluation Plan'!P35)</x:f>
        <x:v>16</x:v>
      </x:c>
      <x:c r="Q35" s="25" t="str">
        <x:f>'Evaluation Plan'!Q35</x:f>
        <x:v>Reset the target to its original pose; change only the prompt.</x:v>
      </x:c>
      <x:c r="R35" s="26" t="str">
        <x:f>'Evaluation Plan'!R35</x:f>
        <x:v>Exact-scene control using a direct prompt supported by training episode 1101.</x:v>
      </x:c>
      <x:c r="S35" s="28" t="str">
        <x:f>IF(ISBLANK('Evaluation Plan'!S35),"",'Evaluation Plan'!S35)</x:f>
      </x:c>
      <x:c r="T35" s="15"/>
      <x:c r="U35" s="15"/>
      <x:c r="V35" s="15"/>
      <x:c r="W35" s="15"/>
      <x:c r="X35" s="15"/>
      <x:c r="Y35" s="15"/>
      <x:c r="Z35" s="15"/>
    </x:row>
    <x:row r="36" ht="67.5" customHeight="1">
      <x:c r="A36" s="24" t="s">
        <x:v>591</x:v>
      </x:c>
      <x:c r="B36" s="25" t="n">
        <x:f>'Evaluation Plan'!B36</x:f>
        <x:v>34</x:v>
      </x:c>
      <x:c r="C36" s="26" t="str">
        <x:f>'Evaluation Plan'!C36</x:f>
        <x:v>Place whichever object is least in size inside the bowl.</x:v>
      </x:c>
      <x:c r="D36" s="26" t="str">
        <x:f>'Evaluation Plan'!D36</x:f>
        <x:v>Bowl: empty. Table, robot-left→robot-right: P1 juggling ball; P2 crushed Pepsi can. Adjacent centers 16 cm apart; row shifted 4 cm toward the robot; all objects fully visible and grasp paths clear.</x:v>
      </x:c>
      <x:c r="E36" s="25" t="n">
        <x:f>IF(ISBLANK('Evaluation Plan'!E36),"",'Evaluation Plan'!E36)</x:f>
        <x:v>32</x:v>
      </x:c>
      <x:c r="F36" s="25" t="str">
        <x:f>'Evaluation Plan'!F36</x:f>
        <x:v>1106</x:v>
      </x:c>
      <x:c r="G36" s="25" t="str">
        <x:f>'Evaluation Plan'!G36</x:f>
        <x:v>MOVE juggling ball to bowl</x:v>
      </x:c>
      <x:c r="H36" s="26" t="s">
        <x:v>698</x:v>
      </x:c>
      <x:c r="I36" s="25" t="str">
        <x:f>'Evaluation Plan'!I36</x:f>
        <x:v>Language robustness</x:v>
      </x:c>
      <x:c r="J36" s="25" t="str">
        <x:f>'Evaluation Plan'!J36</x:f>
        <x:v>SZ-CT-SJ02</x:v>
      </x:c>
      <x:c r="K36" s="25" t="str">
        <x:f>'Evaluation Plan'!K36</x:f>
        <x:v>smallest</x:v>
      </x:c>
      <x:c r="L36" s="25" t="str">
        <x:f>'Evaluation Plan'!L36</x:f>
        <x:v>Primary compositional-transfer prompt paraphrase</x:v>
      </x:c>
      <x:c r="M36" s="25" t="str">
        <x:f>'Evaluation Plan'!M36</x:f>
        <x:v>juggling ball</x:v>
      </x:c>
      <x:c r="N36" s="25" t="str">
        <x:f>'Evaluation Plan'!N36</x:f>
        <x:v>Left</x:v>
      </x:c>
      <x:c r="O36" s="25" t="n">
        <x:f>'Evaluation Plan'!O36</x:f>
        <x:v>2</x:v>
      </x:c>
      <x:c r="P36" s="25" t="n">
        <x:f>IF(ISBLANK('Evaluation Plan'!P36),"",'Evaluation Plan'!P36)</x:f>
        <x:v>16</x:v>
      </x:c>
      <x:c r="Q36" s="25" t="str">
        <x:f>'Evaluation Plan'!Q36</x:f>
        <x:v>Reset the target; preserve the exact scene and paraphrase only the transfer prompt.</x:v>
      </x:c>
      <x:c r="R36" s="26" t="str">
        <x:f>'Evaluation Plan'!R36</x:f>
        <x:v>Exact-scene paraphrase of the primary transfer instruction.</x:v>
      </x:c>
      <x:c r="S36" s="28" t="str">
        <x:f>IF(ISBLANK('Evaluation Plan'!S36),"",'Evaluation Plan'!S36)</x:f>
      </x:c>
      <x:c r="T36" s="15"/>
      <x:c r="U36" s="15"/>
      <x:c r="V36" s="15"/>
      <x:c r="W36" s="15"/>
      <x:c r="X36" s="15"/>
      <x:c r="Y36" s="15"/>
      <x:c r="Z36" s="15"/>
    </x:row>
    <x:row r="37" ht="67.5" customHeight="1">
      <x:c r="A37" s="24" t="s">
        <x:v>591</x:v>
      </x:c>
      <x:c r="B37" s="25" t="n">
        <x:f>'Evaluation Plan'!B37</x:f>
        <x:v>35</x:v>
      </x:c>
      <x:c r="C37" s="26" t="str">
        <x:f>'Evaluation Plan'!C37</x:f>
        <x:v>Lift the juggling ball and set it inside the bowl.</x:v>
      </x:c>
      <x:c r="D37" s="26" t="str">
        <x:f>'Evaluation Plan'!D37</x:f>
        <x:v>Bowl: empty. Table, robot-left→robot-right: P1 juggling ball; P2 crushed Pepsi can. Adjacent centers 16 cm apart; row shifted 4 cm toward the robot; all objects fully visible and grasp paths clear.</x:v>
      </x:c>
      <x:c r="E37" s="25" t="n">
        <x:f>IF(ISBLANK('Evaluation Plan'!E37),"",'Evaluation Plan'!E37)</x:f>
        <x:v>33</x:v>
      </x:c>
      <x:c r="F37" s="25" t="str">
        <x:f>'Evaluation Plan'!F37</x:f>
        <x:v>1101</x:v>
      </x:c>
      <x:c r="G37" s="25" t="str">
        <x:f>'Evaluation Plan'!G37</x:f>
        <x:v>MOVE juggling ball to bowl</x:v>
      </x:c>
      <x:c r="H37" s="27"/>
      <x:c r="I37" s="25" t="str">
        <x:f>'Evaluation Plan'!I37</x:f>
        <x:v>Language robustness</x:v>
      </x:c>
      <x:c r="J37" s="25" t="str">
        <x:f>'Evaluation Plan'!J37</x:f>
        <x:v>SZ-CT-SJ02</x:v>
      </x:c>
      <x:c r="K37" s="25" t="str">
        <x:f>'Evaluation Plan'!K37</x:f>
        <x:v>Direct</x:v>
      </x:c>
      <x:c r="L37" s="25" t="str">
        <x:f>'Evaluation Plan'!L37</x:f>
        <x:v>Matched-control direct prompt paraphrase</x:v>
      </x:c>
      <x:c r="M37" s="25" t="str">
        <x:f>'Evaluation Plan'!M37</x:f>
        <x:v>juggling ball</x:v>
      </x:c>
      <x:c r="N37" s="25" t="str">
        <x:f>'Evaluation Plan'!N37</x:f>
        <x:v>Left</x:v>
      </x:c>
      <x:c r="O37" s="25" t="n">
        <x:f>'Evaluation Plan'!O37</x:f>
        <x:v>2</x:v>
      </x:c>
      <x:c r="P37" s="25" t="n">
        <x:f>IF(ISBLANK('Evaluation Plan'!P37),"",'Evaluation Plan'!P37)</x:f>
        <x:v>16</x:v>
      </x:c>
      <x:c r="Q37" s="25" t="str">
        <x:f>'Evaluation Plan'!Q37</x:f>
        <x:v>Reset the target; preserve the exact scene and paraphrase only the matched-control prompt.</x:v>
      </x:c>
      <x:c r="R37" s="26" t="str">
        <x:f>'Evaluation Plan'!R37</x:f>
        <x:v>Exact-scene paraphrase of the direct manipulation control.</x:v>
      </x:c>
      <x:c r="S37" s="28" t="str">
        <x:f>IF(ISBLANK('Evaluation Plan'!S37),"",'Evaluation Plan'!S37)</x:f>
      </x:c>
      <x:c r="T37" s="15"/>
      <x:c r="U37" s="15"/>
      <x:c r="V37" s="15"/>
      <x:c r="W37" s="15"/>
      <x:c r="X37" s="15"/>
      <x:c r="Y37" s="15"/>
      <x:c r="Z37" s="15"/>
    </x:row>
    <x:row r="38" ht="67.5" customHeight="1">
      <x:c r="A38" s="17" t="s">
        <x:v>693</x:v>
      </x:c>
      <x:c r="B38" s="18" t="n">
        <x:f>'Evaluation Plan'!B38</x:f>
        <x:v>36</x:v>
      </x:c>
      <x:c r="C38" s="19" t="str">
        <x:f>'Evaluation Plan'!C38</x:f>
        <x:v>Put the largest object in the bowl.</x:v>
      </x:c>
      <x:c r="D38" s="19" t="str">
        <x:f>'Evaluation Plan'!D38</x:f>
        <x:v>Bowl: empty. Table, robot-left→robot-right: P1 green block; P2 red pencil sharpener. Adjacent centers 16 cm apart; row shifted 4 cm toward robot-right; all objects fully visible and grasp paths clear.</x:v>
      </x:c>
      <x:c r="E38" s="20" t="str">
        <x:f>IF(ISBLANK('Evaluation Plan'!E38),"",'Evaluation Plan'!E38)</x:f>
      </x:c>
      <x:c r="F38" s="18" t="str">
        <x:f>'Evaluation Plan'!F38</x:f>
        <x:v>1082</x:v>
      </x:c>
      <x:c r="G38" s="18" t="str">
        <x:f>'Evaluation Plan'!G38</x:f>
        <x:v>MOVE green block to bowl</x:v>
      </x:c>
      <x:c r="H38" s="19" t="s">
        <x:v>699</x:v>
      </x:c>
      <x:c r="I38" s="18" t="str">
        <x:f>'Evaluation Plan'!I38</x:f>
        <x:v>Concept/compositional transfer</x:v>
      </x:c>
      <x:c r="J38" s="18" t="str">
        <x:f>'Evaluation Plan'!J38</x:f>
        <x:v>SZ-CT-LG03</x:v>
      </x:c>
      <x:c r="K38" s="18" t="str">
        <x:f>'Evaluation Plan'!K38</x:f>
        <x:v>largest</x:v>
      </x:c>
      <x:c r="L38" s="18" t="str">
        <x:f>'Evaluation Plan'!L38</x:f>
        <x:v>Held-out largest × green block — Put</x:v>
      </x:c>
      <x:c r="M38" s="18" t="str">
        <x:f>'Evaluation Plan'!M38</x:f>
        <x:v>green block</x:v>
      </x:c>
      <x:c r="N38" s="18" t="str">
        <x:f>'Evaluation Plan'!N38</x:f>
        <x:v>Left</x:v>
      </x:c>
      <x:c r="O38" s="18" t="n">
        <x:f>'Evaluation Plan'!O38</x:f>
        <x:v>2</x:v>
      </x:c>
      <x:c r="P38" s="18" t="n">
        <x:f>IF(ISBLANK('Evaluation Plan'!P38),"",'Evaluation Plan'!P38)</x:f>
        <x:v>16</x:v>
      </x:c>
      <x:c r="Q38" s="18" t="str">
        <x:f>'Evaluation Plan'!Q38</x:f>
        <x:v>Build the listed two-object scene and save a first-frame filename.</x:v>
      </x:c>
      <x:c r="R38" s="19" t="str">
        <x:f>'Evaluation Plan'!R38</x:f>
        <x:v>Primary missing cell. Training episode 1082 contains the same target trajectory but masks the size word with a direct identity prompt.</x:v>
      </x:c>
      <x:c r="S38" s="21" t="str">
        <x:f>IF(ISBLANK('Evaluation Plan'!S38),"",'Evaluation Plan'!S38)</x:f>
      </x:c>
      <x:c r="T38" s="15"/>
      <x:c r="U38" s="15"/>
      <x:c r="V38" s="15"/>
      <x:c r="W38" s="15"/>
      <x:c r="X38" s="15"/>
      <x:c r="Y38" s="15"/>
      <x:c r="Z38" s="15"/>
    </x:row>
    <x:row r="39" ht="67.5" customHeight="1">
      <x:c r="A39" s="24" t="s">
        <x:v>591</x:v>
      </x:c>
      <x:c r="B39" s="25" t="n">
        <x:f>'Evaluation Plan'!B39</x:f>
        <x:v>37</x:v>
      </x:c>
      <x:c r="C39" s="26" t="str">
        <x:f>'Evaluation Plan'!C39</x:f>
        <x:v>Pick up the green block and place it in the bowl.</x:v>
      </x:c>
      <x:c r="D39" s="26" t="str">
        <x:f>'Evaluation Plan'!D39</x:f>
        <x:v>Bowl: empty. Table, robot-left→robot-right: P1 green block; P2 red pencil sharpener. Adjacent centers 16 cm apart; row shifted 4 cm toward robot-right; all objects fully visible and grasp paths clear.</x:v>
      </x:c>
      <x:c r="E39" s="25" t="n">
        <x:f>IF(ISBLANK('Evaluation Plan'!E39),"",'Evaluation Plan'!E39)</x:f>
        <x:v>36</x:v>
      </x:c>
      <x:c r="F39" s="25" t="str">
        <x:f>'Evaluation Plan'!F39</x:f>
        <x:v>1077</x:v>
      </x:c>
      <x:c r="G39" s="25" t="str">
        <x:f>'Evaluation Plan'!G39</x:f>
        <x:v>MOVE green block to bowl</x:v>
      </x:c>
      <x:c r="H39" s="27"/>
      <x:c r="I39" s="25" t="str">
        <x:f>'Evaluation Plan'!I39</x:f>
        <x:v>Matched manipulation control</x:v>
      </x:c>
      <x:c r="J39" s="25" t="str">
        <x:f>'Evaluation Plan'!J39</x:f>
        <x:v>SZ-CT-LG03</x:v>
      </x:c>
      <x:c r="K39" s="25" t="str">
        <x:f>'Evaluation Plan'!K39</x:f>
        <x:v>Direct</x:v>
      </x:c>
      <x:c r="L39" s="25" t="str">
        <x:f>'Evaluation Plan'!L39</x:f>
        <x:v>Same-scene direct target control</x:v>
      </x:c>
      <x:c r="M39" s="25" t="str">
        <x:f>'Evaluation Plan'!M39</x:f>
        <x:v>green block</x:v>
      </x:c>
      <x:c r="N39" s="25" t="str">
        <x:f>'Evaluation Plan'!N39</x:f>
        <x:v>Left</x:v>
      </x:c>
      <x:c r="O39" s="25" t="n">
        <x:f>'Evaluation Plan'!O39</x:f>
        <x:v>2</x:v>
      </x:c>
      <x:c r="P39" s="25" t="n">
        <x:f>IF(ISBLANK('Evaluation Plan'!P39),"",'Evaluation Plan'!P39)</x:f>
        <x:v>16</x:v>
      </x:c>
      <x:c r="Q39" s="25" t="str">
        <x:f>'Evaluation Plan'!Q39</x:f>
        <x:v>Reset the target to its original pose; change only the prompt.</x:v>
      </x:c>
      <x:c r="R39" s="26" t="str">
        <x:f>'Evaluation Plan'!R39</x:f>
        <x:v>Exact-scene control using a direct prompt supported by training episode 1077.</x:v>
      </x:c>
      <x:c r="S39" s="28" t="str">
        <x:f>IF(ISBLANK('Evaluation Plan'!S39),"",'Evaluation Plan'!S39)</x:f>
      </x:c>
      <x:c r="T39" s="15"/>
      <x:c r="U39" s="15"/>
      <x:c r="V39" s="15"/>
      <x:c r="W39" s="15"/>
      <x:c r="X39" s="15"/>
      <x:c r="Y39" s="15"/>
      <x:c r="Z39" s="15"/>
    </x:row>
    <x:row r="40" ht="67.5" customHeight="1">
      <x:c r="A40" s="24" t="s">
        <x:v>591</x:v>
      </x:c>
      <x:c r="B40" s="25" t="n">
        <x:f>'Evaluation Plan'!B40</x:f>
        <x:v>38</x:v>
      </x:c>
      <x:c r="C40" s="26" t="str">
        <x:f>'Evaluation Plan'!C40</x:f>
        <x:v>Select the bigger object and put it into the bowl.</x:v>
      </x:c>
      <x:c r="D40" s="26" t="str">
        <x:f>'Evaluation Plan'!D40</x:f>
        <x:v>Bowl: empty. Table, robot-left→robot-right: P1 green block; P2 red pencil sharpener. Adjacent centers 16 cm apart; row shifted 4 cm toward robot-right; all objects fully visible and grasp paths clear.</x:v>
      </x:c>
      <x:c r="E40" s="25" t="n">
        <x:f>IF(ISBLANK('Evaluation Plan'!E40),"",'Evaluation Plan'!E40)</x:f>
        <x:v>36</x:v>
      </x:c>
      <x:c r="F40" s="25" t="str">
        <x:f>'Evaluation Plan'!F40</x:f>
        <x:v>1082</x:v>
      </x:c>
      <x:c r="G40" s="25" t="str">
        <x:f>'Evaluation Plan'!G40</x:f>
        <x:v>MOVE green block to bowl</x:v>
      </x:c>
      <x:c r="H40" s="27"/>
      <x:c r="I40" s="25" t="str">
        <x:f>'Evaluation Plan'!I40</x:f>
        <x:v>Language robustness</x:v>
      </x:c>
      <x:c r="J40" s="25" t="str">
        <x:f>'Evaluation Plan'!J40</x:f>
        <x:v>SZ-CT-LG03</x:v>
      </x:c>
      <x:c r="K40" s="25" t="str">
        <x:f>'Evaluation Plan'!K40</x:f>
        <x:v>largest</x:v>
      </x:c>
      <x:c r="L40" s="25" t="str">
        <x:f>'Evaluation Plan'!L40</x:f>
        <x:v>Primary compositional-transfer prompt paraphrase</x:v>
      </x:c>
      <x:c r="M40" s="25" t="str">
        <x:f>'Evaluation Plan'!M40</x:f>
        <x:v>green block</x:v>
      </x:c>
      <x:c r="N40" s="25" t="str">
        <x:f>'Evaluation Plan'!N40</x:f>
        <x:v>Left</x:v>
      </x:c>
      <x:c r="O40" s="25" t="n">
        <x:f>'Evaluation Plan'!O40</x:f>
        <x:v>2</x:v>
      </x:c>
      <x:c r="P40" s="25" t="n">
        <x:f>IF(ISBLANK('Evaluation Plan'!P40),"",'Evaluation Plan'!P40)</x:f>
        <x:v>16</x:v>
      </x:c>
      <x:c r="Q40" s="25" t="str">
        <x:f>'Evaluation Plan'!Q40</x:f>
        <x:v>Reset the target; preserve the exact scene and paraphrase only the transfer prompt.</x:v>
      </x:c>
      <x:c r="R40" s="26" t="str">
        <x:f>'Evaluation Plan'!R40</x:f>
        <x:v>Exact-scene paraphrase of the primary transfer instruction.</x:v>
      </x:c>
      <x:c r="S40" s="28" t="str">
        <x:f>IF(ISBLANK('Evaluation Plan'!S40),"",'Evaluation Plan'!S40)</x:f>
      </x:c>
      <x:c r="T40" s="15"/>
      <x:c r="U40" s="15"/>
      <x:c r="V40" s="15"/>
      <x:c r="W40" s="15"/>
      <x:c r="X40" s="15"/>
      <x:c r="Y40" s="15"/>
      <x:c r="Z40" s="15"/>
    </x:row>
    <x:row r="41" ht="67.5" customHeight="1">
      <x:c r="A41" s="24" t="s">
        <x:v>591</x:v>
      </x:c>
      <x:c r="B41" s="25" t="n">
        <x:f>'Evaluation Plan'!B41</x:f>
        <x:v>39</x:v>
      </x:c>
      <x:c r="C41" s="26" t="str">
        <x:f>'Evaluation Plan'!C41</x:f>
        <x:v>Move the green block off the table and into the bowl.</x:v>
      </x:c>
      <x:c r="D41" s="26" t="str">
        <x:f>'Evaluation Plan'!D41</x:f>
        <x:v>Bowl: empty. Table, robot-left→robot-right: P1 green block; P2 red pencil sharpener. Adjacent centers 16 cm apart; row shifted 4 cm toward robot-right; all objects fully visible and grasp paths clear.</x:v>
      </x:c>
      <x:c r="E41" s="25" t="n">
        <x:f>IF(ISBLANK('Evaluation Plan'!E41),"",'Evaluation Plan'!E41)</x:f>
        <x:v>37</x:v>
      </x:c>
      <x:c r="F41" s="25" t="str">
        <x:f>'Evaluation Plan'!F41</x:f>
        <x:v>1077</x:v>
      </x:c>
      <x:c r="G41" s="25" t="str">
        <x:f>'Evaluation Plan'!G41</x:f>
        <x:v>MOVE green block to bowl</x:v>
      </x:c>
      <x:c r="H41" s="27"/>
      <x:c r="I41" s="25" t="str">
        <x:f>'Evaluation Plan'!I41</x:f>
        <x:v>Language robustness</x:v>
      </x:c>
      <x:c r="J41" s="25" t="str">
        <x:f>'Evaluation Plan'!J41</x:f>
        <x:v>SZ-CT-LG03</x:v>
      </x:c>
      <x:c r="K41" s="25" t="str">
        <x:f>'Evaluation Plan'!K41</x:f>
        <x:v>Direct</x:v>
      </x:c>
      <x:c r="L41" s="25" t="str">
        <x:f>'Evaluation Plan'!L41</x:f>
        <x:v>Matched-control direct prompt paraphrase</x:v>
      </x:c>
      <x:c r="M41" s="25" t="str">
        <x:f>'Evaluation Plan'!M41</x:f>
        <x:v>green block</x:v>
      </x:c>
      <x:c r="N41" s="25" t="str">
        <x:f>'Evaluation Plan'!N41</x:f>
        <x:v>Left</x:v>
      </x:c>
      <x:c r="O41" s="25" t="n">
        <x:f>'Evaluation Plan'!O41</x:f>
        <x:v>2</x:v>
      </x:c>
      <x:c r="P41" s="25" t="n">
        <x:f>IF(ISBLANK('Evaluation Plan'!P41),"",'Evaluation Plan'!P41)</x:f>
        <x:v>16</x:v>
      </x:c>
      <x:c r="Q41" s="25" t="str">
        <x:f>'Evaluation Plan'!Q41</x:f>
        <x:v>Reset the target; preserve the exact scene and paraphrase only the matched-control prompt.</x:v>
      </x:c>
      <x:c r="R41" s="26" t="str">
        <x:f>'Evaluation Plan'!R41</x:f>
        <x:v>Exact-scene paraphrase of the direct manipulation control.</x:v>
      </x:c>
      <x:c r="S41" s="28" t="str">
        <x:f>IF(ISBLANK('Evaluation Plan'!S41),"",'Evaluation Plan'!S41)</x:f>
      </x:c>
      <x:c r="T41" s="15"/>
      <x:c r="U41" s="15"/>
      <x:c r="V41" s="15"/>
      <x:c r="W41" s="15"/>
      <x:c r="X41" s="15"/>
      <x:c r="Y41" s="15"/>
      <x:c r="Z41" s="15"/>
    </x:row>
    <x:row r="42" ht="67.5" customHeight="1">
      <x:c r="A42" s="10" t="s">
        <x:v>591</x:v>
      </x:c>
      <x:c r="B42" s="11" t="n">
        <x:f>'Evaluation Plan'!B42</x:f>
        <x:v>40</x:v>
      </x:c>
      <x:c r="C42" s="12" t="str">
        <x:f>'Evaluation Plan'!C42</x:f>
        <x:v>Move the object that is smallest into the bowl.</x:v>
      </x:c>
      <x:c r="D42" s="12" t="str">
        <x:f>'Evaluation Plan'!D42</x:f>
        <x:v>Bowl: empty. Table, robot-left→robot-right: P1 crushed Pepsi can; P2 juggling ball. Adjacent centers 8 cm apart; row shifted 4 cm away from the robot; all objects fully visible and grasp paths clear.</x:v>
      </x:c>
      <x:c r="E42" s="13" t="str">
        <x:f>IF(ISBLANK('Evaluation Plan'!E42),"",'Evaluation Plan'!E42)</x:f>
      </x:c>
      <x:c r="F42" s="11" t="str">
        <x:f>'Evaluation Plan'!F42</x:f>
        <x:v>1107</x:v>
      </x:c>
      <x:c r="G42" s="11" t="str">
        <x:f>'Evaluation Plan'!G42</x:f>
        <x:v>MOVE juggling ball to bowl</x:v>
      </x:c>
      <x:c r="H42" s="13"/>
      <x:c r="I42" s="11" t="str">
        <x:f>'Evaluation Plan'!I42</x:f>
        <x:v>Concept/compositional transfer</x:v>
      </x:c>
      <x:c r="J42" s="11" t="str">
        <x:f>'Evaluation Plan'!J42</x:f>
        <x:v>SZ-CT-SJ03</x:v>
      </x:c>
      <x:c r="K42" s="11" t="str">
        <x:f>'Evaluation Plan'!K42</x:f>
        <x:v>smallest</x:v>
      </x:c>
      <x:c r="L42" s="11" t="str">
        <x:f>'Evaluation Plan'!L42</x:f>
        <x:v>Held-out smallest × juggling ball — Move</x:v>
      </x:c>
      <x:c r="M42" s="11" t="str">
        <x:f>'Evaluation Plan'!M42</x:f>
        <x:v>juggling ball</x:v>
      </x:c>
      <x:c r="N42" s="11" t="str">
        <x:f>'Evaluation Plan'!N42</x:f>
        <x:v>Right</x:v>
      </x:c>
      <x:c r="O42" s="11" t="n">
        <x:f>'Evaluation Plan'!O42</x:f>
        <x:v>2</x:v>
      </x:c>
      <x:c r="P42" s="11" t="n">
        <x:f>IF(ISBLANK('Evaluation Plan'!P42),"",'Evaluation Plan'!P42)</x:f>
        <x:v>8</x:v>
      </x:c>
      <x:c r="Q42" s="11" t="str">
        <x:f>'Evaluation Plan'!Q42</x:f>
        <x:v>Build the listed two-object scene and save a first-frame filename.</x:v>
      </x:c>
      <x:c r="R42" s="12" t="str">
        <x:f>'Evaluation Plan'!R42</x:f>
        <x:v>Primary missing cell. Training episode 1107 contains the same target trajectory but masks the size word with a direct identity prompt.</x:v>
      </x:c>
      <x:c r="S42" s="14" t="str">
        <x:f>IF(ISBLANK('Evaluation Plan'!S42),"",'Evaluation Plan'!S42)</x:f>
      </x:c>
      <x:c r="T42" s="15"/>
      <x:c r="U42" s="15"/>
      <x:c r="V42" s="15"/>
      <x:c r="W42" s="15"/>
      <x:c r="X42" s="15"/>
      <x:c r="Y42" s="15"/>
      <x:c r="Z42" s="15"/>
    </x:row>
    <x:row r="43" ht="67.5" customHeight="1">
      <x:c r="A43" s="24" t="s">
        <x:v>591</x:v>
      </x:c>
      <x:c r="B43" s="25" t="n">
        <x:f>'Evaluation Plan'!B43</x:f>
        <x:v>41</x:v>
      </x:c>
      <x:c r="C43" s="26" t="str">
        <x:f>'Evaluation Plan'!C43</x:f>
        <x:v>Pick up the juggling ball and place it in the bowl.</x:v>
      </x:c>
      <x:c r="D43" s="26" t="str">
        <x:f>'Evaluation Plan'!D43</x:f>
        <x:v>Bowl: empty. Table, robot-left→robot-right: P1 crushed Pepsi can; P2 juggling ball. Adjacent centers 8 cm apart; row shifted 4 cm away from the robot; all objects fully visible and grasp paths clear.</x:v>
      </x:c>
      <x:c r="E43" s="25" t="n">
        <x:f>IF(ISBLANK('Evaluation Plan'!E43),"",'Evaluation Plan'!E43)</x:f>
        <x:v>40</x:v>
      </x:c>
      <x:c r="F43" s="25" t="str">
        <x:f>'Evaluation Plan'!F43</x:f>
        <x:v>1102</x:v>
      </x:c>
      <x:c r="G43" s="25" t="str">
        <x:f>'Evaluation Plan'!G43</x:f>
        <x:v>MOVE juggling ball to bowl</x:v>
      </x:c>
      <x:c r="H43" s="27"/>
      <x:c r="I43" s="25" t="str">
        <x:f>'Evaluation Plan'!I43</x:f>
        <x:v>Matched manipulation control</x:v>
      </x:c>
      <x:c r="J43" s="25" t="str">
        <x:f>'Evaluation Plan'!J43</x:f>
        <x:v>SZ-CT-SJ03</x:v>
      </x:c>
      <x:c r="K43" s="25" t="str">
        <x:f>'Evaluation Plan'!K43</x:f>
        <x:v>Direct</x:v>
      </x:c>
      <x:c r="L43" s="25" t="str">
        <x:f>'Evaluation Plan'!L43</x:f>
        <x:v>Same-scene direct target control</x:v>
      </x:c>
      <x:c r="M43" s="25" t="str">
        <x:f>'Evaluation Plan'!M43</x:f>
        <x:v>juggling ball</x:v>
      </x:c>
      <x:c r="N43" s="25" t="str">
        <x:f>'Evaluation Plan'!N43</x:f>
        <x:v>Right</x:v>
      </x:c>
      <x:c r="O43" s="25" t="n">
        <x:f>'Evaluation Plan'!O43</x:f>
        <x:v>2</x:v>
      </x:c>
      <x:c r="P43" s="25" t="n">
        <x:f>IF(ISBLANK('Evaluation Plan'!P43),"",'Evaluation Plan'!P43)</x:f>
        <x:v>8</x:v>
      </x:c>
      <x:c r="Q43" s="25" t="str">
        <x:f>'Evaluation Plan'!Q43</x:f>
        <x:v>Reset the target to its original pose; change only the prompt.</x:v>
      </x:c>
      <x:c r="R43" s="26" t="str">
        <x:f>'Evaluation Plan'!R43</x:f>
        <x:v>Exact-scene control using a direct prompt supported by training episode 1102.</x:v>
      </x:c>
      <x:c r="S43" s="28" t="str">
        <x:f>IF(ISBLANK('Evaluation Plan'!S43),"",'Evaluation Plan'!S43)</x:f>
      </x:c>
      <x:c r="T43" s="15"/>
      <x:c r="U43" s="15"/>
      <x:c r="V43" s="15"/>
      <x:c r="W43" s="15"/>
      <x:c r="X43" s="15"/>
      <x:c r="Y43" s="15"/>
      <x:c r="Z43" s="15"/>
    </x:row>
    <x:row r="44" ht="67.5" customHeight="1">
      <x:c r="A44" s="29" t="s">
        <x:v>693</x:v>
      </x:c>
      <x:c r="B44" s="30" t="n">
        <x:f>'Evaluation Plan'!B44</x:f>
        <x:v>42</x:v>
      </x:c>
      <x:c r="C44" s="31" t="str">
        <x:f>'Evaluation Plan'!C44</x:f>
        <x:v>Select the smaller object and put it into the bowl.</x:v>
      </x:c>
      <x:c r="D44" s="31" t="str">
        <x:f>'Evaluation Plan'!D44</x:f>
        <x:v>Bowl: empty. Table, robot-left→robot-right: P1 crushed Pepsi can; P2 juggling ball. Adjacent centers 8 cm apart; row shifted 4 cm away from the robot; all objects fully visible and grasp paths clear.</x:v>
      </x:c>
      <x:c r="E44" s="30" t="n">
        <x:f>IF(ISBLANK('Evaluation Plan'!E44),"",'Evaluation Plan'!E44)</x:f>
        <x:v>40</x:v>
      </x:c>
      <x:c r="F44" s="30" t="str">
        <x:f>'Evaluation Plan'!F44</x:f>
        <x:v>1107</x:v>
      </x:c>
      <x:c r="G44" s="30" t="str">
        <x:f>'Evaluation Plan'!G44</x:f>
        <x:v>MOVE juggling ball to bowl</x:v>
      </x:c>
      <x:c r="H44" s="31" t="s">
        <x:v>700</x:v>
      </x:c>
      <x:c r="I44" s="30" t="str">
        <x:f>'Evaluation Plan'!I44</x:f>
        <x:v>Language robustness</x:v>
      </x:c>
      <x:c r="J44" s="30" t="str">
        <x:f>'Evaluation Plan'!J44</x:f>
        <x:v>SZ-CT-SJ03</x:v>
      </x:c>
      <x:c r="K44" s="30" t="str">
        <x:f>'Evaluation Plan'!K44</x:f>
        <x:v>smallest</x:v>
      </x:c>
      <x:c r="L44" s="30" t="str">
        <x:f>'Evaluation Plan'!L44</x:f>
        <x:v>Primary compositional-transfer prompt paraphrase</x:v>
      </x:c>
      <x:c r="M44" s="30" t="str">
        <x:f>'Evaluation Plan'!M44</x:f>
        <x:v>juggling ball</x:v>
      </x:c>
      <x:c r="N44" s="30" t="str">
        <x:f>'Evaluation Plan'!N44</x:f>
        <x:v>Right</x:v>
      </x:c>
      <x:c r="O44" s="30" t="n">
        <x:f>'Evaluation Plan'!O44</x:f>
        <x:v>2</x:v>
      </x:c>
      <x:c r="P44" s="30" t="n">
        <x:f>IF(ISBLANK('Evaluation Plan'!P44),"",'Evaluation Plan'!P44)</x:f>
        <x:v>8</x:v>
      </x:c>
      <x:c r="Q44" s="30" t="str">
        <x:f>'Evaluation Plan'!Q44</x:f>
        <x:v>Reset the target; preserve the exact scene and paraphrase only the transfer prompt.</x:v>
      </x:c>
      <x:c r="R44" s="31" t="str">
        <x:f>'Evaluation Plan'!R44</x:f>
        <x:v>Exact-scene paraphrase of the primary transfer instruction.</x:v>
      </x:c>
      <x:c r="S44" s="32" t="str">
        <x:f>IF(ISBLANK('Evaluation Plan'!S44),"",'Evaluation Plan'!S44)</x:f>
      </x:c>
      <x:c r="T44" s="15"/>
      <x:c r="U44" s="15"/>
      <x:c r="V44" s="15"/>
      <x:c r="W44" s="15"/>
      <x:c r="X44" s="15"/>
      <x:c r="Y44" s="15"/>
      <x:c r="Z44" s="15"/>
    </x:row>
    <x:row r="45" ht="67.5" customHeight="1">
      <x:c r="A45" s="24" t="s">
        <x:v>591</x:v>
      </x:c>
      <x:c r="B45" s="25" t="n">
        <x:f>'Evaluation Plan'!B45</x:f>
        <x:v>43</x:v>
      </x:c>
      <x:c r="C45" s="26" t="str">
        <x:f>'Evaluation Plan'!C45</x:f>
        <x:v>Move the juggling ball off the table and into the bowl.</x:v>
      </x:c>
      <x:c r="D45" s="26" t="str">
        <x:f>'Evaluation Plan'!D45</x:f>
        <x:v>Bowl: empty. Table, robot-left→robot-right: P1 crushed Pepsi can; P2 juggling ball. Adjacent centers 8 cm apart; row shifted 4 cm away from the robot; all objects fully visible and grasp paths clear.</x:v>
      </x:c>
      <x:c r="E45" s="25" t="n">
        <x:f>IF(ISBLANK('Evaluation Plan'!E45),"",'Evaluation Plan'!E45)</x:f>
        <x:v>41</x:v>
      </x:c>
      <x:c r="F45" s="25" t="str">
        <x:f>'Evaluation Plan'!F45</x:f>
        <x:v>1102</x:v>
      </x:c>
      <x:c r="G45" s="25" t="str">
        <x:f>'Evaluation Plan'!G45</x:f>
        <x:v>MOVE juggling ball to bowl</x:v>
      </x:c>
      <x:c r="H45" s="27"/>
      <x:c r="I45" s="25" t="str">
        <x:f>'Evaluation Plan'!I45</x:f>
        <x:v>Language robustness</x:v>
      </x:c>
      <x:c r="J45" s="25" t="str">
        <x:f>'Evaluation Plan'!J45</x:f>
        <x:v>SZ-CT-SJ03</x:v>
      </x:c>
      <x:c r="K45" s="25" t="str">
        <x:f>'Evaluation Plan'!K45</x:f>
        <x:v>Direct</x:v>
      </x:c>
      <x:c r="L45" s="25" t="str">
        <x:f>'Evaluation Plan'!L45</x:f>
        <x:v>Matched-control direct prompt paraphrase</x:v>
      </x:c>
      <x:c r="M45" s="25" t="str">
        <x:f>'Evaluation Plan'!M45</x:f>
        <x:v>juggling ball</x:v>
      </x:c>
      <x:c r="N45" s="25" t="str">
        <x:f>'Evaluation Plan'!N45</x:f>
        <x:v>Right</x:v>
      </x:c>
      <x:c r="O45" s="25" t="n">
        <x:f>'Evaluation Plan'!O45</x:f>
        <x:v>2</x:v>
      </x:c>
      <x:c r="P45" s="25" t="n">
        <x:f>IF(ISBLANK('Evaluation Plan'!P45),"",'Evaluation Plan'!P45)</x:f>
        <x:v>8</x:v>
      </x:c>
      <x:c r="Q45" s="25" t="str">
        <x:f>'Evaluation Plan'!Q45</x:f>
        <x:v>Reset the target; preserve the exact scene and paraphrase only the matched-control prompt.</x:v>
      </x:c>
      <x:c r="R45" s="26" t="str">
        <x:f>'Evaluation Plan'!R45</x:f>
        <x:v>Exact-scene paraphrase of the direct manipulation control.</x:v>
      </x:c>
      <x:c r="S45" s="28" t="str">
        <x:f>IF(ISBLANK('Evaluation Plan'!S45),"",'Evaluation Plan'!S45)</x:f>
      </x:c>
      <x:c r="T45" s="15"/>
      <x:c r="U45" s="15"/>
      <x:c r="V45" s="15"/>
      <x:c r="W45" s="15"/>
      <x:c r="X45" s="15"/>
      <x:c r="Y45" s="15"/>
      <x:c r="Z45" s="15"/>
    </x:row>
    <x:row r="46" ht="67.5" customHeight="1">
      <x:c r="A46" s="10" t="s">
        <x:v>591</x:v>
      </x:c>
      <x:c r="B46" s="11" t="n">
        <x:f>'Evaluation Plan'!B46</x:f>
        <x:v>44</x:v>
      </x:c>
      <x:c r="C46" s="12" t="str">
        <x:f>'Evaluation Plan'!C46</x:f>
        <x:v>Move the object that is largest into the bowl.</x:v>
      </x:c>
      <x:c r="D46" s="12" t="str">
        <x:f>'Evaluation Plan'!D46</x:f>
        <x:v>Bowl: empty. Table, robot-left→robot-right: P1 red pencil sharpener; P2 green block. Adjacent centers 8 cm apart; row shifted 4 cm toward the robot; all objects fully visible and grasp paths clear.</x:v>
      </x:c>
      <x:c r="E46" s="13" t="str">
        <x:f>IF(ISBLANK('Evaluation Plan'!E46),"",'Evaluation Plan'!E46)</x:f>
      </x:c>
      <x:c r="F46" s="11" t="str">
        <x:f>'Evaluation Plan'!F46</x:f>
        <x:v>1083</x:v>
      </x:c>
      <x:c r="G46" s="11" t="str">
        <x:f>'Evaluation Plan'!G46</x:f>
        <x:v>MOVE green block to bowl</x:v>
      </x:c>
      <x:c r="H46" s="13"/>
      <x:c r="I46" s="11" t="str">
        <x:f>'Evaluation Plan'!I46</x:f>
        <x:v>Concept/compositional transfer</x:v>
      </x:c>
      <x:c r="J46" s="11" t="str">
        <x:f>'Evaluation Plan'!J46</x:f>
        <x:v>SZ-CT-LG04</x:v>
      </x:c>
      <x:c r="K46" s="11" t="str">
        <x:f>'Evaluation Plan'!K46</x:f>
        <x:v>largest</x:v>
      </x:c>
      <x:c r="L46" s="11" t="str">
        <x:f>'Evaluation Plan'!L46</x:f>
        <x:v>Held-out largest × green block — Move</x:v>
      </x:c>
      <x:c r="M46" s="11" t="str">
        <x:f>'Evaluation Plan'!M46</x:f>
        <x:v>green block</x:v>
      </x:c>
      <x:c r="N46" s="11" t="str">
        <x:f>'Evaluation Plan'!N46</x:f>
        <x:v>Right</x:v>
      </x:c>
      <x:c r="O46" s="11" t="n">
        <x:f>'Evaluation Plan'!O46</x:f>
        <x:v>2</x:v>
      </x:c>
      <x:c r="P46" s="11" t="n">
        <x:f>IF(ISBLANK('Evaluation Plan'!P46),"",'Evaluation Plan'!P46)</x:f>
        <x:v>8</x:v>
      </x:c>
      <x:c r="Q46" s="11" t="str">
        <x:f>'Evaluation Plan'!Q46</x:f>
        <x:v>Build the listed two-object scene and save a first-frame filename.</x:v>
      </x:c>
      <x:c r="R46" s="12" t="str">
        <x:f>'Evaluation Plan'!R46</x:f>
        <x:v>Primary missing cell. Training episode 1083 contains the same target trajectory but masks the size word with a direct identity prompt.</x:v>
      </x:c>
      <x:c r="S46" s="14" t="str">
        <x:f>IF(ISBLANK('Evaluation Plan'!S46),"",'Evaluation Plan'!S46)</x:f>
      </x:c>
      <x:c r="T46" s="15"/>
      <x:c r="U46" s="15"/>
      <x:c r="V46" s="15"/>
      <x:c r="W46" s="15"/>
      <x:c r="X46" s="15"/>
      <x:c r="Y46" s="15"/>
      <x:c r="Z46" s="15"/>
    </x:row>
    <x:row r="47" ht="67.5" customHeight="1">
      <x:c r="A47" s="24" t="s">
        <x:v>591</x:v>
      </x:c>
      <x:c r="B47" s="25" t="n">
        <x:f>'Evaluation Plan'!B47</x:f>
        <x:v>45</x:v>
      </x:c>
      <x:c r="C47" s="26" t="str">
        <x:f>'Evaluation Plan'!C47</x:f>
        <x:v>Put the green block in the bowl.</x:v>
      </x:c>
      <x:c r="D47" s="26" t="str">
        <x:f>'Evaluation Plan'!D47</x:f>
        <x:v>Bowl: empty. Table, robot-left→robot-right: P1 red pencil sharpener; P2 green block. Adjacent centers 8 cm apart; row shifted 4 cm toward the robot; all objects fully visible and grasp paths clear.</x:v>
      </x:c>
      <x:c r="E47" s="25" t="n">
        <x:f>IF(ISBLANK('Evaluation Plan'!E47),"",'Evaluation Plan'!E47)</x:f>
        <x:v>44</x:v>
      </x:c>
      <x:c r="F47" s="25" t="str">
        <x:f>'Evaluation Plan'!F47</x:f>
        <x:v>1078</x:v>
      </x:c>
      <x:c r="G47" s="25" t="str">
        <x:f>'Evaluation Plan'!G47</x:f>
        <x:v>MOVE green block to bowl</x:v>
      </x:c>
      <x:c r="H47" s="27"/>
      <x:c r="I47" s="25" t="str">
        <x:f>'Evaluation Plan'!I47</x:f>
        <x:v>Matched manipulation control</x:v>
      </x:c>
      <x:c r="J47" s="25" t="str">
        <x:f>'Evaluation Plan'!J47</x:f>
        <x:v>SZ-CT-LG04</x:v>
      </x:c>
      <x:c r="K47" s="25" t="str">
        <x:f>'Evaluation Plan'!K47</x:f>
        <x:v>Direct</x:v>
      </x:c>
      <x:c r="L47" s="25" t="str">
        <x:f>'Evaluation Plan'!L47</x:f>
        <x:v>Same-scene direct target control</x:v>
      </x:c>
      <x:c r="M47" s="25" t="str">
        <x:f>'Evaluation Plan'!M47</x:f>
        <x:v>green block</x:v>
      </x:c>
      <x:c r="N47" s="25" t="str">
        <x:f>'Evaluation Plan'!N47</x:f>
        <x:v>Right</x:v>
      </x:c>
      <x:c r="O47" s="25" t="n">
        <x:f>'Evaluation Plan'!O47</x:f>
        <x:v>2</x:v>
      </x:c>
      <x:c r="P47" s="25" t="n">
        <x:f>IF(ISBLANK('Evaluation Plan'!P47),"",'Evaluation Plan'!P47)</x:f>
        <x:v>8</x:v>
      </x:c>
      <x:c r="Q47" s="25" t="str">
        <x:f>'Evaluation Plan'!Q47</x:f>
        <x:v>Reset the target to its original pose; change only the prompt.</x:v>
      </x:c>
      <x:c r="R47" s="26" t="str">
        <x:f>'Evaluation Plan'!R47</x:f>
        <x:v>Exact-scene control using a direct prompt supported by training episode 1078.</x:v>
      </x:c>
      <x:c r="S47" s="28" t="str">
        <x:f>IF(ISBLANK('Evaluation Plan'!S47),"",'Evaluation Plan'!S47)</x:f>
      </x:c>
      <x:c r="T47" s="15"/>
      <x:c r="U47" s="15"/>
      <x:c r="V47" s="15"/>
      <x:c r="W47" s="15"/>
      <x:c r="X47" s="15"/>
      <x:c r="Y47" s="15"/>
      <x:c r="Z47" s="15"/>
    </x:row>
    <x:row r="48" ht="67.5" customHeight="1">
      <x:c r="A48" s="24" t="s">
        <x:v>591</x:v>
      </x:c>
      <x:c r="B48" s="25" t="n">
        <x:f>'Evaluation Plan'!B48</x:f>
        <x:v>46</x:v>
      </x:c>
      <x:c r="C48" s="26" t="str">
        <x:f>'Evaluation Plan'!C48</x:f>
        <x:v>Find the greatest-sized item and move it to the bowl.</x:v>
      </x:c>
      <x:c r="D48" s="26" t="str">
        <x:f>'Evaluation Plan'!D48</x:f>
        <x:v>Bowl: empty. Table, robot-left→robot-right: P1 red pencil sharpener; P2 green block. Adjacent centers 8 cm apart; row shifted 4 cm toward the robot; all objects fully visible and grasp paths clear.</x:v>
      </x:c>
      <x:c r="E48" s="25" t="n">
        <x:f>IF(ISBLANK('Evaluation Plan'!E48),"",'Evaluation Plan'!E48)</x:f>
        <x:v>44</x:v>
      </x:c>
      <x:c r="F48" s="25" t="str">
        <x:f>'Evaluation Plan'!F48</x:f>
        <x:v>1083</x:v>
      </x:c>
      <x:c r="G48" s="25" t="str">
        <x:f>'Evaluation Plan'!G48</x:f>
        <x:v>MOVE green block to bowl</x:v>
      </x:c>
      <x:c r="H48" s="27"/>
      <x:c r="I48" s="25" t="str">
        <x:f>'Evaluation Plan'!I48</x:f>
        <x:v>Language robustness</x:v>
      </x:c>
      <x:c r="J48" s="25" t="str">
        <x:f>'Evaluation Plan'!J48</x:f>
        <x:v>SZ-CT-LG04</x:v>
      </x:c>
      <x:c r="K48" s="25" t="str">
        <x:f>'Evaluation Plan'!K48</x:f>
        <x:v>largest</x:v>
      </x:c>
      <x:c r="L48" s="25" t="str">
        <x:f>'Evaluation Plan'!L48</x:f>
        <x:v>Primary compositional-transfer prompt paraphrase</x:v>
      </x:c>
      <x:c r="M48" s="25" t="str">
        <x:f>'Evaluation Plan'!M48</x:f>
        <x:v>green block</x:v>
      </x:c>
      <x:c r="N48" s="25" t="str">
        <x:f>'Evaluation Plan'!N48</x:f>
        <x:v>Right</x:v>
      </x:c>
      <x:c r="O48" s="25" t="n">
        <x:f>'Evaluation Plan'!O48</x:f>
        <x:v>2</x:v>
      </x:c>
      <x:c r="P48" s="25" t="n">
        <x:f>IF(ISBLANK('Evaluation Plan'!P48),"",'Evaluation Plan'!P48)</x:f>
        <x:v>8</x:v>
      </x:c>
      <x:c r="Q48" s="25" t="str">
        <x:f>'Evaluation Plan'!Q48</x:f>
        <x:v>Reset the target; preserve the exact scene and paraphrase only the transfer prompt.</x:v>
      </x:c>
      <x:c r="R48" s="26" t="str">
        <x:f>'Evaluation Plan'!R48</x:f>
        <x:v>Exact-scene paraphrase of the primary transfer instruction.</x:v>
      </x:c>
      <x:c r="S48" s="28" t="str">
        <x:f>IF(ISBLANK('Evaluation Plan'!S48),"",'Evaluation Plan'!S48)</x:f>
      </x:c>
      <x:c r="T48" s="15"/>
      <x:c r="U48" s="15"/>
      <x:c r="V48" s="15"/>
      <x:c r="W48" s="15"/>
      <x:c r="X48" s="15"/>
      <x:c r="Y48" s="15"/>
      <x:c r="Z48" s="15"/>
    </x:row>
    <x:row r="49" ht="67.5" customHeight="1">
      <x:c r="A49" s="24" t="s">
        <x:v>591</x:v>
      </x:c>
      <x:c r="B49" s="25" t="n">
        <x:f>'Evaluation Plan'!B49</x:f>
        <x:v>47</x:v>
      </x:c>
      <x:c r="C49" s="26" t="str">
        <x:f>'Evaluation Plan'!C49</x:f>
        <x:v>Place the table's green block inside the bowl.</x:v>
      </x:c>
      <x:c r="D49" s="26" t="str">
        <x:f>'Evaluation Plan'!D49</x:f>
        <x:v>Bowl: empty. Table, robot-left→robot-right: P1 red pencil sharpener; P2 green block. Adjacent centers 8 cm apart; row shifted 4 cm toward the robot; all objects fully visible and grasp paths clear.</x:v>
      </x:c>
      <x:c r="E49" s="25" t="n">
        <x:f>IF(ISBLANK('Evaluation Plan'!E49),"",'Evaluation Plan'!E49)</x:f>
        <x:v>45</x:v>
      </x:c>
      <x:c r="F49" s="25" t="str">
        <x:f>'Evaluation Plan'!F49</x:f>
        <x:v>1078</x:v>
      </x:c>
      <x:c r="G49" s="25" t="str">
        <x:f>'Evaluation Plan'!G49</x:f>
        <x:v>MOVE green block to bowl</x:v>
      </x:c>
      <x:c r="H49" s="27"/>
      <x:c r="I49" s="25" t="str">
        <x:f>'Evaluation Plan'!I49</x:f>
        <x:v>Language robustness</x:v>
      </x:c>
      <x:c r="J49" s="25" t="str">
        <x:f>'Evaluation Plan'!J49</x:f>
        <x:v>SZ-CT-LG04</x:v>
      </x:c>
      <x:c r="K49" s="25" t="str">
        <x:f>'Evaluation Plan'!K49</x:f>
        <x:v>Direct</x:v>
      </x:c>
      <x:c r="L49" s="25" t="str">
        <x:f>'Evaluation Plan'!L49</x:f>
        <x:v>Matched-control direct prompt paraphrase</x:v>
      </x:c>
      <x:c r="M49" s="25" t="str">
        <x:f>'Evaluation Plan'!M49</x:f>
        <x:v>green block</x:v>
      </x:c>
      <x:c r="N49" s="25" t="str">
        <x:f>'Evaluation Plan'!N49</x:f>
        <x:v>Right</x:v>
      </x:c>
      <x:c r="O49" s="25" t="n">
        <x:f>'Evaluation Plan'!O49</x:f>
        <x:v>2</x:v>
      </x:c>
      <x:c r="P49" s="25" t="n">
        <x:f>IF(ISBLANK('Evaluation Plan'!P49),"",'Evaluation Plan'!P49)</x:f>
        <x:v>8</x:v>
      </x:c>
      <x:c r="Q49" s="25" t="str">
        <x:f>'Evaluation Plan'!Q49</x:f>
        <x:v>Reset the target; preserve the exact scene and paraphrase only the matched-control prompt.</x:v>
      </x:c>
      <x:c r="R49" s="26" t="str">
        <x:f>'Evaluation Plan'!R49</x:f>
        <x:v>Exact-scene paraphrase of the direct manipulation control.</x:v>
      </x:c>
      <x:c r="S49" s="28" t="str">
        <x:f>IF(ISBLANK('Evaluation Plan'!S49),"",'Evaluation Plan'!S49)</x:f>
      </x:c>
      <x:c r="T49" s="15"/>
      <x:c r="U49" s="15"/>
      <x:c r="V49" s="15"/>
      <x:c r="W49" s="15"/>
      <x:c r="X49" s="15"/>
      <x:c r="Y49" s="15"/>
      <x:c r="Z49" s="15"/>
    </x:row>
    <x:row r="50" ht="67.5" customHeight="1">
      <x:c r="A50" s="17" t="s">
        <x:v>693</x:v>
      </x:c>
      <x:c r="B50" s="18" t="n">
        <x:f>'Evaluation Plan'!B50</x:f>
        <x:v>48</x:v>
      </x:c>
      <x:c r="C50" s="19" t="str">
        <x:f>'Evaluation Plan'!C50</x:f>
        <x:v>Pick up the smallest item and place it in the bowl.</x:v>
      </x:c>
      <x:c r="D50" s="19" t="str">
        <x:f>'Evaluation Plan'!D50</x:f>
        <x:v>Bowl: empty. Table, robot-left→robot-right: P1 juggling ball; P2 crushed Pepsi can. Adjacent centers 12 cm apart; row centered on the workspace; all objects fully visible and grasp paths clear.</x:v>
      </x:c>
      <x:c r="E50" s="20" t="str">
        <x:f>IF(ISBLANK('Evaluation Plan'!E50),"",'Evaluation Plan'!E50)</x:f>
      </x:c>
      <x:c r="F50" s="18" t="str">
        <x:f>'Evaluation Plan'!F50</x:f>
        <x:v>1108</x:v>
      </x:c>
      <x:c r="G50" s="18" t="str">
        <x:f>'Evaluation Plan'!G50</x:f>
        <x:v>MOVE juggling ball to bowl</x:v>
      </x:c>
      <x:c r="H50" s="19" t="s">
        <x:v>701</x:v>
      </x:c>
      <x:c r="I50" s="18" t="str">
        <x:f>'Evaluation Plan'!I50</x:f>
        <x:v>Concept/compositional transfer</x:v>
      </x:c>
      <x:c r="J50" s="18" t="str">
        <x:f>'Evaluation Plan'!J50</x:f>
        <x:v>SZ-CT-SJ04</x:v>
      </x:c>
      <x:c r="K50" s="18" t="str">
        <x:f>'Evaluation Plan'!K50</x:f>
        <x:v>smallest</x:v>
      </x:c>
      <x:c r="L50" s="18" t="str">
        <x:f>'Evaluation Plan'!L50</x:f>
        <x:v>Held-out smallest × juggling ball — Pick up</x:v>
      </x:c>
      <x:c r="M50" s="18" t="str">
        <x:f>'Evaluation Plan'!M50</x:f>
        <x:v>juggling ball</x:v>
      </x:c>
      <x:c r="N50" s="18" t="str">
        <x:f>'Evaluation Plan'!N50</x:f>
        <x:v>Left</x:v>
      </x:c>
      <x:c r="O50" s="18" t="n">
        <x:f>'Evaluation Plan'!O50</x:f>
        <x:v>2</x:v>
      </x:c>
      <x:c r="P50" s="18" t="n">
        <x:f>IF(ISBLANK('Evaluation Plan'!P50),"",'Evaluation Plan'!P50)</x:f>
        <x:v>12</x:v>
      </x:c>
      <x:c r="Q50" s="18" t="str">
        <x:f>'Evaluation Plan'!Q50</x:f>
        <x:v>Build the listed two-object scene and save a first-frame filename.</x:v>
      </x:c>
      <x:c r="R50" s="19" t="str">
        <x:f>'Evaluation Plan'!R50</x:f>
        <x:v>Primary missing cell. Training episode 1108 contains the same target trajectory but masks the size word with a direct identity prompt.</x:v>
      </x:c>
      <x:c r="S50" s="21" t="str">
        <x:f>IF(ISBLANK('Evaluation Plan'!S50),"",'Evaluation Plan'!S50)</x:f>
      </x:c>
      <x:c r="T50" s="15"/>
      <x:c r="U50" s="15"/>
      <x:c r="V50" s="15"/>
      <x:c r="W50" s="15"/>
      <x:c r="X50" s="15"/>
      <x:c r="Y50" s="15"/>
      <x:c r="Z50" s="15"/>
    </x:row>
    <x:row r="51" ht="67.5" customHeight="1">
      <x:c r="A51" s="24" t="s">
        <x:v>591</x:v>
      </x:c>
      <x:c r="B51" s="25" t="n">
        <x:f>'Evaluation Plan'!B51</x:f>
        <x:v>49</x:v>
      </x:c>
      <x:c r="C51" s="26" t="str">
        <x:f>'Evaluation Plan'!C51</x:f>
        <x:v>Put the juggling ball in the bowl.</x:v>
      </x:c>
      <x:c r="D51" s="26" t="str">
        <x:f>'Evaluation Plan'!D51</x:f>
        <x:v>Bowl: empty. Table, robot-left→robot-right: P1 juggling ball; P2 crushed Pepsi can. Adjacent centers 12 cm apart; row centered on the workspace; all objects fully visible and grasp paths clear.</x:v>
      </x:c>
      <x:c r="E51" s="25" t="n">
        <x:f>IF(ISBLANK('Evaluation Plan'!E51),"",'Evaluation Plan'!E51)</x:f>
        <x:v>48</x:v>
      </x:c>
      <x:c r="F51" s="25" t="str">
        <x:f>'Evaluation Plan'!F51</x:f>
        <x:v>1103</x:v>
      </x:c>
      <x:c r="G51" s="25" t="str">
        <x:f>'Evaluation Plan'!G51</x:f>
        <x:v>MOVE juggling ball to bowl</x:v>
      </x:c>
      <x:c r="H51" s="27"/>
      <x:c r="I51" s="25" t="str">
        <x:f>'Evaluation Plan'!I51</x:f>
        <x:v>Matched manipulation control</x:v>
      </x:c>
      <x:c r="J51" s="25" t="str">
        <x:f>'Evaluation Plan'!J51</x:f>
        <x:v>SZ-CT-SJ04</x:v>
      </x:c>
      <x:c r="K51" s="25" t="str">
        <x:f>'Evaluation Plan'!K51</x:f>
        <x:v>Direct</x:v>
      </x:c>
      <x:c r="L51" s="25" t="str">
        <x:f>'Evaluation Plan'!L51</x:f>
        <x:v>Same-scene direct target control</x:v>
      </x:c>
      <x:c r="M51" s="25" t="str">
        <x:f>'Evaluation Plan'!M51</x:f>
        <x:v>juggling ball</x:v>
      </x:c>
      <x:c r="N51" s="25" t="str">
        <x:f>'Evaluation Plan'!N51</x:f>
        <x:v>Left</x:v>
      </x:c>
      <x:c r="O51" s="25" t="n">
        <x:f>'Evaluation Plan'!O51</x:f>
        <x:v>2</x:v>
      </x:c>
      <x:c r="P51" s="25" t="n">
        <x:f>IF(ISBLANK('Evaluation Plan'!P51),"",'Evaluation Plan'!P51)</x:f>
        <x:v>12</x:v>
      </x:c>
      <x:c r="Q51" s="25" t="str">
        <x:f>'Evaluation Plan'!Q51</x:f>
        <x:v>Reset the target to its original pose; change only the prompt.</x:v>
      </x:c>
      <x:c r="R51" s="26" t="str">
        <x:f>'Evaluation Plan'!R51</x:f>
        <x:v>Exact-scene control using a direct prompt supported by training episode 1103.</x:v>
      </x:c>
      <x:c r="S51" s="28" t="str">
        <x:f>IF(ISBLANK('Evaluation Plan'!S51),"",'Evaluation Plan'!S51)</x:f>
      </x:c>
      <x:c r="T51" s="15"/>
      <x:c r="U51" s="15"/>
      <x:c r="V51" s="15"/>
      <x:c r="W51" s="15"/>
      <x:c r="X51" s="15"/>
      <x:c r="Y51" s="15"/>
      <x:c r="Z51" s="15"/>
    </x:row>
    <x:row r="52" ht="67.5" customHeight="1">
      <x:c r="A52" s="29" t="s">
        <x:v>693</x:v>
      </x:c>
      <x:c r="B52" s="30" t="n">
        <x:f>'Evaluation Plan'!B52</x:f>
        <x:v>50</x:v>
      </x:c>
      <x:c r="C52" s="31" t="str">
        <x:f>'Evaluation Plan'!C52</x:f>
        <x:v>Find the least-sized item and move it to the bowl.</x:v>
      </x:c>
      <x:c r="D52" s="31" t="str">
        <x:f>'Evaluation Plan'!D52</x:f>
        <x:v>Bowl: empty. Table, robot-left→robot-right: P1 juggling ball; P2 crushed Pepsi can. Adjacent centers 12 cm apart; row centered on the workspace; all objects fully visible and grasp paths clear.</x:v>
      </x:c>
      <x:c r="E52" s="30" t="n">
        <x:f>IF(ISBLANK('Evaluation Plan'!E52),"",'Evaluation Plan'!E52)</x:f>
        <x:v>48</x:v>
      </x:c>
      <x:c r="F52" s="30" t="str">
        <x:f>'Evaluation Plan'!F52</x:f>
        <x:v>1108</x:v>
      </x:c>
      <x:c r="G52" s="30" t="str">
        <x:f>'Evaluation Plan'!G52</x:f>
        <x:v>MOVE juggling ball to bowl</x:v>
      </x:c>
      <x:c r="H52" s="19" t="s">
        <x:v>701</x:v>
      </x:c>
      <x:c r="I52" s="30" t="str">
        <x:f>'Evaluation Plan'!I52</x:f>
        <x:v>Language robustness</x:v>
      </x:c>
      <x:c r="J52" s="30" t="str">
        <x:f>'Evaluation Plan'!J52</x:f>
        <x:v>SZ-CT-SJ04</x:v>
      </x:c>
      <x:c r="K52" s="30" t="str">
        <x:f>'Evaluation Plan'!K52</x:f>
        <x:v>smallest</x:v>
      </x:c>
      <x:c r="L52" s="30" t="str">
        <x:f>'Evaluation Plan'!L52</x:f>
        <x:v>Primary compositional-transfer prompt paraphrase</x:v>
      </x:c>
      <x:c r="M52" s="30" t="str">
        <x:f>'Evaluation Plan'!M52</x:f>
        <x:v>juggling ball</x:v>
      </x:c>
      <x:c r="N52" s="30" t="str">
        <x:f>'Evaluation Plan'!N52</x:f>
        <x:v>Left</x:v>
      </x:c>
      <x:c r="O52" s="30" t="n">
        <x:f>'Evaluation Plan'!O52</x:f>
        <x:v>2</x:v>
      </x:c>
      <x:c r="P52" s="30" t="n">
        <x:f>IF(ISBLANK('Evaluation Plan'!P52),"",'Evaluation Plan'!P52)</x:f>
        <x:v>12</x:v>
      </x:c>
      <x:c r="Q52" s="30" t="str">
        <x:f>'Evaluation Plan'!Q52</x:f>
        <x:v>Reset the target; preserve the exact scene and paraphrase only the transfer prompt.</x:v>
      </x:c>
      <x:c r="R52" s="31" t="str">
        <x:f>'Evaluation Plan'!R52</x:f>
        <x:v>Exact-scene paraphrase of the primary transfer instruction.</x:v>
      </x:c>
      <x:c r="S52" s="32" t="str">
        <x:f>IF(ISBLANK('Evaluation Plan'!S52),"",'Evaluation Plan'!S52)</x:f>
      </x:c>
      <x:c r="T52" s="15"/>
      <x:c r="U52" s="15"/>
      <x:c r="V52" s="15"/>
      <x:c r="W52" s="15"/>
      <x:c r="X52" s="15"/>
      <x:c r="Y52" s="15"/>
      <x:c r="Z52" s="15"/>
    </x:row>
    <x:row r="53" ht="67.5" customHeight="1">
      <x:c r="A53" s="24" t="s">
        <x:v>591</x:v>
      </x:c>
      <x:c r="B53" s="25" t="n">
        <x:f>'Evaluation Plan'!B53</x:f>
        <x:v>51</x:v>
      </x:c>
      <x:c r="C53" s="26" t="str">
        <x:f>'Evaluation Plan'!C53</x:f>
        <x:v>Place the table's juggling ball inside the bowl.</x:v>
      </x:c>
      <x:c r="D53" s="26" t="str">
        <x:f>'Evaluation Plan'!D53</x:f>
        <x:v>Bowl: empty. Table, robot-left→robot-right: P1 juggling ball; P2 crushed Pepsi can. Adjacent centers 12 cm apart; row centered on the workspace; all objects fully visible and grasp paths clear.</x:v>
      </x:c>
      <x:c r="E53" s="25" t="n">
        <x:f>IF(ISBLANK('Evaluation Plan'!E53),"",'Evaluation Plan'!E53)</x:f>
        <x:v>49</x:v>
      </x:c>
      <x:c r="F53" s="25" t="str">
        <x:f>'Evaluation Plan'!F53</x:f>
        <x:v>1103</x:v>
      </x:c>
      <x:c r="G53" s="25" t="str">
        <x:f>'Evaluation Plan'!G53</x:f>
        <x:v>MOVE juggling ball to bowl</x:v>
      </x:c>
      <x:c r="H53" s="27"/>
      <x:c r="I53" s="25" t="str">
        <x:f>'Evaluation Plan'!I53</x:f>
        <x:v>Language robustness</x:v>
      </x:c>
      <x:c r="J53" s="25" t="str">
        <x:f>'Evaluation Plan'!J53</x:f>
        <x:v>SZ-CT-SJ04</x:v>
      </x:c>
      <x:c r="K53" s="25" t="str">
        <x:f>'Evaluation Plan'!K53</x:f>
        <x:v>Direct</x:v>
      </x:c>
      <x:c r="L53" s="25" t="str">
        <x:f>'Evaluation Plan'!L53</x:f>
        <x:v>Matched-control direct prompt paraphrase</x:v>
      </x:c>
      <x:c r="M53" s="25" t="str">
        <x:f>'Evaluation Plan'!M53</x:f>
        <x:v>juggling ball</x:v>
      </x:c>
      <x:c r="N53" s="25" t="str">
        <x:f>'Evaluation Plan'!N53</x:f>
        <x:v>Left</x:v>
      </x:c>
      <x:c r="O53" s="25" t="n">
        <x:f>'Evaluation Plan'!O53</x:f>
        <x:v>2</x:v>
      </x:c>
      <x:c r="P53" s="25" t="n">
        <x:f>IF(ISBLANK('Evaluation Plan'!P53),"",'Evaluation Plan'!P53)</x:f>
        <x:v>12</x:v>
      </x:c>
      <x:c r="Q53" s="25" t="str">
        <x:f>'Evaluation Plan'!Q53</x:f>
        <x:v>Reset the target; preserve the exact scene and paraphrase only the matched-control prompt.</x:v>
      </x:c>
      <x:c r="R53" s="26" t="str">
        <x:f>'Evaluation Plan'!R53</x:f>
        <x:v>Exact-scene paraphrase of the direct manipulation control.</x:v>
      </x:c>
      <x:c r="S53" s="28" t="str">
        <x:f>IF(ISBLANK('Evaluation Plan'!S53),"",'Evaluation Plan'!S53)</x:f>
      </x:c>
      <x:c r="T53" s="15"/>
      <x:c r="U53" s="15"/>
      <x:c r="V53" s="15"/>
      <x:c r="W53" s="15"/>
      <x:c r="X53" s="15"/>
      <x:c r="Y53" s="15"/>
      <x:c r="Z53" s="15"/>
    </x:row>
    <x:row r="54" ht="67.5" customHeight="1">
      <x:c r="A54" s="10" t="s">
        <x:v>591</x:v>
      </x:c>
      <x:c r="B54" s="11" t="n">
        <x:f>'Evaluation Plan'!B54</x:f>
        <x:v>52</x:v>
      </x:c>
      <x:c r="C54" s="12" t="str">
        <x:f>'Evaluation Plan'!C54</x:f>
        <x:v>Pick up the largest item and place it in the bowl.</x:v>
      </x:c>
      <x:c r="D54" s="12" t="str">
        <x:f>'Evaluation Plan'!D54</x:f>
        <x:v>Bowl: empty. Table, robot-left→robot-right: P1 green block; P2 red pencil sharpener. Adjacent centers 12 cm apart; row shifted 4 cm away from the robot; all objects fully visible and grasp paths clear.</x:v>
      </x:c>
      <x:c r="E54" s="13" t="str">
        <x:f>IF(ISBLANK('Evaluation Plan'!E54),"",'Evaluation Plan'!E54)</x:f>
      </x:c>
      <x:c r="F54" s="11" t="str">
        <x:f>'Evaluation Plan'!F54</x:f>
        <x:v>1084</x:v>
      </x:c>
      <x:c r="G54" s="11" t="str">
        <x:f>'Evaluation Plan'!G54</x:f>
        <x:v>MOVE green block to bowl</x:v>
      </x:c>
      <x:c r="H54" s="13"/>
      <x:c r="I54" s="11" t="str">
        <x:f>'Evaluation Plan'!I54</x:f>
        <x:v>Concept/compositional transfer</x:v>
      </x:c>
      <x:c r="J54" s="11" t="str">
        <x:f>'Evaluation Plan'!J54</x:f>
        <x:v>SZ-CT-LG05</x:v>
      </x:c>
      <x:c r="K54" s="11" t="str">
        <x:f>'Evaluation Plan'!K54</x:f>
        <x:v>largest</x:v>
      </x:c>
      <x:c r="L54" s="11" t="str">
        <x:f>'Evaluation Plan'!L54</x:f>
        <x:v>Held-out largest × green block — Pick up</x:v>
      </x:c>
      <x:c r="M54" s="11" t="str">
        <x:f>'Evaluation Plan'!M54</x:f>
        <x:v>green block</x:v>
      </x:c>
      <x:c r="N54" s="11" t="str">
        <x:f>'Evaluation Plan'!N54</x:f>
        <x:v>Left</x:v>
      </x:c>
      <x:c r="O54" s="11" t="n">
        <x:f>'Evaluation Plan'!O54</x:f>
        <x:v>2</x:v>
      </x:c>
      <x:c r="P54" s="11" t="n">
        <x:f>IF(ISBLANK('Evaluation Plan'!P54),"",'Evaluation Plan'!P54)</x:f>
        <x:v>12</x:v>
      </x:c>
      <x:c r="Q54" s="11" t="str">
        <x:f>'Evaluation Plan'!Q54</x:f>
        <x:v>Build the listed two-object scene and save a first-frame filename.</x:v>
      </x:c>
      <x:c r="R54" s="12" t="str">
        <x:f>'Evaluation Plan'!R54</x:f>
        <x:v>Primary missing cell. Training episode 1084 contains the same target trajectory but masks the size word with a direct identity prompt.</x:v>
      </x:c>
      <x:c r="S54" s="14" t="str">
        <x:f>IF(ISBLANK('Evaluation Plan'!S54),"",'Evaluation Plan'!S54)</x:f>
      </x:c>
      <x:c r="T54" s="15"/>
      <x:c r="U54" s="15"/>
      <x:c r="V54" s="15"/>
      <x:c r="W54" s="15"/>
      <x:c r="X54" s="15"/>
      <x:c r="Y54" s="15"/>
      <x:c r="Z54" s="15"/>
    </x:row>
    <x:row r="55" ht="67.5" customHeight="1">
      <x:c r="A55" s="24" t="s">
        <x:v>591</x:v>
      </x:c>
      <x:c r="B55" s="25" t="n">
        <x:f>'Evaluation Plan'!B55</x:f>
        <x:v>53</x:v>
      </x:c>
      <x:c r="C55" s="26" t="str">
        <x:f>'Evaluation Plan'!C55</x:f>
        <x:v>Move the green block into the bowl.</x:v>
      </x:c>
      <x:c r="D55" s="26" t="str">
        <x:f>'Evaluation Plan'!D55</x:f>
        <x:v>Bowl: empty. Table, robot-left→robot-right: P1 green block; P2 red pencil sharpener. Adjacent centers 12 cm apart; row shifted 4 cm away from the robot; all objects fully visible and grasp paths clear.</x:v>
      </x:c>
      <x:c r="E55" s="25" t="n">
        <x:f>IF(ISBLANK('Evaluation Plan'!E55),"",'Evaluation Plan'!E55)</x:f>
        <x:v>52</x:v>
      </x:c>
      <x:c r="F55" s="25" t="str">
        <x:f>'Evaluation Plan'!F55</x:f>
        <x:v>1079</x:v>
      </x:c>
      <x:c r="G55" s="25" t="str">
        <x:f>'Evaluation Plan'!G55</x:f>
        <x:v>MOVE green block to bowl</x:v>
      </x:c>
      <x:c r="H55" s="27"/>
      <x:c r="I55" s="25" t="str">
        <x:f>'Evaluation Plan'!I55</x:f>
        <x:v>Matched manipulation control</x:v>
      </x:c>
      <x:c r="J55" s="25" t="str">
        <x:f>'Evaluation Plan'!J55</x:f>
        <x:v>SZ-CT-LG05</x:v>
      </x:c>
      <x:c r="K55" s="25" t="str">
        <x:f>'Evaluation Plan'!K55</x:f>
        <x:v>Direct</x:v>
      </x:c>
      <x:c r="L55" s="25" t="str">
        <x:f>'Evaluation Plan'!L55</x:f>
        <x:v>Same-scene direct target control</x:v>
      </x:c>
      <x:c r="M55" s="25" t="str">
        <x:f>'Evaluation Plan'!M55</x:f>
        <x:v>green block</x:v>
      </x:c>
      <x:c r="N55" s="25" t="str">
        <x:f>'Evaluation Plan'!N55</x:f>
        <x:v>Left</x:v>
      </x:c>
      <x:c r="O55" s="25" t="n">
        <x:f>'Evaluation Plan'!O55</x:f>
        <x:v>2</x:v>
      </x:c>
      <x:c r="P55" s="25" t="n">
        <x:f>IF(ISBLANK('Evaluation Plan'!P55),"",'Evaluation Plan'!P55)</x:f>
        <x:v>12</x:v>
      </x:c>
      <x:c r="Q55" s="25" t="str">
        <x:f>'Evaluation Plan'!Q55</x:f>
        <x:v>Reset the target to its original pose; change only the prompt.</x:v>
      </x:c>
      <x:c r="R55" s="26" t="str">
        <x:f>'Evaluation Plan'!R55</x:f>
        <x:v>Exact-scene control using a direct prompt supported by training episode 1079.</x:v>
      </x:c>
      <x:c r="S55" s="28" t="str">
        <x:f>IF(ISBLANK('Evaluation Plan'!S55),"",'Evaluation Plan'!S55)</x:f>
      </x:c>
      <x:c r="T55" s="15"/>
      <x:c r="U55" s="15"/>
      <x:c r="V55" s="15"/>
      <x:c r="W55" s="15"/>
      <x:c r="X55" s="15"/>
      <x:c r="Y55" s="15"/>
      <x:c r="Z55" s="15"/>
    </x:row>
    <x:row r="56" ht="67.5" customHeight="1">
      <x:c r="A56" s="24" t="s">
        <x:v>591</x:v>
      </x:c>
      <x:c r="B56" s="25" t="n">
        <x:f>'Evaluation Plan'!B56</x:f>
        <x:v>54</x:v>
      </x:c>
      <x:c r="C56" s="26" t="str">
        <x:f>'Evaluation Plan'!C56</x:f>
        <x:v>Move whichever item is larger into the bowl.</x:v>
      </x:c>
      <x:c r="D56" s="26" t="str">
        <x:f>'Evaluation Plan'!D56</x:f>
        <x:v>Bowl: empty. Table, robot-left→robot-right: P1 green block; P2 red pencil sharpener. Adjacent centers 12 cm apart; row shifted 4 cm away from the robot; all objects fully visible and grasp paths clear.</x:v>
      </x:c>
      <x:c r="E56" s="25" t="n">
        <x:f>IF(ISBLANK('Evaluation Plan'!E56),"",'Evaluation Plan'!E56)</x:f>
        <x:v>52</x:v>
      </x:c>
      <x:c r="F56" s="25" t="str">
        <x:f>'Evaluation Plan'!F56</x:f>
        <x:v>1084</x:v>
      </x:c>
      <x:c r="G56" s="25" t="str">
        <x:f>'Evaluation Plan'!G56</x:f>
        <x:v>MOVE green block to bowl</x:v>
      </x:c>
      <x:c r="H56" s="27"/>
      <x:c r="I56" s="25" t="str">
        <x:f>'Evaluation Plan'!I56</x:f>
        <x:v>Language robustness</x:v>
      </x:c>
      <x:c r="J56" s="25" t="str">
        <x:f>'Evaluation Plan'!J56</x:f>
        <x:v>SZ-CT-LG05</x:v>
      </x:c>
      <x:c r="K56" s="25" t="str">
        <x:f>'Evaluation Plan'!K56</x:f>
        <x:v>largest</x:v>
      </x:c>
      <x:c r="L56" s="25" t="str">
        <x:f>'Evaluation Plan'!L56</x:f>
        <x:v>Primary compositional-transfer prompt paraphrase</x:v>
      </x:c>
      <x:c r="M56" s="25" t="str">
        <x:f>'Evaluation Plan'!M56</x:f>
        <x:v>green block</x:v>
      </x:c>
      <x:c r="N56" s="25" t="str">
        <x:f>'Evaluation Plan'!N56</x:f>
        <x:v>Left</x:v>
      </x:c>
      <x:c r="O56" s="25" t="n">
        <x:f>'Evaluation Plan'!O56</x:f>
        <x:v>2</x:v>
      </x:c>
      <x:c r="P56" s="25" t="n">
        <x:f>IF(ISBLANK('Evaluation Plan'!P56),"",'Evaluation Plan'!P56)</x:f>
        <x:v>12</x:v>
      </x:c>
      <x:c r="Q56" s="25" t="str">
        <x:f>'Evaluation Plan'!Q56</x:f>
        <x:v>Reset the target; preserve the exact scene and paraphrase only the transfer prompt.</x:v>
      </x:c>
      <x:c r="R56" s="26" t="str">
        <x:f>'Evaluation Plan'!R56</x:f>
        <x:v>Exact-scene paraphrase of the primary transfer instruction.</x:v>
      </x:c>
      <x:c r="S56" s="28" t="str">
        <x:f>IF(ISBLANK('Evaluation Plan'!S56),"",'Evaluation Plan'!S56)</x:f>
      </x:c>
      <x:c r="T56" s="15"/>
      <x:c r="U56" s="15"/>
      <x:c r="V56" s="15"/>
      <x:c r="W56" s="15"/>
      <x:c r="X56" s="15"/>
      <x:c r="Y56" s="15"/>
      <x:c r="Z56" s="15"/>
    </x:row>
    <x:row r="57" ht="67.5" customHeight="1">
      <x:c r="A57" s="24" t="s">
        <x:v>591</x:v>
      </x:c>
      <x:c r="B57" s="25" t="n">
        <x:f>'Evaluation Plan'!B57</x:f>
        <x:v>55</x:v>
      </x:c>
      <x:c r="C57" s="26" t="str">
        <x:f>'Evaluation Plan'!C57</x:f>
        <x:v>Take the green block from the table and put it in the bowl.</x:v>
      </x:c>
      <x:c r="D57" s="26" t="str">
        <x:f>'Evaluation Plan'!D57</x:f>
        <x:v>Bowl: empty. Table, robot-left→robot-right: P1 green block; P2 red pencil sharpener. Adjacent centers 12 cm apart; row shifted 4 cm away from the robot; all objects fully visible and grasp paths clear.</x:v>
      </x:c>
      <x:c r="E57" s="25" t="n">
        <x:f>IF(ISBLANK('Evaluation Plan'!E57),"",'Evaluation Plan'!E57)</x:f>
        <x:v>53</x:v>
      </x:c>
      <x:c r="F57" s="25" t="str">
        <x:f>'Evaluation Plan'!F57</x:f>
        <x:v>1079</x:v>
      </x:c>
      <x:c r="G57" s="25" t="str">
        <x:f>'Evaluation Plan'!G57</x:f>
        <x:v>MOVE green block to bowl</x:v>
      </x:c>
      <x:c r="H57" s="27"/>
      <x:c r="I57" s="25" t="str">
        <x:f>'Evaluation Plan'!I57</x:f>
        <x:v>Language robustness</x:v>
      </x:c>
      <x:c r="J57" s="25" t="str">
        <x:f>'Evaluation Plan'!J57</x:f>
        <x:v>SZ-CT-LG05</x:v>
      </x:c>
      <x:c r="K57" s="25" t="str">
        <x:f>'Evaluation Plan'!K57</x:f>
        <x:v>Direct</x:v>
      </x:c>
      <x:c r="L57" s="25" t="str">
        <x:f>'Evaluation Plan'!L57</x:f>
        <x:v>Matched-control direct prompt paraphrase</x:v>
      </x:c>
      <x:c r="M57" s="25" t="str">
        <x:f>'Evaluation Plan'!M57</x:f>
        <x:v>green block</x:v>
      </x:c>
      <x:c r="N57" s="25" t="str">
        <x:f>'Evaluation Plan'!N57</x:f>
        <x:v>Left</x:v>
      </x:c>
      <x:c r="O57" s="25" t="n">
        <x:f>'Evaluation Plan'!O57</x:f>
        <x:v>2</x:v>
      </x:c>
      <x:c r="P57" s="25" t="n">
        <x:f>IF(ISBLANK('Evaluation Plan'!P57),"",'Evaluation Plan'!P57)</x:f>
        <x:v>12</x:v>
      </x:c>
      <x:c r="Q57" s="25" t="str">
        <x:f>'Evaluation Plan'!Q57</x:f>
        <x:v>Reset the target; preserve the exact scene and paraphrase only the matched-control prompt.</x:v>
      </x:c>
      <x:c r="R57" s="26" t="str">
        <x:f>'Evaluation Plan'!R57</x:f>
        <x:v>Exact-scene paraphrase of the direct manipulation control.</x:v>
      </x:c>
      <x:c r="S57" s="28" t="str">
        <x:f>IF(ISBLANK('Evaluation Plan'!S57),"",'Evaluation Plan'!S57)</x:f>
      </x:c>
      <x:c r="T57" s="15"/>
      <x:c r="U57" s="15"/>
      <x:c r="V57" s="15"/>
      <x:c r="W57" s="15"/>
      <x:c r="X57" s="15"/>
      <x:c r="Y57" s="15"/>
      <x:c r="Z57" s="15"/>
    </x:row>
    <x:row r="58" ht="67.5" customHeight="1">
      <x:c r="A58" s="17" t="s">
        <x:v>693</x:v>
      </x:c>
      <x:c r="B58" s="18" t="n">
        <x:f>'Evaluation Plan'!B58</x:f>
        <x:v>56</x:v>
      </x:c>
      <x:c r="C58" s="19" t="str">
        <x:f>'Evaluation Plan'!C58</x:f>
        <x:v>Put the smallest object in the bowl.</x:v>
      </x:c>
      <x:c r="D58" s="19" t="str">
        <x:f>'Evaluation Plan'!D58</x:f>
        <x:v>Bowl: empty. Table, robot-left→robot-right: P1 crushed Pepsi can; P2 juggling ball. Adjacent centers 16 cm apart; row shifted 4 cm toward robot-left; all objects fully visible and grasp paths clear.</x:v>
      </x:c>
      <x:c r="E58" s="20" t="str">
        <x:f>IF(ISBLANK('Evaluation Plan'!E58),"",'Evaluation Plan'!E58)</x:f>
      </x:c>
      <x:c r="F58" s="18" t="str">
        <x:f>'Evaluation Plan'!F58</x:f>
        <x:v>1109</x:v>
      </x:c>
      <x:c r="G58" s="18" t="str">
        <x:f>'Evaluation Plan'!G58</x:f>
        <x:v>MOVE juggling ball to bowl</x:v>
      </x:c>
      <x:c r="H58" s="19" t="s">
        <x:v>702</x:v>
      </x:c>
      <x:c r="I58" s="18" t="str">
        <x:f>'Evaluation Plan'!I58</x:f>
        <x:v>Concept/compositional transfer</x:v>
      </x:c>
      <x:c r="J58" s="18" t="str">
        <x:f>'Evaluation Plan'!J58</x:f>
        <x:v>SZ-CT-SJ05</x:v>
      </x:c>
      <x:c r="K58" s="18" t="str">
        <x:f>'Evaluation Plan'!K58</x:f>
        <x:v>smallest</x:v>
      </x:c>
      <x:c r="L58" s="18" t="str">
        <x:f>'Evaluation Plan'!L58</x:f>
        <x:v>Held-out smallest × juggling ball — Put</x:v>
      </x:c>
      <x:c r="M58" s="18" t="str">
        <x:f>'Evaluation Plan'!M58</x:f>
        <x:v>juggling ball</x:v>
      </x:c>
      <x:c r="N58" s="18" t="str">
        <x:f>'Evaluation Plan'!N58</x:f>
        <x:v>Right</x:v>
      </x:c>
      <x:c r="O58" s="18" t="n">
        <x:f>'Evaluation Plan'!O58</x:f>
        <x:v>2</x:v>
      </x:c>
      <x:c r="P58" s="18" t="n">
        <x:f>IF(ISBLANK('Evaluation Plan'!P58),"",'Evaluation Plan'!P58)</x:f>
        <x:v>16</x:v>
      </x:c>
      <x:c r="Q58" s="18" t="str">
        <x:f>'Evaluation Plan'!Q58</x:f>
        <x:v>Build the listed two-object scene and save a first-frame filename.</x:v>
      </x:c>
      <x:c r="R58" s="19" t="str">
        <x:f>'Evaluation Plan'!R58</x:f>
        <x:v>Primary missing cell. Training episode 1109 contains the same target trajectory but masks the size word with a direct identity prompt.</x:v>
      </x:c>
      <x:c r="S58" s="21" t="str">
        <x:f>IF(ISBLANK('Evaluation Plan'!S58),"",'Evaluation Plan'!S58)</x:f>
      </x:c>
      <x:c r="T58" s="15"/>
      <x:c r="U58" s="15"/>
      <x:c r="V58" s="15"/>
      <x:c r="W58" s="15"/>
      <x:c r="X58" s="15"/>
      <x:c r="Y58" s="15"/>
      <x:c r="Z58" s="15"/>
    </x:row>
    <x:row r="59" ht="67.5" customHeight="1">
      <x:c r="A59" s="24" t="s">
        <x:v>591</x:v>
      </x:c>
      <x:c r="B59" s="25" t="n">
        <x:f>'Evaluation Plan'!B59</x:f>
        <x:v>57</x:v>
      </x:c>
      <x:c r="C59" s="26" t="str">
        <x:f>'Evaluation Plan'!C59</x:f>
        <x:v>Move the juggling ball into the bowl.</x:v>
      </x:c>
      <x:c r="D59" s="26" t="str">
        <x:f>'Evaluation Plan'!D59</x:f>
        <x:v>Bowl: empty. Table, robot-left→robot-right: P1 crushed Pepsi can; P2 juggling ball. Adjacent centers 16 cm apart; row shifted 4 cm toward robot-left; all objects fully visible and grasp paths clear.</x:v>
      </x:c>
      <x:c r="E59" s="25" t="n">
        <x:f>IF(ISBLANK('Evaluation Plan'!E59),"",'Evaluation Plan'!E59)</x:f>
        <x:v>56</x:v>
      </x:c>
      <x:c r="F59" s="25" t="str">
        <x:f>'Evaluation Plan'!F59</x:f>
        <x:v>1104</x:v>
      </x:c>
      <x:c r="G59" s="25" t="str">
        <x:f>'Evaluation Plan'!G59</x:f>
        <x:v>MOVE juggling ball to bowl</x:v>
      </x:c>
      <x:c r="H59" s="27"/>
      <x:c r="I59" s="25" t="str">
        <x:f>'Evaluation Plan'!I59</x:f>
        <x:v>Matched manipulation control</x:v>
      </x:c>
      <x:c r="J59" s="25" t="str">
        <x:f>'Evaluation Plan'!J59</x:f>
        <x:v>SZ-CT-SJ05</x:v>
      </x:c>
      <x:c r="K59" s="25" t="str">
        <x:f>'Evaluation Plan'!K59</x:f>
        <x:v>Direct</x:v>
      </x:c>
      <x:c r="L59" s="25" t="str">
        <x:f>'Evaluation Plan'!L59</x:f>
        <x:v>Same-scene direct target control</x:v>
      </x:c>
      <x:c r="M59" s="25" t="str">
        <x:f>'Evaluation Plan'!M59</x:f>
        <x:v>juggling ball</x:v>
      </x:c>
      <x:c r="N59" s="25" t="str">
        <x:f>'Evaluation Plan'!N59</x:f>
        <x:v>Right</x:v>
      </x:c>
      <x:c r="O59" s="25" t="n">
        <x:f>'Evaluation Plan'!O59</x:f>
        <x:v>2</x:v>
      </x:c>
      <x:c r="P59" s="25" t="n">
        <x:f>IF(ISBLANK('Evaluation Plan'!P59),"",'Evaluation Plan'!P59)</x:f>
        <x:v>16</x:v>
      </x:c>
      <x:c r="Q59" s="25" t="str">
        <x:f>'Evaluation Plan'!Q59</x:f>
        <x:v>Reset the target to its original pose; change only the prompt.</x:v>
      </x:c>
      <x:c r="R59" s="26" t="str">
        <x:f>'Evaluation Plan'!R59</x:f>
        <x:v>Exact-scene control using a direct prompt supported by training episode 1104.</x:v>
      </x:c>
      <x:c r="S59" s="28" t="str">
        <x:f>IF(ISBLANK('Evaluation Plan'!S59),"",'Evaluation Plan'!S59)</x:f>
      </x:c>
      <x:c r="T59" s="15"/>
      <x:c r="U59" s="15"/>
      <x:c r="V59" s="15"/>
      <x:c r="W59" s="15"/>
      <x:c r="X59" s="15"/>
      <x:c r="Y59" s="15"/>
      <x:c r="Z59" s="15"/>
    </x:row>
    <x:row r="60" ht="67.5" customHeight="1">
      <x:c r="A60" s="29" t="s">
        <x:v>693</x:v>
      </x:c>
      <x:c r="B60" s="30" t="n">
        <x:f>'Evaluation Plan'!B60</x:f>
        <x:v>58</x:v>
      </x:c>
      <x:c r="C60" s="31" t="str">
        <x:f>'Evaluation Plan'!C60</x:f>
        <x:v>Move whichever item is smaller into the bowl.</x:v>
      </x:c>
      <x:c r="D60" s="31" t="str">
        <x:f>'Evaluation Plan'!D60</x:f>
        <x:v>Bowl: empty. Table, robot-left→robot-right: P1 crushed Pepsi can; P2 juggling ball. Adjacent centers 16 cm apart; row shifted 4 cm toward robot-left; all objects fully visible and grasp paths clear.</x:v>
      </x:c>
      <x:c r="E60" s="30" t="n">
        <x:f>IF(ISBLANK('Evaluation Plan'!E60),"",'Evaluation Plan'!E60)</x:f>
        <x:v>56</x:v>
      </x:c>
      <x:c r="F60" s="30" t="str">
        <x:f>'Evaluation Plan'!F60</x:f>
        <x:v>1109</x:v>
      </x:c>
      <x:c r="G60" s="30" t="str">
        <x:f>'Evaluation Plan'!G60</x:f>
        <x:v>MOVE juggling ball to bowl</x:v>
      </x:c>
      <x:c r="H60" s="19" t="s">
        <x:v>702</x:v>
      </x:c>
      <x:c r="I60" s="30" t="str">
        <x:f>'Evaluation Plan'!I60</x:f>
        <x:v>Language robustness</x:v>
      </x:c>
      <x:c r="J60" s="30" t="str">
        <x:f>'Evaluation Plan'!J60</x:f>
        <x:v>SZ-CT-SJ05</x:v>
      </x:c>
      <x:c r="K60" s="30" t="str">
        <x:f>'Evaluation Plan'!K60</x:f>
        <x:v>smallest</x:v>
      </x:c>
      <x:c r="L60" s="30" t="str">
        <x:f>'Evaluation Plan'!L60</x:f>
        <x:v>Primary compositional-transfer prompt paraphrase</x:v>
      </x:c>
      <x:c r="M60" s="30" t="str">
        <x:f>'Evaluation Plan'!M60</x:f>
        <x:v>juggling ball</x:v>
      </x:c>
      <x:c r="N60" s="30" t="str">
        <x:f>'Evaluation Plan'!N60</x:f>
        <x:v>Right</x:v>
      </x:c>
      <x:c r="O60" s="30" t="n">
        <x:f>'Evaluation Plan'!O60</x:f>
        <x:v>2</x:v>
      </x:c>
      <x:c r="P60" s="30" t="n">
        <x:f>IF(ISBLANK('Evaluation Plan'!P60),"",'Evaluation Plan'!P60)</x:f>
        <x:v>16</x:v>
      </x:c>
      <x:c r="Q60" s="30" t="str">
        <x:f>'Evaluation Plan'!Q60</x:f>
        <x:v>Reset the target; preserve the exact scene and paraphrase only the transfer prompt.</x:v>
      </x:c>
      <x:c r="R60" s="31" t="str">
        <x:f>'Evaluation Plan'!R60</x:f>
        <x:v>Exact-scene paraphrase of the primary transfer instruction.</x:v>
      </x:c>
      <x:c r="S60" s="32" t="str">
        <x:f>IF(ISBLANK('Evaluation Plan'!S60),"",'Evaluation Plan'!S60)</x:f>
      </x:c>
      <x:c r="T60" s="15"/>
      <x:c r="U60" s="15"/>
      <x:c r="V60" s="15"/>
      <x:c r="W60" s="15"/>
      <x:c r="X60" s="15"/>
      <x:c r="Y60" s="15"/>
      <x:c r="Z60" s="15"/>
    </x:row>
    <x:row r="61" ht="67.5" customHeight="1">
      <x:c r="A61" s="24" t="s">
        <x:v>591</x:v>
      </x:c>
      <x:c r="B61" s="25" t="n">
        <x:f>'Evaluation Plan'!B61</x:f>
        <x:v>59</x:v>
      </x:c>
      <x:c r="C61" s="26" t="str">
        <x:f>'Evaluation Plan'!C61</x:f>
        <x:v>Take the juggling ball from the table and put it in the bowl.</x:v>
      </x:c>
      <x:c r="D61" s="26" t="str">
        <x:f>'Evaluation Plan'!D61</x:f>
        <x:v>Bowl: empty. Table, robot-left→robot-right: P1 crushed Pepsi can; P2 juggling ball. Adjacent centers 16 cm apart; row shifted 4 cm toward robot-left; all objects fully visible and grasp paths clear.</x:v>
      </x:c>
      <x:c r="E61" s="25" t="n">
        <x:f>IF(ISBLANK('Evaluation Plan'!E61),"",'Evaluation Plan'!E61)</x:f>
        <x:v>57</x:v>
      </x:c>
      <x:c r="F61" s="25" t="str">
        <x:f>'Evaluation Plan'!F61</x:f>
        <x:v>1104</x:v>
      </x:c>
      <x:c r="G61" s="25" t="str">
        <x:f>'Evaluation Plan'!G61</x:f>
        <x:v>MOVE juggling ball to bowl</x:v>
      </x:c>
      <x:c r="H61" s="27"/>
      <x:c r="I61" s="25" t="str">
        <x:f>'Evaluation Plan'!I61</x:f>
        <x:v>Language robustness</x:v>
      </x:c>
      <x:c r="J61" s="25" t="str">
        <x:f>'Evaluation Plan'!J61</x:f>
        <x:v>SZ-CT-SJ05</x:v>
      </x:c>
      <x:c r="K61" s="25" t="str">
        <x:f>'Evaluation Plan'!K61</x:f>
        <x:v>Direct</x:v>
      </x:c>
      <x:c r="L61" s="25" t="str">
        <x:f>'Evaluation Plan'!L61</x:f>
        <x:v>Matched-control direct prompt paraphrase</x:v>
      </x:c>
      <x:c r="M61" s="25" t="str">
        <x:f>'Evaluation Plan'!M61</x:f>
        <x:v>juggling ball</x:v>
      </x:c>
      <x:c r="N61" s="25" t="str">
        <x:f>'Evaluation Plan'!N61</x:f>
        <x:v>Right</x:v>
      </x:c>
      <x:c r="O61" s="25" t="n">
        <x:f>'Evaluation Plan'!O61</x:f>
        <x:v>2</x:v>
      </x:c>
      <x:c r="P61" s="25" t="n">
        <x:f>IF(ISBLANK('Evaluation Plan'!P61),"",'Evaluation Plan'!P61)</x:f>
        <x:v>16</x:v>
      </x:c>
      <x:c r="Q61" s="25" t="str">
        <x:f>'Evaluation Plan'!Q61</x:f>
        <x:v>Reset the target; preserve the exact scene and paraphrase only the matched-control prompt.</x:v>
      </x:c>
      <x:c r="R61" s="26" t="str">
        <x:f>'Evaluation Plan'!R61</x:f>
        <x:v>Exact-scene paraphrase of the direct manipulation control.</x:v>
      </x:c>
      <x:c r="S61" s="28" t="str">
        <x:f>IF(ISBLANK('Evaluation Plan'!S61),"",'Evaluation Plan'!S61)</x:f>
      </x:c>
      <x:c r="T61" s="15"/>
      <x:c r="U61" s="15"/>
      <x:c r="V61" s="15"/>
      <x:c r="W61" s="15"/>
      <x:c r="X61" s="15"/>
      <x:c r="Y61" s="15"/>
      <x:c r="Z61" s="15"/>
    </x:row>
    <x:row r="62" ht="67.5" customHeight="1">
      <x:c r="A62" s="10" t="s">
        <x:v>591</x:v>
      </x:c>
      <x:c r="B62" s="11" t="n">
        <x:f>'Evaluation Plan'!B62</x:f>
        <x:v>60</x:v>
      </x:c>
      <x:c r="C62" s="12" t="str">
        <x:f>'Evaluation Plan'!C62</x:f>
        <x:v>Put the largest object in the bowl.</x:v>
      </x:c>
      <x:c r="D62" s="12" t="str">
        <x:f>'Evaluation Plan'!D62</x:f>
        <x:v>Bowl: empty. Table, robot-left→robot-right: P1 red pencil sharpener; P2 green block. Adjacent centers 16 cm apart; row centered on the workspace; all objects fully visible and grasp paths clear.</x:v>
      </x:c>
      <x:c r="E62" s="13" t="str">
        <x:f>IF(ISBLANK('Evaluation Plan'!E62),"",'Evaluation Plan'!E62)</x:f>
      </x:c>
      <x:c r="F62" s="11" t="str">
        <x:f>'Evaluation Plan'!F62</x:f>
        <x:v>1085</x:v>
      </x:c>
      <x:c r="G62" s="11" t="str">
        <x:f>'Evaluation Plan'!G62</x:f>
        <x:v>MOVE green block to bowl</x:v>
      </x:c>
      <x:c r="H62" s="13"/>
      <x:c r="I62" s="11" t="str">
        <x:f>'Evaluation Plan'!I62</x:f>
        <x:v>Concept/compositional transfer</x:v>
      </x:c>
      <x:c r="J62" s="11" t="str">
        <x:f>'Evaluation Plan'!J62</x:f>
        <x:v>SZ-CT-LG06</x:v>
      </x:c>
      <x:c r="K62" s="11" t="str">
        <x:f>'Evaluation Plan'!K62</x:f>
        <x:v>largest</x:v>
      </x:c>
      <x:c r="L62" s="11" t="str">
        <x:f>'Evaluation Plan'!L62</x:f>
        <x:v>Held-out largest × green block — Put</x:v>
      </x:c>
      <x:c r="M62" s="11" t="str">
        <x:f>'Evaluation Plan'!M62</x:f>
        <x:v>green block</x:v>
      </x:c>
      <x:c r="N62" s="11" t="str">
        <x:f>'Evaluation Plan'!N62</x:f>
        <x:v>Right</x:v>
      </x:c>
      <x:c r="O62" s="11" t="n">
        <x:f>'Evaluation Plan'!O62</x:f>
        <x:v>2</x:v>
      </x:c>
      <x:c r="P62" s="11" t="n">
        <x:f>IF(ISBLANK('Evaluation Plan'!P62),"",'Evaluation Plan'!P62)</x:f>
        <x:v>16</x:v>
      </x:c>
      <x:c r="Q62" s="11" t="str">
        <x:f>'Evaluation Plan'!Q62</x:f>
        <x:v>Build the listed two-object scene and save a first-frame filename.</x:v>
      </x:c>
      <x:c r="R62" s="12" t="str">
        <x:f>'Evaluation Plan'!R62</x:f>
        <x:v>Primary missing cell. Training episode 1085 contains the same target trajectory but masks the size word with a direct identity prompt.</x:v>
      </x:c>
      <x:c r="S62" s="14" t="str">
        <x:f>IF(ISBLANK('Evaluation Plan'!S62),"",'Evaluation Plan'!S62)</x:f>
      </x:c>
      <x:c r="T62" s="15"/>
      <x:c r="U62" s="15"/>
      <x:c r="V62" s="15"/>
      <x:c r="W62" s="15"/>
      <x:c r="X62" s="15"/>
      <x:c r="Y62" s="15"/>
      <x:c r="Z62" s="15"/>
    </x:row>
    <x:row r="63" ht="67.5" customHeight="1">
      <x:c r="A63" s="24" t="s">
        <x:v>591</x:v>
      </x:c>
      <x:c r="B63" s="25" t="n">
        <x:f>'Evaluation Plan'!B63</x:f>
        <x:v>61</x:v>
      </x:c>
      <x:c r="C63" s="26" t="str">
        <x:f>'Evaluation Plan'!C63</x:f>
        <x:v>Pick up the green block and place it in the bowl.</x:v>
      </x:c>
      <x:c r="D63" s="26" t="str">
        <x:f>'Evaluation Plan'!D63</x:f>
        <x:v>Bowl: empty. Table, robot-left→robot-right: P1 red pencil sharpener; P2 green block. Adjacent centers 16 cm apart; row centered on the workspace; all objects fully visible and grasp paths clear.</x:v>
      </x:c>
      <x:c r="E63" s="25" t="n">
        <x:f>IF(ISBLANK('Evaluation Plan'!E63),"",'Evaluation Plan'!E63)</x:f>
        <x:v>60</x:v>
      </x:c>
      <x:c r="F63" s="25" t="str">
        <x:f>'Evaluation Plan'!F63</x:f>
        <x:v>1075</x:v>
      </x:c>
      <x:c r="G63" s="25" t="str">
        <x:f>'Evaluation Plan'!G63</x:f>
        <x:v>MOVE green block to bowl</x:v>
      </x:c>
      <x:c r="H63" s="27"/>
      <x:c r="I63" s="25" t="str">
        <x:f>'Evaluation Plan'!I63</x:f>
        <x:v>Matched manipulation control</x:v>
      </x:c>
      <x:c r="J63" s="25" t="str">
        <x:f>'Evaluation Plan'!J63</x:f>
        <x:v>SZ-CT-LG06</x:v>
      </x:c>
      <x:c r="K63" s="25" t="str">
        <x:f>'Evaluation Plan'!K63</x:f>
        <x:v>Direct</x:v>
      </x:c>
      <x:c r="L63" s="25" t="str">
        <x:f>'Evaluation Plan'!L63</x:f>
        <x:v>Same-scene direct target control</x:v>
      </x:c>
      <x:c r="M63" s="25" t="str">
        <x:f>'Evaluation Plan'!M63</x:f>
        <x:v>green block</x:v>
      </x:c>
      <x:c r="N63" s="25" t="str">
        <x:f>'Evaluation Plan'!N63</x:f>
        <x:v>Right</x:v>
      </x:c>
      <x:c r="O63" s="25" t="n">
        <x:f>'Evaluation Plan'!O63</x:f>
        <x:v>2</x:v>
      </x:c>
      <x:c r="P63" s="25" t="n">
        <x:f>IF(ISBLANK('Evaluation Plan'!P63),"",'Evaluation Plan'!P63)</x:f>
        <x:v>16</x:v>
      </x:c>
      <x:c r="Q63" s="25" t="str">
        <x:f>'Evaluation Plan'!Q63</x:f>
        <x:v>Reset the target to its original pose; change only the prompt.</x:v>
      </x:c>
      <x:c r="R63" s="26" t="str">
        <x:f>'Evaluation Plan'!R63</x:f>
        <x:v>Exact-scene control using a direct prompt supported by training episode 1075.</x:v>
      </x:c>
      <x:c r="S63" s="28" t="str">
        <x:f>IF(ISBLANK('Evaluation Plan'!S63),"",'Evaluation Plan'!S63)</x:f>
      </x:c>
      <x:c r="T63" s="15"/>
      <x:c r="U63" s="15"/>
      <x:c r="V63" s="15"/>
      <x:c r="W63" s="15"/>
      <x:c r="X63" s="15"/>
      <x:c r="Y63" s="15"/>
      <x:c r="Z63" s="15"/>
    </x:row>
    <x:row r="64" ht="67.5" customHeight="1">
      <x:c r="A64" s="10" t="s">
        <x:v>591</x:v>
      </x:c>
      <x:c r="B64" s="11" t="n">
        <x:f>'Evaluation Plan'!B64</x:f>
        <x:v>62</x:v>
      </x:c>
      <x:c r="C64" s="12" t="str">
        <x:f>'Evaluation Plan'!C64</x:f>
        <x:v>Move the object that is smallest into the bowl.</x:v>
      </x:c>
      <x:c r="D64" s="12" t="str">
        <x:f>'Evaluation Plan'!D64</x:f>
        <x:v>Bowl: empty. Table, robot-left→robot-right: P1 juggling ball; P2 crushed Pepsi can. Adjacent centers 8 cm apart; row shifted 4 cm toward robot-right; all objects fully visible and grasp paths clear.</x:v>
      </x:c>
      <x:c r="E64" s="13" t="str">
        <x:f>IF(ISBLANK('Evaluation Plan'!E64),"",'Evaluation Plan'!E64)</x:f>
      </x:c>
      <x:c r="F64" s="11" t="str">
        <x:f>'Evaluation Plan'!F64</x:f>
        <x:v>1110</x:v>
      </x:c>
      <x:c r="G64" s="11" t="str">
        <x:f>'Evaluation Plan'!G64</x:f>
        <x:v>MOVE juggling ball to bowl</x:v>
      </x:c>
      <x:c r="H64" s="13"/>
      <x:c r="I64" s="11" t="str">
        <x:f>'Evaluation Plan'!I64</x:f>
        <x:v>Concept/compositional transfer</x:v>
      </x:c>
      <x:c r="J64" s="11" t="str">
        <x:f>'Evaluation Plan'!J64</x:f>
        <x:v>SZ-CT-SJ06</x:v>
      </x:c>
      <x:c r="K64" s="11" t="str">
        <x:f>'Evaluation Plan'!K64</x:f>
        <x:v>smallest</x:v>
      </x:c>
      <x:c r="L64" s="11" t="str">
        <x:f>'Evaluation Plan'!L64</x:f>
        <x:v>Held-out smallest × juggling ball — Move</x:v>
      </x:c>
      <x:c r="M64" s="11" t="str">
        <x:f>'Evaluation Plan'!M64</x:f>
        <x:v>juggling ball</x:v>
      </x:c>
      <x:c r="N64" s="11" t="str">
        <x:f>'Evaluation Plan'!N64</x:f>
        <x:v>Left</x:v>
      </x:c>
      <x:c r="O64" s="11" t="n">
        <x:f>'Evaluation Plan'!O64</x:f>
        <x:v>2</x:v>
      </x:c>
      <x:c r="P64" s="11" t="n">
        <x:f>IF(ISBLANK('Evaluation Plan'!P64),"",'Evaluation Plan'!P64)</x:f>
        <x:v>8</x:v>
      </x:c>
      <x:c r="Q64" s="11" t="str">
        <x:f>'Evaluation Plan'!Q64</x:f>
        <x:v>Build the listed two-object scene and save a first-frame filename.</x:v>
      </x:c>
      <x:c r="R64" s="12" t="str">
        <x:f>'Evaluation Plan'!R64</x:f>
        <x:v>Primary missing cell. Training episode 1110 contains the same target trajectory but masks the size word with a direct identity prompt.</x:v>
      </x:c>
      <x:c r="S64" s="14" t="str">
        <x:f>IF(ISBLANK('Evaluation Plan'!S64),"",'Evaluation Plan'!S64)</x:f>
      </x:c>
      <x:c r="T64" s="15"/>
      <x:c r="U64" s="15"/>
      <x:c r="V64" s="15"/>
      <x:c r="W64" s="15"/>
      <x:c r="X64" s="15"/>
      <x:c r="Y64" s="15"/>
      <x:c r="Z64" s="15"/>
    </x:row>
    <x:row r="65" ht="67.5" customHeight="1">
      <x:c r="A65" s="24" t="s">
        <x:v>591</x:v>
      </x:c>
      <x:c r="B65" s="25" t="n">
        <x:f>'Evaluation Plan'!B65</x:f>
        <x:v>63</x:v>
      </x:c>
      <x:c r="C65" s="26" t="str">
        <x:f>'Evaluation Plan'!C65</x:f>
        <x:v>Pick up the juggling ball and place it in the bowl.</x:v>
      </x:c>
      <x:c r="D65" s="26" t="str">
        <x:f>'Evaluation Plan'!D65</x:f>
        <x:v>Bowl: empty. Table, robot-left→robot-right: P1 juggling ball; P2 crushed Pepsi can. Adjacent centers 8 cm apart; row shifted 4 cm toward robot-right; all objects fully visible and grasp paths clear.</x:v>
      </x:c>
      <x:c r="E65" s="25" t="n">
        <x:f>IF(ISBLANK('Evaluation Plan'!E65),"",'Evaluation Plan'!E65)</x:f>
        <x:v>62</x:v>
      </x:c>
      <x:c r="F65" s="25" t="str">
        <x:f>'Evaluation Plan'!F65</x:f>
        <x:v>1100</x:v>
      </x:c>
      <x:c r="G65" s="25" t="str">
        <x:f>'Evaluation Plan'!G65</x:f>
        <x:v>MOVE juggling ball to bowl</x:v>
      </x:c>
      <x:c r="H65" s="27"/>
      <x:c r="I65" s="25" t="str">
        <x:f>'Evaluation Plan'!I65</x:f>
        <x:v>Matched manipulation control</x:v>
      </x:c>
      <x:c r="J65" s="25" t="str">
        <x:f>'Evaluation Plan'!J65</x:f>
        <x:v>SZ-CT-SJ06</x:v>
      </x:c>
      <x:c r="K65" s="25" t="str">
        <x:f>'Evaluation Plan'!K65</x:f>
        <x:v>Direct</x:v>
      </x:c>
      <x:c r="L65" s="25" t="str">
        <x:f>'Evaluation Plan'!L65</x:f>
        <x:v>Same-scene direct target control</x:v>
      </x:c>
      <x:c r="M65" s="25" t="str">
        <x:f>'Evaluation Plan'!M65</x:f>
        <x:v>juggling ball</x:v>
      </x:c>
      <x:c r="N65" s="25" t="str">
        <x:f>'Evaluation Plan'!N65</x:f>
        <x:v>Left</x:v>
      </x:c>
      <x:c r="O65" s="25" t="n">
        <x:f>'Evaluation Plan'!O65</x:f>
        <x:v>2</x:v>
      </x:c>
      <x:c r="P65" s="25" t="n">
        <x:f>IF(ISBLANK('Evaluation Plan'!P65),"",'Evaluation Plan'!P65)</x:f>
        <x:v>8</x:v>
      </x:c>
      <x:c r="Q65" s="25" t="str">
        <x:f>'Evaluation Plan'!Q65</x:f>
        <x:v>Reset the target to its original pose; change only the prompt.</x:v>
      </x:c>
      <x:c r="R65" s="26" t="str">
        <x:f>'Evaluation Plan'!R65</x:f>
        <x:v>Exact-scene control using a direct prompt supported by training episode 1100.</x:v>
      </x:c>
      <x:c r="S65" s="28" t="str">
        <x:f>IF(ISBLANK('Evaluation Plan'!S65),"",'Evaluation Plan'!S65)</x:f>
      </x:c>
      <x:c r="T65" s="15"/>
      <x:c r="U65" s="15"/>
      <x:c r="V65" s="15"/>
      <x:c r="W65" s="15"/>
      <x:c r="X65" s="15"/>
      <x:c r="Y65" s="15"/>
      <x:c r="Z65" s="15"/>
    </x:row>
    <x:row r="66" ht="67.5" customHeight="1">
      <x:c r="A66" s="17" t="s">
        <x:v>693</x:v>
      </x:c>
      <x:c r="B66" s="18" t="n">
        <x:f>'Evaluation Plan'!B66</x:f>
        <x:v>64</x:v>
      </x:c>
      <x:c r="C66" s="19" t="str">
        <x:f>'Evaluation Plan'!C66</x:f>
        <x:v>Move the object that is largest into the bowl.</x:v>
      </x:c>
      <x:c r="D66" s="19" t="str">
        <x:f>'Evaluation Plan'!D66</x:f>
        <x:v>Bowl: empty. Table, robot-left→robot-right: P1 green block; P2 red pencil sharpener. Adjacent centers 8 cm apart; row shifted 4 cm toward robot-left; all objects fully visible and grasp paths clear.</x:v>
      </x:c>
      <x:c r="E66" s="20" t="str">
        <x:f>IF(ISBLANK('Evaluation Plan'!E66),"",'Evaluation Plan'!E66)</x:f>
      </x:c>
      <x:c r="F66" s="18" t="str">
        <x:f>'Evaluation Plan'!F66</x:f>
        <x:v>1086</x:v>
      </x:c>
      <x:c r="G66" s="18" t="str">
        <x:f>'Evaluation Plan'!G66</x:f>
        <x:v>MOVE green block to bowl</x:v>
      </x:c>
      <x:c r="H66" s="19" t="s">
        <x:v>703</x:v>
      </x:c>
      <x:c r="I66" s="18" t="str">
        <x:f>'Evaluation Plan'!I66</x:f>
        <x:v>Concept/compositional transfer</x:v>
      </x:c>
      <x:c r="J66" s="18" t="str">
        <x:f>'Evaluation Plan'!J66</x:f>
        <x:v>SZ-CT-LG07</x:v>
      </x:c>
      <x:c r="K66" s="18" t="str">
        <x:f>'Evaluation Plan'!K66</x:f>
        <x:v>largest</x:v>
      </x:c>
      <x:c r="L66" s="18" t="str">
        <x:f>'Evaluation Plan'!L66</x:f>
        <x:v>Held-out largest × green block — Move</x:v>
      </x:c>
      <x:c r="M66" s="18" t="str">
        <x:f>'Evaluation Plan'!M66</x:f>
        <x:v>green block</x:v>
      </x:c>
      <x:c r="N66" s="18" t="str">
        <x:f>'Evaluation Plan'!N66</x:f>
        <x:v>Left</x:v>
      </x:c>
      <x:c r="O66" s="18" t="n">
        <x:f>'Evaluation Plan'!O66</x:f>
        <x:v>2</x:v>
      </x:c>
      <x:c r="P66" s="18" t="n">
        <x:f>IF(ISBLANK('Evaluation Plan'!P66),"",'Evaluation Plan'!P66)</x:f>
        <x:v>8</x:v>
      </x:c>
      <x:c r="Q66" s="18" t="str">
        <x:f>'Evaluation Plan'!Q66</x:f>
        <x:v>Build the listed two-object scene and save a first-frame filename.</x:v>
      </x:c>
      <x:c r="R66" s="19" t="str">
        <x:f>'Evaluation Plan'!R66</x:f>
        <x:v>Primary missing cell. Training episode 1086 contains the same target trajectory but masks the size word with a direct identity prompt.</x:v>
      </x:c>
      <x:c r="S66" s="21" t="str">
        <x:f>IF(ISBLANK('Evaluation Plan'!S66),"",'Evaluation Plan'!S66)</x:f>
      </x:c>
      <x:c r="T66" s="15"/>
      <x:c r="U66" s="15"/>
      <x:c r="V66" s="15"/>
      <x:c r="W66" s="15"/>
      <x:c r="X66" s="15"/>
      <x:c r="Y66" s="15"/>
      <x:c r="Z66" s="15"/>
    </x:row>
    <x:row r="67" ht="67.5" customHeight="1">
      <x:c r="A67" s="24" t="s">
        <x:v>591</x:v>
      </x:c>
      <x:c r="B67" s="25" t="n">
        <x:f>'Evaluation Plan'!B67</x:f>
        <x:v>65</x:v>
      </x:c>
      <x:c r="C67" s="26" t="str">
        <x:f>'Evaluation Plan'!C67</x:f>
        <x:v>Put the green block in the bowl.</x:v>
      </x:c>
      <x:c r="D67" s="26" t="str">
        <x:f>'Evaluation Plan'!D67</x:f>
        <x:v>Bowl: empty. Table, robot-left→robot-right: P1 green block; P2 red pencil sharpener. Adjacent centers 8 cm apart; row shifted 4 cm toward robot-left; all objects fully visible and grasp paths clear.</x:v>
      </x:c>
      <x:c r="E67" s="25" t="n">
        <x:f>IF(ISBLANK('Evaluation Plan'!E67),"",'Evaluation Plan'!E67)</x:f>
        <x:v>64</x:v>
      </x:c>
      <x:c r="F67" s="25" t="str">
        <x:f>'Evaluation Plan'!F67</x:f>
        <x:v>1076</x:v>
      </x:c>
      <x:c r="G67" s="25" t="str">
        <x:f>'Evaluation Plan'!G67</x:f>
        <x:v>MOVE green block to bowl</x:v>
      </x:c>
      <x:c r="H67" s="27"/>
      <x:c r="I67" s="25" t="str">
        <x:f>'Evaluation Plan'!I67</x:f>
        <x:v>Matched manipulation control</x:v>
      </x:c>
      <x:c r="J67" s="25" t="str">
        <x:f>'Evaluation Plan'!J67</x:f>
        <x:v>SZ-CT-LG07</x:v>
      </x:c>
      <x:c r="K67" s="25" t="str">
        <x:f>'Evaluation Plan'!K67</x:f>
        <x:v>Direct</x:v>
      </x:c>
      <x:c r="L67" s="25" t="str">
        <x:f>'Evaluation Plan'!L67</x:f>
        <x:v>Same-scene direct target control</x:v>
      </x:c>
      <x:c r="M67" s="25" t="str">
        <x:f>'Evaluation Plan'!M67</x:f>
        <x:v>green block</x:v>
      </x:c>
      <x:c r="N67" s="25" t="str">
        <x:f>'Evaluation Plan'!N67</x:f>
        <x:v>Left</x:v>
      </x:c>
      <x:c r="O67" s="25" t="n">
        <x:f>'Evaluation Plan'!O67</x:f>
        <x:v>2</x:v>
      </x:c>
      <x:c r="P67" s="25" t="n">
        <x:f>IF(ISBLANK('Evaluation Plan'!P67),"",'Evaluation Plan'!P67)</x:f>
        <x:v>8</x:v>
      </x:c>
      <x:c r="Q67" s="25" t="str">
        <x:f>'Evaluation Plan'!Q67</x:f>
        <x:v>Reset the target to its original pose; change only the prompt.</x:v>
      </x:c>
      <x:c r="R67" s="26" t="str">
        <x:f>'Evaluation Plan'!R67</x:f>
        <x:v>Exact-scene control using a direct prompt supported by training episode 1076.</x:v>
      </x:c>
      <x:c r="S67" s="28" t="str">
        <x:f>IF(ISBLANK('Evaluation Plan'!S67),"",'Evaluation Plan'!S67)</x:f>
      </x:c>
      <x:c r="T67" s="15"/>
      <x:c r="U67" s="15"/>
      <x:c r="V67" s="15"/>
      <x:c r="W67" s="15"/>
      <x:c r="X67" s="15"/>
      <x:c r="Y67" s="15"/>
      <x:c r="Z67" s="15"/>
    </x:row>
    <x:row r="68" ht="67.5" customHeight="1">
      <x:c r="A68" s="17" t="s">
        <x:v>693</x:v>
      </x:c>
      <x:c r="B68" s="18" t="n">
        <x:f>'Evaluation Plan'!B68</x:f>
        <x:v>66</x:v>
      </x:c>
      <x:c r="C68" s="19" t="str">
        <x:f>'Evaluation Plan'!C68</x:f>
        <x:v>Pick up the smallest item and place it in the bowl.</x:v>
      </x:c>
      <x:c r="D68" s="19" t="str">
        <x:f>'Evaluation Plan'!D68</x:f>
        <x:v>Bowl: empty. Table, robot-left→robot-right: P1 crushed Pepsi can; P2 juggling ball. Adjacent centers 12 cm apart; row shifted 4 cm toward the robot; all objects fully visible and grasp paths clear.</x:v>
      </x:c>
      <x:c r="E68" s="20" t="str">
        <x:f>IF(ISBLANK('Evaluation Plan'!E68),"",'Evaluation Plan'!E68)</x:f>
      </x:c>
      <x:c r="F68" s="18" t="str">
        <x:f>'Evaluation Plan'!F68</x:f>
        <x:v>1111</x:v>
      </x:c>
      <x:c r="G68" s="18" t="str">
        <x:f>'Evaluation Plan'!G68</x:f>
        <x:v>MOVE juggling ball to bowl</x:v>
      </x:c>
      <x:c r="H68" s="19" t="s">
        <x:v>704</x:v>
      </x:c>
      <x:c r="I68" s="18" t="str">
        <x:f>'Evaluation Plan'!I68</x:f>
        <x:v>Concept/compositional transfer</x:v>
      </x:c>
      <x:c r="J68" s="18" t="str">
        <x:f>'Evaluation Plan'!J68</x:f>
        <x:v>SZ-CT-SJ07</x:v>
      </x:c>
      <x:c r="K68" s="18" t="str">
        <x:f>'Evaluation Plan'!K68</x:f>
        <x:v>smallest</x:v>
      </x:c>
      <x:c r="L68" s="18" t="str">
        <x:f>'Evaluation Plan'!L68</x:f>
        <x:v>Held-out smallest × juggling ball — Pick up</x:v>
      </x:c>
      <x:c r="M68" s="18" t="str">
        <x:f>'Evaluation Plan'!M68</x:f>
        <x:v>juggling ball</x:v>
      </x:c>
      <x:c r="N68" s="18" t="str">
        <x:f>'Evaluation Plan'!N68</x:f>
        <x:v>Right</x:v>
      </x:c>
      <x:c r="O68" s="18" t="n">
        <x:f>'Evaluation Plan'!O68</x:f>
        <x:v>2</x:v>
      </x:c>
      <x:c r="P68" s="18" t="n">
        <x:f>IF(ISBLANK('Evaluation Plan'!P68),"",'Evaluation Plan'!P68)</x:f>
        <x:v>12</x:v>
      </x:c>
      <x:c r="Q68" s="18" t="str">
        <x:f>'Evaluation Plan'!Q68</x:f>
        <x:v>Build the listed two-object scene and save a first-frame filename.</x:v>
      </x:c>
      <x:c r="R68" s="19" t="str">
        <x:f>'Evaluation Plan'!R68</x:f>
        <x:v>Primary missing cell. Training episode 1111 contains the same target trajectory but masks the size word with a direct identity prompt.</x:v>
      </x:c>
      <x:c r="S68" s="21" t="str">
        <x:f>IF(ISBLANK('Evaluation Plan'!S68),"",'Evaluation Plan'!S68)</x:f>
      </x:c>
      <x:c r="T68" s="15"/>
      <x:c r="U68" s="15"/>
      <x:c r="V68" s="15"/>
      <x:c r="W68" s="15"/>
      <x:c r="X68" s="15"/>
      <x:c r="Y68" s="15"/>
      <x:c r="Z68" s="15"/>
    </x:row>
    <x:row r="69" ht="67.5" customHeight="1">
      <x:c r="A69" s="24" t="s">
        <x:v>591</x:v>
      </x:c>
      <x:c r="B69" s="25" t="n">
        <x:f>'Evaluation Plan'!B69</x:f>
        <x:v>67</x:v>
      </x:c>
      <x:c r="C69" s="26" t="str">
        <x:f>'Evaluation Plan'!C69</x:f>
        <x:v>Put the juggling ball in the bowl.</x:v>
      </x:c>
      <x:c r="D69" s="26" t="str">
        <x:f>'Evaluation Plan'!D69</x:f>
        <x:v>Bowl: empty. Table, robot-left→robot-right: P1 crushed Pepsi can; P2 juggling ball. Adjacent centers 12 cm apart; row shifted 4 cm toward the robot; all objects fully visible and grasp paths clear.</x:v>
      </x:c>
      <x:c r="E69" s="25" t="n">
        <x:f>IF(ISBLANK('Evaluation Plan'!E69),"",'Evaluation Plan'!E69)</x:f>
        <x:v>66</x:v>
      </x:c>
      <x:c r="F69" s="25" t="str">
        <x:f>'Evaluation Plan'!F69</x:f>
        <x:v>1101</x:v>
      </x:c>
      <x:c r="G69" s="25" t="str">
        <x:f>'Evaluation Plan'!G69</x:f>
        <x:v>MOVE juggling ball to bowl</x:v>
      </x:c>
      <x:c r="H69" s="26" t="s">
        <x:v>705</x:v>
      </x:c>
      <x:c r="I69" s="25" t="str">
        <x:f>'Evaluation Plan'!I69</x:f>
        <x:v>Matched manipulation control</x:v>
      </x:c>
      <x:c r="J69" s="25" t="str">
        <x:f>'Evaluation Plan'!J69</x:f>
        <x:v>SZ-CT-SJ07</x:v>
      </x:c>
      <x:c r="K69" s="25" t="str">
        <x:f>'Evaluation Plan'!K69</x:f>
        <x:v>Direct</x:v>
      </x:c>
      <x:c r="L69" s="25" t="str">
        <x:f>'Evaluation Plan'!L69</x:f>
        <x:v>Same-scene direct target control</x:v>
      </x:c>
      <x:c r="M69" s="25" t="str">
        <x:f>'Evaluation Plan'!M69</x:f>
        <x:v>juggling ball</x:v>
      </x:c>
      <x:c r="N69" s="25" t="str">
        <x:f>'Evaluation Plan'!N69</x:f>
        <x:v>Right</x:v>
      </x:c>
      <x:c r="O69" s="25" t="n">
        <x:f>'Evaluation Plan'!O69</x:f>
        <x:v>2</x:v>
      </x:c>
      <x:c r="P69" s="25" t="n">
        <x:f>IF(ISBLANK('Evaluation Plan'!P69),"",'Evaluation Plan'!P69)</x:f>
        <x:v>12</x:v>
      </x:c>
      <x:c r="Q69" s="25" t="str">
        <x:f>'Evaluation Plan'!Q69</x:f>
        <x:v>Reset the target to its original pose; change only the prompt.</x:v>
      </x:c>
      <x:c r="R69" s="26" t="str">
        <x:f>'Evaluation Plan'!R69</x:f>
        <x:v>Exact-scene control using a direct prompt supported by training episode 1101.</x:v>
      </x:c>
      <x:c r="S69" s="28" t="str">
        <x:f>IF(ISBLANK('Evaluation Plan'!S69),"",'Evaluation Plan'!S69)</x:f>
      </x:c>
      <x:c r="T69" s="15"/>
      <x:c r="U69" s="15"/>
      <x:c r="V69" s="15"/>
      <x:c r="W69" s="15"/>
      <x:c r="X69" s="15"/>
      <x:c r="Y69" s="15"/>
      <x:c r="Z69" s="15"/>
    </x:row>
    <x:row r="70" ht="67.5" customHeight="1">
      <x:c r="A70" s="10" t="s">
        <x:v>591</x:v>
      </x:c>
      <x:c r="B70" s="11" t="n">
        <x:f>'Evaluation Plan'!B70</x:f>
        <x:v>68</x:v>
      </x:c>
      <x:c r="C70" s="12" t="str">
        <x:f>'Evaluation Plan'!C70</x:f>
        <x:v>Pick up the largest item and place it in the bowl.</x:v>
      </x:c>
      <x:c r="D70" s="12" t="str">
        <x:f>'Evaluation Plan'!D70</x:f>
        <x:v>Bowl: empty. Table, robot-left→robot-right: P1 red pencil sharpener; P2 green block. Adjacent centers 12 cm apart; row shifted 4 cm toward robot-right; all objects fully visible and grasp paths clear.</x:v>
      </x:c>
      <x:c r="E70" s="13" t="str">
        <x:f>IF(ISBLANK('Evaluation Plan'!E70),"",'Evaluation Plan'!E70)</x:f>
      </x:c>
      <x:c r="F70" s="11" t="str">
        <x:f>'Evaluation Plan'!F70</x:f>
        <x:v>1087</x:v>
      </x:c>
      <x:c r="G70" s="11" t="str">
        <x:f>'Evaluation Plan'!G70</x:f>
        <x:v>MOVE green block to bowl</x:v>
      </x:c>
      <x:c r="H70" s="13"/>
      <x:c r="I70" s="11" t="str">
        <x:f>'Evaluation Plan'!I70</x:f>
        <x:v>Concept/compositional transfer</x:v>
      </x:c>
      <x:c r="J70" s="11" t="str">
        <x:f>'Evaluation Plan'!J70</x:f>
        <x:v>SZ-CT-LG08</x:v>
      </x:c>
      <x:c r="K70" s="11" t="str">
        <x:f>'Evaluation Plan'!K70</x:f>
        <x:v>largest</x:v>
      </x:c>
      <x:c r="L70" s="11" t="str">
        <x:f>'Evaluation Plan'!L70</x:f>
        <x:v>Held-out largest × green block — Pick up</x:v>
      </x:c>
      <x:c r="M70" s="11" t="str">
        <x:f>'Evaluation Plan'!M70</x:f>
        <x:v>green block</x:v>
      </x:c>
      <x:c r="N70" s="11" t="str">
        <x:f>'Evaluation Plan'!N70</x:f>
        <x:v>Right</x:v>
      </x:c>
      <x:c r="O70" s="11" t="n">
        <x:f>'Evaluation Plan'!O70</x:f>
        <x:v>2</x:v>
      </x:c>
      <x:c r="P70" s="11" t="n">
        <x:f>IF(ISBLANK('Evaluation Plan'!P70),"",'Evaluation Plan'!P70)</x:f>
        <x:v>12</x:v>
      </x:c>
      <x:c r="Q70" s="11" t="str">
        <x:f>'Evaluation Plan'!Q70</x:f>
        <x:v>Build the listed two-object scene and save a first-frame filename.</x:v>
      </x:c>
      <x:c r="R70" s="12" t="str">
        <x:f>'Evaluation Plan'!R70</x:f>
        <x:v>Primary missing cell. Training episode 1087 contains the same target trajectory but masks the size word with a direct identity prompt.</x:v>
      </x:c>
      <x:c r="S70" s="14" t="str">
        <x:f>IF(ISBLANK('Evaluation Plan'!S70),"",'Evaluation Plan'!S70)</x:f>
      </x:c>
      <x:c r="T70" s="15"/>
      <x:c r="U70" s="15"/>
      <x:c r="V70" s="15"/>
      <x:c r="W70" s="15"/>
      <x:c r="X70" s="15"/>
      <x:c r="Y70" s="15"/>
      <x:c r="Z70" s="15"/>
    </x:row>
    <x:row r="71" ht="67.5" customHeight="1">
      <x:c r="A71" s="24" t="s">
        <x:v>591</x:v>
      </x:c>
      <x:c r="B71" s="25" t="n">
        <x:f>'Evaluation Plan'!B71</x:f>
        <x:v>69</x:v>
      </x:c>
      <x:c r="C71" s="26" t="str">
        <x:f>'Evaluation Plan'!C71</x:f>
        <x:v>Move the green block into the bowl.</x:v>
      </x:c>
      <x:c r="D71" s="26" t="str">
        <x:f>'Evaluation Plan'!D71</x:f>
        <x:v>Bowl: empty. Table, robot-left→robot-right: P1 red pencil sharpener; P2 green block. Adjacent centers 12 cm apart; row shifted 4 cm toward robot-right; all objects fully visible and grasp paths clear.</x:v>
      </x:c>
      <x:c r="E71" s="25" t="n">
        <x:f>IF(ISBLANK('Evaluation Plan'!E71),"",'Evaluation Plan'!E71)</x:f>
        <x:v>68</x:v>
      </x:c>
      <x:c r="F71" s="25" t="str">
        <x:f>'Evaluation Plan'!F71</x:f>
        <x:v>1077</x:v>
      </x:c>
      <x:c r="G71" s="25" t="str">
        <x:f>'Evaluation Plan'!G71</x:f>
        <x:v>MOVE green block to bowl</x:v>
      </x:c>
      <x:c r="H71" s="27"/>
      <x:c r="I71" s="25" t="str">
        <x:f>'Evaluation Plan'!I71</x:f>
        <x:v>Matched manipulation control</x:v>
      </x:c>
      <x:c r="J71" s="25" t="str">
        <x:f>'Evaluation Plan'!J71</x:f>
        <x:v>SZ-CT-LG08</x:v>
      </x:c>
      <x:c r="K71" s="25" t="str">
        <x:f>'Evaluation Plan'!K71</x:f>
        <x:v>Direct</x:v>
      </x:c>
      <x:c r="L71" s="25" t="str">
        <x:f>'Evaluation Plan'!L71</x:f>
        <x:v>Same-scene direct target control</x:v>
      </x:c>
      <x:c r="M71" s="25" t="str">
        <x:f>'Evaluation Plan'!M71</x:f>
        <x:v>green block</x:v>
      </x:c>
      <x:c r="N71" s="25" t="str">
        <x:f>'Evaluation Plan'!N71</x:f>
        <x:v>Right</x:v>
      </x:c>
      <x:c r="O71" s="25" t="n">
        <x:f>'Evaluation Plan'!O71</x:f>
        <x:v>2</x:v>
      </x:c>
      <x:c r="P71" s="25" t="n">
        <x:f>IF(ISBLANK('Evaluation Plan'!P71),"",'Evaluation Plan'!P71)</x:f>
        <x:v>12</x:v>
      </x:c>
      <x:c r="Q71" s="25" t="str">
        <x:f>'Evaluation Plan'!Q71</x:f>
        <x:v>Reset the target to its original pose; change only the prompt.</x:v>
      </x:c>
      <x:c r="R71" s="26" t="str">
        <x:f>'Evaluation Plan'!R71</x:f>
        <x:v>Exact-scene control using a direct prompt supported by training episode 1077.</x:v>
      </x:c>
      <x:c r="S71" s="28" t="str">
        <x:f>IF(ISBLANK('Evaluation Plan'!S71),"",'Evaluation Plan'!S71)</x:f>
      </x:c>
      <x:c r="T71" s="15"/>
      <x:c r="U71" s="15"/>
      <x:c r="V71" s="15"/>
      <x:c r="W71" s="15"/>
      <x:c r="X71" s="15"/>
      <x:c r="Y71" s="15"/>
      <x:c r="Z71" s="15"/>
    </x:row>
    <x:row r="72" ht="67.5" customHeight="1">
      <x:c r="A72" s="17" t="s">
        <x:v>693</x:v>
      </x:c>
      <x:c r="B72" s="18" t="n">
        <x:f>'Evaluation Plan'!B72</x:f>
        <x:v>70</x:v>
      </x:c>
      <x:c r="C72" s="19" t="str">
        <x:f>'Evaluation Plan'!C72</x:f>
        <x:v>Put the smallest object in the bowl.</x:v>
      </x:c>
      <x:c r="D72" s="19" t="str">
        <x:f>'Evaluation Plan'!D72</x:f>
        <x:v>Bowl: empty. Table, robot-left→robot-right: P1 juggling ball; P2 crushed Pepsi can. Adjacent centers 16 cm apart; row shifted 4 cm away from the robot; all objects fully visible and grasp paths clear.</x:v>
      </x:c>
      <x:c r="E72" s="20" t="str">
        <x:f>IF(ISBLANK('Evaluation Plan'!E72),"",'Evaluation Plan'!E72)</x:f>
      </x:c>
      <x:c r="F72" s="18" t="str">
        <x:f>'Evaluation Plan'!F72</x:f>
        <x:v>1112</x:v>
      </x:c>
      <x:c r="G72" s="18" t="str">
        <x:f>'Evaluation Plan'!G72</x:f>
        <x:v>MOVE juggling ball to bowl</x:v>
      </x:c>
      <x:c r="H72" s="19" t="s">
        <x:v>706</x:v>
      </x:c>
      <x:c r="I72" s="18" t="str">
        <x:f>'Evaluation Plan'!I72</x:f>
        <x:v>Concept/compositional transfer</x:v>
      </x:c>
      <x:c r="J72" s="18" t="str">
        <x:f>'Evaluation Plan'!J72</x:f>
        <x:v>SZ-CT-SJ08</x:v>
      </x:c>
      <x:c r="K72" s="18" t="str">
        <x:f>'Evaluation Plan'!K72</x:f>
        <x:v>smallest</x:v>
      </x:c>
      <x:c r="L72" s="18" t="str">
        <x:f>'Evaluation Plan'!L72</x:f>
        <x:v>Held-out smallest × juggling ball — Put</x:v>
      </x:c>
      <x:c r="M72" s="18" t="str">
        <x:f>'Evaluation Plan'!M72</x:f>
        <x:v>juggling ball</x:v>
      </x:c>
      <x:c r="N72" s="18" t="str">
        <x:f>'Evaluation Plan'!N72</x:f>
        <x:v>Left</x:v>
      </x:c>
      <x:c r="O72" s="18" t="n">
        <x:f>'Evaluation Plan'!O72</x:f>
        <x:v>2</x:v>
      </x:c>
      <x:c r="P72" s="18" t="n">
        <x:f>IF(ISBLANK('Evaluation Plan'!P72),"",'Evaluation Plan'!P72)</x:f>
        <x:v>16</x:v>
      </x:c>
      <x:c r="Q72" s="18" t="str">
        <x:f>'Evaluation Plan'!Q72</x:f>
        <x:v>Build the listed two-object scene and save a first-frame filename.</x:v>
      </x:c>
      <x:c r="R72" s="19" t="str">
        <x:f>'Evaluation Plan'!R72</x:f>
        <x:v>Primary missing cell. Training episode 1112 contains the same target trajectory but masks the size word with a direct identity prompt.</x:v>
      </x:c>
      <x:c r="S72" s="21" t="str">
        <x:f>IF(ISBLANK('Evaluation Plan'!S72),"",'Evaluation Plan'!S72)</x:f>
      </x:c>
      <x:c r="T72" s="15"/>
      <x:c r="U72" s="15"/>
      <x:c r="V72" s="15"/>
      <x:c r="W72" s="15"/>
      <x:c r="X72" s="15"/>
      <x:c r="Y72" s="15"/>
      <x:c r="Z72" s="15"/>
    </x:row>
    <x:row r="73" ht="67.5" customHeight="1">
      <x:c r="A73" s="24" t="s">
        <x:v>591</x:v>
      </x:c>
      <x:c r="B73" s="25" t="n">
        <x:f>'Evaluation Plan'!B73</x:f>
        <x:v>71</x:v>
      </x:c>
      <x:c r="C73" s="26" t="str">
        <x:f>'Evaluation Plan'!C73</x:f>
        <x:v>Move the juggling ball into the bowl.</x:v>
      </x:c>
      <x:c r="D73" s="26" t="str">
        <x:f>'Evaluation Plan'!D73</x:f>
        <x:v>Bowl: empty. Table, robot-left→robot-right: P1 juggling ball; P2 crushed Pepsi can. Adjacent centers 16 cm apart; row shifted 4 cm away from the robot; all objects fully visible and grasp paths clear.</x:v>
      </x:c>
      <x:c r="E73" s="25" t="n">
        <x:f>IF(ISBLANK('Evaluation Plan'!E73),"",'Evaluation Plan'!E73)</x:f>
        <x:v>70</x:v>
      </x:c>
      <x:c r="F73" s="25" t="str">
        <x:f>'Evaluation Plan'!F73</x:f>
        <x:v>1102</x:v>
      </x:c>
      <x:c r="G73" s="25" t="str">
        <x:f>'Evaluation Plan'!G73</x:f>
        <x:v>MOVE juggling ball to bowl</x:v>
      </x:c>
      <x:c r="H73" s="27"/>
      <x:c r="I73" s="25" t="str">
        <x:f>'Evaluation Plan'!I73</x:f>
        <x:v>Matched manipulation control</x:v>
      </x:c>
      <x:c r="J73" s="25" t="str">
        <x:f>'Evaluation Plan'!J73</x:f>
        <x:v>SZ-CT-SJ08</x:v>
      </x:c>
      <x:c r="K73" s="25" t="str">
        <x:f>'Evaluation Plan'!K73</x:f>
        <x:v>Direct</x:v>
      </x:c>
      <x:c r="L73" s="25" t="str">
        <x:f>'Evaluation Plan'!L73</x:f>
        <x:v>Same-scene direct target control</x:v>
      </x:c>
      <x:c r="M73" s="25" t="str">
        <x:f>'Evaluation Plan'!M73</x:f>
        <x:v>juggling ball</x:v>
      </x:c>
      <x:c r="N73" s="25" t="str">
        <x:f>'Evaluation Plan'!N73</x:f>
        <x:v>Left</x:v>
      </x:c>
      <x:c r="O73" s="25" t="n">
        <x:f>'Evaluation Plan'!O73</x:f>
        <x:v>2</x:v>
      </x:c>
      <x:c r="P73" s="25" t="n">
        <x:f>IF(ISBLANK('Evaluation Plan'!P73),"",'Evaluation Plan'!P73)</x:f>
        <x:v>16</x:v>
      </x:c>
      <x:c r="Q73" s="25" t="str">
        <x:f>'Evaluation Plan'!Q73</x:f>
        <x:v>Reset the target to its original pose; change only the prompt.</x:v>
      </x:c>
      <x:c r="R73" s="26" t="str">
        <x:f>'Evaluation Plan'!R73</x:f>
        <x:v>Exact-scene control using a direct prompt supported by training episode 1102.</x:v>
      </x:c>
      <x:c r="S73" s="28" t="str">
        <x:f>IF(ISBLANK('Evaluation Plan'!S73),"",'Evaluation Plan'!S73)</x:f>
      </x:c>
      <x:c r="T73" s="15"/>
      <x:c r="U73" s="15"/>
      <x:c r="V73" s="15"/>
      <x:c r="W73" s="15"/>
      <x:c r="X73" s="15"/>
      <x:c r="Y73" s="15"/>
      <x:c r="Z73" s="15"/>
    </x:row>
    <x:row r="74" ht="67.5" customHeight="1">
      <x:c r="A74" s="17" t="s">
        <x:v>693</x:v>
      </x:c>
      <x:c r="B74" s="18" t="n">
        <x:f>'Evaluation Plan'!B74</x:f>
        <x:v>72</x:v>
      </x:c>
      <x:c r="C74" s="19" t="str">
        <x:f>'Evaluation Plan'!C74</x:f>
        <x:v>Put the largest object in the bowl.</x:v>
      </x:c>
      <x:c r="D74" s="19" t="str">
        <x:f>'Evaluation Plan'!D74</x:f>
        <x:v>Bowl: empty. Table, robot-left→robot-right: P1 green block; P2 red pencil sharpener. Adjacent centers 16 cm apart; row shifted 4 cm toward the robot; all objects fully visible and grasp paths clear.</x:v>
      </x:c>
      <x:c r="E74" s="20" t="str">
        <x:f>IF(ISBLANK('Evaluation Plan'!E74),"",'Evaluation Plan'!E74)</x:f>
      </x:c>
      <x:c r="F74" s="18" t="str">
        <x:f>'Evaluation Plan'!F74</x:f>
        <x:v>1088</x:v>
      </x:c>
      <x:c r="G74" s="18" t="str">
        <x:f>'Evaluation Plan'!G74</x:f>
        <x:v>MOVE green block to bowl</x:v>
      </x:c>
      <x:c r="H74" s="19" t="s">
        <x:v>707</x:v>
      </x:c>
      <x:c r="I74" s="18" t="str">
        <x:f>'Evaluation Plan'!I74</x:f>
        <x:v>Concept/compositional transfer</x:v>
      </x:c>
      <x:c r="J74" s="18" t="str">
        <x:f>'Evaluation Plan'!J74</x:f>
        <x:v>SZ-CT-LG09</x:v>
      </x:c>
      <x:c r="K74" s="18" t="str">
        <x:f>'Evaluation Plan'!K74</x:f>
        <x:v>largest</x:v>
      </x:c>
      <x:c r="L74" s="18" t="str">
        <x:f>'Evaluation Plan'!L74</x:f>
        <x:v>Held-out largest × green block — Put</x:v>
      </x:c>
      <x:c r="M74" s="18" t="str">
        <x:f>'Evaluation Plan'!M74</x:f>
        <x:v>green block</x:v>
      </x:c>
      <x:c r="N74" s="18" t="str">
        <x:f>'Evaluation Plan'!N74</x:f>
        <x:v>Left</x:v>
      </x:c>
      <x:c r="O74" s="18" t="n">
        <x:f>'Evaluation Plan'!O74</x:f>
        <x:v>2</x:v>
      </x:c>
      <x:c r="P74" s="18" t="n">
        <x:f>IF(ISBLANK('Evaluation Plan'!P74),"",'Evaluation Plan'!P74)</x:f>
        <x:v>16</x:v>
      </x:c>
      <x:c r="Q74" s="18" t="str">
        <x:f>'Evaluation Plan'!Q74</x:f>
        <x:v>Build the listed two-object scene and save a first-frame filename.</x:v>
      </x:c>
      <x:c r="R74" s="19" t="str">
        <x:f>'Evaluation Plan'!R74</x:f>
        <x:v>Primary missing cell. Training episode 1088 contains the same target trajectory but masks the size word with a direct identity prompt.</x:v>
      </x:c>
      <x:c r="S74" s="21" t="str">
        <x:f>IF(ISBLANK('Evaluation Plan'!S74),"",'Evaluation Plan'!S74)</x:f>
      </x:c>
      <x:c r="T74" s="15"/>
      <x:c r="U74" s="15"/>
      <x:c r="V74" s="15"/>
      <x:c r="W74" s="15"/>
      <x:c r="X74" s="15"/>
      <x:c r="Y74" s="15"/>
      <x:c r="Z74" s="15"/>
    </x:row>
    <x:row r="75" ht="67.5" customHeight="1">
      <x:c r="A75" s="24" t="s">
        <x:v>591</x:v>
      </x:c>
      <x:c r="B75" s="25" t="n">
        <x:f>'Evaluation Plan'!B75</x:f>
        <x:v>73</x:v>
      </x:c>
      <x:c r="C75" s="26" t="str">
        <x:f>'Evaluation Plan'!C75</x:f>
        <x:v>Pick up the green block and place it in the bowl.</x:v>
      </x:c>
      <x:c r="D75" s="26" t="str">
        <x:f>'Evaluation Plan'!D75</x:f>
        <x:v>Bowl: empty. Table, robot-left→robot-right: P1 green block; P2 red pencil sharpener. Adjacent centers 16 cm apart; row shifted 4 cm toward the robot; all objects fully visible and grasp paths clear.</x:v>
      </x:c>
      <x:c r="E75" s="25" t="n">
        <x:f>IF(ISBLANK('Evaluation Plan'!E75),"",'Evaluation Plan'!E75)</x:f>
        <x:v>72</x:v>
      </x:c>
      <x:c r="F75" s="25" t="str">
        <x:f>'Evaluation Plan'!F75</x:f>
        <x:v>1078</x:v>
      </x:c>
      <x:c r="G75" s="25" t="str">
        <x:f>'Evaluation Plan'!G75</x:f>
        <x:v>MOVE green block to bowl</x:v>
      </x:c>
      <x:c r="H75" s="27"/>
      <x:c r="I75" s="25" t="str">
        <x:f>'Evaluation Plan'!I75</x:f>
        <x:v>Matched manipulation control</x:v>
      </x:c>
      <x:c r="J75" s="25" t="str">
        <x:f>'Evaluation Plan'!J75</x:f>
        <x:v>SZ-CT-LG09</x:v>
      </x:c>
      <x:c r="K75" s="25" t="str">
        <x:f>'Evaluation Plan'!K75</x:f>
        <x:v>Direct</x:v>
      </x:c>
      <x:c r="L75" s="25" t="str">
        <x:f>'Evaluation Plan'!L75</x:f>
        <x:v>Same-scene direct target control</x:v>
      </x:c>
      <x:c r="M75" s="25" t="str">
        <x:f>'Evaluation Plan'!M75</x:f>
        <x:v>green block</x:v>
      </x:c>
      <x:c r="N75" s="25" t="str">
        <x:f>'Evaluation Plan'!N75</x:f>
        <x:v>Left</x:v>
      </x:c>
      <x:c r="O75" s="25" t="n">
        <x:f>'Evaluation Plan'!O75</x:f>
        <x:v>2</x:v>
      </x:c>
      <x:c r="P75" s="25" t="n">
        <x:f>IF(ISBLANK('Evaluation Plan'!P75),"",'Evaluation Plan'!P75)</x:f>
        <x:v>16</x:v>
      </x:c>
      <x:c r="Q75" s="25" t="str">
        <x:f>'Evaluation Plan'!Q75</x:f>
        <x:v>Reset the target to its original pose; change only the prompt.</x:v>
      </x:c>
      <x:c r="R75" s="26" t="str">
        <x:f>'Evaluation Plan'!R75</x:f>
        <x:v>Exact-scene control using a direct prompt supported by training episode 1078.</x:v>
      </x:c>
      <x:c r="S75" s="28" t="str">
        <x:f>IF(ISBLANK('Evaluation Plan'!S75),"",'Evaluation Plan'!S75)</x:f>
      </x:c>
      <x:c r="T75" s="15"/>
      <x:c r="U75" s="15"/>
      <x:c r="V75" s="15"/>
      <x:c r="W75" s="15"/>
      <x:c r="X75" s="15"/>
      <x:c r="Y75" s="15"/>
      <x:c r="Z75" s="15"/>
    </x:row>
    <x:row r="76" ht="67.5" customHeight="1">
      <x:c r="A76" s="10" t="s">
        <x:v>591</x:v>
      </x:c>
      <x:c r="B76" s="11" t="n">
        <x:f>'Evaluation Plan'!B76</x:f>
        <x:v>74</x:v>
      </x:c>
      <x:c r="C76" s="12" t="str">
        <x:f>'Evaluation Plan'!C76</x:f>
        <x:v>Move the object that is smallest into the bowl.</x:v>
      </x:c>
      <x:c r="D76" s="12" t="str">
        <x:f>'Evaluation Plan'!D76</x:f>
        <x:v>Bowl: empty. Table, robot-left→robot-right: P1 crushed Pepsi can; P2 juggling ball. Adjacent centers 8 cm apart; row centered on the workspace; all objects fully visible and grasp paths clear.</x:v>
      </x:c>
      <x:c r="E76" s="13" t="str">
        <x:f>IF(ISBLANK('Evaluation Plan'!E76),"",'Evaluation Plan'!E76)</x:f>
      </x:c>
      <x:c r="F76" s="11" t="str">
        <x:f>'Evaluation Plan'!F76</x:f>
        <x:v>1113</x:v>
      </x:c>
      <x:c r="G76" s="11" t="str">
        <x:f>'Evaluation Plan'!G76</x:f>
        <x:v>MOVE juggling ball to bowl</x:v>
      </x:c>
      <x:c r="H76" s="13"/>
      <x:c r="I76" s="11" t="str">
        <x:f>'Evaluation Plan'!I76</x:f>
        <x:v>Concept/compositional transfer</x:v>
      </x:c>
      <x:c r="J76" s="11" t="str">
        <x:f>'Evaluation Plan'!J76</x:f>
        <x:v>SZ-CT-SJ09</x:v>
      </x:c>
      <x:c r="K76" s="11" t="str">
        <x:f>'Evaluation Plan'!K76</x:f>
        <x:v>smallest</x:v>
      </x:c>
      <x:c r="L76" s="11" t="str">
        <x:f>'Evaluation Plan'!L76</x:f>
        <x:v>Held-out smallest × juggling ball — Move</x:v>
      </x:c>
      <x:c r="M76" s="11" t="str">
        <x:f>'Evaluation Plan'!M76</x:f>
        <x:v>juggling ball</x:v>
      </x:c>
      <x:c r="N76" s="11" t="str">
        <x:f>'Evaluation Plan'!N76</x:f>
        <x:v>Right</x:v>
      </x:c>
      <x:c r="O76" s="11" t="n">
        <x:f>'Evaluation Plan'!O76</x:f>
        <x:v>2</x:v>
      </x:c>
      <x:c r="P76" s="11" t="n">
        <x:f>IF(ISBLANK('Evaluation Plan'!P76),"",'Evaluation Plan'!P76)</x:f>
        <x:v>8</x:v>
      </x:c>
      <x:c r="Q76" s="11" t="str">
        <x:f>'Evaluation Plan'!Q76</x:f>
        <x:v>Build the listed two-object scene and save a first-frame filename.</x:v>
      </x:c>
      <x:c r="R76" s="12" t="str">
        <x:f>'Evaluation Plan'!R76</x:f>
        <x:v>Primary missing cell. Training episode 1113 contains the same target trajectory but masks the size word with a direct identity prompt.</x:v>
      </x:c>
      <x:c r="S76" s="14" t="str">
        <x:f>IF(ISBLANK('Evaluation Plan'!S76),"",'Evaluation Plan'!S76)</x:f>
      </x:c>
      <x:c r="T76" s="15"/>
      <x:c r="U76" s="15"/>
      <x:c r="V76" s="15"/>
      <x:c r="W76" s="15"/>
      <x:c r="X76" s="15"/>
      <x:c r="Y76" s="15"/>
      <x:c r="Z76" s="15"/>
    </x:row>
    <x:row r="77" ht="67.5" customHeight="1">
      <x:c r="A77" s="24" t="s">
        <x:v>591</x:v>
      </x:c>
      <x:c r="B77" s="25" t="n">
        <x:f>'Evaluation Plan'!B77</x:f>
        <x:v>75</x:v>
      </x:c>
      <x:c r="C77" s="26" t="str">
        <x:f>'Evaluation Plan'!C77</x:f>
        <x:v>Pick up the juggling ball and place it in the bowl.</x:v>
      </x:c>
      <x:c r="D77" s="26" t="str">
        <x:f>'Evaluation Plan'!D77</x:f>
        <x:v>Bowl: empty. Table, robot-left→robot-right: P1 crushed Pepsi can; P2 juggling ball. Adjacent centers 8 cm apart; row centered on the workspace; all objects fully visible and grasp paths clear.</x:v>
      </x:c>
      <x:c r="E77" s="25" t="n">
        <x:f>IF(ISBLANK('Evaluation Plan'!E77),"",'Evaluation Plan'!E77)</x:f>
        <x:v>74</x:v>
      </x:c>
      <x:c r="F77" s="25" t="str">
        <x:f>'Evaluation Plan'!F77</x:f>
        <x:v>1103</x:v>
      </x:c>
      <x:c r="G77" s="25" t="str">
        <x:f>'Evaluation Plan'!G77</x:f>
        <x:v>MOVE juggling ball to bowl</x:v>
      </x:c>
      <x:c r="H77" s="27"/>
      <x:c r="I77" s="25" t="str">
        <x:f>'Evaluation Plan'!I77</x:f>
        <x:v>Matched manipulation control</x:v>
      </x:c>
      <x:c r="J77" s="25" t="str">
        <x:f>'Evaluation Plan'!J77</x:f>
        <x:v>SZ-CT-SJ09</x:v>
      </x:c>
      <x:c r="K77" s="25" t="str">
        <x:f>'Evaluation Plan'!K77</x:f>
        <x:v>Direct</x:v>
      </x:c>
      <x:c r="L77" s="25" t="str">
        <x:f>'Evaluation Plan'!L77</x:f>
        <x:v>Same-scene direct target control</x:v>
      </x:c>
      <x:c r="M77" s="25" t="str">
        <x:f>'Evaluation Plan'!M77</x:f>
        <x:v>juggling ball</x:v>
      </x:c>
      <x:c r="N77" s="25" t="str">
        <x:f>'Evaluation Plan'!N77</x:f>
        <x:v>Right</x:v>
      </x:c>
      <x:c r="O77" s="25" t="n">
        <x:f>'Evaluation Plan'!O77</x:f>
        <x:v>2</x:v>
      </x:c>
      <x:c r="P77" s="25" t="n">
        <x:f>IF(ISBLANK('Evaluation Plan'!P77),"",'Evaluation Plan'!P77)</x:f>
        <x:v>8</x:v>
      </x:c>
      <x:c r="Q77" s="25" t="str">
        <x:f>'Evaluation Plan'!Q77</x:f>
        <x:v>Reset the target to its original pose; change only the prompt.</x:v>
      </x:c>
      <x:c r="R77" s="26" t="str">
        <x:f>'Evaluation Plan'!R77</x:f>
        <x:v>Exact-scene control using a direct prompt supported by training episode 1103.</x:v>
      </x:c>
      <x:c r="S77" s="28" t="str">
        <x:f>IF(ISBLANK('Evaluation Plan'!S77),"",'Evaluation Plan'!S77)</x:f>
      </x:c>
      <x:c r="T77" s="15"/>
      <x:c r="U77" s="15"/>
      <x:c r="V77" s="15"/>
      <x:c r="W77" s="15"/>
      <x:c r="X77" s="15"/>
      <x:c r="Y77" s="15"/>
      <x:c r="Z77" s="15"/>
    </x:row>
    <x:row r="78" ht="67.5" customHeight="1">
      <x:c r="A78" s="17" t="s">
        <x:v>693</x:v>
      </x:c>
      <x:c r="B78" s="18" t="n">
        <x:f>'Evaluation Plan'!B78</x:f>
        <x:v>76</x:v>
      </x:c>
      <x:c r="C78" s="19" t="str">
        <x:f>'Evaluation Plan'!C78</x:f>
        <x:v>Move the object that is largest into the bowl.</x:v>
      </x:c>
      <x:c r="D78" s="19" t="str">
        <x:f>'Evaluation Plan'!D78</x:f>
        <x:v>Bowl: empty. Table, robot-left→robot-right: P1 red pencil sharpener; P2 green block. Adjacent centers 8 cm apart; row shifted 4 cm away from the robot; all objects fully visible and grasp paths clear.</x:v>
      </x:c>
      <x:c r="E78" s="20" t="str">
        <x:f>IF(ISBLANK('Evaluation Plan'!E78),"",'Evaluation Plan'!E78)</x:f>
      </x:c>
      <x:c r="F78" s="18" t="str">
        <x:f>'Evaluation Plan'!F78</x:f>
        <x:v>1089</x:v>
      </x:c>
      <x:c r="G78" s="18" t="str">
        <x:f>'Evaluation Plan'!G78</x:f>
        <x:v>MOVE green block to bowl</x:v>
      </x:c>
      <x:c r="H78" s="19" t="s">
        <x:v>708</x:v>
      </x:c>
      <x:c r="I78" s="18" t="str">
        <x:f>'Evaluation Plan'!I78</x:f>
        <x:v>Concept/compositional transfer</x:v>
      </x:c>
      <x:c r="J78" s="18" t="str">
        <x:f>'Evaluation Plan'!J78</x:f>
        <x:v>SZ-CT-LG10</x:v>
      </x:c>
      <x:c r="K78" s="18" t="str">
        <x:f>'Evaluation Plan'!K78</x:f>
        <x:v>largest</x:v>
      </x:c>
      <x:c r="L78" s="18" t="str">
        <x:f>'Evaluation Plan'!L78</x:f>
        <x:v>Held-out largest × green block — Move</x:v>
      </x:c>
      <x:c r="M78" s="18" t="str">
        <x:f>'Evaluation Plan'!M78</x:f>
        <x:v>green block</x:v>
      </x:c>
      <x:c r="N78" s="18" t="str">
        <x:f>'Evaluation Plan'!N78</x:f>
        <x:v>Right</x:v>
      </x:c>
      <x:c r="O78" s="18" t="n">
        <x:f>'Evaluation Plan'!O78</x:f>
        <x:v>2</x:v>
      </x:c>
      <x:c r="P78" s="18" t="n">
        <x:f>IF(ISBLANK('Evaluation Plan'!P78),"",'Evaluation Plan'!P78)</x:f>
        <x:v>8</x:v>
      </x:c>
      <x:c r="Q78" s="18" t="str">
        <x:f>'Evaluation Plan'!Q78</x:f>
        <x:v>Build the listed two-object scene and save a first-frame filename.</x:v>
      </x:c>
      <x:c r="R78" s="19" t="str">
        <x:f>'Evaluation Plan'!R78</x:f>
        <x:v>Primary missing cell. Training episode 1089 contains the same target trajectory but masks the size word with a direct identity prompt.</x:v>
      </x:c>
      <x:c r="S78" s="21" t="str">
        <x:f>IF(ISBLANK('Evaluation Plan'!S78),"",'Evaluation Plan'!S78)</x:f>
      </x:c>
      <x:c r="T78" s="15"/>
      <x:c r="U78" s="15"/>
      <x:c r="V78" s="15"/>
      <x:c r="W78" s="15"/>
      <x:c r="X78" s="15"/>
      <x:c r="Y78" s="15"/>
      <x:c r="Z78" s="15"/>
    </x:row>
    <x:row r="79" ht="67.5" customHeight="1">
      <x:c r="A79" s="24" t="s">
        <x:v>591</x:v>
      </x:c>
      <x:c r="B79" s="25" t="n">
        <x:f>'Evaluation Plan'!B79</x:f>
        <x:v>77</x:v>
      </x:c>
      <x:c r="C79" s="26" t="str">
        <x:f>'Evaluation Plan'!C79</x:f>
        <x:v>Put the green block in the bowl.</x:v>
      </x:c>
      <x:c r="D79" s="26" t="str">
        <x:f>'Evaluation Plan'!D79</x:f>
        <x:v>Bowl: empty. Table, robot-left→robot-right: P1 red pencil sharpener; P2 green block. Adjacent centers 8 cm apart; row shifted 4 cm away from the robot; all objects fully visible and grasp paths clear.</x:v>
      </x:c>
      <x:c r="E79" s="25" t="n">
        <x:f>IF(ISBLANK('Evaluation Plan'!E79),"",'Evaluation Plan'!E79)</x:f>
        <x:v>76</x:v>
      </x:c>
      <x:c r="F79" s="25" t="str">
        <x:f>'Evaluation Plan'!F79</x:f>
        <x:v>1079</x:v>
      </x:c>
      <x:c r="G79" s="25" t="str">
        <x:f>'Evaluation Plan'!G79</x:f>
        <x:v>MOVE green block to bowl</x:v>
      </x:c>
      <x:c r="H79" s="27"/>
      <x:c r="I79" s="25" t="str">
        <x:f>'Evaluation Plan'!I79</x:f>
        <x:v>Matched manipulation control</x:v>
      </x:c>
      <x:c r="J79" s="25" t="str">
        <x:f>'Evaluation Plan'!J79</x:f>
        <x:v>SZ-CT-LG10</x:v>
      </x:c>
      <x:c r="K79" s="25" t="str">
        <x:f>'Evaluation Plan'!K79</x:f>
        <x:v>Direct</x:v>
      </x:c>
      <x:c r="L79" s="25" t="str">
        <x:f>'Evaluation Plan'!L79</x:f>
        <x:v>Same-scene direct target control</x:v>
      </x:c>
      <x:c r="M79" s="25" t="str">
        <x:f>'Evaluation Plan'!M79</x:f>
        <x:v>green block</x:v>
      </x:c>
      <x:c r="N79" s="25" t="str">
        <x:f>'Evaluation Plan'!N79</x:f>
        <x:v>Right</x:v>
      </x:c>
      <x:c r="O79" s="25" t="n">
        <x:f>'Evaluation Plan'!O79</x:f>
        <x:v>2</x:v>
      </x:c>
      <x:c r="P79" s="25" t="n">
        <x:f>IF(ISBLANK('Evaluation Plan'!P79),"",'Evaluation Plan'!P79)</x:f>
        <x:v>8</x:v>
      </x:c>
      <x:c r="Q79" s="25" t="str">
        <x:f>'Evaluation Plan'!Q79</x:f>
        <x:v>Reset the target to its original pose; change only the prompt.</x:v>
      </x:c>
      <x:c r="R79" s="26" t="str">
        <x:f>'Evaluation Plan'!R79</x:f>
        <x:v>Exact-scene control using a direct prompt supported by training episode 1079.</x:v>
      </x:c>
      <x:c r="S79" s="28" t="str">
        <x:f>IF(ISBLANK('Evaluation Plan'!S79),"",'Evaluation Plan'!S79)</x:f>
      </x:c>
      <x:c r="T79" s="15"/>
      <x:c r="U79" s="15"/>
      <x:c r="V79" s="15"/>
      <x:c r="W79" s="15"/>
      <x:c r="X79" s="15"/>
      <x:c r="Y79" s="15"/>
      <x:c r="Z79" s="15"/>
    </x:row>
    <x:row r="80" ht="67.5" customHeight="1">
      <x:c r="A80" s="10" t="s">
        <x:v>591</x:v>
      </x:c>
      <x:c r="B80" s="11" t="n">
        <x:f>'Evaluation Plan'!B80</x:f>
        <x:v>78</x:v>
      </x:c>
      <x:c r="C80" s="12" t="str">
        <x:f>'Evaluation Plan'!C80</x:f>
        <x:v>Pick up the smallest item and place it in the bowl.</x:v>
      </x:c>
      <x:c r="D80" s="12" t="str">
        <x:f>'Evaluation Plan'!D80</x:f>
        <x:v>Bowl: empty. Table, robot-left→robot-right: P1 juggling ball; P2 crushed Pepsi can. Adjacent centers 12 cm apart; row shifted 4 cm toward robot-left; all objects fully visible and grasp paths clear.</x:v>
      </x:c>
      <x:c r="E80" s="13" t="str">
        <x:f>IF(ISBLANK('Evaluation Plan'!E80),"",'Evaluation Plan'!E80)</x:f>
      </x:c>
      <x:c r="F80" s="11" t="str">
        <x:f>'Evaluation Plan'!F80</x:f>
        <x:v>1114</x:v>
      </x:c>
      <x:c r="G80" s="11" t="str">
        <x:f>'Evaluation Plan'!G80</x:f>
        <x:v>MOVE juggling ball to bowl</x:v>
      </x:c>
      <x:c r="H80" s="13"/>
      <x:c r="I80" s="11" t="str">
        <x:f>'Evaluation Plan'!I80</x:f>
        <x:v>Concept/compositional transfer</x:v>
      </x:c>
      <x:c r="J80" s="11" t="str">
        <x:f>'Evaluation Plan'!J80</x:f>
        <x:v>SZ-CT-SJ10</x:v>
      </x:c>
      <x:c r="K80" s="11" t="str">
        <x:f>'Evaluation Plan'!K80</x:f>
        <x:v>smallest</x:v>
      </x:c>
      <x:c r="L80" s="11" t="str">
        <x:f>'Evaluation Plan'!L80</x:f>
        <x:v>Held-out smallest × juggling ball — Pick up</x:v>
      </x:c>
      <x:c r="M80" s="11" t="str">
        <x:f>'Evaluation Plan'!M80</x:f>
        <x:v>juggling ball</x:v>
      </x:c>
      <x:c r="N80" s="11" t="str">
        <x:f>'Evaluation Plan'!N80</x:f>
        <x:v>Left</x:v>
      </x:c>
      <x:c r="O80" s="11" t="n">
        <x:f>'Evaluation Plan'!O80</x:f>
        <x:v>2</x:v>
      </x:c>
      <x:c r="P80" s="11" t="n">
        <x:f>IF(ISBLANK('Evaluation Plan'!P80),"",'Evaluation Plan'!P80)</x:f>
        <x:v>12</x:v>
      </x:c>
      <x:c r="Q80" s="11" t="str">
        <x:f>'Evaluation Plan'!Q80</x:f>
        <x:v>Build the listed two-object scene and save a first-frame filename.</x:v>
      </x:c>
      <x:c r="R80" s="12" t="str">
        <x:f>'Evaluation Plan'!R80</x:f>
        <x:v>Primary missing cell. Training episode 1114 contains the same target trajectory but masks the size word with a direct identity prompt.</x:v>
      </x:c>
      <x:c r="S80" s="14" t="str">
        <x:f>IF(ISBLANK('Evaluation Plan'!S80),"",'Evaluation Plan'!S80)</x:f>
      </x:c>
      <x:c r="T80" s="15"/>
      <x:c r="U80" s="15"/>
      <x:c r="V80" s="15"/>
      <x:c r="W80" s="15"/>
      <x:c r="X80" s="15"/>
      <x:c r="Y80" s="15"/>
      <x:c r="Z80" s="15"/>
    </x:row>
    <x:row r="81" ht="67.5" customHeight="1">
      <x:c r="A81" s="24" t="s">
        <x:v>591</x:v>
      </x:c>
      <x:c r="B81" s="25" t="n">
        <x:f>'Evaluation Plan'!B81</x:f>
        <x:v>79</x:v>
      </x:c>
      <x:c r="C81" s="26" t="str">
        <x:f>'Evaluation Plan'!C81</x:f>
        <x:v>Put the juggling ball in the bowl.</x:v>
      </x:c>
      <x:c r="D81" s="26" t="str">
        <x:f>'Evaluation Plan'!D81</x:f>
        <x:v>Bowl: empty. Table, robot-left→robot-right: P1 juggling ball; P2 crushed Pepsi can. Adjacent centers 12 cm apart; row shifted 4 cm toward robot-left; all objects fully visible and grasp paths clear.</x:v>
      </x:c>
      <x:c r="E81" s="25" t="n">
        <x:f>IF(ISBLANK('Evaluation Plan'!E81),"",'Evaluation Plan'!E81)</x:f>
        <x:v>78</x:v>
      </x:c>
      <x:c r="F81" s="25" t="str">
        <x:f>'Evaluation Plan'!F81</x:f>
        <x:v>1104</x:v>
      </x:c>
      <x:c r="G81" s="25" t="str">
        <x:f>'Evaluation Plan'!G81</x:f>
        <x:v>MOVE juggling ball to bowl</x:v>
      </x:c>
      <x:c r="H81" s="27"/>
      <x:c r="I81" s="25" t="str">
        <x:f>'Evaluation Plan'!I81</x:f>
        <x:v>Matched manipulation control</x:v>
      </x:c>
      <x:c r="J81" s="25" t="str">
        <x:f>'Evaluation Plan'!J81</x:f>
        <x:v>SZ-CT-SJ10</x:v>
      </x:c>
      <x:c r="K81" s="25" t="str">
        <x:f>'Evaluation Plan'!K81</x:f>
        <x:v>Direct</x:v>
      </x:c>
      <x:c r="L81" s="25" t="str">
        <x:f>'Evaluation Plan'!L81</x:f>
        <x:v>Same-scene direct target control</x:v>
      </x:c>
      <x:c r="M81" s="25" t="str">
        <x:f>'Evaluation Plan'!M81</x:f>
        <x:v>juggling ball</x:v>
      </x:c>
      <x:c r="N81" s="25" t="str">
        <x:f>'Evaluation Plan'!N81</x:f>
        <x:v>Left</x:v>
      </x:c>
      <x:c r="O81" s="25" t="n">
        <x:f>'Evaluation Plan'!O81</x:f>
        <x:v>2</x:v>
      </x:c>
      <x:c r="P81" s="25" t="n">
        <x:f>IF(ISBLANK('Evaluation Plan'!P81),"",'Evaluation Plan'!P81)</x:f>
        <x:v>12</x:v>
      </x:c>
      <x:c r="Q81" s="25" t="str">
        <x:f>'Evaluation Plan'!Q81</x:f>
        <x:v>Reset the target to its original pose; change only the prompt.</x:v>
      </x:c>
      <x:c r="R81" s="26" t="str">
        <x:f>'Evaluation Plan'!R81</x:f>
        <x:v>Exact-scene control using a direct prompt supported by training episode 1104.</x:v>
      </x:c>
      <x:c r="S81" s="28" t="str">
        <x:f>IF(ISBLANK('Evaluation Plan'!S81),"",'Evaluation Plan'!S81)</x:f>
      </x:c>
      <x:c r="T81" s="15"/>
      <x:c r="U81" s="15"/>
      <x:c r="V81" s="15"/>
      <x:c r="W81" s="15"/>
      <x:c r="X81" s="15"/>
      <x:c r="Y81" s="15"/>
      <x:c r="Z81" s="15"/>
    </x:row>
    <x:row r="82" ht="67.5" customHeight="1">
      <x:c r="A82" s="10" t="s">
        <x:v>591</x:v>
      </x:c>
      <x:c r="B82" s="11" t="n">
        <x:f>'Evaluation Plan'!B82</x:f>
        <x:v>80</x:v>
      </x:c>
      <x:c r="C82" s="12" t="str">
        <x:f>'Evaluation Plan'!C82</x:f>
        <x:v>Pick up the largest item and place it in the bowl.</x:v>
      </x:c>
      <x:c r="D82" s="12" t="str">
        <x:f>'Evaluation Plan'!D82</x:f>
        <x:v>Bowl: empty. Table, robot-left→robot-right: P1 green block; P2 red pencil sharpener. Adjacent centers 12 cm apart; row centered on the workspace; all objects fully visible and grasp paths clear.</x:v>
      </x:c>
      <x:c r="E82" s="13" t="str">
        <x:f>IF(ISBLANK('Evaluation Plan'!E82),"",'Evaluation Plan'!E82)</x:f>
      </x:c>
      <x:c r="F82" s="11" t="str">
        <x:f>'Evaluation Plan'!F82</x:f>
        <x:v>1090</x:v>
      </x:c>
      <x:c r="G82" s="11" t="str">
        <x:f>'Evaluation Plan'!G82</x:f>
        <x:v>MOVE green block to bowl</x:v>
      </x:c>
      <x:c r="H82" s="13"/>
      <x:c r="I82" s="11" t="str">
        <x:f>'Evaluation Plan'!I82</x:f>
        <x:v>Concept/compositional transfer</x:v>
      </x:c>
      <x:c r="J82" s="11" t="str">
        <x:f>'Evaluation Plan'!J82</x:f>
        <x:v>SZ-CT-LG11</x:v>
      </x:c>
      <x:c r="K82" s="11" t="str">
        <x:f>'Evaluation Plan'!K82</x:f>
        <x:v>largest</x:v>
      </x:c>
      <x:c r="L82" s="11" t="str">
        <x:f>'Evaluation Plan'!L82</x:f>
        <x:v>Held-out largest × green block — Pick up</x:v>
      </x:c>
      <x:c r="M82" s="11" t="str">
        <x:f>'Evaluation Plan'!M82</x:f>
        <x:v>green block</x:v>
      </x:c>
      <x:c r="N82" s="11" t="str">
        <x:f>'Evaluation Plan'!N82</x:f>
        <x:v>Left</x:v>
      </x:c>
      <x:c r="O82" s="11" t="n">
        <x:f>'Evaluation Plan'!O82</x:f>
        <x:v>2</x:v>
      </x:c>
      <x:c r="P82" s="11" t="n">
        <x:f>IF(ISBLANK('Evaluation Plan'!P82),"",'Evaluation Plan'!P82)</x:f>
        <x:v>12</x:v>
      </x:c>
      <x:c r="Q82" s="11" t="str">
        <x:f>'Evaluation Plan'!Q82</x:f>
        <x:v>Build the listed two-object scene and save a first-frame filename.</x:v>
      </x:c>
      <x:c r="R82" s="12" t="str">
        <x:f>'Evaluation Plan'!R82</x:f>
        <x:v>Primary missing cell. Training episode 1090 contains the same target trajectory but masks the size word with a direct identity prompt.</x:v>
      </x:c>
      <x:c r="S82" s="14" t="str">
        <x:f>IF(ISBLANK('Evaluation Plan'!S82),"",'Evaluation Plan'!S82)</x:f>
      </x:c>
      <x:c r="T82" s="15"/>
      <x:c r="U82" s="15"/>
      <x:c r="V82" s="15"/>
      <x:c r="W82" s="15"/>
      <x:c r="X82" s="15"/>
      <x:c r="Y82" s="15"/>
      <x:c r="Z82" s="15"/>
    </x:row>
    <x:row r="83" ht="67.5" customHeight="1">
      <x:c r="A83" s="17" t="s">
        <x:v>693</x:v>
      </x:c>
      <x:c r="B83" s="18" t="n">
        <x:f>'Evaluation Plan'!B83</x:f>
        <x:v>81</x:v>
      </x:c>
      <x:c r="C83" s="19" t="str">
        <x:f>'Evaluation Plan'!C83</x:f>
        <x:v>Put the smallest object in the bowl.</x:v>
      </x:c>
      <x:c r="D83" s="19" t="str">
        <x:f>'Evaluation Plan'!D83</x:f>
        <x:v>Bowl: empty. Table, robot-left→robot-right: P1 crushed Pepsi can; P2 juggling ball. Adjacent centers 16 cm apart; row shifted 4 cm toward robot-right; all objects fully visible and grasp paths clear.</x:v>
      </x:c>
      <x:c r="E83" s="20" t="str">
        <x:f>IF(ISBLANK('Evaluation Plan'!E83),"",'Evaluation Plan'!E83)</x:f>
      </x:c>
      <x:c r="F83" s="18" t="str">
        <x:f>'Evaluation Plan'!F83</x:f>
        <x:v>1115</x:v>
      </x:c>
      <x:c r="G83" s="18" t="str">
        <x:f>'Evaluation Plan'!G83</x:f>
        <x:v>MOVE juggling ball to bowl</x:v>
      </x:c>
      <x:c r="H83" s="19" t="s">
        <x:v>709</x:v>
      </x:c>
      <x:c r="I83" s="18" t="str">
        <x:f>'Evaluation Plan'!I83</x:f>
        <x:v>Concept/compositional transfer</x:v>
      </x:c>
      <x:c r="J83" s="18" t="str">
        <x:f>'Evaluation Plan'!J83</x:f>
        <x:v>SZ-CT-SJ11</x:v>
      </x:c>
      <x:c r="K83" s="18" t="str">
        <x:f>'Evaluation Plan'!K83</x:f>
        <x:v>smallest</x:v>
      </x:c>
      <x:c r="L83" s="18" t="str">
        <x:f>'Evaluation Plan'!L83</x:f>
        <x:v>Held-out smallest × juggling ball — Put</x:v>
      </x:c>
      <x:c r="M83" s="18" t="str">
        <x:f>'Evaluation Plan'!M83</x:f>
        <x:v>juggling ball</x:v>
      </x:c>
      <x:c r="N83" s="18" t="str">
        <x:f>'Evaluation Plan'!N83</x:f>
        <x:v>Right</x:v>
      </x:c>
      <x:c r="O83" s="18" t="n">
        <x:f>'Evaluation Plan'!O83</x:f>
        <x:v>2</x:v>
      </x:c>
      <x:c r="P83" s="18" t="n">
        <x:f>IF(ISBLANK('Evaluation Plan'!P83),"",'Evaluation Plan'!P83)</x:f>
        <x:v>16</x:v>
      </x:c>
      <x:c r="Q83" s="18" t="str">
        <x:f>'Evaluation Plan'!Q83</x:f>
        <x:v>Build the listed two-object scene and save a first-frame filename.</x:v>
      </x:c>
      <x:c r="R83" s="19" t="str">
        <x:f>'Evaluation Plan'!R83</x:f>
        <x:v>Primary missing cell. Training episode 1115 contains the same target trajectory but masks the size word with a direct identity prompt.</x:v>
      </x:c>
      <x:c r="S83" s="21" t="str">
        <x:f>IF(ISBLANK('Evaluation Plan'!S83),"",'Evaluation Plan'!S83)</x:f>
      </x:c>
      <x:c r="T83" s="15"/>
      <x:c r="U83" s="15"/>
      <x:c r="V83" s="15"/>
      <x:c r="W83" s="15"/>
      <x:c r="X83" s="15"/>
      <x:c r="Y83" s="15"/>
      <x:c r="Z83" s="15"/>
    </x:row>
    <x:row r="84" ht="67.5" customHeight="1">
      <x:c r="A84" s="10" t="s">
        <x:v>591</x:v>
      </x:c>
      <x:c r="B84" s="11" t="n">
        <x:f>'Evaluation Plan'!B84</x:f>
        <x:v>82</x:v>
      </x:c>
      <x:c r="C84" s="12" t="str">
        <x:f>'Evaluation Plan'!C84</x:f>
        <x:v>Put the largest object in the bowl.</x:v>
      </x:c>
      <x:c r="D84" s="12" t="str">
        <x:f>'Evaluation Plan'!D84</x:f>
        <x:v>Bowl: empty. Table, robot-left→robot-right: P1 red pencil sharpener; P2 green block. Adjacent centers 16 cm apart; row shifted 4 cm toward robot-left; all objects fully visible and grasp paths clear.</x:v>
      </x:c>
      <x:c r="E84" s="13" t="str">
        <x:f>IF(ISBLANK('Evaluation Plan'!E84),"",'Evaluation Plan'!E84)</x:f>
      </x:c>
      <x:c r="F84" s="11" t="str">
        <x:f>'Evaluation Plan'!F84</x:f>
        <x:v>1091</x:v>
      </x:c>
      <x:c r="G84" s="11" t="str">
        <x:f>'Evaluation Plan'!G84</x:f>
        <x:v>MOVE green block to bowl</x:v>
      </x:c>
      <x:c r="H84" s="13"/>
      <x:c r="I84" s="11" t="str">
        <x:f>'Evaluation Plan'!I84</x:f>
        <x:v>Concept/compositional transfer</x:v>
      </x:c>
      <x:c r="J84" s="11" t="str">
        <x:f>'Evaluation Plan'!J84</x:f>
        <x:v>SZ-CT-LG12</x:v>
      </x:c>
      <x:c r="K84" s="11" t="str">
        <x:f>'Evaluation Plan'!K84</x:f>
        <x:v>largest</x:v>
      </x:c>
      <x:c r="L84" s="11" t="str">
        <x:f>'Evaluation Plan'!L84</x:f>
        <x:v>Held-out largest × green block — Put</x:v>
      </x:c>
      <x:c r="M84" s="11" t="str">
        <x:f>'Evaluation Plan'!M84</x:f>
        <x:v>green block</x:v>
      </x:c>
      <x:c r="N84" s="11" t="str">
        <x:f>'Evaluation Plan'!N84</x:f>
        <x:v>Right</x:v>
      </x:c>
      <x:c r="O84" s="11" t="n">
        <x:f>'Evaluation Plan'!O84</x:f>
        <x:v>2</x:v>
      </x:c>
      <x:c r="P84" s="11" t="n">
        <x:f>IF(ISBLANK('Evaluation Plan'!P84),"",'Evaluation Plan'!P84)</x:f>
        <x:v>16</x:v>
      </x:c>
      <x:c r="Q84" s="11" t="str">
        <x:f>'Evaluation Plan'!Q84</x:f>
        <x:v>Build the listed two-object scene and save a first-frame filename.</x:v>
      </x:c>
      <x:c r="R84" s="12" t="str">
        <x:f>'Evaluation Plan'!R84</x:f>
        <x:v>Primary missing cell. Training episode 1091 contains the same target trajectory but masks the size word with a direct identity prompt.</x:v>
      </x:c>
      <x:c r="S84" s="14" t="str">
        <x:f>IF(ISBLANK('Evaluation Plan'!S84),"",'Evaluation Plan'!S84)</x:f>
      </x:c>
      <x:c r="T84" s="15"/>
      <x:c r="U84" s="15"/>
      <x:c r="V84" s="15"/>
      <x:c r="W84" s="15"/>
      <x:c r="X84" s="15"/>
      <x:c r="Y84" s="15"/>
      <x:c r="Z84" s="15"/>
    </x:row>
    <x:row r="85" ht="67.5" customHeight="1">
      <x:c r="A85" s="17" t="s">
        <x:v>693</x:v>
      </x:c>
      <x:c r="B85" s="18" t="n">
        <x:f>'Evaluation Plan'!B85</x:f>
        <x:v>83</x:v>
      </x:c>
      <x:c r="C85" s="19" t="str">
        <x:f>'Evaluation Plan'!C85</x:f>
        <x:v>Move the object that is smallest into the bowl.</x:v>
      </x:c>
      <x:c r="D85" s="19" t="str">
        <x:f>'Evaluation Plan'!D85</x:f>
        <x:v>Bowl: empty. Table, robot-left→robot-right: P1 juggling ball; P2 crushed Pepsi can. Adjacent centers 8 cm apart; row shifted 4 cm toward the robot; all objects fully visible and grasp paths clear.</x:v>
      </x:c>
      <x:c r="E85" s="20" t="str">
        <x:f>IF(ISBLANK('Evaluation Plan'!E85),"",'Evaluation Plan'!E85)</x:f>
      </x:c>
      <x:c r="F85" s="18" t="str">
        <x:f>'Evaluation Plan'!F85</x:f>
        <x:v>1116</x:v>
      </x:c>
      <x:c r="G85" s="18" t="str">
        <x:f>'Evaluation Plan'!G85</x:f>
        <x:v>MOVE juggling ball to bowl</x:v>
      </x:c>
      <x:c r="H85" s="19" t="s">
        <x:v>710</x:v>
      </x:c>
      <x:c r="I85" s="18" t="str">
        <x:f>'Evaluation Plan'!I85</x:f>
        <x:v>Concept/compositional transfer</x:v>
      </x:c>
      <x:c r="J85" s="18" t="str">
        <x:f>'Evaluation Plan'!J85</x:f>
        <x:v>SZ-CT-SJ12</x:v>
      </x:c>
      <x:c r="K85" s="18" t="str">
        <x:f>'Evaluation Plan'!K85</x:f>
        <x:v>smallest</x:v>
      </x:c>
      <x:c r="L85" s="18" t="str">
        <x:f>'Evaluation Plan'!L85</x:f>
        <x:v>Held-out smallest × juggling ball — Move</x:v>
      </x:c>
      <x:c r="M85" s="18" t="str">
        <x:f>'Evaluation Plan'!M85</x:f>
        <x:v>juggling ball</x:v>
      </x:c>
      <x:c r="N85" s="18" t="str">
        <x:f>'Evaluation Plan'!N85</x:f>
        <x:v>Left</x:v>
      </x:c>
      <x:c r="O85" s="18" t="n">
        <x:f>'Evaluation Plan'!O85</x:f>
        <x:v>2</x:v>
      </x:c>
      <x:c r="P85" s="18" t="n">
        <x:f>IF(ISBLANK('Evaluation Plan'!P85),"",'Evaluation Plan'!P85)</x:f>
        <x:v>8</x:v>
      </x:c>
      <x:c r="Q85" s="18" t="str">
        <x:f>'Evaluation Plan'!Q85</x:f>
        <x:v>Build the listed two-object scene and save a first-frame filename.</x:v>
      </x:c>
      <x:c r="R85" s="19" t="str">
        <x:f>'Evaluation Plan'!R85</x:f>
        <x:v>Primary missing cell. Training episode 1116 contains the same target trajectory but masks the size word with a direct identity prompt.</x:v>
      </x:c>
      <x:c r="S85" s="21" t="str">
        <x:f>IF(ISBLANK('Evaluation Plan'!S85),"",'Evaluation Plan'!S85)</x:f>
      </x:c>
      <x:c r="T85" s="15"/>
      <x:c r="U85" s="15"/>
      <x:c r="V85" s="15"/>
      <x:c r="W85" s="15"/>
      <x:c r="X85" s="15"/>
      <x:c r="Y85" s="15"/>
      <x:c r="Z85" s="15"/>
    </x:row>
    <x:row r="86" ht="67.5" customHeight="1">
      <x:c r="A86" s="10" t="s">
        <x:v>591</x:v>
      </x:c>
      <x:c r="B86" s="11" t="n">
        <x:f>'Evaluation Plan'!B86</x:f>
        <x:v>84</x:v>
      </x:c>
      <x:c r="C86" s="12" t="str">
        <x:f>'Evaluation Plan'!C86</x:f>
        <x:v>Move the object that is largest into the bowl.</x:v>
      </x:c>
      <x:c r="D86" s="12" t="str">
        <x:f>'Evaluation Plan'!D86</x:f>
        <x:v>Bowl: empty. Table, robot-left→robot-right: P1 green block; P2 red pencil sharpener. Adjacent centers 8 cm apart; row shifted 4 cm toward robot-right; all objects fully visible and grasp paths clear.</x:v>
      </x:c>
      <x:c r="E86" s="13" t="str">
        <x:f>IF(ISBLANK('Evaluation Plan'!E86),"",'Evaluation Plan'!E86)</x:f>
      </x:c>
      <x:c r="F86" s="11" t="str">
        <x:f>'Evaluation Plan'!F86</x:f>
        <x:v>1092</x:v>
      </x:c>
      <x:c r="G86" s="11" t="str">
        <x:f>'Evaluation Plan'!G86</x:f>
        <x:v>MOVE green block to bowl</x:v>
      </x:c>
      <x:c r="H86" s="13"/>
      <x:c r="I86" s="11" t="str">
        <x:f>'Evaluation Plan'!I86</x:f>
        <x:v>Concept/compositional transfer</x:v>
      </x:c>
      <x:c r="J86" s="11" t="str">
        <x:f>'Evaluation Plan'!J86</x:f>
        <x:v>SZ-CT-LG13</x:v>
      </x:c>
      <x:c r="K86" s="11" t="str">
        <x:f>'Evaluation Plan'!K86</x:f>
        <x:v>largest</x:v>
      </x:c>
      <x:c r="L86" s="11" t="str">
        <x:f>'Evaluation Plan'!L86</x:f>
        <x:v>Held-out largest × green block — Move</x:v>
      </x:c>
      <x:c r="M86" s="11" t="str">
        <x:f>'Evaluation Plan'!M86</x:f>
        <x:v>green block</x:v>
      </x:c>
      <x:c r="N86" s="11" t="str">
        <x:f>'Evaluation Plan'!N86</x:f>
        <x:v>Left</x:v>
      </x:c>
      <x:c r="O86" s="11" t="n">
        <x:f>'Evaluation Plan'!O86</x:f>
        <x:v>2</x:v>
      </x:c>
      <x:c r="P86" s="11" t="n">
        <x:f>IF(ISBLANK('Evaluation Plan'!P86),"",'Evaluation Plan'!P86)</x:f>
        <x:v>8</x:v>
      </x:c>
      <x:c r="Q86" s="11" t="str">
        <x:f>'Evaluation Plan'!Q86</x:f>
        <x:v>Build the listed two-object scene and save a first-frame filename.</x:v>
      </x:c>
      <x:c r="R86" s="12" t="str">
        <x:f>'Evaluation Plan'!R86</x:f>
        <x:v>Primary missing cell. Training episode 1092 contains the same target trajectory but masks the size word with a direct identity prompt.</x:v>
      </x:c>
      <x:c r="S86" s="14" t="str">
        <x:f>IF(ISBLANK('Evaluation Plan'!S86),"",'Evaluation Plan'!S86)</x:f>
      </x:c>
      <x:c r="T86" s="15"/>
      <x:c r="U86" s="15"/>
      <x:c r="V86" s="15"/>
      <x:c r="W86" s="15"/>
      <x:c r="X86" s="15"/>
      <x:c r="Y86" s="15"/>
      <x:c r="Z86" s="15"/>
    </x:row>
    <x:row r="87" ht="67.5" customHeight="1">
      <x:c r="A87" s="17" t="s">
        <x:v>693</x:v>
      </x:c>
      <x:c r="B87" s="18" t="n">
        <x:f>'Evaluation Plan'!B87</x:f>
        <x:v>85</x:v>
      </x:c>
      <x:c r="C87" s="19" t="str">
        <x:f>'Evaluation Plan'!C87</x:f>
        <x:v>Pick up the smallest item and place it in the bowl.</x:v>
      </x:c>
      <x:c r="D87" s="19" t="str">
        <x:f>'Evaluation Plan'!D87</x:f>
        <x:v>Bowl: empty. Table, robot-left→robot-right: P1 crushed Pepsi can; P2 juggling ball. Adjacent centers 12 cm apart; row shifted 4 cm away from the robot; all objects fully visible and grasp paths clear.</x:v>
      </x:c>
      <x:c r="E87" s="20" t="str">
        <x:f>IF(ISBLANK('Evaluation Plan'!E87),"",'Evaluation Plan'!E87)</x:f>
      </x:c>
      <x:c r="F87" s="18" t="str">
        <x:f>'Evaluation Plan'!F87</x:f>
        <x:v>1117</x:v>
      </x:c>
      <x:c r="G87" s="18" t="str">
        <x:f>'Evaluation Plan'!G87</x:f>
        <x:v>MOVE juggling ball to bowl</x:v>
      </x:c>
      <x:c r="H87" s="19" t="s">
        <x:v>710</x:v>
      </x:c>
      <x:c r="I87" s="18" t="str">
        <x:f>'Evaluation Plan'!I87</x:f>
        <x:v>Concept/compositional transfer</x:v>
      </x:c>
      <x:c r="J87" s="18" t="str">
        <x:f>'Evaluation Plan'!J87</x:f>
        <x:v>SZ-CT-SJ13</x:v>
      </x:c>
      <x:c r="K87" s="18" t="str">
        <x:f>'Evaluation Plan'!K87</x:f>
        <x:v>smallest</x:v>
      </x:c>
      <x:c r="L87" s="18" t="str">
        <x:f>'Evaluation Plan'!L87</x:f>
        <x:v>Held-out smallest × juggling ball — Pick up</x:v>
      </x:c>
      <x:c r="M87" s="18" t="str">
        <x:f>'Evaluation Plan'!M87</x:f>
        <x:v>juggling ball</x:v>
      </x:c>
      <x:c r="N87" s="18" t="str">
        <x:f>'Evaluation Plan'!N87</x:f>
        <x:v>Right</x:v>
      </x:c>
      <x:c r="O87" s="18" t="n">
        <x:f>'Evaluation Plan'!O87</x:f>
        <x:v>2</x:v>
      </x:c>
      <x:c r="P87" s="18" t="n">
        <x:f>IF(ISBLANK('Evaluation Plan'!P87),"",'Evaluation Plan'!P87)</x:f>
        <x:v>12</x:v>
      </x:c>
      <x:c r="Q87" s="18" t="str">
        <x:f>'Evaluation Plan'!Q87</x:f>
        <x:v>Build the listed two-object scene and save a first-frame filename.</x:v>
      </x:c>
      <x:c r="R87" s="19" t="str">
        <x:f>'Evaluation Plan'!R87</x:f>
        <x:v>Primary missing cell. Training episode 1117 contains the same target trajectory but masks the size word with a direct identity prompt.</x:v>
      </x:c>
      <x:c r="S87" s="21" t="str">
        <x:f>IF(ISBLANK('Evaluation Plan'!S87),"",'Evaluation Plan'!S87)</x:f>
      </x:c>
      <x:c r="T87" s="15"/>
      <x:c r="U87" s="15"/>
      <x:c r="V87" s="15"/>
      <x:c r="W87" s="15"/>
      <x:c r="X87" s="15"/>
      <x:c r="Y87" s="15"/>
      <x:c r="Z87" s="15"/>
    </x:row>
    <x:row r="88" ht="67.5" customHeight="1">
      <x:c r="A88" s="17" t="s">
        <x:v>693</x:v>
      </x:c>
      <x:c r="B88" s="18" t="n">
        <x:f>'Evaluation Plan'!B88</x:f>
        <x:v>86</x:v>
      </x:c>
      <x:c r="C88" s="19" t="str">
        <x:f>'Evaluation Plan'!C88</x:f>
        <x:v>Pick up the largest item and place it in the bowl.</x:v>
      </x:c>
      <x:c r="D88" s="19" t="str">
        <x:f>'Evaluation Plan'!D88</x:f>
        <x:v>Bowl: empty. Table, robot-left→robot-right: P1 red pencil sharpener; P2 green block. Adjacent centers 12 cm apart; row shifted 4 cm toward the robot; all objects fully visible and grasp paths clear.</x:v>
      </x:c>
      <x:c r="E88" s="20" t="str">
        <x:f>IF(ISBLANK('Evaluation Plan'!E88),"",'Evaluation Plan'!E88)</x:f>
      </x:c>
      <x:c r="F88" s="18" t="str">
        <x:f>'Evaluation Plan'!F88</x:f>
        <x:v>1093</x:v>
      </x:c>
      <x:c r="G88" s="18" t="str">
        <x:f>'Evaluation Plan'!G88</x:f>
        <x:v>MOVE green block to bowl</x:v>
      </x:c>
      <x:c r="H88" s="19" t="s">
        <x:v>711</x:v>
      </x:c>
      <x:c r="I88" s="18" t="str">
        <x:f>'Evaluation Plan'!I88</x:f>
        <x:v>Concept/compositional transfer</x:v>
      </x:c>
      <x:c r="J88" s="18" t="str">
        <x:f>'Evaluation Plan'!J88</x:f>
        <x:v>SZ-CT-LG14</x:v>
      </x:c>
      <x:c r="K88" s="18" t="str">
        <x:f>'Evaluation Plan'!K88</x:f>
        <x:v>largest</x:v>
      </x:c>
      <x:c r="L88" s="18" t="str">
        <x:f>'Evaluation Plan'!L88</x:f>
        <x:v>Held-out largest × green block — Pick up</x:v>
      </x:c>
      <x:c r="M88" s="18" t="str">
        <x:f>'Evaluation Plan'!M88</x:f>
        <x:v>green block</x:v>
      </x:c>
      <x:c r="N88" s="18" t="str">
        <x:f>'Evaluation Plan'!N88</x:f>
        <x:v>Right</x:v>
      </x:c>
      <x:c r="O88" s="18" t="n">
        <x:f>'Evaluation Plan'!O88</x:f>
        <x:v>2</x:v>
      </x:c>
      <x:c r="P88" s="18" t="n">
        <x:f>IF(ISBLANK('Evaluation Plan'!P88),"",'Evaluation Plan'!P88)</x:f>
        <x:v>12</x:v>
      </x:c>
      <x:c r="Q88" s="18" t="str">
        <x:f>'Evaluation Plan'!Q88</x:f>
        <x:v>Build the listed two-object scene and save a first-frame filename.</x:v>
      </x:c>
      <x:c r="R88" s="19" t="str">
        <x:f>'Evaluation Plan'!R88</x:f>
        <x:v>Primary missing cell. Training episode 1093 contains the same target trajectory but masks the size word with a direct identity prompt.</x:v>
      </x:c>
      <x:c r="S88" s="21" t="str">
        <x:f>IF(ISBLANK('Evaluation Plan'!S88),"",'Evaluation Plan'!S88)</x:f>
      </x:c>
      <x:c r="T88" s="15"/>
      <x:c r="U88" s="15"/>
      <x:c r="V88" s="15"/>
      <x:c r="W88" s="15"/>
      <x:c r="X88" s="15"/>
      <x:c r="Y88" s="15"/>
      <x:c r="Z88" s="15"/>
    </x:row>
    <x:row r="89" ht="67.5" customHeight="1">
      <x:c r="A89" s="10" t="s">
        <x:v>591</x:v>
      </x:c>
      <x:c r="B89" s="11" t="n">
        <x:f>'Evaluation Plan'!B89</x:f>
        <x:v>87</x:v>
      </x:c>
      <x:c r="C89" s="12" t="str">
        <x:f>'Evaluation Plan'!C89</x:f>
        <x:v>Put the smallest object in the bowl.</x:v>
      </x:c>
      <x:c r="D89" s="12" t="str">
        <x:f>'Evaluation Plan'!D89</x:f>
        <x:v>Bowl: empty. Table, robot-left→robot-right: P1 juggling ball; P2 crushed Pepsi can. Adjacent centers 16 cm apart; row centered on the workspace; all objects fully visible and grasp paths clear.</x:v>
      </x:c>
      <x:c r="E89" s="13" t="str">
        <x:f>IF(ISBLANK('Evaluation Plan'!E89),"",'Evaluation Plan'!E89)</x:f>
      </x:c>
      <x:c r="F89" s="11" t="str">
        <x:f>'Evaluation Plan'!F89</x:f>
        <x:v>1118</x:v>
      </x:c>
      <x:c r="G89" s="11" t="str">
        <x:f>'Evaluation Plan'!G89</x:f>
        <x:v>MOVE juggling ball to bowl</x:v>
      </x:c>
      <x:c r="H89" s="13"/>
      <x:c r="I89" s="11" t="str">
        <x:f>'Evaluation Plan'!I89</x:f>
        <x:v>Concept/compositional transfer</x:v>
      </x:c>
      <x:c r="J89" s="11" t="str">
        <x:f>'Evaluation Plan'!J89</x:f>
        <x:v>SZ-CT-SJ14</x:v>
      </x:c>
      <x:c r="K89" s="11" t="str">
        <x:f>'Evaluation Plan'!K89</x:f>
        <x:v>smallest</x:v>
      </x:c>
      <x:c r="L89" s="11" t="str">
        <x:f>'Evaluation Plan'!L89</x:f>
        <x:v>Held-out smallest × juggling ball — Put</x:v>
      </x:c>
      <x:c r="M89" s="11" t="str">
        <x:f>'Evaluation Plan'!M89</x:f>
        <x:v>juggling ball</x:v>
      </x:c>
      <x:c r="N89" s="11" t="str">
        <x:f>'Evaluation Plan'!N89</x:f>
        <x:v>Left</x:v>
      </x:c>
      <x:c r="O89" s="11" t="n">
        <x:f>'Evaluation Plan'!O89</x:f>
        <x:v>2</x:v>
      </x:c>
      <x:c r="P89" s="11" t="n">
        <x:f>IF(ISBLANK('Evaluation Plan'!P89),"",'Evaluation Plan'!P89)</x:f>
        <x:v>16</x:v>
      </x:c>
      <x:c r="Q89" s="11" t="str">
        <x:f>'Evaluation Plan'!Q89</x:f>
        <x:v>Build the listed two-object scene and save a first-frame filename.</x:v>
      </x:c>
      <x:c r="R89" s="12" t="str">
        <x:f>'Evaluation Plan'!R89</x:f>
        <x:v>Primary missing cell. Training episode 1118 contains the same target trajectory but masks the size word with a direct identity prompt.</x:v>
      </x:c>
      <x:c r="S89" s="14" t="str">
        <x:f>IF(ISBLANK('Evaluation Plan'!S89),"",'Evaluation Plan'!S89)</x:f>
      </x:c>
      <x:c r="T89" s="15"/>
      <x:c r="U89" s="15"/>
      <x:c r="V89" s="15"/>
      <x:c r="W89" s="15"/>
      <x:c r="X89" s="15"/>
      <x:c r="Y89" s="15"/>
      <x:c r="Z89" s="15"/>
    </x:row>
    <x:row r="90" ht="67.5" customHeight="1">
      <x:c r="A90" s="10" t="s">
        <x:v>591</x:v>
      </x:c>
      <x:c r="B90" s="11" t="n">
        <x:f>'Evaluation Plan'!B90</x:f>
        <x:v>88</x:v>
      </x:c>
      <x:c r="C90" s="12" t="str">
        <x:f>'Evaluation Plan'!C90</x:f>
        <x:v>Put the largest object in the bowl.</x:v>
      </x:c>
      <x:c r="D90" s="12" t="str">
        <x:f>'Evaluation Plan'!D90</x:f>
        <x:v>Bowl: empty. Table, robot-left→robot-right: P1 green block; P2 red pencil sharpener. Adjacent centers 16 cm apart; row shifted 4 cm away from the robot; all objects fully visible and grasp paths clear.</x:v>
      </x:c>
      <x:c r="E90" s="13" t="str">
        <x:f>IF(ISBLANK('Evaluation Plan'!E90),"",'Evaluation Plan'!E90)</x:f>
      </x:c>
      <x:c r="F90" s="11" t="str">
        <x:f>'Evaluation Plan'!F90</x:f>
        <x:v>1094</x:v>
      </x:c>
      <x:c r="G90" s="11" t="str">
        <x:f>'Evaluation Plan'!G90</x:f>
        <x:v>MOVE green block to bowl</x:v>
      </x:c>
      <x:c r="H90" s="13"/>
      <x:c r="I90" s="11" t="str">
        <x:f>'Evaluation Plan'!I90</x:f>
        <x:v>Concept/compositional transfer</x:v>
      </x:c>
      <x:c r="J90" s="11" t="str">
        <x:f>'Evaluation Plan'!J90</x:f>
        <x:v>SZ-CT-LG15</x:v>
      </x:c>
      <x:c r="K90" s="11" t="str">
        <x:f>'Evaluation Plan'!K90</x:f>
        <x:v>largest</x:v>
      </x:c>
      <x:c r="L90" s="11" t="str">
        <x:f>'Evaluation Plan'!L90</x:f>
        <x:v>Held-out largest × green block — Put</x:v>
      </x:c>
      <x:c r="M90" s="11" t="str">
        <x:f>'Evaluation Plan'!M90</x:f>
        <x:v>green block</x:v>
      </x:c>
      <x:c r="N90" s="11" t="str">
        <x:f>'Evaluation Plan'!N90</x:f>
        <x:v>Left</x:v>
      </x:c>
      <x:c r="O90" s="11" t="n">
        <x:f>'Evaluation Plan'!O90</x:f>
        <x:v>2</x:v>
      </x:c>
      <x:c r="P90" s="11" t="n">
        <x:f>IF(ISBLANK('Evaluation Plan'!P90),"",'Evaluation Plan'!P90)</x:f>
        <x:v>16</x:v>
      </x:c>
      <x:c r="Q90" s="11" t="str">
        <x:f>'Evaluation Plan'!Q90</x:f>
        <x:v>Build the listed two-object scene and save a first-frame filename.</x:v>
      </x:c>
      <x:c r="R90" s="12" t="str">
        <x:f>'Evaluation Plan'!R90</x:f>
        <x:v>Primary missing cell. Training episode 1094 contains the same target trajectory but masks the size word with a direct identity prompt.</x:v>
      </x:c>
      <x:c r="S90" s="14" t="str">
        <x:f>IF(ISBLANK('Evaluation Plan'!S90),"",'Evaluation Plan'!S90)</x:f>
      </x:c>
      <x:c r="T90" s="15"/>
      <x:c r="U90" s="15"/>
      <x:c r="V90" s="15"/>
      <x:c r="W90" s="15"/>
      <x:c r="X90" s="15"/>
      <x:c r="Y90" s="15"/>
      <x:c r="Z90" s="15"/>
    </x:row>
    <x:row r="91" ht="67.5" customHeight="1">
      <x:c r="A91" s="10" t="s">
        <x:v>591</x:v>
      </x:c>
      <x:c r="B91" s="11" t="n">
        <x:f>'Evaluation Plan'!B91</x:f>
        <x:v>89</x:v>
      </x:c>
      <x:c r="C91" s="12" t="str">
        <x:f>'Evaluation Plan'!C91</x:f>
        <x:v>Move the object that is smallest into the bowl.</x:v>
      </x:c>
      <x:c r="D91" s="12" t="str">
        <x:f>'Evaluation Plan'!D91</x:f>
        <x:v>Bowl: empty. Table, robot-left→robot-right: P1 crushed Pepsi can; P2 juggling ball. Adjacent centers 8 cm apart; row shifted 4 cm toward robot-left; all objects fully visible and grasp paths clear.</x:v>
      </x:c>
      <x:c r="E91" s="13" t="str">
        <x:f>IF(ISBLANK('Evaluation Plan'!E91),"",'Evaluation Plan'!E91)</x:f>
      </x:c>
      <x:c r="F91" s="11" t="str">
        <x:f>'Evaluation Plan'!F91</x:f>
        <x:v>1119</x:v>
      </x:c>
      <x:c r="G91" s="11" t="str">
        <x:f>'Evaluation Plan'!G91</x:f>
        <x:v>MOVE juggling ball to bowl</x:v>
      </x:c>
      <x:c r="H91" s="13"/>
      <x:c r="I91" s="11" t="str">
        <x:f>'Evaluation Plan'!I91</x:f>
        <x:v>Concept/compositional transfer</x:v>
      </x:c>
      <x:c r="J91" s="11" t="str">
        <x:f>'Evaluation Plan'!J91</x:f>
        <x:v>SZ-CT-SJ15</x:v>
      </x:c>
      <x:c r="K91" s="11" t="str">
        <x:f>'Evaluation Plan'!K91</x:f>
        <x:v>smallest</x:v>
      </x:c>
      <x:c r="L91" s="11" t="str">
        <x:f>'Evaluation Plan'!L91</x:f>
        <x:v>Held-out smallest × juggling ball — Move</x:v>
      </x:c>
      <x:c r="M91" s="11" t="str">
        <x:f>'Evaluation Plan'!M91</x:f>
        <x:v>juggling ball</x:v>
      </x:c>
      <x:c r="N91" s="11" t="str">
        <x:f>'Evaluation Plan'!N91</x:f>
        <x:v>Right</x:v>
      </x:c>
      <x:c r="O91" s="11" t="n">
        <x:f>'Evaluation Plan'!O91</x:f>
        <x:v>2</x:v>
      </x:c>
      <x:c r="P91" s="11" t="n">
        <x:f>IF(ISBLANK('Evaluation Plan'!P91),"",'Evaluation Plan'!P91)</x:f>
        <x:v>8</x:v>
      </x:c>
      <x:c r="Q91" s="11" t="str">
        <x:f>'Evaluation Plan'!Q91</x:f>
        <x:v>Build the listed two-object scene and save a first-frame filename.</x:v>
      </x:c>
      <x:c r="R91" s="12" t="str">
        <x:f>'Evaluation Plan'!R91</x:f>
        <x:v>Primary missing cell. Training episode 1119 contains the same target trajectory but masks the size word with a direct identity prompt.</x:v>
      </x:c>
      <x:c r="S91" s="14" t="str">
        <x:f>IF(ISBLANK('Evaluation Plan'!S91),"",'Evaluation Plan'!S91)</x:f>
      </x:c>
      <x:c r="T91" s="15"/>
      <x:c r="U91" s="15"/>
      <x:c r="V91" s="15"/>
      <x:c r="W91" s="15"/>
      <x:c r="X91" s="15"/>
      <x:c r="Y91" s="15"/>
      <x:c r="Z91" s="15"/>
    </x:row>
    <x:row r="92" ht="67.5" customHeight="1">
      <x:c r="A92" s="17" t="s">
        <x:v>693</x:v>
      </x:c>
      <x:c r="B92" s="18" t="n">
        <x:f>'Evaluation Plan'!B92</x:f>
        <x:v>90</x:v>
      </x:c>
      <x:c r="C92" s="19" t="str">
        <x:f>'Evaluation Plan'!C92</x:f>
        <x:v>Move the object that is largest into the bowl.</x:v>
      </x:c>
      <x:c r="D92" s="19" t="str">
        <x:f>'Evaluation Plan'!D92</x:f>
        <x:v>Bowl: empty. Table, robot-left→robot-right: P1 red pencil sharpener; P2 green block. Adjacent centers 8 cm apart; row centered on the workspace; all objects fully visible and grasp paths clear.</x:v>
      </x:c>
      <x:c r="E92" s="20" t="str">
        <x:f>IF(ISBLANK('Evaluation Plan'!E92),"",'Evaluation Plan'!E92)</x:f>
      </x:c>
      <x:c r="F92" s="18" t="str">
        <x:f>'Evaluation Plan'!F92</x:f>
        <x:v>1095</x:v>
      </x:c>
      <x:c r="G92" s="18" t="str">
        <x:f>'Evaluation Plan'!G92</x:f>
        <x:v>MOVE green block to bowl</x:v>
      </x:c>
      <x:c r="H92" s="19" t="s">
        <x:v>712</x:v>
      </x:c>
      <x:c r="I92" s="18" t="str">
        <x:f>'Evaluation Plan'!I92</x:f>
        <x:v>Concept/compositional transfer</x:v>
      </x:c>
      <x:c r="J92" s="18" t="str">
        <x:f>'Evaluation Plan'!J92</x:f>
        <x:v>SZ-CT-LG16</x:v>
      </x:c>
      <x:c r="K92" s="18" t="str">
        <x:f>'Evaluation Plan'!K92</x:f>
        <x:v>largest</x:v>
      </x:c>
      <x:c r="L92" s="18" t="str">
        <x:f>'Evaluation Plan'!L92</x:f>
        <x:v>Held-out largest × green block — Move</x:v>
      </x:c>
      <x:c r="M92" s="18" t="str">
        <x:f>'Evaluation Plan'!M92</x:f>
        <x:v>green block</x:v>
      </x:c>
      <x:c r="N92" s="18" t="str">
        <x:f>'Evaluation Plan'!N92</x:f>
        <x:v>Right</x:v>
      </x:c>
      <x:c r="O92" s="18" t="n">
        <x:f>'Evaluation Plan'!O92</x:f>
        <x:v>2</x:v>
      </x:c>
      <x:c r="P92" s="18" t="n">
        <x:f>IF(ISBLANK('Evaluation Plan'!P92),"",'Evaluation Plan'!P92)</x:f>
        <x:v>8</x:v>
      </x:c>
      <x:c r="Q92" s="18" t="str">
        <x:f>'Evaluation Plan'!Q92</x:f>
        <x:v>Build the listed two-object scene and save a first-frame filename.</x:v>
      </x:c>
      <x:c r="R92" s="19" t="str">
        <x:f>'Evaluation Plan'!R92</x:f>
        <x:v>Primary missing cell. Training episode 1095 contains the same target trajectory but masks the size word with a direct identity prompt.</x:v>
      </x:c>
      <x:c r="S92" s="21" t="str">
        <x:f>IF(ISBLANK('Evaluation Plan'!S92),"",'Evaluation Plan'!S92)</x:f>
      </x:c>
      <x:c r="T92" s="15"/>
      <x:c r="U92" s="15"/>
      <x:c r="V92" s="15"/>
      <x:c r="W92" s="15"/>
      <x:c r="X92" s="15"/>
      <x:c r="Y92" s="15"/>
      <x:c r="Z92" s="15"/>
    </x:row>
    <x:row r="93" ht="67.5" customHeight="1">
      <x:c r="A93" s="17" t="s">
        <x:v>693</x:v>
      </x:c>
      <x:c r="B93" s="18" t="n">
        <x:f>'Evaluation Plan'!B93</x:f>
        <x:v>91</x:v>
      </x:c>
      <x:c r="C93" s="19" t="str">
        <x:f>'Evaluation Plan'!C93</x:f>
        <x:v>Pick up the smallest item and place it in the bowl.</x:v>
      </x:c>
      <x:c r="D93" s="19" t="str">
        <x:f>'Evaluation Plan'!D93</x:f>
        <x:v>Bowl: empty. Table, robot-left→robot-right: P1 juggling ball; P2 crushed Pepsi can. Adjacent centers 12 cm apart; row shifted 4 cm toward robot-right; all objects fully visible and grasp paths clear.</x:v>
      </x:c>
      <x:c r="E93" s="20" t="str">
        <x:f>IF(ISBLANK('Evaluation Plan'!E93),"",'Evaluation Plan'!E93)</x:f>
      </x:c>
      <x:c r="F93" s="18" t="str">
        <x:f>'Evaluation Plan'!F93</x:f>
        <x:v>1120</x:v>
      </x:c>
      <x:c r="G93" s="18" t="str">
        <x:f>'Evaluation Plan'!G93</x:f>
        <x:v>MOVE juggling ball to bowl</x:v>
      </x:c>
      <x:c r="H93" s="19" t="s">
        <x:v>713</x:v>
      </x:c>
      <x:c r="I93" s="18" t="str">
        <x:f>'Evaluation Plan'!I93</x:f>
        <x:v>Concept/compositional transfer</x:v>
      </x:c>
      <x:c r="J93" s="18" t="str">
        <x:f>'Evaluation Plan'!J93</x:f>
        <x:v>SZ-CT-SJ16</x:v>
      </x:c>
      <x:c r="K93" s="18" t="str">
        <x:f>'Evaluation Plan'!K93</x:f>
        <x:v>smallest</x:v>
      </x:c>
      <x:c r="L93" s="18" t="str">
        <x:f>'Evaluation Plan'!L93</x:f>
        <x:v>Held-out smallest × juggling ball — Pick up</x:v>
      </x:c>
      <x:c r="M93" s="18" t="str">
        <x:f>'Evaluation Plan'!M93</x:f>
        <x:v>juggling ball</x:v>
      </x:c>
      <x:c r="N93" s="18" t="str">
        <x:f>'Evaluation Plan'!N93</x:f>
        <x:v>Left</x:v>
      </x:c>
      <x:c r="O93" s="18" t="n">
        <x:f>'Evaluation Plan'!O93</x:f>
        <x:v>2</x:v>
      </x:c>
      <x:c r="P93" s="18" t="n">
        <x:f>IF(ISBLANK('Evaluation Plan'!P93),"",'Evaluation Plan'!P93)</x:f>
        <x:v>12</x:v>
      </x:c>
      <x:c r="Q93" s="18" t="str">
        <x:f>'Evaluation Plan'!Q93</x:f>
        <x:v>Build the listed two-object scene and save a first-frame filename.</x:v>
      </x:c>
      <x:c r="R93" s="19" t="str">
        <x:f>'Evaluation Plan'!R93</x:f>
        <x:v>Primary missing cell. Training episode 1120 contains the same target trajectory but masks the size word with a direct identity prompt.</x:v>
      </x:c>
      <x:c r="S93" s="21" t="str">
        <x:f>IF(ISBLANK('Evaluation Plan'!S93),"",'Evaluation Plan'!S93)</x:f>
      </x:c>
      <x:c r="T93" s="15"/>
      <x:c r="U93" s="15"/>
      <x:c r="V93" s="15"/>
      <x:c r="W93" s="15"/>
      <x:c r="X93" s="15"/>
      <x:c r="Y93" s="15"/>
      <x:c r="Z93" s="15"/>
    </x:row>
    <x:row r="94" ht="67.5" customHeight="1">
      <x:c r="A94" s="17" t="s">
        <x:v>693</x:v>
      </x:c>
      <x:c r="B94" s="18" t="n">
        <x:f>'Evaluation Plan'!B94</x:f>
        <x:v>92</x:v>
      </x:c>
      <x:c r="C94" s="19" t="str">
        <x:f>'Evaluation Plan'!C94</x:f>
        <x:v>Pick up the largest item and place it in the bowl.</x:v>
      </x:c>
      <x:c r="D94" s="19" t="str">
        <x:f>'Evaluation Plan'!D94</x:f>
        <x:v>Bowl: empty. Table, robot-left→robot-right: P1 green block; P2 red pencil sharpener. Adjacent centers 12 cm apart; row shifted 4 cm toward robot-left; all objects fully visible and grasp paths clear.</x:v>
      </x:c>
      <x:c r="E94" s="20" t="str">
        <x:f>IF(ISBLANK('Evaluation Plan'!E94),"",'Evaluation Plan'!E94)</x:f>
      </x:c>
      <x:c r="F94" s="18" t="str">
        <x:f>'Evaluation Plan'!F94</x:f>
        <x:v>1096</x:v>
      </x:c>
      <x:c r="G94" s="18" t="str">
        <x:f>'Evaluation Plan'!G94</x:f>
        <x:v>MOVE green block to bowl</x:v>
      </x:c>
      <x:c r="H94" s="19" t="s">
        <x:v>714</x:v>
      </x:c>
      <x:c r="I94" s="18" t="str">
        <x:f>'Evaluation Plan'!I94</x:f>
        <x:v>Concept/compositional transfer</x:v>
      </x:c>
      <x:c r="J94" s="18" t="str">
        <x:f>'Evaluation Plan'!J94</x:f>
        <x:v>SZ-CT-LG17</x:v>
      </x:c>
      <x:c r="K94" s="18" t="str">
        <x:f>'Evaluation Plan'!K94</x:f>
        <x:v>largest</x:v>
      </x:c>
      <x:c r="L94" s="18" t="str">
        <x:f>'Evaluation Plan'!L94</x:f>
        <x:v>Held-out largest × green block — Pick up</x:v>
      </x:c>
      <x:c r="M94" s="18" t="str">
        <x:f>'Evaluation Plan'!M94</x:f>
        <x:v>green block</x:v>
      </x:c>
      <x:c r="N94" s="18" t="str">
        <x:f>'Evaluation Plan'!N94</x:f>
        <x:v>Left</x:v>
      </x:c>
      <x:c r="O94" s="18" t="n">
        <x:f>'Evaluation Plan'!O94</x:f>
        <x:v>2</x:v>
      </x:c>
      <x:c r="P94" s="18" t="n">
        <x:f>IF(ISBLANK('Evaluation Plan'!P94),"",'Evaluation Plan'!P94)</x:f>
        <x:v>12</x:v>
      </x:c>
      <x:c r="Q94" s="18" t="str">
        <x:f>'Evaluation Plan'!Q94</x:f>
        <x:v>Build the listed two-object scene and save a first-frame filename.</x:v>
      </x:c>
      <x:c r="R94" s="19" t="str">
        <x:f>'Evaluation Plan'!R94</x:f>
        <x:v>Primary missing cell. Training episode 1096 contains the same target trajectory but masks the size word with a direct identity prompt.</x:v>
      </x:c>
      <x:c r="S94" s="21" t="str">
        <x:f>IF(ISBLANK('Evaluation Plan'!S94),"",'Evaluation Plan'!S94)</x:f>
      </x:c>
      <x:c r="T94" s="15"/>
      <x:c r="U94" s="15"/>
      <x:c r="V94" s="15"/>
      <x:c r="W94" s="15"/>
      <x:c r="X94" s="15"/>
      <x:c r="Y94" s="15"/>
      <x:c r="Z94" s="15"/>
    </x:row>
    <x:row r="95" ht="67.5" customHeight="1">
      <x:c r="A95" s="17" t="s">
        <x:v>693</x:v>
      </x:c>
      <x:c r="B95" s="18" t="n">
        <x:f>'Evaluation Plan'!B95</x:f>
        <x:v>93</x:v>
      </x:c>
      <x:c r="C95" s="19" t="str">
        <x:f>'Evaluation Plan'!C95</x:f>
        <x:v>Put the smallest object in the bowl.</x:v>
      </x:c>
      <x:c r="D95" s="19" t="str">
        <x:f>'Evaluation Plan'!D95</x:f>
        <x:v>Bowl: empty. Table, robot-left→robot-right: P1 crushed Pepsi can; P2 juggling ball. Adjacent centers 16 cm apart; row shifted 4 cm toward the robot; all objects fully visible and grasp paths clear.</x:v>
      </x:c>
      <x:c r="E95" s="20" t="str">
        <x:f>IF(ISBLANK('Evaluation Plan'!E95),"",'Evaluation Plan'!E95)</x:f>
      </x:c>
      <x:c r="F95" s="18" t="str">
        <x:f>'Evaluation Plan'!F95</x:f>
        <x:v>1121</x:v>
      </x:c>
      <x:c r="G95" s="18" t="str">
        <x:f>'Evaluation Plan'!G95</x:f>
        <x:v>MOVE juggling ball to bowl</x:v>
      </x:c>
      <x:c r="H95" s="19" t="s">
        <x:v>715</x:v>
      </x:c>
      <x:c r="I95" s="18" t="str">
        <x:f>'Evaluation Plan'!I95</x:f>
        <x:v>Concept/compositional transfer</x:v>
      </x:c>
      <x:c r="J95" s="18" t="str">
        <x:f>'Evaluation Plan'!J95</x:f>
        <x:v>SZ-CT-SJ17</x:v>
      </x:c>
      <x:c r="K95" s="18" t="str">
        <x:f>'Evaluation Plan'!K95</x:f>
        <x:v>smallest</x:v>
      </x:c>
      <x:c r="L95" s="18" t="str">
        <x:f>'Evaluation Plan'!L95</x:f>
        <x:v>Held-out smallest × juggling ball — Put</x:v>
      </x:c>
      <x:c r="M95" s="18" t="str">
        <x:f>'Evaluation Plan'!M95</x:f>
        <x:v>juggling ball</x:v>
      </x:c>
      <x:c r="N95" s="18" t="str">
        <x:f>'Evaluation Plan'!N95</x:f>
        <x:v>Right</x:v>
      </x:c>
      <x:c r="O95" s="18" t="n">
        <x:f>'Evaluation Plan'!O95</x:f>
        <x:v>2</x:v>
      </x:c>
      <x:c r="P95" s="18" t="n">
        <x:f>IF(ISBLANK('Evaluation Plan'!P95),"",'Evaluation Plan'!P95)</x:f>
        <x:v>16</x:v>
      </x:c>
      <x:c r="Q95" s="18" t="str">
        <x:f>'Evaluation Plan'!Q95</x:f>
        <x:v>Build the listed two-object scene and save a first-frame filename.</x:v>
      </x:c>
      <x:c r="R95" s="19" t="str">
        <x:f>'Evaluation Plan'!R95</x:f>
        <x:v>Primary missing cell. Training episode 1121 contains the same target trajectory but masks the size word with a direct identity prompt.</x:v>
      </x:c>
      <x:c r="S95" s="21" t="str">
        <x:f>IF(ISBLANK('Evaluation Plan'!S95),"",'Evaluation Plan'!S95)</x:f>
      </x:c>
      <x:c r="T95" s="15"/>
      <x:c r="U95" s="15"/>
      <x:c r="V95" s="15"/>
      <x:c r="W95" s="15"/>
      <x:c r="X95" s="15"/>
      <x:c r="Y95" s="15"/>
      <x:c r="Z95" s="15"/>
    </x:row>
    <x:row r="96" ht="67.5" customHeight="1">
      <x:c r="A96" s="17" t="s">
        <x:v>693</x:v>
      </x:c>
      <x:c r="B96" s="18" t="n">
        <x:f>'Evaluation Plan'!B96</x:f>
        <x:v>94</x:v>
      </x:c>
      <x:c r="C96" s="19" t="str">
        <x:f>'Evaluation Plan'!C96</x:f>
        <x:v>Put the largest object in the bowl.</x:v>
      </x:c>
      <x:c r="D96" s="19" t="str">
        <x:f>'Evaluation Plan'!D96</x:f>
        <x:v>Bowl: empty. Table, robot-left→robot-right: P1 red pencil sharpener; P2 green block. Adjacent centers 16 cm apart; row shifted 4 cm toward robot-right; all objects fully visible and grasp paths clear.</x:v>
      </x:c>
      <x:c r="E96" s="20" t="str">
        <x:f>IF(ISBLANK('Evaluation Plan'!E96),"",'Evaluation Plan'!E96)</x:f>
      </x:c>
      <x:c r="F96" s="18" t="str">
        <x:f>'Evaluation Plan'!F96</x:f>
        <x:v>1097</x:v>
      </x:c>
      <x:c r="G96" s="18" t="str">
        <x:f>'Evaluation Plan'!G96</x:f>
        <x:v>MOVE green block to bowl</x:v>
      </x:c>
      <x:c r="H96" s="19" t="s">
        <x:v>716</x:v>
      </x:c>
      <x:c r="I96" s="18" t="str">
        <x:f>'Evaluation Plan'!I96</x:f>
        <x:v>Concept/compositional transfer</x:v>
      </x:c>
      <x:c r="J96" s="18" t="str">
        <x:f>'Evaluation Plan'!J96</x:f>
        <x:v>SZ-CT-LG18</x:v>
      </x:c>
      <x:c r="K96" s="18" t="str">
        <x:f>'Evaluation Plan'!K96</x:f>
        <x:v>largest</x:v>
      </x:c>
      <x:c r="L96" s="18" t="str">
        <x:f>'Evaluation Plan'!L96</x:f>
        <x:v>Held-out largest × green block — Put</x:v>
      </x:c>
      <x:c r="M96" s="18" t="str">
        <x:f>'Evaluation Plan'!M96</x:f>
        <x:v>green block</x:v>
      </x:c>
      <x:c r="N96" s="18" t="str">
        <x:f>'Evaluation Plan'!N96</x:f>
        <x:v>Right</x:v>
      </x:c>
      <x:c r="O96" s="18" t="n">
        <x:f>'Evaluation Plan'!O96</x:f>
        <x:v>2</x:v>
      </x:c>
      <x:c r="P96" s="18" t="n">
        <x:f>IF(ISBLANK('Evaluation Plan'!P96),"",'Evaluation Plan'!P96)</x:f>
        <x:v>16</x:v>
      </x:c>
      <x:c r="Q96" s="18" t="str">
        <x:f>'Evaluation Plan'!Q96</x:f>
        <x:v>Build the listed two-object scene and save a first-frame filename.</x:v>
      </x:c>
      <x:c r="R96" s="19" t="str">
        <x:f>'Evaluation Plan'!R96</x:f>
        <x:v>Primary missing cell. Training episode 1097 contains the same target trajectory but masks the size word with a direct identity prompt.</x:v>
      </x:c>
      <x:c r="S96" s="21" t="str">
        <x:f>IF(ISBLANK('Evaluation Plan'!S96),"",'Evaluation Plan'!S96)</x:f>
      </x:c>
      <x:c r="T96" s="15"/>
      <x:c r="U96" s="15"/>
      <x:c r="V96" s="15"/>
      <x:c r="W96" s="15"/>
      <x:c r="X96" s="15"/>
      <x:c r="Y96" s="15"/>
      <x:c r="Z96" s="15"/>
    </x:row>
    <x:row r="97" ht="67.5" customHeight="1">
      <x:c r="A97" s="10" t="s">
        <x:v>591</x:v>
      </x:c>
      <x:c r="B97" s="11" t="n">
        <x:f>'Evaluation Plan'!B97</x:f>
        <x:v>95</x:v>
      </x:c>
      <x:c r="C97" s="12" t="str">
        <x:f>'Evaluation Plan'!C97</x:f>
        <x:v>Move the object that is smallest into the bowl.</x:v>
      </x:c>
      <x:c r="D97" s="12" t="str">
        <x:f>'Evaluation Plan'!D97</x:f>
        <x:v>Bowl: empty. Table, robot-left→robot-right: P1 juggling ball; P2 crushed Pepsi can. Adjacent centers 8 cm apart; row shifted 4 cm away from the robot; all objects fully visible and grasp paths clear.</x:v>
      </x:c>
      <x:c r="E97" s="13" t="str">
        <x:f>IF(ISBLANK('Evaluation Plan'!E97),"",'Evaluation Plan'!E97)</x:f>
      </x:c>
      <x:c r="F97" s="11" t="str">
        <x:f>'Evaluation Plan'!F97</x:f>
        <x:v>1122</x:v>
      </x:c>
      <x:c r="G97" s="11" t="str">
        <x:f>'Evaluation Plan'!G97</x:f>
        <x:v>MOVE juggling ball to bowl</x:v>
      </x:c>
      <x:c r="H97" s="13"/>
      <x:c r="I97" s="11" t="str">
        <x:f>'Evaluation Plan'!I97</x:f>
        <x:v>Concept/compositional transfer</x:v>
      </x:c>
      <x:c r="J97" s="11" t="str">
        <x:f>'Evaluation Plan'!J97</x:f>
        <x:v>SZ-CT-SJ18</x:v>
      </x:c>
      <x:c r="K97" s="11" t="str">
        <x:f>'Evaluation Plan'!K97</x:f>
        <x:v>smallest</x:v>
      </x:c>
      <x:c r="L97" s="11" t="str">
        <x:f>'Evaluation Plan'!L97</x:f>
        <x:v>Held-out smallest × juggling ball — Move</x:v>
      </x:c>
      <x:c r="M97" s="11" t="str">
        <x:f>'Evaluation Plan'!M97</x:f>
        <x:v>juggling ball</x:v>
      </x:c>
      <x:c r="N97" s="11" t="str">
        <x:f>'Evaluation Plan'!N97</x:f>
        <x:v>Left</x:v>
      </x:c>
      <x:c r="O97" s="11" t="n">
        <x:f>'Evaluation Plan'!O97</x:f>
        <x:v>2</x:v>
      </x:c>
      <x:c r="P97" s="11" t="n">
        <x:f>IF(ISBLANK('Evaluation Plan'!P97),"",'Evaluation Plan'!P97)</x:f>
        <x:v>8</x:v>
      </x:c>
      <x:c r="Q97" s="11" t="str">
        <x:f>'Evaluation Plan'!Q97</x:f>
        <x:v>Build the listed two-object scene and save a first-frame filename.</x:v>
      </x:c>
      <x:c r="R97" s="12" t="str">
        <x:f>'Evaluation Plan'!R97</x:f>
        <x:v>Primary missing cell. Training episode 1122 contains the same target trajectory but masks the size word with a direct identity prompt.</x:v>
      </x:c>
      <x:c r="S97" s="14" t="str">
        <x:f>IF(ISBLANK('Evaluation Plan'!S97),"",'Evaluation Plan'!S97)</x:f>
      </x:c>
      <x:c r="T97" s="15"/>
      <x:c r="U97" s="15"/>
      <x:c r="V97" s="15"/>
      <x:c r="W97" s="15"/>
      <x:c r="X97" s="15"/>
      <x:c r="Y97" s="15"/>
      <x:c r="Z97" s="15"/>
    </x:row>
    <x:row r="98" ht="67.5" customHeight="1">
      <x:c r="A98" s="17" t="s">
        <x:v>693</x:v>
      </x:c>
      <x:c r="B98" s="18" t="n">
        <x:f>'Evaluation Plan'!B98</x:f>
        <x:v>96</x:v>
      </x:c>
      <x:c r="C98" s="19" t="str">
        <x:f>'Evaluation Plan'!C98</x:f>
        <x:v>Move the object that is largest into the bowl.</x:v>
      </x:c>
      <x:c r="D98" s="19" t="str">
        <x:f>'Evaluation Plan'!D98</x:f>
        <x:v>Bowl: empty. Table, robot-left→robot-right: P1 green block; P2 red pencil sharpener. Adjacent centers 8 cm apart; row shifted 4 cm toward the robot; all objects fully visible and grasp paths clear.</x:v>
      </x:c>
      <x:c r="E98" s="20" t="str">
        <x:f>IF(ISBLANK('Evaluation Plan'!E98),"",'Evaluation Plan'!E98)</x:f>
      </x:c>
      <x:c r="F98" s="18" t="str">
        <x:f>'Evaluation Plan'!F98</x:f>
        <x:v>1098</x:v>
      </x:c>
      <x:c r="G98" s="18" t="str">
        <x:f>'Evaluation Plan'!G98</x:f>
        <x:v>MOVE green block to bowl</x:v>
      </x:c>
      <x:c r="H98" s="19" t="s">
        <x:v>717</x:v>
      </x:c>
      <x:c r="I98" s="18" t="str">
        <x:f>'Evaluation Plan'!I98</x:f>
        <x:v>Concept/compositional transfer</x:v>
      </x:c>
      <x:c r="J98" s="18" t="str">
        <x:f>'Evaluation Plan'!J98</x:f>
        <x:v>SZ-CT-LG19</x:v>
      </x:c>
      <x:c r="K98" s="18" t="str">
        <x:f>'Evaluation Plan'!K98</x:f>
        <x:v>largest</x:v>
      </x:c>
      <x:c r="L98" s="18" t="str">
        <x:f>'Evaluation Plan'!L98</x:f>
        <x:v>Held-out largest × green block — Move</x:v>
      </x:c>
      <x:c r="M98" s="18" t="str">
        <x:f>'Evaluation Plan'!M98</x:f>
        <x:v>green block</x:v>
      </x:c>
      <x:c r="N98" s="18" t="str">
        <x:f>'Evaluation Plan'!N98</x:f>
        <x:v>Left</x:v>
      </x:c>
      <x:c r="O98" s="18" t="n">
        <x:f>'Evaluation Plan'!O98</x:f>
        <x:v>2</x:v>
      </x:c>
      <x:c r="P98" s="18" t="n">
        <x:f>IF(ISBLANK('Evaluation Plan'!P98),"",'Evaluation Plan'!P98)</x:f>
        <x:v>8</x:v>
      </x:c>
      <x:c r="Q98" s="18" t="str">
        <x:f>'Evaluation Plan'!Q98</x:f>
        <x:v>Build the listed two-object scene and save a first-frame filename.</x:v>
      </x:c>
      <x:c r="R98" s="19" t="str">
        <x:f>'Evaluation Plan'!R98</x:f>
        <x:v>Primary missing cell. Training episode 1098 contains the same target trajectory but masks the size word with a direct identity prompt.</x:v>
      </x:c>
      <x:c r="S98" s="21" t="str">
        <x:f>IF(ISBLANK('Evaluation Plan'!S98),"",'Evaluation Plan'!S98)</x:f>
      </x:c>
      <x:c r="T98" s="15"/>
      <x:c r="U98" s="15"/>
      <x:c r="V98" s="15"/>
      <x:c r="W98" s="15"/>
      <x:c r="X98" s="15"/>
      <x:c r="Y98" s="15"/>
      <x:c r="Z98" s="15"/>
    </x:row>
    <x:row r="99" ht="67.5" customHeight="1">
      <x:c r="A99" s="17" t="s">
        <x:v>693</x:v>
      </x:c>
      <x:c r="B99" s="18" t="n">
        <x:f>'Evaluation Plan'!B99</x:f>
        <x:v>97</x:v>
      </x:c>
      <x:c r="C99" s="19" t="str">
        <x:f>'Evaluation Plan'!C99</x:f>
        <x:v>Pick up the smallest item and place it in the bowl.</x:v>
      </x:c>
      <x:c r="D99" s="19" t="str">
        <x:f>'Evaluation Plan'!D99</x:f>
        <x:v>Bowl: empty. Table, robot-left→robot-right: P1 crushed Pepsi can; P2 juggling ball. Adjacent centers 12 cm apart; row centered on the workspace; all objects fully visible and grasp paths clear.</x:v>
      </x:c>
      <x:c r="E99" s="20" t="str">
        <x:f>IF(ISBLANK('Evaluation Plan'!E99),"",'Evaluation Plan'!E99)</x:f>
      </x:c>
      <x:c r="F99" s="18" t="str">
        <x:f>'Evaluation Plan'!F99</x:f>
        <x:v>1123</x:v>
      </x:c>
      <x:c r="G99" s="18" t="str">
        <x:f>'Evaluation Plan'!G99</x:f>
        <x:v>MOVE juggling ball to bowl</x:v>
      </x:c>
      <x:c r="H99" s="19" t="s">
        <x:v>700</x:v>
      </x:c>
      <x:c r="I99" s="18" t="str">
        <x:f>'Evaluation Plan'!I99</x:f>
        <x:v>Concept/compositional transfer</x:v>
      </x:c>
      <x:c r="J99" s="18" t="str">
        <x:f>'Evaluation Plan'!J99</x:f>
        <x:v>SZ-CT-SJ19</x:v>
      </x:c>
      <x:c r="K99" s="18" t="str">
        <x:f>'Evaluation Plan'!K99</x:f>
        <x:v>smallest</x:v>
      </x:c>
      <x:c r="L99" s="18" t="str">
        <x:f>'Evaluation Plan'!L99</x:f>
        <x:v>Held-out smallest × juggling ball — Pick up</x:v>
      </x:c>
      <x:c r="M99" s="18" t="str">
        <x:f>'Evaluation Plan'!M99</x:f>
        <x:v>juggling ball</x:v>
      </x:c>
      <x:c r="N99" s="18" t="str">
        <x:f>'Evaluation Plan'!N99</x:f>
        <x:v>Right</x:v>
      </x:c>
      <x:c r="O99" s="18" t="n">
        <x:f>'Evaluation Plan'!O99</x:f>
        <x:v>2</x:v>
      </x:c>
      <x:c r="P99" s="18" t="n">
        <x:f>IF(ISBLANK('Evaluation Plan'!P99),"",'Evaluation Plan'!P99)</x:f>
        <x:v>12</x:v>
      </x:c>
      <x:c r="Q99" s="18" t="str">
        <x:f>'Evaluation Plan'!Q99</x:f>
        <x:v>Build the listed two-object scene and save a first-frame filename.</x:v>
      </x:c>
      <x:c r="R99" s="19" t="str">
        <x:f>'Evaluation Plan'!R99</x:f>
        <x:v>Primary missing cell. Training episode 1123 contains the same target trajectory but masks the size word with a direct identity prompt.</x:v>
      </x:c>
      <x:c r="S99" s="21" t="str">
        <x:f>IF(ISBLANK('Evaluation Plan'!S99),"",'Evaluation Plan'!S99)</x:f>
      </x:c>
      <x:c r="T99" s="15"/>
      <x:c r="U99" s="15"/>
      <x:c r="V99" s="15"/>
      <x:c r="W99" s="15"/>
      <x:c r="X99" s="15"/>
      <x:c r="Y99" s="15"/>
      <x:c r="Z99" s="15"/>
    </x:row>
    <x:row r="100" ht="67.5" customHeight="1">
      <x:c r="A100" s="10" t="s">
        <x:v>591</x:v>
      </x:c>
      <x:c r="B100" s="11" t="n">
        <x:f>'Evaluation Plan'!B100</x:f>
        <x:v>98</x:v>
      </x:c>
      <x:c r="C100" s="12" t="str">
        <x:f>'Evaluation Plan'!C100</x:f>
        <x:v>Pick up the largest item and place it in the bowl.</x:v>
      </x:c>
      <x:c r="D100" s="12" t="str">
        <x:f>'Evaluation Plan'!D100</x:f>
        <x:v>Bowl: empty. Table, robot-left→robot-right: P1 red pencil sharpener; P2 green block. Adjacent centers 12 cm apart; row shifted 4 cm away from the robot; all objects fully visible and grasp paths clear.</x:v>
      </x:c>
      <x:c r="E100" s="13" t="str">
        <x:f>IF(ISBLANK('Evaluation Plan'!E100),"",'Evaluation Plan'!E100)</x:f>
      </x:c>
      <x:c r="F100" s="11" t="str">
        <x:f>'Evaluation Plan'!F100</x:f>
        <x:v>1099</x:v>
      </x:c>
      <x:c r="G100" s="11" t="str">
        <x:f>'Evaluation Plan'!G100</x:f>
        <x:v>MOVE green block to bowl</x:v>
      </x:c>
      <x:c r="H100" s="13"/>
      <x:c r="I100" s="11" t="str">
        <x:f>'Evaluation Plan'!I100</x:f>
        <x:v>Concept/compositional transfer</x:v>
      </x:c>
      <x:c r="J100" s="11" t="str">
        <x:f>'Evaluation Plan'!J100</x:f>
        <x:v>SZ-CT-LG20</x:v>
      </x:c>
      <x:c r="K100" s="11" t="str">
        <x:f>'Evaluation Plan'!K100</x:f>
        <x:v>largest</x:v>
      </x:c>
      <x:c r="L100" s="11" t="str">
        <x:f>'Evaluation Plan'!L100</x:f>
        <x:v>Held-out largest × green block — Pick up</x:v>
      </x:c>
      <x:c r="M100" s="11" t="str">
        <x:f>'Evaluation Plan'!M100</x:f>
        <x:v>green block</x:v>
      </x:c>
      <x:c r="N100" s="11" t="str">
        <x:f>'Evaluation Plan'!N100</x:f>
        <x:v>Right</x:v>
      </x:c>
      <x:c r="O100" s="11" t="n">
        <x:f>'Evaluation Plan'!O100</x:f>
        <x:v>2</x:v>
      </x:c>
      <x:c r="P100" s="11" t="n">
        <x:f>IF(ISBLANK('Evaluation Plan'!P100),"",'Evaluation Plan'!P100)</x:f>
        <x:v>12</x:v>
      </x:c>
      <x:c r="Q100" s="11" t="str">
        <x:f>'Evaluation Plan'!Q100</x:f>
        <x:v>Build the listed two-object scene and save a first-frame filename.</x:v>
      </x:c>
      <x:c r="R100" s="12" t="str">
        <x:f>'Evaluation Plan'!R100</x:f>
        <x:v>Primary missing cell. Training episode 1099 contains the same target trajectory but masks the size word with a direct identity prompt.</x:v>
      </x:c>
      <x:c r="S100" s="14" t="str">
        <x:f>IF(ISBLANK('Evaluation Plan'!S100),"",'Evaluation Plan'!S100)</x:f>
      </x:c>
      <x:c r="T100" s="15"/>
      <x:c r="U100" s="15"/>
      <x:c r="V100" s="15"/>
      <x:c r="W100" s="15"/>
      <x:c r="X100" s="15"/>
      <x:c r="Y100" s="15"/>
      <x:c r="Z100" s="15"/>
    </x:row>
    <x:row r="101" ht="67.5" customHeight="1">
      <x:c r="A101" s="10" t="s">
        <x:v>591</x:v>
      </x:c>
      <x:c r="B101" s="11" t="n">
        <x:f>'Evaluation Plan'!B101</x:f>
        <x:v>99</x:v>
      </x:c>
      <x:c r="C101" s="12" t="str">
        <x:f>'Evaluation Plan'!C101</x:f>
        <x:v>Put the smallest object in the bowl.</x:v>
      </x:c>
      <x:c r="D101" s="12" t="str">
        <x:f>'Evaluation Plan'!D101</x:f>
        <x:v>Bowl: empty. Table, robot-left→robot-right: P1 juggling ball; P2 crushed Pepsi can. Adjacent centers 16 cm apart; row shifted 4 cm toward robot-left; all objects fully visible and grasp paths clear.</x:v>
      </x:c>
      <x:c r="E101" s="13" t="str">
        <x:f>IF(ISBLANK('Evaluation Plan'!E101),"",'Evaluation Plan'!E101)</x:f>
      </x:c>
      <x:c r="F101" s="11" t="str">
        <x:f>'Evaluation Plan'!F101</x:f>
        <x:v>1124</x:v>
      </x:c>
      <x:c r="G101" s="11" t="str">
        <x:f>'Evaluation Plan'!G101</x:f>
        <x:v>MOVE juggling ball to bowl</x:v>
      </x:c>
      <x:c r="H101" s="12" t="s">
        <x:v>718</x:v>
      </x:c>
      <x:c r="I101" s="11" t="str">
        <x:f>'Evaluation Plan'!I101</x:f>
        <x:v>Concept/compositional transfer</x:v>
      </x:c>
      <x:c r="J101" s="11" t="str">
        <x:f>'Evaluation Plan'!J101</x:f>
        <x:v>SZ-CT-SJ20</x:v>
      </x:c>
      <x:c r="K101" s="11" t="str">
        <x:f>'Evaluation Plan'!K101</x:f>
        <x:v>smallest</x:v>
      </x:c>
      <x:c r="L101" s="11" t="str">
        <x:f>'Evaluation Plan'!L101</x:f>
        <x:v>Held-out smallest × juggling ball — Put</x:v>
      </x:c>
      <x:c r="M101" s="11" t="str">
        <x:f>'Evaluation Plan'!M101</x:f>
        <x:v>juggling ball</x:v>
      </x:c>
      <x:c r="N101" s="11" t="str">
        <x:f>'Evaluation Plan'!N101</x:f>
        <x:v>Left</x:v>
      </x:c>
      <x:c r="O101" s="11" t="n">
        <x:f>'Evaluation Plan'!O101</x:f>
        <x:v>2</x:v>
      </x:c>
      <x:c r="P101" s="11" t="n">
        <x:f>IF(ISBLANK('Evaluation Plan'!P101),"",'Evaluation Plan'!P101)</x:f>
        <x:v>16</x:v>
      </x:c>
      <x:c r="Q101" s="11" t="str">
        <x:f>'Evaluation Plan'!Q101</x:f>
        <x:v>Build the listed two-object scene and save a first-frame filename.</x:v>
      </x:c>
      <x:c r="R101" s="12" t="str">
        <x:f>'Evaluation Plan'!R101</x:f>
        <x:v>Primary missing cell. Training episode 1124 contains the same target trajectory but masks the size word with a direct identity prompt.</x:v>
      </x:c>
      <x:c r="S101" s="14" t="str">
        <x:f>IF(ISBLANK('Evaluation Plan'!S101),"",'Evaluation Plan'!S101)</x:f>
      </x:c>
      <x:c r="T101" s="15"/>
      <x:c r="U101" s="15"/>
      <x:c r="V101" s="15"/>
      <x:c r="W101" s="15"/>
      <x:c r="X101" s="15"/>
      <x:c r="Y101" s="15"/>
      <x:c r="Z101" s="15"/>
    </x:row>
    <x:row r="102" ht="67.5" customHeight="1">
      <x:c r="A102" s="10" t="s">
        <x:v>591</x:v>
      </x:c>
      <x:c r="B102" s="11" t="n">
        <x:f>'Evaluation Plan'!B102</x:f>
        <x:v>100</x:v>
      </x:c>
      <x:c r="C102" s="12" t="str">
        <x:f>'Evaluation Plan'!C102</x:f>
        <x:v>Put the largest object in the bowl.</x:v>
      </x:c>
      <x:c r="D102" s="12" t="str">
        <x:f>'Evaluation Plan'!D102</x:f>
        <x:v>Bowl: empty. Table, robot-left→robot-right: P1 green block; P2 red pencil sharpener. Adjacent centers 16 cm apart; row centered on the workspace; all objects fully visible and grasp paths clear.</x:v>
      </x:c>
      <x:c r="E102" s="13" t="str">
        <x:f>IF(ISBLANK('Evaluation Plan'!E102),"",'Evaluation Plan'!E102)</x:f>
      </x:c>
      <x:c r="F102" s="11" t="str">
        <x:f>'Evaluation Plan'!F102</x:f>
        <x:v>1080</x:v>
      </x:c>
      <x:c r="G102" s="11" t="str">
        <x:f>'Evaluation Plan'!G102</x:f>
        <x:v>MOVE green block to bowl</x:v>
      </x:c>
      <x:c r="H102" s="13"/>
      <x:c r="I102" s="11" t="str">
        <x:f>'Evaluation Plan'!I102</x:f>
        <x:v>Concept/compositional transfer</x:v>
      </x:c>
      <x:c r="J102" s="11" t="str">
        <x:f>'Evaluation Plan'!J102</x:f>
        <x:v>SZ-CT-LG21</x:v>
      </x:c>
      <x:c r="K102" s="11" t="str">
        <x:f>'Evaluation Plan'!K102</x:f>
        <x:v>largest</x:v>
      </x:c>
      <x:c r="L102" s="11" t="str">
        <x:f>'Evaluation Plan'!L102</x:f>
        <x:v>Held-out largest × green block — Put</x:v>
      </x:c>
      <x:c r="M102" s="11" t="str">
        <x:f>'Evaluation Plan'!M102</x:f>
        <x:v>green block</x:v>
      </x:c>
      <x:c r="N102" s="11" t="str">
        <x:f>'Evaluation Plan'!N102</x:f>
        <x:v>Left</x:v>
      </x:c>
      <x:c r="O102" s="11" t="n">
        <x:f>'Evaluation Plan'!O102</x:f>
        <x:v>2</x:v>
      </x:c>
      <x:c r="P102" s="11" t="n">
        <x:f>IF(ISBLANK('Evaluation Plan'!P102),"",'Evaluation Plan'!P102)</x:f>
        <x:v>16</x:v>
      </x:c>
      <x:c r="Q102" s="11" t="str">
        <x:f>'Evaluation Plan'!Q102</x:f>
        <x:v>Build the listed two-object scene and save a first-frame filename.</x:v>
      </x:c>
      <x:c r="R102" s="12" t="str">
        <x:f>'Evaluation Plan'!R102</x:f>
        <x:v>Primary missing cell. Training episode 1080 contains the same target trajectory but masks the size word with a direct identity prompt.</x:v>
      </x:c>
      <x:c r="S102" s="14" t="str">
        <x:f>IF(ISBLANK('Evaluation Plan'!S102),"",'Evaluation Plan'!S102)</x:f>
      </x:c>
      <x:c r="T102" s="15"/>
      <x:c r="U102" s="15"/>
      <x:c r="V102" s="15"/>
      <x:c r="W102" s="15"/>
      <x:c r="X102" s="15"/>
      <x:c r="Y102" s="15"/>
      <x:c r="Z102" s="15"/>
    </x:row>
    <x:row r="103" ht="67.5" customHeight="1">
      <x:c r="A103" s="10" t="s">
        <x:v>591</x:v>
      </x:c>
      <x:c r="B103" s="11" t="n">
        <x:f>'Evaluation Plan'!B103</x:f>
        <x:v>101</x:v>
      </x:c>
      <x:c r="C103" s="12" t="str">
        <x:f>'Evaluation Plan'!C103</x:f>
        <x:v>Move the object that is smallest into the bowl.</x:v>
      </x:c>
      <x:c r="D103" s="12" t="str">
        <x:f>'Evaluation Plan'!D103</x:f>
        <x:v>Bowl: empty. Table, robot-left→robot-right: P1 crushed Pepsi can; P2 juggling ball. Adjacent centers 8 cm apart; row shifted 4 cm toward robot-right; all objects fully visible and grasp paths clear.</x:v>
      </x:c>
      <x:c r="E103" s="13" t="str">
        <x:f>IF(ISBLANK('Evaluation Plan'!E103),"",'Evaluation Plan'!E103)</x:f>
      </x:c>
      <x:c r="F103" s="11" t="str">
        <x:f>'Evaluation Plan'!F103</x:f>
        <x:v>1105</x:v>
      </x:c>
      <x:c r="G103" s="11" t="str">
        <x:f>'Evaluation Plan'!G103</x:f>
        <x:v>MOVE juggling ball to bowl</x:v>
      </x:c>
      <x:c r="H103" s="13"/>
      <x:c r="I103" s="11" t="str">
        <x:f>'Evaluation Plan'!I103</x:f>
        <x:v>Concept/compositional transfer</x:v>
      </x:c>
      <x:c r="J103" s="11" t="str">
        <x:f>'Evaluation Plan'!J103</x:f>
        <x:v>SZ-CT-SJ21</x:v>
      </x:c>
      <x:c r="K103" s="11" t="str">
        <x:f>'Evaluation Plan'!K103</x:f>
        <x:v>smallest</x:v>
      </x:c>
      <x:c r="L103" s="11" t="str">
        <x:f>'Evaluation Plan'!L103</x:f>
        <x:v>Held-out smallest × juggling ball — Move</x:v>
      </x:c>
      <x:c r="M103" s="11" t="str">
        <x:f>'Evaluation Plan'!M103</x:f>
        <x:v>juggling ball</x:v>
      </x:c>
      <x:c r="N103" s="11" t="str">
        <x:f>'Evaluation Plan'!N103</x:f>
        <x:v>Right</x:v>
      </x:c>
      <x:c r="O103" s="11" t="n">
        <x:f>'Evaluation Plan'!O103</x:f>
        <x:v>2</x:v>
      </x:c>
      <x:c r="P103" s="11" t="n">
        <x:f>IF(ISBLANK('Evaluation Plan'!P103),"",'Evaluation Plan'!P103)</x:f>
        <x:v>8</x:v>
      </x:c>
      <x:c r="Q103" s="11" t="str">
        <x:f>'Evaluation Plan'!Q103</x:f>
        <x:v>Build the listed two-object scene and save a first-frame filename.</x:v>
      </x:c>
      <x:c r="R103" s="12" t="str">
        <x:f>'Evaluation Plan'!R103</x:f>
        <x:v>Primary missing cell. Training episode 1105 contains the same target trajectory but masks the size word with a direct identity prompt.</x:v>
      </x:c>
      <x:c r="S103" s="14" t="str">
        <x:f>IF(ISBLANK('Evaluation Plan'!S103),"",'Evaluation Plan'!S103)</x:f>
      </x:c>
      <x:c r="T103" s="15"/>
      <x:c r="U103" s="15"/>
      <x:c r="V103" s="15"/>
      <x:c r="W103" s="15"/>
      <x:c r="X103" s="15"/>
      <x:c r="Y103" s="15"/>
      <x:c r="Z103" s="15"/>
    </x:row>
    <x:row r="104" ht="67.5" customHeight="1">
      <x:c r="A104" s="22" t="s">
        <x:v>693</x:v>
      </x:c>
      <x:c r="B104" s="8" t="n">
        <x:f>'Evaluation Plan'!B104</x:f>
        <x:v>102</x:v>
      </x:c>
      <x:c r="C104" s="9" t="str">
        <x:f>'Evaluation Plan'!C104</x:f>
        <x:v>Move the object that is largest into the bowl.</x:v>
      </x:c>
      <x:c r="D104" s="9" t="str">
        <x:f>'Evaluation Plan'!D104</x:f>
        <x:v>Bowl: empty. Table, robot-left→robot-right: P1 red pencil sharpener; P2 green block. Adjacent centers 8 cm apart; row shifted 4 cm toward robot-left; all objects fully visible and grasp paths clear.</x:v>
      </x:c>
      <x:c r="E104" s="8" t="str">
        <x:f>IF(ISBLANK('Evaluation Plan'!E104),"",'Evaluation Plan'!E104)</x:f>
      </x:c>
      <x:c r="F104" s="8" t="str">
        <x:f>'Evaluation Plan'!F104</x:f>
        <x:v>1081</x:v>
      </x:c>
      <x:c r="G104" s="8" t="str">
        <x:f>'Evaluation Plan'!G104</x:f>
        <x:v>MOVE green block to bowl</x:v>
      </x:c>
      <x:c r="H104" s="23" t="s">
        <x:v>719</x:v>
      </x:c>
      <x:c r="I104" s="8" t="str">
        <x:f>'Evaluation Plan'!I104</x:f>
        <x:v>Concept/compositional transfer</x:v>
      </x:c>
      <x:c r="J104" s="8" t="str">
        <x:f>'Evaluation Plan'!J104</x:f>
        <x:v>SZ-CT-LG22</x:v>
      </x:c>
      <x:c r="K104" s="8" t="str">
        <x:f>'Evaluation Plan'!K104</x:f>
        <x:v>largest</x:v>
      </x:c>
      <x:c r="L104" s="8" t="str">
        <x:f>'Evaluation Plan'!L104</x:f>
        <x:v>Held-out largest × green block — Move</x:v>
      </x:c>
      <x:c r="M104" s="8" t="str">
        <x:f>'Evaluation Plan'!M104</x:f>
        <x:v>green block</x:v>
      </x:c>
      <x:c r="N104" s="8" t="str">
        <x:f>'Evaluation Plan'!N104</x:f>
        <x:v>Right</x:v>
      </x:c>
      <x:c r="O104" s="8" t="n">
        <x:f>'Evaluation Plan'!O104</x:f>
        <x:v>2</x:v>
      </x:c>
      <x:c r="P104" s="8" t="n">
        <x:f>IF(ISBLANK('Evaluation Plan'!P104),"",'Evaluation Plan'!P104)</x:f>
        <x:v>8</x:v>
      </x:c>
      <x:c r="Q104" s="8" t="str">
        <x:f>'Evaluation Plan'!Q104</x:f>
        <x:v>Build the listed two-object scene and save a first-frame filename.</x:v>
      </x:c>
      <x:c r="R104" s="9" t="str">
        <x:f>'Evaluation Plan'!R104</x:f>
        <x:v>Primary missing cell. Training episode 1081 contains the same target trajectory but masks the size word with a direct identity prompt.</x:v>
      </x:c>
      <x:c r="S104" s="9" t="str">
        <x:f>IF(ISBLANK('Evaluation Plan'!S104),"",'Evaluation Plan'!S104)</x:f>
      </x:c>
    </x:row>
    <x:row r="105" ht="67.5" customHeight="1">
      <x:c r="A105" s="22" t="s">
        <x:v>693</x:v>
      </x:c>
      <x:c r="B105" s="8" t="n">
        <x:f>'Evaluation Plan'!B105</x:f>
        <x:v>103</x:v>
      </x:c>
      <x:c r="C105" s="9" t="str">
        <x:f>'Evaluation Plan'!C105</x:f>
        <x:v>Pick up the smallest item and place it in the bowl.</x:v>
      </x:c>
      <x:c r="D105" s="9" t="str">
        <x:f>'Evaluation Plan'!D105</x:f>
        <x:v>Bowl: empty. Table, robot-left→robot-right: P1 juggling ball; P2 crushed Pepsi can. Adjacent centers 12 cm apart; row shifted 4 cm toward the robot; all objects fully visible and grasp paths clear.</x:v>
      </x:c>
      <x:c r="E105" s="8" t="str">
        <x:f>IF(ISBLANK('Evaluation Plan'!E105),"",'Evaluation Plan'!E105)</x:f>
      </x:c>
      <x:c r="F105" s="8" t="str">
        <x:f>'Evaluation Plan'!F105</x:f>
        <x:v>1106</x:v>
      </x:c>
      <x:c r="G105" s="8" t="str">
        <x:f>'Evaluation Plan'!G105</x:f>
        <x:v>MOVE juggling ball to bowl</x:v>
      </x:c>
      <x:c r="H105" s="23" t="s">
        <x:v>696</x:v>
      </x:c>
      <x:c r="I105" s="8" t="str">
        <x:f>'Evaluation Plan'!I105</x:f>
        <x:v>Concept/compositional transfer</x:v>
      </x:c>
      <x:c r="J105" s="8" t="str">
        <x:f>'Evaluation Plan'!J105</x:f>
        <x:v>SZ-CT-SJ22</x:v>
      </x:c>
      <x:c r="K105" s="8" t="str">
        <x:f>'Evaluation Plan'!K105</x:f>
        <x:v>smallest</x:v>
      </x:c>
      <x:c r="L105" s="8" t="str">
        <x:f>'Evaluation Plan'!L105</x:f>
        <x:v>Held-out smallest × juggling ball — Pick up</x:v>
      </x:c>
      <x:c r="M105" s="8" t="str">
        <x:f>'Evaluation Plan'!M105</x:f>
        <x:v>juggling ball</x:v>
      </x:c>
      <x:c r="N105" s="8" t="str">
        <x:f>'Evaluation Plan'!N105</x:f>
        <x:v>Left</x:v>
      </x:c>
      <x:c r="O105" s="8" t="n">
        <x:f>'Evaluation Plan'!O105</x:f>
        <x:v>2</x:v>
      </x:c>
      <x:c r="P105" s="8" t="n">
        <x:f>IF(ISBLANK('Evaluation Plan'!P105),"",'Evaluation Plan'!P105)</x:f>
        <x:v>12</x:v>
      </x:c>
      <x:c r="Q105" s="8" t="str">
        <x:f>'Evaluation Plan'!Q105</x:f>
        <x:v>Build the listed two-object scene and save a first-frame filename.</x:v>
      </x:c>
      <x:c r="R105" s="9" t="str">
        <x:f>'Evaluation Plan'!R105</x:f>
        <x:v>Primary missing cell. Training episode 1106 contains the same target trajectory but masks the size word with a direct identity prompt.</x:v>
      </x:c>
      <x:c r="S105" s="9" t="str">
        <x:f>IF(ISBLANK('Evaluation Plan'!S105),"",'Evaluation Plan'!S105)</x:f>
      </x:c>
    </x:row>
    <x:row r="106" ht="67.5" customHeight="1">
      <x:c r="A106" s="22" t="s">
        <x:v>591</x:v>
      </x:c>
      <x:c r="B106" s="8" t="n">
        <x:f>'Evaluation Plan'!B106</x:f>
        <x:v>104</x:v>
      </x:c>
      <x:c r="C106" s="9" t="str">
        <x:f>'Evaluation Plan'!C106</x:f>
        <x:v>Pick up the largest item and place it in the bowl.</x:v>
      </x:c>
      <x:c r="D106" s="9" t="str">
        <x:f>'Evaluation Plan'!D106</x:f>
        <x:v>Bowl: empty. Table, robot-left→robot-right: P1 green block; P2 red pencil sharpener. Adjacent centers 12 cm apart; row shifted 4 cm toward robot-right; all objects fully visible and grasp paths clear.</x:v>
      </x:c>
      <x:c r="E106" s="8" t="str">
        <x:f>IF(ISBLANK('Evaluation Plan'!E106),"",'Evaluation Plan'!E106)</x:f>
      </x:c>
      <x:c r="F106" s="8" t="str">
        <x:f>'Evaluation Plan'!F106</x:f>
        <x:v>1082</x:v>
      </x:c>
      <x:c r="G106" s="8" t="str">
        <x:f>'Evaluation Plan'!G106</x:f>
        <x:v>MOVE green block to bowl</x:v>
      </x:c>
      <x:c r="H106" s="23" t="s">
        <x:v>720</x:v>
      </x:c>
      <x:c r="I106" s="8" t="str">
        <x:f>'Evaluation Plan'!I106</x:f>
        <x:v>Concept/compositional transfer</x:v>
      </x:c>
      <x:c r="J106" s="8" t="str">
        <x:f>'Evaluation Plan'!J106</x:f>
        <x:v>SZ-CT-LG23</x:v>
      </x:c>
      <x:c r="K106" s="8" t="str">
        <x:f>'Evaluation Plan'!K106</x:f>
        <x:v>largest</x:v>
      </x:c>
      <x:c r="L106" s="8" t="str">
        <x:f>'Evaluation Plan'!L106</x:f>
        <x:v>Held-out largest × green block — Pick up</x:v>
      </x:c>
      <x:c r="M106" s="8" t="str">
        <x:f>'Evaluation Plan'!M106</x:f>
        <x:v>green block</x:v>
      </x:c>
      <x:c r="N106" s="8" t="str">
        <x:f>'Evaluation Plan'!N106</x:f>
        <x:v>Left</x:v>
      </x:c>
      <x:c r="O106" s="8" t="n">
        <x:f>'Evaluation Plan'!O106</x:f>
        <x:v>2</x:v>
      </x:c>
      <x:c r="P106" s="8" t="n">
        <x:f>IF(ISBLANK('Evaluation Plan'!P106),"",'Evaluation Plan'!P106)</x:f>
        <x:v>12</x:v>
      </x:c>
      <x:c r="Q106" s="8" t="str">
        <x:f>'Evaluation Plan'!Q106</x:f>
        <x:v>Build the listed two-object scene and save a first-frame filename.</x:v>
      </x:c>
      <x:c r="R106" s="9" t="str">
        <x:f>'Evaluation Plan'!R106</x:f>
        <x:v>Primary missing cell. Training episode 1082 contains the same target trajectory but masks the size word with a direct identity prompt.</x:v>
      </x:c>
      <x:c r="S106" s="9" t="str">
        <x:f>IF(ISBLANK('Evaluation Plan'!S106),"",'Evaluation Plan'!S106)</x:f>
      </x:c>
    </x:row>
    <x:row r="107" ht="67.5" customHeight="1">
      <x:c r="A107" s="22" t="s">
        <x:v>693</x:v>
      </x:c>
      <x:c r="B107" s="8" t="n">
        <x:f>'Evaluation Plan'!B107</x:f>
        <x:v>105</x:v>
      </x:c>
      <x:c r="C107" s="9" t="str">
        <x:f>'Evaluation Plan'!C107</x:f>
        <x:v>Put the smallest object in the bowl.</x:v>
      </x:c>
      <x:c r="D107" s="9" t="str">
        <x:f>'Evaluation Plan'!D107</x:f>
        <x:v>Bowl: empty. Table, robot-left→robot-right: P1 crushed Pepsi can; P2 juggling ball. Adjacent centers 16 cm apart; row shifted 4 cm away from the robot; all objects fully visible and grasp paths clear.</x:v>
      </x:c>
      <x:c r="E107" s="8" t="str">
        <x:f>IF(ISBLANK('Evaluation Plan'!E107),"",'Evaluation Plan'!E107)</x:f>
      </x:c>
      <x:c r="F107" s="8" t="str">
        <x:f>'Evaluation Plan'!F107</x:f>
        <x:v>1107</x:v>
      </x:c>
      <x:c r="G107" s="8" t="str">
        <x:f>'Evaluation Plan'!G107</x:f>
        <x:v>MOVE juggling ball to bowl</x:v>
      </x:c>
      <x:c r="H107" s="23" t="s">
        <x:v>721</x:v>
      </x:c>
      <x:c r="I107" s="8" t="str">
        <x:f>'Evaluation Plan'!I107</x:f>
        <x:v>Concept/compositional transfer</x:v>
      </x:c>
      <x:c r="J107" s="8" t="str">
        <x:f>'Evaluation Plan'!J107</x:f>
        <x:v>SZ-CT-SJ23</x:v>
      </x:c>
      <x:c r="K107" s="8" t="str">
        <x:f>'Evaluation Plan'!K107</x:f>
        <x:v>smallest</x:v>
      </x:c>
      <x:c r="L107" s="8" t="str">
        <x:f>'Evaluation Plan'!L107</x:f>
        <x:v>Held-out smallest × juggling ball — Put</x:v>
      </x:c>
      <x:c r="M107" s="8" t="str">
        <x:f>'Evaluation Plan'!M107</x:f>
        <x:v>juggling ball</x:v>
      </x:c>
      <x:c r="N107" s="8" t="str">
        <x:f>'Evaluation Plan'!N107</x:f>
        <x:v>Right</x:v>
      </x:c>
      <x:c r="O107" s="8" t="n">
        <x:f>'Evaluation Plan'!O107</x:f>
        <x:v>2</x:v>
      </x:c>
      <x:c r="P107" s="8" t="n">
        <x:f>IF(ISBLANK('Evaluation Plan'!P107),"",'Evaluation Plan'!P107)</x:f>
        <x:v>16</x:v>
      </x:c>
      <x:c r="Q107" s="8" t="str">
        <x:f>'Evaluation Plan'!Q107</x:f>
        <x:v>Build the listed two-object scene and save a first-frame filename.</x:v>
      </x:c>
      <x:c r="R107" s="9" t="str">
        <x:f>'Evaluation Plan'!R107</x:f>
        <x:v>Primary missing cell. Training episode 1107 contains the same target trajectory but masks the size word with a direct identity prompt.</x:v>
      </x:c>
      <x:c r="S107" s="9" t="str">
        <x:f>IF(ISBLANK('Evaluation Plan'!S107),"",'Evaluation Plan'!S107)</x:f>
      </x:c>
    </x:row>
    <x:row r="108" ht="67.5" customHeight="1">
      <x:c r="A108" s="22" t="s">
        <x:v>591</x:v>
      </x:c>
      <x:c r="B108" s="8" t="n">
        <x:f>'Evaluation Plan'!B108</x:f>
        <x:v>106</x:v>
      </x:c>
      <x:c r="C108" s="9" t="str">
        <x:f>'Evaluation Plan'!C108</x:f>
        <x:v>Put the largest object in the bowl.</x:v>
      </x:c>
      <x:c r="D108" s="9" t="str">
        <x:f>'Evaluation Plan'!D108</x:f>
        <x:v>Bowl: empty. Table, robot-left→robot-right: P1 red pencil sharpener; P2 green block. Adjacent centers 16 cm apart; row shifted 4 cm toward the robot; all objects fully visible and grasp paths clear.</x:v>
      </x:c>
      <x:c r="E108" s="8" t="str">
        <x:f>IF(ISBLANK('Evaluation Plan'!E108),"",'Evaluation Plan'!E108)</x:f>
      </x:c>
      <x:c r="F108" s="8" t="str">
        <x:f>'Evaluation Plan'!F108</x:f>
        <x:v>1083</x:v>
      </x:c>
      <x:c r="G108" s="8" t="str">
        <x:f>'Evaluation Plan'!G108</x:f>
        <x:v>MOVE green block to bowl</x:v>
      </x:c>
      <x:c r="H108" s="9"/>
      <x:c r="I108" s="8" t="str">
        <x:f>'Evaluation Plan'!I108</x:f>
        <x:v>Concept/compositional transfer</x:v>
      </x:c>
      <x:c r="J108" s="8" t="str">
        <x:f>'Evaluation Plan'!J108</x:f>
        <x:v>SZ-CT-LG24</x:v>
      </x:c>
      <x:c r="K108" s="8" t="str">
        <x:f>'Evaluation Plan'!K108</x:f>
        <x:v>largest</x:v>
      </x:c>
      <x:c r="L108" s="8" t="str">
        <x:f>'Evaluation Plan'!L108</x:f>
        <x:v>Held-out largest × green block — Put</x:v>
      </x:c>
      <x:c r="M108" s="8" t="str">
        <x:f>'Evaluation Plan'!M108</x:f>
        <x:v>green block</x:v>
      </x:c>
      <x:c r="N108" s="8" t="str">
        <x:f>'Evaluation Plan'!N108</x:f>
        <x:v>Right</x:v>
      </x:c>
      <x:c r="O108" s="8" t="n">
        <x:f>'Evaluation Plan'!O108</x:f>
        <x:v>2</x:v>
      </x:c>
      <x:c r="P108" s="8" t="n">
        <x:f>IF(ISBLANK('Evaluation Plan'!P108),"",'Evaluation Plan'!P108)</x:f>
        <x:v>16</x:v>
      </x:c>
      <x:c r="Q108" s="8" t="str">
        <x:f>'Evaluation Plan'!Q108</x:f>
        <x:v>Build the listed two-object scene and save a first-frame filename.</x:v>
      </x:c>
      <x:c r="R108" s="9" t="str">
        <x:f>'Evaluation Plan'!R108</x:f>
        <x:v>Primary missing cell. Training episode 1083 contains the same target trajectory but masks the size word with a direct identity prompt.</x:v>
      </x:c>
      <x:c r="S108" s="9" t="str">
        <x:f>IF(ISBLANK('Evaluation Plan'!S108),"",'Evaluation Plan'!S108)</x:f>
      </x:c>
    </x:row>
    <x:row r="109" ht="67.5" customHeight="1">
      <x:c r="A109" s="22" t="s">
        <x:v>591</x:v>
      </x:c>
      <x:c r="B109" s="8" t="n">
        <x:f>'Evaluation Plan'!B109</x:f>
        <x:v>107</x:v>
      </x:c>
      <x:c r="C109" s="9" t="str">
        <x:f>'Evaluation Plan'!C109</x:f>
        <x:v>Move the object that is smallest into the bowl.</x:v>
      </x:c>
      <x:c r="D109" s="9" t="str">
        <x:f>'Evaluation Plan'!D109</x:f>
        <x:v>Bowl: empty. Table, robot-left→robot-right: P1 juggling ball; P2 crushed Pepsi can. Adjacent centers 8 cm apart; row centered on the workspace; all objects fully visible and grasp paths clear.</x:v>
      </x:c>
      <x:c r="E109" s="8" t="str">
        <x:f>IF(ISBLANK('Evaluation Plan'!E109),"",'Evaluation Plan'!E109)</x:f>
      </x:c>
      <x:c r="F109" s="8" t="str">
        <x:f>'Evaluation Plan'!F109</x:f>
        <x:v>1108</x:v>
      </x:c>
      <x:c r="G109" s="8" t="str">
        <x:f>'Evaluation Plan'!G109</x:f>
        <x:v>MOVE juggling ball to bowl</x:v>
      </x:c>
      <x:c r="H109" s="23" t="s">
        <x:v>722</x:v>
      </x:c>
      <x:c r="I109" s="8" t="str">
        <x:f>'Evaluation Plan'!I109</x:f>
        <x:v>Concept/compositional transfer</x:v>
      </x:c>
      <x:c r="J109" s="8" t="str">
        <x:f>'Evaluation Plan'!J109</x:f>
        <x:v>SZ-CT-SJ24</x:v>
      </x:c>
      <x:c r="K109" s="8" t="str">
        <x:f>'Evaluation Plan'!K109</x:f>
        <x:v>smallest</x:v>
      </x:c>
      <x:c r="L109" s="8" t="str">
        <x:f>'Evaluation Plan'!L109</x:f>
        <x:v>Held-out smallest × juggling ball — Move</x:v>
      </x:c>
      <x:c r="M109" s="8" t="str">
        <x:f>'Evaluation Plan'!M109</x:f>
        <x:v>juggling ball</x:v>
      </x:c>
      <x:c r="N109" s="8" t="str">
        <x:f>'Evaluation Plan'!N109</x:f>
        <x:v>Left</x:v>
      </x:c>
      <x:c r="O109" s="8" t="n">
        <x:f>'Evaluation Plan'!O109</x:f>
        <x:v>2</x:v>
      </x:c>
      <x:c r="P109" s="8" t="n">
        <x:f>IF(ISBLANK('Evaluation Plan'!P109),"",'Evaluation Plan'!P109)</x:f>
        <x:v>8</x:v>
      </x:c>
      <x:c r="Q109" s="8" t="str">
        <x:f>'Evaluation Plan'!Q109</x:f>
        <x:v>Build the listed two-object scene and save a first-frame filename.</x:v>
      </x:c>
      <x:c r="R109" s="9" t="str">
        <x:f>'Evaluation Plan'!R109</x:f>
        <x:v>Primary missing cell. Training episode 1108 contains the same target trajectory but masks the size word with a direct identity prompt.</x:v>
      </x:c>
      <x:c r="S109" s="9" t="str">
        <x:f>IF(ISBLANK('Evaluation Plan'!S109),"",'Evaluation Plan'!S109)</x:f>
      </x:c>
    </x:row>
    <x:row r="110" ht="67.5" customHeight="1">
      <x:c r="A110" s="22" t="s">
        <x:v>591</x:v>
      </x:c>
      <x:c r="B110" s="8" t="n">
        <x:f>'Evaluation Plan'!B110</x:f>
        <x:v>108</x:v>
      </x:c>
      <x:c r="C110" s="9" t="str">
        <x:f>'Evaluation Plan'!C110</x:f>
        <x:v>Move the object that is largest into the bowl.</x:v>
      </x:c>
      <x:c r="D110" s="9" t="str">
        <x:f>'Evaluation Plan'!D110</x:f>
        <x:v>Bowl: empty. Table, robot-left→robot-right: P1 green block; P2 red pencil sharpener. Adjacent centers 8 cm apart; row shifted 4 cm away from the robot; all objects fully visible and grasp paths clear.</x:v>
      </x:c>
      <x:c r="E110" s="8" t="str">
        <x:f>IF(ISBLANK('Evaluation Plan'!E110),"",'Evaluation Plan'!E110)</x:f>
      </x:c>
      <x:c r="F110" s="8" t="str">
        <x:f>'Evaluation Plan'!F110</x:f>
        <x:v>1084</x:v>
      </x:c>
      <x:c r="G110" s="8" t="str">
        <x:f>'Evaluation Plan'!G110</x:f>
        <x:v>MOVE green block to bowl</x:v>
      </x:c>
      <x:c r="H110" s="9"/>
      <x:c r="I110" s="8" t="str">
        <x:f>'Evaluation Plan'!I110</x:f>
        <x:v>Concept/compositional transfer</x:v>
      </x:c>
      <x:c r="J110" s="8" t="str">
        <x:f>'Evaluation Plan'!J110</x:f>
        <x:v>SZ-CT-LG25</x:v>
      </x:c>
      <x:c r="K110" s="8" t="str">
        <x:f>'Evaluation Plan'!K110</x:f>
        <x:v>largest</x:v>
      </x:c>
      <x:c r="L110" s="8" t="str">
        <x:f>'Evaluation Plan'!L110</x:f>
        <x:v>Held-out largest × green block — Move</x:v>
      </x:c>
      <x:c r="M110" s="8" t="str">
        <x:f>'Evaluation Plan'!M110</x:f>
        <x:v>green block</x:v>
      </x:c>
      <x:c r="N110" s="8" t="str">
        <x:f>'Evaluation Plan'!N110</x:f>
        <x:v>Left</x:v>
      </x:c>
      <x:c r="O110" s="8" t="n">
        <x:f>'Evaluation Plan'!O110</x:f>
        <x:v>2</x:v>
      </x:c>
      <x:c r="P110" s="8" t="n">
        <x:f>IF(ISBLANK('Evaluation Plan'!P110),"",'Evaluation Plan'!P110)</x:f>
        <x:v>8</x:v>
      </x:c>
      <x:c r="Q110" s="8" t="str">
        <x:f>'Evaluation Plan'!Q110</x:f>
        <x:v>Build the listed two-object scene and save a first-frame filename.</x:v>
      </x:c>
      <x:c r="R110" s="9" t="str">
        <x:f>'Evaluation Plan'!R110</x:f>
        <x:v>Primary missing cell. Training episode 1084 contains the same target trajectory but masks the size word with a direct identity prompt.</x:v>
      </x:c>
      <x:c r="S110" s="9" t="str">
        <x:f>IF(ISBLANK('Evaluation Plan'!S110),"",'Evaluation Plan'!S110)</x:f>
      </x:c>
    </x:row>
    <x:row r="111" ht="67.5" customHeight="1">
      <x:c r="A111" s="22" t="s">
        <x:v>591</x:v>
      </x:c>
      <x:c r="B111" s="8" t="n">
        <x:f>'Evaluation Plan'!B111</x:f>
        <x:v>109</x:v>
      </x:c>
      <x:c r="C111" s="9" t="str">
        <x:f>'Evaluation Plan'!C111</x:f>
        <x:v>Pick up the smallest item and place it in the bowl.</x:v>
      </x:c>
      <x:c r="D111" s="9" t="str">
        <x:f>'Evaluation Plan'!D111</x:f>
        <x:v>Bowl: empty. Table, robot-left→robot-right: P1 crushed Pepsi can; P2 juggling ball. Adjacent centers 12 cm apart; row shifted 4 cm toward robot-left; all objects fully visible and grasp paths clear.</x:v>
      </x:c>
      <x:c r="E111" s="8" t="str">
        <x:f>IF(ISBLANK('Evaluation Plan'!E111),"",'Evaluation Plan'!E111)</x:f>
      </x:c>
      <x:c r="F111" s="8" t="str">
        <x:f>'Evaluation Plan'!F111</x:f>
        <x:v>1109</x:v>
      </x:c>
      <x:c r="G111" s="8" t="str">
        <x:f>'Evaluation Plan'!G111</x:f>
        <x:v>MOVE juggling ball to bowl</x:v>
      </x:c>
      <x:c r="H111" s="9"/>
      <x:c r="I111" s="8" t="str">
        <x:f>'Evaluation Plan'!I111</x:f>
        <x:v>Concept/compositional transfer</x:v>
      </x:c>
      <x:c r="J111" s="8" t="str">
        <x:f>'Evaluation Plan'!J111</x:f>
        <x:v>SZ-CT-SJ25</x:v>
      </x:c>
      <x:c r="K111" s="8" t="str">
        <x:f>'Evaluation Plan'!K111</x:f>
        <x:v>smallest</x:v>
      </x:c>
      <x:c r="L111" s="8" t="str">
        <x:f>'Evaluation Plan'!L111</x:f>
        <x:v>Held-out smallest × juggling ball — Pick up</x:v>
      </x:c>
      <x:c r="M111" s="8" t="str">
        <x:f>'Evaluation Plan'!M111</x:f>
        <x:v>juggling ball</x:v>
      </x:c>
      <x:c r="N111" s="8" t="str">
        <x:f>'Evaluation Plan'!N111</x:f>
        <x:v>Right</x:v>
      </x:c>
      <x:c r="O111" s="8" t="n">
        <x:f>'Evaluation Plan'!O111</x:f>
        <x:v>2</x:v>
      </x:c>
      <x:c r="P111" s="8" t="n">
        <x:f>IF(ISBLANK('Evaluation Plan'!P111),"",'Evaluation Plan'!P111)</x:f>
        <x:v>12</x:v>
      </x:c>
      <x:c r="Q111" s="8" t="str">
        <x:f>'Evaluation Plan'!Q111</x:f>
        <x:v>Build the listed two-object scene and save a first-frame filename.</x:v>
      </x:c>
      <x:c r="R111" s="9" t="str">
        <x:f>'Evaluation Plan'!R111</x:f>
        <x:v>Primary missing cell. Training episode 1109 contains the same target trajectory but masks the size word with a direct identity prompt.</x:v>
      </x:c>
      <x:c r="S111" s="9" t="str">
        <x:f>IF(ISBLANK('Evaluation Plan'!S111),"",'Evaluation Plan'!S111)</x:f>
      </x:c>
    </x:row>
    <x:row r="112" ht="67.5" customHeight="1">
      <x:c r="A112" s="22" t="s">
        <x:v>591</x:v>
      </x:c>
      <x:c r="B112" s="8" t="n">
        <x:f>'Evaluation Plan'!B112</x:f>
        <x:v>110</x:v>
      </x:c>
      <x:c r="C112" s="9" t="str">
        <x:f>'Evaluation Plan'!C112</x:f>
        <x:v>Move the object that is largest into the bowl.</x:v>
      </x:c>
      <x:c r="D112" s="9" t="str">
        <x:f>'Evaluation Plan'!D112</x:f>
        <x:v>Bowl: empty. Table, robot-left→robot-right: P1 airplane toy with propellers; P2 red pencil sharpener. Adjacent centers 8 cm apart; row centered on the workspace; all objects fully visible and grasp paths clear.</x:v>
      </x:c>
      <x:c r="E112" s="8" t="str">
        <x:f>IF(ISBLANK('Evaluation Plan'!E112),"",'Evaluation Plan'!E112)</x:f>
      </x:c>
      <x:c r="F112" s="8" t="str">
        <x:f>'Evaluation Plan'!F112</x:f>
        <x:v>airplane exposure 550</x:v>
      </x:c>
      <x:c r="G112" s="8" t="str">
        <x:f>'Evaluation Plan'!G112</x:f>
        <x:v>MOVE airplane toy with propellers to bowl</x:v>
      </x:c>
      <x:c r="H112" s="9"/>
      <x:c r="I112" s="8" t="str">
        <x:f>'Evaluation Plan'!I112</x:f>
        <x:v>Cross-task airplane reasoning</x:v>
      </x:c>
      <x:c r="J112" s="8" t="str">
        <x:f>'Evaluation Plan'!J112</x:f>
        <x:v>SZ-XA01</x:v>
      </x:c>
      <x:c r="K112" s="8" t="str">
        <x:f>'Evaluation Plan'!K112</x:f>
        <x:v>largest</x:v>
      </x:c>
      <x:c r="L112" s="8" t="str">
        <x:f>'Evaluation Plan'!L112</x:f>
        <x:v>Airplane is largest</x:v>
      </x:c>
      <x:c r="M112" s="8" t="str">
        <x:f>'Evaluation Plan'!M112</x:f>
        <x:v>airplane toy with propellers</x:v>
      </x:c>
      <x:c r="N112" s="8" t="str">
        <x:f>'Evaluation Plan'!N112</x:f>
        <x:v>Left</x:v>
      </x:c>
      <x:c r="O112" s="8" t="n">
        <x:f>'Evaluation Plan'!O112</x:f>
        <x:v>2</x:v>
      </x:c>
      <x:c r="P112" s="8" t="n">
        <x:f>IF(ISBLANK('Evaluation Plan'!P112),"",'Evaluation Plan'!P112)</x:f>
        <x:v>8</x:v>
      </x:c>
      <x:c r="Q112" s="8" t="str">
        <x:f>'Evaluation Plan'!Q112</x:f>
        <x:v>Build the listed airplane scene and save a first-frame filename.</x:v>
      </x:c>
      <x:c r="R112" s="9" t="str">
        <x:f>'Evaluation Plan'!R112</x:f>
        <x:v>The airplane is larger than the red pencil sharpener. It is known globally but never received size language in training.</x:v>
      </x:c>
      <x:c r="S112" s="9" t="str">
        <x:f>IF(ISBLANK('Evaluation Plan'!S112),"",'Evaluation Plan'!S112)</x:f>
      </x:c>
    </x:row>
    <x:row r="113" ht="67.5" customHeight="1">
      <x:c r="A113" s="33" t="s">
        <x:v>591</x:v>
      </x:c>
      <x:c r="B113" s="16" t="n">
        <x:f>'Evaluation Plan'!B113</x:f>
        <x:v>111</x:v>
      </x:c>
      <x:c r="C113" s="6" t="str">
        <x:f>'Evaluation Plan'!C113</x:f>
        <x:v>Put the smallest object in the bowl.</x:v>
      </x:c>
      <x:c r="D113" s="6" t="str">
        <x:f>'Evaluation Plan'!D113</x:f>
        <x:v>Bowl: empty. Table, robot-left→robot-right: P1 airplane toy with propellers; P2 red pencil sharpener. Adjacent centers 8 cm apart; row centered on the workspace; all objects fully visible and grasp paths clear.</x:v>
      </x:c>
      <x:c r="E113" s="16" t="n">
        <x:f>IF(ISBLANK('Evaluation Plan'!E113),"",'Evaluation Plan'!E113)</x:f>
        <x:v>110</x:v>
      </x:c>
      <x:c r="F113" s="16" t="str">
        <x:f>'Evaluation Plan'!F113</x:f>
        <x:v>1005; airplane exposure 550</x:v>
      </x:c>
      <x:c r="G113" s="16" t="str">
        <x:f>'Evaluation Plan'!G113</x:f>
        <x:v>MOVE red pencil sharpener to bowl</x:v>
      </x:c>
      <x:c r="H113" s="6"/>
      <x:c r="I113" s="16" t="str">
        <x:f>'Evaluation Plan'!I113</x:f>
        <x:v>Cross-task airplane counterfactual</x:v>
      </x:c>
      <x:c r="J113" s="16" t="str">
        <x:f>'Evaluation Plan'!J113</x:f>
        <x:v>SZ-XA01</x:v>
      </x:c>
      <x:c r="K113" s="16" t="str">
        <x:f>'Evaluation Plan'!K113</x:f>
        <x:v>smallest</x:v>
      </x:c>
      <x:c r="L113" s="16" t="str">
        <x:f>'Evaluation Plan'!L113</x:f>
        <x:v>Exact-scene opposite-comparison reasoning control</x:v>
      </x:c>
      <x:c r="M113" s="16" t="str">
        <x:f>'Evaluation Plan'!M113</x:f>
        <x:v>red pencil sharpener</x:v>
      </x:c>
      <x:c r="N113" s="16" t="str">
        <x:f>'Evaluation Plan'!N113</x:f>
        <x:v>Right</x:v>
      </x:c>
      <x:c r="O113" s="16" t="n">
        <x:f>'Evaluation Plan'!O113</x:f>
        <x:v>2</x:v>
      </x:c>
      <x:c r="P113" s="16" t="n">
        <x:f>IF(ISBLANK('Evaluation Plan'!P113),"",'Evaluation Plan'!P113)</x:f>
        <x:v>8</x:v>
      </x:c>
      <x:c r="Q113" s="16" t="str">
        <x:f>'Evaluation Plan'!Q113</x:f>
        <x:v>Reset the airplane; preserve the exact scene and reverse only the size comparison.</x:v>
      </x:c>
      <x:c r="R113" s="6" t="str">
        <x:f>'Evaluation Plan'!R113</x:f>
        <x:v>Reasoning-only counterfactual grounded by trained cell smallest × red pencil sharpener; an always-pick-airplane shortcut must fail.</x:v>
      </x:c>
      <x:c r="S113" s="6" t="str">
        <x:f>IF(ISBLANK('Evaluation Plan'!S113),"",'Evaluation Plan'!S113)</x:f>
      </x:c>
    </x:row>
    <x:row r="114" ht="67.5" customHeight="1">
      <x:c r="A114" s="22" t="s">
        <x:v>591</x:v>
      </x:c>
      <x:c r="B114" s="8" t="n">
        <x:f>'Evaluation Plan'!B114</x:f>
        <x:v>112</x:v>
      </x:c>
      <x:c r="C114" s="9" t="str">
        <x:f>'Evaluation Plan'!C114</x:f>
        <x:v>Pick up the smallest item and place it in the bowl.</x:v>
      </x:c>
      <x:c r="D114" s="9" t="str">
        <x:f>'Evaluation Plan'!D114</x:f>
        <x:v>Bowl: empty. Table, robot-left→robot-right: P1 airplane toy with propellers; P2 green block; P3 crushed Pepsi can. Adjacent centers 12 cm apart; row shifted 4 cm toward robot-right; all objects fully visible and grasp paths clear.</x:v>
      </x:c>
      <x:c r="E114" s="8" t="str">
        <x:f>IF(ISBLANK('Evaluation Plan'!E114),"",'Evaluation Plan'!E114)</x:f>
      </x:c>
      <x:c r="F114" s="8" t="str">
        <x:f>'Evaluation Plan'!F114</x:f>
        <x:v>airplane exposure 552</x:v>
      </x:c>
      <x:c r="G114" s="8" t="str">
        <x:f>'Evaluation Plan'!G114</x:f>
        <x:v>MOVE airplane toy with propellers to bowl</x:v>
      </x:c>
      <x:c r="H114" s="9"/>
      <x:c r="I114" s="8" t="str">
        <x:f>'Evaluation Plan'!I114</x:f>
        <x:v>Cross-task airplane reasoning</x:v>
      </x:c>
      <x:c r="J114" s="8" t="str">
        <x:f>'Evaluation Plan'!J114</x:f>
        <x:v>SZ-XA02</x:v>
      </x:c>
      <x:c r="K114" s="8" t="str">
        <x:f>'Evaluation Plan'!K114</x:f>
        <x:v>smallest</x:v>
      </x:c>
      <x:c r="L114" s="8" t="str">
        <x:f>'Evaluation Plan'!L114</x:f>
        <x:v>Airplane is smallest</x:v>
      </x:c>
      <x:c r="M114" s="8" t="str">
        <x:f>'Evaluation Plan'!M114</x:f>
        <x:v>airplane toy with propellers</x:v>
      </x:c>
      <x:c r="N114" s="8" t="str">
        <x:f>'Evaluation Plan'!N114</x:f>
        <x:v>Left</x:v>
      </x:c>
      <x:c r="O114" s="8" t="n">
        <x:f>'Evaluation Plan'!O114</x:f>
        <x:v>3</x:v>
      </x:c>
      <x:c r="P114" s="8" t="n">
        <x:f>IF(ISBLANK('Evaluation Plan'!P114),"",'Evaluation Plan'!P114)</x:f>
        <x:v>12</x:v>
      </x:c>
      <x:c r="Q114" s="8" t="str">
        <x:f>'Evaluation Plan'!Q114</x:f>
        <x:v>Build the listed airplane scene and save a first-frame filename.</x:v>
      </x:c>
      <x:c r="R114" s="9" t="str">
        <x:f>'Evaluation Plan'!R114</x:f>
        <x:v>The airplane is smaller than every listed table comparator. Green-block scenes also include a trained larger endpoint so the counterfactual does not test largest×green.</x:v>
      </x:c>
      <x:c r="S114" s="9" t="str">
        <x:f>IF(ISBLANK('Evaluation Plan'!S114),"",'Evaluation Plan'!S114)</x:f>
      </x:c>
    </x:row>
    <x:row r="115" ht="67.5" customHeight="1">
      <x:c r="A115" s="33" t="s">
        <x:v>591</x:v>
      </x:c>
      <x:c r="B115" s="16" t="n">
        <x:f>'Evaluation Plan'!B115</x:f>
        <x:v>113</x:v>
      </x:c>
      <x:c r="C115" s="6" t="str">
        <x:f>'Evaluation Plan'!C115</x:f>
        <x:v>Put the largest object in the bowl.</x:v>
      </x:c>
      <x:c r="D115" s="6" t="str">
        <x:f>'Evaluation Plan'!D115</x:f>
        <x:v>Bowl: empty. Table, robot-left→robot-right: P1 airplane toy with propellers; P2 green block; P3 crushed Pepsi can. Adjacent centers 12 cm apart; row shifted 4 cm toward robot-right; all objects fully visible and grasp paths clear.</x:v>
      </x:c>
      <x:c r="E115" s="16" t="n">
        <x:f>IF(ISBLANK('Evaluation Plan'!E115),"",'Evaluation Plan'!E115)</x:f>
        <x:v>112</x:v>
      </x:c>
      <x:c r="F115" s="16" t="str">
        <x:f>'Evaluation Plan'!F115</x:f>
        <x:v>1155; airplane exposure 552</x:v>
      </x:c>
      <x:c r="G115" s="16" t="str">
        <x:f>'Evaluation Plan'!G115</x:f>
        <x:v>MOVE crushed Pepsi can to bowl</x:v>
      </x:c>
      <x:c r="H115" s="6"/>
      <x:c r="I115" s="16" t="str">
        <x:f>'Evaluation Plan'!I115</x:f>
        <x:v>Cross-task airplane counterfactual</x:v>
      </x:c>
      <x:c r="J115" s="16" t="str">
        <x:f>'Evaluation Plan'!J115</x:f>
        <x:v>SZ-XA02</x:v>
      </x:c>
      <x:c r="K115" s="16" t="str">
        <x:f>'Evaluation Plan'!K115</x:f>
        <x:v>largest</x:v>
      </x:c>
      <x:c r="L115" s="16" t="str">
        <x:f>'Evaluation Plan'!L115</x:f>
        <x:v>Exact-scene opposite-comparison reasoning control</x:v>
      </x:c>
      <x:c r="M115" s="16" t="str">
        <x:f>'Evaluation Plan'!M115</x:f>
        <x:v>crushed Pepsi can</x:v>
      </x:c>
      <x:c r="N115" s="16" t="str">
        <x:f>'Evaluation Plan'!N115</x:f>
        <x:v>Right</x:v>
      </x:c>
      <x:c r="O115" s="16" t="n">
        <x:f>'Evaluation Plan'!O115</x:f>
        <x:v>3</x:v>
      </x:c>
      <x:c r="P115" s="16" t="n">
        <x:f>IF(ISBLANK('Evaluation Plan'!P115),"",'Evaluation Plan'!P115)</x:f>
        <x:v>12</x:v>
      </x:c>
      <x:c r="Q115" s="16" t="str">
        <x:f>'Evaluation Plan'!Q115</x:f>
        <x:v>Reset the airplane; preserve the exact scene and reverse only the size comparison.</x:v>
      </x:c>
      <x:c r="R115" s="6" t="str">
        <x:f>'Evaluation Plan'!R115</x:f>
        <x:v>Reasoning-only counterfactual grounded by trained cell largest × crushed Pepsi can; an always-pick-airplane shortcut must fail.</x:v>
      </x:c>
      <x:c r="S115" s="6" t="str">
        <x:f>IF(ISBLANK('Evaluation Plan'!S115),"",'Evaluation Plan'!S115)</x:f>
      </x:c>
    </x:row>
    <x:row r="116" ht="67.5" customHeight="1">
      <x:c r="A116" s="22" t="s">
        <x:v>591</x:v>
      </x:c>
      <x:c r="B116" s="8" t="n">
        <x:f>'Evaluation Plan'!B116</x:f>
        <x:v>114</x:v>
      </x:c>
      <x:c r="C116" s="9" t="str">
        <x:f>'Evaluation Plan'!C116</x:f>
        <x:v>Pick up the largest item and place it in the bowl.</x:v>
      </x:c>
      <x:c r="D116" s="9" t="str">
        <x:f>'Evaluation Plan'!D116</x:f>
        <x:v>Bowl: empty. Table, robot-left→robot-right: P1 red pencil sharpener; P2 airplane toy with propellers. Adjacent centers 12 cm apart; row shifted 4 cm toward robot-left; all objects fully visible and grasp paths clear.</x:v>
      </x:c>
      <x:c r="E116" s="8" t="str">
        <x:f>IF(ISBLANK('Evaluation Plan'!E116),"",'Evaluation Plan'!E116)</x:f>
      </x:c>
      <x:c r="F116" s="8" t="str">
        <x:f>'Evaluation Plan'!F116</x:f>
        <x:v>airplane exposure 554</x:v>
      </x:c>
      <x:c r="G116" s="8" t="str">
        <x:f>'Evaluation Plan'!G116</x:f>
        <x:v>MOVE airplane toy with propellers to bowl</x:v>
      </x:c>
      <x:c r="H116" s="9"/>
      <x:c r="I116" s="8" t="str">
        <x:f>'Evaluation Plan'!I116</x:f>
        <x:v>Cross-task airplane reasoning</x:v>
      </x:c>
      <x:c r="J116" s="8" t="str">
        <x:f>'Evaluation Plan'!J116</x:f>
        <x:v>SZ-XA03</x:v>
      </x:c>
      <x:c r="K116" s="8" t="str">
        <x:f>'Evaluation Plan'!K116</x:f>
        <x:v>largest</x:v>
      </x:c>
      <x:c r="L116" s="8" t="str">
        <x:f>'Evaluation Plan'!L116</x:f>
        <x:v>Airplane is largest</x:v>
      </x:c>
      <x:c r="M116" s="8" t="str">
        <x:f>'Evaluation Plan'!M116</x:f>
        <x:v>airplane toy with propellers</x:v>
      </x:c>
      <x:c r="N116" s="8" t="str">
        <x:f>'Evaluation Plan'!N116</x:f>
        <x:v>Right</x:v>
      </x:c>
      <x:c r="O116" s="8" t="n">
        <x:f>'Evaluation Plan'!O116</x:f>
        <x:v>2</x:v>
      </x:c>
      <x:c r="P116" s="8" t="n">
        <x:f>IF(ISBLANK('Evaluation Plan'!P116),"",'Evaluation Plan'!P116)</x:f>
        <x:v>12</x:v>
      </x:c>
      <x:c r="Q116" s="8" t="str">
        <x:f>'Evaluation Plan'!Q116</x:f>
        <x:v>Build the listed airplane scene and save a first-frame filename.</x:v>
      </x:c>
      <x:c r="R116" s="9" t="str">
        <x:f>'Evaluation Plan'!R116</x:f>
        <x:v>The airplane is larger than the red pencil sharpener. It is known globally but never received size language in training.</x:v>
      </x:c>
      <x:c r="S116" s="9" t="str">
        <x:f>IF(ISBLANK('Evaluation Plan'!S116),"",'Evaluation Plan'!S116)</x:f>
      </x:c>
    </x:row>
    <x:row r="117" ht="67.5" customHeight="1">
      <x:c r="A117" s="33" t="s">
        <x:v>591</x:v>
      </x:c>
      <x:c r="B117" s="16" t="n">
        <x:f>'Evaluation Plan'!B117</x:f>
        <x:v>115</x:v>
      </x:c>
      <x:c r="C117" s="6" t="str">
        <x:f>'Evaluation Plan'!C117</x:f>
        <x:v>Move the object that is smallest into the bowl.</x:v>
      </x:c>
      <x:c r="D117" s="6" t="str">
        <x:f>'Evaluation Plan'!D117</x:f>
        <x:v>Bowl: empty. Table, robot-left→robot-right: P1 red pencil sharpener; P2 airplane toy with propellers. Adjacent centers 12 cm apart; row shifted 4 cm toward robot-left; all objects fully visible and grasp paths clear.</x:v>
      </x:c>
      <x:c r="E117" s="16" t="n">
        <x:f>IF(ISBLANK('Evaluation Plan'!E117),"",'Evaluation Plan'!E117)</x:f>
        <x:v>114</x:v>
      </x:c>
      <x:c r="F117" s="16" t="str">
        <x:f>'Evaluation Plan'!F117</x:f>
        <x:v>1006; airplane exposure 554</x:v>
      </x:c>
      <x:c r="G117" s="16" t="str">
        <x:f>'Evaluation Plan'!G117</x:f>
        <x:v>MOVE red pencil sharpener to bowl</x:v>
      </x:c>
      <x:c r="H117" s="6"/>
      <x:c r="I117" s="16" t="str">
        <x:f>'Evaluation Plan'!I117</x:f>
        <x:v>Cross-task airplane counterfactual</x:v>
      </x:c>
      <x:c r="J117" s="16" t="str">
        <x:f>'Evaluation Plan'!J117</x:f>
        <x:v>SZ-XA03</x:v>
      </x:c>
      <x:c r="K117" s="16" t="str">
        <x:f>'Evaluation Plan'!K117</x:f>
        <x:v>smallest</x:v>
      </x:c>
      <x:c r="L117" s="16" t="str">
        <x:f>'Evaluation Plan'!L117</x:f>
        <x:v>Exact-scene opposite-comparison reasoning control</x:v>
      </x:c>
      <x:c r="M117" s="16" t="str">
        <x:f>'Evaluation Plan'!M117</x:f>
        <x:v>red pencil sharpener</x:v>
      </x:c>
      <x:c r="N117" s="16" t="str">
        <x:f>'Evaluation Plan'!N117</x:f>
        <x:v>Left</x:v>
      </x:c>
      <x:c r="O117" s="16" t="n">
        <x:f>'Evaluation Plan'!O117</x:f>
        <x:v>2</x:v>
      </x:c>
      <x:c r="P117" s="16" t="n">
        <x:f>IF(ISBLANK('Evaluation Plan'!P117),"",'Evaluation Plan'!P117)</x:f>
        <x:v>12</x:v>
      </x:c>
      <x:c r="Q117" s="16" t="str">
        <x:f>'Evaluation Plan'!Q117</x:f>
        <x:v>Reset the airplane; preserve the exact scene and reverse only the size comparison.</x:v>
      </x:c>
      <x:c r="R117" s="6" t="str">
        <x:f>'Evaluation Plan'!R117</x:f>
        <x:v>Reasoning-only counterfactual grounded by trained cell smallest × red pencil sharpener; an always-pick-airplane shortcut must fail.</x:v>
      </x:c>
      <x:c r="S117" s="6" t="str">
        <x:f>IF(ISBLANK('Evaluation Plan'!S117),"",'Evaluation Plan'!S117)</x:f>
      </x:c>
    </x:row>
    <x:row r="118" ht="67.5" customHeight="1">
      <x:c r="A118" s="22" t="s">
        <x:v>591</x:v>
      </x:c>
      <x:c r="B118" s="8" t="n">
        <x:f>'Evaluation Plan'!B118</x:f>
        <x:v>116</x:v>
      </x:c>
      <x:c r="C118" s="9" t="str">
        <x:f>'Evaluation Plan'!C118</x:f>
        <x:v>Put the smallest object in the bowl.</x:v>
      </x:c>
      <x:c r="D118" s="9" t="str">
        <x:f>'Evaluation Plan'!D118</x:f>
        <x:v>Bowl: empty. Table, robot-left→robot-right: P1 juggling ball; P2 green block; P3 airplane toy with propellers. Adjacent centers 16 cm apart; row shifted 4 cm toward the robot; all objects fully visible and grasp paths clear.</x:v>
      </x:c>
      <x:c r="E118" s="8" t="str">
        <x:f>IF(ISBLANK('Evaluation Plan'!E118),"",'Evaluation Plan'!E118)</x:f>
      </x:c>
      <x:c r="F118" s="8" t="str">
        <x:f>'Evaluation Plan'!F118</x:f>
        <x:v>airplane exposure 556</x:v>
      </x:c>
      <x:c r="G118" s="8" t="str">
        <x:f>'Evaluation Plan'!G118</x:f>
        <x:v>MOVE airplane toy with propellers to bowl</x:v>
      </x:c>
      <x:c r="H118" s="9"/>
      <x:c r="I118" s="8" t="str">
        <x:f>'Evaluation Plan'!I118</x:f>
        <x:v>Cross-task airplane reasoning</x:v>
      </x:c>
      <x:c r="J118" s="8" t="str">
        <x:f>'Evaluation Plan'!J118</x:f>
        <x:v>SZ-XA04</x:v>
      </x:c>
      <x:c r="K118" s="8" t="str">
        <x:f>'Evaluation Plan'!K118</x:f>
        <x:v>smallest</x:v>
      </x:c>
      <x:c r="L118" s="8" t="str">
        <x:f>'Evaluation Plan'!L118</x:f>
        <x:v>Airplane is smallest</x:v>
      </x:c>
      <x:c r="M118" s="8" t="str">
        <x:f>'Evaluation Plan'!M118</x:f>
        <x:v>airplane toy with propellers</x:v>
      </x:c>
      <x:c r="N118" s="8" t="str">
        <x:f>'Evaluation Plan'!N118</x:f>
        <x:v>Right</x:v>
      </x:c>
      <x:c r="O118" s="8" t="n">
        <x:f>'Evaluation Plan'!O118</x:f>
        <x:v>3</x:v>
      </x:c>
      <x:c r="P118" s="8" t="n">
        <x:f>IF(ISBLANK('Evaluation Plan'!P118),"",'Evaluation Plan'!P118)</x:f>
        <x:v>16</x:v>
      </x:c>
      <x:c r="Q118" s="8" t="str">
        <x:f>'Evaluation Plan'!Q118</x:f>
        <x:v>Build the listed airplane scene and save a first-frame filename.</x:v>
      </x:c>
      <x:c r="R118" s="9" t="str">
        <x:f>'Evaluation Plan'!R118</x:f>
        <x:v>The airplane is smaller than every listed table comparator. Green-block scenes also include a trained larger endpoint so the counterfactual does not test largest×green.</x:v>
      </x:c>
      <x:c r="S118" s="9" t="str">
        <x:f>IF(ISBLANK('Evaluation Plan'!S118),"",'Evaluation Plan'!S118)</x:f>
      </x:c>
    </x:row>
    <x:row r="119" ht="67.5" customHeight="1">
      <x:c r="A119" s="33" t="s">
        <x:v>591</x:v>
      </x:c>
      <x:c r="B119" s="16" t="n">
        <x:f>'Evaluation Plan'!B119</x:f>
        <x:v>117</x:v>
      </x:c>
      <x:c r="C119" s="6" t="str">
        <x:f>'Evaluation Plan'!C119</x:f>
        <x:v>Move the object that is largest into the bowl.</x:v>
      </x:c>
      <x:c r="D119" s="6" t="str">
        <x:f>'Evaluation Plan'!D119</x:f>
        <x:v>Bowl: empty. Table, robot-left→robot-right: P1 juggling ball; P2 green block; P3 airplane toy with propellers. Adjacent centers 16 cm apart; row shifted 4 cm toward the robot; all objects fully visible and grasp paths clear.</x:v>
      </x:c>
      <x:c r="E119" s="16" t="n">
        <x:f>IF(ISBLANK('Evaluation Plan'!E119),"",'Evaluation Plan'!E119)</x:f>
        <x:v>116</x:v>
      </x:c>
      <x:c r="F119" s="16" t="str">
        <x:f>'Evaluation Plan'!F119</x:f>
        <x:v>1126; airplane exposure 556</x:v>
      </x:c>
      <x:c r="G119" s="16" t="str">
        <x:f>'Evaluation Plan'!G119</x:f>
        <x:v>MOVE juggling ball to bowl</x:v>
      </x:c>
      <x:c r="H119" s="6"/>
      <x:c r="I119" s="16" t="str">
        <x:f>'Evaluation Plan'!I119</x:f>
        <x:v>Cross-task airplane counterfactual</x:v>
      </x:c>
      <x:c r="J119" s="16" t="str">
        <x:f>'Evaluation Plan'!J119</x:f>
        <x:v>SZ-XA04</x:v>
      </x:c>
      <x:c r="K119" s="16" t="str">
        <x:f>'Evaluation Plan'!K119</x:f>
        <x:v>largest</x:v>
      </x:c>
      <x:c r="L119" s="16" t="str">
        <x:f>'Evaluation Plan'!L119</x:f>
        <x:v>Exact-scene opposite-comparison reasoning control</x:v>
      </x:c>
      <x:c r="M119" s="16" t="str">
        <x:f>'Evaluation Plan'!M119</x:f>
        <x:v>juggling ball</x:v>
      </x:c>
      <x:c r="N119" s="16" t="str">
        <x:f>'Evaluation Plan'!N119</x:f>
        <x:v>Left</x:v>
      </x:c>
      <x:c r="O119" s="16" t="n">
        <x:f>'Evaluation Plan'!O119</x:f>
        <x:v>3</x:v>
      </x:c>
      <x:c r="P119" s="16" t="n">
        <x:f>IF(ISBLANK('Evaluation Plan'!P119),"",'Evaluation Plan'!P119)</x:f>
        <x:v>16</x:v>
      </x:c>
      <x:c r="Q119" s="16" t="str">
        <x:f>'Evaluation Plan'!Q119</x:f>
        <x:v>Reset the airplane; preserve the exact scene and reverse only the size comparison.</x:v>
      </x:c>
      <x:c r="R119" s="6" t="str">
        <x:f>'Evaluation Plan'!R119</x:f>
        <x:v>Reasoning-only counterfactual grounded by trained cell largest × juggling ball; an always-pick-airplane shortcut must fail.</x:v>
      </x:c>
      <x:c r="S119" s="6" t="str">
        <x:f>IF(ISBLANK('Evaluation Plan'!S119),"",'Evaluation Plan'!S119)</x:f>
      </x:c>
    </x:row>
    <x:row r="120" ht="67.5" customHeight="1">
      <x:c r="A120" s="22" t="s">
        <x:v>591</x:v>
      </x:c>
      <x:c r="B120" s="8" t="n">
        <x:f>'Evaluation Plan'!B120</x:f>
        <x:v>118</x:v>
      </x:c>
      <x:c r="C120" s="9" t="str">
        <x:f>'Evaluation Plan'!C120</x:f>
        <x:v>Put the largest object in the bowl.</x:v>
      </x:c>
      <x:c r="D120" s="9" t="str">
        <x:f>'Evaluation Plan'!D120</x:f>
        <x:v>Bowl: empty. Table, robot-left→robot-right: P1 airplane toy with propellers; P2 red pencil sharpener. Adjacent centers 16 cm apart; row shifted 4 cm toward robot-right; all objects fully visible and grasp paths clear.</x:v>
      </x:c>
      <x:c r="E120" s="8" t="str">
        <x:f>IF(ISBLANK('Evaluation Plan'!E120),"",'Evaluation Plan'!E120)</x:f>
      </x:c>
      <x:c r="F120" s="8" t="str">
        <x:f>'Evaluation Plan'!F120</x:f>
        <x:v>airplane exposure 558</x:v>
      </x:c>
      <x:c r="G120" s="8" t="str">
        <x:f>'Evaluation Plan'!G120</x:f>
        <x:v>MOVE airplane toy with propellers to bowl</x:v>
      </x:c>
      <x:c r="H120" s="9"/>
      <x:c r="I120" s="8" t="str">
        <x:f>'Evaluation Plan'!I120</x:f>
        <x:v>Cross-task airplane reasoning</x:v>
      </x:c>
      <x:c r="J120" s="8" t="str">
        <x:f>'Evaluation Plan'!J120</x:f>
        <x:v>SZ-XA05</x:v>
      </x:c>
      <x:c r="K120" s="8" t="str">
        <x:f>'Evaluation Plan'!K120</x:f>
        <x:v>largest</x:v>
      </x:c>
      <x:c r="L120" s="8" t="str">
        <x:f>'Evaluation Plan'!L120</x:f>
        <x:v>Airplane is largest</x:v>
      </x:c>
      <x:c r="M120" s="8" t="str">
        <x:f>'Evaluation Plan'!M120</x:f>
        <x:v>airplane toy with propellers</x:v>
      </x:c>
      <x:c r="N120" s="8" t="str">
        <x:f>'Evaluation Plan'!N120</x:f>
        <x:v>Left</x:v>
      </x:c>
      <x:c r="O120" s="8" t="n">
        <x:f>'Evaluation Plan'!O120</x:f>
        <x:v>2</x:v>
      </x:c>
      <x:c r="P120" s="8" t="n">
        <x:f>IF(ISBLANK('Evaluation Plan'!P120),"",'Evaluation Plan'!P120)</x:f>
        <x:v>16</x:v>
      </x:c>
      <x:c r="Q120" s="8" t="str">
        <x:f>'Evaluation Plan'!Q120</x:f>
        <x:v>Build the listed airplane scene and save a first-frame filename.</x:v>
      </x:c>
      <x:c r="R120" s="9" t="str">
        <x:f>'Evaluation Plan'!R120</x:f>
        <x:v>The airplane is larger than the red pencil sharpener. It is known globally but never received size language in training.</x:v>
      </x:c>
      <x:c r="S120" s="9" t="str">
        <x:f>IF(ISBLANK('Evaluation Plan'!S120),"",'Evaluation Plan'!S120)</x:f>
      </x:c>
    </x:row>
    <x:row r="121" ht="67.5" customHeight="1">
      <x:c r="A121" s="33" t="s">
        <x:v>591</x:v>
      </x:c>
      <x:c r="B121" s="16" t="n">
        <x:f>'Evaluation Plan'!B121</x:f>
        <x:v>119</x:v>
      </x:c>
      <x:c r="C121" s="6" t="str">
        <x:f>'Evaluation Plan'!C121</x:f>
        <x:v>Pick up the smallest item and place it in the bowl.</x:v>
      </x:c>
      <x:c r="D121" s="6" t="str">
        <x:f>'Evaluation Plan'!D121</x:f>
        <x:v>Bowl: empty. Table, robot-left→robot-right: P1 airplane toy with propellers; P2 red pencil sharpener. Adjacent centers 16 cm apart; row shifted 4 cm toward robot-right; all objects fully visible and grasp paths clear.</x:v>
      </x:c>
      <x:c r="E121" s="16" t="n">
        <x:f>IF(ISBLANK('Evaluation Plan'!E121),"",'Evaluation Plan'!E121)</x:f>
        <x:v>118</x:v>
      </x:c>
      <x:c r="F121" s="16" t="str">
        <x:f>'Evaluation Plan'!F121</x:f>
        <x:v>1007; airplane exposure 558</x:v>
      </x:c>
      <x:c r="G121" s="16" t="str">
        <x:f>'Evaluation Plan'!G121</x:f>
        <x:v>MOVE red pencil sharpener to bowl</x:v>
      </x:c>
      <x:c r="H121" s="6"/>
      <x:c r="I121" s="16" t="str">
        <x:f>'Evaluation Plan'!I121</x:f>
        <x:v>Cross-task airplane counterfactual</x:v>
      </x:c>
      <x:c r="J121" s="16" t="str">
        <x:f>'Evaluation Plan'!J121</x:f>
        <x:v>SZ-XA05</x:v>
      </x:c>
      <x:c r="K121" s="16" t="str">
        <x:f>'Evaluation Plan'!K121</x:f>
        <x:v>smallest</x:v>
      </x:c>
      <x:c r="L121" s="16" t="str">
        <x:f>'Evaluation Plan'!L121</x:f>
        <x:v>Exact-scene opposite-comparison reasoning control</x:v>
      </x:c>
      <x:c r="M121" s="16" t="str">
        <x:f>'Evaluation Plan'!M121</x:f>
        <x:v>red pencil sharpener</x:v>
      </x:c>
      <x:c r="N121" s="16" t="str">
        <x:f>'Evaluation Plan'!N121</x:f>
        <x:v>Right</x:v>
      </x:c>
      <x:c r="O121" s="16" t="n">
        <x:f>'Evaluation Plan'!O121</x:f>
        <x:v>2</x:v>
      </x:c>
      <x:c r="P121" s="16" t="n">
        <x:f>IF(ISBLANK('Evaluation Plan'!P121),"",'Evaluation Plan'!P121)</x:f>
        <x:v>16</x:v>
      </x:c>
      <x:c r="Q121" s="16" t="str">
        <x:f>'Evaluation Plan'!Q121</x:f>
        <x:v>Reset the airplane; preserve the exact scene and reverse only the size comparison.</x:v>
      </x:c>
      <x:c r="R121" s="6" t="str">
        <x:f>'Evaluation Plan'!R121</x:f>
        <x:v>Reasoning-only counterfactual grounded by trained cell smallest × red pencil sharpener; an always-pick-airplane shortcut must fail.</x:v>
      </x:c>
      <x:c r="S121" s="6" t="str">
        <x:f>IF(ISBLANK('Evaluation Plan'!S121),"",'Evaluation Plan'!S121)</x:f>
      </x:c>
    </x:row>
    <x:row r="122" ht="67.5" customHeight="1">
      <x:c r="A122" s="22" t="s">
        <x:v>693</x:v>
      </x:c>
      <x:c r="B122" s="8" t="n">
        <x:f>'Evaluation Plan'!B122</x:f>
        <x:v>120</x:v>
      </x:c>
      <x:c r="C122" s="9" t="str">
        <x:f>'Evaluation Plan'!C122</x:f>
        <x:v>Move the object that is smallest into the bowl.</x:v>
      </x:c>
      <x:c r="D122" s="9" t="str">
        <x:f>'Evaluation Plan'!D122</x:f>
        <x:v>Bowl: empty. Table, robot-left→robot-right: P1 green block; P2 crushed Pepsi can; P3 airplane toy with propellers. Adjacent centers 8 cm apart; row shifted 4 cm away from the robot; all objects fully visible and grasp paths clear.</x:v>
      </x:c>
      <x:c r="E122" s="8" t="str">
        <x:f>IF(ISBLANK('Evaluation Plan'!E122),"",'Evaluation Plan'!E122)</x:f>
      </x:c>
      <x:c r="F122" s="8" t="str">
        <x:f>'Evaluation Plan'!F122</x:f>
        <x:v>airplane exposure 560</x:v>
      </x:c>
      <x:c r="G122" s="8" t="str">
        <x:f>'Evaluation Plan'!G122</x:f>
        <x:v>MOVE airplane toy with propellers to bowl</x:v>
      </x:c>
      <x:c r="H122" s="23" t="s">
        <x:v>723</x:v>
      </x:c>
      <x:c r="I122" s="8" t="str">
        <x:f>'Evaluation Plan'!I122</x:f>
        <x:v>Cross-task airplane reasoning</x:v>
      </x:c>
      <x:c r="J122" s="8" t="str">
        <x:f>'Evaluation Plan'!J122</x:f>
        <x:v>SZ-XA06</x:v>
      </x:c>
      <x:c r="K122" s="8" t="str">
        <x:f>'Evaluation Plan'!K122</x:f>
        <x:v>smallest</x:v>
      </x:c>
      <x:c r="L122" s="8" t="str">
        <x:f>'Evaluation Plan'!L122</x:f>
        <x:v>Airplane is smallest</x:v>
      </x:c>
      <x:c r="M122" s="8" t="str">
        <x:f>'Evaluation Plan'!M122</x:f>
        <x:v>airplane toy with propellers</x:v>
      </x:c>
      <x:c r="N122" s="8" t="str">
        <x:f>'Evaluation Plan'!N122</x:f>
        <x:v>Right</x:v>
      </x:c>
      <x:c r="O122" s="8" t="n">
        <x:f>'Evaluation Plan'!O122</x:f>
        <x:v>3</x:v>
      </x:c>
      <x:c r="P122" s="8" t="n">
        <x:f>IF(ISBLANK('Evaluation Plan'!P122),"",'Evaluation Plan'!P122)</x:f>
        <x:v>8</x:v>
      </x:c>
      <x:c r="Q122" s="8" t="str">
        <x:f>'Evaluation Plan'!Q122</x:f>
        <x:v>Build the listed airplane scene and save a first-frame filename.</x:v>
      </x:c>
      <x:c r="R122" s="9" t="str">
        <x:f>'Evaluation Plan'!R122</x:f>
        <x:v>The airplane is smaller than every listed table comparator. Green-block scenes also include a trained larger endpoint so the counterfactual does not test largest×green.</x:v>
      </x:c>
      <x:c r="S122" s="9" t="str">
        <x:f>IF(ISBLANK('Evaluation Plan'!S122),"",'Evaluation Plan'!S122)</x:f>
      </x:c>
    </x:row>
    <x:row r="123" ht="67.5" customHeight="1">
      <x:c r="A123" s="33" t="s">
        <x:v>591</x:v>
      </x:c>
      <x:c r="B123" s="16" t="n">
        <x:f>'Evaluation Plan'!B123</x:f>
        <x:v>121</x:v>
      </x:c>
      <x:c r="C123" s="6" t="str">
        <x:f>'Evaluation Plan'!C123</x:f>
        <x:v>Pick up the largest item and place it in the bowl.</x:v>
      </x:c>
      <x:c r="D123" s="6" t="str">
        <x:f>'Evaluation Plan'!D123</x:f>
        <x:v>Bowl: empty. Table, robot-left→robot-right: P1 green block; P2 crushed Pepsi can; P3 airplane toy with propellers. Adjacent centers 8 cm apart; row shifted 4 cm away from the robot; all objects fully visible and grasp paths clear.</x:v>
      </x:c>
      <x:c r="E123" s="16" t="n">
        <x:f>IF(ISBLANK('Evaluation Plan'!E123),"",'Evaluation Plan'!E123)</x:f>
        <x:v>120</x:v>
      </x:c>
      <x:c r="F123" s="16" t="str">
        <x:f>'Evaluation Plan'!F123</x:f>
        <x:v>1157; airplane exposure 560</x:v>
      </x:c>
      <x:c r="G123" s="16" t="str">
        <x:f>'Evaluation Plan'!G123</x:f>
        <x:v>MOVE crushed Pepsi can to bowl</x:v>
      </x:c>
      <x:c r="H123" s="6"/>
      <x:c r="I123" s="16" t="str">
        <x:f>'Evaluation Plan'!I123</x:f>
        <x:v>Cross-task airplane counterfactual</x:v>
      </x:c>
      <x:c r="J123" s="16" t="str">
        <x:f>'Evaluation Plan'!J123</x:f>
        <x:v>SZ-XA06</x:v>
      </x:c>
      <x:c r="K123" s="16" t="str">
        <x:f>'Evaluation Plan'!K123</x:f>
        <x:v>largest</x:v>
      </x:c>
      <x:c r="L123" s="16" t="str">
        <x:f>'Evaluation Plan'!L123</x:f>
        <x:v>Exact-scene opposite-comparison reasoning control</x:v>
      </x:c>
      <x:c r="M123" s="16" t="str">
        <x:f>'Evaluation Plan'!M123</x:f>
        <x:v>crushed Pepsi can</x:v>
      </x:c>
      <x:c r="N123" s="16" t="str">
        <x:f>'Evaluation Plan'!N123</x:f>
        <x:v>Center</x:v>
      </x:c>
      <x:c r="O123" s="16" t="n">
        <x:f>'Evaluation Plan'!O123</x:f>
        <x:v>3</x:v>
      </x:c>
      <x:c r="P123" s="16" t="n">
        <x:f>IF(ISBLANK('Evaluation Plan'!P123),"",'Evaluation Plan'!P123)</x:f>
        <x:v>8</x:v>
      </x:c>
      <x:c r="Q123" s="16" t="str">
        <x:f>'Evaluation Plan'!Q123</x:f>
        <x:v>Reset the airplane; preserve the exact scene and reverse only the size comparison.</x:v>
      </x:c>
      <x:c r="R123" s="6" t="str">
        <x:f>'Evaluation Plan'!R123</x:f>
        <x:v>Reasoning-only counterfactual grounded by trained cell largest × crushed Pepsi can; an always-pick-airplane shortcut must fail.</x:v>
      </x:c>
      <x:c r="S123" s="6" t="str">
        <x:f>IF(ISBLANK('Evaluation Plan'!S123),"",'Evaluation Plan'!S123)</x:f>
      </x:c>
    </x:row>
    <x:row r="124" ht="67.5" customHeight="1">
      <x:c r="A124" s="22" t="s">
        <x:v>591</x:v>
      </x:c>
      <x:c r="B124" s="8" t="n">
        <x:f>'Evaluation Plan'!B124</x:f>
        <x:v>122</x:v>
      </x:c>
      <x:c r="C124" s="9" t="str">
        <x:f>'Evaluation Plan'!C124</x:f>
        <x:v>Move the object that is largest into the bowl.</x:v>
      </x:c>
      <x:c r="D124" s="9" t="str">
        <x:f>'Evaluation Plan'!D124</x:f>
        <x:v>Bowl: empty. Table, robot-left→robot-right: P1 red pencil sharpener; P2 airplane toy with propellers. Adjacent centers 8 cm apart; row shifted 4 cm toward the robot; all objects fully visible and grasp paths clear.</x:v>
      </x:c>
      <x:c r="E124" s="8" t="str">
        <x:f>IF(ISBLANK('Evaluation Plan'!E124),"",'Evaluation Plan'!E124)</x:f>
      </x:c>
      <x:c r="F124" s="8" t="str">
        <x:f>'Evaluation Plan'!F124</x:f>
        <x:v>airplane exposure 562</x:v>
      </x:c>
      <x:c r="G124" s="8" t="str">
        <x:f>'Evaluation Plan'!G124</x:f>
        <x:v>MOVE airplane toy with propellers to bowl</x:v>
      </x:c>
      <x:c r="H124" s="9"/>
      <x:c r="I124" s="8" t="str">
        <x:f>'Evaluation Plan'!I124</x:f>
        <x:v>Cross-task airplane reasoning</x:v>
      </x:c>
      <x:c r="J124" s="8" t="str">
        <x:f>'Evaluation Plan'!J124</x:f>
        <x:v>SZ-XA07</x:v>
      </x:c>
      <x:c r="K124" s="8" t="str">
        <x:f>'Evaluation Plan'!K124</x:f>
        <x:v>largest</x:v>
      </x:c>
      <x:c r="L124" s="8" t="str">
        <x:f>'Evaluation Plan'!L124</x:f>
        <x:v>Airplane is largest</x:v>
      </x:c>
      <x:c r="M124" s="8" t="str">
        <x:f>'Evaluation Plan'!M124</x:f>
        <x:v>airplane toy with propellers</x:v>
      </x:c>
      <x:c r="N124" s="8" t="str">
        <x:f>'Evaluation Plan'!N124</x:f>
        <x:v>Right</x:v>
      </x:c>
      <x:c r="O124" s="8" t="n">
        <x:f>'Evaluation Plan'!O124</x:f>
        <x:v>2</x:v>
      </x:c>
      <x:c r="P124" s="8" t="n">
        <x:f>IF(ISBLANK('Evaluation Plan'!P124),"",'Evaluation Plan'!P124)</x:f>
        <x:v>8</x:v>
      </x:c>
      <x:c r="Q124" s="8" t="str">
        <x:f>'Evaluation Plan'!Q124</x:f>
        <x:v>Build the listed airplane scene and save a first-frame filename.</x:v>
      </x:c>
      <x:c r="R124" s="9" t="str">
        <x:f>'Evaluation Plan'!R124</x:f>
        <x:v>The airplane is larger than the red pencil sharpener. It is known globally but never received size language in training.</x:v>
      </x:c>
      <x:c r="S124" s="9" t="str">
        <x:f>IF(ISBLANK('Evaluation Plan'!S124),"",'Evaluation Plan'!S124)</x:f>
      </x:c>
    </x:row>
    <x:row r="125" ht="67.5" customHeight="1">
      <x:c r="A125" s="33" t="s">
        <x:v>693</x:v>
      </x:c>
      <x:c r="B125" s="16" t="n">
        <x:f>'Evaluation Plan'!B125</x:f>
        <x:v>123</x:v>
      </x:c>
      <x:c r="C125" s="6" t="str">
        <x:f>'Evaluation Plan'!C125</x:f>
        <x:v>Put the smallest object in the bowl.</x:v>
      </x:c>
      <x:c r="D125" s="6" t="str">
        <x:f>'Evaluation Plan'!D125</x:f>
        <x:v>Bowl: empty. Table, robot-left→robot-right: P1 red pencil sharpener; P2 airplane toy with propellers. Adjacent centers 8 cm apart; row shifted 4 cm toward the robot; all objects fully visible and grasp paths clear.</x:v>
      </x:c>
      <x:c r="E125" s="16" t="n">
        <x:f>IF(ISBLANK('Evaluation Plan'!E125),"",'Evaluation Plan'!E125)</x:f>
        <x:v>122</x:v>
      </x:c>
      <x:c r="F125" s="16" t="str">
        <x:f>'Evaluation Plan'!F125</x:f>
        <x:v>1008; airplane exposure 562</x:v>
      </x:c>
      <x:c r="G125" s="16" t="str">
        <x:f>'Evaluation Plan'!G125</x:f>
        <x:v>MOVE red pencil sharpener to bowl</x:v>
      </x:c>
      <x:c r="H125" s="23" t="s">
        <x:v>724</x:v>
      </x:c>
      <x:c r="I125" s="16" t="str">
        <x:f>'Evaluation Plan'!I125</x:f>
        <x:v>Cross-task airplane counterfactual</x:v>
      </x:c>
      <x:c r="J125" s="16" t="str">
        <x:f>'Evaluation Plan'!J125</x:f>
        <x:v>SZ-XA07</x:v>
      </x:c>
      <x:c r="K125" s="16" t="str">
        <x:f>'Evaluation Plan'!K125</x:f>
        <x:v>smallest</x:v>
      </x:c>
      <x:c r="L125" s="16" t="str">
        <x:f>'Evaluation Plan'!L125</x:f>
        <x:v>Exact-scene opposite-comparison reasoning control</x:v>
      </x:c>
      <x:c r="M125" s="16" t="str">
        <x:f>'Evaluation Plan'!M125</x:f>
        <x:v>red pencil sharpener</x:v>
      </x:c>
      <x:c r="N125" s="16" t="str">
        <x:f>'Evaluation Plan'!N125</x:f>
        <x:v>Left</x:v>
      </x:c>
      <x:c r="O125" s="16" t="n">
        <x:f>'Evaluation Plan'!O125</x:f>
        <x:v>2</x:v>
      </x:c>
      <x:c r="P125" s="16" t="n">
        <x:f>IF(ISBLANK('Evaluation Plan'!P125),"",'Evaluation Plan'!P125)</x:f>
        <x:v>8</x:v>
      </x:c>
      <x:c r="Q125" s="16" t="str">
        <x:f>'Evaluation Plan'!Q125</x:f>
        <x:v>Reset the airplane; preserve the exact scene and reverse only the size comparison.</x:v>
      </x:c>
      <x:c r="R125" s="6" t="str">
        <x:f>'Evaluation Plan'!R125</x:f>
        <x:v>Reasoning-only counterfactual grounded by trained cell smallest × red pencil sharpener; an always-pick-airplane shortcut must fail.</x:v>
      </x:c>
      <x:c r="S125" s="6" t="str">
        <x:f>IF(ISBLANK('Evaluation Plan'!S125),"",'Evaluation Plan'!S125)</x:f>
      </x:c>
    </x:row>
    <x:row r="126" ht="67.5" customHeight="1">
      <x:c r="A126" s="22" t="s">
        <x:v>693</x:v>
      </x:c>
      <x:c r="B126" s="8" t="n">
        <x:f>'Evaluation Plan'!B126</x:f>
        <x:v>124</x:v>
      </x:c>
      <x:c r="C126" s="9" t="str">
        <x:f>'Evaluation Plan'!C126</x:f>
        <x:v>Pick up the smallest item and place it in the bowl.</x:v>
      </x:c>
      <x:c r="D126" s="9" t="str">
        <x:f>'Evaluation Plan'!D126</x:f>
        <x:v>Bowl: empty. Table, robot-left→robot-right: P1 airplane toy with propellers; P2 green block; P3 juggling ball. Adjacent centers 12 cm apart; row centered on the workspace; all objects fully visible and grasp paths clear.</x:v>
      </x:c>
      <x:c r="E126" s="8" t="str">
        <x:f>IF(ISBLANK('Evaluation Plan'!E126),"",'Evaluation Plan'!E126)</x:f>
      </x:c>
      <x:c r="F126" s="8" t="str">
        <x:f>'Evaluation Plan'!F126</x:f>
        <x:v>airplane exposure 564</x:v>
      </x:c>
      <x:c r="G126" s="8" t="str">
        <x:f>'Evaluation Plan'!G126</x:f>
        <x:v>MOVE airplane toy with propellers to bowl</x:v>
      </x:c>
      <x:c r="H126" s="23" t="s">
        <x:v>725</x:v>
      </x:c>
      <x:c r="I126" s="8" t="str">
        <x:f>'Evaluation Plan'!I126</x:f>
        <x:v>Cross-task airplane reasoning</x:v>
      </x:c>
      <x:c r="J126" s="8" t="str">
        <x:f>'Evaluation Plan'!J126</x:f>
        <x:v>SZ-XA08</x:v>
      </x:c>
      <x:c r="K126" s="8" t="str">
        <x:f>'Evaluation Plan'!K126</x:f>
        <x:v>smallest</x:v>
      </x:c>
      <x:c r="L126" s="8" t="str">
        <x:f>'Evaluation Plan'!L126</x:f>
        <x:v>Airplane is smallest</x:v>
      </x:c>
      <x:c r="M126" s="8" t="str">
        <x:f>'Evaluation Plan'!M126</x:f>
        <x:v>airplane toy with propellers</x:v>
      </x:c>
      <x:c r="N126" s="8" t="str">
        <x:f>'Evaluation Plan'!N126</x:f>
        <x:v>Left</x:v>
      </x:c>
      <x:c r="O126" s="8" t="n">
        <x:f>'Evaluation Plan'!O126</x:f>
        <x:v>3</x:v>
      </x:c>
      <x:c r="P126" s="8" t="n">
        <x:f>IF(ISBLANK('Evaluation Plan'!P126),"",'Evaluation Plan'!P126)</x:f>
        <x:v>12</x:v>
      </x:c>
      <x:c r="Q126" s="8" t="str">
        <x:f>'Evaluation Plan'!Q126</x:f>
        <x:v>Build the listed airplane scene and save a first-frame filename.</x:v>
      </x:c>
      <x:c r="R126" s="9" t="str">
        <x:f>'Evaluation Plan'!R126</x:f>
        <x:v>The airplane is smaller than every listed table comparator. Green-block scenes also include a trained larger endpoint so the counterfactual does not test largest×green.</x:v>
      </x:c>
      <x:c r="S126" s="9" t="str">
        <x:f>IF(ISBLANK('Evaluation Plan'!S126),"",'Evaluation Plan'!S126)</x:f>
      </x:c>
    </x:row>
    <x:row r="127" ht="67.5" customHeight="1">
      <x:c r="A127" s="33" t="s">
        <x:v>591</x:v>
      </x:c>
      <x:c r="B127" s="16" t="n">
        <x:f>'Evaluation Plan'!B127</x:f>
        <x:v>125</x:v>
      </x:c>
      <x:c r="C127" s="6" t="str">
        <x:f>'Evaluation Plan'!C127</x:f>
        <x:v>Put the largest object in the bowl.</x:v>
      </x:c>
      <x:c r="D127" s="6" t="str">
        <x:f>'Evaluation Plan'!D127</x:f>
        <x:v>Bowl: empty. Table, robot-left→robot-right: P1 airplane toy with propellers; P2 green block; P3 juggling ball. Adjacent centers 12 cm apart; row centered on the workspace; all objects fully visible and grasp paths clear.</x:v>
      </x:c>
      <x:c r="E127" s="16" t="n">
        <x:f>IF(ISBLANK('Evaluation Plan'!E127),"",'Evaluation Plan'!E127)</x:f>
        <x:v>124</x:v>
      </x:c>
      <x:c r="F127" s="16" t="str">
        <x:f>'Evaluation Plan'!F127</x:f>
        <x:v>1128; airplane exposure 564</x:v>
      </x:c>
      <x:c r="G127" s="16" t="str">
        <x:f>'Evaluation Plan'!G127</x:f>
        <x:v>MOVE juggling ball to bowl</x:v>
      </x:c>
      <x:c r="H127" s="6"/>
      <x:c r="I127" s="16" t="str">
        <x:f>'Evaluation Plan'!I127</x:f>
        <x:v>Cross-task airplane counterfactual</x:v>
      </x:c>
      <x:c r="J127" s="16" t="str">
        <x:f>'Evaluation Plan'!J127</x:f>
        <x:v>SZ-XA08</x:v>
      </x:c>
      <x:c r="K127" s="16" t="str">
        <x:f>'Evaluation Plan'!K127</x:f>
        <x:v>largest</x:v>
      </x:c>
      <x:c r="L127" s="16" t="str">
        <x:f>'Evaluation Plan'!L127</x:f>
        <x:v>Exact-scene opposite-comparison reasoning control</x:v>
      </x:c>
      <x:c r="M127" s="16" t="str">
        <x:f>'Evaluation Plan'!M127</x:f>
        <x:v>juggling ball</x:v>
      </x:c>
      <x:c r="N127" s="16" t="str">
        <x:f>'Evaluation Plan'!N127</x:f>
        <x:v>Right</x:v>
      </x:c>
      <x:c r="O127" s="16" t="n">
        <x:f>'Evaluation Plan'!O127</x:f>
        <x:v>3</x:v>
      </x:c>
      <x:c r="P127" s="16" t="n">
        <x:f>IF(ISBLANK('Evaluation Plan'!P127),"",'Evaluation Plan'!P127)</x:f>
        <x:v>12</x:v>
      </x:c>
      <x:c r="Q127" s="16" t="str">
        <x:f>'Evaluation Plan'!Q127</x:f>
        <x:v>Reset the airplane; preserve the exact scene and reverse only the size comparison.</x:v>
      </x:c>
      <x:c r="R127" s="6" t="str">
        <x:f>'Evaluation Plan'!R127</x:f>
        <x:v>Reasoning-only counterfactual grounded by trained cell largest × juggling ball; an always-pick-airplane shortcut must fail.</x:v>
      </x:c>
      <x:c r="S127" s="6" t="str">
        <x:f>IF(ISBLANK('Evaluation Plan'!S127),"",'Evaluation Plan'!S127)</x:f>
      </x:c>
    </x:row>
    <x:row r="128" ht="67.5" customHeight="1">
      <x:c r="A128" s="22" t="s">
        <x:v>591</x:v>
      </x:c>
      <x:c r="B128" s="8" t="n">
        <x:f>'Evaluation Plan'!B128</x:f>
        <x:v>126</x:v>
      </x:c>
      <x:c r="C128" s="9" t="str">
        <x:f>'Evaluation Plan'!C128</x:f>
        <x:v>Pick up the largest item and place it in the bowl.</x:v>
      </x:c>
      <x:c r="D128" s="9" t="str">
        <x:f>'Evaluation Plan'!D128</x:f>
        <x:v>Bowl: empty. Table, robot-left→robot-right: P1 airplane toy with propellers; P2 red pencil sharpener. Adjacent centers 12 cm apart; row shifted 4 cm away from the robot; all objects fully visible and grasp paths clear.</x:v>
      </x:c>
      <x:c r="E128" s="8" t="str">
        <x:f>IF(ISBLANK('Evaluation Plan'!E128),"",'Evaluation Plan'!E128)</x:f>
      </x:c>
      <x:c r="F128" s="8" t="str">
        <x:f>'Evaluation Plan'!F128</x:f>
        <x:v>airplane exposure 566</x:v>
      </x:c>
      <x:c r="G128" s="8" t="str">
        <x:f>'Evaluation Plan'!G128</x:f>
        <x:v>MOVE airplane toy with propellers to bowl</x:v>
      </x:c>
      <x:c r="H128" s="9"/>
      <x:c r="I128" s="8" t="str">
        <x:f>'Evaluation Plan'!I128</x:f>
        <x:v>Cross-task airplane reasoning</x:v>
      </x:c>
      <x:c r="J128" s="8" t="str">
        <x:f>'Evaluation Plan'!J128</x:f>
        <x:v>SZ-XA09</x:v>
      </x:c>
      <x:c r="K128" s="8" t="str">
        <x:f>'Evaluation Plan'!K128</x:f>
        <x:v>largest</x:v>
      </x:c>
      <x:c r="L128" s="8" t="str">
        <x:f>'Evaluation Plan'!L128</x:f>
        <x:v>Airplane is largest</x:v>
      </x:c>
      <x:c r="M128" s="8" t="str">
        <x:f>'Evaluation Plan'!M128</x:f>
        <x:v>airplane toy with propellers</x:v>
      </x:c>
      <x:c r="N128" s="8" t="str">
        <x:f>'Evaluation Plan'!N128</x:f>
        <x:v>Left</x:v>
      </x:c>
      <x:c r="O128" s="8" t="n">
        <x:f>'Evaluation Plan'!O128</x:f>
        <x:v>2</x:v>
      </x:c>
      <x:c r="P128" s="8" t="n">
        <x:f>IF(ISBLANK('Evaluation Plan'!P128),"",'Evaluation Plan'!P128)</x:f>
        <x:v>12</x:v>
      </x:c>
      <x:c r="Q128" s="8" t="str">
        <x:f>'Evaluation Plan'!Q128</x:f>
        <x:v>Build the listed airplane scene and save a first-frame filename.</x:v>
      </x:c>
      <x:c r="R128" s="9" t="str">
        <x:f>'Evaluation Plan'!R128</x:f>
        <x:v>The airplane is larger than the red pencil sharpener. It is known globally but never received size language in training.</x:v>
      </x:c>
      <x:c r="S128" s="9" t="str">
        <x:f>IF(ISBLANK('Evaluation Plan'!S128),"",'Evaluation Plan'!S128)</x:f>
      </x:c>
    </x:row>
    <x:row r="129" ht="67.5" customHeight="1">
      <x:c r="A129" s="33" t="s">
        <x:v>591</x:v>
      </x:c>
      <x:c r="B129" s="16" t="n">
        <x:f>'Evaluation Plan'!B129</x:f>
        <x:v>127</x:v>
      </x:c>
      <x:c r="C129" s="6" t="str">
        <x:f>'Evaluation Plan'!C129</x:f>
        <x:v>Move the object that is smallest into the bowl.</x:v>
      </x:c>
      <x:c r="D129" s="6" t="str">
        <x:f>'Evaluation Plan'!D129</x:f>
        <x:v>Bowl: empty. Table, robot-left→robot-right: P1 airplane toy with propellers; P2 red pencil sharpener. Adjacent centers 12 cm apart; row shifted 4 cm away from the robot; all objects fully visible and grasp paths clear.</x:v>
      </x:c>
      <x:c r="E129" s="16" t="n">
        <x:f>IF(ISBLANK('Evaluation Plan'!E129),"",'Evaluation Plan'!E129)</x:f>
        <x:v>126</x:v>
      </x:c>
      <x:c r="F129" s="16" t="str">
        <x:f>'Evaluation Plan'!F129</x:f>
        <x:v>1009; airplane exposure 566</x:v>
      </x:c>
      <x:c r="G129" s="16" t="str">
        <x:f>'Evaluation Plan'!G129</x:f>
        <x:v>MOVE red pencil sharpener to bowl</x:v>
      </x:c>
      <x:c r="H129" s="6"/>
      <x:c r="I129" s="16" t="str">
        <x:f>'Evaluation Plan'!I129</x:f>
        <x:v>Cross-task airplane counterfactual</x:v>
      </x:c>
      <x:c r="J129" s="16" t="str">
        <x:f>'Evaluation Plan'!J129</x:f>
        <x:v>SZ-XA09</x:v>
      </x:c>
      <x:c r="K129" s="16" t="str">
        <x:f>'Evaluation Plan'!K129</x:f>
        <x:v>smallest</x:v>
      </x:c>
      <x:c r="L129" s="16" t="str">
        <x:f>'Evaluation Plan'!L129</x:f>
        <x:v>Exact-scene opposite-comparison reasoning control</x:v>
      </x:c>
      <x:c r="M129" s="16" t="str">
        <x:f>'Evaluation Plan'!M129</x:f>
        <x:v>red pencil sharpener</x:v>
      </x:c>
      <x:c r="N129" s="16" t="str">
        <x:f>'Evaluation Plan'!N129</x:f>
        <x:v>Right</x:v>
      </x:c>
      <x:c r="O129" s="16" t="n">
        <x:f>'Evaluation Plan'!O129</x:f>
        <x:v>2</x:v>
      </x:c>
      <x:c r="P129" s="16" t="n">
        <x:f>IF(ISBLANK('Evaluation Plan'!P129),"",'Evaluation Plan'!P129)</x:f>
        <x:v>12</x:v>
      </x:c>
      <x:c r="Q129" s="16" t="str">
        <x:f>'Evaluation Plan'!Q129</x:f>
        <x:v>Reset the airplane; preserve the exact scene and reverse only the size comparison.</x:v>
      </x:c>
      <x:c r="R129" s="6" t="str">
        <x:f>'Evaluation Plan'!R129</x:f>
        <x:v>Reasoning-only counterfactual grounded by trained cell smallest × red pencil sharpener; an always-pick-airplane shortcut must fail.</x:v>
      </x:c>
      <x:c r="S129" s="6" t="str">
        <x:f>IF(ISBLANK('Evaluation Plan'!S129),"",'Evaluation Plan'!S129)</x:f>
      </x:c>
    </x:row>
    <x:row r="130" ht="67.5" customHeight="1">
      <x:c r="A130" s="22" t="s">
        <x:v>591</x:v>
      </x:c>
      <x:c r="B130" s="8" t="n">
        <x:f>'Evaluation Plan'!B130</x:f>
        <x:v>128</x:v>
      </x:c>
      <x:c r="C130" s="9" t="str">
        <x:f>'Evaluation Plan'!C130</x:f>
        <x:v>Put the smallest object in the bowl.</x:v>
      </x:c>
      <x:c r="D130" s="9" t="str">
        <x:f>'Evaluation Plan'!D130</x:f>
        <x:v>Bowl: empty. Table, robot-left→robot-right: P1 crushed Pepsi can; P2 juggling ball; P3 airplane toy with propellers. Adjacent centers 16 cm apart; row shifted 4 cm toward robot-left; all objects fully visible and grasp paths clear.</x:v>
      </x:c>
      <x:c r="E130" s="8" t="str">
        <x:f>IF(ISBLANK('Evaluation Plan'!E130),"",'Evaluation Plan'!E130)</x:f>
      </x:c>
      <x:c r="F130" s="8" t="str">
        <x:f>'Evaluation Plan'!F130</x:f>
        <x:v>airplane exposure 568</x:v>
      </x:c>
      <x:c r="G130" s="8" t="str">
        <x:f>'Evaluation Plan'!G130</x:f>
        <x:v>MOVE airplane toy with propellers to bowl</x:v>
      </x:c>
      <x:c r="H130" s="9"/>
      <x:c r="I130" s="8" t="str">
        <x:f>'Evaluation Plan'!I130</x:f>
        <x:v>Cross-task airplane reasoning</x:v>
      </x:c>
      <x:c r="J130" s="8" t="str">
        <x:f>'Evaluation Plan'!J130</x:f>
        <x:v>SZ-XA10</x:v>
      </x:c>
      <x:c r="K130" s="8" t="str">
        <x:f>'Evaluation Plan'!K130</x:f>
        <x:v>smallest</x:v>
      </x:c>
      <x:c r="L130" s="8" t="str">
        <x:f>'Evaluation Plan'!L130</x:f>
        <x:v>Airplane is smallest</x:v>
      </x:c>
      <x:c r="M130" s="8" t="str">
        <x:f>'Evaluation Plan'!M130</x:f>
        <x:v>airplane toy with propellers</x:v>
      </x:c>
      <x:c r="N130" s="8" t="str">
        <x:f>'Evaluation Plan'!N130</x:f>
        <x:v>Right</x:v>
      </x:c>
      <x:c r="O130" s="8" t="n">
        <x:f>'Evaluation Plan'!O130</x:f>
        <x:v>3</x:v>
      </x:c>
      <x:c r="P130" s="8" t="n">
        <x:f>IF(ISBLANK('Evaluation Plan'!P130),"",'Evaluation Plan'!P130)</x:f>
        <x:v>16</x:v>
      </x:c>
      <x:c r="Q130" s="8" t="str">
        <x:f>'Evaluation Plan'!Q130</x:f>
        <x:v>Build the listed airplane scene and save a first-frame filename.</x:v>
      </x:c>
      <x:c r="R130" s="9" t="str">
        <x:f>'Evaluation Plan'!R130</x:f>
        <x:v>The airplane is smaller than every listed table comparator. Green-block scenes also include a trained larger endpoint so the counterfactual does not test largest×green.</x:v>
      </x:c>
      <x:c r="S130" s="9" t="str">
        <x:f>IF(ISBLANK('Evaluation Plan'!S130),"",'Evaluation Plan'!S130)</x:f>
      </x:c>
    </x:row>
    <x:row r="131" ht="67.5" customHeight="1">
      <x:c r="A131" s="33" t="s">
        <x:v>591</x:v>
      </x:c>
      <x:c r="B131" s="16" t="n">
        <x:f>'Evaluation Plan'!B131</x:f>
        <x:v>129</x:v>
      </x:c>
      <x:c r="C131" s="6" t="str">
        <x:f>'Evaluation Plan'!C131</x:f>
        <x:v>Move the object that is largest into the bowl.</x:v>
      </x:c>
      <x:c r="D131" s="6" t="str">
        <x:f>'Evaluation Plan'!D131</x:f>
        <x:v>Bowl: empty. Table, robot-left→robot-right: P1 crushed Pepsi can; P2 juggling ball; P3 airplane toy with propellers. Adjacent centers 16 cm apart; row shifted 4 cm toward robot-left; all objects fully visible and grasp paths clear.</x:v>
      </x:c>
      <x:c r="E131" s="16" t="n">
        <x:f>IF(ISBLANK('Evaluation Plan'!E131),"",'Evaluation Plan'!E131)</x:f>
        <x:v>128</x:v>
      </x:c>
      <x:c r="F131" s="16" t="str">
        <x:f>'Evaluation Plan'!F131</x:f>
        <x:v>1159; airplane exposure 568</x:v>
      </x:c>
      <x:c r="G131" s="16" t="str">
        <x:f>'Evaluation Plan'!G131</x:f>
        <x:v>MOVE crushed Pepsi can to bowl</x:v>
      </x:c>
      <x:c r="H131" s="6"/>
      <x:c r="I131" s="16" t="str">
        <x:f>'Evaluation Plan'!I131</x:f>
        <x:v>Cross-task airplane counterfactual</x:v>
      </x:c>
      <x:c r="J131" s="16" t="str">
        <x:f>'Evaluation Plan'!J131</x:f>
        <x:v>SZ-XA10</x:v>
      </x:c>
      <x:c r="K131" s="16" t="str">
        <x:f>'Evaluation Plan'!K131</x:f>
        <x:v>largest</x:v>
      </x:c>
      <x:c r="L131" s="16" t="str">
        <x:f>'Evaluation Plan'!L131</x:f>
        <x:v>Exact-scene opposite-comparison reasoning control</x:v>
      </x:c>
      <x:c r="M131" s="16" t="str">
        <x:f>'Evaluation Plan'!M131</x:f>
        <x:v>crushed Pepsi can</x:v>
      </x:c>
      <x:c r="N131" s="16" t="str">
        <x:f>'Evaluation Plan'!N131</x:f>
        <x:v>Left</x:v>
      </x:c>
      <x:c r="O131" s="16" t="n">
        <x:f>'Evaluation Plan'!O131</x:f>
        <x:v>3</x:v>
      </x:c>
      <x:c r="P131" s="16" t="n">
        <x:f>IF(ISBLANK('Evaluation Plan'!P131),"",'Evaluation Plan'!P131)</x:f>
        <x:v>16</x:v>
      </x:c>
      <x:c r="Q131" s="16" t="str">
        <x:f>'Evaluation Plan'!Q131</x:f>
        <x:v>Reset the airplane; preserve the exact scene and reverse only the size comparison.</x:v>
      </x:c>
      <x:c r="R131" s="6" t="str">
        <x:f>'Evaluation Plan'!R131</x:f>
        <x:v>Reasoning-only counterfactual grounded by trained cell largest × crushed Pepsi can; an always-pick-airplane shortcut must fail.</x:v>
      </x:c>
      <x:c r="S131" s="6" t="str">
        <x:f>IF(ISBLANK('Evaluation Plan'!S131),"",'Evaluation Plan'!S131)</x:f>
      </x:c>
    </x:row>
    <x:row r="132" ht="67.5" customHeight="1">
      <x:c r="A132" s="22" t="s">
        <x:v>591</x:v>
      </x:c>
      <x:c r="B132" s="8" t="n">
        <x:f>'Evaluation Plan'!B132</x:f>
        <x:v>130</x:v>
      </x:c>
      <x:c r="C132" s="9" t="str">
        <x:f>'Evaluation Plan'!C132</x:f>
        <x:v>Move the object that is smallest into the bowl.</x:v>
      </x:c>
      <x:c r="D132" s="9" t="str">
        <x:f>'Evaluation Plan'!D132</x:f>
        <x:v>Bowl: red pencil sharpener. Table: green block. row centered on the workspace; every object fully visible. The requested extremal object is already in the bowl.</x:v>
      </x:c>
      <x:c r="E132" s="8" t="str">
        <x:f>IF(ISBLANK('Evaluation Plan'!E132),"",'Evaluation Plan'!E132)</x:f>
      </x:c>
      <x:c r="F132" s="8" t="str">
        <x:f>'Evaluation Plan'!F132</x:f>
        <x:v>1010</x:v>
      </x:c>
      <x:c r="G132" s="8" t="str">
        <x:f>'Evaluation Plan'!G132</x:f>
        <x:v>NO MOVEMENT — goal already satisfied</x:v>
      </x:c>
      <x:c r="H132" s="9"/>
      <x:c r="I132" s="8" t="str">
        <x:f>'Evaluation Plan'!I132</x:f>
        <x:v>Goal already satisfied / no movement</x:v>
      </x:c>
      <x:c r="J132" s="8" t="str">
        <x:f>'Evaluation Plan'!J132</x:f>
        <x:v>SZ-NOOP-1-1</x:v>
      </x:c>
      <x:c r="K132" s="8" t="str">
        <x:f>'Evaluation Plan'!K132</x:f>
        <x:v>smallest</x:v>
      </x:c>
      <x:c r="L132" s="8" t="str">
        <x:f>'Evaluation Plan'!L132</x:f>
        <x:v>Trained smallest × red pencil sharpener; target already in bowl</x:v>
      </x:c>
      <x:c r="M132" s="8" t="str">
        <x:f>'Evaluation Plan'!M132</x:f>
        <x:v>red pencil sharpener</x:v>
      </x:c>
      <x:c r="N132" s="8" t="str">
        <x:f>'Evaluation Plan'!N132</x:f>
        <x:v>In bowl</x:v>
      </x:c>
      <x:c r="O132" s="8" t="n">
        <x:f>'Evaluation Plan'!O132</x:f>
        <x:v>2</x:v>
      </x:c>
      <x:c r="P132" s="8" t="str">
        <x:f>IF(ISBLANK('Evaluation Plan'!P132),"",'Evaluation Plan'!P132)</x:f>
      </x:c>
      <x:c r="Q132" s="8" t="str">
        <x:f>'Evaluation Plan'!Q132</x:f>
        <x:v>Place the target in the bowl before starting; arrange the listed distractors on the table.</x:v>
      </x:c>
      <x:c r="R132" s="9" t="str">
        <x:f>'Evaluation Plan'!R132</x:f>
        <x:v>Normal training-supported size wording is retained, so no-movement behavior is not correlated with a special phrase. Success requires no object contact or displacement.</x:v>
      </x:c>
      <x:c r="S132" s="9" t="str">
        <x:f>IF(ISBLANK('Evaluation Plan'!S132),"",'Evaluation Plan'!S132)</x:f>
      </x:c>
    </x:row>
    <x:row r="133" ht="67.5" customHeight="1">
      <x:c r="A133" s="22" t="s">
        <x:v>591</x:v>
      </x:c>
      <x:c r="B133" s="8" t="n">
        <x:f>'Evaluation Plan'!B133</x:f>
        <x:v>131</x:v>
      </x:c>
      <x:c r="C133" s="9" t="str">
        <x:f>'Evaluation Plan'!C133</x:f>
        <x:v>Pick up the smallest item and place it in the bowl.</x:v>
      </x:c>
      <x:c r="D133" s="9" t="str">
        <x:f>'Evaluation Plan'!D133</x:f>
        <x:v>Bowl: green block. Table: juggling ball. row shifted 4 cm toward robot-left; every object fully visible. The requested extremal object is already in the bowl.</x:v>
      </x:c>
      <x:c r="E133" s="8" t="str">
        <x:f>IF(ISBLANK('Evaluation Plan'!E133),"",'Evaluation Plan'!E133)</x:f>
      </x:c>
      <x:c r="F133" s="8" t="str">
        <x:f>'Evaluation Plan'!F133</x:f>
        <x:v>1055</x:v>
      </x:c>
      <x:c r="G133" s="8" t="str">
        <x:f>'Evaluation Plan'!G133</x:f>
        <x:v>NO MOVEMENT — goal already satisfied</x:v>
      </x:c>
      <x:c r="H133" s="9"/>
      <x:c r="I133" s="8" t="str">
        <x:f>'Evaluation Plan'!I133</x:f>
        <x:v>Goal already satisfied / no movement</x:v>
      </x:c>
      <x:c r="J133" s="8" t="str">
        <x:f>'Evaluation Plan'!J133</x:f>
        <x:v>SZ-NOOP-2-1</x:v>
      </x:c>
      <x:c r="K133" s="8" t="str">
        <x:f>'Evaluation Plan'!K133</x:f>
        <x:v>smallest</x:v>
      </x:c>
      <x:c r="L133" s="8" t="str">
        <x:f>'Evaluation Plan'!L133</x:f>
        <x:v>Trained smallest × green block; target already in bowl</x:v>
      </x:c>
      <x:c r="M133" s="8" t="str">
        <x:f>'Evaluation Plan'!M133</x:f>
        <x:v>green block</x:v>
      </x:c>
      <x:c r="N133" s="8" t="str">
        <x:f>'Evaluation Plan'!N133</x:f>
        <x:v>In bowl</x:v>
      </x:c>
      <x:c r="O133" s="8" t="n">
        <x:f>'Evaluation Plan'!O133</x:f>
        <x:v>2</x:v>
      </x:c>
      <x:c r="P133" s="8" t="str">
        <x:f>IF(ISBLANK('Evaluation Plan'!P133),"",'Evaluation Plan'!P133)</x:f>
      </x:c>
      <x:c r="Q133" s="8" t="str">
        <x:f>'Evaluation Plan'!Q133</x:f>
        <x:v>Place the target in the bowl before starting; arrange the listed distractors on the table.</x:v>
      </x:c>
      <x:c r="R133" s="9" t="str">
        <x:f>'Evaluation Plan'!R133</x:f>
        <x:v>Normal training-supported size wording is retained, so no-movement behavior is not correlated with a special phrase. Success requires no object contact or displacement.</x:v>
      </x:c>
      <x:c r="S133" s="9" t="str">
        <x:f>IF(ISBLANK('Evaluation Plan'!S133),"",'Evaluation Plan'!S133)</x:f>
      </x:c>
    </x:row>
    <x:row r="134" ht="67.5" customHeight="1">
      <x:c r="A134" s="22" t="s">
        <x:v>591</x:v>
      </x:c>
      <x:c r="B134" s="8" t="n">
        <x:f>'Evaluation Plan'!B134</x:f>
        <x:v>132</x:v>
      </x:c>
      <x:c r="C134" s="9" t="str">
        <x:f>'Evaluation Plan'!C134</x:f>
        <x:v>Put the largest object in the bowl.</x:v>
      </x:c>
      <x:c r="D134" s="9" t="str">
        <x:f>'Evaluation Plan'!D134</x:f>
        <x:v>Bowl: juggling ball. Table: red pencil sharpener. row shifted 4 cm toward robot-right; every object fully visible. The requested extremal object is already in the bowl.</x:v>
      </x:c>
      <x:c r="E134" s="8" t="str">
        <x:f>IF(ISBLANK('Evaluation Plan'!E134),"",'Evaluation Plan'!E134)</x:f>
      </x:c>
      <x:c r="F134" s="8" t="str">
        <x:f>'Evaluation Plan'!F134</x:f>
        <x:v>1130</x:v>
      </x:c>
      <x:c r="G134" s="8" t="str">
        <x:f>'Evaluation Plan'!G134</x:f>
        <x:v>NO MOVEMENT — goal already satisfied</x:v>
      </x:c>
      <x:c r="H134" s="9"/>
      <x:c r="I134" s="8" t="str">
        <x:f>'Evaluation Plan'!I134</x:f>
        <x:v>Goal already satisfied / no movement</x:v>
      </x:c>
      <x:c r="J134" s="8" t="str">
        <x:f>'Evaluation Plan'!J134</x:f>
        <x:v>SZ-NOOP-3-1</x:v>
      </x:c>
      <x:c r="K134" s="8" t="str">
        <x:f>'Evaluation Plan'!K134</x:f>
        <x:v>largest</x:v>
      </x:c>
      <x:c r="L134" s="8" t="str">
        <x:f>'Evaluation Plan'!L134</x:f>
        <x:v>Trained largest × juggling ball; target already in bowl</x:v>
      </x:c>
      <x:c r="M134" s="8" t="str">
        <x:f>'Evaluation Plan'!M134</x:f>
        <x:v>juggling ball</x:v>
      </x:c>
      <x:c r="N134" s="8" t="str">
        <x:f>'Evaluation Plan'!N134</x:f>
        <x:v>In bowl</x:v>
      </x:c>
      <x:c r="O134" s="8" t="n">
        <x:f>'Evaluation Plan'!O134</x:f>
        <x:v>2</x:v>
      </x:c>
      <x:c r="P134" s="8" t="str">
        <x:f>IF(ISBLANK('Evaluation Plan'!P134),"",'Evaluation Plan'!P134)</x:f>
      </x:c>
      <x:c r="Q134" s="8" t="str">
        <x:f>'Evaluation Plan'!Q134</x:f>
        <x:v>Place the target in the bowl before starting; arrange the listed distractors on the table.</x:v>
      </x:c>
      <x:c r="R134" s="9" t="str">
        <x:f>'Evaluation Plan'!R134</x:f>
        <x:v>Normal training-supported size wording is retained, so no-movement behavior is not correlated with a special phrase. Success requires no object contact or displacement.</x:v>
      </x:c>
      <x:c r="S134" s="9" t="str">
        <x:f>IF(ISBLANK('Evaluation Plan'!S134),"",'Evaluation Plan'!S134)</x:f>
      </x:c>
    </x:row>
    <x:row r="135" ht="67.5" customHeight="1">
      <x:c r="A135" s="22" t="s">
        <x:v>591</x:v>
      </x:c>
      <x:c r="B135" s="8" t="n">
        <x:f>'Evaluation Plan'!B135</x:f>
        <x:v>133</x:v>
      </x:c>
      <x:c r="C135" s="9" t="str">
        <x:f>'Evaluation Plan'!C135</x:f>
        <x:v>Move the object that is largest into the bowl.</x:v>
      </x:c>
      <x:c r="D135" s="9" t="str">
        <x:f>'Evaluation Plan'!D135</x:f>
        <x:v>Bowl: crushed Pepsi can. Table: juggling ball. row shifted 4 cm toward the robot; every object fully visible. The requested extremal object is already in the bowl.</x:v>
      </x:c>
      <x:c r="E135" s="8" t="str">
        <x:f>IF(ISBLANK('Evaluation Plan'!E135),"",'Evaluation Plan'!E135)</x:f>
      </x:c>
      <x:c r="F135" s="8" t="str">
        <x:f>'Evaluation Plan'!F135</x:f>
        <x:v>1160</x:v>
      </x:c>
      <x:c r="G135" s="8" t="str">
        <x:f>'Evaluation Plan'!G135</x:f>
        <x:v>NO MOVEMENT — goal already satisfied</x:v>
      </x:c>
      <x:c r="H135" s="9"/>
      <x:c r="I135" s="8" t="str">
        <x:f>'Evaluation Plan'!I135</x:f>
        <x:v>Goal already satisfied / no movement</x:v>
      </x:c>
      <x:c r="J135" s="8" t="str">
        <x:f>'Evaluation Plan'!J135</x:f>
        <x:v>SZ-NOOP-4-1</x:v>
      </x:c>
      <x:c r="K135" s="8" t="str">
        <x:f>'Evaluation Plan'!K135</x:f>
        <x:v>largest</x:v>
      </x:c>
      <x:c r="L135" s="8" t="str">
        <x:f>'Evaluation Plan'!L135</x:f>
        <x:v>Trained largest × crushed Pepsi can; target already in bowl</x:v>
      </x:c>
      <x:c r="M135" s="8" t="str">
        <x:f>'Evaluation Plan'!M135</x:f>
        <x:v>crushed Pepsi can</x:v>
      </x:c>
      <x:c r="N135" s="8" t="str">
        <x:f>'Evaluation Plan'!N135</x:f>
        <x:v>In bowl</x:v>
      </x:c>
      <x:c r="O135" s="8" t="n">
        <x:f>'Evaluation Plan'!O135</x:f>
        <x:v>2</x:v>
      </x:c>
      <x:c r="P135" s="8" t="str">
        <x:f>IF(ISBLANK('Evaluation Plan'!P135),"",'Evaluation Plan'!P135)</x:f>
      </x:c>
      <x:c r="Q135" s="8" t="str">
        <x:f>'Evaluation Plan'!Q135</x:f>
        <x:v>Place the target in the bowl before starting; arrange the listed distractors on the table.</x:v>
      </x:c>
      <x:c r="R135" s="9" t="str">
        <x:f>'Evaluation Plan'!R135</x:f>
        <x:v>Normal training-supported size wording is retained, so no-movement behavior is not correlated with a special phrase. Success requires no object contact or displacement.</x:v>
      </x:c>
      <x:c r="S135" s="9" t="str">
        <x:f>IF(ISBLANK('Evaluation Plan'!S135),"",'Evaluation Plan'!S135)</x:f>
      </x:c>
    </x:row>
    <x:row r="136" ht="67.5" customHeight="1">
      <x:c r="A136" s="22" t="s">
        <x:v>591</x:v>
      </x:c>
      <x:c r="B136" s="8" t="n">
        <x:f>'Evaluation Plan'!B136</x:f>
        <x:v>134</x:v>
      </x:c>
      <x:c r="C136" s="9" t="str">
        <x:f>'Evaluation Plan'!C136</x:f>
        <x:v>Pick up the smallest item and place it in the bowl.</x:v>
      </x:c>
      <x:c r="D136" s="9" t="str">
        <x:f>'Evaluation Plan'!D136</x:f>
        <x:v>Bowl: red pencil sharpener. Table: juggling ball; crushed Pepsi can. row shifted 4 cm toward robot-left; every object fully visible. The requested extremal object is already in the bowl.</x:v>
      </x:c>
      <x:c r="E136" s="8" t="str">
        <x:f>IF(ISBLANK('Evaluation Plan'!E136),"",'Evaluation Plan'!E136)</x:f>
      </x:c>
      <x:c r="F136" s="8" t="str">
        <x:f>'Evaluation Plan'!F136</x:f>
        <x:v>1011</x:v>
      </x:c>
      <x:c r="G136" s="8" t="str">
        <x:f>'Evaluation Plan'!G136</x:f>
        <x:v>NO MOVEMENT — goal already satisfied</x:v>
      </x:c>
      <x:c r="H136" s="9"/>
      <x:c r="I136" s="8" t="str">
        <x:f>'Evaluation Plan'!I136</x:f>
        <x:v>Goal already satisfied / no movement</x:v>
      </x:c>
      <x:c r="J136" s="8" t="str">
        <x:f>'Evaluation Plan'!J136</x:f>
        <x:v>SZ-NOOP-1-2</x:v>
      </x:c>
      <x:c r="K136" s="8" t="str">
        <x:f>'Evaluation Plan'!K136</x:f>
        <x:v>smallest</x:v>
      </x:c>
      <x:c r="L136" s="8" t="str">
        <x:f>'Evaluation Plan'!L136</x:f>
        <x:v>Trained smallest × red pencil sharpener; target already in bowl</x:v>
      </x:c>
      <x:c r="M136" s="8" t="str">
        <x:f>'Evaluation Plan'!M136</x:f>
        <x:v>red pencil sharpener</x:v>
      </x:c>
      <x:c r="N136" s="8" t="str">
        <x:f>'Evaluation Plan'!N136</x:f>
        <x:v>In bowl</x:v>
      </x:c>
      <x:c r="O136" s="8" t="n">
        <x:f>'Evaluation Plan'!O136</x:f>
        <x:v>3</x:v>
      </x:c>
      <x:c r="P136" s="8" t="str">
        <x:f>IF(ISBLANK('Evaluation Plan'!P136),"",'Evaluation Plan'!P136)</x:f>
      </x:c>
      <x:c r="Q136" s="8" t="str">
        <x:f>'Evaluation Plan'!Q136</x:f>
        <x:v>Place the target in the bowl before starting; arrange the listed distractors on the table.</x:v>
      </x:c>
      <x:c r="R136" s="9" t="str">
        <x:f>'Evaluation Plan'!R136</x:f>
        <x:v>Normal training-supported size wording is retained, so no-movement behavior is not correlated with a special phrase. Success requires no object contact or displacement.</x:v>
      </x:c>
      <x:c r="S136" s="9" t="str">
        <x:f>IF(ISBLANK('Evaluation Plan'!S136),"",'Evaluation Plan'!S136)</x:f>
      </x:c>
    </x:row>
    <x:row r="137" ht="67.5" customHeight="1">
      <x:c r="A137" s="22" t="s">
        <x:v>591</x:v>
      </x:c>
      <x:c r="B137" s="8" t="n">
        <x:f>'Evaluation Plan'!B137</x:f>
        <x:v>135</x:v>
      </x:c>
      <x:c r="C137" s="9" t="str">
        <x:f>'Evaluation Plan'!C137</x:f>
        <x:v>Put the smallest object in the bowl.</x:v>
      </x:c>
      <x:c r="D137" s="9" t="str">
        <x:f>'Evaluation Plan'!D137</x:f>
        <x:v>Bowl: green block. Table: crushed Pepsi can. row shifted 4 cm toward robot-right; every object fully visible. The requested extremal object is already in the bowl.</x:v>
      </x:c>
      <x:c r="E137" s="8" t="str">
        <x:f>IF(ISBLANK('Evaluation Plan'!E137),"",'Evaluation Plan'!E137)</x:f>
      </x:c>
      <x:c r="F137" s="8" t="str">
        <x:f>'Evaluation Plan'!F137</x:f>
        <x:v>1056</x:v>
      </x:c>
      <x:c r="G137" s="8" t="str">
        <x:f>'Evaluation Plan'!G137</x:f>
        <x:v>NO MOVEMENT — goal already satisfied</x:v>
      </x:c>
      <x:c r="H137" s="9"/>
      <x:c r="I137" s="8" t="str">
        <x:f>'Evaluation Plan'!I137</x:f>
        <x:v>Goal already satisfied / no movement</x:v>
      </x:c>
      <x:c r="J137" s="8" t="str">
        <x:f>'Evaluation Plan'!J137</x:f>
        <x:v>SZ-NOOP-2-2</x:v>
      </x:c>
      <x:c r="K137" s="8" t="str">
        <x:f>'Evaluation Plan'!K137</x:f>
        <x:v>smallest</x:v>
      </x:c>
      <x:c r="L137" s="8" t="str">
        <x:f>'Evaluation Plan'!L137</x:f>
        <x:v>Trained smallest × green block; target already in bowl</x:v>
      </x:c>
      <x:c r="M137" s="8" t="str">
        <x:f>'Evaluation Plan'!M137</x:f>
        <x:v>green block</x:v>
      </x:c>
      <x:c r="N137" s="8" t="str">
        <x:f>'Evaluation Plan'!N137</x:f>
        <x:v>In bowl</x:v>
      </x:c>
      <x:c r="O137" s="8" t="n">
        <x:f>'Evaluation Plan'!O137</x:f>
        <x:v>2</x:v>
      </x:c>
      <x:c r="P137" s="8" t="str">
        <x:f>IF(ISBLANK('Evaluation Plan'!P137),"",'Evaluation Plan'!P137)</x:f>
      </x:c>
      <x:c r="Q137" s="8" t="str">
        <x:f>'Evaluation Plan'!Q137</x:f>
        <x:v>Place the target in the bowl before starting; arrange the listed distractors on the table.</x:v>
      </x:c>
      <x:c r="R137" s="9" t="str">
        <x:f>'Evaluation Plan'!R137</x:f>
        <x:v>Normal training-supported size wording is retained, so no-movement behavior is not correlated with a special phrase. Success requires no object contact or displacement.</x:v>
      </x:c>
      <x:c r="S137" s="9" t="str">
        <x:f>IF(ISBLANK('Evaluation Plan'!S137),"",'Evaluation Plan'!S137)</x:f>
      </x:c>
    </x:row>
    <x:row r="138" ht="67.5" customHeight="1">
      <x:c r="A138" s="22" t="s">
        <x:v>591</x:v>
      </x:c>
      <x:c r="B138" s="8" t="n">
        <x:f>'Evaluation Plan'!B138</x:f>
        <x:v>136</x:v>
      </x:c>
      <x:c r="C138" s="9" t="str">
        <x:f>'Evaluation Plan'!C138</x:f>
        <x:v>Move the object that is largest into the bowl.</x:v>
      </x:c>
      <x:c r="D138" s="9" t="str">
        <x:f>'Evaluation Plan'!D138</x:f>
        <x:v>Bowl: juggling ball. Table: green block. row shifted 4 cm toward the robot; every object fully visible. The requested extremal object is already in the bowl.</x:v>
      </x:c>
      <x:c r="E138" s="8" t="str">
        <x:f>IF(ISBLANK('Evaluation Plan'!E138),"",'Evaluation Plan'!E138)</x:f>
      </x:c>
      <x:c r="F138" s="8" t="str">
        <x:f>'Evaluation Plan'!F138</x:f>
        <x:v>1131</x:v>
      </x:c>
      <x:c r="G138" s="8" t="str">
        <x:f>'Evaluation Plan'!G138</x:f>
        <x:v>NO MOVEMENT — goal already satisfied</x:v>
      </x:c>
      <x:c r="H138" s="9"/>
      <x:c r="I138" s="8" t="str">
        <x:f>'Evaluation Plan'!I138</x:f>
        <x:v>Goal already satisfied / no movement</x:v>
      </x:c>
      <x:c r="J138" s="8" t="str">
        <x:f>'Evaluation Plan'!J138</x:f>
        <x:v>SZ-NOOP-3-2</x:v>
      </x:c>
      <x:c r="K138" s="8" t="str">
        <x:f>'Evaluation Plan'!K138</x:f>
        <x:v>largest</x:v>
      </x:c>
      <x:c r="L138" s="8" t="str">
        <x:f>'Evaluation Plan'!L138</x:f>
        <x:v>Trained largest × juggling ball; target already in bowl</x:v>
      </x:c>
      <x:c r="M138" s="8" t="str">
        <x:f>'Evaluation Plan'!M138</x:f>
        <x:v>juggling ball</x:v>
      </x:c>
      <x:c r="N138" s="8" t="str">
        <x:f>'Evaluation Plan'!N138</x:f>
        <x:v>In bowl</x:v>
      </x:c>
      <x:c r="O138" s="8" t="n">
        <x:f>'Evaluation Plan'!O138</x:f>
        <x:v>2</x:v>
      </x:c>
      <x:c r="P138" s="8" t="str">
        <x:f>IF(ISBLANK('Evaluation Plan'!P138),"",'Evaluation Plan'!P138)</x:f>
      </x:c>
      <x:c r="Q138" s="8" t="str">
        <x:f>'Evaluation Plan'!Q138</x:f>
        <x:v>Place the target in the bowl before starting; arrange the listed distractors on the table.</x:v>
      </x:c>
      <x:c r="R138" s="9" t="str">
        <x:f>'Evaluation Plan'!R138</x:f>
        <x:v>Normal training-supported size wording is retained, so no-movement behavior is not correlated with a special phrase. Success requires no object contact or displacement.</x:v>
      </x:c>
      <x:c r="S138" s="9" t="str">
        <x:f>IF(ISBLANK('Evaluation Plan'!S138),"",'Evaluation Plan'!S138)</x:f>
      </x:c>
    </x:row>
    <x:row r="139" ht="67.5" customHeight="1">
      <x:c r="A139" s="22" t="s">
        <x:v>591</x:v>
      </x:c>
      <x:c r="B139" s="8" t="n">
        <x:f>'Evaluation Plan'!B139</x:f>
        <x:v>137</x:v>
      </x:c>
      <x:c r="C139" s="9" t="str">
        <x:f>'Evaluation Plan'!C139</x:f>
        <x:v>Pick up the largest item and place it in the bowl.</x:v>
      </x:c>
      <x:c r="D139" s="9" t="str">
        <x:f>'Evaluation Plan'!D139</x:f>
        <x:v>Bowl: crushed Pepsi can. Table: green block. row shifted 4 cm away from the robot; every object fully visible. The requested extremal object is already in the bowl.</x:v>
      </x:c>
      <x:c r="E139" s="8" t="str">
        <x:f>IF(ISBLANK('Evaluation Plan'!E139),"",'Evaluation Plan'!E139)</x:f>
      </x:c>
      <x:c r="F139" s="8" t="str">
        <x:f>'Evaluation Plan'!F139</x:f>
        <x:v>1161</x:v>
      </x:c>
      <x:c r="G139" s="8" t="str">
        <x:f>'Evaluation Plan'!G139</x:f>
        <x:v>NO MOVEMENT — goal already satisfied</x:v>
      </x:c>
      <x:c r="H139" s="9"/>
      <x:c r="I139" s="8" t="str">
        <x:f>'Evaluation Plan'!I139</x:f>
        <x:v>Goal already satisfied / no movement</x:v>
      </x:c>
      <x:c r="J139" s="8" t="str">
        <x:f>'Evaluation Plan'!J139</x:f>
        <x:v>SZ-NOOP-4-2</x:v>
      </x:c>
      <x:c r="K139" s="8" t="str">
        <x:f>'Evaluation Plan'!K139</x:f>
        <x:v>largest</x:v>
      </x:c>
      <x:c r="L139" s="8" t="str">
        <x:f>'Evaluation Plan'!L139</x:f>
        <x:v>Trained largest × crushed Pepsi can; target already in bowl</x:v>
      </x:c>
      <x:c r="M139" s="8" t="str">
        <x:f>'Evaluation Plan'!M139</x:f>
        <x:v>crushed Pepsi can</x:v>
      </x:c>
      <x:c r="N139" s="8" t="str">
        <x:f>'Evaluation Plan'!N139</x:f>
        <x:v>In bowl</x:v>
      </x:c>
      <x:c r="O139" s="8" t="n">
        <x:f>'Evaluation Plan'!O139</x:f>
        <x:v>2</x:v>
      </x:c>
      <x:c r="P139" s="8" t="str">
        <x:f>IF(ISBLANK('Evaluation Plan'!P139),"",'Evaluation Plan'!P139)</x:f>
      </x:c>
      <x:c r="Q139" s="8" t="str">
        <x:f>'Evaluation Plan'!Q139</x:f>
        <x:v>Place the target in the bowl before starting; arrange the listed distractors on the table.</x:v>
      </x:c>
      <x:c r="R139" s="9" t="str">
        <x:f>'Evaluation Plan'!R139</x:f>
        <x:v>Normal training-supported size wording is retained, so no-movement behavior is not correlated with a special phrase. Success requires no object contact or displacement.</x:v>
      </x:c>
      <x:c r="S139" s="9" t="str">
        <x:f>IF(ISBLANK('Evaluation Plan'!S139),"",'Evaluation Plan'!S139)</x:f>
      </x:c>
    </x:row>
    <x:row r="140" ht="67.5" customHeight="1">
      <x:c r="A140" s="22" t="s">
        <x:v>591</x:v>
      </x:c>
      <x:c r="B140" s="8" t="n">
        <x:f>'Evaluation Plan'!B140</x:f>
        <x:v>138</x:v>
      </x:c>
      <x:c r="C140" s="9" t="str">
        <x:f>'Evaluation Plan'!C140</x:f>
        <x:v>Put the smallest object in the bowl.</x:v>
      </x:c>
      <x:c r="D140" s="9" t="str">
        <x:f>'Evaluation Plan'!D140</x:f>
        <x:v>Bowl: red pencil sharpener. Table: green block; juggling ball; crushed Pepsi can. row shifted 4 cm toward robot-right; every object fully visible. The requested extremal object is already in the bowl.</x:v>
      </x:c>
      <x:c r="E140" s="8" t="str">
        <x:f>IF(ISBLANK('Evaluation Plan'!E140),"",'Evaluation Plan'!E140)</x:f>
      </x:c>
      <x:c r="F140" s="8" t="str">
        <x:f>'Evaluation Plan'!F140</x:f>
        <x:v>1012</x:v>
      </x:c>
      <x:c r="G140" s="8" t="str">
        <x:f>'Evaluation Plan'!G140</x:f>
        <x:v>NO MOVEMENT — goal already satisfied</x:v>
      </x:c>
      <x:c r="H140" s="9"/>
      <x:c r="I140" s="8" t="str">
        <x:f>'Evaluation Plan'!I140</x:f>
        <x:v>Goal already satisfied / no movement</x:v>
      </x:c>
      <x:c r="J140" s="8" t="str">
        <x:f>'Evaluation Plan'!J140</x:f>
        <x:v>SZ-NOOP-1-3</x:v>
      </x:c>
      <x:c r="K140" s="8" t="str">
        <x:f>'Evaluation Plan'!K140</x:f>
        <x:v>smallest</x:v>
      </x:c>
      <x:c r="L140" s="8" t="str">
        <x:f>'Evaluation Plan'!L140</x:f>
        <x:v>Trained smallest × red pencil sharpener; target already in bowl</x:v>
      </x:c>
      <x:c r="M140" s="8" t="str">
        <x:f>'Evaluation Plan'!M140</x:f>
        <x:v>red pencil sharpener</x:v>
      </x:c>
      <x:c r="N140" s="8" t="str">
        <x:f>'Evaluation Plan'!N140</x:f>
        <x:v>In bowl</x:v>
      </x:c>
      <x:c r="O140" s="8" t="n">
        <x:f>'Evaluation Plan'!O140</x:f>
        <x:v>4</x:v>
      </x:c>
      <x:c r="P140" s="8" t="str">
        <x:f>IF(ISBLANK('Evaluation Plan'!P140),"",'Evaluation Plan'!P140)</x:f>
      </x:c>
      <x:c r="Q140" s="8" t="str">
        <x:f>'Evaluation Plan'!Q140</x:f>
        <x:v>Place the target in the bowl before starting; arrange the listed distractors on the table.</x:v>
      </x:c>
      <x:c r="R140" s="9" t="str">
        <x:f>'Evaluation Plan'!R140</x:f>
        <x:v>Normal training-supported size wording is retained, so no-movement behavior is not correlated with a special phrase. Success requires no object contact or displacement.</x:v>
      </x:c>
      <x:c r="S140" s="9" t="str">
        <x:f>IF(ISBLANK('Evaluation Plan'!S140),"",'Evaluation Plan'!S140)</x:f>
      </x:c>
    </x:row>
    <x:row r="141" ht="67.5" customHeight="1">
      <x:c r="A141" s="22" t="s">
        <x:v>591</x:v>
      </x:c>
      <x:c r="B141" s="8" t="n">
        <x:f>'Evaluation Plan'!B141</x:f>
        <x:v>139</x:v>
      </x:c>
      <x:c r="C141" s="9" t="str">
        <x:f>'Evaluation Plan'!C141</x:f>
        <x:v>Move the object that is smallest into the bowl.</x:v>
      </x:c>
      <x:c r="D141" s="9" t="str">
        <x:f>'Evaluation Plan'!D141</x:f>
        <x:v>Bowl: green block. Table: juggling ball; crushed Pepsi can. row shifted 4 cm toward the robot; every object fully visible. The requested extremal object is already in the bowl.</x:v>
      </x:c>
      <x:c r="E141" s="8" t="str">
        <x:f>IF(ISBLANK('Evaluation Plan'!E141),"",'Evaluation Plan'!E141)</x:f>
      </x:c>
      <x:c r="F141" s="8" t="str">
        <x:f>'Evaluation Plan'!F141</x:f>
        <x:v>1057</x:v>
      </x:c>
      <x:c r="G141" s="8" t="str">
        <x:f>'Evaluation Plan'!G141</x:f>
        <x:v>NO MOVEMENT — goal already satisfied</x:v>
      </x:c>
      <x:c r="H141" s="9"/>
      <x:c r="I141" s="8" t="str">
        <x:f>'Evaluation Plan'!I141</x:f>
        <x:v>Goal already satisfied / no movement</x:v>
      </x:c>
      <x:c r="J141" s="8" t="str">
        <x:f>'Evaluation Plan'!J141</x:f>
        <x:v>SZ-NOOP-2-3</x:v>
      </x:c>
      <x:c r="K141" s="8" t="str">
        <x:f>'Evaluation Plan'!K141</x:f>
        <x:v>smallest</x:v>
      </x:c>
      <x:c r="L141" s="8" t="str">
        <x:f>'Evaluation Plan'!L141</x:f>
        <x:v>Trained smallest × green block; target already in bowl</x:v>
      </x:c>
      <x:c r="M141" s="8" t="str">
        <x:f>'Evaluation Plan'!M141</x:f>
        <x:v>green block</x:v>
      </x:c>
      <x:c r="N141" s="8" t="str">
        <x:f>'Evaluation Plan'!N141</x:f>
        <x:v>In bowl</x:v>
      </x:c>
      <x:c r="O141" s="8" t="n">
        <x:f>'Evaluation Plan'!O141</x:f>
        <x:v>3</x:v>
      </x:c>
      <x:c r="P141" s="8" t="str">
        <x:f>IF(ISBLANK('Evaluation Plan'!P141),"",'Evaluation Plan'!P141)</x:f>
      </x:c>
      <x:c r="Q141" s="8" t="str">
        <x:f>'Evaluation Plan'!Q141</x:f>
        <x:v>Place the target in the bowl before starting; arrange the listed distractors on the table.</x:v>
      </x:c>
      <x:c r="R141" s="9" t="str">
        <x:f>'Evaluation Plan'!R141</x:f>
        <x:v>Normal training-supported size wording is retained, so no-movement behavior is not correlated with a special phrase. Success requires no object contact or displacement.</x:v>
      </x:c>
      <x:c r="S141" s="9" t="str">
        <x:f>IF(ISBLANK('Evaluation Plan'!S141),"",'Evaluation Plan'!S141)</x:f>
      </x:c>
    </x:row>
    <x:row r="142" ht="67.5" customHeight="1">
      <x:c r="A142" s="22" t="s">
        <x:v>591</x:v>
      </x:c>
      <x:c r="B142" s="8" t="n">
        <x:f>'Evaluation Plan'!B142</x:f>
        <x:v>140</x:v>
      </x:c>
      <x:c r="C142" s="9" t="str">
        <x:f>'Evaluation Plan'!C142</x:f>
        <x:v>Pick up the largest item and place it in the bowl.</x:v>
      </x:c>
      <x:c r="D142" s="9" t="str">
        <x:f>'Evaluation Plan'!D142</x:f>
        <x:v>Bowl: juggling ball. Table: red pencil sharpener; green block. row shifted 4 cm away from the robot; every object fully visible. The requested extremal object is already in the bowl.</x:v>
      </x:c>
      <x:c r="E142" s="8" t="str">
        <x:f>IF(ISBLANK('Evaluation Plan'!E142),"",'Evaluation Plan'!E142)</x:f>
      </x:c>
      <x:c r="F142" s="8" t="str">
        <x:f>'Evaluation Plan'!F142</x:f>
        <x:v>1132</x:v>
      </x:c>
      <x:c r="G142" s="8" t="str">
        <x:f>'Evaluation Plan'!G142</x:f>
        <x:v>NO MOVEMENT — goal already satisfied</x:v>
      </x:c>
      <x:c r="H142" s="9"/>
      <x:c r="I142" s="8" t="str">
        <x:f>'Evaluation Plan'!I142</x:f>
        <x:v>Goal already satisfied / no movement</x:v>
      </x:c>
      <x:c r="J142" s="8" t="str">
        <x:f>'Evaluation Plan'!J142</x:f>
        <x:v>SZ-NOOP-3-3</x:v>
      </x:c>
      <x:c r="K142" s="8" t="str">
        <x:f>'Evaluation Plan'!K142</x:f>
        <x:v>largest</x:v>
      </x:c>
      <x:c r="L142" s="8" t="str">
        <x:f>'Evaluation Plan'!L142</x:f>
        <x:v>Trained largest × juggling ball; target already in bowl</x:v>
      </x:c>
      <x:c r="M142" s="8" t="str">
        <x:f>'Evaluation Plan'!M142</x:f>
        <x:v>juggling ball</x:v>
      </x:c>
      <x:c r="N142" s="8" t="str">
        <x:f>'Evaluation Plan'!N142</x:f>
        <x:v>In bowl</x:v>
      </x:c>
      <x:c r="O142" s="8" t="n">
        <x:f>'Evaluation Plan'!O142</x:f>
        <x:v>3</x:v>
      </x:c>
      <x:c r="P142" s="8" t="str">
        <x:f>IF(ISBLANK('Evaluation Plan'!P142),"",'Evaluation Plan'!P142)</x:f>
      </x:c>
      <x:c r="Q142" s="8" t="str">
        <x:f>'Evaluation Plan'!Q142</x:f>
        <x:v>Place the target in the bowl before starting; arrange the listed distractors on the table.</x:v>
      </x:c>
      <x:c r="R142" s="9" t="str">
        <x:f>'Evaluation Plan'!R142</x:f>
        <x:v>Normal training-supported size wording is retained, so no-movement behavior is not correlated with a special phrase. Success requires no object contact or displacement.</x:v>
      </x:c>
      <x:c r="S142" s="9" t="str">
        <x:f>IF(ISBLANK('Evaluation Plan'!S142),"",'Evaluation Plan'!S142)</x:f>
      </x:c>
    </x:row>
    <x:row r="143" ht="67.5" customHeight="1">
      <x:c r="A143" s="35" t="s">
        <x:v>19</x:v>
      </x:c>
      <x:c r="B143" s="36" t="n">
        <x:f>'Evaluation Plan'!B143</x:f>
        <x:v>141</x:v>
      </x:c>
      <x:c r="C143" s="37" t="str">
        <x:f>'Evaluation Plan'!C143</x:f>
        <x:v>Put the largest object in the bowl.</x:v>
      </x:c>
      <x:c r="D143" s="37" t="str">
        <x:f>'Evaluation Plan'!D143</x:f>
        <x:v>Bowl: crushed Pepsi can. Table: red pencil sharpener; green block; juggling ball. row centered on the workspace; every object fully visible. The requested extremal object is already in the bowl.</x:v>
      </x:c>
      <x:c r="E143" s="36" t="str">
        <x:f>IF(ISBLANK('Evaluation Plan'!E143),"",'Evaluation Plan'!E143)</x:f>
      </x:c>
      <x:c r="F143" s="36" t="str">
        <x:f>'Evaluation Plan'!F143</x:f>
        <x:v>1162</x:v>
      </x:c>
      <x:c r="G143" s="36" t="str">
        <x:f>'Evaluation Plan'!G143</x:f>
        <x:v>NO MOVEMENT — goal already satisfied</x:v>
      </x:c>
      <x:c r="H143" s="37"/>
      <x:c r="I143" s="36" t="str">
        <x:f>'Evaluation Plan'!I143</x:f>
        <x:v>Goal already satisfied / no movement</x:v>
      </x:c>
      <x:c r="J143" s="36" t="str">
        <x:f>'Evaluation Plan'!J143</x:f>
        <x:v>SZ-NOOP-4-3</x:v>
      </x:c>
      <x:c r="K143" s="36" t="str">
        <x:f>'Evaluation Plan'!K143</x:f>
        <x:v>largest</x:v>
      </x:c>
      <x:c r="L143" s="36" t="str">
        <x:f>'Evaluation Plan'!L143</x:f>
        <x:v>Trained largest × crushed Pepsi can; target already in bowl</x:v>
      </x:c>
      <x:c r="M143" s="36" t="str">
        <x:f>'Evaluation Plan'!M143</x:f>
        <x:v>crushed Pepsi can</x:v>
      </x:c>
      <x:c r="N143" s="36" t="str">
        <x:f>'Evaluation Plan'!N143</x:f>
        <x:v>In bowl</x:v>
      </x:c>
      <x:c r="O143" s="36" t="n">
        <x:f>'Evaluation Plan'!O143</x:f>
        <x:v>4</x:v>
      </x:c>
      <x:c r="P143" s="36" t="str">
        <x:f>IF(ISBLANK('Evaluation Plan'!P143),"",'Evaluation Plan'!P143)</x:f>
      </x:c>
      <x:c r="Q143" s="36" t="str">
        <x:f>'Evaluation Plan'!Q143</x:f>
        <x:v>Place the target in the bowl before starting; arrange the listed distractors on the table.</x:v>
      </x:c>
      <x:c r="R143" s="37" t="str">
        <x:f>'Evaluation Plan'!R143</x:f>
        <x:v>Normal training-supported size wording is retained, so no-movement behavior is not correlated with a special phrase. Success requires no object contact or displacement.</x:v>
      </x:c>
      <x:c r="S143" s="37" t="str">
        <x:f>IF(ISBLANK('Evaluation Plan'!S143),"",'Evaluation Plan'!S143)</x:f>
      </x:c>
      <x:c r="T143" s="39"/>
      <x:c r="U143" s="39"/>
      <x:c r="V143" s="39"/>
      <x:c r="W143" s="39"/>
      <x:c r="X143" s="39"/>
      <x:c r="Y143" s="39"/>
      <x:c r="Z143" s="39"/>
    </x:row>
    <x:row r="144" ht="67.5" customHeight="1">
      <x:c r="A144" s="22" t="s">
        <x:v>591</x:v>
      </x:c>
      <x:c r="B144" s="8" t="n">
        <x:f>'Evaluation Plan'!B144</x:f>
        <x:v>142</x:v>
      </x:c>
      <x:c r="C144" s="9" t="str">
        <x:f>'Evaluation Plan'!C144</x:f>
        <x:v>Move the object that is smallest into the bowl.</x:v>
      </x:c>
      <x:c r="D144" s="9" t="str">
        <x:f>'Evaluation Plan'!D144</x:f>
        <x:v>Bowl: red pencil sharpener. Table: juggling ball; crushed Pepsi can; green block. row shifted 4 cm toward the robot; every object fully visible. The requested extremal object is already in the bowl.</x:v>
      </x:c>
      <x:c r="E144" s="8" t="str">
        <x:f>IF(ISBLANK('Evaluation Plan'!E144),"",'Evaluation Plan'!E144)</x:f>
      </x:c>
      <x:c r="F144" s="8" t="str">
        <x:f>'Evaluation Plan'!F144</x:f>
        <x:v>1013</x:v>
      </x:c>
      <x:c r="G144" s="8" t="str">
        <x:f>'Evaluation Plan'!G144</x:f>
        <x:v>NO MOVEMENT — goal already satisfied</x:v>
      </x:c>
      <x:c r="H144" s="9"/>
      <x:c r="I144" s="8" t="str">
        <x:f>'Evaluation Plan'!I144</x:f>
        <x:v>Goal already satisfied / no movement</x:v>
      </x:c>
      <x:c r="J144" s="8" t="str">
        <x:f>'Evaluation Plan'!J144</x:f>
        <x:v>SZ-NOOP-1-4</x:v>
      </x:c>
      <x:c r="K144" s="8" t="str">
        <x:f>'Evaluation Plan'!K144</x:f>
        <x:v>smallest</x:v>
      </x:c>
      <x:c r="L144" s="8" t="str">
        <x:f>'Evaluation Plan'!L144</x:f>
        <x:v>Trained smallest × red pencil sharpener; target already in bowl</x:v>
      </x:c>
      <x:c r="M144" s="8" t="str">
        <x:f>'Evaluation Plan'!M144</x:f>
        <x:v>red pencil sharpener</x:v>
      </x:c>
      <x:c r="N144" s="8" t="str">
        <x:f>'Evaluation Plan'!N144</x:f>
        <x:v>In bowl</x:v>
      </x:c>
      <x:c r="O144" s="8" t="n">
        <x:f>'Evaluation Plan'!O144</x:f>
        <x:v>4</x:v>
      </x:c>
      <x:c r="P144" s="8" t="str">
        <x:f>IF(ISBLANK('Evaluation Plan'!P144),"",'Evaluation Plan'!P144)</x:f>
      </x:c>
      <x:c r="Q144" s="8" t="str">
        <x:f>'Evaluation Plan'!Q144</x:f>
        <x:v>Place the target in the bowl before starting; arrange the listed distractors on the table.</x:v>
      </x:c>
      <x:c r="R144" s="9" t="str">
        <x:f>'Evaluation Plan'!R144</x:f>
        <x:v>Normal training-supported size wording is retained, so no-movement behavior is not correlated with a special phrase. Success requires no object contact or displacement.</x:v>
      </x:c>
      <x:c r="S144" s="9" t="str">
        <x:f>IF(ISBLANK('Evaluation Plan'!S144),"",'Evaluation Plan'!S144)</x:f>
      </x:c>
    </x:row>
    <x:row r="145" ht="67.5" customHeight="1">
      <x:c r="A145" s="22" t="s">
        <x:v>591</x:v>
      </x:c>
      <x:c r="B145" s="8" t="n">
        <x:f>'Evaluation Plan'!B145</x:f>
        <x:v>143</x:v>
      </x:c>
      <x:c r="C145" s="9" t="str">
        <x:f>'Evaluation Plan'!C145</x:f>
        <x:v>Pick up the smallest item and place it in the bowl.</x:v>
      </x:c>
      <x:c r="D145" s="9" t="str">
        <x:f>'Evaluation Plan'!D145</x:f>
        <x:v>Bowl: green block. Table: crushed Pepsi can; juggling ball. row shifted 4 cm away from the robot; every object fully visible. The requested extremal object is already in the bowl.</x:v>
      </x:c>
      <x:c r="E145" s="8" t="str">
        <x:f>IF(ISBLANK('Evaluation Plan'!E145),"",'Evaluation Plan'!E145)</x:f>
      </x:c>
      <x:c r="F145" s="8" t="str">
        <x:f>'Evaluation Plan'!F145</x:f>
        <x:v>1058</x:v>
      </x:c>
      <x:c r="G145" s="8" t="str">
        <x:f>'Evaluation Plan'!G145</x:f>
        <x:v>NO MOVEMENT — goal already satisfied</x:v>
      </x:c>
      <x:c r="H145" s="9"/>
      <x:c r="I145" s="8" t="str">
        <x:f>'Evaluation Plan'!I145</x:f>
        <x:v>Goal already satisfied / no movement</x:v>
      </x:c>
      <x:c r="J145" s="8" t="str">
        <x:f>'Evaluation Plan'!J145</x:f>
        <x:v>SZ-NOOP-2-4</x:v>
      </x:c>
      <x:c r="K145" s="8" t="str">
        <x:f>'Evaluation Plan'!K145</x:f>
        <x:v>smallest</x:v>
      </x:c>
      <x:c r="L145" s="8" t="str">
        <x:f>'Evaluation Plan'!L145</x:f>
        <x:v>Trained smallest × green block; target already in bowl</x:v>
      </x:c>
      <x:c r="M145" s="8" t="str">
        <x:f>'Evaluation Plan'!M145</x:f>
        <x:v>green block</x:v>
      </x:c>
      <x:c r="N145" s="8" t="str">
        <x:f>'Evaluation Plan'!N145</x:f>
        <x:v>In bowl</x:v>
      </x:c>
      <x:c r="O145" s="8" t="n">
        <x:f>'Evaluation Plan'!O145</x:f>
        <x:v>3</x:v>
      </x:c>
      <x:c r="P145" s="8" t="str">
        <x:f>IF(ISBLANK('Evaluation Plan'!P145),"",'Evaluation Plan'!P145)</x:f>
      </x:c>
      <x:c r="Q145" s="8" t="str">
        <x:f>'Evaluation Plan'!Q145</x:f>
        <x:v>Place the target in the bowl before starting; arrange the listed distractors on the table.</x:v>
      </x:c>
      <x:c r="R145" s="9" t="str">
        <x:f>'Evaluation Plan'!R145</x:f>
        <x:v>Normal training-supported size wording is retained, so no-movement behavior is not correlated with a special phrase. Success requires no object contact or displacement.</x:v>
      </x:c>
      <x:c r="S145" s="9" t="str">
        <x:f>IF(ISBLANK('Evaluation Plan'!S145),"",'Evaluation Plan'!S145)</x:f>
      </x:c>
    </x:row>
    <x:row r="146" ht="67.5" customHeight="1">
      <x:c r="A146" s="22" t="s">
        <x:v>591</x:v>
      </x:c>
      <x:c r="B146" s="8" t="n">
        <x:f>'Evaluation Plan'!B146</x:f>
        <x:v>144</x:v>
      </x:c>
      <x:c r="C146" s="9" t="str">
        <x:f>'Evaluation Plan'!C146</x:f>
        <x:v>Put the largest object in the bowl.</x:v>
      </x:c>
      <x:c r="D146" s="9" t="str">
        <x:f>'Evaluation Plan'!D146</x:f>
        <x:v>Bowl: juggling ball. Table: green block; red pencil sharpener. row centered on the workspace; every object fully visible. The requested extremal object is already in the bowl.</x:v>
      </x:c>
      <x:c r="E146" s="8" t="str">
        <x:f>IF(ISBLANK('Evaluation Plan'!E146),"",'Evaluation Plan'!E146)</x:f>
      </x:c>
      <x:c r="F146" s="8" t="str">
        <x:f>'Evaluation Plan'!F146</x:f>
        <x:v>1133</x:v>
      </x:c>
      <x:c r="G146" s="8" t="str">
        <x:f>'Evaluation Plan'!G146</x:f>
        <x:v>NO MOVEMENT — goal already satisfied</x:v>
      </x:c>
      <x:c r="H146" s="9"/>
      <x:c r="I146" s="8" t="str">
        <x:f>'Evaluation Plan'!I146</x:f>
        <x:v>Goal already satisfied / no movement</x:v>
      </x:c>
      <x:c r="J146" s="8" t="str">
        <x:f>'Evaluation Plan'!J146</x:f>
        <x:v>SZ-NOOP-3-4</x:v>
      </x:c>
      <x:c r="K146" s="8" t="str">
        <x:f>'Evaluation Plan'!K146</x:f>
        <x:v>largest</x:v>
      </x:c>
      <x:c r="L146" s="8" t="str">
        <x:f>'Evaluation Plan'!L146</x:f>
        <x:v>Trained largest × juggling ball; target already in bowl</x:v>
      </x:c>
      <x:c r="M146" s="8" t="str">
        <x:f>'Evaluation Plan'!M146</x:f>
        <x:v>juggling ball</x:v>
      </x:c>
      <x:c r="N146" s="8" t="str">
        <x:f>'Evaluation Plan'!N146</x:f>
        <x:v>In bowl</x:v>
      </x:c>
      <x:c r="O146" s="8" t="n">
        <x:f>'Evaluation Plan'!O146</x:f>
        <x:v>3</x:v>
      </x:c>
      <x:c r="P146" s="8" t="str">
        <x:f>IF(ISBLANK('Evaluation Plan'!P146),"",'Evaluation Plan'!P146)</x:f>
      </x:c>
      <x:c r="Q146" s="8" t="str">
        <x:f>'Evaluation Plan'!Q146</x:f>
        <x:v>Place the target in the bowl before starting; arrange the listed distractors on the table.</x:v>
      </x:c>
      <x:c r="R146" s="9" t="str">
        <x:f>'Evaluation Plan'!R146</x:f>
        <x:v>Normal training-supported size wording is retained, so no-movement behavior is not correlated with a special phrase. Success requires no object contact or displacement.</x:v>
      </x:c>
      <x:c r="S146" s="9" t="str">
        <x:f>IF(ISBLANK('Evaluation Plan'!S146),"",'Evaluation Plan'!S146)</x:f>
      </x:c>
    </x:row>
    <x:row r="147" ht="67.5" customHeight="1">
      <x:c r="A147" s="22" t="s">
        <x:v>591</x:v>
      </x:c>
      <x:c r="B147" s="8" t="n">
        <x:f>'Evaluation Plan'!B147</x:f>
        <x:v>145</x:v>
      </x:c>
      <x:c r="C147" s="9" t="str">
        <x:f>'Evaluation Plan'!C147</x:f>
        <x:v>Move the object that is largest into the bowl.</x:v>
      </x:c>
      <x:c r="D147" s="9" t="str">
        <x:f>'Evaluation Plan'!D147</x:f>
        <x:v>Bowl: crushed Pepsi can. Table: green block; juggling ball; red pencil sharpener. row shifted 4 cm toward robot-left; every object fully visible. The requested extremal object is already in the bowl.</x:v>
      </x:c>
      <x:c r="E147" s="8" t="str">
        <x:f>IF(ISBLANK('Evaluation Plan'!E147),"",'Evaluation Plan'!E147)</x:f>
      </x:c>
      <x:c r="F147" s="8" t="str">
        <x:f>'Evaluation Plan'!F147</x:f>
        <x:v>1163</x:v>
      </x:c>
      <x:c r="G147" s="8" t="str">
        <x:f>'Evaluation Plan'!G147</x:f>
        <x:v>NO MOVEMENT — goal already satisfied</x:v>
      </x:c>
      <x:c r="H147" s="9"/>
      <x:c r="I147" s="8" t="str">
        <x:f>'Evaluation Plan'!I147</x:f>
        <x:v>Goal already satisfied / no movement</x:v>
      </x:c>
      <x:c r="J147" s="8" t="str">
        <x:f>'Evaluation Plan'!J147</x:f>
        <x:v>SZ-NOOP-4-4</x:v>
      </x:c>
      <x:c r="K147" s="8" t="str">
        <x:f>'Evaluation Plan'!K147</x:f>
        <x:v>largest</x:v>
      </x:c>
      <x:c r="L147" s="8" t="str">
        <x:f>'Evaluation Plan'!L147</x:f>
        <x:v>Trained largest × crushed Pepsi can; target already in bowl</x:v>
      </x:c>
      <x:c r="M147" s="8" t="str">
        <x:f>'Evaluation Plan'!M147</x:f>
        <x:v>crushed Pepsi can</x:v>
      </x:c>
      <x:c r="N147" s="8" t="str">
        <x:f>'Evaluation Plan'!N147</x:f>
        <x:v>In bowl</x:v>
      </x:c>
      <x:c r="O147" s="8" t="n">
        <x:f>'Evaluation Plan'!O147</x:f>
        <x:v>4</x:v>
      </x:c>
      <x:c r="P147" s="8" t="str">
        <x:f>IF(ISBLANK('Evaluation Plan'!P147),"",'Evaluation Plan'!P147)</x:f>
      </x:c>
      <x:c r="Q147" s="8" t="str">
        <x:f>'Evaluation Plan'!Q147</x:f>
        <x:v>Place the target in the bowl before starting; arrange the listed distractors on the table.</x:v>
      </x:c>
      <x:c r="R147" s="9" t="str">
        <x:f>'Evaluation Plan'!R147</x:f>
        <x:v>Normal training-supported size wording is retained, so no-movement behavior is not correlated with a special phrase. Success requires no object contact or displacement.</x:v>
      </x:c>
      <x:c r="S147" s="9" t="str">
        <x:f>IF(ISBLANK('Evaluation Plan'!S147),"",'Evaluation Plan'!S147)</x:f>
      </x:c>
    </x:row>
    <x:row r="148" ht="67.5" customHeight="1">
      <x:c r="A148" s="22" t="s">
        <x:v>591</x:v>
      </x:c>
      <x:c r="B148" s="8" t="n">
        <x:f>'Evaluation Plan'!B148</x:f>
        <x:v>146</x:v>
      </x:c>
      <x:c r="C148" s="9" t="str">
        <x:f>'Evaluation Plan'!C148</x:f>
        <x:v>Pick up the smallest item and place it in the bowl.</x:v>
      </x:c>
      <x:c r="D148" s="9" t="str">
        <x:f>'Evaluation Plan'!D148</x:f>
        <x:v>Bowl: red pencil sharpener. Table: crushed Pepsi can; green block; juggling ball. row shifted 4 cm away from the robot; every object fully visible. The requested extremal object is already in the bowl.</x:v>
      </x:c>
      <x:c r="E148" s="8" t="str">
        <x:f>IF(ISBLANK('Evaluation Plan'!E148),"",'Evaluation Plan'!E148)</x:f>
      </x:c>
      <x:c r="F148" s="8" t="str">
        <x:f>'Evaluation Plan'!F148</x:f>
        <x:v>1014</x:v>
      </x:c>
      <x:c r="G148" s="8" t="str">
        <x:f>'Evaluation Plan'!G148</x:f>
        <x:v>NO MOVEMENT — goal already satisfied</x:v>
      </x:c>
      <x:c r="H148" s="9"/>
      <x:c r="I148" s="8" t="str">
        <x:f>'Evaluation Plan'!I148</x:f>
        <x:v>Goal already satisfied / no movement</x:v>
      </x:c>
      <x:c r="J148" s="8" t="str">
        <x:f>'Evaluation Plan'!J148</x:f>
        <x:v>SZ-NOOP-1-5</x:v>
      </x:c>
      <x:c r="K148" s="8" t="str">
        <x:f>'Evaluation Plan'!K148</x:f>
        <x:v>smallest</x:v>
      </x:c>
      <x:c r="L148" s="8" t="str">
        <x:f>'Evaluation Plan'!L148</x:f>
        <x:v>Trained smallest × red pencil sharpener; target already in bowl</x:v>
      </x:c>
      <x:c r="M148" s="8" t="str">
        <x:f>'Evaluation Plan'!M148</x:f>
        <x:v>red pencil sharpener</x:v>
      </x:c>
      <x:c r="N148" s="8" t="str">
        <x:f>'Evaluation Plan'!N148</x:f>
        <x:v>In bowl</x:v>
      </x:c>
      <x:c r="O148" s="8" t="n">
        <x:f>'Evaluation Plan'!O148</x:f>
        <x:v>4</x:v>
      </x:c>
      <x:c r="P148" s="8" t="str">
        <x:f>IF(ISBLANK('Evaluation Plan'!P148),"",'Evaluation Plan'!P148)</x:f>
      </x:c>
      <x:c r="Q148" s="8" t="str">
        <x:f>'Evaluation Plan'!Q148</x:f>
        <x:v>Place the target in the bowl before starting; arrange the listed distractors on the table.</x:v>
      </x:c>
      <x:c r="R148" s="9" t="str">
        <x:f>'Evaluation Plan'!R148</x:f>
        <x:v>Normal training-supported size wording is retained, so no-movement behavior is not correlated with a special phrase. Success requires no object contact or displacement.</x:v>
      </x:c>
      <x:c r="S148" s="9" t="str">
        <x:f>IF(ISBLANK('Evaluation Plan'!S148),"",'Evaluation Plan'!S148)</x:f>
      </x:c>
    </x:row>
    <x:row r="149" ht="67.5" customHeight="1">
      <x:c r="A149" s="22" t="s">
        <x:v>591</x:v>
      </x:c>
      <x:c r="B149" s="8" t="n">
        <x:f>'Evaluation Plan'!B149</x:f>
        <x:v>147</x:v>
      </x:c>
      <x:c r="C149" s="9" t="str">
        <x:f>'Evaluation Plan'!C149</x:f>
        <x:v>Put the smallest object in the bowl.</x:v>
      </x:c>
      <x:c r="D149" s="9" t="str">
        <x:f>'Evaluation Plan'!D149</x:f>
        <x:v>Bowl: green block. Table: juggling ball; crushed Pepsi can. row centered on the workspace; every object fully visible. The requested extremal object is already in the bowl.</x:v>
      </x:c>
      <x:c r="E149" s="8" t="str">
        <x:f>IF(ISBLANK('Evaluation Plan'!E149),"",'Evaluation Plan'!E149)</x:f>
      </x:c>
      <x:c r="F149" s="8" t="str">
        <x:f>'Evaluation Plan'!F149</x:f>
        <x:v>1059</x:v>
      </x:c>
      <x:c r="G149" s="8" t="str">
        <x:f>'Evaluation Plan'!G149</x:f>
        <x:v>NO MOVEMENT — goal already satisfied</x:v>
      </x:c>
      <x:c r="H149" s="9"/>
      <x:c r="I149" s="8" t="str">
        <x:f>'Evaluation Plan'!I149</x:f>
        <x:v>Goal already satisfied / no movement</x:v>
      </x:c>
      <x:c r="J149" s="8" t="str">
        <x:f>'Evaluation Plan'!J149</x:f>
        <x:v>SZ-NOOP-2-5</x:v>
      </x:c>
      <x:c r="K149" s="8" t="str">
        <x:f>'Evaluation Plan'!K149</x:f>
        <x:v>smallest</x:v>
      </x:c>
      <x:c r="L149" s="8" t="str">
        <x:f>'Evaluation Plan'!L149</x:f>
        <x:v>Trained smallest × green block; target already in bowl</x:v>
      </x:c>
      <x:c r="M149" s="8" t="str">
        <x:f>'Evaluation Plan'!M149</x:f>
        <x:v>green block</x:v>
      </x:c>
      <x:c r="N149" s="8" t="str">
        <x:f>'Evaluation Plan'!N149</x:f>
        <x:v>In bowl</x:v>
      </x:c>
      <x:c r="O149" s="8" t="n">
        <x:f>'Evaluation Plan'!O149</x:f>
        <x:v>3</x:v>
      </x:c>
      <x:c r="P149" s="8" t="str">
        <x:f>IF(ISBLANK('Evaluation Plan'!P149),"",'Evaluation Plan'!P149)</x:f>
      </x:c>
      <x:c r="Q149" s="8" t="str">
        <x:f>'Evaluation Plan'!Q149</x:f>
        <x:v>Place the target in the bowl before starting; arrange the listed distractors on the table.</x:v>
      </x:c>
      <x:c r="R149" s="9" t="str">
        <x:f>'Evaluation Plan'!R149</x:f>
        <x:v>Normal training-supported size wording is retained, so no-movement behavior is not correlated with a special phrase. Success requires no object contact or displacement.</x:v>
      </x:c>
      <x:c r="S149" s="9" t="str">
        <x:f>IF(ISBLANK('Evaluation Plan'!S149),"",'Evaluation Plan'!S149)</x:f>
      </x:c>
    </x:row>
    <x:row r="150" ht="67.5" customHeight="1">
      <x:c r="A150" s="22" t="s">
        <x:v>591</x:v>
      </x:c>
      <x:c r="B150" s="8" t="n">
        <x:f>'Evaluation Plan'!B150</x:f>
        <x:v>148</x:v>
      </x:c>
      <x:c r="C150" s="9" t="str">
        <x:f>'Evaluation Plan'!C150</x:f>
        <x:v>Move the object that is largest into the bowl.</x:v>
      </x:c>
      <x:c r="D150" s="9" t="str">
        <x:f>'Evaluation Plan'!D150</x:f>
        <x:v>Bowl: juggling ball. Table: red pencil sharpener; green block. row shifted 4 cm toward robot-left; every object fully visible. The requested extremal object is already in the bowl.</x:v>
      </x:c>
      <x:c r="E150" s="8" t="str">
        <x:f>IF(ISBLANK('Evaluation Plan'!E150),"",'Evaluation Plan'!E150)</x:f>
      </x:c>
      <x:c r="F150" s="8" t="str">
        <x:f>'Evaluation Plan'!F150</x:f>
        <x:v>1134</x:v>
      </x:c>
      <x:c r="G150" s="8" t="str">
        <x:f>'Evaluation Plan'!G150</x:f>
        <x:v>NO MOVEMENT — goal already satisfied</x:v>
      </x:c>
      <x:c r="H150" s="9"/>
      <x:c r="I150" s="8" t="str">
        <x:f>'Evaluation Plan'!I150</x:f>
        <x:v>Goal already satisfied / no movement</x:v>
      </x:c>
      <x:c r="J150" s="8" t="str">
        <x:f>'Evaluation Plan'!J150</x:f>
        <x:v>SZ-NOOP-3-5</x:v>
      </x:c>
      <x:c r="K150" s="8" t="str">
        <x:f>'Evaluation Plan'!K150</x:f>
        <x:v>largest</x:v>
      </x:c>
      <x:c r="L150" s="8" t="str">
        <x:f>'Evaluation Plan'!L150</x:f>
        <x:v>Trained largest × juggling ball; target already in bowl</x:v>
      </x:c>
      <x:c r="M150" s="8" t="str">
        <x:f>'Evaluation Plan'!M150</x:f>
        <x:v>juggling ball</x:v>
      </x:c>
      <x:c r="N150" s="8" t="str">
        <x:f>'Evaluation Plan'!N150</x:f>
        <x:v>In bowl</x:v>
      </x:c>
      <x:c r="O150" s="8" t="n">
        <x:f>'Evaluation Plan'!O150</x:f>
        <x:v>3</x:v>
      </x:c>
      <x:c r="P150" s="8" t="str">
        <x:f>IF(ISBLANK('Evaluation Plan'!P150),"",'Evaluation Plan'!P150)</x:f>
      </x:c>
      <x:c r="Q150" s="8" t="str">
        <x:f>'Evaluation Plan'!Q150</x:f>
        <x:v>Place the target in the bowl before starting; arrange the listed distractors on the table.</x:v>
      </x:c>
      <x:c r="R150" s="9" t="str">
        <x:f>'Evaluation Plan'!R150</x:f>
        <x:v>Normal training-supported size wording is retained, so no-movement behavior is not correlated with a special phrase. Success requires no object contact or displacement.</x:v>
      </x:c>
      <x:c r="S150" s="9" t="str">
        <x:f>IF(ISBLANK('Evaluation Plan'!S150),"",'Evaluation Plan'!S150)</x:f>
      </x:c>
    </x:row>
    <x:row r="151" ht="67.5" customHeight="1">
      <x:c r="A151" s="22" t="s">
        <x:v>591</x:v>
      </x:c>
      <x:c r="B151" s="8" t="n">
        <x:f>'Evaluation Plan'!B151</x:f>
        <x:v>149</x:v>
      </x:c>
      <x:c r="C151" s="9" t="str">
        <x:f>'Evaluation Plan'!C151</x:f>
        <x:v>Pick up the largest item and place it in the bowl.</x:v>
      </x:c>
      <x:c r="D151" s="9" t="str">
        <x:f>'Evaluation Plan'!D151</x:f>
        <x:v>Bowl: crushed Pepsi can. Table: juggling ball; red pencil sharpener; green block. row shifted 4 cm toward robot-right; every object fully visible. The requested extremal object is already in the bowl.</x:v>
      </x:c>
      <x:c r="E151" s="8" t="str">
        <x:f>IF(ISBLANK('Evaluation Plan'!E151),"",'Evaluation Plan'!E151)</x:f>
      </x:c>
      <x:c r="F151" s="8" t="str">
        <x:f>'Evaluation Plan'!F151</x:f>
        <x:v>1164</x:v>
      </x:c>
      <x:c r="G151" s="8" t="str">
        <x:f>'Evaluation Plan'!G151</x:f>
        <x:v>NO MOVEMENT — goal already satisfied</x:v>
      </x:c>
      <x:c r="H151" s="9"/>
      <x:c r="I151" s="8" t="str">
        <x:f>'Evaluation Plan'!I151</x:f>
        <x:v>Goal already satisfied / no movement</x:v>
      </x:c>
      <x:c r="J151" s="8" t="str">
        <x:f>'Evaluation Plan'!J151</x:f>
        <x:v>SZ-NOOP-4-5</x:v>
      </x:c>
      <x:c r="K151" s="8" t="str">
        <x:f>'Evaluation Plan'!K151</x:f>
        <x:v>largest</x:v>
      </x:c>
      <x:c r="L151" s="8" t="str">
        <x:f>'Evaluation Plan'!L151</x:f>
        <x:v>Trained largest × crushed Pepsi can; target already in bowl</x:v>
      </x:c>
      <x:c r="M151" s="8" t="str">
        <x:f>'Evaluation Plan'!M151</x:f>
        <x:v>crushed Pepsi can</x:v>
      </x:c>
      <x:c r="N151" s="8" t="str">
        <x:f>'Evaluation Plan'!N151</x:f>
        <x:v>In bowl</x:v>
      </x:c>
      <x:c r="O151" s="8" t="n">
        <x:f>'Evaluation Plan'!O151</x:f>
        <x:v>4</x:v>
      </x:c>
      <x:c r="P151" s="8" t="str">
        <x:f>IF(ISBLANK('Evaluation Plan'!P151),"",'Evaluation Plan'!P151)</x:f>
      </x:c>
      <x:c r="Q151" s="8" t="str">
        <x:f>'Evaluation Plan'!Q151</x:f>
        <x:v>Place the target in the bowl before starting; arrange the listed distractors on the table.</x:v>
      </x:c>
      <x:c r="R151" s="9" t="str">
        <x:f>'Evaluation Plan'!R151</x:f>
        <x:v>Normal training-supported size wording is retained, so no-movement behavior is not correlated with a special phrase. Success requires no object contact or displacement.</x:v>
      </x:c>
      <x:c r="S151" s="9" t="str">
        <x:f>IF(ISBLANK('Evaluation Plan'!S151),"",'Evaluation Plan'!S151)</x:f>
      </x:c>
    </x:row>
    <x:row r="152" ht="15.75" customHeight="1"/>
    <x:row r="153" ht="15.75" customHeight="1"/>
    <x:row r="154" ht="15.75" customHeight="1"/>
    <x:row r="155" ht="15.75" customHeight="1"/>
    <x:row r="156" ht="15.75" customHeight="1">
      <x:c r="B156" s="38" t="n">
        <x:f>COUNTIF(A:A,"Success")</x:f>
        <x:v>118</x:v>
      </x:c>
    </x:row>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A2:S151">
    <x:cfRule type="expression" dxfId="7" priority="1">
      <x:formula>$A2="Success"</x:formula>
    </x:cfRule>
  </x:conditionalFormatting>
  <x:conditionalFormatting sqref="A2:S151">
    <x:cfRule type="expression" dxfId="8" priority="2">
      <x:formula>$A2="Failure"</x:formula>
    </x:cfRule>
  </x:conditionalFormatting>
  <x:conditionalFormatting sqref="I2:I151">
    <x:cfRule type="containsText" dxfId="9" priority="3" operator="containsText" text="In-distribution">
      <x:formula>NOT(ISERROR(SEARCH(("In-distribution"),(I2))))</x:formula>
    </x:cfRule>
  </x:conditionalFormatting>
  <x:conditionalFormatting sqref="I2:I151">
    <x:cfRule type="containsText" dxfId="10" priority="4" operator="containsText" text="Concept/compositional">
      <x:formula>NOT(ISERROR(SEARCH(("Concept/compositional"),(I2))))</x:formula>
    </x:cfRule>
  </x:conditionalFormatting>
  <x:conditionalFormatting sqref="I2:I151">
    <x:cfRule type="containsText" dxfId="11" priority="5" operator="containsText" text="Matched manipulation">
      <x:formula>NOT(ISERROR(SEARCH(("Matched manipulation"),(I2))))</x:formula>
    </x:cfRule>
  </x:conditionalFormatting>
  <x:conditionalFormatting sqref="I2:I151">
    <x:cfRule type="containsText" dxfId="12" priority="6" operator="containsText" text="Language robustness">
      <x:formula>NOT(ISERROR(SEARCH(("Language robustness"),(I2))))</x:formula>
    </x:cfRule>
  </x:conditionalFormatting>
  <x:conditionalFormatting sqref="I2:I151">
    <x:cfRule type="containsText" dxfId="13" priority="7" operator="containsText" text="Cross-task">
      <x:formula>NOT(ISERROR(SEARCH(("Cross-task"),(I2))))</x:formula>
    </x:cfRule>
  </x:conditionalFormatting>
  <x:conditionalFormatting sqref="I2:I151">
    <x:cfRule type="containsText" dxfId="14" priority="8" operator="containsText" text="Goal already">
      <x:formula>NOT(ISERROR(SEARCH(("Goal already"),(I2))))</x:formula>
    </x:cfRule>
  </x:conditionalFormatting>
  <x:dataValidations count="1">
    <x:dataValidation type="list" allowBlank="1" sqref="A2:A151">
      <x:formula1>"Not collected,Success,Failure"</x:formula1>
    </x:dataValidation>
  </x:dataValidations>
  <x:pageMargins left="0.7" right="0.7" top="0.75" bottom="0.75" header="0.3" footer="0.3"/>
  <x:tableParts count="1">
    <x:tablePart xmlns:r="http://schemas.openxmlformats.org/officeDocument/2006/relationships" r:id="R8ef15beaaab4426e"/>
  </x:tableParts>
</x:worksheet>
</file>

<file path=xl/worksheets/sheet7.xml><?xml version="1.0" encoding="utf-8"?>
<x:worksheet xmlns:x="http://schemas.openxmlformats.org/spreadsheetml/2006/main">
  <x:sheetViews>
    <x:sheetView showGridLines="0" workbookViewId="0"/>
  </x:sheetViews>
  <x:sheetFormatPr defaultColWidth="12.630000114440918" defaultRowHeight="15"/>
  <x:cols>
    <x:col min="1" max="1" width="15" customWidth="1"/>
    <x:col min="2" max="2" width="9" customWidth="1"/>
    <x:col min="3" max="3" width="51" customWidth="1"/>
    <x:col min="4" max="4" width="78" customWidth="1"/>
    <x:col min="5" max="5" width="14" customWidth="1"/>
    <x:col min="6" max="6" width="24" customWidth="1"/>
    <x:col min="7" max="7" width="34" customWidth="1"/>
    <x:col min="8" max="8" width="42" customWidth="1"/>
    <x:col min="9" max="9" width="33" customWidth="1"/>
    <x:col min="10" max="10" width="18" customWidth="1"/>
    <x:col min="11" max="11" width="13" customWidth="1"/>
    <x:col min="12" max="12" width="50" customWidth="1"/>
    <x:col min="13" max="13" width="34" customWidth="1"/>
    <x:col min="14" max="15" width="12" customWidth="1"/>
    <x:col min="16" max="16" width="14" customWidth="1"/>
    <x:col min="17" max="17" width="64" customWidth="1"/>
    <x:col min="18" max="18" width="80" customWidth="1"/>
    <x:col min="19" max="19" width="30" customWidth="1"/>
    <x:col min="20" max="26" width="8.630000114440918" customWidth="1"/>
  </x:cols>
  <x:sheetData>
    <x:row r="1" ht="39.75" customHeight="1">
      <x:c r="A1" s="5" t="s">
        <x:v>0</x:v>
      </x:c>
      <x:c r="B1" s="5" t="s">
        <x:v>1</x:v>
      </x:c>
      <x:c r="C1" s="5" t="s">
        <x:v>2</x:v>
      </x:c>
      <x:c r="D1" s="5" t="s">
        <x:v>3</x:v>
      </x:c>
      <x:c r="E1" s="5" t="s">
        <x:v>4</x:v>
      </x:c>
      <x:c r="F1" s="5" t="s">
        <x:v>5</x:v>
      </x:c>
      <x:c r="G1" s="5" t="s">
        <x:v>6</x:v>
      </x:c>
      <x:c r="H1" s="5" t="s">
        <x:v>7</x:v>
      </x:c>
      <x:c r="I1" s="5" t="s">
        <x:v>8</x:v>
      </x:c>
      <x:c r="J1" s="5" t="s">
        <x:v>9</x:v>
      </x:c>
      <x:c r="K1" s="5" t="s">
        <x:v>10</x:v>
      </x:c>
      <x:c r="L1" s="5" t="s">
        <x:v>11</x:v>
      </x:c>
      <x:c r="M1" s="5" t="s">
        <x:v>12</x:v>
      </x:c>
      <x:c r="N1" s="5" t="s">
        <x:v>13</x:v>
      </x:c>
      <x:c r="O1" s="5" t="s">
        <x:v>14</x:v>
      </x:c>
      <x:c r="P1" s="5" t="s">
        <x:v>15</x:v>
      </x:c>
      <x:c r="Q1" s="5" t="s">
        <x:v>16</x:v>
      </x:c>
      <x:c r="R1" s="5" t="s">
        <x:v>17</x:v>
      </x:c>
      <x:c r="S1" s="5" t="s">
        <x:v>18</x:v>
      </x:c>
    </x:row>
    <x:row r="2" ht="67.5" customHeight="1">
      <x:c r="A2" s="8" t="s">
        <x:v>19</x:v>
      </x:c>
      <x:c r="B2" s="8" t="n">
        <x:f>'Evaluation Plan'!B2</x:f>
        <x:v>0</x:v>
      </x:c>
      <x:c r="C2" s="9" t="str">
        <x:f>'Evaluation Plan'!C2</x:f>
        <x:v>Move the object that is smallest into the bowl.</x:v>
      </x:c>
      <x:c r="D2" s="9" t="str">
        <x:f>'Evaluation Plan'!D2</x:f>
        <x:v>Bowl: empty. Table, robot-left→robot-right: P1 red pencil sharpener; P2 green block; P3 juggling ball; P4 crushed Pepsi can. Adjacent centers 8 cm apart; row centered on the workspace; all objects fully visible and grasp paths clear.</x:v>
      </x:c>
      <x:c r="E2" s="8" t="str">
        <x:f>IF(ISBLANK('Evaluation Plan'!E2),"",'Evaluation Plan'!E2)</x:f>
      </x:c>
      <x:c r="F2" s="8" t="str">
        <x:f>'Evaluation Plan'!F2</x:f>
        <x:v>1005</x:v>
      </x:c>
      <x:c r="G2" s="8" t="str">
        <x:f>'Evaluation Plan'!G2</x:f>
        <x:v>MOVE red pencil sharpener to bowl</x:v>
      </x:c>
      <x:c r="H2" s="9"/>
      <x:c r="I2" s="8" t="str">
        <x:f>'Evaluation Plan'!I2</x:f>
        <x:v>In-distribution concept baseline</x:v>
      </x:c>
      <x:c r="J2" s="8" t="str">
        <x:f>'Evaluation Plan'!J2</x:f>
        <x:v>SZ-ID-SH01</x:v>
      </x:c>
      <x:c r="K2" s="8" t="str">
        <x:f>'Evaluation Plan'!K2</x:f>
        <x:v>smallest</x:v>
      </x:c>
      <x:c r="L2" s="8" t="str">
        <x:f>'Evaluation Plan'!L2</x:f>
        <x:v>Explicitly trained smallest × red pencil sharpener</x:v>
      </x:c>
      <x:c r="M2" s="8" t="str">
        <x:f>'Evaluation Plan'!M2</x:f>
        <x:v>red pencil sharpener</x:v>
      </x:c>
      <x:c r="N2" s="8" t="str">
        <x:f>'Evaluation Plan'!N2</x:f>
        <x:v>Left</x:v>
      </x:c>
      <x:c r="O2" s="8" t="n">
        <x:f>'Evaluation Plan'!O2</x:f>
        <x:v>4</x:v>
      </x:c>
      <x:c r="P2" s="8" t="n">
        <x:f>IF(ISBLANK('Evaluation Plan'!P2),"",'Evaluation Plan'!P2)</x:f>
        <x:v>8</x:v>
      </x:c>
      <x:c r="Q2" s="8" t="str">
        <x:f>'Evaluation Plan'!Q2</x:f>
        <x:v>Build the listed manifest-supported scene.</x:v>
      </x:c>
      <x:c r="R2" s="9" t="str">
        <x:f>'Evaluation Plan'!R2</x:f>
        <x:v>Exact prompt and object composition from training episode 1005; this establishes the familiar smallest × red pencil sharpener cell.</x:v>
      </x:c>
      <x:c r="S2" s="9" t="str">
        <x:f>IF(ISBLANK('Evaluation Plan'!S2),"",'Evaluation Plan'!S2)</x:f>
      </x:c>
    </x:row>
    <x:row r="3" ht="67.5" customHeight="1">
      <x:c r="A3" s="8" t="s">
        <x:v>19</x:v>
      </x:c>
      <x:c r="B3" s="8" t="n">
        <x:f>'Evaluation Plan'!B3</x:f>
        <x:v>1</x:v>
      </x:c>
      <x:c r="C3" s="9" t="str">
        <x:f>'Evaluation Plan'!C3</x:f>
        <x:v>Pick up the smallest item and place it in the bowl.</x:v>
      </x:c>
      <x:c r="D3" s="9" t="str">
        <x:f>'Evaluation Plan'!D3</x:f>
        <x:v>Bowl: empty. Table, robot-left→robot-right: P1 crushed Pepsi can; P2 juggling ball; P3 green block. Adjacent centers 12 cm apart; row shifted 4 cm toward robot-left; all objects fully visible and grasp paths clear.</x:v>
      </x:c>
      <x:c r="E3" s="8" t="str">
        <x:f>IF(ISBLANK('Evaluation Plan'!E3),"",'Evaluation Plan'!E3)</x:f>
      </x:c>
      <x:c r="F3" s="8" t="str">
        <x:f>'Evaluation Plan'!F3</x:f>
        <x:v>1050</x:v>
      </x:c>
      <x:c r="G3" s="8" t="str">
        <x:f>'Evaluation Plan'!G3</x:f>
        <x:v>MOVE green block to bowl</x:v>
      </x:c>
      <x:c r="H3" s="9"/>
      <x:c r="I3" s="8" t="str">
        <x:f>'Evaluation Plan'!I3</x:f>
        <x:v>In-distribution concept baseline</x:v>
      </x:c>
      <x:c r="J3" s="8" t="str">
        <x:f>'Evaluation Plan'!J3</x:f>
        <x:v>SZ-ID-GB01</x:v>
      </x:c>
      <x:c r="K3" s="8" t="str">
        <x:f>'Evaluation Plan'!K3</x:f>
        <x:v>smallest</x:v>
      </x:c>
      <x:c r="L3" s="8" t="str">
        <x:f>'Evaluation Plan'!L3</x:f>
        <x:v>Explicitly trained smallest × green block</x:v>
      </x:c>
      <x:c r="M3" s="8" t="str">
        <x:f>'Evaluation Plan'!M3</x:f>
        <x:v>green block</x:v>
      </x:c>
      <x:c r="N3" s="8" t="str">
        <x:f>'Evaluation Plan'!N3</x:f>
        <x:v>Right</x:v>
      </x:c>
      <x:c r="O3" s="8" t="n">
        <x:f>'Evaluation Plan'!O3</x:f>
        <x:v>3</x:v>
      </x:c>
      <x:c r="P3" s="8" t="n">
        <x:f>IF(ISBLANK('Evaluation Plan'!P3),"",'Evaluation Plan'!P3)</x:f>
        <x:v>12</x:v>
      </x:c>
      <x:c r="Q3" s="8" t="str">
        <x:f>'Evaluation Plan'!Q3</x:f>
        <x:v>Build the listed manifest-supported scene.</x:v>
      </x:c>
      <x:c r="R3" s="9" t="str">
        <x:f>'Evaluation Plan'!R3</x:f>
        <x:v>Exact prompt and object composition from training episode 1050; this establishes the familiar smallest × green block cell.</x:v>
      </x:c>
      <x:c r="S3" s="9" t="str">
        <x:f>IF(ISBLANK('Evaluation Plan'!S3),"",'Evaluation Plan'!S3)</x:f>
      </x:c>
    </x:row>
    <x:row r="4" ht="67.5" customHeight="1">
      <x:c r="A4" s="8" t="s">
        <x:v>19</x:v>
      </x:c>
      <x:c r="B4" s="8" t="n">
        <x:f>'Evaluation Plan'!B4</x:f>
        <x:v>2</x:v>
      </x:c>
      <x:c r="C4" s="9" t="str">
        <x:f>'Evaluation Plan'!C4</x:f>
        <x:v>Put the largest object in the bowl.</x:v>
      </x:c>
      <x:c r="D4" s="9" t="str">
        <x:f>'Evaluation Plan'!D4</x:f>
        <x:v>Bowl: empty. Table, robot-left→robot-right: P1 juggling ball; P2 red pencil sharpener; P3 green block. Adjacent centers 16 cm apart; row shifted 4 cm toward robot-right; all objects fully visible and grasp paths clear.</x:v>
      </x:c>
      <x:c r="E4" s="8" t="str">
        <x:f>IF(ISBLANK('Evaluation Plan'!E4),"",'Evaluation Plan'!E4)</x:f>
      </x:c>
      <x:c r="F4" s="8" t="str">
        <x:f>'Evaluation Plan'!F4</x:f>
        <x:v>1125</x:v>
      </x:c>
      <x:c r="G4" s="8" t="str">
        <x:f>'Evaluation Plan'!G4</x:f>
        <x:v>MOVE juggling ball to bowl</x:v>
      </x:c>
      <x:c r="H4" s="9"/>
      <x:c r="I4" s="8" t="str">
        <x:f>'Evaluation Plan'!I4</x:f>
        <x:v>In-distribution concept baseline</x:v>
      </x:c>
      <x:c r="J4" s="8" t="str">
        <x:f>'Evaluation Plan'!J4</x:f>
        <x:v>SZ-ID-JB01</x:v>
      </x:c>
      <x:c r="K4" s="8" t="str">
        <x:f>'Evaluation Plan'!K4</x:f>
        <x:v>largest</x:v>
      </x:c>
      <x:c r="L4" s="8" t="str">
        <x:f>'Evaluation Plan'!L4</x:f>
        <x:v>Explicitly trained largest × juggling ball</x:v>
      </x:c>
      <x:c r="M4" s="8" t="str">
        <x:f>'Evaluation Plan'!M4</x:f>
        <x:v>juggling ball</x:v>
      </x:c>
      <x:c r="N4" s="8" t="str">
        <x:f>'Evaluation Plan'!N4</x:f>
        <x:v>Left</x:v>
      </x:c>
      <x:c r="O4" s="8" t="n">
        <x:f>'Evaluation Plan'!O4</x:f>
        <x:v>3</x:v>
      </x:c>
      <x:c r="P4" s="8" t="n">
        <x:f>IF(ISBLANK('Evaluation Plan'!P4),"",'Evaluation Plan'!P4)</x:f>
        <x:v>16</x:v>
      </x:c>
      <x:c r="Q4" s="8" t="str">
        <x:f>'Evaluation Plan'!Q4</x:f>
        <x:v>Build the listed manifest-supported scene.</x:v>
      </x:c>
      <x:c r="R4" s="9" t="str">
        <x:f>'Evaluation Plan'!R4</x:f>
        <x:v>Exact prompt and object composition from training episode 1125; this establishes the familiar largest × juggling ball cell.</x:v>
      </x:c>
      <x:c r="S4" s="9" t="str">
        <x:f>IF(ISBLANK('Evaluation Plan'!S4),"",'Evaluation Plan'!S4)</x:f>
      </x:c>
    </x:row>
    <x:row r="5" ht="67.5" customHeight="1">
      <x:c r="A5" s="8" t="s">
        <x:v>19</x:v>
      </x:c>
      <x:c r="B5" s="8" t="n">
        <x:f>'Evaluation Plan'!B5</x:f>
        <x:v>3</x:v>
      </x:c>
      <x:c r="C5" s="9" t="str">
        <x:f>'Evaluation Plan'!C5</x:f>
        <x:v>Pick up the largest item and place it in the bowl.</x:v>
      </x:c>
      <x:c r="D5" s="9" t="str">
        <x:f>'Evaluation Plan'!D5</x:f>
        <x:v>Bowl: empty. Table, robot-left→robot-right: P1 red pencil sharpener; P2 green block; P3 juggling ball; P4 crushed Pepsi can. Adjacent centers 8 cm apart; row shifted 4 cm toward the robot; all objects fully visible and grasp paths clear.</x:v>
      </x:c>
      <x:c r="E5" s="8" t="str">
        <x:f>IF(ISBLANK('Evaluation Plan'!E5),"",'Evaluation Plan'!E5)</x:f>
      </x:c>
      <x:c r="F5" s="8" t="str">
        <x:f>'Evaluation Plan'!F5</x:f>
        <x:v>1155</x:v>
      </x:c>
      <x:c r="G5" s="8" t="str">
        <x:f>'Evaluation Plan'!G5</x:f>
        <x:v>MOVE crushed Pepsi can to bowl</x:v>
      </x:c>
      <x:c r="H5" s="9"/>
      <x:c r="I5" s="8" t="str">
        <x:f>'Evaluation Plan'!I5</x:f>
        <x:v>In-distribution concept baseline</x:v>
      </x:c>
      <x:c r="J5" s="8" t="str">
        <x:f>'Evaluation Plan'!J5</x:f>
        <x:v>SZ-ID-PC01</x:v>
      </x:c>
      <x:c r="K5" s="8" t="str">
        <x:f>'Evaluation Plan'!K5</x:f>
        <x:v>largest</x:v>
      </x:c>
      <x:c r="L5" s="8" t="str">
        <x:f>'Evaluation Plan'!L5</x:f>
        <x:v>Explicitly trained largest × crushed Pepsi can</x:v>
      </x:c>
      <x:c r="M5" s="8" t="str">
        <x:f>'Evaluation Plan'!M5</x:f>
        <x:v>crushed Pepsi can</x:v>
      </x:c>
      <x:c r="N5" s="8" t="str">
        <x:f>'Evaluation Plan'!N5</x:f>
        <x:v>Right</x:v>
      </x:c>
      <x:c r="O5" s="8" t="n">
        <x:f>'Evaluation Plan'!O5</x:f>
        <x:v>4</x:v>
      </x:c>
      <x:c r="P5" s="8" t="n">
        <x:f>IF(ISBLANK('Evaluation Plan'!P5),"",'Evaluation Plan'!P5)</x:f>
        <x:v>8</x:v>
      </x:c>
      <x:c r="Q5" s="8" t="str">
        <x:f>'Evaluation Plan'!Q5</x:f>
        <x:v>Build the listed manifest-supported scene.</x:v>
      </x:c>
      <x:c r="R5" s="9" t="str">
        <x:f>'Evaluation Plan'!R5</x:f>
        <x:v>Exact prompt and object composition from training episode 1155; this establishes the familiar largest × crushed Pepsi can cell.</x:v>
      </x:c>
      <x:c r="S5" s="9" t="str">
        <x:f>IF(ISBLANK('Evaluation Plan'!S5),"",'Evaluation Plan'!S5)</x:f>
      </x:c>
    </x:row>
    <x:row r="6" ht="67.5" customHeight="1">
      <x:c r="A6" s="8" t="s">
        <x:v>19</x:v>
      </x:c>
      <x:c r="B6" s="8" t="n">
        <x:f>'Evaluation Plan'!B6</x:f>
        <x:v>4</x:v>
      </x:c>
      <x:c r="C6" s="9" t="str">
        <x:f>'Evaluation Plan'!C6</x:f>
        <x:v>Pick up the smallest item and place it in the bowl.</x:v>
      </x:c>
      <x:c r="D6" s="9" t="str">
        <x:f>'Evaluation Plan'!D6</x:f>
        <x:v>Bowl: empty. Table, robot-left→robot-right: P1 juggling ball; P2 crushed Pepsi can; P3 green block; P4 red pencil sharpener. Adjacent centers 12 cm apart; row shifted 4 cm toward robot-left; all objects fully visible and grasp paths clear.</x:v>
      </x:c>
      <x:c r="E6" s="8" t="str">
        <x:f>IF(ISBLANK('Evaluation Plan'!E6),"",'Evaluation Plan'!E6)</x:f>
      </x:c>
      <x:c r="F6" s="8" t="str">
        <x:f>'Evaluation Plan'!F6</x:f>
        <x:v>1006</x:v>
      </x:c>
      <x:c r="G6" s="8" t="str">
        <x:f>'Evaluation Plan'!G6</x:f>
        <x:v>MOVE red pencil sharpener to bowl</x:v>
      </x:c>
      <x:c r="H6" s="9"/>
      <x:c r="I6" s="8" t="str">
        <x:f>'Evaluation Plan'!I6</x:f>
        <x:v>In-distribution concept baseline</x:v>
      </x:c>
      <x:c r="J6" s="8" t="str">
        <x:f>'Evaluation Plan'!J6</x:f>
        <x:v>SZ-ID-SH02</x:v>
      </x:c>
      <x:c r="K6" s="8" t="str">
        <x:f>'Evaluation Plan'!K6</x:f>
        <x:v>smallest</x:v>
      </x:c>
      <x:c r="L6" s="8" t="str">
        <x:f>'Evaluation Plan'!L6</x:f>
        <x:v>Explicitly trained smallest × red pencil sharpener</x:v>
      </x:c>
      <x:c r="M6" s="8" t="str">
        <x:f>'Evaluation Plan'!M6</x:f>
        <x:v>red pencil sharpener</x:v>
      </x:c>
      <x:c r="N6" s="8" t="str">
        <x:f>'Evaluation Plan'!N6</x:f>
        <x:v>Right</x:v>
      </x:c>
      <x:c r="O6" s="8" t="n">
        <x:f>'Evaluation Plan'!O6</x:f>
        <x:v>4</x:v>
      </x:c>
      <x:c r="P6" s="8" t="n">
        <x:f>IF(ISBLANK('Evaluation Plan'!P6),"",'Evaluation Plan'!P6)</x:f>
        <x:v>12</x:v>
      </x:c>
      <x:c r="Q6" s="8" t="str">
        <x:f>'Evaluation Plan'!Q6</x:f>
        <x:v>Build the listed manifest-supported scene.</x:v>
      </x:c>
      <x:c r="R6" s="9" t="str">
        <x:f>'Evaluation Plan'!R6</x:f>
        <x:v>Exact prompt and object composition from training episode 1006; this establishes the familiar smallest × red pencil sharpener cell.</x:v>
      </x:c>
      <x:c r="S6" s="9" t="str">
        <x:f>IF(ISBLANK('Evaluation Plan'!S6),"",'Evaluation Plan'!S6)</x:f>
      </x:c>
    </x:row>
    <x:row r="7" ht="67.5" customHeight="1">
      <x:c r="A7" s="8" t="s">
        <x:v>19</x:v>
      </x:c>
      <x:c r="B7" s="8" t="n">
        <x:f>'Evaluation Plan'!B7</x:f>
        <x:v>5</x:v>
      </x:c>
      <x:c r="C7" s="9" t="str">
        <x:f>'Evaluation Plan'!C7</x:f>
        <x:v>Pick up the smallest item and place it in the bowl.</x:v>
      </x:c>
      <x:c r="D7" s="9" t="str">
        <x:f>'Evaluation Plan'!D7</x:f>
        <x:v>Bowl: empty. Table, robot-left→robot-right: P1 green block; P2 juggling ball; P3 crushed Pepsi can. Adjacent centers 16 cm apart; row shifted 4 cm toward robot-right; all objects fully visible and grasp paths clear.</x:v>
      </x:c>
      <x:c r="E7" s="8" t="str">
        <x:f>IF(ISBLANK('Evaluation Plan'!E7),"",'Evaluation Plan'!E7)</x:f>
      </x:c>
      <x:c r="F7" s="8" t="str">
        <x:f>'Evaluation Plan'!F7</x:f>
        <x:v>1051</x:v>
      </x:c>
      <x:c r="G7" s="8" t="str">
        <x:f>'Evaluation Plan'!G7</x:f>
        <x:v>MOVE green block to bowl</x:v>
      </x:c>
      <x:c r="H7" s="9"/>
      <x:c r="I7" s="8" t="str">
        <x:f>'Evaluation Plan'!I7</x:f>
        <x:v>In-distribution concept baseline</x:v>
      </x:c>
      <x:c r="J7" s="8" t="str">
        <x:f>'Evaluation Plan'!J7</x:f>
        <x:v>SZ-ID-GB02</x:v>
      </x:c>
      <x:c r="K7" s="8" t="str">
        <x:f>'Evaluation Plan'!K7</x:f>
        <x:v>smallest</x:v>
      </x:c>
      <x:c r="L7" s="8" t="str">
        <x:f>'Evaluation Plan'!L7</x:f>
        <x:v>Explicitly trained smallest × green block</x:v>
      </x:c>
      <x:c r="M7" s="8" t="str">
        <x:f>'Evaluation Plan'!M7</x:f>
        <x:v>green block</x:v>
      </x:c>
      <x:c r="N7" s="8" t="str">
        <x:f>'Evaluation Plan'!N7</x:f>
        <x:v>Left</x:v>
      </x:c>
      <x:c r="O7" s="8" t="n">
        <x:f>'Evaluation Plan'!O7</x:f>
        <x:v>3</x:v>
      </x:c>
      <x:c r="P7" s="8" t="n">
        <x:f>IF(ISBLANK('Evaluation Plan'!P7),"",'Evaluation Plan'!P7)</x:f>
        <x:v>16</x:v>
      </x:c>
      <x:c r="Q7" s="8" t="str">
        <x:f>'Evaluation Plan'!Q7</x:f>
        <x:v>Build the listed manifest-supported scene.</x:v>
      </x:c>
      <x:c r="R7" s="9" t="str">
        <x:f>'Evaluation Plan'!R7</x:f>
        <x:v>Exact prompt and object composition from training episode 1051; this establishes the familiar smallest × green block cell.</x:v>
      </x:c>
      <x:c r="S7" s="9" t="str">
        <x:f>IF(ISBLANK('Evaluation Plan'!S7),"",'Evaluation Plan'!S7)</x:f>
      </x:c>
    </x:row>
    <x:row r="8" ht="67.5" customHeight="1">
      <x:c r="A8" s="8" t="s">
        <x:v>19</x:v>
      </x:c>
      <x:c r="B8" s="8" t="n">
        <x:f>'Evaluation Plan'!B8</x:f>
        <x:v>6</x:v>
      </x:c>
      <x:c r="C8" s="9" t="str">
        <x:f>'Evaluation Plan'!C8</x:f>
        <x:v>Pick up the largest item and place it in the bowl.</x:v>
      </x:c>
      <x:c r="D8" s="9" t="str">
        <x:f>'Evaluation Plan'!D8</x:f>
        <x:v>Bowl: empty. Table, robot-left→robot-right: P1 green block; P2 red pencil sharpener; P3 juggling ball. Adjacent centers 8 cm apart; row shifted 4 cm toward the robot; all objects fully visible and grasp paths clear.</x:v>
      </x:c>
      <x:c r="E8" s="8" t="str">
        <x:f>IF(ISBLANK('Evaluation Plan'!E8),"",'Evaluation Plan'!E8)</x:f>
      </x:c>
      <x:c r="F8" s="8" t="str">
        <x:f>'Evaluation Plan'!F8</x:f>
        <x:v>1126</x:v>
      </x:c>
      <x:c r="G8" s="8" t="str">
        <x:f>'Evaluation Plan'!G8</x:f>
        <x:v>MOVE juggling ball to bowl</x:v>
      </x:c>
      <x:c r="H8" s="9"/>
      <x:c r="I8" s="8" t="str">
        <x:f>'Evaluation Plan'!I8</x:f>
        <x:v>In-distribution concept baseline</x:v>
      </x:c>
      <x:c r="J8" s="8" t="str">
        <x:f>'Evaluation Plan'!J8</x:f>
        <x:v>SZ-ID-JB02</x:v>
      </x:c>
      <x:c r="K8" s="8" t="str">
        <x:f>'Evaluation Plan'!K8</x:f>
        <x:v>largest</x:v>
      </x:c>
      <x:c r="L8" s="8" t="str">
        <x:f>'Evaluation Plan'!L8</x:f>
        <x:v>Explicitly trained largest × juggling ball</x:v>
      </x:c>
      <x:c r="M8" s="8" t="str">
        <x:f>'Evaluation Plan'!M8</x:f>
        <x:v>juggling ball</x:v>
      </x:c>
      <x:c r="N8" s="8" t="str">
        <x:f>'Evaluation Plan'!N8</x:f>
        <x:v>Right</x:v>
      </x:c>
      <x:c r="O8" s="8" t="n">
        <x:f>'Evaluation Plan'!O8</x:f>
        <x:v>3</x:v>
      </x:c>
      <x:c r="P8" s="8" t="n">
        <x:f>IF(ISBLANK('Evaluation Plan'!P8),"",'Evaluation Plan'!P8)</x:f>
        <x:v>8</x:v>
      </x:c>
      <x:c r="Q8" s="8" t="str">
        <x:f>'Evaluation Plan'!Q8</x:f>
        <x:v>Build the listed manifest-supported scene.</x:v>
      </x:c>
      <x:c r="R8" s="9" t="str">
        <x:f>'Evaluation Plan'!R8</x:f>
        <x:v>Exact prompt and object composition from training episode 1126; this establishes the familiar largest × juggling ball cell.</x:v>
      </x:c>
      <x:c r="S8" s="9" t="str">
        <x:f>IF(ISBLANK('Evaluation Plan'!S8),"",'Evaluation Plan'!S8)</x:f>
      </x:c>
    </x:row>
    <x:row r="9" ht="67.5" customHeight="1">
      <x:c r="A9" s="8" t="s">
        <x:v>19</x:v>
      </x:c>
      <x:c r="B9" s="8" t="n">
        <x:f>'Evaluation Plan'!B9</x:f>
        <x:v>7</x:v>
      </x:c>
      <x:c r="C9" s="9" t="str">
        <x:f>'Evaluation Plan'!C9</x:f>
        <x:v>Move the object that is largest into the bowl.</x:v>
      </x:c>
      <x:c r="D9" s="9" t="str">
        <x:f>'Evaluation Plan'!D9</x:f>
        <x:v>Bowl: empty. Table, robot-left→robot-right: P1 crushed Pepsi can; P2 green block; P3 juggling ball; P4 red pencil sharpener. Adjacent centers 12 cm apart; row shifted 4 cm away from the robot; all objects fully visible and grasp paths clear.</x:v>
      </x:c>
      <x:c r="E9" s="8" t="str">
        <x:f>IF(ISBLANK('Evaluation Plan'!E9),"",'Evaluation Plan'!E9)</x:f>
      </x:c>
      <x:c r="F9" s="8" t="str">
        <x:f>'Evaluation Plan'!F9</x:f>
        <x:v>1156</x:v>
      </x:c>
      <x:c r="G9" s="8" t="str">
        <x:f>'Evaluation Plan'!G9</x:f>
        <x:v>MOVE crushed Pepsi can to bowl</x:v>
      </x:c>
      <x:c r="H9" s="9"/>
      <x:c r="I9" s="8" t="str">
        <x:f>'Evaluation Plan'!I9</x:f>
        <x:v>In-distribution concept baseline</x:v>
      </x:c>
      <x:c r="J9" s="8" t="str">
        <x:f>'Evaluation Plan'!J9</x:f>
        <x:v>SZ-ID-PC02</x:v>
      </x:c>
      <x:c r="K9" s="8" t="str">
        <x:f>'Evaluation Plan'!K9</x:f>
        <x:v>largest</x:v>
      </x:c>
      <x:c r="L9" s="8" t="str">
        <x:f>'Evaluation Plan'!L9</x:f>
        <x:v>Explicitly trained largest × crushed Pepsi can</x:v>
      </x:c>
      <x:c r="M9" s="8" t="str">
        <x:f>'Evaluation Plan'!M9</x:f>
        <x:v>crushed Pepsi can</x:v>
      </x:c>
      <x:c r="N9" s="8" t="str">
        <x:f>'Evaluation Plan'!N9</x:f>
        <x:v>Left</x:v>
      </x:c>
      <x:c r="O9" s="8" t="n">
        <x:f>'Evaluation Plan'!O9</x:f>
        <x:v>4</x:v>
      </x:c>
      <x:c r="P9" s="8" t="n">
        <x:f>IF(ISBLANK('Evaluation Plan'!P9),"",'Evaluation Plan'!P9)</x:f>
        <x:v>12</x:v>
      </x:c>
      <x:c r="Q9" s="8" t="str">
        <x:f>'Evaluation Plan'!Q9</x:f>
        <x:v>Build the listed manifest-supported scene.</x:v>
      </x:c>
      <x:c r="R9" s="9" t="str">
        <x:f>'Evaluation Plan'!R9</x:f>
        <x:v>Exact prompt and object composition from training episode 1156; this establishes the familiar largest × crushed Pepsi can cell.</x:v>
      </x:c>
      <x:c r="S9" s="9" t="str">
        <x:f>IF(ISBLANK('Evaluation Plan'!S9),"",'Evaluation Plan'!S9)</x:f>
      </x:c>
    </x:row>
    <x:row r="10" ht="67.5" customHeight="1">
      <x:c r="A10" s="8" t="s">
        <x:v>19</x:v>
      </x:c>
      <x:c r="B10" s="8" t="n">
        <x:f>'Evaluation Plan'!B10</x:f>
        <x:v>8</x:v>
      </x:c>
      <x:c r="C10" s="9" t="str">
        <x:f>'Evaluation Plan'!C10</x:f>
        <x:v>Move the object that is smallest into the bowl.</x:v>
      </x:c>
      <x:c r="D10" s="9" t="str">
        <x:f>'Evaluation Plan'!D10</x:f>
        <x:v>Bowl: empty. Table, robot-left→robot-right: P1 red pencil sharpener; P2 crushed Pepsi can; P3 green block; P4 juggling ball. Adjacent centers 16 cm apart; row shifted 4 cm toward robot-right; all objects fully visible and grasp paths clear.</x:v>
      </x:c>
      <x:c r="E10" s="8" t="str">
        <x:f>IF(ISBLANK('Evaluation Plan'!E10),"",'Evaluation Plan'!E10)</x:f>
      </x:c>
      <x:c r="F10" s="8" t="str">
        <x:f>'Evaluation Plan'!F10</x:f>
        <x:v>1007</x:v>
      </x:c>
      <x:c r="G10" s="8" t="str">
        <x:f>'Evaluation Plan'!G10</x:f>
        <x:v>MOVE red pencil sharpener to bowl</x:v>
      </x:c>
      <x:c r="H10" s="9"/>
      <x:c r="I10" s="8" t="str">
        <x:f>'Evaluation Plan'!I10</x:f>
        <x:v>In-distribution concept baseline</x:v>
      </x:c>
      <x:c r="J10" s="8" t="str">
        <x:f>'Evaluation Plan'!J10</x:f>
        <x:v>SZ-ID-SH03</x:v>
      </x:c>
      <x:c r="K10" s="8" t="str">
        <x:f>'Evaluation Plan'!K10</x:f>
        <x:v>smallest</x:v>
      </x:c>
      <x:c r="L10" s="8" t="str">
        <x:f>'Evaluation Plan'!L10</x:f>
        <x:v>Explicitly trained smallest × red pencil sharpener</x:v>
      </x:c>
      <x:c r="M10" s="8" t="str">
        <x:f>'Evaluation Plan'!M10</x:f>
        <x:v>red pencil sharpener</x:v>
      </x:c>
      <x:c r="N10" s="8" t="str">
        <x:f>'Evaluation Plan'!N10</x:f>
        <x:v>Left</x:v>
      </x:c>
      <x:c r="O10" s="8" t="n">
        <x:f>'Evaluation Plan'!O10</x:f>
        <x:v>4</x:v>
      </x:c>
      <x:c r="P10" s="8" t="n">
        <x:f>IF(ISBLANK('Evaluation Plan'!P10),"",'Evaluation Plan'!P10)</x:f>
        <x:v>16</x:v>
      </x:c>
      <x:c r="Q10" s="8" t="str">
        <x:f>'Evaluation Plan'!Q10</x:f>
        <x:v>Build the listed manifest-supported scene.</x:v>
      </x:c>
      <x:c r="R10" s="9" t="str">
        <x:f>'Evaluation Plan'!R10</x:f>
        <x:v>Exact prompt and object composition from training episode 1007; this establishes the familiar smallest × red pencil sharpener cell.</x:v>
      </x:c>
      <x:c r="S10" s="9" t="str">
        <x:f>IF(ISBLANK('Evaluation Plan'!S10),"",'Evaluation Plan'!S10)</x:f>
      </x:c>
    </x:row>
    <x:row r="11" ht="67.5" customHeight="1">
      <x:c r="A11" s="8" t="s">
        <x:v>19</x:v>
      </x:c>
      <x:c r="B11" s="8" t="n">
        <x:f>'Evaluation Plan'!B11</x:f>
        <x:v>9</x:v>
      </x:c>
      <x:c r="C11" s="9" t="str">
        <x:f>'Evaluation Plan'!C11</x:f>
        <x:v>Put the smallest object in the bowl.</x:v>
      </x:c>
      <x:c r="D11" s="9" t="str">
        <x:f>'Evaluation Plan'!D11</x:f>
        <x:v>Bowl: empty. Table, robot-left→robot-right: P1 crushed Pepsi can; P2 juggling ball; P3 green block. Adjacent centers 8 cm apart; row shifted 4 cm toward the robot; all objects fully visible and grasp paths clear.</x:v>
      </x:c>
      <x:c r="E11" s="8" t="str">
        <x:f>IF(ISBLANK('Evaluation Plan'!E11),"",'Evaluation Plan'!E11)</x:f>
      </x:c>
      <x:c r="F11" s="8" t="str">
        <x:f>'Evaluation Plan'!F11</x:f>
        <x:v>1052</x:v>
      </x:c>
      <x:c r="G11" s="8" t="str">
        <x:f>'Evaluation Plan'!G11</x:f>
        <x:v>MOVE green block to bowl</x:v>
      </x:c>
      <x:c r="H11" s="9"/>
      <x:c r="I11" s="8" t="str">
        <x:f>'Evaluation Plan'!I11</x:f>
        <x:v>In-distribution concept baseline</x:v>
      </x:c>
      <x:c r="J11" s="8" t="str">
        <x:f>'Evaluation Plan'!J11</x:f>
        <x:v>SZ-ID-GB03</x:v>
      </x:c>
      <x:c r="K11" s="8" t="str">
        <x:f>'Evaluation Plan'!K11</x:f>
        <x:v>smallest</x:v>
      </x:c>
      <x:c r="L11" s="8" t="str">
        <x:f>'Evaluation Plan'!L11</x:f>
        <x:v>Explicitly trained smallest × green block</x:v>
      </x:c>
      <x:c r="M11" s="8" t="str">
        <x:f>'Evaluation Plan'!M11</x:f>
        <x:v>green block</x:v>
      </x:c>
      <x:c r="N11" s="8" t="str">
        <x:f>'Evaluation Plan'!N11</x:f>
        <x:v>Right</x:v>
      </x:c>
      <x:c r="O11" s="8" t="n">
        <x:f>'Evaluation Plan'!O11</x:f>
        <x:v>3</x:v>
      </x:c>
      <x:c r="P11" s="8" t="n">
        <x:f>IF(ISBLANK('Evaluation Plan'!P11),"",'Evaluation Plan'!P11)</x:f>
        <x:v>8</x:v>
      </x:c>
      <x:c r="Q11" s="8" t="str">
        <x:f>'Evaluation Plan'!Q11</x:f>
        <x:v>Build the listed manifest-supported scene.</x:v>
      </x:c>
      <x:c r="R11" s="9" t="str">
        <x:f>'Evaluation Plan'!R11</x:f>
        <x:v>Exact prompt and object composition from training episode 1052; this establishes the familiar smallest × green block cell.</x:v>
      </x:c>
      <x:c r="S11" s="9" t="str">
        <x:f>IF(ISBLANK('Evaluation Plan'!S11),"",'Evaluation Plan'!S11)</x:f>
      </x:c>
    </x:row>
    <x:row r="12" ht="67.5" customHeight="1">
      <x:c r="A12" s="8" t="s">
        <x:v>19</x:v>
      </x:c>
      <x:c r="B12" s="8" t="n">
        <x:f>'Evaluation Plan'!B12</x:f>
        <x:v>10</x:v>
      </x:c>
      <x:c r="C12" s="9" t="str">
        <x:f>'Evaluation Plan'!C12</x:f>
        <x:v>Pick up the largest item and place it in the bowl.</x:v>
      </x:c>
      <x:c r="D12" s="9" t="str">
        <x:f>'Evaluation Plan'!D12</x:f>
        <x:v>Bowl: empty. Table, robot-left→robot-right: P1 juggling ball; P2 red pencil sharpener; P3 green block. Adjacent centers 12 cm apart; row shifted 4 cm away from the robot; all objects fully visible and grasp paths clear.</x:v>
      </x:c>
      <x:c r="E12" s="8" t="str">
        <x:f>IF(ISBLANK('Evaluation Plan'!E12),"",'Evaluation Plan'!E12)</x:f>
      </x:c>
      <x:c r="F12" s="8" t="str">
        <x:f>'Evaluation Plan'!F12</x:f>
        <x:v>1127</x:v>
      </x:c>
      <x:c r="G12" s="8" t="str">
        <x:f>'Evaluation Plan'!G12</x:f>
        <x:v>MOVE juggling ball to bowl</x:v>
      </x:c>
      <x:c r="H12" s="9"/>
      <x:c r="I12" s="8" t="str">
        <x:f>'Evaluation Plan'!I12</x:f>
        <x:v>In-distribution concept baseline</x:v>
      </x:c>
      <x:c r="J12" s="8" t="str">
        <x:f>'Evaluation Plan'!J12</x:f>
        <x:v>SZ-ID-JB03</x:v>
      </x:c>
      <x:c r="K12" s="8" t="str">
        <x:f>'Evaluation Plan'!K12</x:f>
        <x:v>largest</x:v>
      </x:c>
      <x:c r="L12" s="8" t="str">
        <x:f>'Evaluation Plan'!L12</x:f>
        <x:v>Explicitly trained largest × juggling ball</x:v>
      </x:c>
      <x:c r="M12" s="8" t="str">
        <x:f>'Evaluation Plan'!M12</x:f>
        <x:v>juggling ball</x:v>
      </x:c>
      <x:c r="N12" s="8" t="str">
        <x:f>'Evaluation Plan'!N12</x:f>
        <x:v>Left</x:v>
      </x:c>
      <x:c r="O12" s="8" t="n">
        <x:f>'Evaluation Plan'!O12</x:f>
        <x:v>3</x:v>
      </x:c>
      <x:c r="P12" s="8" t="n">
        <x:f>IF(ISBLANK('Evaluation Plan'!P12),"",'Evaluation Plan'!P12)</x:f>
        <x:v>12</x:v>
      </x:c>
      <x:c r="Q12" s="8" t="str">
        <x:f>'Evaluation Plan'!Q12</x:f>
        <x:v>Build the listed manifest-supported scene.</x:v>
      </x:c>
      <x:c r="R12" s="9" t="str">
        <x:f>'Evaluation Plan'!R12</x:f>
        <x:v>Exact prompt and object composition from training episode 1127; this establishes the familiar largest × juggling ball cell.</x:v>
      </x:c>
      <x:c r="S12" s="9" t="str">
        <x:f>IF(ISBLANK('Evaluation Plan'!S12),"",'Evaluation Plan'!S12)</x:f>
      </x:c>
    </x:row>
    <x:row r="13" ht="67.5" customHeight="1">
      <x:c r="A13" s="8" t="s">
        <x:v>19</x:v>
      </x:c>
      <x:c r="B13" s="8" t="n">
        <x:f>'Evaluation Plan'!B13</x:f>
        <x:v>11</x:v>
      </x:c>
      <x:c r="C13" s="9" t="str">
        <x:f>'Evaluation Plan'!C13</x:f>
        <x:v>Put the largest object in the bowl.</x:v>
      </x:c>
      <x:c r="D13" s="9" t="str">
        <x:f>'Evaluation Plan'!D13</x:f>
        <x:v>Bowl: empty. Table, robot-left→robot-right: P1 juggling ball; P2 red pencil sharpener; P3 green block; P4 crushed Pepsi can. Adjacent centers 16 cm apart; row centered on the workspace; all objects fully visible and grasp paths clear.</x:v>
      </x:c>
      <x:c r="E13" s="8" t="str">
        <x:f>IF(ISBLANK('Evaluation Plan'!E13),"",'Evaluation Plan'!E13)</x:f>
      </x:c>
      <x:c r="F13" s="8" t="str">
        <x:f>'Evaluation Plan'!F13</x:f>
        <x:v>1157</x:v>
      </x:c>
      <x:c r="G13" s="8" t="str">
        <x:f>'Evaluation Plan'!G13</x:f>
        <x:v>MOVE crushed Pepsi can to bowl</x:v>
      </x:c>
      <x:c r="H13" s="9"/>
      <x:c r="I13" s="8" t="str">
        <x:f>'Evaluation Plan'!I13</x:f>
        <x:v>In-distribution concept baseline</x:v>
      </x:c>
      <x:c r="J13" s="8" t="str">
        <x:f>'Evaluation Plan'!J13</x:f>
        <x:v>SZ-ID-PC03</x:v>
      </x:c>
      <x:c r="K13" s="8" t="str">
        <x:f>'Evaluation Plan'!K13</x:f>
        <x:v>largest</x:v>
      </x:c>
      <x:c r="L13" s="8" t="str">
        <x:f>'Evaluation Plan'!L13</x:f>
        <x:v>Explicitly trained largest × crushed Pepsi can</x:v>
      </x:c>
      <x:c r="M13" s="8" t="str">
        <x:f>'Evaluation Plan'!M13</x:f>
        <x:v>crushed Pepsi can</x:v>
      </x:c>
      <x:c r="N13" s="8" t="str">
        <x:f>'Evaluation Plan'!N13</x:f>
        <x:v>Right</x:v>
      </x:c>
      <x:c r="O13" s="8" t="n">
        <x:f>'Evaluation Plan'!O13</x:f>
        <x:v>4</x:v>
      </x:c>
      <x:c r="P13" s="8" t="n">
        <x:f>IF(ISBLANK('Evaluation Plan'!P13),"",'Evaluation Plan'!P13)</x:f>
        <x:v>16</x:v>
      </x:c>
      <x:c r="Q13" s="8" t="str">
        <x:f>'Evaluation Plan'!Q13</x:f>
        <x:v>Build the listed manifest-supported scene.</x:v>
      </x:c>
      <x:c r="R13" s="9" t="str">
        <x:f>'Evaluation Plan'!R13</x:f>
        <x:v>Exact prompt and object composition from training episode 1157; this establishes the familiar largest × crushed Pepsi can cell.</x:v>
      </x:c>
      <x:c r="S13" s="9" t="str">
        <x:f>IF(ISBLANK('Evaluation Plan'!S13),"",'Evaluation Plan'!S13)</x:f>
      </x:c>
    </x:row>
    <x:row r="14" ht="67.5" customHeight="1">
      <x:c r="A14" s="8" t="s">
        <x:v>19</x:v>
      </x:c>
      <x:c r="B14" s="8" t="n">
        <x:f>'Evaluation Plan'!B14</x:f>
        <x:v>12</x:v>
      </x:c>
      <x:c r="C14" s="9" t="str">
        <x:f>'Evaluation Plan'!C14</x:f>
        <x:v>Put the smallest object in the bowl.</x:v>
      </x:c>
      <x:c r="D14" s="9" t="str">
        <x:f>'Evaluation Plan'!D14</x:f>
        <x:v>Bowl: empty. Table, robot-left→robot-right: P1 green block; P2 juggling ball; P3 crushed Pepsi can; P4 red pencil sharpener. Adjacent centers 8 cm apart; row shifted 4 cm toward the robot; all objects fully visible and grasp paths clear.</x:v>
      </x:c>
      <x:c r="E14" s="8" t="str">
        <x:f>IF(ISBLANK('Evaluation Plan'!E14),"",'Evaluation Plan'!E14)</x:f>
      </x:c>
      <x:c r="F14" s="8" t="str">
        <x:f>'Evaluation Plan'!F14</x:f>
        <x:v>1008</x:v>
      </x:c>
      <x:c r="G14" s="8" t="str">
        <x:f>'Evaluation Plan'!G14</x:f>
        <x:v>MOVE red pencil sharpener to bowl</x:v>
      </x:c>
      <x:c r="H14" s="9"/>
      <x:c r="I14" s="8" t="str">
        <x:f>'Evaluation Plan'!I14</x:f>
        <x:v>In-distribution concept baseline</x:v>
      </x:c>
      <x:c r="J14" s="8" t="str">
        <x:f>'Evaluation Plan'!J14</x:f>
        <x:v>SZ-ID-SH04</x:v>
      </x:c>
      <x:c r="K14" s="8" t="str">
        <x:f>'Evaluation Plan'!K14</x:f>
        <x:v>smallest</x:v>
      </x:c>
      <x:c r="L14" s="8" t="str">
        <x:f>'Evaluation Plan'!L14</x:f>
        <x:v>Explicitly trained smallest × red pencil sharpener</x:v>
      </x:c>
      <x:c r="M14" s="8" t="str">
        <x:f>'Evaluation Plan'!M14</x:f>
        <x:v>red pencil sharpener</x:v>
      </x:c>
      <x:c r="N14" s="8" t="str">
        <x:f>'Evaluation Plan'!N14</x:f>
        <x:v>Right</x:v>
      </x:c>
      <x:c r="O14" s="8" t="n">
        <x:f>'Evaluation Plan'!O14</x:f>
        <x:v>4</x:v>
      </x:c>
      <x:c r="P14" s="8" t="n">
        <x:f>IF(ISBLANK('Evaluation Plan'!P14),"",'Evaluation Plan'!P14)</x:f>
        <x:v>8</x:v>
      </x:c>
      <x:c r="Q14" s="8" t="str">
        <x:f>'Evaluation Plan'!Q14</x:f>
        <x:v>Build the listed manifest-supported scene.</x:v>
      </x:c>
      <x:c r="R14" s="9" t="str">
        <x:f>'Evaluation Plan'!R14</x:f>
        <x:v>Exact prompt and object composition from training episode 1008; this establishes the familiar smallest × red pencil sharpener cell.</x:v>
      </x:c>
      <x:c r="S14" s="9" t="str">
        <x:f>IF(ISBLANK('Evaluation Plan'!S14),"",'Evaluation Plan'!S14)</x:f>
      </x:c>
    </x:row>
    <x:row r="15" ht="67.5" customHeight="1">
      <x:c r="A15" s="8" t="s">
        <x:v>19</x:v>
      </x:c>
      <x:c r="B15" s="8" t="n">
        <x:f>'Evaluation Plan'!B15</x:f>
        <x:v>13</x:v>
      </x:c>
      <x:c r="C15" s="9" t="str">
        <x:f>'Evaluation Plan'!C15</x:f>
        <x:v>Put the smallest object in the bowl.</x:v>
      </x:c>
      <x:c r="D15" s="9" t="str">
        <x:f>'Evaluation Plan'!D15</x:f>
        <x:v>Bowl: empty. Table, robot-left→robot-right: P1 green block; P2 juggling ball; P3 crushed Pepsi can. Adjacent centers 12 cm apart; row shifted 4 cm away from the robot; all objects fully visible and grasp paths clear.</x:v>
      </x:c>
      <x:c r="E15" s="8" t="str">
        <x:f>IF(ISBLANK('Evaluation Plan'!E15),"",'Evaluation Plan'!E15)</x:f>
      </x:c>
      <x:c r="F15" s="8" t="str">
        <x:f>'Evaluation Plan'!F15</x:f>
        <x:v>1053</x:v>
      </x:c>
      <x:c r="G15" s="8" t="str">
        <x:f>'Evaluation Plan'!G15</x:f>
        <x:v>MOVE green block to bowl</x:v>
      </x:c>
      <x:c r="H15" s="9"/>
      <x:c r="I15" s="8" t="str">
        <x:f>'Evaluation Plan'!I15</x:f>
        <x:v>In-distribution concept baseline</x:v>
      </x:c>
      <x:c r="J15" s="8" t="str">
        <x:f>'Evaluation Plan'!J15</x:f>
        <x:v>SZ-ID-GB04</x:v>
      </x:c>
      <x:c r="K15" s="8" t="str">
        <x:f>'Evaluation Plan'!K15</x:f>
        <x:v>smallest</x:v>
      </x:c>
      <x:c r="L15" s="8" t="str">
        <x:f>'Evaluation Plan'!L15</x:f>
        <x:v>Explicitly trained smallest × green block</x:v>
      </x:c>
      <x:c r="M15" s="8" t="str">
        <x:f>'Evaluation Plan'!M15</x:f>
        <x:v>green block</x:v>
      </x:c>
      <x:c r="N15" s="8" t="str">
        <x:f>'Evaluation Plan'!N15</x:f>
        <x:v>Left</x:v>
      </x:c>
      <x:c r="O15" s="8" t="n">
        <x:f>'Evaluation Plan'!O15</x:f>
        <x:v>3</x:v>
      </x:c>
      <x:c r="P15" s="8" t="n">
        <x:f>IF(ISBLANK('Evaluation Plan'!P15),"",'Evaluation Plan'!P15)</x:f>
        <x:v>12</x:v>
      </x:c>
      <x:c r="Q15" s="8" t="str">
        <x:f>'Evaluation Plan'!Q15</x:f>
        <x:v>Build the listed manifest-supported scene.</x:v>
      </x:c>
      <x:c r="R15" s="9" t="str">
        <x:f>'Evaluation Plan'!R15</x:f>
        <x:v>Exact prompt and object composition from training episode 1053; this establishes the familiar smallest × green block cell.</x:v>
      </x:c>
      <x:c r="S15" s="9" t="str">
        <x:f>IF(ISBLANK('Evaluation Plan'!S15),"",'Evaluation Plan'!S15)</x:f>
      </x:c>
    </x:row>
    <x:row r="16" ht="67.5" customHeight="1">
      <x:c r="A16" s="8" t="s">
        <x:v>19</x:v>
      </x:c>
      <x:c r="B16" s="8" t="n">
        <x:f>'Evaluation Plan'!B16</x:f>
        <x:v>14</x:v>
      </x:c>
      <x:c r="C16" s="9" t="str">
        <x:f>'Evaluation Plan'!C16</x:f>
        <x:v>Pick up the largest item and place it in the bowl.</x:v>
      </x:c>
      <x:c r="D16" s="9" t="str">
        <x:f>'Evaluation Plan'!D16</x:f>
        <x:v>Bowl: empty. Table, robot-left→robot-right: P1 green block; P2 red pencil sharpener; P3 juggling ball. Adjacent centers 16 cm apart; row centered on the workspace; all objects fully visible and grasp paths clear.</x:v>
      </x:c>
      <x:c r="E16" s="8" t="str">
        <x:f>IF(ISBLANK('Evaluation Plan'!E16),"",'Evaluation Plan'!E16)</x:f>
      </x:c>
      <x:c r="F16" s="8" t="str">
        <x:f>'Evaluation Plan'!F16</x:f>
        <x:v>1128</x:v>
      </x:c>
      <x:c r="G16" s="8" t="str">
        <x:f>'Evaluation Plan'!G16</x:f>
        <x:v>MOVE juggling ball to bowl</x:v>
      </x:c>
      <x:c r="H16" s="9"/>
      <x:c r="I16" s="8" t="str">
        <x:f>'Evaluation Plan'!I16</x:f>
        <x:v>In-distribution concept baseline</x:v>
      </x:c>
      <x:c r="J16" s="8" t="str">
        <x:f>'Evaluation Plan'!J16</x:f>
        <x:v>SZ-ID-JB04</x:v>
      </x:c>
      <x:c r="K16" s="8" t="str">
        <x:f>'Evaluation Plan'!K16</x:f>
        <x:v>largest</x:v>
      </x:c>
      <x:c r="L16" s="8" t="str">
        <x:f>'Evaluation Plan'!L16</x:f>
        <x:v>Explicitly trained largest × juggling ball</x:v>
      </x:c>
      <x:c r="M16" s="8" t="str">
        <x:f>'Evaluation Plan'!M16</x:f>
        <x:v>juggling ball</x:v>
      </x:c>
      <x:c r="N16" s="8" t="str">
        <x:f>'Evaluation Plan'!N16</x:f>
        <x:v>Right</x:v>
      </x:c>
      <x:c r="O16" s="8" t="n">
        <x:f>'Evaluation Plan'!O16</x:f>
        <x:v>3</x:v>
      </x:c>
      <x:c r="P16" s="8" t="n">
        <x:f>IF(ISBLANK('Evaluation Plan'!P16),"",'Evaluation Plan'!P16)</x:f>
        <x:v>16</x:v>
      </x:c>
      <x:c r="Q16" s="8" t="str">
        <x:f>'Evaluation Plan'!Q16</x:f>
        <x:v>Build the listed manifest-supported scene.</x:v>
      </x:c>
      <x:c r="R16" s="9" t="str">
        <x:f>'Evaluation Plan'!R16</x:f>
        <x:v>Exact prompt and object composition from training episode 1128; this establishes the familiar largest × juggling ball cell.</x:v>
      </x:c>
      <x:c r="S16" s="9" t="str">
        <x:f>IF(ISBLANK('Evaluation Plan'!S16),"",'Evaluation Plan'!S16)</x:f>
      </x:c>
    </x:row>
    <x:row r="17" ht="67.5" customHeight="1">
      <x:c r="A17" s="8" t="s">
        <x:v>19</x:v>
      </x:c>
      <x:c r="B17" s="8" t="n">
        <x:f>'Evaluation Plan'!B17</x:f>
        <x:v>15</x:v>
      </x:c>
      <x:c r="C17" s="9" t="str">
        <x:f>'Evaluation Plan'!C17</x:f>
        <x:v>Put the largest object in the bowl.</x:v>
      </x:c>
      <x:c r="D17" s="9" t="str">
        <x:f>'Evaluation Plan'!D17</x:f>
        <x:v>Bowl: empty. Table, robot-left→robot-right: P1 crushed Pepsi can; P2 red pencil sharpener; P3 green block; P4 juggling ball. Adjacent centers 8 cm apart; row shifted 4 cm toward robot-left; all objects fully visible and grasp paths clear.</x:v>
      </x:c>
      <x:c r="E17" s="8" t="str">
        <x:f>IF(ISBLANK('Evaluation Plan'!E17),"",'Evaluation Plan'!E17)</x:f>
      </x:c>
      <x:c r="F17" s="8" t="str">
        <x:f>'Evaluation Plan'!F17</x:f>
        <x:v>1158</x:v>
      </x:c>
      <x:c r="G17" s="8" t="str">
        <x:f>'Evaluation Plan'!G17</x:f>
        <x:v>MOVE crushed Pepsi can to bowl</x:v>
      </x:c>
      <x:c r="H17" s="9"/>
      <x:c r="I17" s="8" t="str">
        <x:f>'Evaluation Plan'!I17</x:f>
        <x:v>In-distribution concept baseline</x:v>
      </x:c>
      <x:c r="J17" s="8" t="str">
        <x:f>'Evaluation Plan'!J17</x:f>
        <x:v>SZ-ID-PC04</x:v>
      </x:c>
      <x:c r="K17" s="8" t="str">
        <x:f>'Evaluation Plan'!K17</x:f>
        <x:v>largest</x:v>
      </x:c>
      <x:c r="L17" s="8" t="str">
        <x:f>'Evaluation Plan'!L17</x:f>
        <x:v>Explicitly trained largest × crushed Pepsi can</x:v>
      </x:c>
      <x:c r="M17" s="8" t="str">
        <x:f>'Evaluation Plan'!M17</x:f>
        <x:v>crushed Pepsi can</x:v>
      </x:c>
      <x:c r="N17" s="8" t="str">
        <x:f>'Evaluation Plan'!N17</x:f>
        <x:v>Left</x:v>
      </x:c>
      <x:c r="O17" s="8" t="n">
        <x:f>'Evaluation Plan'!O17</x:f>
        <x:v>4</x:v>
      </x:c>
      <x:c r="P17" s="8" t="n">
        <x:f>IF(ISBLANK('Evaluation Plan'!P17),"",'Evaluation Plan'!P17)</x:f>
        <x:v>8</x:v>
      </x:c>
      <x:c r="Q17" s="8" t="str">
        <x:f>'Evaluation Plan'!Q17</x:f>
        <x:v>Build the listed manifest-supported scene.</x:v>
      </x:c>
      <x:c r="R17" s="9" t="str">
        <x:f>'Evaluation Plan'!R17</x:f>
        <x:v>Exact prompt and object composition from training episode 1158; this establishes the familiar largest × crushed Pepsi can cell.</x:v>
      </x:c>
      <x:c r="S17" s="9" t="str">
        <x:f>IF(ISBLANK('Evaluation Plan'!S17),"",'Evaluation Plan'!S17)</x:f>
      </x:c>
    </x:row>
    <x:row r="18" ht="67.5" customHeight="1">
      <x:c r="A18" s="8" t="s">
        <x:v>19</x:v>
      </x:c>
      <x:c r="B18" s="8" t="n">
        <x:f>'Evaluation Plan'!B18</x:f>
        <x:v>16</x:v>
      </x:c>
      <x:c r="C18" s="9" t="str">
        <x:f>'Evaluation Plan'!C18</x:f>
        <x:v>Move the object that is smallest into the bowl.</x:v>
      </x:c>
      <x:c r="D18" s="9" t="str">
        <x:f>'Evaluation Plan'!D18</x:f>
        <x:v>Bowl: empty. Table, robot-left→robot-right: P1 red pencil sharpener; P2 juggling ball; P3 crushed Pepsi can; P4 green block. Adjacent centers 12 cm apart; row shifted 4 cm away from the robot; all objects fully visible and grasp paths clear.</x:v>
      </x:c>
      <x:c r="E18" s="8" t="str">
        <x:f>IF(ISBLANK('Evaluation Plan'!E18),"",'Evaluation Plan'!E18)</x:f>
      </x:c>
      <x:c r="F18" s="8" t="str">
        <x:f>'Evaluation Plan'!F18</x:f>
        <x:v>1009</x:v>
      </x:c>
      <x:c r="G18" s="8" t="str">
        <x:f>'Evaluation Plan'!G18</x:f>
        <x:v>MOVE red pencil sharpener to bowl</x:v>
      </x:c>
      <x:c r="H18" s="9"/>
      <x:c r="I18" s="8" t="str">
        <x:f>'Evaluation Plan'!I18</x:f>
        <x:v>In-distribution concept baseline</x:v>
      </x:c>
      <x:c r="J18" s="8" t="str">
        <x:f>'Evaluation Plan'!J18</x:f>
        <x:v>SZ-ID-SH05</x:v>
      </x:c>
      <x:c r="K18" s="8" t="str">
        <x:f>'Evaluation Plan'!K18</x:f>
        <x:v>smallest</x:v>
      </x:c>
      <x:c r="L18" s="8" t="str">
        <x:f>'Evaluation Plan'!L18</x:f>
        <x:v>Explicitly trained smallest × red pencil sharpener</x:v>
      </x:c>
      <x:c r="M18" s="8" t="str">
        <x:f>'Evaluation Plan'!M18</x:f>
        <x:v>red pencil sharpener</x:v>
      </x:c>
      <x:c r="N18" s="8" t="str">
        <x:f>'Evaluation Plan'!N18</x:f>
        <x:v>Left</x:v>
      </x:c>
      <x:c r="O18" s="8" t="n">
        <x:f>'Evaluation Plan'!O18</x:f>
        <x:v>4</x:v>
      </x:c>
      <x:c r="P18" s="8" t="n">
        <x:f>IF(ISBLANK('Evaluation Plan'!P18),"",'Evaluation Plan'!P18)</x:f>
        <x:v>12</x:v>
      </x:c>
      <x:c r="Q18" s="8" t="str">
        <x:f>'Evaluation Plan'!Q18</x:f>
        <x:v>Build the listed manifest-supported scene.</x:v>
      </x:c>
      <x:c r="R18" s="9" t="str">
        <x:f>'Evaluation Plan'!R18</x:f>
        <x:v>Exact prompt and object composition from training episode 1009; this establishes the familiar smallest × red pencil sharpener cell.</x:v>
      </x:c>
      <x:c r="S18" s="9" t="str">
        <x:f>IF(ISBLANK('Evaluation Plan'!S18),"",'Evaluation Plan'!S18)</x:f>
      </x:c>
    </x:row>
    <x:row r="19" ht="67.5" customHeight="1">
      <x:c r="A19" s="8" t="s">
        <x:v>19</x:v>
      </x:c>
      <x:c r="B19" s="8" t="n">
        <x:f>'Evaluation Plan'!B19</x:f>
        <x:v>17</x:v>
      </x:c>
      <x:c r="C19" s="9" t="str">
        <x:f>'Evaluation Plan'!C19</x:f>
        <x:v>Put the smallest object in the bowl.</x:v>
      </x:c>
      <x:c r="D19" s="9" t="str">
        <x:f>'Evaluation Plan'!D19</x:f>
        <x:v>Bowl: empty. Table, robot-left→robot-right: P1 crushed Pepsi can; P2 juggling ball; P3 green block. Adjacent centers 16 cm apart; row centered on the workspace; all objects fully visible and grasp paths clear.</x:v>
      </x:c>
      <x:c r="E19" s="8" t="str">
        <x:f>IF(ISBLANK('Evaluation Plan'!E19),"",'Evaluation Plan'!E19)</x:f>
      </x:c>
      <x:c r="F19" s="8" t="str">
        <x:f>'Evaluation Plan'!F19</x:f>
        <x:v>1054</x:v>
      </x:c>
      <x:c r="G19" s="8" t="str">
        <x:f>'Evaluation Plan'!G19</x:f>
        <x:v>MOVE green block to bowl</x:v>
      </x:c>
      <x:c r="H19" s="9"/>
      <x:c r="I19" s="8" t="str">
        <x:f>'Evaluation Plan'!I19</x:f>
        <x:v>In-distribution concept baseline</x:v>
      </x:c>
      <x:c r="J19" s="8" t="str">
        <x:f>'Evaluation Plan'!J19</x:f>
        <x:v>SZ-ID-GB05</x:v>
      </x:c>
      <x:c r="K19" s="8" t="str">
        <x:f>'Evaluation Plan'!K19</x:f>
        <x:v>smallest</x:v>
      </x:c>
      <x:c r="L19" s="8" t="str">
        <x:f>'Evaluation Plan'!L19</x:f>
        <x:v>Explicitly trained smallest × green block</x:v>
      </x:c>
      <x:c r="M19" s="8" t="str">
        <x:f>'Evaluation Plan'!M19</x:f>
        <x:v>green block</x:v>
      </x:c>
      <x:c r="N19" s="8" t="str">
        <x:f>'Evaluation Plan'!N19</x:f>
        <x:v>Right</x:v>
      </x:c>
      <x:c r="O19" s="8" t="n">
        <x:f>'Evaluation Plan'!O19</x:f>
        <x:v>3</x:v>
      </x:c>
      <x:c r="P19" s="8" t="n">
        <x:f>IF(ISBLANK('Evaluation Plan'!P19),"",'Evaluation Plan'!P19)</x:f>
        <x:v>16</x:v>
      </x:c>
      <x:c r="Q19" s="8" t="str">
        <x:f>'Evaluation Plan'!Q19</x:f>
        <x:v>Build the listed manifest-supported scene.</x:v>
      </x:c>
      <x:c r="R19" s="9" t="str">
        <x:f>'Evaluation Plan'!R19</x:f>
        <x:v>Exact prompt and object composition from training episode 1054; this establishes the familiar smallest × green block cell.</x:v>
      </x:c>
      <x:c r="S19" s="9" t="str">
        <x:f>IF(ISBLANK('Evaluation Plan'!S19),"",'Evaluation Plan'!S19)</x:f>
      </x:c>
    </x:row>
    <x:row r="20" ht="67.5" customHeight="1">
      <x:c r="A20" s="8" t="s">
        <x:v>19</x:v>
      </x:c>
      <x:c r="B20" s="8" t="n">
        <x:f>'Evaluation Plan'!B20</x:f>
        <x:v>18</x:v>
      </x:c>
      <x:c r="C20" s="9" t="str">
        <x:f>'Evaluation Plan'!C20</x:f>
        <x:v>Put the largest object in the bowl.</x:v>
      </x:c>
      <x:c r="D20" s="9" t="str">
        <x:f>'Evaluation Plan'!D20</x:f>
        <x:v>Bowl: empty. Table, robot-left→robot-right: P1 juggling ball; P2 red pencil sharpener; P3 green block. Adjacent centers 8 cm apart; row shifted 4 cm toward robot-left; all objects fully visible and grasp paths clear.</x:v>
      </x:c>
      <x:c r="E20" s="8" t="str">
        <x:f>IF(ISBLANK('Evaluation Plan'!E20),"",'Evaluation Plan'!E20)</x:f>
      </x:c>
      <x:c r="F20" s="8" t="str">
        <x:f>'Evaluation Plan'!F20</x:f>
        <x:v>1129</x:v>
      </x:c>
      <x:c r="G20" s="8" t="str">
        <x:f>'Evaluation Plan'!G20</x:f>
        <x:v>MOVE juggling ball to bowl</x:v>
      </x:c>
      <x:c r="H20" s="9"/>
      <x:c r="I20" s="8" t="str">
        <x:f>'Evaluation Plan'!I20</x:f>
        <x:v>In-distribution concept baseline</x:v>
      </x:c>
      <x:c r="J20" s="8" t="str">
        <x:f>'Evaluation Plan'!J20</x:f>
        <x:v>SZ-ID-JB05</x:v>
      </x:c>
      <x:c r="K20" s="8" t="str">
        <x:f>'Evaluation Plan'!K20</x:f>
        <x:v>largest</x:v>
      </x:c>
      <x:c r="L20" s="8" t="str">
        <x:f>'Evaluation Plan'!L20</x:f>
        <x:v>Explicitly trained largest × juggling ball</x:v>
      </x:c>
      <x:c r="M20" s="8" t="str">
        <x:f>'Evaluation Plan'!M20</x:f>
        <x:v>juggling ball</x:v>
      </x:c>
      <x:c r="N20" s="8" t="str">
        <x:f>'Evaluation Plan'!N20</x:f>
        <x:v>Left</x:v>
      </x:c>
      <x:c r="O20" s="8" t="n">
        <x:f>'Evaluation Plan'!O20</x:f>
        <x:v>3</x:v>
      </x:c>
      <x:c r="P20" s="8" t="n">
        <x:f>IF(ISBLANK('Evaluation Plan'!P20),"",'Evaluation Plan'!P20)</x:f>
        <x:v>8</x:v>
      </x:c>
      <x:c r="Q20" s="8" t="str">
        <x:f>'Evaluation Plan'!Q20</x:f>
        <x:v>Build the listed manifest-supported scene.</x:v>
      </x:c>
      <x:c r="R20" s="9" t="str">
        <x:f>'Evaluation Plan'!R20</x:f>
        <x:v>Exact prompt and object composition from training episode 1129; this establishes the familiar largest × juggling ball cell.</x:v>
      </x:c>
      <x:c r="S20" s="9" t="str">
        <x:f>IF(ISBLANK('Evaluation Plan'!S20),"",'Evaluation Plan'!S20)</x:f>
      </x:c>
    </x:row>
    <x:row r="21" ht="67.5" customHeight="1">
      <x:c r="A21" s="8" t="s">
        <x:v>19</x:v>
      </x:c>
      <x:c r="B21" s="8" t="n">
        <x:f>'Evaluation Plan'!B21</x:f>
        <x:v>19</x:v>
      </x:c>
      <x:c r="C21" s="9" t="str">
        <x:f>'Evaluation Plan'!C21</x:f>
        <x:v>Move the object that is largest into the bowl.</x:v>
      </x:c>
      <x:c r="D21" s="9" t="str">
        <x:f>'Evaluation Plan'!D21</x:f>
        <x:v>Bowl: empty. Table, robot-left→robot-right: P1 green block; P2 juggling ball; P3 red pencil sharpener; P4 crushed Pepsi can. Adjacent centers 12 cm apart; row shifted 4 cm toward robot-right; all objects fully visible and grasp paths clear.</x:v>
      </x:c>
      <x:c r="E21" s="8" t="str">
        <x:f>IF(ISBLANK('Evaluation Plan'!E21),"",'Evaluation Plan'!E21)</x:f>
      </x:c>
      <x:c r="F21" s="8" t="str">
        <x:f>'Evaluation Plan'!F21</x:f>
        <x:v>1159</x:v>
      </x:c>
      <x:c r="G21" s="8" t="str">
        <x:f>'Evaluation Plan'!G21</x:f>
        <x:v>MOVE crushed Pepsi can to bowl</x:v>
      </x:c>
      <x:c r="H21" s="9"/>
      <x:c r="I21" s="8" t="str">
        <x:f>'Evaluation Plan'!I21</x:f>
        <x:v>In-distribution concept baseline</x:v>
      </x:c>
      <x:c r="J21" s="8" t="str">
        <x:f>'Evaluation Plan'!J21</x:f>
        <x:v>SZ-ID-PC05</x:v>
      </x:c>
      <x:c r="K21" s="8" t="str">
        <x:f>'Evaluation Plan'!K21</x:f>
        <x:v>largest</x:v>
      </x:c>
      <x:c r="L21" s="8" t="str">
        <x:f>'Evaluation Plan'!L21</x:f>
        <x:v>Explicitly trained largest × crushed Pepsi can</x:v>
      </x:c>
      <x:c r="M21" s="8" t="str">
        <x:f>'Evaluation Plan'!M21</x:f>
        <x:v>crushed Pepsi can</x:v>
      </x:c>
      <x:c r="N21" s="8" t="str">
        <x:f>'Evaluation Plan'!N21</x:f>
        <x:v>Right</x:v>
      </x:c>
      <x:c r="O21" s="8" t="n">
        <x:f>'Evaluation Plan'!O21</x:f>
        <x:v>4</x:v>
      </x:c>
      <x:c r="P21" s="8" t="n">
        <x:f>IF(ISBLANK('Evaluation Plan'!P21),"",'Evaluation Plan'!P21)</x:f>
        <x:v>12</x:v>
      </x:c>
      <x:c r="Q21" s="8" t="str">
        <x:f>'Evaluation Plan'!Q21</x:f>
        <x:v>Build the listed manifest-supported scene.</x:v>
      </x:c>
      <x:c r="R21" s="9" t="str">
        <x:f>'Evaluation Plan'!R21</x:f>
        <x:v>Exact prompt and object composition from training episode 1159; this establishes the familiar largest × crushed Pepsi can cell.</x:v>
      </x:c>
      <x:c r="S21" s="9" t="str">
        <x:f>IF(ISBLANK('Evaluation Plan'!S21),"",'Evaluation Plan'!S21)</x:f>
      </x:c>
    </x:row>
    <x:row r="22" ht="67.5" customHeight="1">
      <x:c r="A22" s="8" t="s">
        <x:v>19</x:v>
      </x:c>
      <x:c r="B22" s="8" t="n">
        <x:f>'Evaluation Plan'!B22</x:f>
        <x:v>20</x:v>
      </x:c>
      <x:c r="C22" s="9" t="str">
        <x:f>'Evaluation Plan'!C22</x:f>
        <x:v>Move the object that is largest into the bowl.</x:v>
      </x:c>
      <x:c r="D22" s="9" t="str">
        <x:f>'Evaluation Plan'!D22</x:f>
        <x:v>Bowl: empty. Table, robot-left→robot-right: P1 green block; P2 red pencil sharpener. Adjacent centers 8 cm apart; row centered on the workspace; all objects fully visible and grasp paths clear.</x:v>
      </x:c>
      <x:c r="E22" s="8" t="str">
        <x:f>IF(ISBLANK('Evaluation Plan'!E22),"",'Evaluation Plan'!E22)</x:f>
      </x:c>
      <x:c r="F22" s="8" t="str">
        <x:f>'Evaluation Plan'!F22</x:f>
        <x:v>1080</x:v>
      </x:c>
      <x:c r="G22" s="8" t="str">
        <x:f>'Evaluation Plan'!G22</x:f>
        <x:v>MOVE green block to bowl</x:v>
      </x:c>
      <x:c r="H22" s="9"/>
      <x:c r="I22" s="8" t="str">
        <x:f>'Evaluation Plan'!I22</x:f>
        <x:v>Concept/compositional transfer</x:v>
      </x:c>
      <x:c r="J22" s="8" t="str">
        <x:f>'Evaluation Plan'!J22</x:f>
        <x:v>SZ-CT-LG01</x:v>
      </x:c>
      <x:c r="K22" s="8" t="str">
        <x:f>'Evaluation Plan'!K22</x:f>
        <x:v>largest</x:v>
      </x:c>
      <x:c r="L22" s="8" t="str">
        <x:f>'Evaluation Plan'!L22</x:f>
        <x:v>Held-out largest × green block — Move</x:v>
      </x:c>
      <x:c r="M22" s="8" t="str">
        <x:f>'Evaluation Plan'!M22</x:f>
        <x:v>green block</x:v>
      </x:c>
      <x:c r="N22" s="8" t="str">
        <x:f>'Evaluation Plan'!N22</x:f>
        <x:v>Left</x:v>
      </x:c>
      <x:c r="O22" s="8" t="n">
        <x:f>'Evaluation Plan'!O22</x:f>
        <x:v>2</x:v>
      </x:c>
      <x:c r="P22" s="8" t="n">
        <x:f>IF(ISBLANK('Evaluation Plan'!P22),"",'Evaluation Plan'!P22)</x:f>
        <x:v>8</x:v>
      </x:c>
      <x:c r="Q22" s="8" t="str">
        <x:f>'Evaluation Plan'!Q22</x:f>
        <x:v>Build the listed two-object scene and save a first-frame filename.</x:v>
      </x:c>
      <x:c r="R22" s="9" t="str">
        <x:f>'Evaluation Plan'!R22</x:f>
        <x:v>Primary missing cell. Training episode 1080 contains the same target trajectory but masks the size word with a direct identity prompt.</x:v>
      </x:c>
      <x:c r="S22" s="9" t="str">
        <x:f>IF(ISBLANK('Evaluation Plan'!S22),"",'Evaluation Plan'!S22)</x:f>
      </x:c>
    </x:row>
    <x:row r="23" ht="67.5" customHeight="1">
      <x:c r="A23" s="16" t="s">
        <x:v>19</x:v>
      </x:c>
      <x:c r="B23" s="16" t="n">
        <x:f>'Evaluation Plan'!B23</x:f>
        <x:v>21</x:v>
      </x:c>
      <x:c r="C23" s="6" t="str">
        <x:f>'Evaluation Plan'!C23</x:f>
        <x:v>Put the green block in the bowl.</x:v>
      </x:c>
      <x:c r="D23" s="6" t="str">
        <x:f>'Evaluation Plan'!D23</x:f>
        <x:v>Bowl: empty. Table, robot-left→robot-right: P1 green block; P2 red pencil sharpener. Adjacent centers 8 cm apart; row centered on the workspace; all objects fully visible and grasp paths clear.</x:v>
      </x:c>
      <x:c r="E23" s="16" t="n">
        <x:f>IF(ISBLANK('Evaluation Plan'!E23),"",'Evaluation Plan'!E23)</x:f>
        <x:v>20</x:v>
      </x:c>
      <x:c r="F23" s="16" t="str">
        <x:f>'Evaluation Plan'!F23</x:f>
        <x:v>1075</x:v>
      </x:c>
      <x:c r="G23" s="16" t="str">
        <x:f>'Evaluation Plan'!G23</x:f>
        <x:v>MOVE green block to bowl</x:v>
      </x:c>
      <x:c r="H23" s="6"/>
      <x:c r="I23" s="16" t="str">
        <x:f>'Evaluation Plan'!I23</x:f>
        <x:v>Matched manipulation control</x:v>
      </x:c>
      <x:c r="J23" s="16" t="str">
        <x:f>'Evaluation Plan'!J23</x:f>
        <x:v>SZ-CT-LG01</x:v>
      </x:c>
      <x:c r="K23" s="16" t="str">
        <x:f>'Evaluation Plan'!K23</x:f>
        <x:v>Direct</x:v>
      </x:c>
      <x:c r="L23" s="16" t="str">
        <x:f>'Evaluation Plan'!L23</x:f>
        <x:v>Same-scene direct target control</x:v>
      </x:c>
      <x:c r="M23" s="16" t="str">
        <x:f>'Evaluation Plan'!M23</x:f>
        <x:v>green block</x:v>
      </x:c>
      <x:c r="N23" s="16" t="str">
        <x:f>'Evaluation Plan'!N23</x:f>
        <x:v>Left</x:v>
      </x:c>
      <x:c r="O23" s="16" t="n">
        <x:f>'Evaluation Plan'!O23</x:f>
        <x:v>2</x:v>
      </x:c>
      <x:c r="P23" s="16" t="n">
        <x:f>IF(ISBLANK('Evaluation Plan'!P23),"",'Evaluation Plan'!P23)</x:f>
        <x:v>8</x:v>
      </x:c>
      <x:c r="Q23" s="16" t="str">
        <x:f>'Evaluation Plan'!Q23</x:f>
        <x:v>Reset the target to its original pose; change only the prompt.</x:v>
      </x:c>
      <x:c r="R23" s="6" t="str">
        <x:f>'Evaluation Plan'!R23</x:f>
        <x:v>Exact-scene control using a direct prompt supported by training episode 1075.</x:v>
      </x:c>
      <x:c r="S23" s="6" t="str">
        <x:f>IF(ISBLANK('Evaluation Plan'!S23),"",'Evaluation Plan'!S23)</x:f>
      </x:c>
    </x:row>
    <x:row r="24" ht="67.5" customHeight="1">
      <x:c r="A24" s="16" t="s">
        <x:v>19</x:v>
      </x:c>
      <x:c r="B24" s="16" t="n">
        <x:f>'Evaluation Plan'!B24</x:f>
        <x:v>22</x:v>
      </x:c>
      <x:c r="C24" s="6" t="str">
        <x:f>'Evaluation Plan'!C24</x:f>
        <x:v>Choose the biggest item and move it into the bowl.</x:v>
      </x:c>
      <x:c r="D24" s="6" t="str">
        <x:f>'Evaluation Plan'!D24</x:f>
        <x:v>Bowl: empty. Table, robot-left→robot-right: P1 green block; P2 red pencil sharpener. Adjacent centers 8 cm apart; row centered on the workspace; all objects fully visible and grasp paths clear.</x:v>
      </x:c>
      <x:c r="E24" s="16" t="n">
        <x:f>IF(ISBLANK('Evaluation Plan'!E24),"",'Evaluation Plan'!E24)</x:f>
        <x:v>20</x:v>
      </x:c>
      <x:c r="F24" s="16" t="str">
        <x:f>'Evaluation Plan'!F24</x:f>
        <x:v>1080</x:v>
      </x:c>
      <x:c r="G24" s="16" t="str">
        <x:f>'Evaluation Plan'!G24</x:f>
        <x:v>MOVE green block to bowl</x:v>
      </x:c>
      <x:c r="H24" s="6"/>
      <x:c r="I24" s="16" t="str">
        <x:f>'Evaluation Plan'!I24</x:f>
        <x:v>Language robustness</x:v>
      </x:c>
      <x:c r="J24" s="16" t="str">
        <x:f>'Evaluation Plan'!J24</x:f>
        <x:v>SZ-CT-LG01</x:v>
      </x:c>
      <x:c r="K24" s="16" t="str">
        <x:f>'Evaluation Plan'!K24</x:f>
        <x:v>largest</x:v>
      </x:c>
      <x:c r="L24" s="16" t="str">
        <x:f>'Evaluation Plan'!L24</x:f>
        <x:v>Primary compositional-transfer prompt paraphrase</x:v>
      </x:c>
      <x:c r="M24" s="16" t="str">
        <x:f>'Evaluation Plan'!M24</x:f>
        <x:v>green block</x:v>
      </x:c>
      <x:c r="N24" s="16" t="str">
        <x:f>'Evaluation Plan'!N24</x:f>
        <x:v>Left</x:v>
      </x:c>
      <x:c r="O24" s="16" t="n">
        <x:f>'Evaluation Plan'!O24</x:f>
        <x:v>2</x:v>
      </x:c>
      <x:c r="P24" s="16" t="n">
        <x:f>IF(ISBLANK('Evaluation Plan'!P24),"",'Evaluation Plan'!P24)</x:f>
        <x:v>8</x:v>
      </x:c>
      <x:c r="Q24" s="16" t="str">
        <x:f>'Evaluation Plan'!Q24</x:f>
        <x:v>Reset the target; preserve the exact scene and paraphrase only the transfer prompt.</x:v>
      </x:c>
      <x:c r="R24" s="6" t="str">
        <x:f>'Evaluation Plan'!R24</x:f>
        <x:v>Exact-scene paraphrase of the primary transfer instruction.</x:v>
      </x:c>
      <x:c r="S24" s="6" t="str">
        <x:f>IF(ISBLANK('Evaluation Plan'!S24),"",'Evaluation Plan'!S24)</x:f>
      </x:c>
    </x:row>
    <x:row r="25" ht="67.5" customHeight="1">
      <x:c r="A25" s="16" t="s">
        <x:v>19</x:v>
      </x:c>
      <x:c r="B25" s="16" t="n">
        <x:f>'Evaluation Plan'!B25</x:f>
        <x:v>23</x:v>
      </x:c>
      <x:c r="C25" s="6" t="str">
        <x:f>'Evaluation Plan'!C25</x:f>
        <x:v>Transfer the green block from the table into the bowl.</x:v>
      </x:c>
      <x:c r="D25" s="6" t="str">
        <x:f>'Evaluation Plan'!D25</x:f>
        <x:v>Bowl: empty. Table, robot-left→robot-right: P1 green block; P2 red pencil sharpener. Adjacent centers 8 cm apart; row centered on the workspace; all objects fully visible and grasp paths clear.</x:v>
      </x:c>
      <x:c r="E25" s="16" t="n">
        <x:f>IF(ISBLANK('Evaluation Plan'!E25),"",'Evaluation Plan'!E25)</x:f>
        <x:v>21</x:v>
      </x:c>
      <x:c r="F25" s="16" t="str">
        <x:f>'Evaluation Plan'!F25</x:f>
        <x:v>1075</x:v>
      </x:c>
      <x:c r="G25" s="16" t="str">
        <x:f>'Evaluation Plan'!G25</x:f>
        <x:v>MOVE green block to bowl</x:v>
      </x:c>
      <x:c r="H25" s="6"/>
      <x:c r="I25" s="16" t="str">
        <x:f>'Evaluation Plan'!I25</x:f>
        <x:v>Language robustness</x:v>
      </x:c>
      <x:c r="J25" s="16" t="str">
        <x:f>'Evaluation Plan'!J25</x:f>
        <x:v>SZ-CT-LG01</x:v>
      </x:c>
      <x:c r="K25" s="16" t="str">
        <x:f>'Evaluation Plan'!K25</x:f>
        <x:v>Direct</x:v>
      </x:c>
      <x:c r="L25" s="16" t="str">
        <x:f>'Evaluation Plan'!L25</x:f>
        <x:v>Matched-control direct prompt paraphrase</x:v>
      </x:c>
      <x:c r="M25" s="16" t="str">
        <x:f>'Evaluation Plan'!M25</x:f>
        <x:v>green block</x:v>
      </x:c>
      <x:c r="N25" s="16" t="str">
        <x:f>'Evaluation Plan'!N25</x:f>
        <x:v>Left</x:v>
      </x:c>
      <x:c r="O25" s="16" t="n">
        <x:f>'Evaluation Plan'!O25</x:f>
        <x:v>2</x:v>
      </x:c>
      <x:c r="P25" s="16" t="n">
        <x:f>IF(ISBLANK('Evaluation Plan'!P25),"",'Evaluation Plan'!P25)</x:f>
        <x:v>8</x:v>
      </x:c>
      <x:c r="Q25" s="16" t="str">
        <x:f>'Evaluation Plan'!Q25</x:f>
        <x:v>Reset the target; preserve the exact scene and paraphrase only the matched-control prompt.</x:v>
      </x:c>
      <x:c r="R25" s="6" t="str">
        <x:f>'Evaluation Plan'!R25</x:f>
        <x:v>Exact-scene paraphrase of the direct manipulation control.</x:v>
      </x:c>
      <x:c r="S25" s="6" t="str">
        <x:f>IF(ISBLANK('Evaluation Plan'!S25),"",'Evaluation Plan'!S25)</x:f>
      </x:c>
    </x:row>
    <x:row r="26" ht="67.5" customHeight="1">
      <x:c r="A26" s="8" t="s">
        <x:v>19</x:v>
      </x:c>
      <x:c r="B26" s="8" t="n">
        <x:f>'Evaluation Plan'!B26</x:f>
        <x:v>24</x:v>
      </x:c>
      <x:c r="C26" s="9" t="str">
        <x:f>'Evaluation Plan'!C26</x:f>
        <x:v>Pick up the smallest item and place it in the bowl.</x:v>
      </x:c>
      <x:c r="D26" s="9" t="str">
        <x:f>'Evaluation Plan'!D26</x:f>
        <x:v>Bowl: empty. Table, robot-left→robot-right: P1 crushed Pepsi can; P2 juggling ball. Adjacent centers 12 cm apart; row shifted 4 cm toward robot-right; all objects fully visible and grasp paths clear.</x:v>
      </x:c>
      <x:c r="E26" s="8" t="str">
        <x:f>IF(ISBLANK('Evaluation Plan'!E26),"",'Evaluation Plan'!E26)</x:f>
      </x:c>
      <x:c r="F26" s="8" t="str">
        <x:f>'Evaluation Plan'!F26</x:f>
        <x:v>1105</x:v>
      </x:c>
      <x:c r="G26" s="8" t="str">
        <x:f>'Evaluation Plan'!G26</x:f>
        <x:v>MOVE juggling ball to bowl</x:v>
      </x:c>
      <x:c r="H26" s="9"/>
      <x:c r="I26" s="8" t="str">
        <x:f>'Evaluation Plan'!I26</x:f>
        <x:v>Concept/compositional transfer</x:v>
      </x:c>
      <x:c r="J26" s="8" t="str">
        <x:f>'Evaluation Plan'!J26</x:f>
        <x:v>SZ-CT-SJ01</x:v>
      </x:c>
      <x:c r="K26" s="8" t="str">
        <x:f>'Evaluation Plan'!K26</x:f>
        <x:v>smallest</x:v>
      </x:c>
      <x:c r="L26" s="8" t="str">
        <x:f>'Evaluation Plan'!L26</x:f>
        <x:v>Held-out smallest × juggling ball — Pick up</x:v>
      </x:c>
      <x:c r="M26" s="8" t="str">
        <x:f>'Evaluation Plan'!M26</x:f>
        <x:v>juggling ball</x:v>
      </x:c>
      <x:c r="N26" s="8" t="str">
        <x:f>'Evaluation Plan'!N26</x:f>
        <x:v>Right</x:v>
      </x:c>
      <x:c r="O26" s="8" t="n">
        <x:f>'Evaluation Plan'!O26</x:f>
        <x:v>2</x:v>
      </x:c>
      <x:c r="P26" s="8" t="n">
        <x:f>IF(ISBLANK('Evaluation Plan'!P26),"",'Evaluation Plan'!P26)</x:f>
        <x:v>12</x:v>
      </x:c>
      <x:c r="Q26" s="8" t="str">
        <x:f>'Evaluation Plan'!Q26</x:f>
        <x:v>Build the listed two-object scene and save a first-frame filename.</x:v>
      </x:c>
      <x:c r="R26" s="9" t="str">
        <x:f>'Evaluation Plan'!R26</x:f>
        <x:v>Primary missing cell. Training episode 1105 contains the same target trajectory but masks the size word with a direct identity prompt.</x:v>
      </x:c>
      <x:c r="S26" s="9" t="str">
        <x:f>IF(ISBLANK('Evaluation Plan'!S26),"",'Evaluation Plan'!S26)</x:f>
      </x:c>
    </x:row>
    <x:row r="27" ht="67.5" customHeight="1">
      <x:c r="A27" s="16" t="s">
        <x:v>19</x:v>
      </x:c>
      <x:c r="B27" s="16" t="n">
        <x:f>'Evaluation Plan'!B27</x:f>
        <x:v>25</x:v>
      </x:c>
      <x:c r="C27" s="6" t="str">
        <x:f>'Evaluation Plan'!C27</x:f>
        <x:v>Put the juggling ball in the bowl.</x:v>
      </x:c>
      <x:c r="D27" s="6" t="str">
        <x:f>'Evaluation Plan'!D27</x:f>
        <x:v>Bowl: empty. Table, robot-left→robot-right: P1 crushed Pepsi can; P2 juggling ball. Adjacent centers 12 cm apart; row shifted 4 cm toward robot-right; all objects fully visible and grasp paths clear.</x:v>
      </x:c>
      <x:c r="E27" s="16" t="n">
        <x:f>IF(ISBLANK('Evaluation Plan'!E27),"",'Evaluation Plan'!E27)</x:f>
        <x:v>24</x:v>
      </x:c>
      <x:c r="F27" s="16" t="str">
        <x:f>'Evaluation Plan'!F27</x:f>
        <x:v>1100</x:v>
      </x:c>
      <x:c r="G27" s="16" t="str">
        <x:f>'Evaluation Plan'!G27</x:f>
        <x:v>MOVE juggling ball to bowl</x:v>
      </x:c>
      <x:c r="H27" s="6"/>
      <x:c r="I27" s="16" t="str">
        <x:f>'Evaluation Plan'!I27</x:f>
        <x:v>Matched manipulation control</x:v>
      </x:c>
      <x:c r="J27" s="16" t="str">
        <x:f>'Evaluation Plan'!J27</x:f>
        <x:v>SZ-CT-SJ01</x:v>
      </x:c>
      <x:c r="K27" s="16" t="str">
        <x:f>'Evaluation Plan'!K27</x:f>
        <x:v>Direct</x:v>
      </x:c>
      <x:c r="L27" s="16" t="str">
        <x:f>'Evaluation Plan'!L27</x:f>
        <x:v>Same-scene direct target control</x:v>
      </x:c>
      <x:c r="M27" s="16" t="str">
        <x:f>'Evaluation Plan'!M27</x:f>
        <x:v>juggling ball</x:v>
      </x:c>
      <x:c r="N27" s="16" t="str">
        <x:f>'Evaluation Plan'!N27</x:f>
        <x:v>Right</x:v>
      </x:c>
      <x:c r="O27" s="16" t="n">
        <x:f>'Evaluation Plan'!O27</x:f>
        <x:v>2</x:v>
      </x:c>
      <x:c r="P27" s="16" t="n">
        <x:f>IF(ISBLANK('Evaluation Plan'!P27),"",'Evaluation Plan'!P27)</x:f>
        <x:v>12</x:v>
      </x:c>
      <x:c r="Q27" s="16" t="str">
        <x:f>'Evaluation Plan'!Q27</x:f>
        <x:v>Reset the target to its original pose; change only the prompt.</x:v>
      </x:c>
      <x:c r="R27" s="6" t="str">
        <x:f>'Evaluation Plan'!R27</x:f>
        <x:v>Exact-scene control using a direct prompt supported by training episode 1100.</x:v>
      </x:c>
      <x:c r="S27" s="6" t="str">
        <x:f>IF(ISBLANK('Evaluation Plan'!S27),"",'Evaluation Plan'!S27)</x:f>
      </x:c>
    </x:row>
    <x:row r="28" ht="67.5" customHeight="1">
      <x:c r="A28" s="16" t="s">
        <x:v>19</x:v>
      </x:c>
      <x:c r="B28" s="16" t="n">
        <x:f>'Evaluation Plan'!B28</x:f>
        <x:v>26</x:v>
      </x:c>
      <x:c r="C28" s="6" t="str">
        <x:f>'Evaluation Plan'!C28</x:f>
        <x:v>Choose the tiniest item and move it into the bowl.</x:v>
      </x:c>
      <x:c r="D28" s="6" t="str">
        <x:f>'Evaluation Plan'!D28</x:f>
        <x:v>Bowl: empty. Table, robot-left→robot-right: P1 crushed Pepsi can; P2 juggling ball. Adjacent centers 12 cm apart; row shifted 4 cm toward robot-right; all objects fully visible and grasp paths clear.</x:v>
      </x:c>
      <x:c r="E28" s="16" t="n">
        <x:f>IF(ISBLANK('Evaluation Plan'!E28),"",'Evaluation Plan'!E28)</x:f>
        <x:v>24</x:v>
      </x:c>
      <x:c r="F28" s="16" t="str">
        <x:f>'Evaluation Plan'!F28</x:f>
        <x:v>1105</x:v>
      </x:c>
      <x:c r="G28" s="16" t="str">
        <x:f>'Evaluation Plan'!G28</x:f>
        <x:v>MOVE juggling ball to bowl</x:v>
      </x:c>
      <x:c r="H28" s="6"/>
      <x:c r="I28" s="16" t="str">
        <x:f>'Evaluation Plan'!I28</x:f>
        <x:v>Language robustness</x:v>
      </x:c>
      <x:c r="J28" s="16" t="str">
        <x:f>'Evaluation Plan'!J28</x:f>
        <x:v>SZ-CT-SJ01</x:v>
      </x:c>
      <x:c r="K28" s="16" t="str">
        <x:f>'Evaluation Plan'!K28</x:f>
        <x:v>smallest</x:v>
      </x:c>
      <x:c r="L28" s="16" t="str">
        <x:f>'Evaluation Plan'!L28</x:f>
        <x:v>Primary compositional-transfer prompt paraphrase</x:v>
      </x:c>
      <x:c r="M28" s="16" t="str">
        <x:f>'Evaluation Plan'!M28</x:f>
        <x:v>juggling ball</x:v>
      </x:c>
      <x:c r="N28" s="16" t="str">
        <x:f>'Evaluation Plan'!N28</x:f>
        <x:v>Right</x:v>
      </x:c>
      <x:c r="O28" s="16" t="n">
        <x:f>'Evaluation Plan'!O28</x:f>
        <x:v>2</x:v>
      </x:c>
      <x:c r="P28" s="16" t="n">
        <x:f>IF(ISBLANK('Evaluation Plan'!P28),"",'Evaluation Plan'!P28)</x:f>
        <x:v>12</x:v>
      </x:c>
      <x:c r="Q28" s="16" t="str">
        <x:f>'Evaluation Plan'!Q28</x:f>
        <x:v>Reset the target; preserve the exact scene and paraphrase only the transfer prompt.</x:v>
      </x:c>
      <x:c r="R28" s="6" t="str">
        <x:f>'Evaluation Plan'!R28</x:f>
        <x:v>Exact-scene paraphrase of the primary transfer instruction.</x:v>
      </x:c>
      <x:c r="S28" s="6" t="str">
        <x:f>IF(ISBLANK('Evaluation Plan'!S28),"",'Evaluation Plan'!S28)</x:f>
      </x:c>
    </x:row>
    <x:row r="29" ht="67.5" customHeight="1">
      <x:c r="A29" s="16" t="s">
        <x:v>19</x:v>
      </x:c>
      <x:c r="B29" s="16" t="n">
        <x:f>'Evaluation Plan'!B29</x:f>
        <x:v>27</x:v>
      </x:c>
      <x:c r="C29" s="6" t="str">
        <x:f>'Evaluation Plan'!C29</x:f>
        <x:v>Transfer the juggling ball from the table into the bowl.</x:v>
      </x:c>
      <x:c r="D29" s="6" t="str">
        <x:f>'Evaluation Plan'!D29</x:f>
        <x:v>Bowl: empty. Table, robot-left→robot-right: P1 crushed Pepsi can; P2 juggling ball. Adjacent centers 12 cm apart; row shifted 4 cm toward robot-right; all objects fully visible and grasp paths clear.</x:v>
      </x:c>
      <x:c r="E29" s="16" t="n">
        <x:f>IF(ISBLANK('Evaluation Plan'!E29),"",'Evaluation Plan'!E29)</x:f>
        <x:v>25</x:v>
      </x:c>
      <x:c r="F29" s="16" t="str">
        <x:f>'Evaluation Plan'!F29</x:f>
        <x:v>1100</x:v>
      </x:c>
      <x:c r="G29" s="16" t="str">
        <x:f>'Evaluation Plan'!G29</x:f>
        <x:v>MOVE juggling ball to bowl</x:v>
      </x:c>
      <x:c r="H29" s="6"/>
      <x:c r="I29" s="16" t="str">
        <x:f>'Evaluation Plan'!I29</x:f>
        <x:v>Language robustness</x:v>
      </x:c>
      <x:c r="J29" s="16" t="str">
        <x:f>'Evaluation Plan'!J29</x:f>
        <x:v>SZ-CT-SJ01</x:v>
      </x:c>
      <x:c r="K29" s="16" t="str">
        <x:f>'Evaluation Plan'!K29</x:f>
        <x:v>Direct</x:v>
      </x:c>
      <x:c r="L29" s="16" t="str">
        <x:f>'Evaluation Plan'!L29</x:f>
        <x:v>Matched-control direct prompt paraphrase</x:v>
      </x:c>
      <x:c r="M29" s="16" t="str">
        <x:f>'Evaluation Plan'!M29</x:f>
        <x:v>juggling ball</x:v>
      </x:c>
      <x:c r="N29" s="16" t="str">
        <x:f>'Evaluation Plan'!N29</x:f>
        <x:v>Right</x:v>
      </x:c>
      <x:c r="O29" s="16" t="n">
        <x:f>'Evaluation Plan'!O29</x:f>
        <x:v>2</x:v>
      </x:c>
      <x:c r="P29" s="16" t="n">
        <x:f>IF(ISBLANK('Evaluation Plan'!P29),"",'Evaluation Plan'!P29)</x:f>
        <x:v>12</x:v>
      </x:c>
      <x:c r="Q29" s="16" t="str">
        <x:f>'Evaluation Plan'!Q29</x:f>
        <x:v>Reset the target; preserve the exact scene and paraphrase only the matched-control prompt.</x:v>
      </x:c>
      <x:c r="R29" s="6" t="str">
        <x:f>'Evaluation Plan'!R29</x:f>
        <x:v>Exact-scene paraphrase of the direct manipulation control.</x:v>
      </x:c>
      <x:c r="S29" s="6" t="str">
        <x:f>IF(ISBLANK('Evaluation Plan'!S29),"",'Evaluation Plan'!S29)</x:f>
      </x:c>
    </x:row>
    <x:row r="30" ht="67.5" customHeight="1">
      <x:c r="A30" s="8" t="s">
        <x:v>19</x:v>
      </x:c>
      <x:c r="B30" s="8" t="n">
        <x:f>'Evaluation Plan'!B30</x:f>
        <x:v>28</x:v>
      </x:c>
      <x:c r="C30" s="9" t="str">
        <x:f>'Evaluation Plan'!C30</x:f>
        <x:v>Pick up the largest item and place it in the bowl.</x:v>
      </x:c>
      <x:c r="D30" s="9" t="str">
        <x:f>'Evaluation Plan'!D30</x:f>
        <x:v>Bowl: empty. Table, robot-left→robot-right: P1 red pencil sharpener; P2 green block. Adjacent centers 12 cm apart; row shifted 4 cm toward robot-left; all objects fully visible and grasp paths clear.</x:v>
      </x:c>
      <x:c r="E30" s="8" t="str">
        <x:f>IF(ISBLANK('Evaluation Plan'!E30),"",'Evaluation Plan'!E30)</x:f>
      </x:c>
      <x:c r="F30" s="8" t="str">
        <x:f>'Evaluation Plan'!F30</x:f>
        <x:v>1081</x:v>
      </x:c>
      <x:c r="G30" s="8" t="str">
        <x:f>'Evaluation Plan'!G30</x:f>
        <x:v>MOVE green block to bowl</x:v>
      </x:c>
      <x:c r="H30" s="9"/>
      <x:c r="I30" s="8" t="str">
        <x:f>'Evaluation Plan'!I30</x:f>
        <x:v>Concept/compositional transfer</x:v>
      </x:c>
      <x:c r="J30" s="8" t="str">
        <x:f>'Evaluation Plan'!J30</x:f>
        <x:v>SZ-CT-LG02</x:v>
      </x:c>
      <x:c r="K30" s="8" t="str">
        <x:f>'Evaluation Plan'!K30</x:f>
        <x:v>largest</x:v>
      </x:c>
      <x:c r="L30" s="8" t="str">
        <x:f>'Evaluation Plan'!L30</x:f>
        <x:v>Held-out largest × green block — Pick up</x:v>
      </x:c>
      <x:c r="M30" s="8" t="str">
        <x:f>'Evaluation Plan'!M30</x:f>
        <x:v>green block</x:v>
      </x:c>
      <x:c r="N30" s="8" t="str">
        <x:f>'Evaluation Plan'!N30</x:f>
        <x:v>Right</x:v>
      </x:c>
      <x:c r="O30" s="8" t="n">
        <x:f>'Evaluation Plan'!O30</x:f>
        <x:v>2</x:v>
      </x:c>
      <x:c r="P30" s="8" t="n">
        <x:f>IF(ISBLANK('Evaluation Plan'!P30),"",'Evaluation Plan'!P30)</x:f>
        <x:v>12</x:v>
      </x:c>
      <x:c r="Q30" s="8" t="str">
        <x:f>'Evaluation Plan'!Q30</x:f>
        <x:v>Build the listed two-object scene and save a first-frame filename.</x:v>
      </x:c>
      <x:c r="R30" s="9" t="str">
        <x:f>'Evaluation Plan'!R30</x:f>
        <x:v>Primary missing cell. Training episode 1081 contains the same target trajectory but masks the size word with a direct identity prompt.</x:v>
      </x:c>
      <x:c r="S30" s="9" t="str">
        <x:f>IF(ISBLANK('Evaluation Plan'!S30),"",'Evaluation Plan'!S30)</x:f>
      </x:c>
    </x:row>
    <x:row r="31" ht="67.5" customHeight="1">
      <x:c r="A31" s="16" t="s">
        <x:v>19</x:v>
      </x:c>
      <x:c r="B31" s="16" t="n">
        <x:f>'Evaluation Plan'!B31</x:f>
        <x:v>29</x:v>
      </x:c>
      <x:c r="C31" s="6" t="str">
        <x:f>'Evaluation Plan'!C31</x:f>
        <x:v>Move the green block into the bowl.</x:v>
      </x:c>
      <x:c r="D31" s="6" t="str">
        <x:f>'Evaluation Plan'!D31</x:f>
        <x:v>Bowl: empty. Table, robot-left→robot-right: P1 red pencil sharpener; P2 green block. Adjacent centers 12 cm apart; row shifted 4 cm toward robot-left; all objects fully visible and grasp paths clear.</x:v>
      </x:c>
      <x:c r="E31" s="16" t="n">
        <x:f>IF(ISBLANK('Evaluation Plan'!E31),"",'Evaluation Plan'!E31)</x:f>
        <x:v>28</x:v>
      </x:c>
      <x:c r="F31" s="16" t="str">
        <x:f>'Evaluation Plan'!F31</x:f>
        <x:v>1076</x:v>
      </x:c>
      <x:c r="G31" s="16" t="str">
        <x:f>'Evaluation Plan'!G31</x:f>
        <x:v>MOVE green block to bowl</x:v>
      </x:c>
      <x:c r="H31" s="6"/>
      <x:c r="I31" s="16" t="str">
        <x:f>'Evaluation Plan'!I31</x:f>
        <x:v>Matched manipulation control</x:v>
      </x:c>
      <x:c r="J31" s="16" t="str">
        <x:f>'Evaluation Plan'!J31</x:f>
        <x:v>SZ-CT-LG02</x:v>
      </x:c>
      <x:c r="K31" s="16" t="str">
        <x:f>'Evaluation Plan'!K31</x:f>
        <x:v>Direct</x:v>
      </x:c>
      <x:c r="L31" s="16" t="str">
        <x:f>'Evaluation Plan'!L31</x:f>
        <x:v>Same-scene direct target control</x:v>
      </x:c>
      <x:c r="M31" s="16" t="str">
        <x:f>'Evaluation Plan'!M31</x:f>
        <x:v>green block</x:v>
      </x:c>
      <x:c r="N31" s="16" t="str">
        <x:f>'Evaluation Plan'!N31</x:f>
        <x:v>Right</x:v>
      </x:c>
      <x:c r="O31" s="16" t="n">
        <x:f>'Evaluation Plan'!O31</x:f>
        <x:v>2</x:v>
      </x:c>
      <x:c r="P31" s="16" t="n">
        <x:f>IF(ISBLANK('Evaluation Plan'!P31),"",'Evaluation Plan'!P31)</x:f>
        <x:v>12</x:v>
      </x:c>
      <x:c r="Q31" s="16" t="str">
        <x:f>'Evaluation Plan'!Q31</x:f>
        <x:v>Reset the target to its original pose; change only the prompt.</x:v>
      </x:c>
      <x:c r="R31" s="6" t="str">
        <x:f>'Evaluation Plan'!R31</x:f>
        <x:v>Exact-scene control using a direct prompt supported by training episode 1076.</x:v>
      </x:c>
      <x:c r="S31" s="6" t="str">
        <x:f>IF(ISBLANK('Evaluation Plan'!S31),"",'Evaluation Plan'!S31)</x:f>
      </x:c>
    </x:row>
    <x:row r="32" ht="67.5" customHeight="1">
      <x:c r="A32" s="16" t="s">
        <x:v>19</x:v>
      </x:c>
      <x:c r="B32" s="16" t="n">
        <x:f>'Evaluation Plan'!B32</x:f>
        <x:v>30</x:v>
      </x:c>
      <x:c r="C32" s="6" t="str">
        <x:f>'Evaluation Plan'!C32</x:f>
        <x:v>Place whichever object is greatest in size inside the bowl.</x:v>
      </x:c>
      <x:c r="D32" s="6" t="str">
        <x:f>'Evaluation Plan'!D32</x:f>
        <x:v>Bowl: empty. Table, robot-left→robot-right: P1 red pencil sharpener; P2 green block. Adjacent centers 12 cm apart; row shifted 4 cm toward robot-left; all objects fully visible and grasp paths clear.</x:v>
      </x:c>
      <x:c r="E32" s="16" t="n">
        <x:f>IF(ISBLANK('Evaluation Plan'!E32),"",'Evaluation Plan'!E32)</x:f>
        <x:v>28</x:v>
      </x:c>
      <x:c r="F32" s="16" t="str">
        <x:f>'Evaluation Plan'!F32</x:f>
        <x:v>1081</x:v>
      </x:c>
      <x:c r="G32" s="16" t="str">
        <x:f>'Evaluation Plan'!G32</x:f>
        <x:v>MOVE green block to bowl</x:v>
      </x:c>
      <x:c r="H32" s="6"/>
      <x:c r="I32" s="16" t="str">
        <x:f>'Evaluation Plan'!I32</x:f>
        <x:v>Language robustness</x:v>
      </x:c>
      <x:c r="J32" s="16" t="str">
        <x:f>'Evaluation Plan'!J32</x:f>
        <x:v>SZ-CT-LG02</x:v>
      </x:c>
      <x:c r="K32" s="16" t="str">
        <x:f>'Evaluation Plan'!K32</x:f>
        <x:v>largest</x:v>
      </x:c>
      <x:c r="L32" s="16" t="str">
        <x:f>'Evaluation Plan'!L32</x:f>
        <x:v>Primary compositional-transfer prompt paraphrase</x:v>
      </x:c>
      <x:c r="M32" s="16" t="str">
        <x:f>'Evaluation Plan'!M32</x:f>
        <x:v>green block</x:v>
      </x:c>
      <x:c r="N32" s="16" t="str">
        <x:f>'Evaluation Plan'!N32</x:f>
        <x:v>Right</x:v>
      </x:c>
      <x:c r="O32" s="16" t="n">
        <x:f>'Evaluation Plan'!O32</x:f>
        <x:v>2</x:v>
      </x:c>
      <x:c r="P32" s="16" t="n">
        <x:f>IF(ISBLANK('Evaluation Plan'!P32),"",'Evaluation Plan'!P32)</x:f>
        <x:v>12</x:v>
      </x:c>
      <x:c r="Q32" s="16" t="str">
        <x:f>'Evaluation Plan'!Q32</x:f>
        <x:v>Reset the target; preserve the exact scene and paraphrase only the transfer prompt.</x:v>
      </x:c>
      <x:c r="R32" s="6" t="str">
        <x:f>'Evaluation Plan'!R32</x:f>
        <x:v>Exact-scene paraphrase of the primary transfer instruction.</x:v>
      </x:c>
      <x:c r="S32" s="6" t="str">
        <x:f>IF(ISBLANK('Evaluation Plan'!S32),"",'Evaluation Plan'!S32)</x:f>
      </x:c>
    </x:row>
    <x:row r="33" ht="67.5" customHeight="1">
      <x:c r="A33" s="16" t="s">
        <x:v>19</x:v>
      </x:c>
      <x:c r="B33" s="16" t="n">
        <x:f>'Evaluation Plan'!B33</x:f>
        <x:v>31</x:v>
      </x:c>
      <x:c r="C33" s="6" t="str">
        <x:f>'Evaluation Plan'!C33</x:f>
        <x:v>Lift the green block and set it inside the bowl.</x:v>
      </x:c>
      <x:c r="D33" s="6" t="str">
        <x:f>'Evaluation Plan'!D33</x:f>
        <x:v>Bowl: empty. Table, robot-left→robot-right: P1 red pencil sharpener; P2 green block. Adjacent centers 12 cm apart; row shifted 4 cm toward robot-left; all objects fully visible and grasp paths clear.</x:v>
      </x:c>
      <x:c r="E33" s="16" t="n">
        <x:f>IF(ISBLANK('Evaluation Plan'!E33),"",'Evaluation Plan'!E33)</x:f>
        <x:v>29</x:v>
      </x:c>
      <x:c r="F33" s="16" t="str">
        <x:f>'Evaluation Plan'!F33</x:f>
        <x:v>1076</x:v>
      </x:c>
      <x:c r="G33" s="16" t="str">
        <x:f>'Evaluation Plan'!G33</x:f>
        <x:v>MOVE green block to bowl</x:v>
      </x:c>
      <x:c r="H33" s="6"/>
      <x:c r="I33" s="16" t="str">
        <x:f>'Evaluation Plan'!I33</x:f>
        <x:v>Language robustness</x:v>
      </x:c>
      <x:c r="J33" s="16" t="str">
        <x:f>'Evaluation Plan'!J33</x:f>
        <x:v>SZ-CT-LG02</x:v>
      </x:c>
      <x:c r="K33" s="16" t="str">
        <x:f>'Evaluation Plan'!K33</x:f>
        <x:v>Direct</x:v>
      </x:c>
      <x:c r="L33" s="16" t="str">
        <x:f>'Evaluation Plan'!L33</x:f>
        <x:v>Matched-control direct prompt paraphrase</x:v>
      </x:c>
      <x:c r="M33" s="16" t="str">
        <x:f>'Evaluation Plan'!M33</x:f>
        <x:v>green block</x:v>
      </x:c>
      <x:c r="N33" s="16" t="str">
        <x:f>'Evaluation Plan'!N33</x:f>
        <x:v>Right</x:v>
      </x:c>
      <x:c r="O33" s="16" t="n">
        <x:f>'Evaluation Plan'!O33</x:f>
        <x:v>2</x:v>
      </x:c>
      <x:c r="P33" s="16" t="n">
        <x:f>IF(ISBLANK('Evaluation Plan'!P33),"",'Evaluation Plan'!P33)</x:f>
        <x:v>12</x:v>
      </x:c>
      <x:c r="Q33" s="16" t="str">
        <x:f>'Evaluation Plan'!Q33</x:f>
        <x:v>Reset the target; preserve the exact scene and paraphrase only the matched-control prompt.</x:v>
      </x:c>
      <x:c r="R33" s="6" t="str">
        <x:f>'Evaluation Plan'!R33</x:f>
        <x:v>Exact-scene paraphrase of the direct manipulation control.</x:v>
      </x:c>
      <x:c r="S33" s="6" t="str">
        <x:f>IF(ISBLANK('Evaluation Plan'!S33),"",'Evaluation Plan'!S33)</x:f>
      </x:c>
    </x:row>
    <x:row r="34" ht="67.5" customHeight="1">
      <x:c r="A34" s="8" t="s">
        <x:v>19</x:v>
      </x:c>
      <x:c r="B34" s="8" t="n">
        <x:f>'Evaluation Plan'!B34</x:f>
        <x:v>32</x:v>
      </x:c>
      <x:c r="C34" s="9" t="str">
        <x:f>'Evaluation Plan'!C34</x:f>
        <x:v>Put the smallest object in the bowl.</x:v>
      </x:c>
      <x:c r="D34" s="9" t="str">
        <x:f>'Evaluation Plan'!D34</x:f>
        <x:v>Bowl: empty. Table, robot-left→robot-right: P1 juggling ball; P2 crushed Pepsi can. Adjacent centers 16 cm apart; row shifted 4 cm toward the robot; all objects fully visible and grasp paths clear.</x:v>
      </x:c>
      <x:c r="E34" s="8" t="str">
        <x:f>IF(ISBLANK('Evaluation Plan'!E34),"",'Evaluation Plan'!E34)</x:f>
      </x:c>
      <x:c r="F34" s="8" t="str">
        <x:f>'Evaluation Plan'!F34</x:f>
        <x:v>1106</x:v>
      </x:c>
      <x:c r="G34" s="8" t="str">
        <x:f>'Evaluation Plan'!G34</x:f>
        <x:v>MOVE juggling ball to bowl</x:v>
      </x:c>
      <x:c r="H34" s="9"/>
      <x:c r="I34" s="8" t="str">
        <x:f>'Evaluation Plan'!I34</x:f>
        <x:v>Concept/compositional transfer</x:v>
      </x:c>
      <x:c r="J34" s="8" t="str">
        <x:f>'Evaluation Plan'!J34</x:f>
        <x:v>SZ-CT-SJ02</x:v>
      </x:c>
      <x:c r="K34" s="8" t="str">
        <x:f>'Evaluation Plan'!K34</x:f>
        <x:v>smallest</x:v>
      </x:c>
      <x:c r="L34" s="8" t="str">
        <x:f>'Evaluation Plan'!L34</x:f>
        <x:v>Held-out smallest × juggling ball — Put</x:v>
      </x:c>
      <x:c r="M34" s="8" t="str">
        <x:f>'Evaluation Plan'!M34</x:f>
        <x:v>juggling ball</x:v>
      </x:c>
      <x:c r="N34" s="8" t="str">
        <x:f>'Evaluation Plan'!N34</x:f>
        <x:v>Left</x:v>
      </x:c>
      <x:c r="O34" s="8" t="n">
        <x:f>'Evaluation Plan'!O34</x:f>
        <x:v>2</x:v>
      </x:c>
      <x:c r="P34" s="8" t="n">
        <x:f>IF(ISBLANK('Evaluation Plan'!P34),"",'Evaluation Plan'!P34)</x:f>
        <x:v>16</x:v>
      </x:c>
      <x:c r="Q34" s="8" t="str">
        <x:f>'Evaluation Plan'!Q34</x:f>
        <x:v>Build the listed two-object scene and save a first-frame filename.</x:v>
      </x:c>
      <x:c r="R34" s="9" t="str">
        <x:f>'Evaluation Plan'!R34</x:f>
        <x:v>Primary missing cell. Training episode 1106 contains the same target trajectory but masks the size word with a direct identity prompt.</x:v>
      </x:c>
      <x:c r="S34" s="9" t="str">
        <x:f>IF(ISBLANK('Evaluation Plan'!S34),"",'Evaluation Plan'!S34)</x:f>
      </x:c>
    </x:row>
    <x:row r="35" ht="67.5" customHeight="1">
      <x:c r="A35" s="16" t="s">
        <x:v>19</x:v>
      </x:c>
      <x:c r="B35" s="16" t="n">
        <x:f>'Evaluation Plan'!B35</x:f>
        <x:v>33</x:v>
      </x:c>
      <x:c r="C35" s="6" t="str">
        <x:f>'Evaluation Plan'!C35</x:f>
        <x:v>Move the juggling ball into the bowl.</x:v>
      </x:c>
      <x:c r="D35" s="6" t="str">
        <x:f>'Evaluation Plan'!D35</x:f>
        <x:v>Bowl: empty. Table, robot-left→robot-right: P1 juggling ball; P2 crushed Pepsi can. Adjacent centers 16 cm apart; row shifted 4 cm toward the robot; all objects fully visible and grasp paths clear.</x:v>
      </x:c>
      <x:c r="E35" s="16" t="n">
        <x:f>IF(ISBLANK('Evaluation Plan'!E35),"",'Evaluation Plan'!E35)</x:f>
        <x:v>32</x:v>
      </x:c>
      <x:c r="F35" s="16" t="str">
        <x:f>'Evaluation Plan'!F35</x:f>
        <x:v>1101</x:v>
      </x:c>
      <x:c r="G35" s="16" t="str">
        <x:f>'Evaluation Plan'!G35</x:f>
        <x:v>MOVE juggling ball to bowl</x:v>
      </x:c>
      <x:c r="H35" s="6"/>
      <x:c r="I35" s="16" t="str">
        <x:f>'Evaluation Plan'!I35</x:f>
        <x:v>Matched manipulation control</x:v>
      </x:c>
      <x:c r="J35" s="16" t="str">
        <x:f>'Evaluation Plan'!J35</x:f>
        <x:v>SZ-CT-SJ02</x:v>
      </x:c>
      <x:c r="K35" s="16" t="str">
        <x:f>'Evaluation Plan'!K35</x:f>
        <x:v>Direct</x:v>
      </x:c>
      <x:c r="L35" s="16" t="str">
        <x:f>'Evaluation Plan'!L35</x:f>
        <x:v>Same-scene direct target control</x:v>
      </x:c>
      <x:c r="M35" s="16" t="str">
        <x:f>'Evaluation Plan'!M35</x:f>
        <x:v>juggling ball</x:v>
      </x:c>
      <x:c r="N35" s="16" t="str">
        <x:f>'Evaluation Plan'!N35</x:f>
        <x:v>Left</x:v>
      </x:c>
      <x:c r="O35" s="16" t="n">
        <x:f>'Evaluation Plan'!O35</x:f>
        <x:v>2</x:v>
      </x:c>
      <x:c r="P35" s="16" t="n">
        <x:f>IF(ISBLANK('Evaluation Plan'!P35),"",'Evaluation Plan'!P35)</x:f>
        <x:v>16</x:v>
      </x:c>
      <x:c r="Q35" s="16" t="str">
        <x:f>'Evaluation Plan'!Q35</x:f>
        <x:v>Reset the target to its original pose; change only the prompt.</x:v>
      </x:c>
      <x:c r="R35" s="6" t="str">
        <x:f>'Evaluation Plan'!R35</x:f>
        <x:v>Exact-scene control using a direct prompt supported by training episode 1101.</x:v>
      </x:c>
      <x:c r="S35" s="6" t="str">
        <x:f>IF(ISBLANK('Evaluation Plan'!S35),"",'Evaluation Plan'!S35)</x:f>
      </x:c>
    </x:row>
    <x:row r="36" ht="67.5" customHeight="1">
      <x:c r="A36" s="16" t="s">
        <x:v>19</x:v>
      </x:c>
      <x:c r="B36" s="16" t="n">
        <x:f>'Evaluation Plan'!B36</x:f>
        <x:v>34</x:v>
      </x:c>
      <x:c r="C36" s="6" t="str">
        <x:f>'Evaluation Plan'!C36</x:f>
        <x:v>Place whichever object is least in size inside the bowl.</x:v>
      </x:c>
      <x:c r="D36" s="6" t="str">
        <x:f>'Evaluation Plan'!D36</x:f>
        <x:v>Bowl: empty. Table, robot-left→robot-right: P1 juggling ball; P2 crushed Pepsi can. Adjacent centers 16 cm apart; row shifted 4 cm toward the robot; all objects fully visible and grasp paths clear.</x:v>
      </x:c>
      <x:c r="E36" s="16" t="n">
        <x:f>IF(ISBLANK('Evaluation Plan'!E36),"",'Evaluation Plan'!E36)</x:f>
        <x:v>32</x:v>
      </x:c>
      <x:c r="F36" s="16" t="str">
        <x:f>'Evaluation Plan'!F36</x:f>
        <x:v>1106</x:v>
      </x:c>
      <x:c r="G36" s="16" t="str">
        <x:f>'Evaluation Plan'!G36</x:f>
        <x:v>MOVE juggling ball to bowl</x:v>
      </x:c>
      <x:c r="H36" s="6"/>
      <x:c r="I36" s="16" t="str">
        <x:f>'Evaluation Plan'!I36</x:f>
        <x:v>Language robustness</x:v>
      </x:c>
      <x:c r="J36" s="16" t="str">
        <x:f>'Evaluation Plan'!J36</x:f>
        <x:v>SZ-CT-SJ02</x:v>
      </x:c>
      <x:c r="K36" s="16" t="str">
        <x:f>'Evaluation Plan'!K36</x:f>
        <x:v>smallest</x:v>
      </x:c>
      <x:c r="L36" s="16" t="str">
        <x:f>'Evaluation Plan'!L36</x:f>
        <x:v>Primary compositional-transfer prompt paraphrase</x:v>
      </x:c>
      <x:c r="M36" s="16" t="str">
        <x:f>'Evaluation Plan'!M36</x:f>
        <x:v>juggling ball</x:v>
      </x:c>
      <x:c r="N36" s="16" t="str">
        <x:f>'Evaluation Plan'!N36</x:f>
        <x:v>Left</x:v>
      </x:c>
      <x:c r="O36" s="16" t="n">
        <x:f>'Evaluation Plan'!O36</x:f>
        <x:v>2</x:v>
      </x:c>
      <x:c r="P36" s="16" t="n">
        <x:f>IF(ISBLANK('Evaluation Plan'!P36),"",'Evaluation Plan'!P36)</x:f>
        <x:v>16</x:v>
      </x:c>
      <x:c r="Q36" s="16" t="str">
        <x:f>'Evaluation Plan'!Q36</x:f>
        <x:v>Reset the target; preserve the exact scene and paraphrase only the transfer prompt.</x:v>
      </x:c>
      <x:c r="R36" s="6" t="str">
        <x:f>'Evaluation Plan'!R36</x:f>
        <x:v>Exact-scene paraphrase of the primary transfer instruction.</x:v>
      </x:c>
      <x:c r="S36" s="6" t="str">
        <x:f>IF(ISBLANK('Evaluation Plan'!S36),"",'Evaluation Plan'!S36)</x:f>
      </x:c>
    </x:row>
    <x:row r="37" ht="67.5" customHeight="1">
      <x:c r="A37" s="16" t="s">
        <x:v>19</x:v>
      </x:c>
      <x:c r="B37" s="16" t="n">
        <x:f>'Evaluation Plan'!B37</x:f>
        <x:v>35</x:v>
      </x:c>
      <x:c r="C37" s="6" t="str">
        <x:f>'Evaluation Plan'!C37</x:f>
        <x:v>Lift the juggling ball and set it inside the bowl.</x:v>
      </x:c>
      <x:c r="D37" s="6" t="str">
        <x:f>'Evaluation Plan'!D37</x:f>
        <x:v>Bowl: empty. Table, robot-left→robot-right: P1 juggling ball; P2 crushed Pepsi can. Adjacent centers 16 cm apart; row shifted 4 cm toward the robot; all objects fully visible and grasp paths clear.</x:v>
      </x:c>
      <x:c r="E37" s="16" t="n">
        <x:f>IF(ISBLANK('Evaluation Plan'!E37),"",'Evaluation Plan'!E37)</x:f>
        <x:v>33</x:v>
      </x:c>
      <x:c r="F37" s="16" t="str">
        <x:f>'Evaluation Plan'!F37</x:f>
        <x:v>1101</x:v>
      </x:c>
      <x:c r="G37" s="16" t="str">
        <x:f>'Evaluation Plan'!G37</x:f>
        <x:v>MOVE juggling ball to bowl</x:v>
      </x:c>
      <x:c r="H37" s="6"/>
      <x:c r="I37" s="16" t="str">
        <x:f>'Evaluation Plan'!I37</x:f>
        <x:v>Language robustness</x:v>
      </x:c>
      <x:c r="J37" s="16" t="str">
        <x:f>'Evaluation Plan'!J37</x:f>
        <x:v>SZ-CT-SJ02</x:v>
      </x:c>
      <x:c r="K37" s="16" t="str">
        <x:f>'Evaluation Plan'!K37</x:f>
        <x:v>Direct</x:v>
      </x:c>
      <x:c r="L37" s="16" t="str">
        <x:f>'Evaluation Plan'!L37</x:f>
        <x:v>Matched-control direct prompt paraphrase</x:v>
      </x:c>
      <x:c r="M37" s="16" t="str">
        <x:f>'Evaluation Plan'!M37</x:f>
        <x:v>juggling ball</x:v>
      </x:c>
      <x:c r="N37" s="16" t="str">
        <x:f>'Evaluation Plan'!N37</x:f>
        <x:v>Left</x:v>
      </x:c>
      <x:c r="O37" s="16" t="n">
        <x:f>'Evaluation Plan'!O37</x:f>
        <x:v>2</x:v>
      </x:c>
      <x:c r="P37" s="16" t="n">
        <x:f>IF(ISBLANK('Evaluation Plan'!P37),"",'Evaluation Plan'!P37)</x:f>
        <x:v>16</x:v>
      </x:c>
      <x:c r="Q37" s="16" t="str">
        <x:f>'Evaluation Plan'!Q37</x:f>
        <x:v>Reset the target; preserve the exact scene and paraphrase only the matched-control prompt.</x:v>
      </x:c>
      <x:c r="R37" s="6" t="str">
        <x:f>'Evaluation Plan'!R37</x:f>
        <x:v>Exact-scene paraphrase of the direct manipulation control.</x:v>
      </x:c>
      <x:c r="S37" s="6" t="str">
        <x:f>IF(ISBLANK('Evaluation Plan'!S37),"",'Evaluation Plan'!S37)</x:f>
      </x:c>
    </x:row>
    <x:row r="38" ht="67.5" customHeight="1">
      <x:c r="A38" s="8" t="s">
        <x:v>19</x:v>
      </x:c>
      <x:c r="B38" s="8" t="n">
        <x:f>'Evaluation Plan'!B38</x:f>
        <x:v>36</x:v>
      </x:c>
      <x:c r="C38" s="9" t="str">
        <x:f>'Evaluation Plan'!C38</x:f>
        <x:v>Put the largest object in the bowl.</x:v>
      </x:c>
      <x:c r="D38" s="9" t="str">
        <x:f>'Evaluation Plan'!D38</x:f>
        <x:v>Bowl: empty. Table, robot-left→robot-right: P1 green block; P2 red pencil sharpener. Adjacent centers 16 cm apart; row shifted 4 cm toward robot-right; all objects fully visible and grasp paths clear.</x:v>
      </x:c>
      <x:c r="E38" s="8" t="str">
        <x:f>IF(ISBLANK('Evaluation Plan'!E38),"",'Evaluation Plan'!E38)</x:f>
      </x:c>
      <x:c r="F38" s="8" t="str">
        <x:f>'Evaluation Plan'!F38</x:f>
        <x:v>1082</x:v>
      </x:c>
      <x:c r="G38" s="8" t="str">
        <x:f>'Evaluation Plan'!G38</x:f>
        <x:v>MOVE green block to bowl</x:v>
      </x:c>
      <x:c r="H38" s="9"/>
      <x:c r="I38" s="8" t="str">
        <x:f>'Evaluation Plan'!I38</x:f>
        <x:v>Concept/compositional transfer</x:v>
      </x:c>
      <x:c r="J38" s="8" t="str">
        <x:f>'Evaluation Plan'!J38</x:f>
        <x:v>SZ-CT-LG03</x:v>
      </x:c>
      <x:c r="K38" s="8" t="str">
        <x:f>'Evaluation Plan'!K38</x:f>
        <x:v>largest</x:v>
      </x:c>
      <x:c r="L38" s="8" t="str">
        <x:f>'Evaluation Plan'!L38</x:f>
        <x:v>Held-out largest × green block — Put</x:v>
      </x:c>
      <x:c r="M38" s="8" t="str">
        <x:f>'Evaluation Plan'!M38</x:f>
        <x:v>green block</x:v>
      </x:c>
      <x:c r="N38" s="8" t="str">
        <x:f>'Evaluation Plan'!N38</x:f>
        <x:v>Left</x:v>
      </x:c>
      <x:c r="O38" s="8" t="n">
        <x:f>'Evaluation Plan'!O38</x:f>
        <x:v>2</x:v>
      </x:c>
      <x:c r="P38" s="8" t="n">
        <x:f>IF(ISBLANK('Evaluation Plan'!P38),"",'Evaluation Plan'!P38)</x:f>
        <x:v>16</x:v>
      </x:c>
      <x:c r="Q38" s="8" t="str">
        <x:f>'Evaluation Plan'!Q38</x:f>
        <x:v>Build the listed two-object scene and save a first-frame filename.</x:v>
      </x:c>
      <x:c r="R38" s="9" t="str">
        <x:f>'Evaluation Plan'!R38</x:f>
        <x:v>Primary missing cell. Training episode 1082 contains the same target trajectory but masks the size word with a direct identity prompt.</x:v>
      </x:c>
      <x:c r="S38" s="9" t="str">
        <x:f>IF(ISBLANK('Evaluation Plan'!S38),"",'Evaluation Plan'!S38)</x:f>
      </x:c>
    </x:row>
    <x:row r="39" ht="67.5" customHeight="1">
      <x:c r="A39" s="16" t="s">
        <x:v>19</x:v>
      </x:c>
      <x:c r="B39" s="16" t="n">
        <x:f>'Evaluation Plan'!B39</x:f>
        <x:v>37</x:v>
      </x:c>
      <x:c r="C39" s="6" t="str">
        <x:f>'Evaluation Plan'!C39</x:f>
        <x:v>Pick up the green block and place it in the bowl.</x:v>
      </x:c>
      <x:c r="D39" s="6" t="str">
        <x:f>'Evaluation Plan'!D39</x:f>
        <x:v>Bowl: empty. Table, robot-left→robot-right: P1 green block; P2 red pencil sharpener. Adjacent centers 16 cm apart; row shifted 4 cm toward robot-right; all objects fully visible and grasp paths clear.</x:v>
      </x:c>
      <x:c r="E39" s="16" t="n">
        <x:f>IF(ISBLANK('Evaluation Plan'!E39),"",'Evaluation Plan'!E39)</x:f>
        <x:v>36</x:v>
      </x:c>
      <x:c r="F39" s="16" t="str">
        <x:f>'Evaluation Plan'!F39</x:f>
        <x:v>1077</x:v>
      </x:c>
      <x:c r="G39" s="16" t="str">
        <x:f>'Evaluation Plan'!G39</x:f>
        <x:v>MOVE green block to bowl</x:v>
      </x:c>
      <x:c r="H39" s="6"/>
      <x:c r="I39" s="16" t="str">
        <x:f>'Evaluation Plan'!I39</x:f>
        <x:v>Matched manipulation control</x:v>
      </x:c>
      <x:c r="J39" s="16" t="str">
        <x:f>'Evaluation Plan'!J39</x:f>
        <x:v>SZ-CT-LG03</x:v>
      </x:c>
      <x:c r="K39" s="16" t="str">
        <x:f>'Evaluation Plan'!K39</x:f>
        <x:v>Direct</x:v>
      </x:c>
      <x:c r="L39" s="16" t="str">
        <x:f>'Evaluation Plan'!L39</x:f>
        <x:v>Same-scene direct target control</x:v>
      </x:c>
      <x:c r="M39" s="16" t="str">
        <x:f>'Evaluation Plan'!M39</x:f>
        <x:v>green block</x:v>
      </x:c>
      <x:c r="N39" s="16" t="str">
        <x:f>'Evaluation Plan'!N39</x:f>
        <x:v>Left</x:v>
      </x:c>
      <x:c r="O39" s="16" t="n">
        <x:f>'Evaluation Plan'!O39</x:f>
        <x:v>2</x:v>
      </x:c>
      <x:c r="P39" s="16" t="n">
        <x:f>IF(ISBLANK('Evaluation Plan'!P39),"",'Evaluation Plan'!P39)</x:f>
        <x:v>16</x:v>
      </x:c>
      <x:c r="Q39" s="16" t="str">
        <x:f>'Evaluation Plan'!Q39</x:f>
        <x:v>Reset the target to its original pose; change only the prompt.</x:v>
      </x:c>
      <x:c r="R39" s="6" t="str">
        <x:f>'Evaluation Plan'!R39</x:f>
        <x:v>Exact-scene control using a direct prompt supported by training episode 1077.</x:v>
      </x:c>
      <x:c r="S39" s="6" t="str">
        <x:f>IF(ISBLANK('Evaluation Plan'!S39),"",'Evaluation Plan'!S39)</x:f>
      </x:c>
    </x:row>
    <x:row r="40" ht="67.5" customHeight="1">
      <x:c r="A40" s="16" t="s">
        <x:v>19</x:v>
      </x:c>
      <x:c r="B40" s="16" t="n">
        <x:f>'Evaluation Plan'!B40</x:f>
        <x:v>38</x:v>
      </x:c>
      <x:c r="C40" s="6" t="str">
        <x:f>'Evaluation Plan'!C40</x:f>
        <x:v>Select the bigger object and put it into the bowl.</x:v>
      </x:c>
      <x:c r="D40" s="6" t="str">
        <x:f>'Evaluation Plan'!D40</x:f>
        <x:v>Bowl: empty. Table, robot-left→robot-right: P1 green block; P2 red pencil sharpener. Adjacent centers 16 cm apart; row shifted 4 cm toward robot-right; all objects fully visible and grasp paths clear.</x:v>
      </x:c>
      <x:c r="E40" s="16" t="n">
        <x:f>IF(ISBLANK('Evaluation Plan'!E40),"",'Evaluation Plan'!E40)</x:f>
        <x:v>36</x:v>
      </x:c>
      <x:c r="F40" s="16" t="str">
        <x:f>'Evaluation Plan'!F40</x:f>
        <x:v>1082</x:v>
      </x:c>
      <x:c r="G40" s="16" t="str">
        <x:f>'Evaluation Plan'!G40</x:f>
        <x:v>MOVE green block to bowl</x:v>
      </x:c>
      <x:c r="H40" s="6"/>
      <x:c r="I40" s="16" t="str">
        <x:f>'Evaluation Plan'!I40</x:f>
        <x:v>Language robustness</x:v>
      </x:c>
      <x:c r="J40" s="16" t="str">
        <x:f>'Evaluation Plan'!J40</x:f>
        <x:v>SZ-CT-LG03</x:v>
      </x:c>
      <x:c r="K40" s="16" t="str">
        <x:f>'Evaluation Plan'!K40</x:f>
        <x:v>largest</x:v>
      </x:c>
      <x:c r="L40" s="16" t="str">
        <x:f>'Evaluation Plan'!L40</x:f>
        <x:v>Primary compositional-transfer prompt paraphrase</x:v>
      </x:c>
      <x:c r="M40" s="16" t="str">
        <x:f>'Evaluation Plan'!M40</x:f>
        <x:v>green block</x:v>
      </x:c>
      <x:c r="N40" s="16" t="str">
        <x:f>'Evaluation Plan'!N40</x:f>
        <x:v>Left</x:v>
      </x:c>
      <x:c r="O40" s="16" t="n">
        <x:f>'Evaluation Plan'!O40</x:f>
        <x:v>2</x:v>
      </x:c>
      <x:c r="P40" s="16" t="n">
        <x:f>IF(ISBLANK('Evaluation Plan'!P40),"",'Evaluation Plan'!P40)</x:f>
        <x:v>16</x:v>
      </x:c>
      <x:c r="Q40" s="16" t="str">
        <x:f>'Evaluation Plan'!Q40</x:f>
        <x:v>Reset the target; preserve the exact scene and paraphrase only the transfer prompt.</x:v>
      </x:c>
      <x:c r="R40" s="6" t="str">
        <x:f>'Evaluation Plan'!R40</x:f>
        <x:v>Exact-scene paraphrase of the primary transfer instruction.</x:v>
      </x:c>
      <x:c r="S40" s="6" t="str">
        <x:f>IF(ISBLANK('Evaluation Plan'!S40),"",'Evaluation Plan'!S40)</x:f>
      </x:c>
    </x:row>
    <x:row r="41" ht="67.5" customHeight="1">
      <x:c r="A41" s="16" t="s">
        <x:v>19</x:v>
      </x:c>
      <x:c r="B41" s="16" t="n">
        <x:f>'Evaluation Plan'!B41</x:f>
        <x:v>39</x:v>
      </x:c>
      <x:c r="C41" s="6" t="str">
        <x:f>'Evaluation Plan'!C41</x:f>
        <x:v>Move the green block off the table and into the bowl.</x:v>
      </x:c>
      <x:c r="D41" s="6" t="str">
        <x:f>'Evaluation Plan'!D41</x:f>
        <x:v>Bowl: empty. Table, robot-left→robot-right: P1 green block; P2 red pencil sharpener. Adjacent centers 16 cm apart; row shifted 4 cm toward robot-right; all objects fully visible and grasp paths clear.</x:v>
      </x:c>
      <x:c r="E41" s="16" t="n">
        <x:f>IF(ISBLANK('Evaluation Plan'!E41),"",'Evaluation Plan'!E41)</x:f>
        <x:v>37</x:v>
      </x:c>
      <x:c r="F41" s="16" t="str">
        <x:f>'Evaluation Plan'!F41</x:f>
        <x:v>1077</x:v>
      </x:c>
      <x:c r="G41" s="16" t="str">
        <x:f>'Evaluation Plan'!G41</x:f>
        <x:v>MOVE green block to bowl</x:v>
      </x:c>
      <x:c r="H41" s="6"/>
      <x:c r="I41" s="16" t="str">
        <x:f>'Evaluation Plan'!I41</x:f>
        <x:v>Language robustness</x:v>
      </x:c>
      <x:c r="J41" s="16" t="str">
        <x:f>'Evaluation Plan'!J41</x:f>
        <x:v>SZ-CT-LG03</x:v>
      </x:c>
      <x:c r="K41" s="16" t="str">
        <x:f>'Evaluation Plan'!K41</x:f>
        <x:v>Direct</x:v>
      </x:c>
      <x:c r="L41" s="16" t="str">
        <x:f>'Evaluation Plan'!L41</x:f>
        <x:v>Matched-control direct prompt paraphrase</x:v>
      </x:c>
      <x:c r="M41" s="16" t="str">
        <x:f>'Evaluation Plan'!M41</x:f>
        <x:v>green block</x:v>
      </x:c>
      <x:c r="N41" s="16" t="str">
        <x:f>'Evaluation Plan'!N41</x:f>
        <x:v>Left</x:v>
      </x:c>
      <x:c r="O41" s="16" t="n">
        <x:f>'Evaluation Plan'!O41</x:f>
        <x:v>2</x:v>
      </x:c>
      <x:c r="P41" s="16" t="n">
        <x:f>IF(ISBLANK('Evaluation Plan'!P41),"",'Evaluation Plan'!P41)</x:f>
        <x:v>16</x:v>
      </x:c>
      <x:c r="Q41" s="16" t="str">
        <x:f>'Evaluation Plan'!Q41</x:f>
        <x:v>Reset the target; preserve the exact scene and paraphrase only the matched-control prompt.</x:v>
      </x:c>
      <x:c r="R41" s="6" t="str">
        <x:f>'Evaluation Plan'!R41</x:f>
        <x:v>Exact-scene paraphrase of the direct manipulation control.</x:v>
      </x:c>
      <x:c r="S41" s="6" t="str">
        <x:f>IF(ISBLANK('Evaluation Plan'!S41),"",'Evaluation Plan'!S41)</x:f>
      </x:c>
    </x:row>
    <x:row r="42" ht="67.5" customHeight="1">
      <x:c r="A42" s="8" t="s">
        <x:v>19</x:v>
      </x:c>
      <x:c r="B42" s="8" t="n">
        <x:f>'Evaluation Plan'!B42</x:f>
        <x:v>40</x:v>
      </x:c>
      <x:c r="C42" s="9" t="str">
        <x:f>'Evaluation Plan'!C42</x:f>
        <x:v>Move the object that is smallest into the bowl.</x:v>
      </x:c>
      <x:c r="D42" s="9" t="str">
        <x:f>'Evaluation Plan'!D42</x:f>
        <x:v>Bowl: empty. Table, robot-left→robot-right: P1 crushed Pepsi can; P2 juggling ball. Adjacent centers 8 cm apart; row shifted 4 cm away from the robot; all objects fully visible and grasp paths clear.</x:v>
      </x:c>
      <x:c r="E42" s="8" t="str">
        <x:f>IF(ISBLANK('Evaluation Plan'!E42),"",'Evaluation Plan'!E42)</x:f>
      </x:c>
      <x:c r="F42" s="8" t="str">
        <x:f>'Evaluation Plan'!F42</x:f>
        <x:v>1107</x:v>
      </x:c>
      <x:c r="G42" s="8" t="str">
        <x:f>'Evaluation Plan'!G42</x:f>
        <x:v>MOVE juggling ball to bowl</x:v>
      </x:c>
      <x:c r="H42" s="9"/>
      <x:c r="I42" s="8" t="str">
        <x:f>'Evaluation Plan'!I42</x:f>
        <x:v>Concept/compositional transfer</x:v>
      </x:c>
      <x:c r="J42" s="8" t="str">
        <x:f>'Evaluation Plan'!J42</x:f>
        <x:v>SZ-CT-SJ03</x:v>
      </x:c>
      <x:c r="K42" s="8" t="str">
        <x:f>'Evaluation Plan'!K42</x:f>
        <x:v>smallest</x:v>
      </x:c>
      <x:c r="L42" s="8" t="str">
        <x:f>'Evaluation Plan'!L42</x:f>
        <x:v>Held-out smallest × juggling ball — Move</x:v>
      </x:c>
      <x:c r="M42" s="8" t="str">
        <x:f>'Evaluation Plan'!M42</x:f>
        <x:v>juggling ball</x:v>
      </x:c>
      <x:c r="N42" s="8" t="str">
        <x:f>'Evaluation Plan'!N42</x:f>
        <x:v>Right</x:v>
      </x:c>
      <x:c r="O42" s="8" t="n">
        <x:f>'Evaluation Plan'!O42</x:f>
        <x:v>2</x:v>
      </x:c>
      <x:c r="P42" s="8" t="n">
        <x:f>IF(ISBLANK('Evaluation Plan'!P42),"",'Evaluation Plan'!P42)</x:f>
        <x:v>8</x:v>
      </x:c>
      <x:c r="Q42" s="8" t="str">
        <x:f>'Evaluation Plan'!Q42</x:f>
        <x:v>Build the listed two-object scene and save a first-frame filename.</x:v>
      </x:c>
      <x:c r="R42" s="9" t="str">
        <x:f>'Evaluation Plan'!R42</x:f>
        <x:v>Primary missing cell. Training episode 1107 contains the same target trajectory but masks the size word with a direct identity prompt.</x:v>
      </x:c>
      <x:c r="S42" s="9" t="str">
        <x:f>IF(ISBLANK('Evaluation Plan'!S42),"",'Evaluation Plan'!S42)</x:f>
      </x:c>
    </x:row>
    <x:row r="43" ht="67.5" customHeight="1">
      <x:c r="A43" s="16" t="s">
        <x:v>19</x:v>
      </x:c>
      <x:c r="B43" s="16" t="n">
        <x:f>'Evaluation Plan'!B43</x:f>
        <x:v>41</x:v>
      </x:c>
      <x:c r="C43" s="6" t="str">
        <x:f>'Evaluation Plan'!C43</x:f>
        <x:v>Pick up the juggling ball and place it in the bowl.</x:v>
      </x:c>
      <x:c r="D43" s="6" t="str">
        <x:f>'Evaluation Plan'!D43</x:f>
        <x:v>Bowl: empty. Table, robot-left→robot-right: P1 crushed Pepsi can; P2 juggling ball. Adjacent centers 8 cm apart; row shifted 4 cm away from the robot; all objects fully visible and grasp paths clear.</x:v>
      </x:c>
      <x:c r="E43" s="16" t="n">
        <x:f>IF(ISBLANK('Evaluation Plan'!E43),"",'Evaluation Plan'!E43)</x:f>
        <x:v>40</x:v>
      </x:c>
      <x:c r="F43" s="16" t="str">
        <x:f>'Evaluation Plan'!F43</x:f>
        <x:v>1102</x:v>
      </x:c>
      <x:c r="G43" s="16" t="str">
        <x:f>'Evaluation Plan'!G43</x:f>
        <x:v>MOVE juggling ball to bowl</x:v>
      </x:c>
      <x:c r="H43" s="6"/>
      <x:c r="I43" s="16" t="str">
        <x:f>'Evaluation Plan'!I43</x:f>
        <x:v>Matched manipulation control</x:v>
      </x:c>
      <x:c r="J43" s="16" t="str">
        <x:f>'Evaluation Plan'!J43</x:f>
        <x:v>SZ-CT-SJ03</x:v>
      </x:c>
      <x:c r="K43" s="16" t="str">
        <x:f>'Evaluation Plan'!K43</x:f>
        <x:v>Direct</x:v>
      </x:c>
      <x:c r="L43" s="16" t="str">
        <x:f>'Evaluation Plan'!L43</x:f>
        <x:v>Same-scene direct target control</x:v>
      </x:c>
      <x:c r="M43" s="16" t="str">
        <x:f>'Evaluation Plan'!M43</x:f>
        <x:v>juggling ball</x:v>
      </x:c>
      <x:c r="N43" s="16" t="str">
        <x:f>'Evaluation Plan'!N43</x:f>
        <x:v>Right</x:v>
      </x:c>
      <x:c r="O43" s="16" t="n">
        <x:f>'Evaluation Plan'!O43</x:f>
        <x:v>2</x:v>
      </x:c>
      <x:c r="P43" s="16" t="n">
        <x:f>IF(ISBLANK('Evaluation Plan'!P43),"",'Evaluation Plan'!P43)</x:f>
        <x:v>8</x:v>
      </x:c>
      <x:c r="Q43" s="16" t="str">
        <x:f>'Evaluation Plan'!Q43</x:f>
        <x:v>Reset the target to its original pose; change only the prompt.</x:v>
      </x:c>
      <x:c r="R43" s="6" t="str">
        <x:f>'Evaluation Plan'!R43</x:f>
        <x:v>Exact-scene control using a direct prompt supported by training episode 1102.</x:v>
      </x:c>
      <x:c r="S43" s="6" t="str">
        <x:f>IF(ISBLANK('Evaluation Plan'!S43),"",'Evaluation Plan'!S43)</x:f>
      </x:c>
    </x:row>
    <x:row r="44" ht="67.5" customHeight="1">
      <x:c r="A44" s="16" t="s">
        <x:v>19</x:v>
      </x:c>
      <x:c r="B44" s="16" t="n">
        <x:f>'Evaluation Plan'!B44</x:f>
        <x:v>42</x:v>
      </x:c>
      <x:c r="C44" s="6" t="str">
        <x:f>'Evaluation Plan'!C44</x:f>
        <x:v>Select the smaller object and put it into the bowl.</x:v>
      </x:c>
      <x:c r="D44" s="6" t="str">
        <x:f>'Evaluation Plan'!D44</x:f>
        <x:v>Bowl: empty. Table, robot-left→robot-right: P1 crushed Pepsi can; P2 juggling ball. Adjacent centers 8 cm apart; row shifted 4 cm away from the robot; all objects fully visible and grasp paths clear.</x:v>
      </x:c>
      <x:c r="E44" s="16" t="n">
        <x:f>IF(ISBLANK('Evaluation Plan'!E44),"",'Evaluation Plan'!E44)</x:f>
        <x:v>40</x:v>
      </x:c>
      <x:c r="F44" s="16" t="str">
        <x:f>'Evaluation Plan'!F44</x:f>
        <x:v>1107</x:v>
      </x:c>
      <x:c r="G44" s="16" t="str">
        <x:f>'Evaluation Plan'!G44</x:f>
        <x:v>MOVE juggling ball to bowl</x:v>
      </x:c>
      <x:c r="H44" s="6"/>
      <x:c r="I44" s="16" t="str">
        <x:f>'Evaluation Plan'!I44</x:f>
        <x:v>Language robustness</x:v>
      </x:c>
      <x:c r="J44" s="16" t="str">
        <x:f>'Evaluation Plan'!J44</x:f>
        <x:v>SZ-CT-SJ03</x:v>
      </x:c>
      <x:c r="K44" s="16" t="str">
        <x:f>'Evaluation Plan'!K44</x:f>
        <x:v>smallest</x:v>
      </x:c>
      <x:c r="L44" s="16" t="str">
        <x:f>'Evaluation Plan'!L44</x:f>
        <x:v>Primary compositional-transfer prompt paraphrase</x:v>
      </x:c>
      <x:c r="M44" s="16" t="str">
        <x:f>'Evaluation Plan'!M44</x:f>
        <x:v>juggling ball</x:v>
      </x:c>
      <x:c r="N44" s="16" t="str">
        <x:f>'Evaluation Plan'!N44</x:f>
        <x:v>Right</x:v>
      </x:c>
      <x:c r="O44" s="16" t="n">
        <x:f>'Evaluation Plan'!O44</x:f>
        <x:v>2</x:v>
      </x:c>
      <x:c r="P44" s="16" t="n">
        <x:f>IF(ISBLANK('Evaluation Plan'!P44),"",'Evaluation Plan'!P44)</x:f>
        <x:v>8</x:v>
      </x:c>
      <x:c r="Q44" s="16" t="str">
        <x:f>'Evaluation Plan'!Q44</x:f>
        <x:v>Reset the target; preserve the exact scene and paraphrase only the transfer prompt.</x:v>
      </x:c>
      <x:c r="R44" s="6" t="str">
        <x:f>'Evaluation Plan'!R44</x:f>
        <x:v>Exact-scene paraphrase of the primary transfer instruction.</x:v>
      </x:c>
      <x:c r="S44" s="6" t="str">
        <x:f>IF(ISBLANK('Evaluation Plan'!S44),"",'Evaluation Plan'!S44)</x:f>
      </x:c>
    </x:row>
    <x:row r="45" ht="67.5" customHeight="1">
      <x:c r="A45" s="16" t="s">
        <x:v>19</x:v>
      </x:c>
      <x:c r="B45" s="16" t="n">
        <x:f>'Evaluation Plan'!B45</x:f>
        <x:v>43</x:v>
      </x:c>
      <x:c r="C45" s="6" t="str">
        <x:f>'Evaluation Plan'!C45</x:f>
        <x:v>Move the juggling ball off the table and into the bowl.</x:v>
      </x:c>
      <x:c r="D45" s="6" t="str">
        <x:f>'Evaluation Plan'!D45</x:f>
        <x:v>Bowl: empty. Table, robot-left→robot-right: P1 crushed Pepsi can; P2 juggling ball. Adjacent centers 8 cm apart; row shifted 4 cm away from the robot; all objects fully visible and grasp paths clear.</x:v>
      </x:c>
      <x:c r="E45" s="16" t="n">
        <x:f>IF(ISBLANK('Evaluation Plan'!E45),"",'Evaluation Plan'!E45)</x:f>
        <x:v>41</x:v>
      </x:c>
      <x:c r="F45" s="16" t="str">
        <x:f>'Evaluation Plan'!F45</x:f>
        <x:v>1102</x:v>
      </x:c>
      <x:c r="G45" s="16" t="str">
        <x:f>'Evaluation Plan'!G45</x:f>
        <x:v>MOVE juggling ball to bowl</x:v>
      </x:c>
      <x:c r="H45" s="6"/>
      <x:c r="I45" s="16" t="str">
        <x:f>'Evaluation Plan'!I45</x:f>
        <x:v>Language robustness</x:v>
      </x:c>
      <x:c r="J45" s="16" t="str">
        <x:f>'Evaluation Plan'!J45</x:f>
        <x:v>SZ-CT-SJ03</x:v>
      </x:c>
      <x:c r="K45" s="16" t="str">
        <x:f>'Evaluation Plan'!K45</x:f>
        <x:v>Direct</x:v>
      </x:c>
      <x:c r="L45" s="16" t="str">
        <x:f>'Evaluation Plan'!L45</x:f>
        <x:v>Matched-control direct prompt paraphrase</x:v>
      </x:c>
      <x:c r="M45" s="16" t="str">
        <x:f>'Evaluation Plan'!M45</x:f>
        <x:v>juggling ball</x:v>
      </x:c>
      <x:c r="N45" s="16" t="str">
        <x:f>'Evaluation Plan'!N45</x:f>
        <x:v>Right</x:v>
      </x:c>
      <x:c r="O45" s="16" t="n">
        <x:f>'Evaluation Plan'!O45</x:f>
        <x:v>2</x:v>
      </x:c>
      <x:c r="P45" s="16" t="n">
        <x:f>IF(ISBLANK('Evaluation Plan'!P45),"",'Evaluation Plan'!P45)</x:f>
        <x:v>8</x:v>
      </x:c>
      <x:c r="Q45" s="16" t="str">
        <x:f>'Evaluation Plan'!Q45</x:f>
        <x:v>Reset the target; preserve the exact scene and paraphrase only the matched-control prompt.</x:v>
      </x:c>
      <x:c r="R45" s="6" t="str">
        <x:f>'Evaluation Plan'!R45</x:f>
        <x:v>Exact-scene paraphrase of the direct manipulation control.</x:v>
      </x:c>
      <x:c r="S45" s="6" t="str">
        <x:f>IF(ISBLANK('Evaluation Plan'!S45),"",'Evaluation Plan'!S45)</x:f>
      </x:c>
    </x:row>
    <x:row r="46" ht="67.5" customHeight="1">
      <x:c r="A46" s="8" t="s">
        <x:v>19</x:v>
      </x:c>
      <x:c r="B46" s="8" t="n">
        <x:f>'Evaluation Plan'!B46</x:f>
        <x:v>44</x:v>
      </x:c>
      <x:c r="C46" s="9" t="str">
        <x:f>'Evaluation Plan'!C46</x:f>
        <x:v>Move the object that is largest into the bowl.</x:v>
      </x:c>
      <x:c r="D46" s="9" t="str">
        <x:f>'Evaluation Plan'!D46</x:f>
        <x:v>Bowl: empty. Table, robot-left→robot-right: P1 red pencil sharpener; P2 green block. Adjacent centers 8 cm apart; row shifted 4 cm toward the robot; all objects fully visible and grasp paths clear.</x:v>
      </x:c>
      <x:c r="E46" s="8" t="str">
        <x:f>IF(ISBLANK('Evaluation Plan'!E46),"",'Evaluation Plan'!E46)</x:f>
      </x:c>
      <x:c r="F46" s="8" t="str">
        <x:f>'Evaluation Plan'!F46</x:f>
        <x:v>1083</x:v>
      </x:c>
      <x:c r="G46" s="8" t="str">
        <x:f>'Evaluation Plan'!G46</x:f>
        <x:v>MOVE green block to bowl</x:v>
      </x:c>
      <x:c r="H46" s="9"/>
      <x:c r="I46" s="8" t="str">
        <x:f>'Evaluation Plan'!I46</x:f>
        <x:v>Concept/compositional transfer</x:v>
      </x:c>
      <x:c r="J46" s="8" t="str">
        <x:f>'Evaluation Plan'!J46</x:f>
        <x:v>SZ-CT-LG04</x:v>
      </x:c>
      <x:c r="K46" s="8" t="str">
        <x:f>'Evaluation Plan'!K46</x:f>
        <x:v>largest</x:v>
      </x:c>
      <x:c r="L46" s="8" t="str">
        <x:f>'Evaluation Plan'!L46</x:f>
        <x:v>Held-out largest × green block — Move</x:v>
      </x:c>
      <x:c r="M46" s="8" t="str">
        <x:f>'Evaluation Plan'!M46</x:f>
        <x:v>green block</x:v>
      </x:c>
      <x:c r="N46" s="8" t="str">
        <x:f>'Evaluation Plan'!N46</x:f>
        <x:v>Right</x:v>
      </x:c>
      <x:c r="O46" s="8" t="n">
        <x:f>'Evaluation Plan'!O46</x:f>
        <x:v>2</x:v>
      </x:c>
      <x:c r="P46" s="8" t="n">
        <x:f>IF(ISBLANK('Evaluation Plan'!P46),"",'Evaluation Plan'!P46)</x:f>
        <x:v>8</x:v>
      </x:c>
      <x:c r="Q46" s="8" t="str">
        <x:f>'Evaluation Plan'!Q46</x:f>
        <x:v>Build the listed two-object scene and save a first-frame filename.</x:v>
      </x:c>
      <x:c r="R46" s="9" t="str">
        <x:f>'Evaluation Plan'!R46</x:f>
        <x:v>Primary missing cell. Training episode 1083 contains the same target trajectory but masks the size word with a direct identity prompt.</x:v>
      </x:c>
      <x:c r="S46" s="9" t="str">
        <x:f>IF(ISBLANK('Evaluation Plan'!S46),"",'Evaluation Plan'!S46)</x:f>
      </x:c>
    </x:row>
    <x:row r="47" ht="67.5" customHeight="1">
      <x:c r="A47" s="16" t="s">
        <x:v>19</x:v>
      </x:c>
      <x:c r="B47" s="16" t="n">
        <x:f>'Evaluation Plan'!B47</x:f>
        <x:v>45</x:v>
      </x:c>
      <x:c r="C47" s="6" t="str">
        <x:f>'Evaluation Plan'!C47</x:f>
        <x:v>Put the green block in the bowl.</x:v>
      </x:c>
      <x:c r="D47" s="6" t="str">
        <x:f>'Evaluation Plan'!D47</x:f>
        <x:v>Bowl: empty. Table, robot-left→robot-right: P1 red pencil sharpener; P2 green block. Adjacent centers 8 cm apart; row shifted 4 cm toward the robot; all objects fully visible and grasp paths clear.</x:v>
      </x:c>
      <x:c r="E47" s="16" t="n">
        <x:f>IF(ISBLANK('Evaluation Plan'!E47),"",'Evaluation Plan'!E47)</x:f>
        <x:v>44</x:v>
      </x:c>
      <x:c r="F47" s="16" t="str">
        <x:f>'Evaluation Plan'!F47</x:f>
        <x:v>1078</x:v>
      </x:c>
      <x:c r="G47" s="16" t="str">
        <x:f>'Evaluation Plan'!G47</x:f>
        <x:v>MOVE green block to bowl</x:v>
      </x:c>
      <x:c r="H47" s="6"/>
      <x:c r="I47" s="16" t="str">
        <x:f>'Evaluation Plan'!I47</x:f>
        <x:v>Matched manipulation control</x:v>
      </x:c>
      <x:c r="J47" s="16" t="str">
        <x:f>'Evaluation Plan'!J47</x:f>
        <x:v>SZ-CT-LG04</x:v>
      </x:c>
      <x:c r="K47" s="16" t="str">
        <x:f>'Evaluation Plan'!K47</x:f>
        <x:v>Direct</x:v>
      </x:c>
      <x:c r="L47" s="16" t="str">
        <x:f>'Evaluation Plan'!L47</x:f>
        <x:v>Same-scene direct target control</x:v>
      </x:c>
      <x:c r="M47" s="16" t="str">
        <x:f>'Evaluation Plan'!M47</x:f>
        <x:v>green block</x:v>
      </x:c>
      <x:c r="N47" s="16" t="str">
        <x:f>'Evaluation Plan'!N47</x:f>
        <x:v>Right</x:v>
      </x:c>
      <x:c r="O47" s="16" t="n">
        <x:f>'Evaluation Plan'!O47</x:f>
        <x:v>2</x:v>
      </x:c>
      <x:c r="P47" s="16" t="n">
        <x:f>IF(ISBLANK('Evaluation Plan'!P47),"",'Evaluation Plan'!P47)</x:f>
        <x:v>8</x:v>
      </x:c>
      <x:c r="Q47" s="16" t="str">
        <x:f>'Evaluation Plan'!Q47</x:f>
        <x:v>Reset the target to its original pose; change only the prompt.</x:v>
      </x:c>
      <x:c r="R47" s="6" t="str">
        <x:f>'Evaluation Plan'!R47</x:f>
        <x:v>Exact-scene control using a direct prompt supported by training episode 1078.</x:v>
      </x:c>
      <x:c r="S47" s="6" t="str">
        <x:f>IF(ISBLANK('Evaluation Plan'!S47),"",'Evaluation Plan'!S47)</x:f>
      </x:c>
    </x:row>
    <x:row r="48" ht="67.5" customHeight="1">
      <x:c r="A48" s="16" t="s">
        <x:v>19</x:v>
      </x:c>
      <x:c r="B48" s="16" t="n">
        <x:f>'Evaluation Plan'!B48</x:f>
        <x:v>46</x:v>
      </x:c>
      <x:c r="C48" s="6" t="str">
        <x:f>'Evaluation Plan'!C48</x:f>
        <x:v>Find the greatest-sized item and move it to the bowl.</x:v>
      </x:c>
      <x:c r="D48" s="6" t="str">
        <x:f>'Evaluation Plan'!D48</x:f>
        <x:v>Bowl: empty. Table, robot-left→robot-right: P1 red pencil sharpener; P2 green block. Adjacent centers 8 cm apart; row shifted 4 cm toward the robot; all objects fully visible and grasp paths clear.</x:v>
      </x:c>
      <x:c r="E48" s="16" t="n">
        <x:f>IF(ISBLANK('Evaluation Plan'!E48),"",'Evaluation Plan'!E48)</x:f>
        <x:v>44</x:v>
      </x:c>
      <x:c r="F48" s="16" t="str">
        <x:f>'Evaluation Plan'!F48</x:f>
        <x:v>1083</x:v>
      </x:c>
      <x:c r="G48" s="16" t="str">
        <x:f>'Evaluation Plan'!G48</x:f>
        <x:v>MOVE green block to bowl</x:v>
      </x:c>
      <x:c r="H48" s="6"/>
      <x:c r="I48" s="16" t="str">
        <x:f>'Evaluation Plan'!I48</x:f>
        <x:v>Language robustness</x:v>
      </x:c>
      <x:c r="J48" s="16" t="str">
        <x:f>'Evaluation Plan'!J48</x:f>
        <x:v>SZ-CT-LG04</x:v>
      </x:c>
      <x:c r="K48" s="16" t="str">
        <x:f>'Evaluation Plan'!K48</x:f>
        <x:v>largest</x:v>
      </x:c>
      <x:c r="L48" s="16" t="str">
        <x:f>'Evaluation Plan'!L48</x:f>
        <x:v>Primary compositional-transfer prompt paraphrase</x:v>
      </x:c>
      <x:c r="M48" s="16" t="str">
        <x:f>'Evaluation Plan'!M48</x:f>
        <x:v>green block</x:v>
      </x:c>
      <x:c r="N48" s="16" t="str">
        <x:f>'Evaluation Plan'!N48</x:f>
        <x:v>Right</x:v>
      </x:c>
      <x:c r="O48" s="16" t="n">
        <x:f>'Evaluation Plan'!O48</x:f>
        <x:v>2</x:v>
      </x:c>
      <x:c r="P48" s="16" t="n">
        <x:f>IF(ISBLANK('Evaluation Plan'!P48),"",'Evaluation Plan'!P48)</x:f>
        <x:v>8</x:v>
      </x:c>
      <x:c r="Q48" s="16" t="str">
        <x:f>'Evaluation Plan'!Q48</x:f>
        <x:v>Reset the target; preserve the exact scene and paraphrase only the transfer prompt.</x:v>
      </x:c>
      <x:c r="R48" s="6" t="str">
        <x:f>'Evaluation Plan'!R48</x:f>
        <x:v>Exact-scene paraphrase of the primary transfer instruction.</x:v>
      </x:c>
      <x:c r="S48" s="6" t="str">
        <x:f>IF(ISBLANK('Evaluation Plan'!S48),"",'Evaluation Plan'!S48)</x:f>
      </x:c>
    </x:row>
    <x:row r="49" ht="67.5" customHeight="1">
      <x:c r="A49" s="16" t="s">
        <x:v>19</x:v>
      </x:c>
      <x:c r="B49" s="16" t="n">
        <x:f>'Evaluation Plan'!B49</x:f>
        <x:v>47</x:v>
      </x:c>
      <x:c r="C49" s="6" t="str">
        <x:f>'Evaluation Plan'!C49</x:f>
        <x:v>Place the table's green block inside the bowl.</x:v>
      </x:c>
      <x:c r="D49" s="6" t="str">
        <x:f>'Evaluation Plan'!D49</x:f>
        <x:v>Bowl: empty. Table, robot-left→robot-right: P1 red pencil sharpener; P2 green block. Adjacent centers 8 cm apart; row shifted 4 cm toward the robot; all objects fully visible and grasp paths clear.</x:v>
      </x:c>
      <x:c r="E49" s="16" t="n">
        <x:f>IF(ISBLANK('Evaluation Plan'!E49),"",'Evaluation Plan'!E49)</x:f>
        <x:v>45</x:v>
      </x:c>
      <x:c r="F49" s="16" t="str">
        <x:f>'Evaluation Plan'!F49</x:f>
        <x:v>1078</x:v>
      </x:c>
      <x:c r="G49" s="16" t="str">
        <x:f>'Evaluation Plan'!G49</x:f>
        <x:v>MOVE green block to bowl</x:v>
      </x:c>
      <x:c r="H49" s="6"/>
      <x:c r="I49" s="16" t="str">
        <x:f>'Evaluation Plan'!I49</x:f>
        <x:v>Language robustness</x:v>
      </x:c>
      <x:c r="J49" s="16" t="str">
        <x:f>'Evaluation Plan'!J49</x:f>
        <x:v>SZ-CT-LG04</x:v>
      </x:c>
      <x:c r="K49" s="16" t="str">
        <x:f>'Evaluation Plan'!K49</x:f>
        <x:v>Direct</x:v>
      </x:c>
      <x:c r="L49" s="16" t="str">
        <x:f>'Evaluation Plan'!L49</x:f>
        <x:v>Matched-control direct prompt paraphrase</x:v>
      </x:c>
      <x:c r="M49" s="16" t="str">
        <x:f>'Evaluation Plan'!M49</x:f>
        <x:v>green block</x:v>
      </x:c>
      <x:c r="N49" s="16" t="str">
        <x:f>'Evaluation Plan'!N49</x:f>
        <x:v>Right</x:v>
      </x:c>
      <x:c r="O49" s="16" t="n">
        <x:f>'Evaluation Plan'!O49</x:f>
        <x:v>2</x:v>
      </x:c>
      <x:c r="P49" s="16" t="n">
        <x:f>IF(ISBLANK('Evaluation Plan'!P49),"",'Evaluation Plan'!P49)</x:f>
        <x:v>8</x:v>
      </x:c>
      <x:c r="Q49" s="16" t="str">
        <x:f>'Evaluation Plan'!Q49</x:f>
        <x:v>Reset the target; preserve the exact scene and paraphrase only the matched-control prompt.</x:v>
      </x:c>
      <x:c r="R49" s="6" t="str">
        <x:f>'Evaluation Plan'!R49</x:f>
        <x:v>Exact-scene paraphrase of the direct manipulation control.</x:v>
      </x:c>
      <x:c r="S49" s="6" t="str">
        <x:f>IF(ISBLANK('Evaluation Plan'!S49),"",'Evaluation Plan'!S49)</x:f>
      </x:c>
    </x:row>
    <x:row r="50" ht="67.5" customHeight="1">
      <x:c r="A50" s="8" t="s">
        <x:v>19</x:v>
      </x:c>
      <x:c r="B50" s="8" t="n">
        <x:f>'Evaluation Plan'!B50</x:f>
        <x:v>48</x:v>
      </x:c>
      <x:c r="C50" s="9" t="str">
        <x:f>'Evaluation Plan'!C50</x:f>
        <x:v>Pick up the smallest item and place it in the bowl.</x:v>
      </x:c>
      <x:c r="D50" s="9" t="str">
        <x:f>'Evaluation Plan'!D50</x:f>
        <x:v>Bowl: empty. Table, robot-left→robot-right: P1 juggling ball; P2 crushed Pepsi can. Adjacent centers 12 cm apart; row centered on the workspace; all objects fully visible and grasp paths clear.</x:v>
      </x:c>
      <x:c r="E50" s="8" t="str">
        <x:f>IF(ISBLANK('Evaluation Plan'!E50),"",'Evaluation Plan'!E50)</x:f>
      </x:c>
      <x:c r="F50" s="8" t="str">
        <x:f>'Evaluation Plan'!F50</x:f>
        <x:v>1108</x:v>
      </x:c>
      <x:c r="G50" s="8" t="str">
        <x:f>'Evaluation Plan'!G50</x:f>
        <x:v>MOVE juggling ball to bowl</x:v>
      </x:c>
      <x:c r="H50" s="9"/>
      <x:c r="I50" s="8" t="str">
        <x:f>'Evaluation Plan'!I50</x:f>
        <x:v>Concept/compositional transfer</x:v>
      </x:c>
      <x:c r="J50" s="8" t="str">
        <x:f>'Evaluation Plan'!J50</x:f>
        <x:v>SZ-CT-SJ04</x:v>
      </x:c>
      <x:c r="K50" s="8" t="str">
        <x:f>'Evaluation Plan'!K50</x:f>
        <x:v>smallest</x:v>
      </x:c>
      <x:c r="L50" s="8" t="str">
        <x:f>'Evaluation Plan'!L50</x:f>
        <x:v>Held-out smallest × juggling ball — Pick up</x:v>
      </x:c>
      <x:c r="M50" s="8" t="str">
        <x:f>'Evaluation Plan'!M50</x:f>
        <x:v>juggling ball</x:v>
      </x:c>
      <x:c r="N50" s="8" t="str">
        <x:f>'Evaluation Plan'!N50</x:f>
        <x:v>Left</x:v>
      </x:c>
      <x:c r="O50" s="8" t="n">
        <x:f>'Evaluation Plan'!O50</x:f>
        <x:v>2</x:v>
      </x:c>
      <x:c r="P50" s="8" t="n">
        <x:f>IF(ISBLANK('Evaluation Plan'!P50),"",'Evaluation Plan'!P50)</x:f>
        <x:v>12</x:v>
      </x:c>
      <x:c r="Q50" s="8" t="str">
        <x:f>'Evaluation Plan'!Q50</x:f>
        <x:v>Build the listed two-object scene and save a first-frame filename.</x:v>
      </x:c>
      <x:c r="R50" s="9" t="str">
        <x:f>'Evaluation Plan'!R50</x:f>
        <x:v>Primary missing cell. Training episode 1108 contains the same target trajectory but masks the size word with a direct identity prompt.</x:v>
      </x:c>
      <x:c r="S50" s="9" t="str">
        <x:f>IF(ISBLANK('Evaluation Plan'!S50),"",'Evaluation Plan'!S50)</x:f>
      </x:c>
    </x:row>
    <x:row r="51" ht="67.5" customHeight="1">
      <x:c r="A51" s="16" t="s">
        <x:v>19</x:v>
      </x:c>
      <x:c r="B51" s="16" t="n">
        <x:f>'Evaluation Plan'!B51</x:f>
        <x:v>49</x:v>
      </x:c>
      <x:c r="C51" s="6" t="str">
        <x:f>'Evaluation Plan'!C51</x:f>
        <x:v>Put the juggling ball in the bowl.</x:v>
      </x:c>
      <x:c r="D51" s="6" t="str">
        <x:f>'Evaluation Plan'!D51</x:f>
        <x:v>Bowl: empty. Table, robot-left→robot-right: P1 juggling ball; P2 crushed Pepsi can. Adjacent centers 12 cm apart; row centered on the workspace; all objects fully visible and grasp paths clear.</x:v>
      </x:c>
      <x:c r="E51" s="16" t="n">
        <x:f>IF(ISBLANK('Evaluation Plan'!E51),"",'Evaluation Plan'!E51)</x:f>
        <x:v>48</x:v>
      </x:c>
      <x:c r="F51" s="16" t="str">
        <x:f>'Evaluation Plan'!F51</x:f>
        <x:v>1103</x:v>
      </x:c>
      <x:c r="G51" s="16" t="str">
        <x:f>'Evaluation Plan'!G51</x:f>
        <x:v>MOVE juggling ball to bowl</x:v>
      </x:c>
      <x:c r="H51" s="6"/>
      <x:c r="I51" s="16" t="str">
        <x:f>'Evaluation Plan'!I51</x:f>
        <x:v>Matched manipulation control</x:v>
      </x:c>
      <x:c r="J51" s="16" t="str">
        <x:f>'Evaluation Plan'!J51</x:f>
        <x:v>SZ-CT-SJ04</x:v>
      </x:c>
      <x:c r="K51" s="16" t="str">
        <x:f>'Evaluation Plan'!K51</x:f>
        <x:v>Direct</x:v>
      </x:c>
      <x:c r="L51" s="16" t="str">
        <x:f>'Evaluation Plan'!L51</x:f>
        <x:v>Same-scene direct target control</x:v>
      </x:c>
      <x:c r="M51" s="16" t="str">
        <x:f>'Evaluation Plan'!M51</x:f>
        <x:v>juggling ball</x:v>
      </x:c>
      <x:c r="N51" s="16" t="str">
        <x:f>'Evaluation Plan'!N51</x:f>
        <x:v>Left</x:v>
      </x:c>
      <x:c r="O51" s="16" t="n">
        <x:f>'Evaluation Plan'!O51</x:f>
        <x:v>2</x:v>
      </x:c>
      <x:c r="P51" s="16" t="n">
        <x:f>IF(ISBLANK('Evaluation Plan'!P51),"",'Evaluation Plan'!P51)</x:f>
        <x:v>12</x:v>
      </x:c>
      <x:c r="Q51" s="16" t="str">
        <x:f>'Evaluation Plan'!Q51</x:f>
        <x:v>Reset the target to its original pose; change only the prompt.</x:v>
      </x:c>
      <x:c r="R51" s="6" t="str">
        <x:f>'Evaluation Plan'!R51</x:f>
        <x:v>Exact-scene control using a direct prompt supported by training episode 1103.</x:v>
      </x:c>
      <x:c r="S51" s="6" t="str">
        <x:f>IF(ISBLANK('Evaluation Plan'!S51),"",'Evaluation Plan'!S51)</x:f>
      </x:c>
    </x:row>
    <x:row r="52" ht="67.5" customHeight="1">
      <x:c r="A52" s="16" t="s">
        <x:v>19</x:v>
      </x:c>
      <x:c r="B52" s="16" t="n">
        <x:f>'Evaluation Plan'!B52</x:f>
        <x:v>50</x:v>
      </x:c>
      <x:c r="C52" s="6" t="str">
        <x:f>'Evaluation Plan'!C52</x:f>
        <x:v>Find the least-sized item and move it to the bowl.</x:v>
      </x:c>
      <x:c r="D52" s="6" t="str">
        <x:f>'Evaluation Plan'!D52</x:f>
        <x:v>Bowl: empty. Table, robot-left→robot-right: P1 juggling ball; P2 crushed Pepsi can. Adjacent centers 12 cm apart; row centered on the workspace; all objects fully visible and grasp paths clear.</x:v>
      </x:c>
      <x:c r="E52" s="16" t="n">
        <x:f>IF(ISBLANK('Evaluation Plan'!E52),"",'Evaluation Plan'!E52)</x:f>
        <x:v>48</x:v>
      </x:c>
      <x:c r="F52" s="16" t="str">
        <x:f>'Evaluation Plan'!F52</x:f>
        <x:v>1108</x:v>
      </x:c>
      <x:c r="G52" s="16" t="str">
        <x:f>'Evaluation Plan'!G52</x:f>
        <x:v>MOVE juggling ball to bowl</x:v>
      </x:c>
      <x:c r="H52" s="6"/>
      <x:c r="I52" s="16" t="str">
        <x:f>'Evaluation Plan'!I52</x:f>
        <x:v>Language robustness</x:v>
      </x:c>
      <x:c r="J52" s="16" t="str">
        <x:f>'Evaluation Plan'!J52</x:f>
        <x:v>SZ-CT-SJ04</x:v>
      </x:c>
      <x:c r="K52" s="16" t="str">
        <x:f>'Evaluation Plan'!K52</x:f>
        <x:v>smallest</x:v>
      </x:c>
      <x:c r="L52" s="16" t="str">
        <x:f>'Evaluation Plan'!L52</x:f>
        <x:v>Primary compositional-transfer prompt paraphrase</x:v>
      </x:c>
      <x:c r="M52" s="16" t="str">
        <x:f>'Evaluation Plan'!M52</x:f>
        <x:v>juggling ball</x:v>
      </x:c>
      <x:c r="N52" s="16" t="str">
        <x:f>'Evaluation Plan'!N52</x:f>
        <x:v>Left</x:v>
      </x:c>
      <x:c r="O52" s="16" t="n">
        <x:f>'Evaluation Plan'!O52</x:f>
        <x:v>2</x:v>
      </x:c>
      <x:c r="P52" s="16" t="n">
        <x:f>IF(ISBLANK('Evaluation Plan'!P52),"",'Evaluation Plan'!P52)</x:f>
        <x:v>12</x:v>
      </x:c>
      <x:c r="Q52" s="16" t="str">
        <x:f>'Evaluation Plan'!Q52</x:f>
        <x:v>Reset the target; preserve the exact scene and paraphrase only the transfer prompt.</x:v>
      </x:c>
      <x:c r="R52" s="6" t="str">
        <x:f>'Evaluation Plan'!R52</x:f>
        <x:v>Exact-scene paraphrase of the primary transfer instruction.</x:v>
      </x:c>
      <x:c r="S52" s="6" t="str">
        <x:f>IF(ISBLANK('Evaluation Plan'!S52),"",'Evaluation Plan'!S52)</x:f>
      </x:c>
    </x:row>
    <x:row r="53" ht="67.5" customHeight="1">
      <x:c r="A53" s="16" t="s">
        <x:v>19</x:v>
      </x:c>
      <x:c r="B53" s="16" t="n">
        <x:f>'Evaluation Plan'!B53</x:f>
        <x:v>51</x:v>
      </x:c>
      <x:c r="C53" s="6" t="str">
        <x:f>'Evaluation Plan'!C53</x:f>
        <x:v>Place the table's juggling ball inside the bowl.</x:v>
      </x:c>
      <x:c r="D53" s="6" t="str">
        <x:f>'Evaluation Plan'!D53</x:f>
        <x:v>Bowl: empty. Table, robot-left→robot-right: P1 juggling ball; P2 crushed Pepsi can. Adjacent centers 12 cm apart; row centered on the workspace; all objects fully visible and grasp paths clear.</x:v>
      </x:c>
      <x:c r="E53" s="16" t="n">
        <x:f>IF(ISBLANK('Evaluation Plan'!E53),"",'Evaluation Plan'!E53)</x:f>
        <x:v>49</x:v>
      </x:c>
      <x:c r="F53" s="16" t="str">
        <x:f>'Evaluation Plan'!F53</x:f>
        <x:v>1103</x:v>
      </x:c>
      <x:c r="G53" s="16" t="str">
        <x:f>'Evaluation Plan'!G53</x:f>
        <x:v>MOVE juggling ball to bowl</x:v>
      </x:c>
      <x:c r="H53" s="6"/>
      <x:c r="I53" s="16" t="str">
        <x:f>'Evaluation Plan'!I53</x:f>
        <x:v>Language robustness</x:v>
      </x:c>
      <x:c r="J53" s="16" t="str">
        <x:f>'Evaluation Plan'!J53</x:f>
        <x:v>SZ-CT-SJ04</x:v>
      </x:c>
      <x:c r="K53" s="16" t="str">
        <x:f>'Evaluation Plan'!K53</x:f>
        <x:v>Direct</x:v>
      </x:c>
      <x:c r="L53" s="16" t="str">
        <x:f>'Evaluation Plan'!L53</x:f>
        <x:v>Matched-control direct prompt paraphrase</x:v>
      </x:c>
      <x:c r="M53" s="16" t="str">
        <x:f>'Evaluation Plan'!M53</x:f>
        <x:v>juggling ball</x:v>
      </x:c>
      <x:c r="N53" s="16" t="str">
        <x:f>'Evaluation Plan'!N53</x:f>
        <x:v>Left</x:v>
      </x:c>
      <x:c r="O53" s="16" t="n">
        <x:f>'Evaluation Plan'!O53</x:f>
        <x:v>2</x:v>
      </x:c>
      <x:c r="P53" s="16" t="n">
        <x:f>IF(ISBLANK('Evaluation Plan'!P53),"",'Evaluation Plan'!P53)</x:f>
        <x:v>12</x:v>
      </x:c>
      <x:c r="Q53" s="16" t="str">
        <x:f>'Evaluation Plan'!Q53</x:f>
        <x:v>Reset the target; preserve the exact scene and paraphrase only the matched-control prompt.</x:v>
      </x:c>
      <x:c r="R53" s="6" t="str">
        <x:f>'Evaluation Plan'!R53</x:f>
        <x:v>Exact-scene paraphrase of the direct manipulation control.</x:v>
      </x:c>
      <x:c r="S53" s="6" t="str">
        <x:f>IF(ISBLANK('Evaluation Plan'!S53),"",'Evaluation Plan'!S53)</x:f>
      </x:c>
    </x:row>
    <x:row r="54" ht="67.5" customHeight="1">
      <x:c r="A54" s="8" t="s">
        <x:v>19</x:v>
      </x:c>
      <x:c r="B54" s="8" t="n">
        <x:f>'Evaluation Plan'!B54</x:f>
        <x:v>52</x:v>
      </x:c>
      <x:c r="C54" s="9" t="str">
        <x:f>'Evaluation Plan'!C54</x:f>
        <x:v>Pick up the largest item and place it in the bowl.</x:v>
      </x:c>
      <x:c r="D54" s="9" t="str">
        <x:f>'Evaluation Plan'!D54</x:f>
        <x:v>Bowl: empty. Table, robot-left→robot-right: P1 green block; P2 red pencil sharpener. Adjacent centers 12 cm apart; row shifted 4 cm away from the robot; all objects fully visible and grasp paths clear.</x:v>
      </x:c>
      <x:c r="E54" s="8" t="str">
        <x:f>IF(ISBLANK('Evaluation Plan'!E54),"",'Evaluation Plan'!E54)</x:f>
      </x:c>
      <x:c r="F54" s="8" t="str">
        <x:f>'Evaluation Plan'!F54</x:f>
        <x:v>1084</x:v>
      </x:c>
      <x:c r="G54" s="8" t="str">
        <x:f>'Evaluation Plan'!G54</x:f>
        <x:v>MOVE green block to bowl</x:v>
      </x:c>
      <x:c r="H54" s="9"/>
      <x:c r="I54" s="8" t="str">
        <x:f>'Evaluation Plan'!I54</x:f>
        <x:v>Concept/compositional transfer</x:v>
      </x:c>
      <x:c r="J54" s="8" t="str">
        <x:f>'Evaluation Plan'!J54</x:f>
        <x:v>SZ-CT-LG05</x:v>
      </x:c>
      <x:c r="K54" s="8" t="str">
        <x:f>'Evaluation Plan'!K54</x:f>
        <x:v>largest</x:v>
      </x:c>
      <x:c r="L54" s="8" t="str">
        <x:f>'Evaluation Plan'!L54</x:f>
        <x:v>Held-out largest × green block — Pick up</x:v>
      </x:c>
      <x:c r="M54" s="8" t="str">
        <x:f>'Evaluation Plan'!M54</x:f>
        <x:v>green block</x:v>
      </x:c>
      <x:c r="N54" s="8" t="str">
        <x:f>'Evaluation Plan'!N54</x:f>
        <x:v>Left</x:v>
      </x:c>
      <x:c r="O54" s="8" t="n">
        <x:f>'Evaluation Plan'!O54</x:f>
        <x:v>2</x:v>
      </x:c>
      <x:c r="P54" s="8" t="n">
        <x:f>IF(ISBLANK('Evaluation Plan'!P54),"",'Evaluation Plan'!P54)</x:f>
        <x:v>12</x:v>
      </x:c>
      <x:c r="Q54" s="8" t="str">
        <x:f>'Evaluation Plan'!Q54</x:f>
        <x:v>Build the listed two-object scene and save a first-frame filename.</x:v>
      </x:c>
      <x:c r="R54" s="9" t="str">
        <x:f>'Evaluation Plan'!R54</x:f>
        <x:v>Primary missing cell. Training episode 1084 contains the same target trajectory but masks the size word with a direct identity prompt.</x:v>
      </x:c>
      <x:c r="S54" s="9" t="str">
        <x:f>IF(ISBLANK('Evaluation Plan'!S54),"",'Evaluation Plan'!S54)</x:f>
      </x:c>
    </x:row>
    <x:row r="55" ht="67.5" customHeight="1">
      <x:c r="A55" s="16" t="s">
        <x:v>19</x:v>
      </x:c>
      <x:c r="B55" s="16" t="n">
        <x:f>'Evaluation Plan'!B55</x:f>
        <x:v>53</x:v>
      </x:c>
      <x:c r="C55" s="6" t="str">
        <x:f>'Evaluation Plan'!C55</x:f>
        <x:v>Move the green block into the bowl.</x:v>
      </x:c>
      <x:c r="D55" s="6" t="str">
        <x:f>'Evaluation Plan'!D55</x:f>
        <x:v>Bowl: empty. Table, robot-left→robot-right: P1 green block; P2 red pencil sharpener. Adjacent centers 12 cm apart; row shifted 4 cm away from the robot; all objects fully visible and grasp paths clear.</x:v>
      </x:c>
      <x:c r="E55" s="16" t="n">
        <x:f>IF(ISBLANK('Evaluation Plan'!E55),"",'Evaluation Plan'!E55)</x:f>
        <x:v>52</x:v>
      </x:c>
      <x:c r="F55" s="16" t="str">
        <x:f>'Evaluation Plan'!F55</x:f>
        <x:v>1079</x:v>
      </x:c>
      <x:c r="G55" s="16" t="str">
        <x:f>'Evaluation Plan'!G55</x:f>
        <x:v>MOVE green block to bowl</x:v>
      </x:c>
      <x:c r="H55" s="6"/>
      <x:c r="I55" s="16" t="str">
        <x:f>'Evaluation Plan'!I55</x:f>
        <x:v>Matched manipulation control</x:v>
      </x:c>
      <x:c r="J55" s="16" t="str">
        <x:f>'Evaluation Plan'!J55</x:f>
        <x:v>SZ-CT-LG05</x:v>
      </x:c>
      <x:c r="K55" s="16" t="str">
        <x:f>'Evaluation Plan'!K55</x:f>
        <x:v>Direct</x:v>
      </x:c>
      <x:c r="L55" s="16" t="str">
        <x:f>'Evaluation Plan'!L55</x:f>
        <x:v>Same-scene direct target control</x:v>
      </x:c>
      <x:c r="M55" s="16" t="str">
        <x:f>'Evaluation Plan'!M55</x:f>
        <x:v>green block</x:v>
      </x:c>
      <x:c r="N55" s="16" t="str">
        <x:f>'Evaluation Plan'!N55</x:f>
        <x:v>Left</x:v>
      </x:c>
      <x:c r="O55" s="16" t="n">
        <x:f>'Evaluation Plan'!O55</x:f>
        <x:v>2</x:v>
      </x:c>
      <x:c r="P55" s="16" t="n">
        <x:f>IF(ISBLANK('Evaluation Plan'!P55),"",'Evaluation Plan'!P55)</x:f>
        <x:v>12</x:v>
      </x:c>
      <x:c r="Q55" s="16" t="str">
        <x:f>'Evaluation Plan'!Q55</x:f>
        <x:v>Reset the target to its original pose; change only the prompt.</x:v>
      </x:c>
      <x:c r="R55" s="6" t="str">
        <x:f>'Evaluation Plan'!R55</x:f>
        <x:v>Exact-scene control using a direct prompt supported by training episode 1079.</x:v>
      </x:c>
      <x:c r="S55" s="6" t="str">
        <x:f>IF(ISBLANK('Evaluation Plan'!S55),"",'Evaluation Plan'!S55)</x:f>
      </x:c>
    </x:row>
    <x:row r="56" ht="67.5" customHeight="1">
      <x:c r="A56" s="16" t="s">
        <x:v>19</x:v>
      </x:c>
      <x:c r="B56" s="16" t="n">
        <x:f>'Evaluation Plan'!B56</x:f>
        <x:v>54</x:v>
      </x:c>
      <x:c r="C56" s="6" t="str">
        <x:f>'Evaluation Plan'!C56</x:f>
        <x:v>Move whichever item is larger into the bowl.</x:v>
      </x:c>
      <x:c r="D56" s="6" t="str">
        <x:f>'Evaluation Plan'!D56</x:f>
        <x:v>Bowl: empty. Table, robot-left→robot-right: P1 green block; P2 red pencil sharpener. Adjacent centers 12 cm apart; row shifted 4 cm away from the robot; all objects fully visible and grasp paths clear.</x:v>
      </x:c>
      <x:c r="E56" s="16" t="n">
        <x:f>IF(ISBLANK('Evaluation Plan'!E56),"",'Evaluation Plan'!E56)</x:f>
        <x:v>52</x:v>
      </x:c>
      <x:c r="F56" s="16" t="str">
        <x:f>'Evaluation Plan'!F56</x:f>
        <x:v>1084</x:v>
      </x:c>
      <x:c r="G56" s="16" t="str">
        <x:f>'Evaluation Plan'!G56</x:f>
        <x:v>MOVE green block to bowl</x:v>
      </x:c>
      <x:c r="H56" s="6"/>
      <x:c r="I56" s="16" t="str">
        <x:f>'Evaluation Plan'!I56</x:f>
        <x:v>Language robustness</x:v>
      </x:c>
      <x:c r="J56" s="16" t="str">
        <x:f>'Evaluation Plan'!J56</x:f>
        <x:v>SZ-CT-LG05</x:v>
      </x:c>
      <x:c r="K56" s="16" t="str">
        <x:f>'Evaluation Plan'!K56</x:f>
        <x:v>largest</x:v>
      </x:c>
      <x:c r="L56" s="16" t="str">
        <x:f>'Evaluation Plan'!L56</x:f>
        <x:v>Primary compositional-transfer prompt paraphrase</x:v>
      </x:c>
      <x:c r="M56" s="16" t="str">
        <x:f>'Evaluation Plan'!M56</x:f>
        <x:v>green block</x:v>
      </x:c>
      <x:c r="N56" s="16" t="str">
        <x:f>'Evaluation Plan'!N56</x:f>
        <x:v>Left</x:v>
      </x:c>
      <x:c r="O56" s="16" t="n">
        <x:f>'Evaluation Plan'!O56</x:f>
        <x:v>2</x:v>
      </x:c>
      <x:c r="P56" s="16" t="n">
        <x:f>IF(ISBLANK('Evaluation Plan'!P56),"",'Evaluation Plan'!P56)</x:f>
        <x:v>12</x:v>
      </x:c>
      <x:c r="Q56" s="16" t="str">
        <x:f>'Evaluation Plan'!Q56</x:f>
        <x:v>Reset the target; preserve the exact scene and paraphrase only the transfer prompt.</x:v>
      </x:c>
      <x:c r="R56" s="6" t="str">
        <x:f>'Evaluation Plan'!R56</x:f>
        <x:v>Exact-scene paraphrase of the primary transfer instruction.</x:v>
      </x:c>
      <x:c r="S56" s="6" t="str">
        <x:f>IF(ISBLANK('Evaluation Plan'!S56),"",'Evaluation Plan'!S56)</x:f>
      </x:c>
    </x:row>
    <x:row r="57" ht="67.5" customHeight="1">
      <x:c r="A57" s="16" t="s">
        <x:v>19</x:v>
      </x:c>
      <x:c r="B57" s="16" t="n">
        <x:f>'Evaluation Plan'!B57</x:f>
        <x:v>55</x:v>
      </x:c>
      <x:c r="C57" s="6" t="str">
        <x:f>'Evaluation Plan'!C57</x:f>
        <x:v>Take the green block from the table and put it in the bowl.</x:v>
      </x:c>
      <x:c r="D57" s="6" t="str">
        <x:f>'Evaluation Plan'!D57</x:f>
        <x:v>Bowl: empty. Table, robot-left→robot-right: P1 green block; P2 red pencil sharpener. Adjacent centers 12 cm apart; row shifted 4 cm away from the robot; all objects fully visible and grasp paths clear.</x:v>
      </x:c>
      <x:c r="E57" s="16" t="n">
        <x:f>IF(ISBLANK('Evaluation Plan'!E57),"",'Evaluation Plan'!E57)</x:f>
        <x:v>53</x:v>
      </x:c>
      <x:c r="F57" s="16" t="str">
        <x:f>'Evaluation Plan'!F57</x:f>
        <x:v>1079</x:v>
      </x:c>
      <x:c r="G57" s="16" t="str">
        <x:f>'Evaluation Plan'!G57</x:f>
        <x:v>MOVE green block to bowl</x:v>
      </x:c>
      <x:c r="H57" s="6"/>
      <x:c r="I57" s="16" t="str">
        <x:f>'Evaluation Plan'!I57</x:f>
        <x:v>Language robustness</x:v>
      </x:c>
      <x:c r="J57" s="16" t="str">
        <x:f>'Evaluation Plan'!J57</x:f>
        <x:v>SZ-CT-LG05</x:v>
      </x:c>
      <x:c r="K57" s="16" t="str">
        <x:f>'Evaluation Plan'!K57</x:f>
        <x:v>Direct</x:v>
      </x:c>
      <x:c r="L57" s="16" t="str">
        <x:f>'Evaluation Plan'!L57</x:f>
        <x:v>Matched-control direct prompt paraphrase</x:v>
      </x:c>
      <x:c r="M57" s="16" t="str">
        <x:f>'Evaluation Plan'!M57</x:f>
        <x:v>green block</x:v>
      </x:c>
      <x:c r="N57" s="16" t="str">
        <x:f>'Evaluation Plan'!N57</x:f>
        <x:v>Left</x:v>
      </x:c>
      <x:c r="O57" s="16" t="n">
        <x:f>'Evaluation Plan'!O57</x:f>
        <x:v>2</x:v>
      </x:c>
      <x:c r="P57" s="16" t="n">
        <x:f>IF(ISBLANK('Evaluation Plan'!P57),"",'Evaluation Plan'!P57)</x:f>
        <x:v>12</x:v>
      </x:c>
      <x:c r="Q57" s="16" t="str">
        <x:f>'Evaluation Plan'!Q57</x:f>
        <x:v>Reset the target; preserve the exact scene and paraphrase only the matched-control prompt.</x:v>
      </x:c>
      <x:c r="R57" s="6" t="str">
        <x:f>'Evaluation Plan'!R57</x:f>
        <x:v>Exact-scene paraphrase of the direct manipulation control.</x:v>
      </x:c>
      <x:c r="S57" s="6" t="str">
        <x:f>IF(ISBLANK('Evaluation Plan'!S57),"",'Evaluation Plan'!S57)</x:f>
      </x:c>
    </x:row>
    <x:row r="58" ht="67.5" customHeight="1">
      <x:c r="A58" s="8" t="s">
        <x:v>19</x:v>
      </x:c>
      <x:c r="B58" s="8" t="n">
        <x:f>'Evaluation Plan'!B58</x:f>
        <x:v>56</x:v>
      </x:c>
      <x:c r="C58" s="9" t="str">
        <x:f>'Evaluation Plan'!C58</x:f>
        <x:v>Put the smallest object in the bowl.</x:v>
      </x:c>
      <x:c r="D58" s="9" t="str">
        <x:f>'Evaluation Plan'!D58</x:f>
        <x:v>Bowl: empty. Table, robot-left→robot-right: P1 crushed Pepsi can; P2 juggling ball. Adjacent centers 16 cm apart; row shifted 4 cm toward robot-left; all objects fully visible and grasp paths clear.</x:v>
      </x:c>
      <x:c r="E58" s="8" t="str">
        <x:f>IF(ISBLANK('Evaluation Plan'!E58),"",'Evaluation Plan'!E58)</x:f>
      </x:c>
      <x:c r="F58" s="8" t="str">
        <x:f>'Evaluation Plan'!F58</x:f>
        <x:v>1109</x:v>
      </x:c>
      <x:c r="G58" s="8" t="str">
        <x:f>'Evaluation Plan'!G58</x:f>
        <x:v>MOVE juggling ball to bowl</x:v>
      </x:c>
      <x:c r="H58" s="9"/>
      <x:c r="I58" s="8" t="str">
        <x:f>'Evaluation Plan'!I58</x:f>
        <x:v>Concept/compositional transfer</x:v>
      </x:c>
      <x:c r="J58" s="8" t="str">
        <x:f>'Evaluation Plan'!J58</x:f>
        <x:v>SZ-CT-SJ05</x:v>
      </x:c>
      <x:c r="K58" s="8" t="str">
        <x:f>'Evaluation Plan'!K58</x:f>
        <x:v>smallest</x:v>
      </x:c>
      <x:c r="L58" s="8" t="str">
        <x:f>'Evaluation Plan'!L58</x:f>
        <x:v>Held-out smallest × juggling ball — Put</x:v>
      </x:c>
      <x:c r="M58" s="8" t="str">
        <x:f>'Evaluation Plan'!M58</x:f>
        <x:v>juggling ball</x:v>
      </x:c>
      <x:c r="N58" s="8" t="str">
        <x:f>'Evaluation Plan'!N58</x:f>
        <x:v>Right</x:v>
      </x:c>
      <x:c r="O58" s="8" t="n">
        <x:f>'Evaluation Plan'!O58</x:f>
        <x:v>2</x:v>
      </x:c>
      <x:c r="P58" s="8" t="n">
        <x:f>IF(ISBLANK('Evaluation Plan'!P58),"",'Evaluation Plan'!P58)</x:f>
        <x:v>16</x:v>
      </x:c>
      <x:c r="Q58" s="8" t="str">
        <x:f>'Evaluation Plan'!Q58</x:f>
        <x:v>Build the listed two-object scene and save a first-frame filename.</x:v>
      </x:c>
      <x:c r="R58" s="9" t="str">
        <x:f>'Evaluation Plan'!R58</x:f>
        <x:v>Primary missing cell. Training episode 1109 contains the same target trajectory but masks the size word with a direct identity prompt.</x:v>
      </x:c>
      <x:c r="S58" s="9" t="str">
        <x:f>IF(ISBLANK('Evaluation Plan'!S58),"",'Evaluation Plan'!S58)</x:f>
      </x:c>
    </x:row>
    <x:row r="59" ht="67.5" customHeight="1">
      <x:c r="A59" s="16" t="s">
        <x:v>19</x:v>
      </x:c>
      <x:c r="B59" s="16" t="n">
        <x:f>'Evaluation Plan'!B59</x:f>
        <x:v>57</x:v>
      </x:c>
      <x:c r="C59" s="6" t="str">
        <x:f>'Evaluation Plan'!C59</x:f>
        <x:v>Move the juggling ball into the bowl.</x:v>
      </x:c>
      <x:c r="D59" s="6" t="str">
        <x:f>'Evaluation Plan'!D59</x:f>
        <x:v>Bowl: empty. Table, robot-left→robot-right: P1 crushed Pepsi can; P2 juggling ball. Adjacent centers 16 cm apart; row shifted 4 cm toward robot-left; all objects fully visible and grasp paths clear.</x:v>
      </x:c>
      <x:c r="E59" s="16" t="n">
        <x:f>IF(ISBLANK('Evaluation Plan'!E59),"",'Evaluation Plan'!E59)</x:f>
        <x:v>56</x:v>
      </x:c>
      <x:c r="F59" s="16" t="str">
        <x:f>'Evaluation Plan'!F59</x:f>
        <x:v>1104</x:v>
      </x:c>
      <x:c r="G59" s="16" t="str">
        <x:f>'Evaluation Plan'!G59</x:f>
        <x:v>MOVE juggling ball to bowl</x:v>
      </x:c>
      <x:c r="H59" s="6"/>
      <x:c r="I59" s="16" t="str">
        <x:f>'Evaluation Plan'!I59</x:f>
        <x:v>Matched manipulation control</x:v>
      </x:c>
      <x:c r="J59" s="16" t="str">
        <x:f>'Evaluation Plan'!J59</x:f>
        <x:v>SZ-CT-SJ05</x:v>
      </x:c>
      <x:c r="K59" s="16" t="str">
        <x:f>'Evaluation Plan'!K59</x:f>
        <x:v>Direct</x:v>
      </x:c>
      <x:c r="L59" s="16" t="str">
        <x:f>'Evaluation Plan'!L59</x:f>
        <x:v>Same-scene direct target control</x:v>
      </x:c>
      <x:c r="M59" s="16" t="str">
        <x:f>'Evaluation Plan'!M59</x:f>
        <x:v>juggling ball</x:v>
      </x:c>
      <x:c r="N59" s="16" t="str">
        <x:f>'Evaluation Plan'!N59</x:f>
        <x:v>Right</x:v>
      </x:c>
      <x:c r="O59" s="16" t="n">
        <x:f>'Evaluation Plan'!O59</x:f>
        <x:v>2</x:v>
      </x:c>
      <x:c r="P59" s="16" t="n">
        <x:f>IF(ISBLANK('Evaluation Plan'!P59),"",'Evaluation Plan'!P59)</x:f>
        <x:v>16</x:v>
      </x:c>
      <x:c r="Q59" s="16" t="str">
        <x:f>'Evaluation Plan'!Q59</x:f>
        <x:v>Reset the target to its original pose; change only the prompt.</x:v>
      </x:c>
      <x:c r="R59" s="6" t="str">
        <x:f>'Evaluation Plan'!R59</x:f>
        <x:v>Exact-scene control using a direct prompt supported by training episode 1104.</x:v>
      </x:c>
      <x:c r="S59" s="6" t="str">
        <x:f>IF(ISBLANK('Evaluation Plan'!S59),"",'Evaluation Plan'!S59)</x:f>
      </x:c>
    </x:row>
    <x:row r="60" ht="67.5" customHeight="1">
      <x:c r="A60" s="16" t="s">
        <x:v>19</x:v>
      </x:c>
      <x:c r="B60" s="16" t="n">
        <x:f>'Evaluation Plan'!B60</x:f>
        <x:v>58</x:v>
      </x:c>
      <x:c r="C60" s="6" t="str">
        <x:f>'Evaluation Plan'!C60</x:f>
        <x:v>Move whichever item is smaller into the bowl.</x:v>
      </x:c>
      <x:c r="D60" s="6" t="str">
        <x:f>'Evaluation Plan'!D60</x:f>
        <x:v>Bowl: empty. Table, robot-left→robot-right: P1 crushed Pepsi can; P2 juggling ball. Adjacent centers 16 cm apart; row shifted 4 cm toward robot-left; all objects fully visible and grasp paths clear.</x:v>
      </x:c>
      <x:c r="E60" s="16" t="n">
        <x:f>IF(ISBLANK('Evaluation Plan'!E60),"",'Evaluation Plan'!E60)</x:f>
        <x:v>56</x:v>
      </x:c>
      <x:c r="F60" s="16" t="str">
        <x:f>'Evaluation Plan'!F60</x:f>
        <x:v>1109</x:v>
      </x:c>
      <x:c r="G60" s="16" t="str">
        <x:f>'Evaluation Plan'!G60</x:f>
        <x:v>MOVE juggling ball to bowl</x:v>
      </x:c>
      <x:c r="H60" s="6"/>
      <x:c r="I60" s="16" t="str">
        <x:f>'Evaluation Plan'!I60</x:f>
        <x:v>Language robustness</x:v>
      </x:c>
      <x:c r="J60" s="16" t="str">
        <x:f>'Evaluation Plan'!J60</x:f>
        <x:v>SZ-CT-SJ05</x:v>
      </x:c>
      <x:c r="K60" s="16" t="str">
        <x:f>'Evaluation Plan'!K60</x:f>
        <x:v>smallest</x:v>
      </x:c>
      <x:c r="L60" s="16" t="str">
        <x:f>'Evaluation Plan'!L60</x:f>
        <x:v>Primary compositional-transfer prompt paraphrase</x:v>
      </x:c>
      <x:c r="M60" s="16" t="str">
        <x:f>'Evaluation Plan'!M60</x:f>
        <x:v>juggling ball</x:v>
      </x:c>
      <x:c r="N60" s="16" t="str">
        <x:f>'Evaluation Plan'!N60</x:f>
        <x:v>Right</x:v>
      </x:c>
      <x:c r="O60" s="16" t="n">
        <x:f>'Evaluation Plan'!O60</x:f>
        <x:v>2</x:v>
      </x:c>
      <x:c r="P60" s="16" t="n">
        <x:f>IF(ISBLANK('Evaluation Plan'!P60),"",'Evaluation Plan'!P60)</x:f>
        <x:v>16</x:v>
      </x:c>
      <x:c r="Q60" s="16" t="str">
        <x:f>'Evaluation Plan'!Q60</x:f>
        <x:v>Reset the target; preserve the exact scene and paraphrase only the transfer prompt.</x:v>
      </x:c>
      <x:c r="R60" s="6" t="str">
        <x:f>'Evaluation Plan'!R60</x:f>
        <x:v>Exact-scene paraphrase of the primary transfer instruction.</x:v>
      </x:c>
      <x:c r="S60" s="6" t="str">
        <x:f>IF(ISBLANK('Evaluation Plan'!S60),"",'Evaluation Plan'!S60)</x:f>
      </x:c>
    </x:row>
    <x:row r="61" ht="67.5" customHeight="1">
      <x:c r="A61" s="16" t="s">
        <x:v>19</x:v>
      </x:c>
      <x:c r="B61" s="16" t="n">
        <x:f>'Evaluation Plan'!B61</x:f>
        <x:v>59</x:v>
      </x:c>
      <x:c r="C61" s="6" t="str">
        <x:f>'Evaluation Plan'!C61</x:f>
        <x:v>Take the juggling ball from the table and put it in the bowl.</x:v>
      </x:c>
      <x:c r="D61" s="6" t="str">
        <x:f>'Evaluation Plan'!D61</x:f>
        <x:v>Bowl: empty. Table, robot-left→robot-right: P1 crushed Pepsi can; P2 juggling ball. Adjacent centers 16 cm apart; row shifted 4 cm toward robot-left; all objects fully visible and grasp paths clear.</x:v>
      </x:c>
      <x:c r="E61" s="16" t="n">
        <x:f>IF(ISBLANK('Evaluation Plan'!E61),"",'Evaluation Plan'!E61)</x:f>
        <x:v>57</x:v>
      </x:c>
      <x:c r="F61" s="16" t="str">
        <x:f>'Evaluation Plan'!F61</x:f>
        <x:v>1104</x:v>
      </x:c>
      <x:c r="G61" s="16" t="str">
        <x:f>'Evaluation Plan'!G61</x:f>
        <x:v>MOVE juggling ball to bowl</x:v>
      </x:c>
      <x:c r="H61" s="6"/>
      <x:c r="I61" s="16" t="str">
        <x:f>'Evaluation Plan'!I61</x:f>
        <x:v>Language robustness</x:v>
      </x:c>
      <x:c r="J61" s="16" t="str">
        <x:f>'Evaluation Plan'!J61</x:f>
        <x:v>SZ-CT-SJ05</x:v>
      </x:c>
      <x:c r="K61" s="16" t="str">
        <x:f>'Evaluation Plan'!K61</x:f>
        <x:v>Direct</x:v>
      </x:c>
      <x:c r="L61" s="16" t="str">
        <x:f>'Evaluation Plan'!L61</x:f>
        <x:v>Matched-control direct prompt paraphrase</x:v>
      </x:c>
      <x:c r="M61" s="16" t="str">
        <x:f>'Evaluation Plan'!M61</x:f>
        <x:v>juggling ball</x:v>
      </x:c>
      <x:c r="N61" s="16" t="str">
        <x:f>'Evaluation Plan'!N61</x:f>
        <x:v>Right</x:v>
      </x:c>
      <x:c r="O61" s="16" t="n">
        <x:f>'Evaluation Plan'!O61</x:f>
        <x:v>2</x:v>
      </x:c>
      <x:c r="P61" s="16" t="n">
        <x:f>IF(ISBLANK('Evaluation Plan'!P61),"",'Evaluation Plan'!P61)</x:f>
        <x:v>16</x:v>
      </x:c>
      <x:c r="Q61" s="16" t="str">
        <x:f>'Evaluation Plan'!Q61</x:f>
        <x:v>Reset the target; preserve the exact scene and paraphrase only the matched-control prompt.</x:v>
      </x:c>
      <x:c r="R61" s="6" t="str">
        <x:f>'Evaluation Plan'!R61</x:f>
        <x:v>Exact-scene paraphrase of the direct manipulation control.</x:v>
      </x:c>
      <x:c r="S61" s="6" t="str">
        <x:f>IF(ISBLANK('Evaluation Plan'!S61),"",'Evaluation Plan'!S61)</x:f>
      </x:c>
    </x:row>
    <x:row r="62" ht="67.5" customHeight="1">
      <x:c r="A62" s="8" t="s">
        <x:v>19</x:v>
      </x:c>
      <x:c r="B62" s="8" t="n">
        <x:f>'Evaluation Plan'!B62</x:f>
        <x:v>60</x:v>
      </x:c>
      <x:c r="C62" s="9" t="str">
        <x:f>'Evaluation Plan'!C62</x:f>
        <x:v>Put the largest object in the bowl.</x:v>
      </x:c>
      <x:c r="D62" s="9" t="str">
        <x:f>'Evaluation Plan'!D62</x:f>
        <x:v>Bowl: empty. Table, robot-left→robot-right: P1 red pencil sharpener; P2 green block. Adjacent centers 16 cm apart; row centered on the workspace; all objects fully visible and grasp paths clear.</x:v>
      </x:c>
      <x:c r="E62" s="8" t="str">
        <x:f>IF(ISBLANK('Evaluation Plan'!E62),"",'Evaluation Plan'!E62)</x:f>
      </x:c>
      <x:c r="F62" s="8" t="str">
        <x:f>'Evaluation Plan'!F62</x:f>
        <x:v>1085</x:v>
      </x:c>
      <x:c r="G62" s="8" t="str">
        <x:f>'Evaluation Plan'!G62</x:f>
        <x:v>MOVE green block to bowl</x:v>
      </x:c>
      <x:c r="H62" s="9"/>
      <x:c r="I62" s="8" t="str">
        <x:f>'Evaluation Plan'!I62</x:f>
        <x:v>Concept/compositional transfer</x:v>
      </x:c>
      <x:c r="J62" s="8" t="str">
        <x:f>'Evaluation Plan'!J62</x:f>
        <x:v>SZ-CT-LG06</x:v>
      </x:c>
      <x:c r="K62" s="8" t="str">
        <x:f>'Evaluation Plan'!K62</x:f>
        <x:v>largest</x:v>
      </x:c>
      <x:c r="L62" s="8" t="str">
        <x:f>'Evaluation Plan'!L62</x:f>
        <x:v>Held-out largest × green block — Put</x:v>
      </x:c>
      <x:c r="M62" s="8" t="str">
        <x:f>'Evaluation Plan'!M62</x:f>
        <x:v>green block</x:v>
      </x:c>
      <x:c r="N62" s="8" t="str">
        <x:f>'Evaluation Plan'!N62</x:f>
        <x:v>Right</x:v>
      </x:c>
      <x:c r="O62" s="8" t="n">
        <x:f>'Evaluation Plan'!O62</x:f>
        <x:v>2</x:v>
      </x:c>
      <x:c r="P62" s="8" t="n">
        <x:f>IF(ISBLANK('Evaluation Plan'!P62),"",'Evaluation Plan'!P62)</x:f>
        <x:v>16</x:v>
      </x:c>
      <x:c r="Q62" s="8" t="str">
        <x:f>'Evaluation Plan'!Q62</x:f>
        <x:v>Build the listed two-object scene and save a first-frame filename.</x:v>
      </x:c>
      <x:c r="R62" s="9" t="str">
        <x:f>'Evaluation Plan'!R62</x:f>
        <x:v>Primary missing cell. Training episode 1085 contains the same target trajectory but masks the size word with a direct identity prompt.</x:v>
      </x:c>
      <x:c r="S62" s="9" t="str">
        <x:f>IF(ISBLANK('Evaluation Plan'!S62),"",'Evaluation Plan'!S62)</x:f>
      </x:c>
    </x:row>
    <x:row r="63" ht="67.5" customHeight="1">
      <x:c r="A63" s="16" t="s">
        <x:v>19</x:v>
      </x:c>
      <x:c r="B63" s="16" t="n">
        <x:f>'Evaluation Plan'!B63</x:f>
        <x:v>61</x:v>
      </x:c>
      <x:c r="C63" s="6" t="str">
        <x:f>'Evaluation Plan'!C63</x:f>
        <x:v>Pick up the green block and place it in the bowl.</x:v>
      </x:c>
      <x:c r="D63" s="6" t="str">
        <x:f>'Evaluation Plan'!D63</x:f>
        <x:v>Bowl: empty. Table, robot-left→robot-right: P1 red pencil sharpener; P2 green block. Adjacent centers 16 cm apart; row centered on the workspace; all objects fully visible and grasp paths clear.</x:v>
      </x:c>
      <x:c r="E63" s="16" t="n">
        <x:f>IF(ISBLANK('Evaluation Plan'!E63),"",'Evaluation Plan'!E63)</x:f>
        <x:v>60</x:v>
      </x:c>
      <x:c r="F63" s="16" t="str">
        <x:f>'Evaluation Plan'!F63</x:f>
        <x:v>1075</x:v>
      </x:c>
      <x:c r="G63" s="16" t="str">
        <x:f>'Evaluation Plan'!G63</x:f>
        <x:v>MOVE green block to bowl</x:v>
      </x:c>
      <x:c r="H63" s="6"/>
      <x:c r="I63" s="16" t="str">
        <x:f>'Evaluation Plan'!I63</x:f>
        <x:v>Matched manipulation control</x:v>
      </x:c>
      <x:c r="J63" s="16" t="str">
        <x:f>'Evaluation Plan'!J63</x:f>
        <x:v>SZ-CT-LG06</x:v>
      </x:c>
      <x:c r="K63" s="16" t="str">
        <x:f>'Evaluation Plan'!K63</x:f>
        <x:v>Direct</x:v>
      </x:c>
      <x:c r="L63" s="16" t="str">
        <x:f>'Evaluation Plan'!L63</x:f>
        <x:v>Same-scene direct target control</x:v>
      </x:c>
      <x:c r="M63" s="16" t="str">
        <x:f>'Evaluation Plan'!M63</x:f>
        <x:v>green block</x:v>
      </x:c>
      <x:c r="N63" s="16" t="str">
        <x:f>'Evaluation Plan'!N63</x:f>
        <x:v>Right</x:v>
      </x:c>
      <x:c r="O63" s="16" t="n">
        <x:f>'Evaluation Plan'!O63</x:f>
        <x:v>2</x:v>
      </x:c>
      <x:c r="P63" s="16" t="n">
        <x:f>IF(ISBLANK('Evaluation Plan'!P63),"",'Evaluation Plan'!P63)</x:f>
        <x:v>16</x:v>
      </x:c>
      <x:c r="Q63" s="16" t="str">
        <x:f>'Evaluation Plan'!Q63</x:f>
        <x:v>Reset the target to its original pose; change only the prompt.</x:v>
      </x:c>
      <x:c r="R63" s="6" t="str">
        <x:f>'Evaluation Plan'!R63</x:f>
        <x:v>Exact-scene control using a direct prompt supported by training episode 1075.</x:v>
      </x:c>
      <x:c r="S63" s="6" t="str">
        <x:f>IF(ISBLANK('Evaluation Plan'!S63),"",'Evaluation Plan'!S63)</x:f>
      </x:c>
    </x:row>
    <x:row r="64" ht="67.5" customHeight="1">
      <x:c r="A64" s="8" t="s">
        <x:v>19</x:v>
      </x:c>
      <x:c r="B64" s="8" t="n">
        <x:f>'Evaluation Plan'!B64</x:f>
        <x:v>62</x:v>
      </x:c>
      <x:c r="C64" s="9" t="str">
        <x:f>'Evaluation Plan'!C64</x:f>
        <x:v>Move the object that is smallest into the bowl.</x:v>
      </x:c>
      <x:c r="D64" s="9" t="str">
        <x:f>'Evaluation Plan'!D64</x:f>
        <x:v>Bowl: empty. Table, robot-left→robot-right: P1 juggling ball; P2 crushed Pepsi can. Adjacent centers 8 cm apart; row shifted 4 cm toward robot-right; all objects fully visible and grasp paths clear.</x:v>
      </x:c>
      <x:c r="E64" s="8" t="str">
        <x:f>IF(ISBLANK('Evaluation Plan'!E64),"",'Evaluation Plan'!E64)</x:f>
      </x:c>
      <x:c r="F64" s="8" t="str">
        <x:f>'Evaluation Plan'!F64</x:f>
        <x:v>1110</x:v>
      </x:c>
      <x:c r="G64" s="8" t="str">
        <x:f>'Evaluation Plan'!G64</x:f>
        <x:v>MOVE juggling ball to bowl</x:v>
      </x:c>
      <x:c r="H64" s="9"/>
      <x:c r="I64" s="8" t="str">
        <x:f>'Evaluation Plan'!I64</x:f>
        <x:v>Concept/compositional transfer</x:v>
      </x:c>
      <x:c r="J64" s="8" t="str">
        <x:f>'Evaluation Plan'!J64</x:f>
        <x:v>SZ-CT-SJ06</x:v>
      </x:c>
      <x:c r="K64" s="8" t="str">
        <x:f>'Evaluation Plan'!K64</x:f>
        <x:v>smallest</x:v>
      </x:c>
      <x:c r="L64" s="8" t="str">
        <x:f>'Evaluation Plan'!L64</x:f>
        <x:v>Held-out smallest × juggling ball — Move</x:v>
      </x:c>
      <x:c r="M64" s="8" t="str">
        <x:f>'Evaluation Plan'!M64</x:f>
        <x:v>juggling ball</x:v>
      </x:c>
      <x:c r="N64" s="8" t="str">
        <x:f>'Evaluation Plan'!N64</x:f>
        <x:v>Left</x:v>
      </x:c>
      <x:c r="O64" s="8" t="n">
        <x:f>'Evaluation Plan'!O64</x:f>
        <x:v>2</x:v>
      </x:c>
      <x:c r="P64" s="8" t="n">
        <x:f>IF(ISBLANK('Evaluation Plan'!P64),"",'Evaluation Plan'!P64)</x:f>
        <x:v>8</x:v>
      </x:c>
      <x:c r="Q64" s="8" t="str">
        <x:f>'Evaluation Plan'!Q64</x:f>
        <x:v>Build the listed two-object scene and save a first-frame filename.</x:v>
      </x:c>
      <x:c r="R64" s="9" t="str">
        <x:f>'Evaluation Plan'!R64</x:f>
        <x:v>Primary missing cell. Training episode 1110 contains the same target trajectory but masks the size word with a direct identity prompt.</x:v>
      </x:c>
      <x:c r="S64" s="9" t="str">
        <x:f>IF(ISBLANK('Evaluation Plan'!S64),"",'Evaluation Plan'!S64)</x:f>
      </x:c>
    </x:row>
    <x:row r="65" ht="67.5" customHeight="1">
      <x:c r="A65" s="16" t="s">
        <x:v>19</x:v>
      </x:c>
      <x:c r="B65" s="16" t="n">
        <x:f>'Evaluation Plan'!B65</x:f>
        <x:v>63</x:v>
      </x:c>
      <x:c r="C65" s="6" t="str">
        <x:f>'Evaluation Plan'!C65</x:f>
        <x:v>Pick up the juggling ball and place it in the bowl.</x:v>
      </x:c>
      <x:c r="D65" s="6" t="str">
        <x:f>'Evaluation Plan'!D65</x:f>
        <x:v>Bowl: empty. Table, robot-left→robot-right: P1 juggling ball; P2 crushed Pepsi can. Adjacent centers 8 cm apart; row shifted 4 cm toward robot-right; all objects fully visible and grasp paths clear.</x:v>
      </x:c>
      <x:c r="E65" s="16" t="n">
        <x:f>IF(ISBLANK('Evaluation Plan'!E65),"",'Evaluation Plan'!E65)</x:f>
        <x:v>62</x:v>
      </x:c>
      <x:c r="F65" s="16" t="str">
        <x:f>'Evaluation Plan'!F65</x:f>
        <x:v>1100</x:v>
      </x:c>
      <x:c r="G65" s="16" t="str">
        <x:f>'Evaluation Plan'!G65</x:f>
        <x:v>MOVE juggling ball to bowl</x:v>
      </x:c>
      <x:c r="H65" s="6"/>
      <x:c r="I65" s="16" t="str">
        <x:f>'Evaluation Plan'!I65</x:f>
        <x:v>Matched manipulation control</x:v>
      </x:c>
      <x:c r="J65" s="16" t="str">
        <x:f>'Evaluation Plan'!J65</x:f>
        <x:v>SZ-CT-SJ06</x:v>
      </x:c>
      <x:c r="K65" s="16" t="str">
        <x:f>'Evaluation Plan'!K65</x:f>
        <x:v>Direct</x:v>
      </x:c>
      <x:c r="L65" s="16" t="str">
        <x:f>'Evaluation Plan'!L65</x:f>
        <x:v>Same-scene direct target control</x:v>
      </x:c>
      <x:c r="M65" s="16" t="str">
        <x:f>'Evaluation Plan'!M65</x:f>
        <x:v>juggling ball</x:v>
      </x:c>
      <x:c r="N65" s="16" t="str">
        <x:f>'Evaluation Plan'!N65</x:f>
        <x:v>Left</x:v>
      </x:c>
      <x:c r="O65" s="16" t="n">
        <x:f>'Evaluation Plan'!O65</x:f>
        <x:v>2</x:v>
      </x:c>
      <x:c r="P65" s="16" t="n">
        <x:f>IF(ISBLANK('Evaluation Plan'!P65),"",'Evaluation Plan'!P65)</x:f>
        <x:v>8</x:v>
      </x:c>
      <x:c r="Q65" s="16" t="str">
        <x:f>'Evaluation Plan'!Q65</x:f>
        <x:v>Reset the target to its original pose; change only the prompt.</x:v>
      </x:c>
      <x:c r="R65" s="6" t="str">
        <x:f>'Evaluation Plan'!R65</x:f>
        <x:v>Exact-scene control using a direct prompt supported by training episode 1100.</x:v>
      </x:c>
      <x:c r="S65" s="6" t="str">
        <x:f>IF(ISBLANK('Evaluation Plan'!S65),"",'Evaluation Plan'!S65)</x:f>
      </x:c>
    </x:row>
    <x:row r="66" ht="67.5" customHeight="1">
      <x:c r="A66" s="8" t="s">
        <x:v>19</x:v>
      </x:c>
      <x:c r="B66" s="8" t="n">
        <x:f>'Evaluation Plan'!B66</x:f>
        <x:v>64</x:v>
      </x:c>
      <x:c r="C66" s="9" t="str">
        <x:f>'Evaluation Plan'!C66</x:f>
        <x:v>Move the object that is largest into the bowl.</x:v>
      </x:c>
      <x:c r="D66" s="9" t="str">
        <x:f>'Evaluation Plan'!D66</x:f>
        <x:v>Bowl: empty. Table, robot-left→robot-right: P1 green block; P2 red pencil sharpener. Adjacent centers 8 cm apart; row shifted 4 cm toward robot-left; all objects fully visible and grasp paths clear.</x:v>
      </x:c>
      <x:c r="E66" s="8" t="str">
        <x:f>IF(ISBLANK('Evaluation Plan'!E66),"",'Evaluation Plan'!E66)</x:f>
      </x:c>
      <x:c r="F66" s="8" t="str">
        <x:f>'Evaluation Plan'!F66</x:f>
        <x:v>1086</x:v>
      </x:c>
      <x:c r="G66" s="8" t="str">
        <x:f>'Evaluation Plan'!G66</x:f>
        <x:v>MOVE green block to bowl</x:v>
      </x:c>
      <x:c r="H66" s="9"/>
      <x:c r="I66" s="8" t="str">
        <x:f>'Evaluation Plan'!I66</x:f>
        <x:v>Concept/compositional transfer</x:v>
      </x:c>
      <x:c r="J66" s="8" t="str">
        <x:f>'Evaluation Plan'!J66</x:f>
        <x:v>SZ-CT-LG07</x:v>
      </x:c>
      <x:c r="K66" s="8" t="str">
        <x:f>'Evaluation Plan'!K66</x:f>
        <x:v>largest</x:v>
      </x:c>
      <x:c r="L66" s="8" t="str">
        <x:f>'Evaluation Plan'!L66</x:f>
        <x:v>Held-out largest × green block — Move</x:v>
      </x:c>
      <x:c r="M66" s="8" t="str">
        <x:f>'Evaluation Plan'!M66</x:f>
        <x:v>green block</x:v>
      </x:c>
      <x:c r="N66" s="8" t="str">
        <x:f>'Evaluation Plan'!N66</x:f>
        <x:v>Left</x:v>
      </x:c>
      <x:c r="O66" s="8" t="n">
        <x:f>'Evaluation Plan'!O66</x:f>
        <x:v>2</x:v>
      </x:c>
      <x:c r="P66" s="8" t="n">
        <x:f>IF(ISBLANK('Evaluation Plan'!P66),"",'Evaluation Plan'!P66)</x:f>
        <x:v>8</x:v>
      </x:c>
      <x:c r="Q66" s="8" t="str">
        <x:f>'Evaluation Plan'!Q66</x:f>
        <x:v>Build the listed two-object scene and save a first-frame filename.</x:v>
      </x:c>
      <x:c r="R66" s="9" t="str">
        <x:f>'Evaluation Plan'!R66</x:f>
        <x:v>Primary missing cell. Training episode 1086 contains the same target trajectory but masks the size word with a direct identity prompt.</x:v>
      </x:c>
      <x:c r="S66" s="9" t="str">
        <x:f>IF(ISBLANK('Evaluation Plan'!S66),"",'Evaluation Plan'!S66)</x:f>
      </x:c>
    </x:row>
    <x:row r="67" ht="67.5" customHeight="1">
      <x:c r="A67" s="16" t="s">
        <x:v>19</x:v>
      </x:c>
      <x:c r="B67" s="16" t="n">
        <x:f>'Evaluation Plan'!B67</x:f>
        <x:v>65</x:v>
      </x:c>
      <x:c r="C67" s="6" t="str">
        <x:f>'Evaluation Plan'!C67</x:f>
        <x:v>Put the green block in the bowl.</x:v>
      </x:c>
      <x:c r="D67" s="6" t="str">
        <x:f>'Evaluation Plan'!D67</x:f>
        <x:v>Bowl: empty. Table, robot-left→robot-right: P1 green block; P2 red pencil sharpener. Adjacent centers 8 cm apart; row shifted 4 cm toward robot-left; all objects fully visible and grasp paths clear.</x:v>
      </x:c>
      <x:c r="E67" s="16" t="n">
        <x:f>IF(ISBLANK('Evaluation Plan'!E67),"",'Evaluation Plan'!E67)</x:f>
        <x:v>64</x:v>
      </x:c>
      <x:c r="F67" s="16" t="str">
        <x:f>'Evaluation Plan'!F67</x:f>
        <x:v>1076</x:v>
      </x:c>
      <x:c r="G67" s="16" t="str">
        <x:f>'Evaluation Plan'!G67</x:f>
        <x:v>MOVE green block to bowl</x:v>
      </x:c>
      <x:c r="H67" s="6"/>
      <x:c r="I67" s="16" t="str">
        <x:f>'Evaluation Plan'!I67</x:f>
        <x:v>Matched manipulation control</x:v>
      </x:c>
      <x:c r="J67" s="16" t="str">
        <x:f>'Evaluation Plan'!J67</x:f>
        <x:v>SZ-CT-LG07</x:v>
      </x:c>
      <x:c r="K67" s="16" t="str">
        <x:f>'Evaluation Plan'!K67</x:f>
        <x:v>Direct</x:v>
      </x:c>
      <x:c r="L67" s="16" t="str">
        <x:f>'Evaluation Plan'!L67</x:f>
        <x:v>Same-scene direct target control</x:v>
      </x:c>
      <x:c r="M67" s="16" t="str">
        <x:f>'Evaluation Plan'!M67</x:f>
        <x:v>green block</x:v>
      </x:c>
      <x:c r="N67" s="16" t="str">
        <x:f>'Evaluation Plan'!N67</x:f>
        <x:v>Left</x:v>
      </x:c>
      <x:c r="O67" s="16" t="n">
        <x:f>'Evaluation Plan'!O67</x:f>
        <x:v>2</x:v>
      </x:c>
      <x:c r="P67" s="16" t="n">
        <x:f>IF(ISBLANK('Evaluation Plan'!P67),"",'Evaluation Plan'!P67)</x:f>
        <x:v>8</x:v>
      </x:c>
      <x:c r="Q67" s="16" t="str">
        <x:f>'Evaluation Plan'!Q67</x:f>
        <x:v>Reset the target to its original pose; change only the prompt.</x:v>
      </x:c>
      <x:c r="R67" s="6" t="str">
        <x:f>'Evaluation Plan'!R67</x:f>
        <x:v>Exact-scene control using a direct prompt supported by training episode 1076.</x:v>
      </x:c>
      <x:c r="S67" s="6" t="str">
        <x:f>IF(ISBLANK('Evaluation Plan'!S67),"",'Evaluation Plan'!S67)</x:f>
      </x:c>
    </x:row>
    <x:row r="68" ht="67.5" customHeight="1">
      <x:c r="A68" s="8" t="s">
        <x:v>19</x:v>
      </x:c>
      <x:c r="B68" s="8" t="n">
        <x:f>'Evaluation Plan'!B68</x:f>
        <x:v>66</x:v>
      </x:c>
      <x:c r="C68" s="9" t="str">
        <x:f>'Evaluation Plan'!C68</x:f>
        <x:v>Pick up the smallest item and place it in the bowl.</x:v>
      </x:c>
      <x:c r="D68" s="9" t="str">
        <x:f>'Evaluation Plan'!D68</x:f>
        <x:v>Bowl: empty. Table, robot-left→robot-right: P1 crushed Pepsi can; P2 juggling ball. Adjacent centers 12 cm apart; row shifted 4 cm toward the robot; all objects fully visible and grasp paths clear.</x:v>
      </x:c>
      <x:c r="E68" s="8" t="str">
        <x:f>IF(ISBLANK('Evaluation Plan'!E68),"",'Evaluation Plan'!E68)</x:f>
      </x:c>
      <x:c r="F68" s="8" t="str">
        <x:f>'Evaluation Plan'!F68</x:f>
        <x:v>1111</x:v>
      </x:c>
      <x:c r="G68" s="8" t="str">
        <x:f>'Evaluation Plan'!G68</x:f>
        <x:v>MOVE juggling ball to bowl</x:v>
      </x:c>
      <x:c r="H68" s="9"/>
      <x:c r="I68" s="8" t="str">
        <x:f>'Evaluation Plan'!I68</x:f>
        <x:v>Concept/compositional transfer</x:v>
      </x:c>
      <x:c r="J68" s="8" t="str">
        <x:f>'Evaluation Plan'!J68</x:f>
        <x:v>SZ-CT-SJ07</x:v>
      </x:c>
      <x:c r="K68" s="8" t="str">
        <x:f>'Evaluation Plan'!K68</x:f>
        <x:v>smallest</x:v>
      </x:c>
      <x:c r="L68" s="8" t="str">
        <x:f>'Evaluation Plan'!L68</x:f>
        <x:v>Held-out smallest × juggling ball — Pick up</x:v>
      </x:c>
      <x:c r="M68" s="8" t="str">
        <x:f>'Evaluation Plan'!M68</x:f>
        <x:v>juggling ball</x:v>
      </x:c>
      <x:c r="N68" s="8" t="str">
        <x:f>'Evaluation Plan'!N68</x:f>
        <x:v>Right</x:v>
      </x:c>
      <x:c r="O68" s="8" t="n">
        <x:f>'Evaluation Plan'!O68</x:f>
        <x:v>2</x:v>
      </x:c>
      <x:c r="P68" s="8" t="n">
        <x:f>IF(ISBLANK('Evaluation Plan'!P68),"",'Evaluation Plan'!P68)</x:f>
        <x:v>12</x:v>
      </x:c>
      <x:c r="Q68" s="8" t="str">
        <x:f>'Evaluation Plan'!Q68</x:f>
        <x:v>Build the listed two-object scene and save a first-frame filename.</x:v>
      </x:c>
      <x:c r="R68" s="9" t="str">
        <x:f>'Evaluation Plan'!R68</x:f>
        <x:v>Primary missing cell. Training episode 1111 contains the same target trajectory but masks the size word with a direct identity prompt.</x:v>
      </x:c>
      <x:c r="S68" s="9" t="str">
        <x:f>IF(ISBLANK('Evaluation Plan'!S68),"",'Evaluation Plan'!S68)</x:f>
      </x:c>
    </x:row>
    <x:row r="69" ht="67.5" customHeight="1">
      <x:c r="A69" s="16" t="s">
        <x:v>19</x:v>
      </x:c>
      <x:c r="B69" s="16" t="n">
        <x:f>'Evaluation Plan'!B69</x:f>
        <x:v>67</x:v>
      </x:c>
      <x:c r="C69" s="6" t="str">
        <x:f>'Evaluation Plan'!C69</x:f>
        <x:v>Put the juggling ball in the bowl.</x:v>
      </x:c>
      <x:c r="D69" s="6" t="str">
        <x:f>'Evaluation Plan'!D69</x:f>
        <x:v>Bowl: empty. Table, robot-left→robot-right: P1 crushed Pepsi can; P2 juggling ball. Adjacent centers 12 cm apart; row shifted 4 cm toward the robot; all objects fully visible and grasp paths clear.</x:v>
      </x:c>
      <x:c r="E69" s="16" t="n">
        <x:f>IF(ISBLANK('Evaluation Plan'!E69),"",'Evaluation Plan'!E69)</x:f>
        <x:v>66</x:v>
      </x:c>
      <x:c r="F69" s="16" t="str">
        <x:f>'Evaluation Plan'!F69</x:f>
        <x:v>1101</x:v>
      </x:c>
      <x:c r="G69" s="16" t="str">
        <x:f>'Evaluation Plan'!G69</x:f>
        <x:v>MOVE juggling ball to bowl</x:v>
      </x:c>
      <x:c r="H69" s="6"/>
      <x:c r="I69" s="16" t="str">
        <x:f>'Evaluation Plan'!I69</x:f>
        <x:v>Matched manipulation control</x:v>
      </x:c>
      <x:c r="J69" s="16" t="str">
        <x:f>'Evaluation Plan'!J69</x:f>
        <x:v>SZ-CT-SJ07</x:v>
      </x:c>
      <x:c r="K69" s="16" t="str">
        <x:f>'Evaluation Plan'!K69</x:f>
        <x:v>Direct</x:v>
      </x:c>
      <x:c r="L69" s="16" t="str">
        <x:f>'Evaluation Plan'!L69</x:f>
        <x:v>Same-scene direct target control</x:v>
      </x:c>
      <x:c r="M69" s="16" t="str">
        <x:f>'Evaluation Plan'!M69</x:f>
        <x:v>juggling ball</x:v>
      </x:c>
      <x:c r="N69" s="16" t="str">
        <x:f>'Evaluation Plan'!N69</x:f>
        <x:v>Right</x:v>
      </x:c>
      <x:c r="O69" s="16" t="n">
        <x:f>'Evaluation Plan'!O69</x:f>
        <x:v>2</x:v>
      </x:c>
      <x:c r="P69" s="16" t="n">
        <x:f>IF(ISBLANK('Evaluation Plan'!P69),"",'Evaluation Plan'!P69)</x:f>
        <x:v>12</x:v>
      </x:c>
      <x:c r="Q69" s="16" t="str">
        <x:f>'Evaluation Plan'!Q69</x:f>
        <x:v>Reset the target to its original pose; change only the prompt.</x:v>
      </x:c>
      <x:c r="R69" s="6" t="str">
        <x:f>'Evaluation Plan'!R69</x:f>
        <x:v>Exact-scene control using a direct prompt supported by training episode 1101.</x:v>
      </x:c>
      <x:c r="S69" s="6" t="str">
        <x:f>IF(ISBLANK('Evaluation Plan'!S69),"",'Evaluation Plan'!S69)</x:f>
      </x:c>
    </x:row>
    <x:row r="70" ht="67.5" customHeight="1">
      <x:c r="A70" s="8" t="s">
        <x:v>19</x:v>
      </x:c>
      <x:c r="B70" s="8" t="n">
        <x:f>'Evaluation Plan'!B70</x:f>
        <x:v>68</x:v>
      </x:c>
      <x:c r="C70" s="9" t="str">
        <x:f>'Evaluation Plan'!C70</x:f>
        <x:v>Pick up the largest item and place it in the bowl.</x:v>
      </x:c>
      <x:c r="D70" s="9" t="str">
        <x:f>'Evaluation Plan'!D70</x:f>
        <x:v>Bowl: empty. Table, robot-left→robot-right: P1 red pencil sharpener; P2 green block. Adjacent centers 12 cm apart; row shifted 4 cm toward robot-right; all objects fully visible and grasp paths clear.</x:v>
      </x:c>
      <x:c r="E70" s="8" t="str">
        <x:f>IF(ISBLANK('Evaluation Plan'!E70),"",'Evaluation Plan'!E70)</x:f>
      </x:c>
      <x:c r="F70" s="8" t="str">
        <x:f>'Evaluation Plan'!F70</x:f>
        <x:v>1087</x:v>
      </x:c>
      <x:c r="G70" s="8" t="str">
        <x:f>'Evaluation Plan'!G70</x:f>
        <x:v>MOVE green block to bowl</x:v>
      </x:c>
      <x:c r="H70" s="9"/>
      <x:c r="I70" s="8" t="str">
        <x:f>'Evaluation Plan'!I70</x:f>
        <x:v>Concept/compositional transfer</x:v>
      </x:c>
      <x:c r="J70" s="8" t="str">
        <x:f>'Evaluation Plan'!J70</x:f>
        <x:v>SZ-CT-LG08</x:v>
      </x:c>
      <x:c r="K70" s="8" t="str">
        <x:f>'Evaluation Plan'!K70</x:f>
        <x:v>largest</x:v>
      </x:c>
      <x:c r="L70" s="8" t="str">
        <x:f>'Evaluation Plan'!L70</x:f>
        <x:v>Held-out largest × green block — Pick up</x:v>
      </x:c>
      <x:c r="M70" s="8" t="str">
        <x:f>'Evaluation Plan'!M70</x:f>
        <x:v>green block</x:v>
      </x:c>
      <x:c r="N70" s="8" t="str">
        <x:f>'Evaluation Plan'!N70</x:f>
        <x:v>Right</x:v>
      </x:c>
      <x:c r="O70" s="8" t="n">
        <x:f>'Evaluation Plan'!O70</x:f>
        <x:v>2</x:v>
      </x:c>
      <x:c r="P70" s="8" t="n">
        <x:f>IF(ISBLANK('Evaluation Plan'!P70),"",'Evaluation Plan'!P70)</x:f>
        <x:v>12</x:v>
      </x:c>
      <x:c r="Q70" s="8" t="str">
        <x:f>'Evaluation Plan'!Q70</x:f>
        <x:v>Build the listed two-object scene and save a first-frame filename.</x:v>
      </x:c>
      <x:c r="R70" s="9" t="str">
        <x:f>'Evaluation Plan'!R70</x:f>
        <x:v>Primary missing cell. Training episode 1087 contains the same target trajectory but masks the size word with a direct identity prompt.</x:v>
      </x:c>
      <x:c r="S70" s="9" t="str">
        <x:f>IF(ISBLANK('Evaluation Plan'!S70),"",'Evaluation Plan'!S70)</x:f>
      </x:c>
    </x:row>
    <x:row r="71" ht="67.5" customHeight="1">
      <x:c r="A71" s="16" t="s">
        <x:v>19</x:v>
      </x:c>
      <x:c r="B71" s="16" t="n">
        <x:f>'Evaluation Plan'!B71</x:f>
        <x:v>69</x:v>
      </x:c>
      <x:c r="C71" s="6" t="str">
        <x:f>'Evaluation Plan'!C71</x:f>
        <x:v>Move the green block into the bowl.</x:v>
      </x:c>
      <x:c r="D71" s="6" t="str">
        <x:f>'Evaluation Plan'!D71</x:f>
        <x:v>Bowl: empty. Table, robot-left→robot-right: P1 red pencil sharpener; P2 green block. Adjacent centers 12 cm apart; row shifted 4 cm toward robot-right; all objects fully visible and grasp paths clear.</x:v>
      </x:c>
      <x:c r="E71" s="16" t="n">
        <x:f>IF(ISBLANK('Evaluation Plan'!E71),"",'Evaluation Plan'!E71)</x:f>
        <x:v>68</x:v>
      </x:c>
      <x:c r="F71" s="16" t="str">
        <x:f>'Evaluation Plan'!F71</x:f>
        <x:v>1077</x:v>
      </x:c>
      <x:c r="G71" s="16" t="str">
        <x:f>'Evaluation Plan'!G71</x:f>
        <x:v>MOVE green block to bowl</x:v>
      </x:c>
      <x:c r="H71" s="6"/>
      <x:c r="I71" s="16" t="str">
        <x:f>'Evaluation Plan'!I71</x:f>
        <x:v>Matched manipulation control</x:v>
      </x:c>
      <x:c r="J71" s="16" t="str">
        <x:f>'Evaluation Plan'!J71</x:f>
        <x:v>SZ-CT-LG08</x:v>
      </x:c>
      <x:c r="K71" s="16" t="str">
        <x:f>'Evaluation Plan'!K71</x:f>
        <x:v>Direct</x:v>
      </x:c>
      <x:c r="L71" s="16" t="str">
        <x:f>'Evaluation Plan'!L71</x:f>
        <x:v>Same-scene direct target control</x:v>
      </x:c>
      <x:c r="M71" s="16" t="str">
        <x:f>'Evaluation Plan'!M71</x:f>
        <x:v>green block</x:v>
      </x:c>
      <x:c r="N71" s="16" t="str">
        <x:f>'Evaluation Plan'!N71</x:f>
        <x:v>Right</x:v>
      </x:c>
      <x:c r="O71" s="16" t="n">
        <x:f>'Evaluation Plan'!O71</x:f>
        <x:v>2</x:v>
      </x:c>
      <x:c r="P71" s="16" t="n">
        <x:f>IF(ISBLANK('Evaluation Plan'!P71),"",'Evaluation Plan'!P71)</x:f>
        <x:v>12</x:v>
      </x:c>
      <x:c r="Q71" s="16" t="str">
        <x:f>'Evaluation Plan'!Q71</x:f>
        <x:v>Reset the target to its original pose; change only the prompt.</x:v>
      </x:c>
      <x:c r="R71" s="6" t="str">
        <x:f>'Evaluation Plan'!R71</x:f>
        <x:v>Exact-scene control using a direct prompt supported by training episode 1077.</x:v>
      </x:c>
      <x:c r="S71" s="6" t="str">
        <x:f>IF(ISBLANK('Evaluation Plan'!S71),"",'Evaluation Plan'!S71)</x:f>
      </x:c>
    </x:row>
    <x:row r="72" ht="67.5" customHeight="1">
      <x:c r="A72" s="8" t="s">
        <x:v>19</x:v>
      </x:c>
      <x:c r="B72" s="8" t="n">
        <x:f>'Evaluation Plan'!B72</x:f>
        <x:v>70</x:v>
      </x:c>
      <x:c r="C72" s="9" t="str">
        <x:f>'Evaluation Plan'!C72</x:f>
        <x:v>Put the smallest object in the bowl.</x:v>
      </x:c>
      <x:c r="D72" s="9" t="str">
        <x:f>'Evaluation Plan'!D72</x:f>
        <x:v>Bowl: empty. Table, robot-left→robot-right: P1 juggling ball; P2 crushed Pepsi can. Adjacent centers 16 cm apart; row shifted 4 cm away from the robot; all objects fully visible and grasp paths clear.</x:v>
      </x:c>
      <x:c r="E72" s="8" t="str">
        <x:f>IF(ISBLANK('Evaluation Plan'!E72),"",'Evaluation Plan'!E72)</x:f>
      </x:c>
      <x:c r="F72" s="8" t="str">
        <x:f>'Evaluation Plan'!F72</x:f>
        <x:v>1112</x:v>
      </x:c>
      <x:c r="G72" s="8" t="str">
        <x:f>'Evaluation Plan'!G72</x:f>
        <x:v>MOVE juggling ball to bowl</x:v>
      </x:c>
      <x:c r="H72" s="9"/>
      <x:c r="I72" s="8" t="str">
        <x:f>'Evaluation Plan'!I72</x:f>
        <x:v>Concept/compositional transfer</x:v>
      </x:c>
      <x:c r="J72" s="8" t="str">
        <x:f>'Evaluation Plan'!J72</x:f>
        <x:v>SZ-CT-SJ08</x:v>
      </x:c>
      <x:c r="K72" s="8" t="str">
        <x:f>'Evaluation Plan'!K72</x:f>
        <x:v>smallest</x:v>
      </x:c>
      <x:c r="L72" s="8" t="str">
        <x:f>'Evaluation Plan'!L72</x:f>
        <x:v>Held-out smallest × juggling ball — Put</x:v>
      </x:c>
      <x:c r="M72" s="8" t="str">
        <x:f>'Evaluation Plan'!M72</x:f>
        <x:v>juggling ball</x:v>
      </x:c>
      <x:c r="N72" s="8" t="str">
        <x:f>'Evaluation Plan'!N72</x:f>
        <x:v>Left</x:v>
      </x:c>
      <x:c r="O72" s="8" t="n">
        <x:f>'Evaluation Plan'!O72</x:f>
        <x:v>2</x:v>
      </x:c>
      <x:c r="P72" s="8" t="n">
        <x:f>IF(ISBLANK('Evaluation Plan'!P72),"",'Evaluation Plan'!P72)</x:f>
        <x:v>16</x:v>
      </x:c>
      <x:c r="Q72" s="8" t="str">
        <x:f>'Evaluation Plan'!Q72</x:f>
        <x:v>Build the listed two-object scene and save a first-frame filename.</x:v>
      </x:c>
      <x:c r="R72" s="9" t="str">
        <x:f>'Evaluation Plan'!R72</x:f>
        <x:v>Primary missing cell. Training episode 1112 contains the same target trajectory but masks the size word with a direct identity prompt.</x:v>
      </x:c>
      <x:c r="S72" s="9" t="str">
        <x:f>IF(ISBLANK('Evaluation Plan'!S72),"",'Evaluation Plan'!S72)</x:f>
      </x:c>
    </x:row>
    <x:row r="73" ht="67.5" customHeight="1">
      <x:c r="A73" s="16" t="s">
        <x:v>19</x:v>
      </x:c>
      <x:c r="B73" s="16" t="n">
        <x:f>'Evaluation Plan'!B73</x:f>
        <x:v>71</x:v>
      </x:c>
      <x:c r="C73" s="6" t="str">
        <x:f>'Evaluation Plan'!C73</x:f>
        <x:v>Move the juggling ball into the bowl.</x:v>
      </x:c>
      <x:c r="D73" s="6" t="str">
        <x:f>'Evaluation Plan'!D73</x:f>
        <x:v>Bowl: empty. Table, robot-left→robot-right: P1 juggling ball; P2 crushed Pepsi can. Adjacent centers 16 cm apart; row shifted 4 cm away from the robot; all objects fully visible and grasp paths clear.</x:v>
      </x:c>
      <x:c r="E73" s="16" t="n">
        <x:f>IF(ISBLANK('Evaluation Plan'!E73),"",'Evaluation Plan'!E73)</x:f>
        <x:v>70</x:v>
      </x:c>
      <x:c r="F73" s="16" t="str">
        <x:f>'Evaluation Plan'!F73</x:f>
        <x:v>1102</x:v>
      </x:c>
      <x:c r="G73" s="16" t="str">
        <x:f>'Evaluation Plan'!G73</x:f>
        <x:v>MOVE juggling ball to bowl</x:v>
      </x:c>
      <x:c r="H73" s="6"/>
      <x:c r="I73" s="16" t="str">
        <x:f>'Evaluation Plan'!I73</x:f>
        <x:v>Matched manipulation control</x:v>
      </x:c>
      <x:c r="J73" s="16" t="str">
        <x:f>'Evaluation Plan'!J73</x:f>
        <x:v>SZ-CT-SJ08</x:v>
      </x:c>
      <x:c r="K73" s="16" t="str">
        <x:f>'Evaluation Plan'!K73</x:f>
        <x:v>Direct</x:v>
      </x:c>
      <x:c r="L73" s="16" t="str">
        <x:f>'Evaluation Plan'!L73</x:f>
        <x:v>Same-scene direct target control</x:v>
      </x:c>
      <x:c r="M73" s="16" t="str">
        <x:f>'Evaluation Plan'!M73</x:f>
        <x:v>juggling ball</x:v>
      </x:c>
      <x:c r="N73" s="16" t="str">
        <x:f>'Evaluation Plan'!N73</x:f>
        <x:v>Left</x:v>
      </x:c>
      <x:c r="O73" s="16" t="n">
        <x:f>'Evaluation Plan'!O73</x:f>
        <x:v>2</x:v>
      </x:c>
      <x:c r="P73" s="16" t="n">
        <x:f>IF(ISBLANK('Evaluation Plan'!P73),"",'Evaluation Plan'!P73)</x:f>
        <x:v>16</x:v>
      </x:c>
      <x:c r="Q73" s="16" t="str">
        <x:f>'Evaluation Plan'!Q73</x:f>
        <x:v>Reset the target to its original pose; change only the prompt.</x:v>
      </x:c>
      <x:c r="R73" s="6" t="str">
        <x:f>'Evaluation Plan'!R73</x:f>
        <x:v>Exact-scene control using a direct prompt supported by training episode 1102.</x:v>
      </x:c>
      <x:c r="S73" s="6" t="str">
        <x:f>IF(ISBLANK('Evaluation Plan'!S73),"",'Evaluation Plan'!S73)</x:f>
      </x:c>
    </x:row>
    <x:row r="74" ht="67.5" customHeight="1">
      <x:c r="A74" s="8" t="s">
        <x:v>19</x:v>
      </x:c>
      <x:c r="B74" s="8" t="n">
        <x:f>'Evaluation Plan'!B74</x:f>
        <x:v>72</x:v>
      </x:c>
      <x:c r="C74" s="9" t="str">
        <x:f>'Evaluation Plan'!C74</x:f>
        <x:v>Put the largest object in the bowl.</x:v>
      </x:c>
      <x:c r="D74" s="9" t="str">
        <x:f>'Evaluation Plan'!D74</x:f>
        <x:v>Bowl: empty. Table, robot-left→robot-right: P1 green block; P2 red pencil sharpener. Adjacent centers 16 cm apart; row shifted 4 cm toward the robot; all objects fully visible and grasp paths clear.</x:v>
      </x:c>
      <x:c r="E74" s="8" t="str">
        <x:f>IF(ISBLANK('Evaluation Plan'!E74),"",'Evaluation Plan'!E74)</x:f>
      </x:c>
      <x:c r="F74" s="8" t="str">
        <x:f>'Evaluation Plan'!F74</x:f>
        <x:v>1088</x:v>
      </x:c>
      <x:c r="G74" s="8" t="str">
        <x:f>'Evaluation Plan'!G74</x:f>
        <x:v>MOVE green block to bowl</x:v>
      </x:c>
      <x:c r="H74" s="9"/>
      <x:c r="I74" s="8" t="str">
        <x:f>'Evaluation Plan'!I74</x:f>
        <x:v>Concept/compositional transfer</x:v>
      </x:c>
      <x:c r="J74" s="8" t="str">
        <x:f>'Evaluation Plan'!J74</x:f>
        <x:v>SZ-CT-LG09</x:v>
      </x:c>
      <x:c r="K74" s="8" t="str">
        <x:f>'Evaluation Plan'!K74</x:f>
        <x:v>largest</x:v>
      </x:c>
      <x:c r="L74" s="8" t="str">
        <x:f>'Evaluation Plan'!L74</x:f>
        <x:v>Held-out largest × green block — Put</x:v>
      </x:c>
      <x:c r="M74" s="8" t="str">
        <x:f>'Evaluation Plan'!M74</x:f>
        <x:v>green block</x:v>
      </x:c>
      <x:c r="N74" s="8" t="str">
        <x:f>'Evaluation Plan'!N74</x:f>
        <x:v>Left</x:v>
      </x:c>
      <x:c r="O74" s="8" t="n">
        <x:f>'Evaluation Plan'!O74</x:f>
        <x:v>2</x:v>
      </x:c>
      <x:c r="P74" s="8" t="n">
        <x:f>IF(ISBLANK('Evaluation Plan'!P74),"",'Evaluation Plan'!P74)</x:f>
        <x:v>16</x:v>
      </x:c>
      <x:c r="Q74" s="8" t="str">
        <x:f>'Evaluation Plan'!Q74</x:f>
        <x:v>Build the listed two-object scene and save a first-frame filename.</x:v>
      </x:c>
      <x:c r="R74" s="9" t="str">
        <x:f>'Evaluation Plan'!R74</x:f>
        <x:v>Primary missing cell. Training episode 1088 contains the same target trajectory but masks the size word with a direct identity prompt.</x:v>
      </x:c>
      <x:c r="S74" s="9" t="str">
        <x:f>IF(ISBLANK('Evaluation Plan'!S74),"",'Evaluation Plan'!S74)</x:f>
      </x:c>
    </x:row>
    <x:row r="75" ht="67.5" customHeight="1">
      <x:c r="A75" s="16" t="s">
        <x:v>19</x:v>
      </x:c>
      <x:c r="B75" s="16" t="n">
        <x:f>'Evaluation Plan'!B75</x:f>
        <x:v>73</x:v>
      </x:c>
      <x:c r="C75" s="6" t="str">
        <x:f>'Evaluation Plan'!C75</x:f>
        <x:v>Pick up the green block and place it in the bowl.</x:v>
      </x:c>
      <x:c r="D75" s="6" t="str">
        <x:f>'Evaluation Plan'!D75</x:f>
        <x:v>Bowl: empty. Table, robot-left→robot-right: P1 green block; P2 red pencil sharpener. Adjacent centers 16 cm apart; row shifted 4 cm toward the robot; all objects fully visible and grasp paths clear.</x:v>
      </x:c>
      <x:c r="E75" s="16" t="n">
        <x:f>IF(ISBLANK('Evaluation Plan'!E75),"",'Evaluation Plan'!E75)</x:f>
        <x:v>72</x:v>
      </x:c>
      <x:c r="F75" s="16" t="str">
        <x:f>'Evaluation Plan'!F75</x:f>
        <x:v>1078</x:v>
      </x:c>
      <x:c r="G75" s="16" t="str">
        <x:f>'Evaluation Plan'!G75</x:f>
        <x:v>MOVE green block to bowl</x:v>
      </x:c>
      <x:c r="H75" s="6"/>
      <x:c r="I75" s="16" t="str">
        <x:f>'Evaluation Plan'!I75</x:f>
        <x:v>Matched manipulation control</x:v>
      </x:c>
      <x:c r="J75" s="16" t="str">
        <x:f>'Evaluation Plan'!J75</x:f>
        <x:v>SZ-CT-LG09</x:v>
      </x:c>
      <x:c r="K75" s="16" t="str">
        <x:f>'Evaluation Plan'!K75</x:f>
        <x:v>Direct</x:v>
      </x:c>
      <x:c r="L75" s="16" t="str">
        <x:f>'Evaluation Plan'!L75</x:f>
        <x:v>Same-scene direct target control</x:v>
      </x:c>
      <x:c r="M75" s="16" t="str">
        <x:f>'Evaluation Plan'!M75</x:f>
        <x:v>green block</x:v>
      </x:c>
      <x:c r="N75" s="16" t="str">
        <x:f>'Evaluation Plan'!N75</x:f>
        <x:v>Left</x:v>
      </x:c>
      <x:c r="O75" s="16" t="n">
        <x:f>'Evaluation Plan'!O75</x:f>
        <x:v>2</x:v>
      </x:c>
      <x:c r="P75" s="16" t="n">
        <x:f>IF(ISBLANK('Evaluation Plan'!P75),"",'Evaluation Plan'!P75)</x:f>
        <x:v>16</x:v>
      </x:c>
      <x:c r="Q75" s="16" t="str">
        <x:f>'Evaluation Plan'!Q75</x:f>
        <x:v>Reset the target to its original pose; change only the prompt.</x:v>
      </x:c>
      <x:c r="R75" s="6" t="str">
        <x:f>'Evaluation Plan'!R75</x:f>
        <x:v>Exact-scene control using a direct prompt supported by training episode 1078.</x:v>
      </x:c>
      <x:c r="S75" s="6" t="str">
        <x:f>IF(ISBLANK('Evaluation Plan'!S75),"",'Evaluation Plan'!S75)</x:f>
      </x:c>
    </x:row>
    <x:row r="76" ht="67.5" customHeight="1">
      <x:c r="A76" s="8" t="s">
        <x:v>19</x:v>
      </x:c>
      <x:c r="B76" s="8" t="n">
        <x:f>'Evaluation Plan'!B76</x:f>
        <x:v>74</x:v>
      </x:c>
      <x:c r="C76" s="9" t="str">
        <x:f>'Evaluation Plan'!C76</x:f>
        <x:v>Move the object that is smallest into the bowl.</x:v>
      </x:c>
      <x:c r="D76" s="9" t="str">
        <x:f>'Evaluation Plan'!D76</x:f>
        <x:v>Bowl: empty. Table, robot-left→robot-right: P1 crushed Pepsi can; P2 juggling ball. Adjacent centers 8 cm apart; row centered on the workspace; all objects fully visible and grasp paths clear.</x:v>
      </x:c>
      <x:c r="E76" s="8" t="str">
        <x:f>IF(ISBLANK('Evaluation Plan'!E76),"",'Evaluation Plan'!E76)</x:f>
      </x:c>
      <x:c r="F76" s="8" t="str">
        <x:f>'Evaluation Plan'!F76</x:f>
        <x:v>1113</x:v>
      </x:c>
      <x:c r="G76" s="8" t="str">
        <x:f>'Evaluation Plan'!G76</x:f>
        <x:v>MOVE juggling ball to bowl</x:v>
      </x:c>
      <x:c r="H76" s="9"/>
      <x:c r="I76" s="8" t="str">
        <x:f>'Evaluation Plan'!I76</x:f>
        <x:v>Concept/compositional transfer</x:v>
      </x:c>
      <x:c r="J76" s="8" t="str">
        <x:f>'Evaluation Plan'!J76</x:f>
        <x:v>SZ-CT-SJ09</x:v>
      </x:c>
      <x:c r="K76" s="8" t="str">
        <x:f>'Evaluation Plan'!K76</x:f>
        <x:v>smallest</x:v>
      </x:c>
      <x:c r="L76" s="8" t="str">
        <x:f>'Evaluation Plan'!L76</x:f>
        <x:v>Held-out smallest × juggling ball — Move</x:v>
      </x:c>
      <x:c r="M76" s="8" t="str">
        <x:f>'Evaluation Plan'!M76</x:f>
        <x:v>juggling ball</x:v>
      </x:c>
      <x:c r="N76" s="8" t="str">
        <x:f>'Evaluation Plan'!N76</x:f>
        <x:v>Right</x:v>
      </x:c>
      <x:c r="O76" s="8" t="n">
        <x:f>'Evaluation Plan'!O76</x:f>
        <x:v>2</x:v>
      </x:c>
      <x:c r="P76" s="8" t="n">
        <x:f>IF(ISBLANK('Evaluation Plan'!P76),"",'Evaluation Plan'!P76)</x:f>
        <x:v>8</x:v>
      </x:c>
      <x:c r="Q76" s="8" t="str">
        <x:f>'Evaluation Plan'!Q76</x:f>
        <x:v>Build the listed two-object scene and save a first-frame filename.</x:v>
      </x:c>
      <x:c r="R76" s="9" t="str">
        <x:f>'Evaluation Plan'!R76</x:f>
        <x:v>Primary missing cell. Training episode 1113 contains the same target trajectory but masks the size word with a direct identity prompt.</x:v>
      </x:c>
      <x:c r="S76" s="9" t="str">
        <x:f>IF(ISBLANK('Evaluation Plan'!S76),"",'Evaluation Plan'!S76)</x:f>
      </x:c>
    </x:row>
    <x:row r="77" ht="67.5" customHeight="1">
      <x:c r="A77" s="16" t="s">
        <x:v>19</x:v>
      </x:c>
      <x:c r="B77" s="16" t="n">
        <x:f>'Evaluation Plan'!B77</x:f>
        <x:v>75</x:v>
      </x:c>
      <x:c r="C77" s="6" t="str">
        <x:f>'Evaluation Plan'!C77</x:f>
        <x:v>Pick up the juggling ball and place it in the bowl.</x:v>
      </x:c>
      <x:c r="D77" s="6" t="str">
        <x:f>'Evaluation Plan'!D77</x:f>
        <x:v>Bowl: empty. Table, robot-left→robot-right: P1 crushed Pepsi can; P2 juggling ball. Adjacent centers 8 cm apart; row centered on the workspace; all objects fully visible and grasp paths clear.</x:v>
      </x:c>
      <x:c r="E77" s="16" t="n">
        <x:f>IF(ISBLANK('Evaluation Plan'!E77),"",'Evaluation Plan'!E77)</x:f>
        <x:v>74</x:v>
      </x:c>
      <x:c r="F77" s="16" t="str">
        <x:f>'Evaluation Plan'!F77</x:f>
        <x:v>1103</x:v>
      </x:c>
      <x:c r="G77" s="16" t="str">
        <x:f>'Evaluation Plan'!G77</x:f>
        <x:v>MOVE juggling ball to bowl</x:v>
      </x:c>
      <x:c r="H77" s="6"/>
      <x:c r="I77" s="16" t="str">
        <x:f>'Evaluation Plan'!I77</x:f>
        <x:v>Matched manipulation control</x:v>
      </x:c>
      <x:c r="J77" s="16" t="str">
        <x:f>'Evaluation Plan'!J77</x:f>
        <x:v>SZ-CT-SJ09</x:v>
      </x:c>
      <x:c r="K77" s="16" t="str">
        <x:f>'Evaluation Plan'!K77</x:f>
        <x:v>Direct</x:v>
      </x:c>
      <x:c r="L77" s="16" t="str">
        <x:f>'Evaluation Plan'!L77</x:f>
        <x:v>Same-scene direct target control</x:v>
      </x:c>
      <x:c r="M77" s="16" t="str">
        <x:f>'Evaluation Plan'!M77</x:f>
        <x:v>juggling ball</x:v>
      </x:c>
      <x:c r="N77" s="16" t="str">
        <x:f>'Evaluation Plan'!N77</x:f>
        <x:v>Right</x:v>
      </x:c>
      <x:c r="O77" s="16" t="n">
        <x:f>'Evaluation Plan'!O77</x:f>
        <x:v>2</x:v>
      </x:c>
      <x:c r="P77" s="16" t="n">
        <x:f>IF(ISBLANK('Evaluation Plan'!P77),"",'Evaluation Plan'!P77)</x:f>
        <x:v>8</x:v>
      </x:c>
      <x:c r="Q77" s="16" t="str">
        <x:f>'Evaluation Plan'!Q77</x:f>
        <x:v>Reset the target to its original pose; change only the prompt.</x:v>
      </x:c>
      <x:c r="R77" s="6" t="str">
        <x:f>'Evaluation Plan'!R77</x:f>
        <x:v>Exact-scene control using a direct prompt supported by training episode 1103.</x:v>
      </x:c>
      <x:c r="S77" s="6" t="str">
        <x:f>IF(ISBLANK('Evaluation Plan'!S77),"",'Evaluation Plan'!S77)</x:f>
      </x:c>
    </x:row>
    <x:row r="78" ht="67.5" customHeight="1">
      <x:c r="A78" s="8" t="s">
        <x:v>19</x:v>
      </x:c>
      <x:c r="B78" s="8" t="n">
        <x:f>'Evaluation Plan'!B78</x:f>
        <x:v>76</x:v>
      </x:c>
      <x:c r="C78" s="9" t="str">
        <x:f>'Evaluation Plan'!C78</x:f>
        <x:v>Move the object that is largest into the bowl.</x:v>
      </x:c>
      <x:c r="D78" s="9" t="str">
        <x:f>'Evaluation Plan'!D78</x:f>
        <x:v>Bowl: empty. Table, robot-left→robot-right: P1 red pencil sharpener; P2 green block. Adjacent centers 8 cm apart; row shifted 4 cm away from the robot; all objects fully visible and grasp paths clear.</x:v>
      </x:c>
      <x:c r="E78" s="8" t="str">
        <x:f>IF(ISBLANK('Evaluation Plan'!E78),"",'Evaluation Plan'!E78)</x:f>
      </x:c>
      <x:c r="F78" s="8" t="str">
        <x:f>'Evaluation Plan'!F78</x:f>
        <x:v>1089</x:v>
      </x:c>
      <x:c r="G78" s="8" t="str">
        <x:f>'Evaluation Plan'!G78</x:f>
        <x:v>MOVE green block to bowl</x:v>
      </x:c>
      <x:c r="H78" s="9"/>
      <x:c r="I78" s="8" t="str">
        <x:f>'Evaluation Plan'!I78</x:f>
        <x:v>Concept/compositional transfer</x:v>
      </x:c>
      <x:c r="J78" s="8" t="str">
        <x:f>'Evaluation Plan'!J78</x:f>
        <x:v>SZ-CT-LG10</x:v>
      </x:c>
      <x:c r="K78" s="8" t="str">
        <x:f>'Evaluation Plan'!K78</x:f>
        <x:v>largest</x:v>
      </x:c>
      <x:c r="L78" s="8" t="str">
        <x:f>'Evaluation Plan'!L78</x:f>
        <x:v>Held-out largest × green block — Move</x:v>
      </x:c>
      <x:c r="M78" s="8" t="str">
        <x:f>'Evaluation Plan'!M78</x:f>
        <x:v>green block</x:v>
      </x:c>
      <x:c r="N78" s="8" t="str">
        <x:f>'Evaluation Plan'!N78</x:f>
        <x:v>Right</x:v>
      </x:c>
      <x:c r="O78" s="8" t="n">
        <x:f>'Evaluation Plan'!O78</x:f>
        <x:v>2</x:v>
      </x:c>
      <x:c r="P78" s="8" t="n">
        <x:f>IF(ISBLANK('Evaluation Plan'!P78),"",'Evaluation Plan'!P78)</x:f>
        <x:v>8</x:v>
      </x:c>
      <x:c r="Q78" s="8" t="str">
        <x:f>'Evaluation Plan'!Q78</x:f>
        <x:v>Build the listed two-object scene and save a first-frame filename.</x:v>
      </x:c>
      <x:c r="R78" s="9" t="str">
        <x:f>'Evaluation Plan'!R78</x:f>
        <x:v>Primary missing cell. Training episode 1089 contains the same target trajectory but masks the size word with a direct identity prompt.</x:v>
      </x:c>
      <x:c r="S78" s="9" t="str">
        <x:f>IF(ISBLANK('Evaluation Plan'!S78),"",'Evaluation Plan'!S78)</x:f>
      </x:c>
    </x:row>
    <x:row r="79" ht="67.5" customHeight="1">
      <x:c r="A79" s="16" t="s">
        <x:v>19</x:v>
      </x:c>
      <x:c r="B79" s="16" t="n">
        <x:f>'Evaluation Plan'!B79</x:f>
        <x:v>77</x:v>
      </x:c>
      <x:c r="C79" s="6" t="str">
        <x:f>'Evaluation Plan'!C79</x:f>
        <x:v>Put the green block in the bowl.</x:v>
      </x:c>
      <x:c r="D79" s="6" t="str">
        <x:f>'Evaluation Plan'!D79</x:f>
        <x:v>Bowl: empty. Table, robot-left→robot-right: P1 red pencil sharpener; P2 green block. Adjacent centers 8 cm apart; row shifted 4 cm away from the robot; all objects fully visible and grasp paths clear.</x:v>
      </x:c>
      <x:c r="E79" s="16" t="n">
        <x:f>IF(ISBLANK('Evaluation Plan'!E79),"",'Evaluation Plan'!E79)</x:f>
        <x:v>76</x:v>
      </x:c>
      <x:c r="F79" s="16" t="str">
        <x:f>'Evaluation Plan'!F79</x:f>
        <x:v>1079</x:v>
      </x:c>
      <x:c r="G79" s="16" t="str">
        <x:f>'Evaluation Plan'!G79</x:f>
        <x:v>MOVE green block to bowl</x:v>
      </x:c>
      <x:c r="H79" s="6"/>
      <x:c r="I79" s="16" t="str">
        <x:f>'Evaluation Plan'!I79</x:f>
        <x:v>Matched manipulation control</x:v>
      </x:c>
      <x:c r="J79" s="16" t="str">
        <x:f>'Evaluation Plan'!J79</x:f>
        <x:v>SZ-CT-LG10</x:v>
      </x:c>
      <x:c r="K79" s="16" t="str">
        <x:f>'Evaluation Plan'!K79</x:f>
        <x:v>Direct</x:v>
      </x:c>
      <x:c r="L79" s="16" t="str">
        <x:f>'Evaluation Plan'!L79</x:f>
        <x:v>Same-scene direct target control</x:v>
      </x:c>
      <x:c r="M79" s="16" t="str">
        <x:f>'Evaluation Plan'!M79</x:f>
        <x:v>green block</x:v>
      </x:c>
      <x:c r="N79" s="16" t="str">
        <x:f>'Evaluation Plan'!N79</x:f>
        <x:v>Right</x:v>
      </x:c>
      <x:c r="O79" s="16" t="n">
        <x:f>'Evaluation Plan'!O79</x:f>
        <x:v>2</x:v>
      </x:c>
      <x:c r="P79" s="16" t="n">
        <x:f>IF(ISBLANK('Evaluation Plan'!P79),"",'Evaluation Plan'!P79)</x:f>
        <x:v>8</x:v>
      </x:c>
      <x:c r="Q79" s="16" t="str">
        <x:f>'Evaluation Plan'!Q79</x:f>
        <x:v>Reset the target to its original pose; change only the prompt.</x:v>
      </x:c>
      <x:c r="R79" s="6" t="str">
        <x:f>'Evaluation Plan'!R79</x:f>
        <x:v>Exact-scene control using a direct prompt supported by training episode 1079.</x:v>
      </x:c>
      <x:c r="S79" s="6" t="str">
        <x:f>IF(ISBLANK('Evaluation Plan'!S79),"",'Evaluation Plan'!S79)</x:f>
      </x:c>
    </x:row>
    <x:row r="80" ht="67.5" customHeight="1">
      <x:c r="A80" s="8" t="s">
        <x:v>19</x:v>
      </x:c>
      <x:c r="B80" s="8" t="n">
        <x:f>'Evaluation Plan'!B80</x:f>
        <x:v>78</x:v>
      </x:c>
      <x:c r="C80" s="9" t="str">
        <x:f>'Evaluation Plan'!C80</x:f>
        <x:v>Pick up the smallest item and place it in the bowl.</x:v>
      </x:c>
      <x:c r="D80" s="9" t="str">
        <x:f>'Evaluation Plan'!D80</x:f>
        <x:v>Bowl: empty. Table, robot-left→robot-right: P1 juggling ball; P2 crushed Pepsi can. Adjacent centers 12 cm apart; row shifted 4 cm toward robot-left; all objects fully visible and grasp paths clear.</x:v>
      </x:c>
      <x:c r="E80" s="8" t="str">
        <x:f>IF(ISBLANK('Evaluation Plan'!E80),"",'Evaluation Plan'!E80)</x:f>
      </x:c>
      <x:c r="F80" s="8" t="str">
        <x:f>'Evaluation Plan'!F80</x:f>
        <x:v>1114</x:v>
      </x:c>
      <x:c r="G80" s="8" t="str">
        <x:f>'Evaluation Plan'!G80</x:f>
        <x:v>MOVE juggling ball to bowl</x:v>
      </x:c>
      <x:c r="H80" s="9"/>
      <x:c r="I80" s="8" t="str">
        <x:f>'Evaluation Plan'!I80</x:f>
        <x:v>Concept/compositional transfer</x:v>
      </x:c>
      <x:c r="J80" s="8" t="str">
        <x:f>'Evaluation Plan'!J80</x:f>
        <x:v>SZ-CT-SJ10</x:v>
      </x:c>
      <x:c r="K80" s="8" t="str">
        <x:f>'Evaluation Plan'!K80</x:f>
        <x:v>smallest</x:v>
      </x:c>
      <x:c r="L80" s="8" t="str">
        <x:f>'Evaluation Plan'!L80</x:f>
        <x:v>Held-out smallest × juggling ball — Pick up</x:v>
      </x:c>
      <x:c r="M80" s="8" t="str">
        <x:f>'Evaluation Plan'!M80</x:f>
        <x:v>juggling ball</x:v>
      </x:c>
      <x:c r="N80" s="8" t="str">
        <x:f>'Evaluation Plan'!N80</x:f>
        <x:v>Left</x:v>
      </x:c>
      <x:c r="O80" s="8" t="n">
        <x:f>'Evaluation Plan'!O80</x:f>
        <x:v>2</x:v>
      </x:c>
      <x:c r="P80" s="8" t="n">
        <x:f>IF(ISBLANK('Evaluation Plan'!P80),"",'Evaluation Plan'!P80)</x:f>
        <x:v>12</x:v>
      </x:c>
      <x:c r="Q80" s="8" t="str">
        <x:f>'Evaluation Plan'!Q80</x:f>
        <x:v>Build the listed two-object scene and save a first-frame filename.</x:v>
      </x:c>
      <x:c r="R80" s="9" t="str">
        <x:f>'Evaluation Plan'!R80</x:f>
        <x:v>Primary missing cell. Training episode 1114 contains the same target trajectory but masks the size word with a direct identity prompt.</x:v>
      </x:c>
      <x:c r="S80" s="9" t="str">
        <x:f>IF(ISBLANK('Evaluation Plan'!S80),"",'Evaluation Plan'!S80)</x:f>
      </x:c>
    </x:row>
    <x:row r="81" ht="67.5" customHeight="1">
      <x:c r="A81" s="16" t="s">
        <x:v>19</x:v>
      </x:c>
      <x:c r="B81" s="16" t="n">
        <x:f>'Evaluation Plan'!B81</x:f>
        <x:v>79</x:v>
      </x:c>
      <x:c r="C81" s="6" t="str">
        <x:f>'Evaluation Plan'!C81</x:f>
        <x:v>Put the juggling ball in the bowl.</x:v>
      </x:c>
      <x:c r="D81" s="6" t="str">
        <x:f>'Evaluation Plan'!D81</x:f>
        <x:v>Bowl: empty. Table, robot-left→robot-right: P1 juggling ball; P2 crushed Pepsi can. Adjacent centers 12 cm apart; row shifted 4 cm toward robot-left; all objects fully visible and grasp paths clear.</x:v>
      </x:c>
      <x:c r="E81" s="16" t="n">
        <x:f>IF(ISBLANK('Evaluation Plan'!E81),"",'Evaluation Plan'!E81)</x:f>
        <x:v>78</x:v>
      </x:c>
      <x:c r="F81" s="16" t="str">
        <x:f>'Evaluation Plan'!F81</x:f>
        <x:v>1104</x:v>
      </x:c>
      <x:c r="G81" s="16" t="str">
        <x:f>'Evaluation Plan'!G81</x:f>
        <x:v>MOVE juggling ball to bowl</x:v>
      </x:c>
      <x:c r="H81" s="6"/>
      <x:c r="I81" s="16" t="str">
        <x:f>'Evaluation Plan'!I81</x:f>
        <x:v>Matched manipulation control</x:v>
      </x:c>
      <x:c r="J81" s="16" t="str">
        <x:f>'Evaluation Plan'!J81</x:f>
        <x:v>SZ-CT-SJ10</x:v>
      </x:c>
      <x:c r="K81" s="16" t="str">
        <x:f>'Evaluation Plan'!K81</x:f>
        <x:v>Direct</x:v>
      </x:c>
      <x:c r="L81" s="16" t="str">
        <x:f>'Evaluation Plan'!L81</x:f>
        <x:v>Same-scene direct target control</x:v>
      </x:c>
      <x:c r="M81" s="16" t="str">
        <x:f>'Evaluation Plan'!M81</x:f>
        <x:v>juggling ball</x:v>
      </x:c>
      <x:c r="N81" s="16" t="str">
        <x:f>'Evaluation Plan'!N81</x:f>
        <x:v>Left</x:v>
      </x:c>
      <x:c r="O81" s="16" t="n">
        <x:f>'Evaluation Plan'!O81</x:f>
        <x:v>2</x:v>
      </x:c>
      <x:c r="P81" s="16" t="n">
        <x:f>IF(ISBLANK('Evaluation Plan'!P81),"",'Evaluation Plan'!P81)</x:f>
        <x:v>12</x:v>
      </x:c>
      <x:c r="Q81" s="16" t="str">
        <x:f>'Evaluation Plan'!Q81</x:f>
        <x:v>Reset the target to its original pose; change only the prompt.</x:v>
      </x:c>
      <x:c r="R81" s="6" t="str">
        <x:f>'Evaluation Plan'!R81</x:f>
        <x:v>Exact-scene control using a direct prompt supported by training episode 1104.</x:v>
      </x:c>
      <x:c r="S81" s="6" t="str">
        <x:f>IF(ISBLANK('Evaluation Plan'!S81),"",'Evaluation Plan'!S81)</x:f>
      </x:c>
    </x:row>
    <x:row r="82" ht="67.5" customHeight="1">
      <x:c r="A82" s="8" t="s">
        <x:v>19</x:v>
      </x:c>
      <x:c r="B82" s="8" t="n">
        <x:f>'Evaluation Plan'!B82</x:f>
        <x:v>80</x:v>
      </x:c>
      <x:c r="C82" s="9" t="str">
        <x:f>'Evaluation Plan'!C82</x:f>
        <x:v>Pick up the largest item and place it in the bowl.</x:v>
      </x:c>
      <x:c r="D82" s="9" t="str">
        <x:f>'Evaluation Plan'!D82</x:f>
        <x:v>Bowl: empty. Table, robot-left→robot-right: P1 green block; P2 red pencil sharpener. Adjacent centers 12 cm apart; row centered on the workspace; all objects fully visible and grasp paths clear.</x:v>
      </x:c>
      <x:c r="E82" s="8" t="str">
        <x:f>IF(ISBLANK('Evaluation Plan'!E82),"",'Evaluation Plan'!E82)</x:f>
      </x:c>
      <x:c r="F82" s="8" t="str">
        <x:f>'Evaluation Plan'!F82</x:f>
        <x:v>1090</x:v>
      </x:c>
      <x:c r="G82" s="8" t="str">
        <x:f>'Evaluation Plan'!G82</x:f>
        <x:v>MOVE green block to bowl</x:v>
      </x:c>
      <x:c r="H82" s="9"/>
      <x:c r="I82" s="8" t="str">
        <x:f>'Evaluation Plan'!I82</x:f>
        <x:v>Concept/compositional transfer</x:v>
      </x:c>
      <x:c r="J82" s="8" t="str">
        <x:f>'Evaluation Plan'!J82</x:f>
        <x:v>SZ-CT-LG11</x:v>
      </x:c>
      <x:c r="K82" s="8" t="str">
        <x:f>'Evaluation Plan'!K82</x:f>
        <x:v>largest</x:v>
      </x:c>
      <x:c r="L82" s="8" t="str">
        <x:f>'Evaluation Plan'!L82</x:f>
        <x:v>Held-out largest × green block — Pick up</x:v>
      </x:c>
      <x:c r="M82" s="8" t="str">
        <x:f>'Evaluation Plan'!M82</x:f>
        <x:v>green block</x:v>
      </x:c>
      <x:c r="N82" s="8" t="str">
        <x:f>'Evaluation Plan'!N82</x:f>
        <x:v>Left</x:v>
      </x:c>
      <x:c r="O82" s="8" t="n">
        <x:f>'Evaluation Plan'!O82</x:f>
        <x:v>2</x:v>
      </x:c>
      <x:c r="P82" s="8" t="n">
        <x:f>IF(ISBLANK('Evaluation Plan'!P82),"",'Evaluation Plan'!P82)</x:f>
        <x:v>12</x:v>
      </x:c>
      <x:c r="Q82" s="8" t="str">
        <x:f>'Evaluation Plan'!Q82</x:f>
        <x:v>Build the listed two-object scene and save a first-frame filename.</x:v>
      </x:c>
      <x:c r="R82" s="9" t="str">
        <x:f>'Evaluation Plan'!R82</x:f>
        <x:v>Primary missing cell. Training episode 1090 contains the same target trajectory but masks the size word with a direct identity prompt.</x:v>
      </x:c>
      <x:c r="S82" s="9" t="str">
        <x:f>IF(ISBLANK('Evaluation Plan'!S82),"",'Evaluation Plan'!S82)</x:f>
      </x:c>
    </x:row>
    <x:row r="83" ht="67.5" customHeight="1">
      <x:c r="A83" s="8" t="s">
        <x:v>19</x:v>
      </x:c>
      <x:c r="B83" s="8" t="n">
        <x:f>'Evaluation Plan'!B83</x:f>
        <x:v>81</x:v>
      </x:c>
      <x:c r="C83" s="9" t="str">
        <x:f>'Evaluation Plan'!C83</x:f>
        <x:v>Put the smallest object in the bowl.</x:v>
      </x:c>
      <x:c r="D83" s="9" t="str">
        <x:f>'Evaluation Plan'!D83</x:f>
        <x:v>Bowl: empty. Table, robot-left→robot-right: P1 crushed Pepsi can; P2 juggling ball. Adjacent centers 16 cm apart; row shifted 4 cm toward robot-right; all objects fully visible and grasp paths clear.</x:v>
      </x:c>
      <x:c r="E83" s="8" t="str">
        <x:f>IF(ISBLANK('Evaluation Plan'!E83),"",'Evaluation Plan'!E83)</x:f>
      </x:c>
      <x:c r="F83" s="8" t="str">
        <x:f>'Evaluation Plan'!F83</x:f>
        <x:v>1115</x:v>
      </x:c>
      <x:c r="G83" s="8" t="str">
        <x:f>'Evaluation Plan'!G83</x:f>
        <x:v>MOVE juggling ball to bowl</x:v>
      </x:c>
      <x:c r="H83" s="9"/>
      <x:c r="I83" s="8" t="str">
        <x:f>'Evaluation Plan'!I83</x:f>
        <x:v>Concept/compositional transfer</x:v>
      </x:c>
      <x:c r="J83" s="8" t="str">
        <x:f>'Evaluation Plan'!J83</x:f>
        <x:v>SZ-CT-SJ11</x:v>
      </x:c>
      <x:c r="K83" s="8" t="str">
        <x:f>'Evaluation Plan'!K83</x:f>
        <x:v>smallest</x:v>
      </x:c>
      <x:c r="L83" s="8" t="str">
        <x:f>'Evaluation Plan'!L83</x:f>
        <x:v>Held-out smallest × juggling ball — Put</x:v>
      </x:c>
      <x:c r="M83" s="8" t="str">
        <x:f>'Evaluation Plan'!M83</x:f>
        <x:v>juggling ball</x:v>
      </x:c>
      <x:c r="N83" s="8" t="str">
        <x:f>'Evaluation Plan'!N83</x:f>
        <x:v>Right</x:v>
      </x:c>
      <x:c r="O83" s="8" t="n">
        <x:f>'Evaluation Plan'!O83</x:f>
        <x:v>2</x:v>
      </x:c>
      <x:c r="P83" s="8" t="n">
        <x:f>IF(ISBLANK('Evaluation Plan'!P83),"",'Evaluation Plan'!P83)</x:f>
        <x:v>16</x:v>
      </x:c>
      <x:c r="Q83" s="8" t="str">
        <x:f>'Evaluation Plan'!Q83</x:f>
        <x:v>Build the listed two-object scene and save a first-frame filename.</x:v>
      </x:c>
      <x:c r="R83" s="9" t="str">
        <x:f>'Evaluation Plan'!R83</x:f>
        <x:v>Primary missing cell. Training episode 1115 contains the same target trajectory but masks the size word with a direct identity prompt.</x:v>
      </x:c>
      <x:c r="S83" s="9" t="str">
        <x:f>IF(ISBLANK('Evaluation Plan'!S83),"",'Evaluation Plan'!S83)</x:f>
      </x:c>
    </x:row>
    <x:row r="84" ht="67.5" customHeight="1">
      <x:c r="A84" s="8" t="s">
        <x:v>19</x:v>
      </x:c>
      <x:c r="B84" s="8" t="n">
        <x:f>'Evaluation Plan'!B84</x:f>
        <x:v>82</x:v>
      </x:c>
      <x:c r="C84" s="9" t="str">
        <x:f>'Evaluation Plan'!C84</x:f>
        <x:v>Put the largest object in the bowl.</x:v>
      </x:c>
      <x:c r="D84" s="9" t="str">
        <x:f>'Evaluation Plan'!D84</x:f>
        <x:v>Bowl: empty. Table, robot-left→robot-right: P1 red pencil sharpener; P2 green block. Adjacent centers 16 cm apart; row shifted 4 cm toward robot-left; all objects fully visible and grasp paths clear.</x:v>
      </x:c>
      <x:c r="E84" s="8" t="str">
        <x:f>IF(ISBLANK('Evaluation Plan'!E84),"",'Evaluation Plan'!E84)</x:f>
      </x:c>
      <x:c r="F84" s="8" t="str">
        <x:f>'Evaluation Plan'!F84</x:f>
        <x:v>1091</x:v>
      </x:c>
      <x:c r="G84" s="8" t="str">
        <x:f>'Evaluation Plan'!G84</x:f>
        <x:v>MOVE green block to bowl</x:v>
      </x:c>
      <x:c r="H84" s="9"/>
      <x:c r="I84" s="8" t="str">
        <x:f>'Evaluation Plan'!I84</x:f>
        <x:v>Concept/compositional transfer</x:v>
      </x:c>
      <x:c r="J84" s="8" t="str">
        <x:f>'Evaluation Plan'!J84</x:f>
        <x:v>SZ-CT-LG12</x:v>
      </x:c>
      <x:c r="K84" s="8" t="str">
        <x:f>'Evaluation Plan'!K84</x:f>
        <x:v>largest</x:v>
      </x:c>
      <x:c r="L84" s="8" t="str">
        <x:f>'Evaluation Plan'!L84</x:f>
        <x:v>Held-out largest × green block — Put</x:v>
      </x:c>
      <x:c r="M84" s="8" t="str">
        <x:f>'Evaluation Plan'!M84</x:f>
        <x:v>green block</x:v>
      </x:c>
      <x:c r="N84" s="8" t="str">
        <x:f>'Evaluation Plan'!N84</x:f>
        <x:v>Right</x:v>
      </x:c>
      <x:c r="O84" s="8" t="n">
        <x:f>'Evaluation Plan'!O84</x:f>
        <x:v>2</x:v>
      </x:c>
      <x:c r="P84" s="8" t="n">
        <x:f>IF(ISBLANK('Evaluation Plan'!P84),"",'Evaluation Plan'!P84)</x:f>
        <x:v>16</x:v>
      </x:c>
      <x:c r="Q84" s="8" t="str">
        <x:f>'Evaluation Plan'!Q84</x:f>
        <x:v>Build the listed two-object scene and save a first-frame filename.</x:v>
      </x:c>
      <x:c r="R84" s="9" t="str">
        <x:f>'Evaluation Plan'!R84</x:f>
        <x:v>Primary missing cell. Training episode 1091 contains the same target trajectory but masks the size word with a direct identity prompt.</x:v>
      </x:c>
      <x:c r="S84" s="9" t="str">
        <x:f>IF(ISBLANK('Evaluation Plan'!S84),"",'Evaluation Plan'!S84)</x:f>
      </x:c>
    </x:row>
    <x:row r="85" ht="67.5" customHeight="1">
      <x:c r="A85" s="8" t="s">
        <x:v>19</x:v>
      </x:c>
      <x:c r="B85" s="8" t="n">
        <x:f>'Evaluation Plan'!B85</x:f>
        <x:v>83</x:v>
      </x:c>
      <x:c r="C85" s="9" t="str">
        <x:f>'Evaluation Plan'!C85</x:f>
        <x:v>Move the object that is smallest into the bowl.</x:v>
      </x:c>
      <x:c r="D85" s="9" t="str">
        <x:f>'Evaluation Plan'!D85</x:f>
        <x:v>Bowl: empty. Table, robot-left→robot-right: P1 juggling ball; P2 crushed Pepsi can. Adjacent centers 8 cm apart; row shifted 4 cm toward the robot; all objects fully visible and grasp paths clear.</x:v>
      </x:c>
      <x:c r="E85" s="8" t="str">
        <x:f>IF(ISBLANK('Evaluation Plan'!E85),"",'Evaluation Plan'!E85)</x:f>
      </x:c>
      <x:c r="F85" s="8" t="str">
        <x:f>'Evaluation Plan'!F85</x:f>
        <x:v>1116</x:v>
      </x:c>
      <x:c r="G85" s="8" t="str">
        <x:f>'Evaluation Plan'!G85</x:f>
        <x:v>MOVE juggling ball to bowl</x:v>
      </x:c>
      <x:c r="H85" s="9"/>
      <x:c r="I85" s="8" t="str">
        <x:f>'Evaluation Plan'!I85</x:f>
        <x:v>Concept/compositional transfer</x:v>
      </x:c>
      <x:c r="J85" s="8" t="str">
        <x:f>'Evaluation Plan'!J85</x:f>
        <x:v>SZ-CT-SJ12</x:v>
      </x:c>
      <x:c r="K85" s="8" t="str">
        <x:f>'Evaluation Plan'!K85</x:f>
        <x:v>smallest</x:v>
      </x:c>
      <x:c r="L85" s="8" t="str">
        <x:f>'Evaluation Plan'!L85</x:f>
        <x:v>Held-out smallest × juggling ball — Move</x:v>
      </x:c>
      <x:c r="M85" s="8" t="str">
        <x:f>'Evaluation Plan'!M85</x:f>
        <x:v>juggling ball</x:v>
      </x:c>
      <x:c r="N85" s="8" t="str">
        <x:f>'Evaluation Plan'!N85</x:f>
        <x:v>Left</x:v>
      </x:c>
      <x:c r="O85" s="8" t="n">
        <x:f>'Evaluation Plan'!O85</x:f>
        <x:v>2</x:v>
      </x:c>
      <x:c r="P85" s="8" t="n">
        <x:f>IF(ISBLANK('Evaluation Plan'!P85),"",'Evaluation Plan'!P85)</x:f>
        <x:v>8</x:v>
      </x:c>
      <x:c r="Q85" s="8" t="str">
        <x:f>'Evaluation Plan'!Q85</x:f>
        <x:v>Build the listed two-object scene and save a first-frame filename.</x:v>
      </x:c>
      <x:c r="R85" s="9" t="str">
        <x:f>'Evaluation Plan'!R85</x:f>
        <x:v>Primary missing cell. Training episode 1116 contains the same target trajectory but masks the size word with a direct identity prompt.</x:v>
      </x:c>
      <x:c r="S85" s="9" t="str">
        <x:f>IF(ISBLANK('Evaluation Plan'!S85),"",'Evaluation Plan'!S85)</x:f>
      </x:c>
    </x:row>
    <x:row r="86" ht="67.5" customHeight="1">
      <x:c r="A86" s="8" t="s">
        <x:v>19</x:v>
      </x:c>
      <x:c r="B86" s="8" t="n">
        <x:f>'Evaluation Plan'!B86</x:f>
        <x:v>84</x:v>
      </x:c>
      <x:c r="C86" s="9" t="str">
        <x:f>'Evaluation Plan'!C86</x:f>
        <x:v>Move the object that is largest into the bowl.</x:v>
      </x:c>
      <x:c r="D86" s="9" t="str">
        <x:f>'Evaluation Plan'!D86</x:f>
        <x:v>Bowl: empty. Table, robot-left→robot-right: P1 green block; P2 red pencil sharpener. Adjacent centers 8 cm apart; row shifted 4 cm toward robot-right; all objects fully visible and grasp paths clear.</x:v>
      </x:c>
      <x:c r="E86" s="8" t="str">
        <x:f>IF(ISBLANK('Evaluation Plan'!E86),"",'Evaluation Plan'!E86)</x:f>
      </x:c>
      <x:c r="F86" s="8" t="str">
        <x:f>'Evaluation Plan'!F86</x:f>
        <x:v>1092</x:v>
      </x:c>
      <x:c r="G86" s="8" t="str">
        <x:f>'Evaluation Plan'!G86</x:f>
        <x:v>MOVE green block to bowl</x:v>
      </x:c>
      <x:c r="H86" s="9"/>
      <x:c r="I86" s="8" t="str">
        <x:f>'Evaluation Plan'!I86</x:f>
        <x:v>Concept/compositional transfer</x:v>
      </x:c>
      <x:c r="J86" s="8" t="str">
        <x:f>'Evaluation Plan'!J86</x:f>
        <x:v>SZ-CT-LG13</x:v>
      </x:c>
      <x:c r="K86" s="8" t="str">
        <x:f>'Evaluation Plan'!K86</x:f>
        <x:v>largest</x:v>
      </x:c>
      <x:c r="L86" s="8" t="str">
        <x:f>'Evaluation Plan'!L86</x:f>
        <x:v>Held-out largest × green block — Move</x:v>
      </x:c>
      <x:c r="M86" s="8" t="str">
        <x:f>'Evaluation Plan'!M86</x:f>
        <x:v>green block</x:v>
      </x:c>
      <x:c r="N86" s="8" t="str">
        <x:f>'Evaluation Plan'!N86</x:f>
        <x:v>Left</x:v>
      </x:c>
      <x:c r="O86" s="8" t="n">
        <x:f>'Evaluation Plan'!O86</x:f>
        <x:v>2</x:v>
      </x:c>
      <x:c r="P86" s="8" t="n">
        <x:f>IF(ISBLANK('Evaluation Plan'!P86),"",'Evaluation Plan'!P86)</x:f>
        <x:v>8</x:v>
      </x:c>
      <x:c r="Q86" s="8" t="str">
        <x:f>'Evaluation Plan'!Q86</x:f>
        <x:v>Build the listed two-object scene and save a first-frame filename.</x:v>
      </x:c>
      <x:c r="R86" s="9" t="str">
        <x:f>'Evaluation Plan'!R86</x:f>
        <x:v>Primary missing cell. Training episode 1092 contains the same target trajectory but masks the size word with a direct identity prompt.</x:v>
      </x:c>
      <x:c r="S86" s="9" t="str">
        <x:f>IF(ISBLANK('Evaluation Plan'!S86),"",'Evaluation Plan'!S86)</x:f>
      </x:c>
    </x:row>
    <x:row r="87" ht="67.5" customHeight="1">
      <x:c r="A87" s="8" t="s">
        <x:v>19</x:v>
      </x:c>
      <x:c r="B87" s="8" t="n">
        <x:f>'Evaluation Plan'!B87</x:f>
        <x:v>85</x:v>
      </x:c>
      <x:c r="C87" s="9" t="str">
        <x:f>'Evaluation Plan'!C87</x:f>
        <x:v>Pick up the smallest item and place it in the bowl.</x:v>
      </x:c>
      <x:c r="D87" s="9" t="str">
        <x:f>'Evaluation Plan'!D87</x:f>
        <x:v>Bowl: empty. Table, robot-left→robot-right: P1 crushed Pepsi can; P2 juggling ball. Adjacent centers 12 cm apart; row shifted 4 cm away from the robot; all objects fully visible and grasp paths clear.</x:v>
      </x:c>
      <x:c r="E87" s="8" t="str">
        <x:f>IF(ISBLANK('Evaluation Plan'!E87),"",'Evaluation Plan'!E87)</x:f>
      </x:c>
      <x:c r="F87" s="8" t="str">
        <x:f>'Evaluation Plan'!F87</x:f>
        <x:v>1117</x:v>
      </x:c>
      <x:c r="G87" s="8" t="str">
        <x:f>'Evaluation Plan'!G87</x:f>
        <x:v>MOVE juggling ball to bowl</x:v>
      </x:c>
      <x:c r="H87" s="9"/>
      <x:c r="I87" s="8" t="str">
        <x:f>'Evaluation Plan'!I87</x:f>
        <x:v>Concept/compositional transfer</x:v>
      </x:c>
      <x:c r="J87" s="8" t="str">
        <x:f>'Evaluation Plan'!J87</x:f>
        <x:v>SZ-CT-SJ13</x:v>
      </x:c>
      <x:c r="K87" s="8" t="str">
        <x:f>'Evaluation Plan'!K87</x:f>
        <x:v>smallest</x:v>
      </x:c>
      <x:c r="L87" s="8" t="str">
        <x:f>'Evaluation Plan'!L87</x:f>
        <x:v>Held-out smallest × juggling ball — Pick up</x:v>
      </x:c>
      <x:c r="M87" s="8" t="str">
        <x:f>'Evaluation Plan'!M87</x:f>
        <x:v>juggling ball</x:v>
      </x:c>
      <x:c r="N87" s="8" t="str">
        <x:f>'Evaluation Plan'!N87</x:f>
        <x:v>Right</x:v>
      </x:c>
      <x:c r="O87" s="8" t="n">
        <x:f>'Evaluation Plan'!O87</x:f>
        <x:v>2</x:v>
      </x:c>
      <x:c r="P87" s="8" t="n">
        <x:f>IF(ISBLANK('Evaluation Plan'!P87),"",'Evaluation Plan'!P87)</x:f>
        <x:v>12</x:v>
      </x:c>
      <x:c r="Q87" s="8" t="str">
        <x:f>'Evaluation Plan'!Q87</x:f>
        <x:v>Build the listed two-object scene and save a first-frame filename.</x:v>
      </x:c>
      <x:c r="R87" s="9" t="str">
        <x:f>'Evaluation Plan'!R87</x:f>
        <x:v>Primary missing cell. Training episode 1117 contains the same target trajectory but masks the size word with a direct identity prompt.</x:v>
      </x:c>
      <x:c r="S87" s="9" t="str">
        <x:f>IF(ISBLANK('Evaluation Plan'!S87),"",'Evaluation Plan'!S87)</x:f>
      </x:c>
    </x:row>
    <x:row r="88" ht="67.5" customHeight="1">
      <x:c r="A88" s="8" t="s">
        <x:v>19</x:v>
      </x:c>
      <x:c r="B88" s="8" t="n">
        <x:f>'Evaluation Plan'!B88</x:f>
        <x:v>86</x:v>
      </x:c>
      <x:c r="C88" s="9" t="str">
        <x:f>'Evaluation Plan'!C88</x:f>
        <x:v>Pick up the largest item and place it in the bowl.</x:v>
      </x:c>
      <x:c r="D88" s="9" t="str">
        <x:f>'Evaluation Plan'!D88</x:f>
        <x:v>Bowl: empty. Table, robot-left→robot-right: P1 red pencil sharpener; P2 green block. Adjacent centers 12 cm apart; row shifted 4 cm toward the robot; all objects fully visible and grasp paths clear.</x:v>
      </x:c>
      <x:c r="E88" s="8" t="str">
        <x:f>IF(ISBLANK('Evaluation Plan'!E88),"",'Evaluation Plan'!E88)</x:f>
      </x:c>
      <x:c r="F88" s="8" t="str">
        <x:f>'Evaluation Plan'!F88</x:f>
        <x:v>1093</x:v>
      </x:c>
      <x:c r="G88" s="8" t="str">
        <x:f>'Evaluation Plan'!G88</x:f>
        <x:v>MOVE green block to bowl</x:v>
      </x:c>
      <x:c r="H88" s="9"/>
      <x:c r="I88" s="8" t="str">
        <x:f>'Evaluation Plan'!I88</x:f>
        <x:v>Concept/compositional transfer</x:v>
      </x:c>
      <x:c r="J88" s="8" t="str">
        <x:f>'Evaluation Plan'!J88</x:f>
        <x:v>SZ-CT-LG14</x:v>
      </x:c>
      <x:c r="K88" s="8" t="str">
        <x:f>'Evaluation Plan'!K88</x:f>
        <x:v>largest</x:v>
      </x:c>
      <x:c r="L88" s="8" t="str">
        <x:f>'Evaluation Plan'!L88</x:f>
        <x:v>Held-out largest × green block — Pick up</x:v>
      </x:c>
      <x:c r="M88" s="8" t="str">
        <x:f>'Evaluation Plan'!M88</x:f>
        <x:v>green block</x:v>
      </x:c>
      <x:c r="N88" s="8" t="str">
        <x:f>'Evaluation Plan'!N88</x:f>
        <x:v>Right</x:v>
      </x:c>
      <x:c r="O88" s="8" t="n">
        <x:f>'Evaluation Plan'!O88</x:f>
        <x:v>2</x:v>
      </x:c>
      <x:c r="P88" s="8" t="n">
        <x:f>IF(ISBLANK('Evaluation Plan'!P88),"",'Evaluation Plan'!P88)</x:f>
        <x:v>12</x:v>
      </x:c>
      <x:c r="Q88" s="8" t="str">
        <x:f>'Evaluation Plan'!Q88</x:f>
        <x:v>Build the listed two-object scene and save a first-frame filename.</x:v>
      </x:c>
      <x:c r="R88" s="9" t="str">
        <x:f>'Evaluation Plan'!R88</x:f>
        <x:v>Primary missing cell. Training episode 1093 contains the same target trajectory but masks the size word with a direct identity prompt.</x:v>
      </x:c>
      <x:c r="S88" s="9" t="str">
        <x:f>IF(ISBLANK('Evaluation Plan'!S88),"",'Evaluation Plan'!S88)</x:f>
      </x:c>
    </x:row>
    <x:row r="89" ht="67.5" customHeight="1">
      <x:c r="A89" s="8" t="s">
        <x:v>19</x:v>
      </x:c>
      <x:c r="B89" s="8" t="n">
        <x:f>'Evaluation Plan'!B89</x:f>
        <x:v>87</x:v>
      </x:c>
      <x:c r="C89" s="9" t="str">
        <x:f>'Evaluation Plan'!C89</x:f>
        <x:v>Put the smallest object in the bowl.</x:v>
      </x:c>
      <x:c r="D89" s="9" t="str">
        <x:f>'Evaluation Plan'!D89</x:f>
        <x:v>Bowl: empty. Table, robot-left→robot-right: P1 juggling ball; P2 crushed Pepsi can. Adjacent centers 16 cm apart; row centered on the workspace; all objects fully visible and grasp paths clear.</x:v>
      </x:c>
      <x:c r="E89" s="8" t="str">
        <x:f>IF(ISBLANK('Evaluation Plan'!E89),"",'Evaluation Plan'!E89)</x:f>
      </x:c>
      <x:c r="F89" s="8" t="str">
        <x:f>'Evaluation Plan'!F89</x:f>
        <x:v>1118</x:v>
      </x:c>
      <x:c r="G89" s="8" t="str">
        <x:f>'Evaluation Plan'!G89</x:f>
        <x:v>MOVE juggling ball to bowl</x:v>
      </x:c>
      <x:c r="H89" s="9"/>
      <x:c r="I89" s="8" t="str">
        <x:f>'Evaluation Plan'!I89</x:f>
        <x:v>Concept/compositional transfer</x:v>
      </x:c>
      <x:c r="J89" s="8" t="str">
        <x:f>'Evaluation Plan'!J89</x:f>
        <x:v>SZ-CT-SJ14</x:v>
      </x:c>
      <x:c r="K89" s="8" t="str">
        <x:f>'Evaluation Plan'!K89</x:f>
        <x:v>smallest</x:v>
      </x:c>
      <x:c r="L89" s="8" t="str">
        <x:f>'Evaluation Plan'!L89</x:f>
        <x:v>Held-out smallest × juggling ball — Put</x:v>
      </x:c>
      <x:c r="M89" s="8" t="str">
        <x:f>'Evaluation Plan'!M89</x:f>
        <x:v>juggling ball</x:v>
      </x:c>
      <x:c r="N89" s="8" t="str">
        <x:f>'Evaluation Plan'!N89</x:f>
        <x:v>Left</x:v>
      </x:c>
      <x:c r="O89" s="8" t="n">
        <x:f>'Evaluation Plan'!O89</x:f>
        <x:v>2</x:v>
      </x:c>
      <x:c r="P89" s="8" t="n">
        <x:f>IF(ISBLANK('Evaluation Plan'!P89),"",'Evaluation Plan'!P89)</x:f>
        <x:v>16</x:v>
      </x:c>
      <x:c r="Q89" s="8" t="str">
        <x:f>'Evaluation Plan'!Q89</x:f>
        <x:v>Build the listed two-object scene and save a first-frame filename.</x:v>
      </x:c>
      <x:c r="R89" s="9" t="str">
        <x:f>'Evaluation Plan'!R89</x:f>
        <x:v>Primary missing cell. Training episode 1118 contains the same target trajectory but masks the size word with a direct identity prompt.</x:v>
      </x:c>
      <x:c r="S89" s="9" t="str">
        <x:f>IF(ISBLANK('Evaluation Plan'!S89),"",'Evaluation Plan'!S89)</x:f>
      </x:c>
    </x:row>
    <x:row r="90" ht="67.5" customHeight="1">
      <x:c r="A90" s="8" t="s">
        <x:v>19</x:v>
      </x:c>
      <x:c r="B90" s="8" t="n">
        <x:f>'Evaluation Plan'!B90</x:f>
        <x:v>88</x:v>
      </x:c>
      <x:c r="C90" s="9" t="str">
        <x:f>'Evaluation Plan'!C90</x:f>
        <x:v>Put the largest object in the bowl.</x:v>
      </x:c>
      <x:c r="D90" s="9" t="str">
        <x:f>'Evaluation Plan'!D90</x:f>
        <x:v>Bowl: empty. Table, robot-left→robot-right: P1 green block; P2 red pencil sharpener. Adjacent centers 16 cm apart; row shifted 4 cm away from the robot; all objects fully visible and grasp paths clear.</x:v>
      </x:c>
      <x:c r="E90" s="8" t="str">
        <x:f>IF(ISBLANK('Evaluation Plan'!E90),"",'Evaluation Plan'!E90)</x:f>
      </x:c>
      <x:c r="F90" s="8" t="str">
        <x:f>'Evaluation Plan'!F90</x:f>
        <x:v>1094</x:v>
      </x:c>
      <x:c r="G90" s="8" t="str">
        <x:f>'Evaluation Plan'!G90</x:f>
        <x:v>MOVE green block to bowl</x:v>
      </x:c>
      <x:c r="H90" s="9"/>
      <x:c r="I90" s="8" t="str">
        <x:f>'Evaluation Plan'!I90</x:f>
        <x:v>Concept/compositional transfer</x:v>
      </x:c>
      <x:c r="J90" s="8" t="str">
        <x:f>'Evaluation Plan'!J90</x:f>
        <x:v>SZ-CT-LG15</x:v>
      </x:c>
      <x:c r="K90" s="8" t="str">
        <x:f>'Evaluation Plan'!K90</x:f>
        <x:v>largest</x:v>
      </x:c>
      <x:c r="L90" s="8" t="str">
        <x:f>'Evaluation Plan'!L90</x:f>
        <x:v>Held-out largest × green block — Put</x:v>
      </x:c>
      <x:c r="M90" s="8" t="str">
        <x:f>'Evaluation Plan'!M90</x:f>
        <x:v>green block</x:v>
      </x:c>
      <x:c r="N90" s="8" t="str">
        <x:f>'Evaluation Plan'!N90</x:f>
        <x:v>Left</x:v>
      </x:c>
      <x:c r="O90" s="8" t="n">
        <x:f>'Evaluation Plan'!O90</x:f>
        <x:v>2</x:v>
      </x:c>
      <x:c r="P90" s="8" t="n">
        <x:f>IF(ISBLANK('Evaluation Plan'!P90),"",'Evaluation Plan'!P90)</x:f>
        <x:v>16</x:v>
      </x:c>
      <x:c r="Q90" s="8" t="str">
        <x:f>'Evaluation Plan'!Q90</x:f>
        <x:v>Build the listed two-object scene and save a first-frame filename.</x:v>
      </x:c>
      <x:c r="R90" s="9" t="str">
        <x:f>'Evaluation Plan'!R90</x:f>
        <x:v>Primary missing cell. Training episode 1094 contains the same target trajectory but masks the size word with a direct identity prompt.</x:v>
      </x:c>
      <x:c r="S90" s="9" t="str">
        <x:f>IF(ISBLANK('Evaluation Plan'!S90),"",'Evaluation Plan'!S90)</x:f>
      </x:c>
    </x:row>
    <x:row r="91" ht="67.5" customHeight="1">
      <x:c r="A91" s="8" t="s">
        <x:v>19</x:v>
      </x:c>
      <x:c r="B91" s="8" t="n">
        <x:f>'Evaluation Plan'!B91</x:f>
        <x:v>89</x:v>
      </x:c>
      <x:c r="C91" s="9" t="str">
        <x:f>'Evaluation Plan'!C91</x:f>
        <x:v>Move the object that is smallest into the bowl.</x:v>
      </x:c>
      <x:c r="D91" s="9" t="str">
        <x:f>'Evaluation Plan'!D91</x:f>
        <x:v>Bowl: empty. Table, robot-left→robot-right: P1 crushed Pepsi can; P2 juggling ball. Adjacent centers 8 cm apart; row shifted 4 cm toward robot-left; all objects fully visible and grasp paths clear.</x:v>
      </x:c>
      <x:c r="E91" s="8" t="str">
        <x:f>IF(ISBLANK('Evaluation Plan'!E91),"",'Evaluation Plan'!E91)</x:f>
      </x:c>
      <x:c r="F91" s="8" t="str">
        <x:f>'Evaluation Plan'!F91</x:f>
        <x:v>1119</x:v>
      </x:c>
      <x:c r="G91" s="8" t="str">
        <x:f>'Evaluation Plan'!G91</x:f>
        <x:v>MOVE juggling ball to bowl</x:v>
      </x:c>
      <x:c r="H91" s="9"/>
      <x:c r="I91" s="8" t="str">
        <x:f>'Evaluation Plan'!I91</x:f>
        <x:v>Concept/compositional transfer</x:v>
      </x:c>
      <x:c r="J91" s="8" t="str">
        <x:f>'Evaluation Plan'!J91</x:f>
        <x:v>SZ-CT-SJ15</x:v>
      </x:c>
      <x:c r="K91" s="8" t="str">
        <x:f>'Evaluation Plan'!K91</x:f>
        <x:v>smallest</x:v>
      </x:c>
      <x:c r="L91" s="8" t="str">
        <x:f>'Evaluation Plan'!L91</x:f>
        <x:v>Held-out smallest × juggling ball — Move</x:v>
      </x:c>
      <x:c r="M91" s="8" t="str">
        <x:f>'Evaluation Plan'!M91</x:f>
        <x:v>juggling ball</x:v>
      </x:c>
      <x:c r="N91" s="8" t="str">
        <x:f>'Evaluation Plan'!N91</x:f>
        <x:v>Right</x:v>
      </x:c>
      <x:c r="O91" s="8" t="n">
        <x:f>'Evaluation Plan'!O91</x:f>
        <x:v>2</x:v>
      </x:c>
      <x:c r="P91" s="8" t="n">
        <x:f>IF(ISBLANK('Evaluation Plan'!P91),"",'Evaluation Plan'!P91)</x:f>
        <x:v>8</x:v>
      </x:c>
      <x:c r="Q91" s="8" t="str">
        <x:f>'Evaluation Plan'!Q91</x:f>
        <x:v>Build the listed two-object scene and save a first-frame filename.</x:v>
      </x:c>
      <x:c r="R91" s="9" t="str">
        <x:f>'Evaluation Plan'!R91</x:f>
        <x:v>Primary missing cell. Training episode 1119 contains the same target trajectory but masks the size word with a direct identity prompt.</x:v>
      </x:c>
      <x:c r="S91" s="9" t="str">
        <x:f>IF(ISBLANK('Evaluation Plan'!S91),"",'Evaluation Plan'!S91)</x:f>
      </x:c>
    </x:row>
    <x:row r="92" ht="67.5" customHeight="1">
      <x:c r="A92" s="8" t="s">
        <x:v>19</x:v>
      </x:c>
      <x:c r="B92" s="8" t="n">
        <x:f>'Evaluation Plan'!B92</x:f>
        <x:v>90</x:v>
      </x:c>
      <x:c r="C92" s="9" t="str">
        <x:f>'Evaluation Plan'!C92</x:f>
        <x:v>Move the object that is largest into the bowl.</x:v>
      </x:c>
      <x:c r="D92" s="9" t="str">
        <x:f>'Evaluation Plan'!D92</x:f>
        <x:v>Bowl: empty. Table, robot-left→robot-right: P1 red pencil sharpener; P2 green block. Adjacent centers 8 cm apart; row centered on the workspace; all objects fully visible and grasp paths clear.</x:v>
      </x:c>
      <x:c r="E92" s="8" t="str">
        <x:f>IF(ISBLANK('Evaluation Plan'!E92),"",'Evaluation Plan'!E92)</x:f>
      </x:c>
      <x:c r="F92" s="8" t="str">
        <x:f>'Evaluation Plan'!F92</x:f>
        <x:v>1095</x:v>
      </x:c>
      <x:c r="G92" s="8" t="str">
        <x:f>'Evaluation Plan'!G92</x:f>
        <x:v>MOVE green block to bowl</x:v>
      </x:c>
      <x:c r="H92" s="9"/>
      <x:c r="I92" s="8" t="str">
        <x:f>'Evaluation Plan'!I92</x:f>
        <x:v>Concept/compositional transfer</x:v>
      </x:c>
      <x:c r="J92" s="8" t="str">
        <x:f>'Evaluation Plan'!J92</x:f>
        <x:v>SZ-CT-LG16</x:v>
      </x:c>
      <x:c r="K92" s="8" t="str">
        <x:f>'Evaluation Plan'!K92</x:f>
        <x:v>largest</x:v>
      </x:c>
      <x:c r="L92" s="8" t="str">
        <x:f>'Evaluation Plan'!L92</x:f>
        <x:v>Held-out largest × green block — Move</x:v>
      </x:c>
      <x:c r="M92" s="8" t="str">
        <x:f>'Evaluation Plan'!M92</x:f>
        <x:v>green block</x:v>
      </x:c>
      <x:c r="N92" s="8" t="str">
        <x:f>'Evaluation Plan'!N92</x:f>
        <x:v>Right</x:v>
      </x:c>
      <x:c r="O92" s="8" t="n">
        <x:f>'Evaluation Plan'!O92</x:f>
        <x:v>2</x:v>
      </x:c>
      <x:c r="P92" s="8" t="n">
        <x:f>IF(ISBLANK('Evaluation Plan'!P92),"",'Evaluation Plan'!P92)</x:f>
        <x:v>8</x:v>
      </x:c>
      <x:c r="Q92" s="8" t="str">
        <x:f>'Evaluation Plan'!Q92</x:f>
        <x:v>Build the listed two-object scene and save a first-frame filename.</x:v>
      </x:c>
      <x:c r="R92" s="9" t="str">
        <x:f>'Evaluation Plan'!R92</x:f>
        <x:v>Primary missing cell. Training episode 1095 contains the same target trajectory but masks the size word with a direct identity prompt.</x:v>
      </x:c>
      <x:c r="S92" s="9" t="str">
        <x:f>IF(ISBLANK('Evaluation Plan'!S92),"",'Evaluation Plan'!S92)</x:f>
      </x:c>
    </x:row>
    <x:row r="93" ht="67.5" customHeight="1">
      <x:c r="A93" s="8" t="s">
        <x:v>19</x:v>
      </x:c>
      <x:c r="B93" s="8" t="n">
        <x:f>'Evaluation Plan'!B93</x:f>
        <x:v>91</x:v>
      </x:c>
      <x:c r="C93" s="9" t="str">
        <x:f>'Evaluation Plan'!C93</x:f>
        <x:v>Pick up the smallest item and place it in the bowl.</x:v>
      </x:c>
      <x:c r="D93" s="9" t="str">
        <x:f>'Evaluation Plan'!D93</x:f>
        <x:v>Bowl: empty. Table, robot-left→robot-right: P1 juggling ball; P2 crushed Pepsi can. Adjacent centers 12 cm apart; row shifted 4 cm toward robot-right; all objects fully visible and grasp paths clear.</x:v>
      </x:c>
      <x:c r="E93" s="8" t="str">
        <x:f>IF(ISBLANK('Evaluation Plan'!E93),"",'Evaluation Plan'!E93)</x:f>
      </x:c>
      <x:c r="F93" s="8" t="str">
        <x:f>'Evaluation Plan'!F93</x:f>
        <x:v>1120</x:v>
      </x:c>
      <x:c r="G93" s="8" t="str">
        <x:f>'Evaluation Plan'!G93</x:f>
        <x:v>MOVE juggling ball to bowl</x:v>
      </x:c>
      <x:c r="H93" s="9"/>
      <x:c r="I93" s="8" t="str">
        <x:f>'Evaluation Plan'!I93</x:f>
        <x:v>Concept/compositional transfer</x:v>
      </x:c>
      <x:c r="J93" s="8" t="str">
        <x:f>'Evaluation Plan'!J93</x:f>
        <x:v>SZ-CT-SJ16</x:v>
      </x:c>
      <x:c r="K93" s="8" t="str">
        <x:f>'Evaluation Plan'!K93</x:f>
        <x:v>smallest</x:v>
      </x:c>
      <x:c r="L93" s="8" t="str">
        <x:f>'Evaluation Plan'!L93</x:f>
        <x:v>Held-out smallest × juggling ball — Pick up</x:v>
      </x:c>
      <x:c r="M93" s="8" t="str">
        <x:f>'Evaluation Plan'!M93</x:f>
        <x:v>juggling ball</x:v>
      </x:c>
      <x:c r="N93" s="8" t="str">
        <x:f>'Evaluation Plan'!N93</x:f>
        <x:v>Left</x:v>
      </x:c>
      <x:c r="O93" s="8" t="n">
        <x:f>'Evaluation Plan'!O93</x:f>
        <x:v>2</x:v>
      </x:c>
      <x:c r="P93" s="8" t="n">
        <x:f>IF(ISBLANK('Evaluation Plan'!P93),"",'Evaluation Plan'!P93)</x:f>
        <x:v>12</x:v>
      </x:c>
      <x:c r="Q93" s="8" t="str">
        <x:f>'Evaluation Plan'!Q93</x:f>
        <x:v>Build the listed two-object scene and save a first-frame filename.</x:v>
      </x:c>
      <x:c r="R93" s="9" t="str">
        <x:f>'Evaluation Plan'!R93</x:f>
        <x:v>Primary missing cell. Training episode 1120 contains the same target trajectory but masks the size word with a direct identity prompt.</x:v>
      </x:c>
      <x:c r="S93" s="9" t="str">
        <x:f>IF(ISBLANK('Evaluation Plan'!S93),"",'Evaluation Plan'!S93)</x:f>
      </x:c>
    </x:row>
    <x:row r="94" ht="67.5" customHeight="1">
      <x:c r="A94" s="8" t="s">
        <x:v>19</x:v>
      </x:c>
      <x:c r="B94" s="8" t="n">
        <x:f>'Evaluation Plan'!B94</x:f>
        <x:v>92</x:v>
      </x:c>
      <x:c r="C94" s="9" t="str">
        <x:f>'Evaluation Plan'!C94</x:f>
        <x:v>Pick up the largest item and place it in the bowl.</x:v>
      </x:c>
      <x:c r="D94" s="9" t="str">
        <x:f>'Evaluation Plan'!D94</x:f>
        <x:v>Bowl: empty. Table, robot-left→robot-right: P1 green block; P2 red pencil sharpener. Adjacent centers 12 cm apart; row shifted 4 cm toward robot-left; all objects fully visible and grasp paths clear.</x:v>
      </x:c>
      <x:c r="E94" s="8" t="str">
        <x:f>IF(ISBLANK('Evaluation Plan'!E94),"",'Evaluation Plan'!E94)</x:f>
      </x:c>
      <x:c r="F94" s="8" t="str">
        <x:f>'Evaluation Plan'!F94</x:f>
        <x:v>1096</x:v>
      </x:c>
      <x:c r="G94" s="8" t="str">
        <x:f>'Evaluation Plan'!G94</x:f>
        <x:v>MOVE green block to bowl</x:v>
      </x:c>
      <x:c r="H94" s="9"/>
      <x:c r="I94" s="8" t="str">
        <x:f>'Evaluation Plan'!I94</x:f>
        <x:v>Concept/compositional transfer</x:v>
      </x:c>
      <x:c r="J94" s="8" t="str">
        <x:f>'Evaluation Plan'!J94</x:f>
        <x:v>SZ-CT-LG17</x:v>
      </x:c>
      <x:c r="K94" s="8" t="str">
        <x:f>'Evaluation Plan'!K94</x:f>
        <x:v>largest</x:v>
      </x:c>
      <x:c r="L94" s="8" t="str">
        <x:f>'Evaluation Plan'!L94</x:f>
        <x:v>Held-out largest × green block — Pick up</x:v>
      </x:c>
      <x:c r="M94" s="8" t="str">
        <x:f>'Evaluation Plan'!M94</x:f>
        <x:v>green block</x:v>
      </x:c>
      <x:c r="N94" s="8" t="str">
        <x:f>'Evaluation Plan'!N94</x:f>
        <x:v>Left</x:v>
      </x:c>
      <x:c r="O94" s="8" t="n">
        <x:f>'Evaluation Plan'!O94</x:f>
        <x:v>2</x:v>
      </x:c>
      <x:c r="P94" s="8" t="n">
        <x:f>IF(ISBLANK('Evaluation Plan'!P94),"",'Evaluation Plan'!P94)</x:f>
        <x:v>12</x:v>
      </x:c>
      <x:c r="Q94" s="8" t="str">
        <x:f>'Evaluation Plan'!Q94</x:f>
        <x:v>Build the listed two-object scene and save a first-frame filename.</x:v>
      </x:c>
      <x:c r="R94" s="9" t="str">
        <x:f>'Evaluation Plan'!R94</x:f>
        <x:v>Primary missing cell. Training episode 1096 contains the same target trajectory but masks the size word with a direct identity prompt.</x:v>
      </x:c>
      <x:c r="S94" s="9" t="str">
        <x:f>IF(ISBLANK('Evaluation Plan'!S94),"",'Evaluation Plan'!S94)</x:f>
      </x:c>
    </x:row>
    <x:row r="95" ht="67.5" customHeight="1">
      <x:c r="A95" s="8" t="s">
        <x:v>19</x:v>
      </x:c>
      <x:c r="B95" s="8" t="n">
        <x:f>'Evaluation Plan'!B95</x:f>
        <x:v>93</x:v>
      </x:c>
      <x:c r="C95" s="9" t="str">
        <x:f>'Evaluation Plan'!C95</x:f>
        <x:v>Put the smallest object in the bowl.</x:v>
      </x:c>
      <x:c r="D95" s="9" t="str">
        <x:f>'Evaluation Plan'!D95</x:f>
        <x:v>Bowl: empty. Table, robot-left→robot-right: P1 crushed Pepsi can; P2 juggling ball. Adjacent centers 16 cm apart; row shifted 4 cm toward the robot; all objects fully visible and grasp paths clear.</x:v>
      </x:c>
      <x:c r="E95" s="8" t="str">
        <x:f>IF(ISBLANK('Evaluation Plan'!E95),"",'Evaluation Plan'!E95)</x:f>
      </x:c>
      <x:c r="F95" s="8" t="str">
        <x:f>'Evaluation Plan'!F95</x:f>
        <x:v>1121</x:v>
      </x:c>
      <x:c r="G95" s="8" t="str">
        <x:f>'Evaluation Plan'!G95</x:f>
        <x:v>MOVE juggling ball to bowl</x:v>
      </x:c>
      <x:c r="H95" s="9"/>
      <x:c r="I95" s="8" t="str">
        <x:f>'Evaluation Plan'!I95</x:f>
        <x:v>Concept/compositional transfer</x:v>
      </x:c>
      <x:c r="J95" s="8" t="str">
        <x:f>'Evaluation Plan'!J95</x:f>
        <x:v>SZ-CT-SJ17</x:v>
      </x:c>
      <x:c r="K95" s="8" t="str">
        <x:f>'Evaluation Plan'!K95</x:f>
        <x:v>smallest</x:v>
      </x:c>
      <x:c r="L95" s="8" t="str">
        <x:f>'Evaluation Plan'!L95</x:f>
        <x:v>Held-out smallest × juggling ball — Put</x:v>
      </x:c>
      <x:c r="M95" s="8" t="str">
        <x:f>'Evaluation Plan'!M95</x:f>
        <x:v>juggling ball</x:v>
      </x:c>
      <x:c r="N95" s="8" t="str">
        <x:f>'Evaluation Plan'!N95</x:f>
        <x:v>Right</x:v>
      </x:c>
      <x:c r="O95" s="8" t="n">
        <x:f>'Evaluation Plan'!O95</x:f>
        <x:v>2</x:v>
      </x:c>
      <x:c r="P95" s="8" t="n">
        <x:f>IF(ISBLANK('Evaluation Plan'!P95),"",'Evaluation Plan'!P95)</x:f>
        <x:v>16</x:v>
      </x:c>
      <x:c r="Q95" s="8" t="str">
        <x:f>'Evaluation Plan'!Q95</x:f>
        <x:v>Build the listed two-object scene and save a first-frame filename.</x:v>
      </x:c>
      <x:c r="R95" s="9" t="str">
        <x:f>'Evaluation Plan'!R95</x:f>
        <x:v>Primary missing cell. Training episode 1121 contains the same target trajectory but masks the size word with a direct identity prompt.</x:v>
      </x:c>
      <x:c r="S95" s="9" t="str">
        <x:f>IF(ISBLANK('Evaluation Plan'!S95),"",'Evaluation Plan'!S95)</x:f>
      </x:c>
    </x:row>
    <x:row r="96" ht="67.5" customHeight="1">
      <x:c r="A96" s="8" t="s">
        <x:v>19</x:v>
      </x:c>
      <x:c r="B96" s="8" t="n">
        <x:f>'Evaluation Plan'!B96</x:f>
        <x:v>94</x:v>
      </x:c>
      <x:c r="C96" s="9" t="str">
        <x:f>'Evaluation Plan'!C96</x:f>
        <x:v>Put the largest object in the bowl.</x:v>
      </x:c>
      <x:c r="D96" s="9" t="str">
        <x:f>'Evaluation Plan'!D96</x:f>
        <x:v>Bowl: empty. Table, robot-left→robot-right: P1 red pencil sharpener; P2 green block. Adjacent centers 16 cm apart; row shifted 4 cm toward robot-right; all objects fully visible and grasp paths clear.</x:v>
      </x:c>
      <x:c r="E96" s="8" t="str">
        <x:f>IF(ISBLANK('Evaluation Plan'!E96),"",'Evaluation Plan'!E96)</x:f>
      </x:c>
      <x:c r="F96" s="8" t="str">
        <x:f>'Evaluation Plan'!F96</x:f>
        <x:v>1097</x:v>
      </x:c>
      <x:c r="G96" s="8" t="str">
        <x:f>'Evaluation Plan'!G96</x:f>
        <x:v>MOVE green block to bowl</x:v>
      </x:c>
      <x:c r="H96" s="9"/>
      <x:c r="I96" s="8" t="str">
        <x:f>'Evaluation Plan'!I96</x:f>
        <x:v>Concept/compositional transfer</x:v>
      </x:c>
      <x:c r="J96" s="8" t="str">
        <x:f>'Evaluation Plan'!J96</x:f>
        <x:v>SZ-CT-LG18</x:v>
      </x:c>
      <x:c r="K96" s="8" t="str">
        <x:f>'Evaluation Plan'!K96</x:f>
        <x:v>largest</x:v>
      </x:c>
      <x:c r="L96" s="8" t="str">
        <x:f>'Evaluation Plan'!L96</x:f>
        <x:v>Held-out largest × green block — Put</x:v>
      </x:c>
      <x:c r="M96" s="8" t="str">
        <x:f>'Evaluation Plan'!M96</x:f>
        <x:v>green block</x:v>
      </x:c>
      <x:c r="N96" s="8" t="str">
        <x:f>'Evaluation Plan'!N96</x:f>
        <x:v>Right</x:v>
      </x:c>
      <x:c r="O96" s="8" t="n">
        <x:f>'Evaluation Plan'!O96</x:f>
        <x:v>2</x:v>
      </x:c>
      <x:c r="P96" s="8" t="n">
        <x:f>IF(ISBLANK('Evaluation Plan'!P96),"",'Evaluation Plan'!P96)</x:f>
        <x:v>16</x:v>
      </x:c>
      <x:c r="Q96" s="8" t="str">
        <x:f>'Evaluation Plan'!Q96</x:f>
        <x:v>Build the listed two-object scene and save a first-frame filename.</x:v>
      </x:c>
      <x:c r="R96" s="9" t="str">
        <x:f>'Evaluation Plan'!R96</x:f>
        <x:v>Primary missing cell. Training episode 1097 contains the same target trajectory but masks the size word with a direct identity prompt.</x:v>
      </x:c>
      <x:c r="S96" s="9" t="str">
        <x:f>IF(ISBLANK('Evaluation Plan'!S96),"",'Evaluation Plan'!S96)</x:f>
      </x:c>
    </x:row>
    <x:row r="97" ht="67.5" customHeight="1">
      <x:c r="A97" s="8" t="s">
        <x:v>19</x:v>
      </x:c>
      <x:c r="B97" s="8" t="n">
        <x:f>'Evaluation Plan'!B97</x:f>
        <x:v>95</x:v>
      </x:c>
      <x:c r="C97" s="9" t="str">
        <x:f>'Evaluation Plan'!C97</x:f>
        <x:v>Move the object that is smallest into the bowl.</x:v>
      </x:c>
      <x:c r="D97" s="9" t="str">
        <x:f>'Evaluation Plan'!D97</x:f>
        <x:v>Bowl: empty. Table, robot-left→robot-right: P1 juggling ball; P2 crushed Pepsi can. Adjacent centers 8 cm apart; row shifted 4 cm away from the robot; all objects fully visible and grasp paths clear.</x:v>
      </x:c>
      <x:c r="E97" s="8" t="str">
        <x:f>IF(ISBLANK('Evaluation Plan'!E97),"",'Evaluation Plan'!E97)</x:f>
      </x:c>
      <x:c r="F97" s="8" t="str">
        <x:f>'Evaluation Plan'!F97</x:f>
        <x:v>1122</x:v>
      </x:c>
      <x:c r="G97" s="8" t="str">
        <x:f>'Evaluation Plan'!G97</x:f>
        <x:v>MOVE juggling ball to bowl</x:v>
      </x:c>
      <x:c r="H97" s="9"/>
      <x:c r="I97" s="8" t="str">
        <x:f>'Evaluation Plan'!I97</x:f>
        <x:v>Concept/compositional transfer</x:v>
      </x:c>
      <x:c r="J97" s="8" t="str">
        <x:f>'Evaluation Plan'!J97</x:f>
        <x:v>SZ-CT-SJ18</x:v>
      </x:c>
      <x:c r="K97" s="8" t="str">
        <x:f>'Evaluation Plan'!K97</x:f>
        <x:v>smallest</x:v>
      </x:c>
      <x:c r="L97" s="8" t="str">
        <x:f>'Evaluation Plan'!L97</x:f>
        <x:v>Held-out smallest × juggling ball — Move</x:v>
      </x:c>
      <x:c r="M97" s="8" t="str">
        <x:f>'Evaluation Plan'!M97</x:f>
        <x:v>juggling ball</x:v>
      </x:c>
      <x:c r="N97" s="8" t="str">
        <x:f>'Evaluation Plan'!N97</x:f>
        <x:v>Left</x:v>
      </x:c>
      <x:c r="O97" s="8" t="n">
        <x:f>'Evaluation Plan'!O97</x:f>
        <x:v>2</x:v>
      </x:c>
      <x:c r="P97" s="8" t="n">
        <x:f>IF(ISBLANK('Evaluation Plan'!P97),"",'Evaluation Plan'!P97)</x:f>
        <x:v>8</x:v>
      </x:c>
      <x:c r="Q97" s="8" t="str">
        <x:f>'Evaluation Plan'!Q97</x:f>
        <x:v>Build the listed two-object scene and save a first-frame filename.</x:v>
      </x:c>
      <x:c r="R97" s="9" t="str">
        <x:f>'Evaluation Plan'!R97</x:f>
        <x:v>Primary missing cell. Training episode 1122 contains the same target trajectory but masks the size word with a direct identity prompt.</x:v>
      </x:c>
      <x:c r="S97" s="9" t="str">
        <x:f>IF(ISBLANK('Evaluation Plan'!S97),"",'Evaluation Plan'!S97)</x:f>
      </x:c>
    </x:row>
    <x:row r="98" ht="67.5" customHeight="1">
      <x:c r="A98" s="8" t="s">
        <x:v>19</x:v>
      </x:c>
      <x:c r="B98" s="8" t="n">
        <x:f>'Evaluation Plan'!B98</x:f>
        <x:v>96</x:v>
      </x:c>
      <x:c r="C98" s="9" t="str">
        <x:f>'Evaluation Plan'!C98</x:f>
        <x:v>Move the object that is largest into the bowl.</x:v>
      </x:c>
      <x:c r="D98" s="9" t="str">
        <x:f>'Evaluation Plan'!D98</x:f>
        <x:v>Bowl: empty. Table, robot-left→robot-right: P1 green block; P2 red pencil sharpener. Adjacent centers 8 cm apart; row shifted 4 cm toward the robot; all objects fully visible and grasp paths clear.</x:v>
      </x:c>
      <x:c r="E98" s="8" t="str">
        <x:f>IF(ISBLANK('Evaluation Plan'!E98),"",'Evaluation Plan'!E98)</x:f>
      </x:c>
      <x:c r="F98" s="8" t="str">
        <x:f>'Evaluation Plan'!F98</x:f>
        <x:v>1098</x:v>
      </x:c>
      <x:c r="G98" s="8" t="str">
        <x:f>'Evaluation Plan'!G98</x:f>
        <x:v>MOVE green block to bowl</x:v>
      </x:c>
      <x:c r="H98" s="9"/>
      <x:c r="I98" s="8" t="str">
        <x:f>'Evaluation Plan'!I98</x:f>
        <x:v>Concept/compositional transfer</x:v>
      </x:c>
      <x:c r="J98" s="8" t="str">
        <x:f>'Evaluation Plan'!J98</x:f>
        <x:v>SZ-CT-LG19</x:v>
      </x:c>
      <x:c r="K98" s="8" t="str">
        <x:f>'Evaluation Plan'!K98</x:f>
        <x:v>largest</x:v>
      </x:c>
      <x:c r="L98" s="8" t="str">
        <x:f>'Evaluation Plan'!L98</x:f>
        <x:v>Held-out largest × green block — Move</x:v>
      </x:c>
      <x:c r="M98" s="8" t="str">
        <x:f>'Evaluation Plan'!M98</x:f>
        <x:v>green block</x:v>
      </x:c>
      <x:c r="N98" s="8" t="str">
        <x:f>'Evaluation Plan'!N98</x:f>
        <x:v>Left</x:v>
      </x:c>
      <x:c r="O98" s="8" t="n">
        <x:f>'Evaluation Plan'!O98</x:f>
        <x:v>2</x:v>
      </x:c>
      <x:c r="P98" s="8" t="n">
        <x:f>IF(ISBLANK('Evaluation Plan'!P98),"",'Evaluation Plan'!P98)</x:f>
        <x:v>8</x:v>
      </x:c>
      <x:c r="Q98" s="8" t="str">
        <x:f>'Evaluation Plan'!Q98</x:f>
        <x:v>Build the listed two-object scene and save a first-frame filename.</x:v>
      </x:c>
      <x:c r="R98" s="9" t="str">
        <x:f>'Evaluation Plan'!R98</x:f>
        <x:v>Primary missing cell. Training episode 1098 contains the same target trajectory but masks the size word with a direct identity prompt.</x:v>
      </x:c>
      <x:c r="S98" s="9" t="str">
        <x:f>IF(ISBLANK('Evaluation Plan'!S98),"",'Evaluation Plan'!S98)</x:f>
      </x:c>
    </x:row>
    <x:row r="99" ht="67.5" customHeight="1">
      <x:c r="A99" s="8" t="s">
        <x:v>19</x:v>
      </x:c>
      <x:c r="B99" s="8" t="n">
        <x:f>'Evaluation Plan'!B99</x:f>
        <x:v>97</x:v>
      </x:c>
      <x:c r="C99" s="9" t="str">
        <x:f>'Evaluation Plan'!C99</x:f>
        <x:v>Pick up the smallest item and place it in the bowl.</x:v>
      </x:c>
      <x:c r="D99" s="9" t="str">
        <x:f>'Evaluation Plan'!D99</x:f>
        <x:v>Bowl: empty. Table, robot-left→robot-right: P1 crushed Pepsi can; P2 juggling ball. Adjacent centers 12 cm apart; row centered on the workspace; all objects fully visible and grasp paths clear.</x:v>
      </x:c>
      <x:c r="E99" s="8" t="str">
        <x:f>IF(ISBLANK('Evaluation Plan'!E99),"",'Evaluation Plan'!E99)</x:f>
      </x:c>
      <x:c r="F99" s="8" t="str">
        <x:f>'Evaluation Plan'!F99</x:f>
        <x:v>1123</x:v>
      </x:c>
      <x:c r="G99" s="8" t="str">
        <x:f>'Evaluation Plan'!G99</x:f>
        <x:v>MOVE juggling ball to bowl</x:v>
      </x:c>
      <x:c r="H99" s="9"/>
      <x:c r="I99" s="8" t="str">
        <x:f>'Evaluation Plan'!I99</x:f>
        <x:v>Concept/compositional transfer</x:v>
      </x:c>
      <x:c r="J99" s="8" t="str">
        <x:f>'Evaluation Plan'!J99</x:f>
        <x:v>SZ-CT-SJ19</x:v>
      </x:c>
      <x:c r="K99" s="8" t="str">
        <x:f>'Evaluation Plan'!K99</x:f>
        <x:v>smallest</x:v>
      </x:c>
      <x:c r="L99" s="8" t="str">
        <x:f>'Evaluation Plan'!L99</x:f>
        <x:v>Held-out smallest × juggling ball — Pick up</x:v>
      </x:c>
      <x:c r="M99" s="8" t="str">
        <x:f>'Evaluation Plan'!M99</x:f>
        <x:v>juggling ball</x:v>
      </x:c>
      <x:c r="N99" s="8" t="str">
        <x:f>'Evaluation Plan'!N99</x:f>
        <x:v>Right</x:v>
      </x:c>
      <x:c r="O99" s="8" t="n">
        <x:f>'Evaluation Plan'!O99</x:f>
        <x:v>2</x:v>
      </x:c>
      <x:c r="P99" s="8" t="n">
        <x:f>IF(ISBLANK('Evaluation Plan'!P99),"",'Evaluation Plan'!P99)</x:f>
        <x:v>12</x:v>
      </x:c>
      <x:c r="Q99" s="8" t="str">
        <x:f>'Evaluation Plan'!Q99</x:f>
        <x:v>Build the listed two-object scene and save a first-frame filename.</x:v>
      </x:c>
      <x:c r="R99" s="9" t="str">
        <x:f>'Evaluation Plan'!R99</x:f>
        <x:v>Primary missing cell. Training episode 1123 contains the same target trajectory but masks the size word with a direct identity prompt.</x:v>
      </x:c>
      <x:c r="S99" s="9" t="str">
        <x:f>IF(ISBLANK('Evaluation Plan'!S99),"",'Evaluation Plan'!S99)</x:f>
      </x:c>
    </x:row>
    <x:row r="100" ht="67.5" customHeight="1">
      <x:c r="A100" s="8" t="s">
        <x:v>19</x:v>
      </x:c>
      <x:c r="B100" s="8" t="n">
        <x:f>'Evaluation Plan'!B100</x:f>
        <x:v>98</x:v>
      </x:c>
      <x:c r="C100" s="9" t="str">
        <x:f>'Evaluation Plan'!C100</x:f>
        <x:v>Pick up the largest item and place it in the bowl.</x:v>
      </x:c>
      <x:c r="D100" s="9" t="str">
        <x:f>'Evaluation Plan'!D100</x:f>
        <x:v>Bowl: empty. Table, robot-left→robot-right: P1 red pencil sharpener; P2 green block. Adjacent centers 12 cm apart; row shifted 4 cm away from the robot; all objects fully visible and grasp paths clear.</x:v>
      </x:c>
      <x:c r="E100" s="8" t="str">
        <x:f>IF(ISBLANK('Evaluation Plan'!E100),"",'Evaluation Plan'!E100)</x:f>
      </x:c>
      <x:c r="F100" s="8" t="str">
        <x:f>'Evaluation Plan'!F100</x:f>
        <x:v>1099</x:v>
      </x:c>
      <x:c r="G100" s="8" t="str">
        <x:f>'Evaluation Plan'!G100</x:f>
        <x:v>MOVE green block to bowl</x:v>
      </x:c>
      <x:c r="H100" s="9"/>
      <x:c r="I100" s="8" t="str">
        <x:f>'Evaluation Plan'!I100</x:f>
        <x:v>Concept/compositional transfer</x:v>
      </x:c>
      <x:c r="J100" s="8" t="str">
        <x:f>'Evaluation Plan'!J100</x:f>
        <x:v>SZ-CT-LG20</x:v>
      </x:c>
      <x:c r="K100" s="8" t="str">
        <x:f>'Evaluation Plan'!K100</x:f>
        <x:v>largest</x:v>
      </x:c>
      <x:c r="L100" s="8" t="str">
        <x:f>'Evaluation Plan'!L100</x:f>
        <x:v>Held-out largest × green block — Pick up</x:v>
      </x:c>
      <x:c r="M100" s="8" t="str">
        <x:f>'Evaluation Plan'!M100</x:f>
        <x:v>green block</x:v>
      </x:c>
      <x:c r="N100" s="8" t="str">
        <x:f>'Evaluation Plan'!N100</x:f>
        <x:v>Right</x:v>
      </x:c>
      <x:c r="O100" s="8" t="n">
        <x:f>'Evaluation Plan'!O100</x:f>
        <x:v>2</x:v>
      </x:c>
      <x:c r="P100" s="8" t="n">
        <x:f>IF(ISBLANK('Evaluation Plan'!P100),"",'Evaluation Plan'!P100)</x:f>
        <x:v>12</x:v>
      </x:c>
      <x:c r="Q100" s="8" t="str">
        <x:f>'Evaluation Plan'!Q100</x:f>
        <x:v>Build the listed two-object scene and save a first-frame filename.</x:v>
      </x:c>
      <x:c r="R100" s="9" t="str">
        <x:f>'Evaluation Plan'!R100</x:f>
        <x:v>Primary missing cell. Training episode 1099 contains the same target trajectory but masks the size word with a direct identity prompt.</x:v>
      </x:c>
      <x:c r="S100" s="9" t="str">
        <x:f>IF(ISBLANK('Evaluation Plan'!S100),"",'Evaluation Plan'!S100)</x:f>
      </x:c>
    </x:row>
    <x:row r="101" ht="67.5" customHeight="1">
      <x:c r="A101" s="8" t="s">
        <x:v>19</x:v>
      </x:c>
      <x:c r="B101" s="8" t="n">
        <x:f>'Evaluation Plan'!B101</x:f>
        <x:v>99</x:v>
      </x:c>
      <x:c r="C101" s="9" t="str">
        <x:f>'Evaluation Plan'!C101</x:f>
        <x:v>Put the smallest object in the bowl.</x:v>
      </x:c>
      <x:c r="D101" s="9" t="str">
        <x:f>'Evaluation Plan'!D101</x:f>
        <x:v>Bowl: empty. Table, robot-left→robot-right: P1 juggling ball; P2 crushed Pepsi can. Adjacent centers 16 cm apart; row shifted 4 cm toward robot-left; all objects fully visible and grasp paths clear.</x:v>
      </x:c>
      <x:c r="E101" s="8" t="str">
        <x:f>IF(ISBLANK('Evaluation Plan'!E101),"",'Evaluation Plan'!E101)</x:f>
      </x:c>
      <x:c r="F101" s="8" t="str">
        <x:f>'Evaluation Plan'!F101</x:f>
        <x:v>1124</x:v>
      </x:c>
      <x:c r="G101" s="8" t="str">
        <x:f>'Evaluation Plan'!G101</x:f>
        <x:v>MOVE juggling ball to bowl</x:v>
      </x:c>
      <x:c r="H101" s="9"/>
      <x:c r="I101" s="8" t="str">
        <x:f>'Evaluation Plan'!I101</x:f>
        <x:v>Concept/compositional transfer</x:v>
      </x:c>
      <x:c r="J101" s="8" t="str">
        <x:f>'Evaluation Plan'!J101</x:f>
        <x:v>SZ-CT-SJ20</x:v>
      </x:c>
      <x:c r="K101" s="8" t="str">
        <x:f>'Evaluation Plan'!K101</x:f>
        <x:v>smallest</x:v>
      </x:c>
      <x:c r="L101" s="8" t="str">
        <x:f>'Evaluation Plan'!L101</x:f>
        <x:v>Held-out smallest × juggling ball — Put</x:v>
      </x:c>
      <x:c r="M101" s="8" t="str">
        <x:f>'Evaluation Plan'!M101</x:f>
        <x:v>juggling ball</x:v>
      </x:c>
      <x:c r="N101" s="8" t="str">
        <x:f>'Evaluation Plan'!N101</x:f>
        <x:v>Left</x:v>
      </x:c>
      <x:c r="O101" s="8" t="n">
        <x:f>'Evaluation Plan'!O101</x:f>
        <x:v>2</x:v>
      </x:c>
      <x:c r="P101" s="8" t="n">
        <x:f>IF(ISBLANK('Evaluation Plan'!P101),"",'Evaluation Plan'!P101)</x:f>
        <x:v>16</x:v>
      </x:c>
      <x:c r="Q101" s="8" t="str">
        <x:f>'Evaluation Plan'!Q101</x:f>
        <x:v>Build the listed two-object scene and save a first-frame filename.</x:v>
      </x:c>
      <x:c r="R101" s="9" t="str">
        <x:f>'Evaluation Plan'!R101</x:f>
        <x:v>Primary missing cell. Training episode 1124 contains the same target trajectory but masks the size word with a direct identity prompt.</x:v>
      </x:c>
      <x:c r="S101" s="9" t="str">
        <x:f>IF(ISBLANK('Evaluation Plan'!S101),"",'Evaluation Plan'!S101)</x:f>
      </x:c>
    </x:row>
    <x:row r="102" ht="67.5" customHeight="1">
      <x:c r="A102" s="8" t="s">
        <x:v>19</x:v>
      </x:c>
      <x:c r="B102" s="8" t="n">
        <x:f>'Evaluation Plan'!B102</x:f>
        <x:v>100</x:v>
      </x:c>
      <x:c r="C102" s="9" t="str">
        <x:f>'Evaluation Plan'!C102</x:f>
        <x:v>Put the largest object in the bowl.</x:v>
      </x:c>
      <x:c r="D102" s="9" t="str">
        <x:f>'Evaluation Plan'!D102</x:f>
        <x:v>Bowl: empty. Table, robot-left→robot-right: P1 green block; P2 red pencil sharpener. Adjacent centers 16 cm apart; row centered on the workspace; all objects fully visible and grasp paths clear.</x:v>
      </x:c>
      <x:c r="E102" s="8" t="str">
        <x:f>IF(ISBLANK('Evaluation Plan'!E102),"",'Evaluation Plan'!E102)</x:f>
      </x:c>
      <x:c r="F102" s="8" t="str">
        <x:f>'Evaluation Plan'!F102</x:f>
        <x:v>1080</x:v>
      </x:c>
      <x:c r="G102" s="8" t="str">
        <x:f>'Evaluation Plan'!G102</x:f>
        <x:v>MOVE green block to bowl</x:v>
      </x:c>
      <x:c r="H102" s="9"/>
      <x:c r="I102" s="8" t="str">
        <x:f>'Evaluation Plan'!I102</x:f>
        <x:v>Concept/compositional transfer</x:v>
      </x:c>
      <x:c r="J102" s="8" t="str">
        <x:f>'Evaluation Plan'!J102</x:f>
        <x:v>SZ-CT-LG21</x:v>
      </x:c>
      <x:c r="K102" s="8" t="str">
        <x:f>'Evaluation Plan'!K102</x:f>
        <x:v>largest</x:v>
      </x:c>
      <x:c r="L102" s="8" t="str">
        <x:f>'Evaluation Plan'!L102</x:f>
        <x:v>Held-out largest × green block — Put</x:v>
      </x:c>
      <x:c r="M102" s="8" t="str">
        <x:f>'Evaluation Plan'!M102</x:f>
        <x:v>green block</x:v>
      </x:c>
      <x:c r="N102" s="8" t="str">
        <x:f>'Evaluation Plan'!N102</x:f>
        <x:v>Left</x:v>
      </x:c>
      <x:c r="O102" s="8" t="n">
        <x:f>'Evaluation Plan'!O102</x:f>
        <x:v>2</x:v>
      </x:c>
      <x:c r="P102" s="8" t="n">
        <x:f>IF(ISBLANK('Evaluation Plan'!P102),"",'Evaluation Plan'!P102)</x:f>
        <x:v>16</x:v>
      </x:c>
      <x:c r="Q102" s="8" t="str">
        <x:f>'Evaluation Plan'!Q102</x:f>
        <x:v>Build the listed two-object scene and save a first-frame filename.</x:v>
      </x:c>
      <x:c r="R102" s="9" t="str">
        <x:f>'Evaluation Plan'!R102</x:f>
        <x:v>Primary missing cell. Training episode 1080 contains the same target trajectory but masks the size word with a direct identity prompt.</x:v>
      </x:c>
      <x:c r="S102" s="9" t="str">
        <x:f>IF(ISBLANK('Evaluation Plan'!S102),"",'Evaluation Plan'!S102)</x:f>
      </x:c>
    </x:row>
    <x:row r="103" ht="67.5" customHeight="1">
      <x:c r="A103" s="8" t="s">
        <x:v>19</x:v>
      </x:c>
      <x:c r="B103" s="8" t="n">
        <x:f>'Evaluation Plan'!B103</x:f>
        <x:v>101</x:v>
      </x:c>
      <x:c r="C103" s="9" t="str">
        <x:f>'Evaluation Plan'!C103</x:f>
        <x:v>Move the object that is smallest into the bowl.</x:v>
      </x:c>
      <x:c r="D103" s="9" t="str">
        <x:f>'Evaluation Plan'!D103</x:f>
        <x:v>Bowl: empty. Table, robot-left→robot-right: P1 crushed Pepsi can; P2 juggling ball. Adjacent centers 8 cm apart; row shifted 4 cm toward robot-right; all objects fully visible and grasp paths clear.</x:v>
      </x:c>
      <x:c r="E103" s="8" t="str">
        <x:f>IF(ISBLANK('Evaluation Plan'!E103),"",'Evaluation Plan'!E103)</x:f>
      </x:c>
      <x:c r="F103" s="8" t="str">
        <x:f>'Evaluation Plan'!F103</x:f>
        <x:v>1105</x:v>
      </x:c>
      <x:c r="G103" s="8" t="str">
        <x:f>'Evaluation Plan'!G103</x:f>
        <x:v>MOVE juggling ball to bowl</x:v>
      </x:c>
      <x:c r="H103" s="9"/>
      <x:c r="I103" s="8" t="str">
        <x:f>'Evaluation Plan'!I103</x:f>
        <x:v>Concept/compositional transfer</x:v>
      </x:c>
      <x:c r="J103" s="8" t="str">
        <x:f>'Evaluation Plan'!J103</x:f>
        <x:v>SZ-CT-SJ21</x:v>
      </x:c>
      <x:c r="K103" s="8" t="str">
        <x:f>'Evaluation Plan'!K103</x:f>
        <x:v>smallest</x:v>
      </x:c>
      <x:c r="L103" s="8" t="str">
        <x:f>'Evaluation Plan'!L103</x:f>
        <x:v>Held-out smallest × juggling ball — Move</x:v>
      </x:c>
      <x:c r="M103" s="8" t="str">
        <x:f>'Evaluation Plan'!M103</x:f>
        <x:v>juggling ball</x:v>
      </x:c>
      <x:c r="N103" s="8" t="str">
        <x:f>'Evaluation Plan'!N103</x:f>
        <x:v>Right</x:v>
      </x:c>
      <x:c r="O103" s="8" t="n">
        <x:f>'Evaluation Plan'!O103</x:f>
        <x:v>2</x:v>
      </x:c>
      <x:c r="P103" s="8" t="n">
        <x:f>IF(ISBLANK('Evaluation Plan'!P103),"",'Evaluation Plan'!P103)</x:f>
        <x:v>8</x:v>
      </x:c>
      <x:c r="Q103" s="8" t="str">
        <x:f>'Evaluation Plan'!Q103</x:f>
        <x:v>Build the listed two-object scene and save a first-frame filename.</x:v>
      </x:c>
      <x:c r="R103" s="9" t="str">
        <x:f>'Evaluation Plan'!R103</x:f>
        <x:v>Primary missing cell. Training episode 1105 contains the same target trajectory but masks the size word with a direct identity prompt.</x:v>
      </x:c>
      <x:c r="S103" s="9" t="str">
        <x:f>IF(ISBLANK('Evaluation Plan'!S103),"",'Evaluation Plan'!S103)</x:f>
      </x:c>
    </x:row>
    <x:row r="104" ht="67.5" customHeight="1">
      <x:c r="A104" s="8" t="s">
        <x:v>19</x:v>
      </x:c>
      <x:c r="B104" s="8" t="n">
        <x:f>'Evaluation Plan'!B104</x:f>
        <x:v>102</x:v>
      </x:c>
      <x:c r="C104" s="9" t="str">
        <x:f>'Evaluation Plan'!C104</x:f>
        <x:v>Move the object that is largest into the bowl.</x:v>
      </x:c>
      <x:c r="D104" s="9" t="str">
        <x:f>'Evaluation Plan'!D104</x:f>
        <x:v>Bowl: empty. Table, robot-left→robot-right: P1 red pencil sharpener; P2 green block. Adjacent centers 8 cm apart; row shifted 4 cm toward robot-left; all objects fully visible and grasp paths clear.</x:v>
      </x:c>
      <x:c r="E104" s="8" t="str">
        <x:f>IF(ISBLANK('Evaluation Plan'!E104),"",'Evaluation Plan'!E104)</x:f>
      </x:c>
      <x:c r="F104" s="8" t="str">
        <x:f>'Evaluation Plan'!F104</x:f>
        <x:v>1081</x:v>
      </x:c>
      <x:c r="G104" s="8" t="str">
        <x:f>'Evaluation Plan'!G104</x:f>
        <x:v>MOVE green block to bowl</x:v>
      </x:c>
      <x:c r="H104" s="9"/>
      <x:c r="I104" s="8" t="str">
        <x:f>'Evaluation Plan'!I104</x:f>
        <x:v>Concept/compositional transfer</x:v>
      </x:c>
      <x:c r="J104" s="8" t="str">
        <x:f>'Evaluation Plan'!J104</x:f>
        <x:v>SZ-CT-LG22</x:v>
      </x:c>
      <x:c r="K104" s="8" t="str">
        <x:f>'Evaluation Plan'!K104</x:f>
        <x:v>largest</x:v>
      </x:c>
      <x:c r="L104" s="8" t="str">
        <x:f>'Evaluation Plan'!L104</x:f>
        <x:v>Held-out largest × green block — Move</x:v>
      </x:c>
      <x:c r="M104" s="8" t="str">
        <x:f>'Evaluation Plan'!M104</x:f>
        <x:v>green block</x:v>
      </x:c>
      <x:c r="N104" s="8" t="str">
        <x:f>'Evaluation Plan'!N104</x:f>
        <x:v>Right</x:v>
      </x:c>
      <x:c r="O104" s="8" t="n">
        <x:f>'Evaluation Plan'!O104</x:f>
        <x:v>2</x:v>
      </x:c>
      <x:c r="P104" s="8" t="n">
        <x:f>IF(ISBLANK('Evaluation Plan'!P104),"",'Evaluation Plan'!P104)</x:f>
        <x:v>8</x:v>
      </x:c>
      <x:c r="Q104" s="8" t="str">
        <x:f>'Evaluation Plan'!Q104</x:f>
        <x:v>Build the listed two-object scene and save a first-frame filename.</x:v>
      </x:c>
      <x:c r="R104" s="9" t="str">
        <x:f>'Evaluation Plan'!R104</x:f>
        <x:v>Primary missing cell. Training episode 1081 contains the same target trajectory but masks the size word with a direct identity prompt.</x:v>
      </x:c>
      <x:c r="S104" s="9" t="str">
        <x:f>IF(ISBLANK('Evaluation Plan'!S104),"",'Evaluation Plan'!S104)</x:f>
      </x:c>
    </x:row>
    <x:row r="105" ht="67.5" customHeight="1">
      <x:c r="A105" s="8" t="s">
        <x:v>19</x:v>
      </x:c>
      <x:c r="B105" s="8" t="n">
        <x:f>'Evaluation Plan'!B105</x:f>
        <x:v>103</x:v>
      </x:c>
      <x:c r="C105" s="9" t="str">
        <x:f>'Evaluation Plan'!C105</x:f>
        <x:v>Pick up the smallest item and place it in the bowl.</x:v>
      </x:c>
      <x:c r="D105" s="9" t="str">
        <x:f>'Evaluation Plan'!D105</x:f>
        <x:v>Bowl: empty. Table, robot-left→robot-right: P1 juggling ball; P2 crushed Pepsi can. Adjacent centers 12 cm apart; row shifted 4 cm toward the robot; all objects fully visible and grasp paths clear.</x:v>
      </x:c>
      <x:c r="E105" s="8" t="str">
        <x:f>IF(ISBLANK('Evaluation Plan'!E105),"",'Evaluation Plan'!E105)</x:f>
      </x:c>
      <x:c r="F105" s="8" t="str">
        <x:f>'Evaluation Plan'!F105</x:f>
        <x:v>1106</x:v>
      </x:c>
      <x:c r="G105" s="8" t="str">
        <x:f>'Evaluation Plan'!G105</x:f>
        <x:v>MOVE juggling ball to bowl</x:v>
      </x:c>
      <x:c r="H105" s="9"/>
      <x:c r="I105" s="8" t="str">
        <x:f>'Evaluation Plan'!I105</x:f>
        <x:v>Concept/compositional transfer</x:v>
      </x:c>
      <x:c r="J105" s="8" t="str">
        <x:f>'Evaluation Plan'!J105</x:f>
        <x:v>SZ-CT-SJ22</x:v>
      </x:c>
      <x:c r="K105" s="8" t="str">
        <x:f>'Evaluation Plan'!K105</x:f>
        <x:v>smallest</x:v>
      </x:c>
      <x:c r="L105" s="8" t="str">
        <x:f>'Evaluation Plan'!L105</x:f>
        <x:v>Held-out smallest × juggling ball — Pick up</x:v>
      </x:c>
      <x:c r="M105" s="8" t="str">
        <x:f>'Evaluation Plan'!M105</x:f>
        <x:v>juggling ball</x:v>
      </x:c>
      <x:c r="N105" s="8" t="str">
        <x:f>'Evaluation Plan'!N105</x:f>
        <x:v>Left</x:v>
      </x:c>
      <x:c r="O105" s="8" t="n">
        <x:f>'Evaluation Plan'!O105</x:f>
        <x:v>2</x:v>
      </x:c>
      <x:c r="P105" s="8" t="n">
        <x:f>IF(ISBLANK('Evaluation Plan'!P105),"",'Evaluation Plan'!P105)</x:f>
        <x:v>12</x:v>
      </x:c>
      <x:c r="Q105" s="8" t="str">
        <x:f>'Evaluation Plan'!Q105</x:f>
        <x:v>Build the listed two-object scene and save a first-frame filename.</x:v>
      </x:c>
      <x:c r="R105" s="9" t="str">
        <x:f>'Evaluation Plan'!R105</x:f>
        <x:v>Primary missing cell. Training episode 1106 contains the same target trajectory but masks the size word with a direct identity prompt.</x:v>
      </x:c>
      <x:c r="S105" s="9" t="str">
        <x:f>IF(ISBLANK('Evaluation Plan'!S105),"",'Evaluation Plan'!S105)</x:f>
      </x:c>
    </x:row>
    <x:row r="106" ht="67.5" customHeight="1">
      <x:c r="A106" s="8" t="s">
        <x:v>19</x:v>
      </x:c>
      <x:c r="B106" s="8" t="n">
        <x:f>'Evaluation Plan'!B106</x:f>
        <x:v>104</x:v>
      </x:c>
      <x:c r="C106" s="9" t="str">
        <x:f>'Evaluation Plan'!C106</x:f>
        <x:v>Pick up the largest item and place it in the bowl.</x:v>
      </x:c>
      <x:c r="D106" s="9" t="str">
        <x:f>'Evaluation Plan'!D106</x:f>
        <x:v>Bowl: empty. Table, robot-left→robot-right: P1 green block; P2 red pencil sharpener. Adjacent centers 12 cm apart; row shifted 4 cm toward robot-right; all objects fully visible and grasp paths clear.</x:v>
      </x:c>
      <x:c r="E106" s="8" t="str">
        <x:f>IF(ISBLANK('Evaluation Plan'!E106),"",'Evaluation Plan'!E106)</x:f>
      </x:c>
      <x:c r="F106" s="8" t="str">
        <x:f>'Evaluation Plan'!F106</x:f>
        <x:v>1082</x:v>
      </x:c>
      <x:c r="G106" s="8" t="str">
        <x:f>'Evaluation Plan'!G106</x:f>
        <x:v>MOVE green block to bowl</x:v>
      </x:c>
      <x:c r="H106" s="9"/>
      <x:c r="I106" s="8" t="str">
        <x:f>'Evaluation Plan'!I106</x:f>
        <x:v>Concept/compositional transfer</x:v>
      </x:c>
      <x:c r="J106" s="8" t="str">
        <x:f>'Evaluation Plan'!J106</x:f>
        <x:v>SZ-CT-LG23</x:v>
      </x:c>
      <x:c r="K106" s="8" t="str">
        <x:f>'Evaluation Plan'!K106</x:f>
        <x:v>largest</x:v>
      </x:c>
      <x:c r="L106" s="8" t="str">
        <x:f>'Evaluation Plan'!L106</x:f>
        <x:v>Held-out largest × green block — Pick up</x:v>
      </x:c>
      <x:c r="M106" s="8" t="str">
        <x:f>'Evaluation Plan'!M106</x:f>
        <x:v>green block</x:v>
      </x:c>
      <x:c r="N106" s="8" t="str">
        <x:f>'Evaluation Plan'!N106</x:f>
        <x:v>Left</x:v>
      </x:c>
      <x:c r="O106" s="8" t="n">
        <x:f>'Evaluation Plan'!O106</x:f>
        <x:v>2</x:v>
      </x:c>
      <x:c r="P106" s="8" t="n">
        <x:f>IF(ISBLANK('Evaluation Plan'!P106),"",'Evaluation Plan'!P106)</x:f>
        <x:v>12</x:v>
      </x:c>
      <x:c r="Q106" s="8" t="str">
        <x:f>'Evaluation Plan'!Q106</x:f>
        <x:v>Build the listed two-object scene and save a first-frame filename.</x:v>
      </x:c>
      <x:c r="R106" s="9" t="str">
        <x:f>'Evaluation Plan'!R106</x:f>
        <x:v>Primary missing cell. Training episode 1082 contains the same target trajectory but masks the size word with a direct identity prompt.</x:v>
      </x:c>
      <x:c r="S106" s="9" t="str">
        <x:f>IF(ISBLANK('Evaluation Plan'!S106),"",'Evaluation Plan'!S106)</x:f>
      </x:c>
    </x:row>
    <x:row r="107" ht="67.5" customHeight="1">
      <x:c r="A107" s="8" t="s">
        <x:v>19</x:v>
      </x:c>
      <x:c r="B107" s="8" t="n">
        <x:f>'Evaluation Plan'!B107</x:f>
        <x:v>105</x:v>
      </x:c>
      <x:c r="C107" s="9" t="str">
        <x:f>'Evaluation Plan'!C107</x:f>
        <x:v>Put the smallest object in the bowl.</x:v>
      </x:c>
      <x:c r="D107" s="9" t="str">
        <x:f>'Evaluation Plan'!D107</x:f>
        <x:v>Bowl: empty. Table, robot-left→robot-right: P1 crushed Pepsi can; P2 juggling ball. Adjacent centers 16 cm apart; row shifted 4 cm away from the robot; all objects fully visible and grasp paths clear.</x:v>
      </x:c>
      <x:c r="E107" s="8" t="str">
        <x:f>IF(ISBLANK('Evaluation Plan'!E107),"",'Evaluation Plan'!E107)</x:f>
      </x:c>
      <x:c r="F107" s="8" t="str">
        <x:f>'Evaluation Plan'!F107</x:f>
        <x:v>1107</x:v>
      </x:c>
      <x:c r="G107" s="8" t="str">
        <x:f>'Evaluation Plan'!G107</x:f>
        <x:v>MOVE juggling ball to bowl</x:v>
      </x:c>
      <x:c r="H107" s="9"/>
      <x:c r="I107" s="8" t="str">
        <x:f>'Evaluation Plan'!I107</x:f>
        <x:v>Concept/compositional transfer</x:v>
      </x:c>
      <x:c r="J107" s="8" t="str">
        <x:f>'Evaluation Plan'!J107</x:f>
        <x:v>SZ-CT-SJ23</x:v>
      </x:c>
      <x:c r="K107" s="8" t="str">
        <x:f>'Evaluation Plan'!K107</x:f>
        <x:v>smallest</x:v>
      </x:c>
      <x:c r="L107" s="8" t="str">
        <x:f>'Evaluation Plan'!L107</x:f>
        <x:v>Held-out smallest × juggling ball — Put</x:v>
      </x:c>
      <x:c r="M107" s="8" t="str">
        <x:f>'Evaluation Plan'!M107</x:f>
        <x:v>juggling ball</x:v>
      </x:c>
      <x:c r="N107" s="8" t="str">
        <x:f>'Evaluation Plan'!N107</x:f>
        <x:v>Right</x:v>
      </x:c>
      <x:c r="O107" s="8" t="n">
        <x:f>'Evaluation Plan'!O107</x:f>
        <x:v>2</x:v>
      </x:c>
      <x:c r="P107" s="8" t="n">
        <x:f>IF(ISBLANK('Evaluation Plan'!P107),"",'Evaluation Plan'!P107)</x:f>
        <x:v>16</x:v>
      </x:c>
      <x:c r="Q107" s="8" t="str">
        <x:f>'Evaluation Plan'!Q107</x:f>
        <x:v>Build the listed two-object scene and save a first-frame filename.</x:v>
      </x:c>
      <x:c r="R107" s="9" t="str">
        <x:f>'Evaluation Plan'!R107</x:f>
        <x:v>Primary missing cell. Training episode 1107 contains the same target trajectory but masks the size word with a direct identity prompt.</x:v>
      </x:c>
      <x:c r="S107" s="9" t="str">
        <x:f>IF(ISBLANK('Evaluation Plan'!S107),"",'Evaluation Plan'!S107)</x:f>
      </x:c>
    </x:row>
    <x:row r="108" ht="67.5" customHeight="1">
      <x:c r="A108" s="8" t="s">
        <x:v>19</x:v>
      </x:c>
      <x:c r="B108" s="8" t="n">
        <x:f>'Evaluation Plan'!B108</x:f>
        <x:v>106</x:v>
      </x:c>
      <x:c r="C108" s="9" t="str">
        <x:f>'Evaluation Plan'!C108</x:f>
        <x:v>Put the largest object in the bowl.</x:v>
      </x:c>
      <x:c r="D108" s="9" t="str">
        <x:f>'Evaluation Plan'!D108</x:f>
        <x:v>Bowl: empty. Table, robot-left→robot-right: P1 red pencil sharpener; P2 green block. Adjacent centers 16 cm apart; row shifted 4 cm toward the robot; all objects fully visible and grasp paths clear.</x:v>
      </x:c>
      <x:c r="E108" s="8" t="str">
        <x:f>IF(ISBLANK('Evaluation Plan'!E108),"",'Evaluation Plan'!E108)</x:f>
      </x:c>
      <x:c r="F108" s="8" t="str">
        <x:f>'Evaluation Plan'!F108</x:f>
        <x:v>1083</x:v>
      </x:c>
      <x:c r="G108" s="8" t="str">
        <x:f>'Evaluation Plan'!G108</x:f>
        <x:v>MOVE green block to bowl</x:v>
      </x:c>
      <x:c r="H108" s="9"/>
      <x:c r="I108" s="8" t="str">
        <x:f>'Evaluation Plan'!I108</x:f>
        <x:v>Concept/compositional transfer</x:v>
      </x:c>
      <x:c r="J108" s="8" t="str">
        <x:f>'Evaluation Plan'!J108</x:f>
        <x:v>SZ-CT-LG24</x:v>
      </x:c>
      <x:c r="K108" s="8" t="str">
        <x:f>'Evaluation Plan'!K108</x:f>
        <x:v>largest</x:v>
      </x:c>
      <x:c r="L108" s="8" t="str">
        <x:f>'Evaluation Plan'!L108</x:f>
        <x:v>Held-out largest × green block — Put</x:v>
      </x:c>
      <x:c r="M108" s="8" t="str">
        <x:f>'Evaluation Plan'!M108</x:f>
        <x:v>green block</x:v>
      </x:c>
      <x:c r="N108" s="8" t="str">
        <x:f>'Evaluation Plan'!N108</x:f>
        <x:v>Right</x:v>
      </x:c>
      <x:c r="O108" s="8" t="n">
        <x:f>'Evaluation Plan'!O108</x:f>
        <x:v>2</x:v>
      </x:c>
      <x:c r="P108" s="8" t="n">
        <x:f>IF(ISBLANK('Evaluation Plan'!P108),"",'Evaluation Plan'!P108)</x:f>
        <x:v>16</x:v>
      </x:c>
      <x:c r="Q108" s="8" t="str">
        <x:f>'Evaluation Plan'!Q108</x:f>
        <x:v>Build the listed two-object scene and save a first-frame filename.</x:v>
      </x:c>
      <x:c r="R108" s="9" t="str">
        <x:f>'Evaluation Plan'!R108</x:f>
        <x:v>Primary missing cell. Training episode 1083 contains the same target trajectory but masks the size word with a direct identity prompt.</x:v>
      </x:c>
      <x:c r="S108" s="9" t="str">
        <x:f>IF(ISBLANK('Evaluation Plan'!S108),"",'Evaluation Plan'!S108)</x:f>
      </x:c>
    </x:row>
    <x:row r="109" ht="67.5" customHeight="1">
      <x:c r="A109" s="8" t="s">
        <x:v>19</x:v>
      </x:c>
      <x:c r="B109" s="8" t="n">
        <x:f>'Evaluation Plan'!B109</x:f>
        <x:v>107</x:v>
      </x:c>
      <x:c r="C109" s="9" t="str">
        <x:f>'Evaluation Plan'!C109</x:f>
        <x:v>Move the object that is smallest into the bowl.</x:v>
      </x:c>
      <x:c r="D109" s="9" t="str">
        <x:f>'Evaluation Plan'!D109</x:f>
        <x:v>Bowl: empty. Table, robot-left→robot-right: P1 juggling ball; P2 crushed Pepsi can. Adjacent centers 8 cm apart; row centered on the workspace; all objects fully visible and grasp paths clear.</x:v>
      </x:c>
      <x:c r="E109" s="8" t="str">
        <x:f>IF(ISBLANK('Evaluation Plan'!E109),"",'Evaluation Plan'!E109)</x:f>
      </x:c>
      <x:c r="F109" s="8" t="str">
        <x:f>'Evaluation Plan'!F109</x:f>
        <x:v>1108</x:v>
      </x:c>
      <x:c r="G109" s="8" t="str">
        <x:f>'Evaluation Plan'!G109</x:f>
        <x:v>MOVE juggling ball to bowl</x:v>
      </x:c>
      <x:c r="H109" s="9"/>
      <x:c r="I109" s="8" t="str">
        <x:f>'Evaluation Plan'!I109</x:f>
        <x:v>Concept/compositional transfer</x:v>
      </x:c>
      <x:c r="J109" s="8" t="str">
        <x:f>'Evaluation Plan'!J109</x:f>
        <x:v>SZ-CT-SJ24</x:v>
      </x:c>
      <x:c r="K109" s="8" t="str">
        <x:f>'Evaluation Plan'!K109</x:f>
        <x:v>smallest</x:v>
      </x:c>
      <x:c r="L109" s="8" t="str">
        <x:f>'Evaluation Plan'!L109</x:f>
        <x:v>Held-out smallest × juggling ball — Move</x:v>
      </x:c>
      <x:c r="M109" s="8" t="str">
        <x:f>'Evaluation Plan'!M109</x:f>
        <x:v>juggling ball</x:v>
      </x:c>
      <x:c r="N109" s="8" t="str">
        <x:f>'Evaluation Plan'!N109</x:f>
        <x:v>Left</x:v>
      </x:c>
      <x:c r="O109" s="8" t="n">
        <x:f>'Evaluation Plan'!O109</x:f>
        <x:v>2</x:v>
      </x:c>
      <x:c r="P109" s="8" t="n">
        <x:f>IF(ISBLANK('Evaluation Plan'!P109),"",'Evaluation Plan'!P109)</x:f>
        <x:v>8</x:v>
      </x:c>
      <x:c r="Q109" s="8" t="str">
        <x:f>'Evaluation Plan'!Q109</x:f>
        <x:v>Build the listed two-object scene and save a first-frame filename.</x:v>
      </x:c>
      <x:c r="R109" s="9" t="str">
        <x:f>'Evaluation Plan'!R109</x:f>
        <x:v>Primary missing cell. Training episode 1108 contains the same target trajectory but masks the size word with a direct identity prompt.</x:v>
      </x:c>
      <x:c r="S109" s="9" t="str">
        <x:f>IF(ISBLANK('Evaluation Plan'!S109),"",'Evaluation Plan'!S109)</x:f>
      </x:c>
    </x:row>
    <x:row r="110" ht="67.5" customHeight="1">
      <x:c r="A110" s="8" t="s">
        <x:v>19</x:v>
      </x:c>
      <x:c r="B110" s="8" t="n">
        <x:f>'Evaluation Plan'!B110</x:f>
        <x:v>108</x:v>
      </x:c>
      <x:c r="C110" s="9" t="str">
        <x:f>'Evaluation Plan'!C110</x:f>
        <x:v>Move the object that is largest into the bowl.</x:v>
      </x:c>
      <x:c r="D110" s="9" t="str">
        <x:f>'Evaluation Plan'!D110</x:f>
        <x:v>Bowl: empty. Table, robot-left→robot-right: P1 green block; P2 red pencil sharpener. Adjacent centers 8 cm apart; row shifted 4 cm away from the robot; all objects fully visible and grasp paths clear.</x:v>
      </x:c>
      <x:c r="E110" s="8" t="str">
        <x:f>IF(ISBLANK('Evaluation Plan'!E110),"",'Evaluation Plan'!E110)</x:f>
      </x:c>
      <x:c r="F110" s="8" t="str">
        <x:f>'Evaluation Plan'!F110</x:f>
        <x:v>1084</x:v>
      </x:c>
      <x:c r="G110" s="8" t="str">
        <x:f>'Evaluation Plan'!G110</x:f>
        <x:v>MOVE green block to bowl</x:v>
      </x:c>
      <x:c r="H110" s="9"/>
      <x:c r="I110" s="8" t="str">
        <x:f>'Evaluation Plan'!I110</x:f>
        <x:v>Concept/compositional transfer</x:v>
      </x:c>
      <x:c r="J110" s="8" t="str">
        <x:f>'Evaluation Plan'!J110</x:f>
        <x:v>SZ-CT-LG25</x:v>
      </x:c>
      <x:c r="K110" s="8" t="str">
        <x:f>'Evaluation Plan'!K110</x:f>
        <x:v>largest</x:v>
      </x:c>
      <x:c r="L110" s="8" t="str">
        <x:f>'Evaluation Plan'!L110</x:f>
        <x:v>Held-out largest × green block — Move</x:v>
      </x:c>
      <x:c r="M110" s="8" t="str">
        <x:f>'Evaluation Plan'!M110</x:f>
        <x:v>green block</x:v>
      </x:c>
      <x:c r="N110" s="8" t="str">
        <x:f>'Evaluation Plan'!N110</x:f>
        <x:v>Left</x:v>
      </x:c>
      <x:c r="O110" s="8" t="n">
        <x:f>'Evaluation Plan'!O110</x:f>
        <x:v>2</x:v>
      </x:c>
      <x:c r="P110" s="8" t="n">
        <x:f>IF(ISBLANK('Evaluation Plan'!P110),"",'Evaluation Plan'!P110)</x:f>
        <x:v>8</x:v>
      </x:c>
      <x:c r="Q110" s="8" t="str">
        <x:f>'Evaluation Plan'!Q110</x:f>
        <x:v>Build the listed two-object scene and save a first-frame filename.</x:v>
      </x:c>
      <x:c r="R110" s="9" t="str">
        <x:f>'Evaluation Plan'!R110</x:f>
        <x:v>Primary missing cell. Training episode 1084 contains the same target trajectory but masks the size word with a direct identity prompt.</x:v>
      </x:c>
      <x:c r="S110" s="9" t="str">
        <x:f>IF(ISBLANK('Evaluation Plan'!S110),"",'Evaluation Plan'!S110)</x:f>
      </x:c>
    </x:row>
    <x:row r="111" ht="67.5" customHeight="1">
      <x:c r="A111" s="8" t="s">
        <x:v>19</x:v>
      </x:c>
      <x:c r="B111" s="8" t="n">
        <x:f>'Evaluation Plan'!B111</x:f>
        <x:v>109</x:v>
      </x:c>
      <x:c r="C111" s="9" t="str">
        <x:f>'Evaluation Plan'!C111</x:f>
        <x:v>Pick up the smallest item and place it in the bowl.</x:v>
      </x:c>
      <x:c r="D111" s="9" t="str">
        <x:f>'Evaluation Plan'!D111</x:f>
        <x:v>Bowl: empty. Table, robot-left→robot-right: P1 crushed Pepsi can; P2 juggling ball. Adjacent centers 12 cm apart; row shifted 4 cm toward robot-left; all objects fully visible and grasp paths clear.</x:v>
      </x:c>
      <x:c r="E111" s="8" t="str">
        <x:f>IF(ISBLANK('Evaluation Plan'!E111),"",'Evaluation Plan'!E111)</x:f>
      </x:c>
      <x:c r="F111" s="8" t="str">
        <x:f>'Evaluation Plan'!F111</x:f>
        <x:v>1109</x:v>
      </x:c>
      <x:c r="G111" s="8" t="str">
        <x:f>'Evaluation Plan'!G111</x:f>
        <x:v>MOVE juggling ball to bowl</x:v>
      </x:c>
      <x:c r="H111" s="9"/>
      <x:c r="I111" s="8" t="str">
        <x:f>'Evaluation Plan'!I111</x:f>
        <x:v>Concept/compositional transfer</x:v>
      </x:c>
      <x:c r="J111" s="8" t="str">
        <x:f>'Evaluation Plan'!J111</x:f>
        <x:v>SZ-CT-SJ25</x:v>
      </x:c>
      <x:c r="K111" s="8" t="str">
        <x:f>'Evaluation Plan'!K111</x:f>
        <x:v>smallest</x:v>
      </x:c>
      <x:c r="L111" s="8" t="str">
        <x:f>'Evaluation Plan'!L111</x:f>
        <x:v>Held-out smallest × juggling ball — Pick up</x:v>
      </x:c>
      <x:c r="M111" s="8" t="str">
        <x:f>'Evaluation Plan'!M111</x:f>
        <x:v>juggling ball</x:v>
      </x:c>
      <x:c r="N111" s="8" t="str">
        <x:f>'Evaluation Plan'!N111</x:f>
        <x:v>Right</x:v>
      </x:c>
      <x:c r="O111" s="8" t="n">
        <x:f>'Evaluation Plan'!O111</x:f>
        <x:v>2</x:v>
      </x:c>
      <x:c r="P111" s="8" t="n">
        <x:f>IF(ISBLANK('Evaluation Plan'!P111),"",'Evaluation Plan'!P111)</x:f>
        <x:v>12</x:v>
      </x:c>
      <x:c r="Q111" s="8" t="str">
        <x:f>'Evaluation Plan'!Q111</x:f>
        <x:v>Build the listed two-object scene and save a first-frame filename.</x:v>
      </x:c>
      <x:c r="R111" s="9" t="str">
        <x:f>'Evaluation Plan'!R111</x:f>
        <x:v>Primary missing cell. Training episode 1109 contains the same target trajectory but masks the size word with a direct identity prompt.</x:v>
      </x:c>
      <x:c r="S111" s="9" t="str">
        <x:f>IF(ISBLANK('Evaluation Plan'!S111),"",'Evaluation Plan'!S111)</x:f>
      </x:c>
    </x:row>
    <x:row r="112" ht="67.5" customHeight="1">
      <x:c r="A112" s="8" t="s">
        <x:v>19</x:v>
      </x:c>
      <x:c r="B112" s="8" t="n">
        <x:f>'Evaluation Plan'!B112</x:f>
        <x:v>110</x:v>
      </x:c>
      <x:c r="C112" s="9" t="str">
        <x:f>'Evaluation Plan'!C112</x:f>
        <x:v>Move the object that is largest into the bowl.</x:v>
      </x:c>
      <x:c r="D112" s="9" t="str">
        <x:f>'Evaluation Plan'!D112</x:f>
        <x:v>Bowl: empty. Table, robot-left→robot-right: P1 airplane toy with propellers; P2 red pencil sharpener. Adjacent centers 8 cm apart; row centered on the workspace; all objects fully visible and grasp paths clear.</x:v>
      </x:c>
      <x:c r="E112" s="8" t="str">
        <x:f>IF(ISBLANK('Evaluation Plan'!E112),"",'Evaluation Plan'!E112)</x:f>
      </x:c>
      <x:c r="F112" s="8" t="str">
        <x:f>'Evaluation Plan'!F112</x:f>
        <x:v>airplane exposure 550</x:v>
      </x:c>
      <x:c r="G112" s="8" t="str">
        <x:f>'Evaluation Plan'!G112</x:f>
        <x:v>MOVE airplane toy with propellers to bowl</x:v>
      </x:c>
      <x:c r="H112" s="9"/>
      <x:c r="I112" s="8" t="str">
        <x:f>'Evaluation Plan'!I112</x:f>
        <x:v>Cross-task airplane reasoning</x:v>
      </x:c>
      <x:c r="J112" s="8" t="str">
        <x:f>'Evaluation Plan'!J112</x:f>
        <x:v>SZ-XA01</x:v>
      </x:c>
      <x:c r="K112" s="8" t="str">
        <x:f>'Evaluation Plan'!K112</x:f>
        <x:v>largest</x:v>
      </x:c>
      <x:c r="L112" s="8" t="str">
        <x:f>'Evaluation Plan'!L112</x:f>
        <x:v>Airplane is largest</x:v>
      </x:c>
      <x:c r="M112" s="8" t="str">
        <x:f>'Evaluation Plan'!M112</x:f>
        <x:v>airplane toy with propellers</x:v>
      </x:c>
      <x:c r="N112" s="8" t="str">
        <x:f>'Evaluation Plan'!N112</x:f>
        <x:v>Left</x:v>
      </x:c>
      <x:c r="O112" s="8" t="n">
        <x:f>'Evaluation Plan'!O112</x:f>
        <x:v>2</x:v>
      </x:c>
      <x:c r="P112" s="8" t="n">
        <x:f>IF(ISBLANK('Evaluation Plan'!P112),"",'Evaluation Plan'!P112)</x:f>
        <x:v>8</x:v>
      </x:c>
      <x:c r="Q112" s="8" t="str">
        <x:f>'Evaluation Plan'!Q112</x:f>
        <x:v>Build the listed airplane scene and save a first-frame filename.</x:v>
      </x:c>
      <x:c r="R112" s="9" t="str">
        <x:f>'Evaluation Plan'!R112</x:f>
        <x:v>The airplane is larger than the red pencil sharpener. It is known globally but never received size language in training.</x:v>
      </x:c>
      <x:c r="S112" s="9" t="str">
        <x:f>IF(ISBLANK('Evaluation Plan'!S112),"",'Evaluation Plan'!S112)</x:f>
      </x:c>
    </x:row>
    <x:row r="113" ht="67.5" customHeight="1">
      <x:c r="A113" s="16" t="s">
        <x:v>19</x:v>
      </x:c>
      <x:c r="B113" s="16" t="n">
        <x:f>'Evaluation Plan'!B113</x:f>
        <x:v>111</x:v>
      </x:c>
      <x:c r="C113" s="6" t="str">
        <x:f>'Evaluation Plan'!C113</x:f>
        <x:v>Put the smallest object in the bowl.</x:v>
      </x:c>
      <x:c r="D113" s="6" t="str">
        <x:f>'Evaluation Plan'!D113</x:f>
        <x:v>Bowl: empty. Table, robot-left→robot-right: P1 airplane toy with propellers; P2 red pencil sharpener. Adjacent centers 8 cm apart; row centered on the workspace; all objects fully visible and grasp paths clear.</x:v>
      </x:c>
      <x:c r="E113" s="16" t="n">
        <x:f>IF(ISBLANK('Evaluation Plan'!E113),"",'Evaluation Plan'!E113)</x:f>
        <x:v>110</x:v>
      </x:c>
      <x:c r="F113" s="16" t="str">
        <x:f>'Evaluation Plan'!F113</x:f>
        <x:v>1005; airplane exposure 550</x:v>
      </x:c>
      <x:c r="G113" s="16" t="str">
        <x:f>'Evaluation Plan'!G113</x:f>
        <x:v>MOVE red pencil sharpener to bowl</x:v>
      </x:c>
      <x:c r="H113" s="6"/>
      <x:c r="I113" s="16" t="str">
        <x:f>'Evaluation Plan'!I113</x:f>
        <x:v>Cross-task airplane counterfactual</x:v>
      </x:c>
      <x:c r="J113" s="16" t="str">
        <x:f>'Evaluation Plan'!J113</x:f>
        <x:v>SZ-XA01</x:v>
      </x:c>
      <x:c r="K113" s="16" t="str">
        <x:f>'Evaluation Plan'!K113</x:f>
        <x:v>smallest</x:v>
      </x:c>
      <x:c r="L113" s="16" t="str">
        <x:f>'Evaluation Plan'!L113</x:f>
        <x:v>Exact-scene opposite-comparison reasoning control</x:v>
      </x:c>
      <x:c r="M113" s="16" t="str">
        <x:f>'Evaluation Plan'!M113</x:f>
        <x:v>red pencil sharpener</x:v>
      </x:c>
      <x:c r="N113" s="16" t="str">
        <x:f>'Evaluation Plan'!N113</x:f>
        <x:v>Right</x:v>
      </x:c>
      <x:c r="O113" s="16" t="n">
        <x:f>'Evaluation Plan'!O113</x:f>
        <x:v>2</x:v>
      </x:c>
      <x:c r="P113" s="16" t="n">
        <x:f>IF(ISBLANK('Evaluation Plan'!P113),"",'Evaluation Plan'!P113)</x:f>
        <x:v>8</x:v>
      </x:c>
      <x:c r="Q113" s="16" t="str">
        <x:f>'Evaluation Plan'!Q113</x:f>
        <x:v>Reset the airplane; preserve the exact scene and reverse only the size comparison.</x:v>
      </x:c>
      <x:c r="R113" s="6" t="str">
        <x:f>'Evaluation Plan'!R113</x:f>
        <x:v>Reasoning-only counterfactual grounded by trained cell smallest × red pencil sharpener; an always-pick-airplane shortcut must fail.</x:v>
      </x:c>
      <x:c r="S113" s="6" t="str">
        <x:f>IF(ISBLANK('Evaluation Plan'!S113),"",'Evaluation Plan'!S113)</x:f>
      </x:c>
    </x:row>
    <x:row r="114" ht="67.5" customHeight="1">
      <x:c r="A114" s="8" t="s">
        <x:v>19</x:v>
      </x:c>
      <x:c r="B114" s="8" t="n">
        <x:f>'Evaluation Plan'!B114</x:f>
        <x:v>112</x:v>
      </x:c>
      <x:c r="C114" s="9" t="str">
        <x:f>'Evaluation Plan'!C114</x:f>
        <x:v>Pick up the smallest item and place it in the bowl.</x:v>
      </x:c>
      <x:c r="D114" s="9" t="str">
        <x:f>'Evaluation Plan'!D114</x:f>
        <x:v>Bowl: empty. Table, robot-left→robot-right: P1 airplane toy with propellers; P2 green block; P3 crushed Pepsi can. Adjacent centers 12 cm apart; row shifted 4 cm toward robot-right; all objects fully visible and grasp paths clear.</x:v>
      </x:c>
      <x:c r="E114" s="8" t="str">
        <x:f>IF(ISBLANK('Evaluation Plan'!E114),"",'Evaluation Plan'!E114)</x:f>
      </x:c>
      <x:c r="F114" s="8" t="str">
        <x:f>'Evaluation Plan'!F114</x:f>
        <x:v>airplane exposure 552</x:v>
      </x:c>
      <x:c r="G114" s="8" t="str">
        <x:f>'Evaluation Plan'!G114</x:f>
        <x:v>MOVE airplane toy with propellers to bowl</x:v>
      </x:c>
      <x:c r="H114" s="9"/>
      <x:c r="I114" s="8" t="str">
        <x:f>'Evaluation Plan'!I114</x:f>
        <x:v>Cross-task airplane reasoning</x:v>
      </x:c>
      <x:c r="J114" s="8" t="str">
        <x:f>'Evaluation Plan'!J114</x:f>
        <x:v>SZ-XA02</x:v>
      </x:c>
      <x:c r="K114" s="8" t="str">
        <x:f>'Evaluation Plan'!K114</x:f>
        <x:v>smallest</x:v>
      </x:c>
      <x:c r="L114" s="8" t="str">
        <x:f>'Evaluation Plan'!L114</x:f>
        <x:v>Airplane is smallest</x:v>
      </x:c>
      <x:c r="M114" s="8" t="str">
        <x:f>'Evaluation Plan'!M114</x:f>
        <x:v>airplane toy with propellers</x:v>
      </x:c>
      <x:c r="N114" s="8" t="str">
        <x:f>'Evaluation Plan'!N114</x:f>
        <x:v>Left</x:v>
      </x:c>
      <x:c r="O114" s="8" t="n">
        <x:f>'Evaluation Plan'!O114</x:f>
        <x:v>3</x:v>
      </x:c>
      <x:c r="P114" s="8" t="n">
        <x:f>IF(ISBLANK('Evaluation Plan'!P114),"",'Evaluation Plan'!P114)</x:f>
        <x:v>12</x:v>
      </x:c>
      <x:c r="Q114" s="8" t="str">
        <x:f>'Evaluation Plan'!Q114</x:f>
        <x:v>Build the listed airplane scene and save a first-frame filename.</x:v>
      </x:c>
      <x:c r="R114" s="9" t="str">
        <x:f>'Evaluation Plan'!R114</x:f>
        <x:v>The airplane is smaller than every listed table comparator. Green-block scenes also include a trained larger endpoint so the counterfactual does not test largest×green.</x:v>
      </x:c>
      <x:c r="S114" s="9" t="str">
        <x:f>IF(ISBLANK('Evaluation Plan'!S114),"",'Evaluation Plan'!S114)</x:f>
      </x:c>
    </x:row>
    <x:row r="115" ht="67.5" customHeight="1">
      <x:c r="A115" s="16" t="s">
        <x:v>19</x:v>
      </x:c>
      <x:c r="B115" s="16" t="n">
        <x:f>'Evaluation Plan'!B115</x:f>
        <x:v>113</x:v>
      </x:c>
      <x:c r="C115" s="6" t="str">
        <x:f>'Evaluation Plan'!C115</x:f>
        <x:v>Put the largest object in the bowl.</x:v>
      </x:c>
      <x:c r="D115" s="6" t="str">
        <x:f>'Evaluation Plan'!D115</x:f>
        <x:v>Bowl: empty. Table, robot-left→robot-right: P1 airplane toy with propellers; P2 green block; P3 crushed Pepsi can. Adjacent centers 12 cm apart; row shifted 4 cm toward robot-right; all objects fully visible and grasp paths clear.</x:v>
      </x:c>
      <x:c r="E115" s="16" t="n">
        <x:f>IF(ISBLANK('Evaluation Plan'!E115),"",'Evaluation Plan'!E115)</x:f>
        <x:v>112</x:v>
      </x:c>
      <x:c r="F115" s="16" t="str">
        <x:f>'Evaluation Plan'!F115</x:f>
        <x:v>1155; airplane exposure 552</x:v>
      </x:c>
      <x:c r="G115" s="16" t="str">
        <x:f>'Evaluation Plan'!G115</x:f>
        <x:v>MOVE crushed Pepsi can to bowl</x:v>
      </x:c>
      <x:c r="H115" s="6"/>
      <x:c r="I115" s="16" t="str">
        <x:f>'Evaluation Plan'!I115</x:f>
        <x:v>Cross-task airplane counterfactual</x:v>
      </x:c>
      <x:c r="J115" s="16" t="str">
        <x:f>'Evaluation Plan'!J115</x:f>
        <x:v>SZ-XA02</x:v>
      </x:c>
      <x:c r="K115" s="16" t="str">
        <x:f>'Evaluation Plan'!K115</x:f>
        <x:v>largest</x:v>
      </x:c>
      <x:c r="L115" s="16" t="str">
        <x:f>'Evaluation Plan'!L115</x:f>
        <x:v>Exact-scene opposite-comparison reasoning control</x:v>
      </x:c>
      <x:c r="M115" s="16" t="str">
        <x:f>'Evaluation Plan'!M115</x:f>
        <x:v>crushed Pepsi can</x:v>
      </x:c>
      <x:c r="N115" s="16" t="str">
        <x:f>'Evaluation Plan'!N115</x:f>
        <x:v>Right</x:v>
      </x:c>
      <x:c r="O115" s="16" t="n">
        <x:f>'Evaluation Plan'!O115</x:f>
        <x:v>3</x:v>
      </x:c>
      <x:c r="P115" s="16" t="n">
        <x:f>IF(ISBLANK('Evaluation Plan'!P115),"",'Evaluation Plan'!P115)</x:f>
        <x:v>12</x:v>
      </x:c>
      <x:c r="Q115" s="16" t="str">
        <x:f>'Evaluation Plan'!Q115</x:f>
        <x:v>Reset the airplane; preserve the exact scene and reverse only the size comparison.</x:v>
      </x:c>
      <x:c r="R115" s="6" t="str">
        <x:f>'Evaluation Plan'!R115</x:f>
        <x:v>Reasoning-only counterfactual grounded by trained cell largest × crushed Pepsi can; an always-pick-airplane shortcut must fail.</x:v>
      </x:c>
      <x:c r="S115" s="6" t="str">
        <x:f>IF(ISBLANK('Evaluation Plan'!S115),"",'Evaluation Plan'!S115)</x:f>
      </x:c>
    </x:row>
    <x:row r="116" ht="67.5" customHeight="1">
      <x:c r="A116" s="8" t="s">
        <x:v>19</x:v>
      </x:c>
      <x:c r="B116" s="8" t="n">
        <x:f>'Evaluation Plan'!B116</x:f>
        <x:v>114</x:v>
      </x:c>
      <x:c r="C116" s="9" t="str">
        <x:f>'Evaluation Plan'!C116</x:f>
        <x:v>Pick up the largest item and place it in the bowl.</x:v>
      </x:c>
      <x:c r="D116" s="9" t="str">
        <x:f>'Evaluation Plan'!D116</x:f>
        <x:v>Bowl: empty. Table, robot-left→robot-right: P1 red pencil sharpener; P2 airplane toy with propellers. Adjacent centers 12 cm apart; row shifted 4 cm toward robot-left; all objects fully visible and grasp paths clear.</x:v>
      </x:c>
      <x:c r="E116" s="8" t="str">
        <x:f>IF(ISBLANK('Evaluation Plan'!E116),"",'Evaluation Plan'!E116)</x:f>
      </x:c>
      <x:c r="F116" s="8" t="str">
        <x:f>'Evaluation Plan'!F116</x:f>
        <x:v>airplane exposure 554</x:v>
      </x:c>
      <x:c r="G116" s="8" t="str">
        <x:f>'Evaluation Plan'!G116</x:f>
        <x:v>MOVE airplane toy with propellers to bowl</x:v>
      </x:c>
      <x:c r="H116" s="9"/>
      <x:c r="I116" s="8" t="str">
        <x:f>'Evaluation Plan'!I116</x:f>
        <x:v>Cross-task airplane reasoning</x:v>
      </x:c>
      <x:c r="J116" s="8" t="str">
        <x:f>'Evaluation Plan'!J116</x:f>
        <x:v>SZ-XA03</x:v>
      </x:c>
      <x:c r="K116" s="8" t="str">
        <x:f>'Evaluation Plan'!K116</x:f>
        <x:v>largest</x:v>
      </x:c>
      <x:c r="L116" s="8" t="str">
        <x:f>'Evaluation Plan'!L116</x:f>
        <x:v>Airplane is largest</x:v>
      </x:c>
      <x:c r="M116" s="8" t="str">
        <x:f>'Evaluation Plan'!M116</x:f>
        <x:v>airplane toy with propellers</x:v>
      </x:c>
      <x:c r="N116" s="8" t="str">
        <x:f>'Evaluation Plan'!N116</x:f>
        <x:v>Right</x:v>
      </x:c>
      <x:c r="O116" s="8" t="n">
        <x:f>'Evaluation Plan'!O116</x:f>
        <x:v>2</x:v>
      </x:c>
      <x:c r="P116" s="8" t="n">
        <x:f>IF(ISBLANK('Evaluation Plan'!P116),"",'Evaluation Plan'!P116)</x:f>
        <x:v>12</x:v>
      </x:c>
      <x:c r="Q116" s="8" t="str">
        <x:f>'Evaluation Plan'!Q116</x:f>
        <x:v>Build the listed airplane scene and save a first-frame filename.</x:v>
      </x:c>
      <x:c r="R116" s="9" t="str">
        <x:f>'Evaluation Plan'!R116</x:f>
        <x:v>The airplane is larger than the red pencil sharpener. It is known globally but never received size language in training.</x:v>
      </x:c>
      <x:c r="S116" s="9" t="str">
        <x:f>IF(ISBLANK('Evaluation Plan'!S116),"",'Evaluation Plan'!S116)</x:f>
      </x:c>
    </x:row>
    <x:row r="117" ht="67.5" customHeight="1">
      <x:c r="A117" s="16" t="s">
        <x:v>19</x:v>
      </x:c>
      <x:c r="B117" s="16" t="n">
        <x:f>'Evaluation Plan'!B117</x:f>
        <x:v>115</x:v>
      </x:c>
      <x:c r="C117" s="6" t="str">
        <x:f>'Evaluation Plan'!C117</x:f>
        <x:v>Move the object that is smallest into the bowl.</x:v>
      </x:c>
      <x:c r="D117" s="6" t="str">
        <x:f>'Evaluation Plan'!D117</x:f>
        <x:v>Bowl: empty. Table, robot-left→robot-right: P1 red pencil sharpener; P2 airplane toy with propellers. Adjacent centers 12 cm apart; row shifted 4 cm toward robot-left; all objects fully visible and grasp paths clear.</x:v>
      </x:c>
      <x:c r="E117" s="16" t="n">
        <x:f>IF(ISBLANK('Evaluation Plan'!E117),"",'Evaluation Plan'!E117)</x:f>
        <x:v>114</x:v>
      </x:c>
      <x:c r="F117" s="16" t="str">
        <x:f>'Evaluation Plan'!F117</x:f>
        <x:v>1006; airplane exposure 554</x:v>
      </x:c>
      <x:c r="G117" s="16" t="str">
        <x:f>'Evaluation Plan'!G117</x:f>
        <x:v>MOVE red pencil sharpener to bowl</x:v>
      </x:c>
      <x:c r="H117" s="6"/>
      <x:c r="I117" s="16" t="str">
        <x:f>'Evaluation Plan'!I117</x:f>
        <x:v>Cross-task airplane counterfactual</x:v>
      </x:c>
      <x:c r="J117" s="16" t="str">
        <x:f>'Evaluation Plan'!J117</x:f>
        <x:v>SZ-XA03</x:v>
      </x:c>
      <x:c r="K117" s="16" t="str">
        <x:f>'Evaluation Plan'!K117</x:f>
        <x:v>smallest</x:v>
      </x:c>
      <x:c r="L117" s="16" t="str">
        <x:f>'Evaluation Plan'!L117</x:f>
        <x:v>Exact-scene opposite-comparison reasoning control</x:v>
      </x:c>
      <x:c r="M117" s="16" t="str">
        <x:f>'Evaluation Plan'!M117</x:f>
        <x:v>red pencil sharpener</x:v>
      </x:c>
      <x:c r="N117" s="16" t="str">
        <x:f>'Evaluation Plan'!N117</x:f>
        <x:v>Left</x:v>
      </x:c>
      <x:c r="O117" s="16" t="n">
        <x:f>'Evaluation Plan'!O117</x:f>
        <x:v>2</x:v>
      </x:c>
      <x:c r="P117" s="16" t="n">
        <x:f>IF(ISBLANK('Evaluation Plan'!P117),"",'Evaluation Plan'!P117)</x:f>
        <x:v>12</x:v>
      </x:c>
      <x:c r="Q117" s="16" t="str">
        <x:f>'Evaluation Plan'!Q117</x:f>
        <x:v>Reset the airplane; preserve the exact scene and reverse only the size comparison.</x:v>
      </x:c>
      <x:c r="R117" s="6" t="str">
        <x:f>'Evaluation Plan'!R117</x:f>
        <x:v>Reasoning-only counterfactual grounded by trained cell smallest × red pencil sharpener; an always-pick-airplane shortcut must fail.</x:v>
      </x:c>
      <x:c r="S117" s="6" t="str">
        <x:f>IF(ISBLANK('Evaluation Plan'!S117),"",'Evaluation Plan'!S117)</x:f>
      </x:c>
    </x:row>
    <x:row r="118" ht="67.5" customHeight="1">
      <x:c r="A118" s="8" t="s">
        <x:v>19</x:v>
      </x:c>
      <x:c r="B118" s="8" t="n">
        <x:f>'Evaluation Plan'!B118</x:f>
        <x:v>116</x:v>
      </x:c>
      <x:c r="C118" s="9" t="str">
        <x:f>'Evaluation Plan'!C118</x:f>
        <x:v>Put the smallest object in the bowl.</x:v>
      </x:c>
      <x:c r="D118" s="9" t="str">
        <x:f>'Evaluation Plan'!D118</x:f>
        <x:v>Bowl: empty. Table, robot-left→robot-right: P1 juggling ball; P2 green block; P3 airplane toy with propellers. Adjacent centers 16 cm apart; row shifted 4 cm toward the robot; all objects fully visible and grasp paths clear.</x:v>
      </x:c>
      <x:c r="E118" s="8" t="str">
        <x:f>IF(ISBLANK('Evaluation Plan'!E118),"",'Evaluation Plan'!E118)</x:f>
      </x:c>
      <x:c r="F118" s="8" t="str">
        <x:f>'Evaluation Plan'!F118</x:f>
        <x:v>airplane exposure 556</x:v>
      </x:c>
      <x:c r="G118" s="8" t="str">
        <x:f>'Evaluation Plan'!G118</x:f>
        <x:v>MOVE airplane toy with propellers to bowl</x:v>
      </x:c>
      <x:c r="H118" s="9"/>
      <x:c r="I118" s="8" t="str">
        <x:f>'Evaluation Plan'!I118</x:f>
        <x:v>Cross-task airplane reasoning</x:v>
      </x:c>
      <x:c r="J118" s="8" t="str">
        <x:f>'Evaluation Plan'!J118</x:f>
        <x:v>SZ-XA04</x:v>
      </x:c>
      <x:c r="K118" s="8" t="str">
        <x:f>'Evaluation Plan'!K118</x:f>
        <x:v>smallest</x:v>
      </x:c>
      <x:c r="L118" s="8" t="str">
        <x:f>'Evaluation Plan'!L118</x:f>
        <x:v>Airplane is smallest</x:v>
      </x:c>
      <x:c r="M118" s="8" t="str">
        <x:f>'Evaluation Plan'!M118</x:f>
        <x:v>airplane toy with propellers</x:v>
      </x:c>
      <x:c r="N118" s="8" t="str">
        <x:f>'Evaluation Plan'!N118</x:f>
        <x:v>Right</x:v>
      </x:c>
      <x:c r="O118" s="8" t="n">
        <x:f>'Evaluation Plan'!O118</x:f>
        <x:v>3</x:v>
      </x:c>
      <x:c r="P118" s="8" t="n">
        <x:f>IF(ISBLANK('Evaluation Plan'!P118),"",'Evaluation Plan'!P118)</x:f>
        <x:v>16</x:v>
      </x:c>
      <x:c r="Q118" s="8" t="str">
        <x:f>'Evaluation Plan'!Q118</x:f>
        <x:v>Build the listed airplane scene and save a first-frame filename.</x:v>
      </x:c>
      <x:c r="R118" s="9" t="str">
        <x:f>'Evaluation Plan'!R118</x:f>
        <x:v>The airplane is smaller than every listed table comparator. Green-block scenes also include a trained larger endpoint so the counterfactual does not test largest×green.</x:v>
      </x:c>
      <x:c r="S118" s="9" t="str">
        <x:f>IF(ISBLANK('Evaluation Plan'!S118),"",'Evaluation Plan'!S118)</x:f>
      </x:c>
    </x:row>
    <x:row r="119" ht="67.5" customHeight="1">
      <x:c r="A119" s="16" t="s">
        <x:v>19</x:v>
      </x:c>
      <x:c r="B119" s="16" t="n">
        <x:f>'Evaluation Plan'!B119</x:f>
        <x:v>117</x:v>
      </x:c>
      <x:c r="C119" s="6" t="str">
        <x:f>'Evaluation Plan'!C119</x:f>
        <x:v>Move the object that is largest into the bowl.</x:v>
      </x:c>
      <x:c r="D119" s="6" t="str">
        <x:f>'Evaluation Plan'!D119</x:f>
        <x:v>Bowl: empty. Table, robot-left→robot-right: P1 juggling ball; P2 green block; P3 airplane toy with propellers. Adjacent centers 16 cm apart; row shifted 4 cm toward the robot; all objects fully visible and grasp paths clear.</x:v>
      </x:c>
      <x:c r="E119" s="16" t="n">
        <x:f>IF(ISBLANK('Evaluation Plan'!E119),"",'Evaluation Plan'!E119)</x:f>
        <x:v>116</x:v>
      </x:c>
      <x:c r="F119" s="16" t="str">
        <x:f>'Evaluation Plan'!F119</x:f>
        <x:v>1126; airplane exposure 556</x:v>
      </x:c>
      <x:c r="G119" s="16" t="str">
        <x:f>'Evaluation Plan'!G119</x:f>
        <x:v>MOVE juggling ball to bowl</x:v>
      </x:c>
      <x:c r="H119" s="6"/>
      <x:c r="I119" s="16" t="str">
        <x:f>'Evaluation Plan'!I119</x:f>
        <x:v>Cross-task airplane counterfactual</x:v>
      </x:c>
      <x:c r="J119" s="16" t="str">
        <x:f>'Evaluation Plan'!J119</x:f>
        <x:v>SZ-XA04</x:v>
      </x:c>
      <x:c r="K119" s="16" t="str">
        <x:f>'Evaluation Plan'!K119</x:f>
        <x:v>largest</x:v>
      </x:c>
      <x:c r="L119" s="16" t="str">
        <x:f>'Evaluation Plan'!L119</x:f>
        <x:v>Exact-scene opposite-comparison reasoning control</x:v>
      </x:c>
      <x:c r="M119" s="16" t="str">
        <x:f>'Evaluation Plan'!M119</x:f>
        <x:v>juggling ball</x:v>
      </x:c>
      <x:c r="N119" s="16" t="str">
        <x:f>'Evaluation Plan'!N119</x:f>
        <x:v>Left</x:v>
      </x:c>
      <x:c r="O119" s="16" t="n">
        <x:f>'Evaluation Plan'!O119</x:f>
        <x:v>3</x:v>
      </x:c>
      <x:c r="P119" s="16" t="n">
        <x:f>IF(ISBLANK('Evaluation Plan'!P119),"",'Evaluation Plan'!P119)</x:f>
        <x:v>16</x:v>
      </x:c>
      <x:c r="Q119" s="16" t="str">
        <x:f>'Evaluation Plan'!Q119</x:f>
        <x:v>Reset the airplane; preserve the exact scene and reverse only the size comparison.</x:v>
      </x:c>
      <x:c r="R119" s="6" t="str">
        <x:f>'Evaluation Plan'!R119</x:f>
        <x:v>Reasoning-only counterfactual grounded by trained cell largest × juggling ball; an always-pick-airplane shortcut must fail.</x:v>
      </x:c>
      <x:c r="S119" s="6" t="str">
        <x:f>IF(ISBLANK('Evaluation Plan'!S119),"",'Evaluation Plan'!S119)</x:f>
      </x:c>
    </x:row>
    <x:row r="120" ht="67.5" customHeight="1">
      <x:c r="A120" s="8" t="s">
        <x:v>19</x:v>
      </x:c>
      <x:c r="B120" s="8" t="n">
        <x:f>'Evaluation Plan'!B120</x:f>
        <x:v>118</x:v>
      </x:c>
      <x:c r="C120" s="9" t="str">
        <x:f>'Evaluation Plan'!C120</x:f>
        <x:v>Put the largest object in the bowl.</x:v>
      </x:c>
      <x:c r="D120" s="9" t="str">
        <x:f>'Evaluation Plan'!D120</x:f>
        <x:v>Bowl: empty. Table, robot-left→robot-right: P1 airplane toy with propellers; P2 red pencil sharpener. Adjacent centers 16 cm apart; row shifted 4 cm toward robot-right; all objects fully visible and grasp paths clear.</x:v>
      </x:c>
      <x:c r="E120" s="8" t="str">
        <x:f>IF(ISBLANK('Evaluation Plan'!E120),"",'Evaluation Plan'!E120)</x:f>
      </x:c>
      <x:c r="F120" s="8" t="str">
        <x:f>'Evaluation Plan'!F120</x:f>
        <x:v>airplane exposure 558</x:v>
      </x:c>
      <x:c r="G120" s="8" t="str">
        <x:f>'Evaluation Plan'!G120</x:f>
        <x:v>MOVE airplane toy with propellers to bowl</x:v>
      </x:c>
      <x:c r="H120" s="9"/>
      <x:c r="I120" s="8" t="str">
        <x:f>'Evaluation Plan'!I120</x:f>
        <x:v>Cross-task airplane reasoning</x:v>
      </x:c>
      <x:c r="J120" s="8" t="str">
        <x:f>'Evaluation Plan'!J120</x:f>
        <x:v>SZ-XA05</x:v>
      </x:c>
      <x:c r="K120" s="8" t="str">
        <x:f>'Evaluation Plan'!K120</x:f>
        <x:v>largest</x:v>
      </x:c>
      <x:c r="L120" s="8" t="str">
        <x:f>'Evaluation Plan'!L120</x:f>
        <x:v>Airplane is largest</x:v>
      </x:c>
      <x:c r="M120" s="8" t="str">
        <x:f>'Evaluation Plan'!M120</x:f>
        <x:v>airplane toy with propellers</x:v>
      </x:c>
      <x:c r="N120" s="8" t="str">
        <x:f>'Evaluation Plan'!N120</x:f>
        <x:v>Left</x:v>
      </x:c>
      <x:c r="O120" s="8" t="n">
        <x:f>'Evaluation Plan'!O120</x:f>
        <x:v>2</x:v>
      </x:c>
      <x:c r="P120" s="8" t="n">
        <x:f>IF(ISBLANK('Evaluation Plan'!P120),"",'Evaluation Plan'!P120)</x:f>
        <x:v>16</x:v>
      </x:c>
      <x:c r="Q120" s="8" t="str">
        <x:f>'Evaluation Plan'!Q120</x:f>
        <x:v>Build the listed airplane scene and save a first-frame filename.</x:v>
      </x:c>
      <x:c r="R120" s="9" t="str">
        <x:f>'Evaluation Plan'!R120</x:f>
        <x:v>The airplane is larger than the red pencil sharpener. It is known globally but never received size language in training.</x:v>
      </x:c>
      <x:c r="S120" s="9" t="str">
        <x:f>IF(ISBLANK('Evaluation Plan'!S120),"",'Evaluation Plan'!S120)</x:f>
      </x:c>
    </x:row>
    <x:row r="121" ht="67.5" customHeight="1">
      <x:c r="A121" s="16" t="s">
        <x:v>19</x:v>
      </x:c>
      <x:c r="B121" s="16" t="n">
        <x:f>'Evaluation Plan'!B121</x:f>
        <x:v>119</x:v>
      </x:c>
      <x:c r="C121" s="6" t="str">
        <x:f>'Evaluation Plan'!C121</x:f>
        <x:v>Pick up the smallest item and place it in the bowl.</x:v>
      </x:c>
      <x:c r="D121" s="6" t="str">
        <x:f>'Evaluation Plan'!D121</x:f>
        <x:v>Bowl: empty. Table, robot-left→robot-right: P1 airplane toy with propellers; P2 red pencil sharpener. Adjacent centers 16 cm apart; row shifted 4 cm toward robot-right; all objects fully visible and grasp paths clear.</x:v>
      </x:c>
      <x:c r="E121" s="16" t="n">
        <x:f>IF(ISBLANK('Evaluation Plan'!E121),"",'Evaluation Plan'!E121)</x:f>
        <x:v>118</x:v>
      </x:c>
      <x:c r="F121" s="16" t="str">
        <x:f>'Evaluation Plan'!F121</x:f>
        <x:v>1007; airplane exposure 558</x:v>
      </x:c>
      <x:c r="G121" s="16" t="str">
        <x:f>'Evaluation Plan'!G121</x:f>
        <x:v>MOVE red pencil sharpener to bowl</x:v>
      </x:c>
      <x:c r="H121" s="6"/>
      <x:c r="I121" s="16" t="str">
        <x:f>'Evaluation Plan'!I121</x:f>
        <x:v>Cross-task airplane counterfactual</x:v>
      </x:c>
      <x:c r="J121" s="16" t="str">
        <x:f>'Evaluation Plan'!J121</x:f>
        <x:v>SZ-XA05</x:v>
      </x:c>
      <x:c r="K121" s="16" t="str">
        <x:f>'Evaluation Plan'!K121</x:f>
        <x:v>smallest</x:v>
      </x:c>
      <x:c r="L121" s="16" t="str">
        <x:f>'Evaluation Plan'!L121</x:f>
        <x:v>Exact-scene opposite-comparison reasoning control</x:v>
      </x:c>
      <x:c r="M121" s="16" t="str">
        <x:f>'Evaluation Plan'!M121</x:f>
        <x:v>red pencil sharpener</x:v>
      </x:c>
      <x:c r="N121" s="16" t="str">
        <x:f>'Evaluation Plan'!N121</x:f>
        <x:v>Right</x:v>
      </x:c>
      <x:c r="O121" s="16" t="n">
        <x:f>'Evaluation Plan'!O121</x:f>
        <x:v>2</x:v>
      </x:c>
      <x:c r="P121" s="16" t="n">
        <x:f>IF(ISBLANK('Evaluation Plan'!P121),"",'Evaluation Plan'!P121)</x:f>
        <x:v>16</x:v>
      </x:c>
      <x:c r="Q121" s="16" t="str">
        <x:f>'Evaluation Plan'!Q121</x:f>
        <x:v>Reset the airplane; preserve the exact scene and reverse only the size comparison.</x:v>
      </x:c>
      <x:c r="R121" s="6" t="str">
        <x:f>'Evaluation Plan'!R121</x:f>
        <x:v>Reasoning-only counterfactual grounded by trained cell smallest × red pencil sharpener; an always-pick-airplane shortcut must fail.</x:v>
      </x:c>
      <x:c r="S121" s="6" t="str">
        <x:f>IF(ISBLANK('Evaluation Plan'!S121),"",'Evaluation Plan'!S121)</x:f>
      </x:c>
    </x:row>
    <x:row r="122" ht="67.5" customHeight="1">
      <x:c r="A122" s="8" t="s">
        <x:v>19</x:v>
      </x:c>
      <x:c r="B122" s="8" t="n">
        <x:f>'Evaluation Plan'!B122</x:f>
        <x:v>120</x:v>
      </x:c>
      <x:c r="C122" s="9" t="str">
        <x:f>'Evaluation Plan'!C122</x:f>
        <x:v>Move the object that is smallest into the bowl.</x:v>
      </x:c>
      <x:c r="D122" s="9" t="str">
        <x:f>'Evaluation Plan'!D122</x:f>
        <x:v>Bowl: empty. Table, robot-left→robot-right: P1 green block; P2 crushed Pepsi can; P3 airplane toy with propellers. Adjacent centers 8 cm apart; row shifted 4 cm away from the robot; all objects fully visible and grasp paths clear.</x:v>
      </x:c>
      <x:c r="E122" s="8" t="str">
        <x:f>IF(ISBLANK('Evaluation Plan'!E122),"",'Evaluation Plan'!E122)</x:f>
      </x:c>
      <x:c r="F122" s="8" t="str">
        <x:f>'Evaluation Plan'!F122</x:f>
        <x:v>airplane exposure 560</x:v>
      </x:c>
      <x:c r="G122" s="8" t="str">
        <x:f>'Evaluation Plan'!G122</x:f>
        <x:v>MOVE airplane toy with propellers to bowl</x:v>
      </x:c>
      <x:c r="H122" s="9"/>
      <x:c r="I122" s="8" t="str">
        <x:f>'Evaluation Plan'!I122</x:f>
        <x:v>Cross-task airplane reasoning</x:v>
      </x:c>
      <x:c r="J122" s="8" t="str">
        <x:f>'Evaluation Plan'!J122</x:f>
        <x:v>SZ-XA06</x:v>
      </x:c>
      <x:c r="K122" s="8" t="str">
        <x:f>'Evaluation Plan'!K122</x:f>
        <x:v>smallest</x:v>
      </x:c>
      <x:c r="L122" s="8" t="str">
        <x:f>'Evaluation Plan'!L122</x:f>
        <x:v>Airplane is smallest</x:v>
      </x:c>
      <x:c r="M122" s="8" t="str">
        <x:f>'Evaluation Plan'!M122</x:f>
        <x:v>airplane toy with propellers</x:v>
      </x:c>
      <x:c r="N122" s="8" t="str">
        <x:f>'Evaluation Plan'!N122</x:f>
        <x:v>Right</x:v>
      </x:c>
      <x:c r="O122" s="8" t="n">
        <x:f>'Evaluation Plan'!O122</x:f>
        <x:v>3</x:v>
      </x:c>
      <x:c r="P122" s="8" t="n">
        <x:f>IF(ISBLANK('Evaluation Plan'!P122),"",'Evaluation Plan'!P122)</x:f>
        <x:v>8</x:v>
      </x:c>
      <x:c r="Q122" s="8" t="str">
        <x:f>'Evaluation Plan'!Q122</x:f>
        <x:v>Build the listed airplane scene and save a first-frame filename.</x:v>
      </x:c>
      <x:c r="R122" s="9" t="str">
        <x:f>'Evaluation Plan'!R122</x:f>
        <x:v>The airplane is smaller than every listed table comparator. Green-block scenes also include a trained larger endpoint so the counterfactual does not test largest×green.</x:v>
      </x:c>
      <x:c r="S122" s="9" t="str">
        <x:f>IF(ISBLANK('Evaluation Plan'!S122),"",'Evaluation Plan'!S122)</x:f>
      </x:c>
    </x:row>
    <x:row r="123" ht="67.5" customHeight="1">
      <x:c r="A123" s="16" t="s">
        <x:v>19</x:v>
      </x:c>
      <x:c r="B123" s="16" t="n">
        <x:f>'Evaluation Plan'!B123</x:f>
        <x:v>121</x:v>
      </x:c>
      <x:c r="C123" s="6" t="str">
        <x:f>'Evaluation Plan'!C123</x:f>
        <x:v>Pick up the largest item and place it in the bowl.</x:v>
      </x:c>
      <x:c r="D123" s="6" t="str">
        <x:f>'Evaluation Plan'!D123</x:f>
        <x:v>Bowl: empty. Table, robot-left→robot-right: P1 green block; P2 crushed Pepsi can; P3 airplane toy with propellers. Adjacent centers 8 cm apart; row shifted 4 cm away from the robot; all objects fully visible and grasp paths clear.</x:v>
      </x:c>
      <x:c r="E123" s="16" t="n">
        <x:f>IF(ISBLANK('Evaluation Plan'!E123),"",'Evaluation Plan'!E123)</x:f>
        <x:v>120</x:v>
      </x:c>
      <x:c r="F123" s="16" t="str">
        <x:f>'Evaluation Plan'!F123</x:f>
        <x:v>1157; airplane exposure 560</x:v>
      </x:c>
      <x:c r="G123" s="16" t="str">
        <x:f>'Evaluation Plan'!G123</x:f>
        <x:v>MOVE crushed Pepsi can to bowl</x:v>
      </x:c>
      <x:c r="H123" s="6"/>
      <x:c r="I123" s="16" t="str">
        <x:f>'Evaluation Plan'!I123</x:f>
        <x:v>Cross-task airplane counterfactual</x:v>
      </x:c>
      <x:c r="J123" s="16" t="str">
        <x:f>'Evaluation Plan'!J123</x:f>
        <x:v>SZ-XA06</x:v>
      </x:c>
      <x:c r="K123" s="16" t="str">
        <x:f>'Evaluation Plan'!K123</x:f>
        <x:v>largest</x:v>
      </x:c>
      <x:c r="L123" s="16" t="str">
        <x:f>'Evaluation Plan'!L123</x:f>
        <x:v>Exact-scene opposite-comparison reasoning control</x:v>
      </x:c>
      <x:c r="M123" s="16" t="str">
        <x:f>'Evaluation Plan'!M123</x:f>
        <x:v>crushed Pepsi can</x:v>
      </x:c>
      <x:c r="N123" s="16" t="str">
        <x:f>'Evaluation Plan'!N123</x:f>
        <x:v>Center</x:v>
      </x:c>
      <x:c r="O123" s="16" t="n">
        <x:f>'Evaluation Plan'!O123</x:f>
        <x:v>3</x:v>
      </x:c>
      <x:c r="P123" s="16" t="n">
        <x:f>IF(ISBLANK('Evaluation Plan'!P123),"",'Evaluation Plan'!P123)</x:f>
        <x:v>8</x:v>
      </x:c>
      <x:c r="Q123" s="16" t="str">
        <x:f>'Evaluation Plan'!Q123</x:f>
        <x:v>Reset the airplane; preserve the exact scene and reverse only the size comparison.</x:v>
      </x:c>
      <x:c r="R123" s="6" t="str">
        <x:f>'Evaluation Plan'!R123</x:f>
        <x:v>Reasoning-only counterfactual grounded by trained cell largest × crushed Pepsi can; an always-pick-airplane shortcut must fail.</x:v>
      </x:c>
      <x:c r="S123" s="6" t="str">
        <x:f>IF(ISBLANK('Evaluation Plan'!S123),"",'Evaluation Plan'!S123)</x:f>
      </x:c>
    </x:row>
    <x:row r="124" ht="67.5" customHeight="1">
      <x:c r="A124" s="8" t="s">
        <x:v>19</x:v>
      </x:c>
      <x:c r="B124" s="8" t="n">
        <x:f>'Evaluation Plan'!B124</x:f>
        <x:v>122</x:v>
      </x:c>
      <x:c r="C124" s="9" t="str">
        <x:f>'Evaluation Plan'!C124</x:f>
        <x:v>Move the object that is largest into the bowl.</x:v>
      </x:c>
      <x:c r="D124" s="9" t="str">
        <x:f>'Evaluation Plan'!D124</x:f>
        <x:v>Bowl: empty. Table, robot-left→robot-right: P1 red pencil sharpener; P2 airplane toy with propellers. Adjacent centers 8 cm apart; row shifted 4 cm toward the robot; all objects fully visible and grasp paths clear.</x:v>
      </x:c>
      <x:c r="E124" s="8" t="str">
        <x:f>IF(ISBLANK('Evaluation Plan'!E124),"",'Evaluation Plan'!E124)</x:f>
      </x:c>
      <x:c r="F124" s="8" t="str">
        <x:f>'Evaluation Plan'!F124</x:f>
        <x:v>airplane exposure 562</x:v>
      </x:c>
      <x:c r="G124" s="8" t="str">
        <x:f>'Evaluation Plan'!G124</x:f>
        <x:v>MOVE airplane toy with propellers to bowl</x:v>
      </x:c>
      <x:c r="H124" s="9"/>
      <x:c r="I124" s="8" t="str">
        <x:f>'Evaluation Plan'!I124</x:f>
        <x:v>Cross-task airplane reasoning</x:v>
      </x:c>
      <x:c r="J124" s="8" t="str">
        <x:f>'Evaluation Plan'!J124</x:f>
        <x:v>SZ-XA07</x:v>
      </x:c>
      <x:c r="K124" s="8" t="str">
        <x:f>'Evaluation Plan'!K124</x:f>
        <x:v>largest</x:v>
      </x:c>
      <x:c r="L124" s="8" t="str">
        <x:f>'Evaluation Plan'!L124</x:f>
        <x:v>Airplane is largest</x:v>
      </x:c>
      <x:c r="M124" s="8" t="str">
        <x:f>'Evaluation Plan'!M124</x:f>
        <x:v>airplane toy with propellers</x:v>
      </x:c>
      <x:c r="N124" s="8" t="str">
        <x:f>'Evaluation Plan'!N124</x:f>
        <x:v>Right</x:v>
      </x:c>
      <x:c r="O124" s="8" t="n">
        <x:f>'Evaluation Plan'!O124</x:f>
        <x:v>2</x:v>
      </x:c>
      <x:c r="P124" s="8" t="n">
        <x:f>IF(ISBLANK('Evaluation Plan'!P124),"",'Evaluation Plan'!P124)</x:f>
        <x:v>8</x:v>
      </x:c>
      <x:c r="Q124" s="8" t="str">
        <x:f>'Evaluation Plan'!Q124</x:f>
        <x:v>Build the listed airplane scene and save a first-frame filename.</x:v>
      </x:c>
      <x:c r="R124" s="9" t="str">
        <x:f>'Evaluation Plan'!R124</x:f>
        <x:v>The airplane is larger than the red pencil sharpener. It is known globally but never received size language in training.</x:v>
      </x:c>
      <x:c r="S124" s="9" t="str">
        <x:f>IF(ISBLANK('Evaluation Plan'!S124),"",'Evaluation Plan'!S124)</x:f>
      </x:c>
    </x:row>
    <x:row r="125" ht="67.5" customHeight="1">
      <x:c r="A125" s="16" t="s">
        <x:v>19</x:v>
      </x:c>
      <x:c r="B125" s="16" t="n">
        <x:f>'Evaluation Plan'!B125</x:f>
        <x:v>123</x:v>
      </x:c>
      <x:c r="C125" s="6" t="str">
        <x:f>'Evaluation Plan'!C125</x:f>
        <x:v>Put the smallest object in the bowl.</x:v>
      </x:c>
      <x:c r="D125" s="6" t="str">
        <x:f>'Evaluation Plan'!D125</x:f>
        <x:v>Bowl: empty. Table, robot-left→robot-right: P1 red pencil sharpener; P2 airplane toy with propellers. Adjacent centers 8 cm apart; row shifted 4 cm toward the robot; all objects fully visible and grasp paths clear.</x:v>
      </x:c>
      <x:c r="E125" s="16" t="n">
        <x:f>IF(ISBLANK('Evaluation Plan'!E125),"",'Evaluation Plan'!E125)</x:f>
        <x:v>122</x:v>
      </x:c>
      <x:c r="F125" s="16" t="str">
        <x:f>'Evaluation Plan'!F125</x:f>
        <x:v>1008; airplane exposure 562</x:v>
      </x:c>
      <x:c r="G125" s="16" t="str">
        <x:f>'Evaluation Plan'!G125</x:f>
        <x:v>MOVE red pencil sharpener to bowl</x:v>
      </x:c>
      <x:c r="H125" s="6"/>
      <x:c r="I125" s="16" t="str">
        <x:f>'Evaluation Plan'!I125</x:f>
        <x:v>Cross-task airplane counterfactual</x:v>
      </x:c>
      <x:c r="J125" s="16" t="str">
        <x:f>'Evaluation Plan'!J125</x:f>
        <x:v>SZ-XA07</x:v>
      </x:c>
      <x:c r="K125" s="16" t="str">
        <x:f>'Evaluation Plan'!K125</x:f>
        <x:v>smallest</x:v>
      </x:c>
      <x:c r="L125" s="16" t="str">
        <x:f>'Evaluation Plan'!L125</x:f>
        <x:v>Exact-scene opposite-comparison reasoning control</x:v>
      </x:c>
      <x:c r="M125" s="16" t="str">
        <x:f>'Evaluation Plan'!M125</x:f>
        <x:v>red pencil sharpener</x:v>
      </x:c>
      <x:c r="N125" s="16" t="str">
        <x:f>'Evaluation Plan'!N125</x:f>
        <x:v>Left</x:v>
      </x:c>
      <x:c r="O125" s="16" t="n">
        <x:f>'Evaluation Plan'!O125</x:f>
        <x:v>2</x:v>
      </x:c>
      <x:c r="P125" s="16" t="n">
        <x:f>IF(ISBLANK('Evaluation Plan'!P125),"",'Evaluation Plan'!P125)</x:f>
        <x:v>8</x:v>
      </x:c>
      <x:c r="Q125" s="16" t="str">
        <x:f>'Evaluation Plan'!Q125</x:f>
        <x:v>Reset the airplane; preserve the exact scene and reverse only the size comparison.</x:v>
      </x:c>
      <x:c r="R125" s="6" t="str">
        <x:f>'Evaluation Plan'!R125</x:f>
        <x:v>Reasoning-only counterfactual grounded by trained cell smallest × red pencil sharpener; an always-pick-airplane shortcut must fail.</x:v>
      </x:c>
      <x:c r="S125" s="6" t="str">
        <x:f>IF(ISBLANK('Evaluation Plan'!S125),"",'Evaluation Plan'!S125)</x:f>
      </x:c>
    </x:row>
    <x:row r="126" ht="67.5" customHeight="1">
      <x:c r="A126" s="8" t="s">
        <x:v>19</x:v>
      </x:c>
      <x:c r="B126" s="8" t="n">
        <x:f>'Evaluation Plan'!B126</x:f>
        <x:v>124</x:v>
      </x:c>
      <x:c r="C126" s="9" t="str">
        <x:f>'Evaluation Plan'!C126</x:f>
        <x:v>Pick up the smallest item and place it in the bowl.</x:v>
      </x:c>
      <x:c r="D126" s="9" t="str">
        <x:f>'Evaluation Plan'!D126</x:f>
        <x:v>Bowl: empty. Table, robot-left→robot-right: P1 airplane toy with propellers; P2 green block; P3 juggling ball. Adjacent centers 12 cm apart; row centered on the workspace; all objects fully visible and grasp paths clear.</x:v>
      </x:c>
      <x:c r="E126" s="8" t="str">
        <x:f>IF(ISBLANK('Evaluation Plan'!E126),"",'Evaluation Plan'!E126)</x:f>
      </x:c>
      <x:c r="F126" s="8" t="str">
        <x:f>'Evaluation Plan'!F126</x:f>
        <x:v>airplane exposure 564</x:v>
      </x:c>
      <x:c r="G126" s="8" t="str">
        <x:f>'Evaluation Plan'!G126</x:f>
        <x:v>MOVE airplane toy with propellers to bowl</x:v>
      </x:c>
      <x:c r="H126" s="9"/>
      <x:c r="I126" s="8" t="str">
        <x:f>'Evaluation Plan'!I126</x:f>
        <x:v>Cross-task airplane reasoning</x:v>
      </x:c>
      <x:c r="J126" s="8" t="str">
        <x:f>'Evaluation Plan'!J126</x:f>
        <x:v>SZ-XA08</x:v>
      </x:c>
      <x:c r="K126" s="8" t="str">
        <x:f>'Evaluation Plan'!K126</x:f>
        <x:v>smallest</x:v>
      </x:c>
      <x:c r="L126" s="8" t="str">
        <x:f>'Evaluation Plan'!L126</x:f>
        <x:v>Airplane is smallest</x:v>
      </x:c>
      <x:c r="M126" s="8" t="str">
        <x:f>'Evaluation Plan'!M126</x:f>
        <x:v>airplane toy with propellers</x:v>
      </x:c>
      <x:c r="N126" s="8" t="str">
        <x:f>'Evaluation Plan'!N126</x:f>
        <x:v>Left</x:v>
      </x:c>
      <x:c r="O126" s="8" t="n">
        <x:f>'Evaluation Plan'!O126</x:f>
        <x:v>3</x:v>
      </x:c>
      <x:c r="P126" s="8" t="n">
        <x:f>IF(ISBLANK('Evaluation Plan'!P126),"",'Evaluation Plan'!P126)</x:f>
        <x:v>12</x:v>
      </x:c>
      <x:c r="Q126" s="8" t="str">
        <x:f>'Evaluation Plan'!Q126</x:f>
        <x:v>Build the listed airplane scene and save a first-frame filename.</x:v>
      </x:c>
      <x:c r="R126" s="9" t="str">
        <x:f>'Evaluation Plan'!R126</x:f>
        <x:v>The airplane is smaller than every listed table comparator. Green-block scenes also include a trained larger endpoint so the counterfactual does not test largest×green.</x:v>
      </x:c>
      <x:c r="S126" s="9" t="str">
        <x:f>IF(ISBLANK('Evaluation Plan'!S126),"",'Evaluation Plan'!S126)</x:f>
      </x:c>
    </x:row>
    <x:row r="127" ht="67.5" customHeight="1">
      <x:c r="A127" s="16" t="s">
        <x:v>19</x:v>
      </x:c>
      <x:c r="B127" s="16" t="n">
        <x:f>'Evaluation Plan'!B127</x:f>
        <x:v>125</x:v>
      </x:c>
      <x:c r="C127" s="6" t="str">
        <x:f>'Evaluation Plan'!C127</x:f>
        <x:v>Put the largest object in the bowl.</x:v>
      </x:c>
      <x:c r="D127" s="6" t="str">
        <x:f>'Evaluation Plan'!D127</x:f>
        <x:v>Bowl: empty. Table, robot-left→robot-right: P1 airplane toy with propellers; P2 green block; P3 juggling ball. Adjacent centers 12 cm apart; row centered on the workspace; all objects fully visible and grasp paths clear.</x:v>
      </x:c>
      <x:c r="E127" s="16" t="n">
        <x:f>IF(ISBLANK('Evaluation Plan'!E127),"",'Evaluation Plan'!E127)</x:f>
        <x:v>124</x:v>
      </x:c>
      <x:c r="F127" s="16" t="str">
        <x:f>'Evaluation Plan'!F127</x:f>
        <x:v>1128; airplane exposure 564</x:v>
      </x:c>
      <x:c r="G127" s="16" t="str">
        <x:f>'Evaluation Plan'!G127</x:f>
        <x:v>MOVE juggling ball to bowl</x:v>
      </x:c>
      <x:c r="H127" s="6"/>
      <x:c r="I127" s="16" t="str">
        <x:f>'Evaluation Plan'!I127</x:f>
        <x:v>Cross-task airplane counterfactual</x:v>
      </x:c>
      <x:c r="J127" s="16" t="str">
        <x:f>'Evaluation Plan'!J127</x:f>
        <x:v>SZ-XA08</x:v>
      </x:c>
      <x:c r="K127" s="16" t="str">
        <x:f>'Evaluation Plan'!K127</x:f>
        <x:v>largest</x:v>
      </x:c>
      <x:c r="L127" s="16" t="str">
        <x:f>'Evaluation Plan'!L127</x:f>
        <x:v>Exact-scene opposite-comparison reasoning control</x:v>
      </x:c>
      <x:c r="M127" s="16" t="str">
        <x:f>'Evaluation Plan'!M127</x:f>
        <x:v>juggling ball</x:v>
      </x:c>
      <x:c r="N127" s="16" t="str">
        <x:f>'Evaluation Plan'!N127</x:f>
        <x:v>Right</x:v>
      </x:c>
      <x:c r="O127" s="16" t="n">
        <x:f>'Evaluation Plan'!O127</x:f>
        <x:v>3</x:v>
      </x:c>
      <x:c r="P127" s="16" t="n">
        <x:f>IF(ISBLANK('Evaluation Plan'!P127),"",'Evaluation Plan'!P127)</x:f>
        <x:v>12</x:v>
      </x:c>
      <x:c r="Q127" s="16" t="str">
        <x:f>'Evaluation Plan'!Q127</x:f>
        <x:v>Reset the airplane; preserve the exact scene and reverse only the size comparison.</x:v>
      </x:c>
      <x:c r="R127" s="6" t="str">
        <x:f>'Evaluation Plan'!R127</x:f>
        <x:v>Reasoning-only counterfactual grounded by trained cell largest × juggling ball; an always-pick-airplane shortcut must fail.</x:v>
      </x:c>
      <x:c r="S127" s="6" t="str">
        <x:f>IF(ISBLANK('Evaluation Plan'!S127),"",'Evaluation Plan'!S127)</x:f>
      </x:c>
    </x:row>
    <x:row r="128" ht="67.5" customHeight="1">
      <x:c r="A128" s="8" t="s">
        <x:v>19</x:v>
      </x:c>
      <x:c r="B128" s="8" t="n">
        <x:f>'Evaluation Plan'!B128</x:f>
        <x:v>126</x:v>
      </x:c>
      <x:c r="C128" s="9" t="str">
        <x:f>'Evaluation Plan'!C128</x:f>
        <x:v>Pick up the largest item and place it in the bowl.</x:v>
      </x:c>
      <x:c r="D128" s="9" t="str">
        <x:f>'Evaluation Plan'!D128</x:f>
        <x:v>Bowl: empty. Table, robot-left→robot-right: P1 airplane toy with propellers; P2 red pencil sharpener. Adjacent centers 12 cm apart; row shifted 4 cm away from the robot; all objects fully visible and grasp paths clear.</x:v>
      </x:c>
      <x:c r="E128" s="8" t="str">
        <x:f>IF(ISBLANK('Evaluation Plan'!E128),"",'Evaluation Plan'!E128)</x:f>
      </x:c>
      <x:c r="F128" s="8" t="str">
        <x:f>'Evaluation Plan'!F128</x:f>
        <x:v>airplane exposure 566</x:v>
      </x:c>
      <x:c r="G128" s="8" t="str">
        <x:f>'Evaluation Plan'!G128</x:f>
        <x:v>MOVE airplane toy with propellers to bowl</x:v>
      </x:c>
      <x:c r="H128" s="9"/>
      <x:c r="I128" s="8" t="str">
        <x:f>'Evaluation Plan'!I128</x:f>
        <x:v>Cross-task airplane reasoning</x:v>
      </x:c>
      <x:c r="J128" s="8" t="str">
        <x:f>'Evaluation Plan'!J128</x:f>
        <x:v>SZ-XA09</x:v>
      </x:c>
      <x:c r="K128" s="8" t="str">
        <x:f>'Evaluation Plan'!K128</x:f>
        <x:v>largest</x:v>
      </x:c>
      <x:c r="L128" s="8" t="str">
        <x:f>'Evaluation Plan'!L128</x:f>
        <x:v>Airplane is largest</x:v>
      </x:c>
      <x:c r="M128" s="8" t="str">
        <x:f>'Evaluation Plan'!M128</x:f>
        <x:v>airplane toy with propellers</x:v>
      </x:c>
      <x:c r="N128" s="8" t="str">
        <x:f>'Evaluation Plan'!N128</x:f>
        <x:v>Left</x:v>
      </x:c>
      <x:c r="O128" s="8" t="n">
        <x:f>'Evaluation Plan'!O128</x:f>
        <x:v>2</x:v>
      </x:c>
      <x:c r="P128" s="8" t="n">
        <x:f>IF(ISBLANK('Evaluation Plan'!P128),"",'Evaluation Plan'!P128)</x:f>
        <x:v>12</x:v>
      </x:c>
      <x:c r="Q128" s="8" t="str">
        <x:f>'Evaluation Plan'!Q128</x:f>
        <x:v>Build the listed airplane scene and save a first-frame filename.</x:v>
      </x:c>
      <x:c r="R128" s="9" t="str">
        <x:f>'Evaluation Plan'!R128</x:f>
        <x:v>The airplane is larger than the red pencil sharpener. It is known globally but never received size language in training.</x:v>
      </x:c>
      <x:c r="S128" s="9" t="str">
        <x:f>IF(ISBLANK('Evaluation Plan'!S128),"",'Evaluation Plan'!S128)</x:f>
      </x:c>
    </x:row>
    <x:row r="129" ht="67.5" customHeight="1">
      <x:c r="A129" s="16" t="s">
        <x:v>19</x:v>
      </x:c>
      <x:c r="B129" s="16" t="n">
        <x:f>'Evaluation Plan'!B129</x:f>
        <x:v>127</x:v>
      </x:c>
      <x:c r="C129" s="6" t="str">
        <x:f>'Evaluation Plan'!C129</x:f>
        <x:v>Move the object that is smallest into the bowl.</x:v>
      </x:c>
      <x:c r="D129" s="6" t="str">
        <x:f>'Evaluation Plan'!D129</x:f>
        <x:v>Bowl: empty. Table, robot-left→robot-right: P1 airplane toy with propellers; P2 red pencil sharpener. Adjacent centers 12 cm apart; row shifted 4 cm away from the robot; all objects fully visible and grasp paths clear.</x:v>
      </x:c>
      <x:c r="E129" s="16" t="n">
        <x:f>IF(ISBLANK('Evaluation Plan'!E129),"",'Evaluation Plan'!E129)</x:f>
        <x:v>126</x:v>
      </x:c>
      <x:c r="F129" s="16" t="str">
        <x:f>'Evaluation Plan'!F129</x:f>
        <x:v>1009; airplane exposure 566</x:v>
      </x:c>
      <x:c r="G129" s="16" t="str">
        <x:f>'Evaluation Plan'!G129</x:f>
        <x:v>MOVE red pencil sharpener to bowl</x:v>
      </x:c>
      <x:c r="H129" s="6"/>
      <x:c r="I129" s="16" t="str">
        <x:f>'Evaluation Plan'!I129</x:f>
        <x:v>Cross-task airplane counterfactual</x:v>
      </x:c>
      <x:c r="J129" s="16" t="str">
        <x:f>'Evaluation Plan'!J129</x:f>
        <x:v>SZ-XA09</x:v>
      </x:c>
      <x:c r="K129" s="16" t="str">
        <x:f>'Evaluation Plan'!K129</x:f>
        <x:v>smallest</x:v>
      </x:c>
      <x:c r="L129" s="16" t="str">
        <x:f>'Evaluation Plan'!L129</x:f>
        <x:v>Exact-scene opposite-comparison reasoning control</x:v>
      </x:c>
      <x:c r="M129" s="16" t="str">
        <x:f>'Evaluation Plan'!M129</x:f>
        <x:v>red pencil sharpener</x:v>
      </x:c>
      <x:c r="N129" s="16" t="str">
        <x:f>'Evaluation Plan'!N129</x:f>
        <x:v>Right</x:v>
      </x:c>
      <x:c r="O129" s="16" t="n">
        <x:f>'Evaluation Plan'!O129</x:f>
        <x:v>2</x:v>
      </x:c>
      <x:c r="P129" s="16" t="n">
        <x:f>IF(ISBLANK('Evaluation Plan'!P129),"",'Evaluation Plan'!P129)</x:f>
        <x:v>12</x:v>
      </x:c>
      <x:c r="Q129" s="16" t="str">
        <x:f>'Evaluation Plan'!Q129</x:f>
        <x:v>Reset the airplane; preserve the exact scene and reverse only the size comparison.</x:v>
      </x:c>
      <x:c r="R129" s="6" t="str">
        <x:f>'Evaluation Plan'!R129</x:f>
        <x:v>Reasoning-only counterfactual grounded by trained cell smallest × red pencil sharpener; an always-pick-airplane shortcut must fail.</x:v>
      </x:c>
      <x:c r="S129" s="6" t="str">
        <x:f>IF(ISBLANK('Evaluation Plan'!S129),"",'Evaluation Plan'!S129)</x:f>
      </x:c>
    </x:row>
    <x:row r="130" ht="67.5" customHeight="1">
      <x:c r="A130" s="8" t="s">
        <x:v>19</x:v>
      </x:c>
      <x:c r="B130" s="8" t="n">
        <x:f>'Evaluation Plan'!B130</x:f>
        <x:v>128</x:v>
      </x:c>
      <x:c r="C130" s="9" t="str">
        <x:f>'Evaluation Plan'!C130</x:f>
        <x:v>Put the smallest object in the bowl.</x:v>
      </x:c>
      <x:c r="D130" s="9" t="str">
        <x:f>'Evaluation Plan'!D130</x:f>
        <x:v>Bowl: empty. Table, robot-left→robot-right: P1 crushed Pepsi can; P2 juggling ball; P3 airplane toy with propellers. Adjacent centers 16 cm apart; row shifted 4 cm toward robot-left; all objects fully visible and grasp paths clear.</x:v>
      </x:c>
      <x:c r="E130" s="8" t="str">
        <x:f>IF(ISBLANK('Evaluation Plan'!E130),"",'Evaluation Plan'!E130)</x:f>
      </x:c>
      <x:c r="F130" s="8" t="str">
        <x:f>'Evaluation Plan'!F130</x:f>
        <x:v>airplane exposure 568</x:v>
      </x:c>
      <x:c r="G130" s="8" t="str">
        <x:f>'Evaluation Plan'!G130</x:f>
        <x:v>MOVE airplane toy with propellers to bowl</x:v>
      </x:c>
      <x:c r="H130" s="9"/>
      <x:c r="I130" s="8" t="str">
        <x:f>'Evaluation Plan'!I130</x:f>
        <x:v>Cross-task airplane reasoning</x:v>
      </x:c>
      <x:c r="J130" s="8" t="str">
        <x:f>'Evaluation Plan'!J130</x:f>
        <x:v>SZ-XA10</x:v>
      </x:c>
      <x:c r="K130" s="8" t="str">
        <x:f>'Evaluation Plan'!K130</x:f>
        <x:v>smallest</x:v>
      </x:c>
      <x:c r="L130" s="8" t="str">
        <x:f>'Evaluation Plan'!L130</x:f>
        <x:v>Airplane is smallest</x:v>
      </x:c>
      <x:c r="M130" s="8" t="str">
        <x:f>'Evaluation Plan'!M130</x:f>
        <x:v>airplane toy with propellers</x:v>
      </x:c>
      <x:c r="N130" s="8" t="str">
        <x:f>'Evaluation Plan'!N130</x:f>
        <x:v>Right</x:v>
      </x:c>
      <x:c r="O130" s="8" t="n">
        <x:f>'Evaluation Plan'!O130</x:f>
        <x:v>3</x:v>
      </x:c>
      <x:c r="P130" s="8" t="n">
        <x:f>IF(ISBLANK('Evaluation Plan'!P130),"",'Evaluation Plan'!P130)</x:f>
        <x:v>16</x:v>
      </x:c>
      <x:c r="Q130" s="8" t="str">
        <x:f>'Evaluation Plan'!Q130</x:f>
        <x:v>Build the listed airplane scene and save a first-frame filename.</x:v>
      </x:c>
      <x:c r="R130" s="9" t="str">
        <x:f>'Evaluation Plan'!R130</x:f>
        <x:v>The airplane is smaller than every listed table comparator. Green-block scenes also include a trained larger endpoint so the counterfactual does not test largest×green.</x:v>
      </x:c>
      <x:c r="S130" s="9" t="str">
        <x:f>IF(ISBLANK('Evaluation Plan'!S130),"",'Evaluation Plan'!S130)</x:f>
      </x:c>
    </x:row>
    <x:row r="131" ht="67.5" customHeight="1">
      <x:c r="A131" s="16" t="s">
        <x:v>19</x:v>
      </x:c>
      <x:c r="B131" s="16" t="n">
        <x:f>'Evaluation Plan'!B131</x:f>
        <x:v>129</x:v>
      </x:c>
      <x:c r="C131" s="6" t="str">
        <x:f>'Evaluation Plan'!C131</x:f>
        <x:v>Move the object that is largest into the bowl.</x:v>
      </x:c>
      <x:c r="D131" s="6" t="str">
        <x:f>'Evaluation Plan'!D131</x:f>
        <x:v>Bowl: empty. Table, robot-left→robot-right: P1 crushed Pepsi can; P2 juggling ball; P3 airplane toy with propellers. Adjacent centers 16 cm apart; row shifted 4 cm toward robot-left; all objects fully visible and grasp paths clear.</x:v>
      </x:c>
      <x:c r="E131" s="16" t="n">
        <x:f>IF(ISBLANK('Evaluation Plan'!E131),"",'Evaluation Plan'!E131)</x:f>
        <x:v>128</x:v>
      </x:c>
      <x:c r="F131" s="16" t="str">
        <x:f>'Evaluation Plan'!F131</x:f>
        <x:v>1159; airplane exposure 568</x:v>
      </x:c>
      <x:c r="G131" s="16" t="str">
        <x:f>'Evaluation Plan'!G131</x:f>
        <x:v>MOVE crushed Pepsi can to bowl</x:v>
      </x:c>
      <x:c r="H131" s="6"/>
      <x:c r="I131" s="16" t="str">
        <x:f>'Evaluation Plan'!I131</x:f>
        <x:v>Cross-task airplane counterfactual</x:v>
      </x:c>
      <x:c r="J131" s="16" t="str">
        <x:f>'Evaluation Plan'!J131</x:f>
        <x:v>SZ-XA10</x:v>
      </x:c>
      <x:c r="K131" s="16" t="str">
        <x:f>'Evaluation Plan'!K131</x:f>
        <x:v>largest</x:v>
      </x:c>
      <x:c r="L131" s="16" t="str">
        <x:f>'Evaluation Plan'!L131</x:f>
        <x:v>Exact-scene opposite-comparison reasoning control</x:v>
      </x:c>
      <x:c r="M131" s="16" t="str">
        <x:f>'Evaluation Plan'!M131</x:f>
        <x:v>crushed Pepsi can</x:v>
      </x:c>
      <x:c r="N131" s="16" t="str">
        <x:f>'Evaluation Plan'!N131</x:f>
        <x:v>Left</x:v>
      </x:c>
      <x:c r="O131" s="16" t="n">
        <x:f>'Evaluation Plan'!O131</x:f>
        <x:v>3</x:v>
      </x:c>
      <x:c r="P131" s="16" t="n">
        <x:f>IF(ISBLANK('Evaluation Plan'!P131),"",'Evaluation Plan'!P131)</x:f>
        <x:v>16</x:v>
      </x:c>
      <x:c r="Q131" s="16" t="str">
        <x:f>'Evaluation Plan'!Q131</x:f>
        <x:v>Reset the airplane; preserve the exact scene and reverse only the size comparison.</x:v>
      </x:c>
      <x:c r="R131" s="6" t="str">
        <x:f>'Evaluation Plan'!R131</x:f>
        <x:v>Reasoning-only counterfactual grounded by trained cell largest × crushed Pepsi can; an always-pick-airplane shortcut must fail.</x:v>
      </x:c>
      <x:c r="S131" s="6" t="str">
        <x:f>IF(ISBLANK('Evaluation Plan'!S131),"",'Evaluation Plan'!S131)</x:f>
      </x:c>
    </x:row>
    <x:row r="132" ht="67.5" customHeight="1">
      <x:c r="A132" s="8" t="s">
        <x:v>19</x:v>
      </x:c>
      <x:c r="B132" s="8" t="n">
        <x:f>'Evaluation Plan'!B132</x:f>
        <x:v>130</x:v>
      </x:c>
      <x:c r="C132" s="9" t="str">
        <x:f>'Evaluation Plan'!C132</x:f>
        <x:v>Move the object that is smallest into the bowl.</x:v>
      </x:c>
      <x:c r="D132" s="9" t="str">
        <x:f>'Evaluation Plan'!D132</x:f>
        <x:v>Bowl: red pencil sharpener. Table: green block. row centered on the workspace; every object fully visible. The requested extremal object is already in the bowl.</x:v>
      </x:c>
      <x:c r="E132" s="8" t="str">
        <x:f>IF(ISBLANK('Evaluation Plan'!E132),"",'Evaluation Plan'!E132)</x:f>
      </x:c>
      <x:c r="F132" s="8" t="str">
        <x:f>'Evaluation Plan'!F132</x:f>
        <x:v>1010</x:v>
      </x:c>
      <x:c r="G132" s="8" t="str">
        <x:f>'Evaluation Plan'!G132</x:f>
        <x:v>NO MOVEMENT — goal already satisfied</x:v>
      </x:c>
      <x:c r="H132" s="9"/>
      <x:c r="I132" s="8" t="str">
        <x:f>'Evaluation Plan'!I132</x:f>
        <x:v>Goal already satisfied / no movement</x:v>
      </x:c>
      <x:c r="J132" s="8" t="str">
        <x:f>'Evaluation Plan'!J132</x:f>
        <x:v>SZ-NOOP-1-1</x:v>
      </x:c>
      <x:c r="K132" s="8" t="str">
        <x:f>'Evaluation Plan'!K132</x:f>
        <x:v>smallest</x:v>
      </x:c>
      <x:c r="L132" s="8" t="str">
        <x:f>'Evaluation Plan'!L132</x:f>
        <x:v>Trained smallest × red pencil sharpener; target already in bowl</x:v>
      </x:c>
      <x:c r="M132" s="8" t="str">
        <x:f>'Evaluation Plan'!M132</x:f>
        <x:v>red pencil sharpener</x:v>
      </x:c>
      <x:c r="N132" s="8" t="str">
        <x:f>'Evaluation Plan'!N132</x:f>
        <x:v>In bowl</x:v>
      </x:c>
      <x:c r="O132" s="8" t="n">
        <x:f>'Evaluation Plan'!O132</x:f>
        <x:v>2</x:v>
      </x:c>
      <x:c r="P132" s="8" t="str">
        <x:f>IF(ISBLANK('Evaluation Plan'!P132),"",'Evaluation Plan'!P132)</x:f>
      </x:c>
      <x:c r="Q132" s="8" t="str">
        <x:f>'Evaluation Plan'!Q132</x:f>
        <x:v>Place the target in the bowl before starting; arrange the listed distractors on the table.</x:v>
      </x:c>
      <x:c r="R132" s="9" t="str">
        <x:f>'Evaluation Plan'!R132</x:f>
        <x:v>Normal training-supported size wording is retained, so no-movement behavior is not correlated with a special phrase. Success requires no object contact or displacement.</x:v>
      </x:c>
      <x:c r="S132" s="9" t="str">
        <x:f>IF(ISBLANK('Evaluation Plan'!S132),"",'Evaluation Plan'!S132)</x:f>
      </x:c>
    </x:row>
    <x:row r="133" ht="67.5" customHeight="1">
      <x:c r="A133" s="8" t="s">
        <x:v>19</x:v>
      </x:c>
      <x:c r="B133" s="8" t="n">
        <x:f>'Evaluation Plan'!B133</x:f>
        <x:v>131</x:v>
      </x:c>
      <x:c r="C133" s="9" t="str">
        <x:f>'Evaluation Plan'!C133</x:f>
        <x:v>Pick up the smallest item and place it in the bowl.</x:v>
      </x:c>
      <x:c r="D133" s="9" t="str">
        <x:f>'Evaluation Plan'!D133</x:f>
        <x:v>Bowl: green block. Table: juggling ball. row shifted 4 cm toward robot-left; every object fully visible. The requested extremal object is already in the bowl.</x:v>
      </x:c>
      <x:c r="E133" s="8" t="str">
        <x:f>IF(ISBLANK('Evaluation Plan'!E133),"",'Evaluation Plan'!E133)</x:f>
      </x:c>
      <x:c r="F133" s="8" t="str">
        <x:f>'Evaluation Plan'!F133</x:f>
        <x:v>1055</x:v>
      </x:c>
      <x:c r="G133" s="8" t="str">
        <x:f>'Evaluation Plan'!G133</x:f>
        <x:v>NO MOVEMENT — goal already satisfied</x:v>
      </x:c>
      <x:c r="H133" s="9"/>
      <x:c r="I133" s="8" t="str">
        <x:f>'Evaluation Plan'!I133</x:f>
        <x:v>Goal already satisfied / no movement</x:v>
      </x:c>
      <x:c r="J133" s="8" t="str">
        <x:f>'Evaluation Plan'!J133</x:f>
        <x:v>SZ-NOOP-2-1</x:v>
      </x:c>
      <x:c r="K133" s="8" t="str">
        <x:f>'Evaluation Plan'!K133</x:f>
        <x:v>smallest</x:v>
      </x:c>
      <x:c r="L133" s="8" t="str">
        <x:f>'Evaluation Plan'!L133</x:f>
        <x:v>Trained smallest × green block; target already in bowl</x:v>
      </x:c>
      <x:c r="M133" s="8" t="str">
        <x:f>'Evaluation Plan'!M133</x:f>
        <x:v>green block</x:v>
      </x:c>
      <x:c r="N133" s="8" t="str">
        <x:f>'Evaluation Plan'!N133</x:f>
        <x:v>In bowl</x:v>
      </x:c>
      <x:c r="O133" s="8" t="n">
        <x:f>'Evaluation Plan'!O133</x:f>
        <x:v>2</x:v>
      </x:c>
      <x:c r="P133" s="8" t="str">
        <x:f>IF(ISBLANK('Evaluation Plan'!P133),"",'Evaluation Plan'!P133)</x:f>
      </x:c>
      <x:c r="Q133" s="8" t="str">
        <x:f>'Evaluation Plan'!Q133</x:f>
        <x:v>Place the target in the bowl before starting; arrange the listed distractors on the table.</x:v>
      </x:c>
      <x:c r="R133" s="9" t="str">
        <x:f>'Evaluation Plan'!R133</x:f>
        <x:v>Normal training-supported size wording is retained, so no-movement behavior is not correlated with a special phrase. Success requires no object contact or displacement.</x:v>
      </x:c>
      <x:c r="S133" s="9" t="str">
        <x:f>IF(ISBLANK('Evaluation Plan'!S133),"",'Evaluation Plan'!S133)</x:f>
      </x:c>
    </x:row>
    <x:row r="134" ht="67.5" customHeight="1">
      <x:c r="A134" s="8" t="s">
        <x:v>19</x:v>
      </x:c>
      <x:c r="B134" s="8" t="n">
        <x:f>'Evaluation Plan'!B134</x:f>
        <x:v>132</x:v>
      </x:c>
      <x:c r="C134" s="9" t="str">
        <x:f>'Evaluation Plan'!C134</x:f>
        <x:v>Put the largest object in the bowl.</x:v>
      </x:c>
      <x:c r="D134" s="9" t="str">
        <x:f>'Evaluation Plan'!D134</x:f>
        <x:v>Bowl: juggling ball. Table: red pencil sharpener. row shifted 4 cm toward robot-right; every object fully visible. The requested extremal object is already in the bowl.</x:v>
      </x:c>
      <x:c r="E134" s="8" t="str">
        <x:f>IF(ISBLANK('Evaluation Plan'!E134),"",'Evaluation Plan'!E134)</x:f>
      </x:c>
      <x:c r="F134" s="8" t="str">
        <x:f>'Evaluation Plan'!F134</x:f>
        <x:v>1130</x:v>
      </x:c>
      <x:c r="G134" s="8" t="str">
        <x:f>'Evaluation Plan'!G134</x:f>
        <x:v>NO MOVEMENT — goal already satisfied</x:v>
      </x:c>
      <x:c r="H134" s="9"/>
      <x:c r="I134" s="8" t="str">
        <x:f>'Evaluation Plan'!I134</x:f>
        <x:v>Goal already satisfied / no movement</x:v>
      </x:c>
      <x:c r="J134" s="8" t="str">
        <x:f>'Evaluation Plan'!J134</x:f>
        <x:v>SZ-NOOP-3-1</x:v>
      </x:c>
      <x:c r="K134" s="8" t="str">
        <x:f>'Evaluation Plan'!K134</x:f>
        <x:v>largest</x:v>
      </x:c>
      <x:c r="L134" s="8" t="str">
        <x:f>'Evaluation Plan'!L134</x:f>
        <x:v>Trained largest × juggling ball; target already in bowl</x:v>
      </x:c>
      <x:c r="M134" s="8" t="str">
        <x:f>'Evaluation Plan'!M134</x:f>
        <x:v>juggling ball</x:v>
      </x:c>
      <x:c r="N134" s="8" t="str">
        <x:f>'Evaluation Plan'!N134</x:f>
        <x:v>In bowl</x:v>
      </x:c>
      <x:c r="O134" s="8" t="n">
        <x:f>'Evaluation Plan'!O134</x:f>
        <x:v>2</x:v>
      </x:c>
      <x:c r="P134" s="8" t="str">
        <x:f>IF(ISBLANK('Evaluation Plan'!P134),"",'Evaluation Plan'!P134)</x:f>
      </x:c>
      <x:c r="Q134" s="8" t="str">
        <x:f>'Evaluation Plan'!Q134</x:f>
        <x:v>Place the target in the bowl before starting; arrange the listed distractors on the table.</x:v>
      </x:c>
      <x:c r="R134" s="9" t="str">
        <x:f>'Evaluation Plan'!R134</x:f>
        <x:v>Normal training-supported size wording is retained, so no-movement behavior is not correlated with a special phrase. Success requires no object contact or displacement.</x:v>
      </x:c>
      <x:c r="S134" s="9" t="str">
        <x:f>IF(ISBLANK('Evaluation Plan'!S134),"",'Evaluation Plan'!S134)</x:f>
      </x:c>
    </x:row>
    <x:row r="135" ht="67.5" customHeight="1">
      <x:c r="A135" s="8" t="s">
        <x:v>19</x:v>
      </x:c>
      <x:c r="B135" s="8" t="n">
        <x:f>'Evaluation Plan'!B135</x:f>
        <x:v>133</x:v>
      </x:c>
      <x:c r="C135" s="9" t="str">
        <x:f>'Evaluation Plan'!C135</x:f>
        <x:v>Move the object that is largest into the bowl.</x:v>
      </x:c>
      <x:c r="D135" s="9" t="str">
        <x:f>'Evaluation Plan'!D135</x:f>
        <x:v>Bowl: crushed Pepsi can. Table: juggling ball. row shifted 4 cm toward the robot; every object fully visible. The requested extremal object is already in the bowl.</x:v>
      </x:c>
      <x:c r="E135" s="8" t="str">
        <x:f>IF(ISBLANK('Evaluation Plan'!E135),"",'Evaluation Plan'!E135)</x:f>
      </x:c>
      <x:c r="F135" s="8" t="str">
        <x:f>'Evaluation Plan'!F135</x:f>
        <x:v>1160</x:v>
      </x:c>
      <x:c r="G135" s="8" t="str">
        <x:f>'Evaluation Plan'!G135</x:f>
        <x:v>NO MOVEMENT — goal already satisfied</x:v>
      </x:c>
      <x:c r="H135" s="9"/>
      <x:c r="I135" s="8" t="str">
        <x:f>'Evaluation Plan'!I135</x:f>
        <x:v>Goal already satisfied / no movement</x:v>
      </x:c>
      <x:c r="J135" s="8" t="str">
        <x:f>'Evaluation Plan'!J135</x:f>
        <x:v>SZ-NOOP-4-1</x:v>
      </x:c>
      <x:c r="K135" s="8" t="str">
        <x:f>'Evaluation Plan'!K135</x:f>
        <x:v>largest</x:v>
      </x:c>
      <x:c r="L135" s="8" t="str">
        <x:f>'Evaluation Plan'!L135</x:f>
        <x:v>Trained largest × crushed Pepsi can; target already in bowl</x:v>
      </x:c>
      <x:c r="M135" s="8" t="str">
        <x:f>'Evaluation Plan'!M135</x:f>
        <x:v>crushed Pepsi can</x:v>
      </x:c>
      <x:c r="N135" s="8" t="str">
        <x:f>'Evaluation Plan'!N135</x:f>
        <x:v>In bowl</x:v>
      </x:c>
      <x:c r="O135" s="8" t="n">
        <x:f>'Evaluation Plan'!O135</x:f>
        <x:v>2</x:v>
      </x:c>
      <x:c r="P135" s="8" t="str">
        <x:f>IF(ISBLANK('Evaluation Plan'!P135),"",'Evaluation Plan'!P135)</x:f>
      </x:c>
      <x:c r="Q135" s="8" t="str">
        <x:f>'Evaluation Plan'!Q135</x:f>
        <x:v>Place the target in the bowl before starting; arrange the listed distractors on the table.</x:v>
      </x:c>
      <x:c r="R135" s="9" t="str">
        <x:f>'Evaluation Plan'!R135</x:f>
        <x:v>Normal training-supported size wording is retained, so no-movement behavior is not correlated with a special phrase. Success requires no object contact or displacement.</x:v>
      </x:c>
      <x:c r="S135" s="9" t="str">
        <x:f>IF(ISBLANK('Evaluation Plan'!S135),"",'Evaluation Plan'!S135)</x:f>
      </x:c>
    </x:row>
    <x:row r="136" ht="67.5" customHeight="1">
      <x:c r="A136" s="8" t="s">
        <x:v>19</x:v>
      </x:c>
      <x:c r="B136" s="8" t="n">
        <x:f>'Evaluation Plan'!B136</x:f>
        <x:v>134</x:v>
      </x:c>
      <x:c r="C136" s="9" t="str">
        <x:f>'Evaluation Plan'!C136</x:f>
        <x:v>Pick up the smallest item and place it in the bowl.</x:v>
      </x:c>
      <x:c r="D136" s="9" t="str">
        <x:f>'Evaluation Plan'!D136</x:f>
        <x:v>Bowl: red pencil sharpener. Table: juggling ball; crushed Pepsi can. row shifted 4 cm toward robot-left; every object fully visible. The requested extremal object is already in the bowl.</x:v>
      </x:c>
      <x:c r="E136" s="8" t="str">
        <x:f>IF(ISBLANK('Evaluation Plan'!E136),"",'Evaluation Plan'!E136)</x:f>
      </x:c>
      <x:c r="F136" s="8" t="str">
        <x:f>'Evaluation Plan'!F136</x:f>
        <x:v>1011</x:v>
      </x:c>
      <x:c r="G136" s="8" t="str">
        <x:f>'Evaluation Plan'!G136</x:f>
        <x:v>NO MOVEMENT — goal already satisfied</x:v>
      </x:c>
      <x:c r="H136" s="9"/>
      <x:c r="I136" s="8" t="str">
        <x:f>'Evaluation Plan'!I136</x:f>
        <x:v>Goal already satisfied / no movement</x:v>
      </x:c>
      <x:c r="J136" s="8" t="str">
        <x:f>'Evaluation Plan'!J136</x:f>
        <x:v>SZ-NOOP-1-2</x:v>
      </x:c>
      <x:c r="K136" s="8" t="str">
        <x:f>'Evaluation Plan'!K136</x:f>
        <x:v>smallest</x:v>
      </x:c>
      <x:c r="L136" s="8" t="str">
        <x:f>'Evaluation Plan'!L136</x:f>
        <x:v>Trained smallest × red pencil sharpener; target already in bowl</x:v>
      </x:c>
      <x:c r="M136" s="8" t="str">
        <x:f>'Evaluation Plan'!M136</x:f>
        <x:v>red pencil sharpener</x:v>
      </x:c>
      <x:c r="N136" s="8" t="str">
        <x:f>'Evaluation Plan'!N136</x:f>
        <x:v>In bowl</x:v>
      </x:c>
      <x:c r="O136" s="8" t="n">
        <x:f>'Evaluation Plan'!O136</x:f>
        <x:v>3</x:v>
      </x:c>
      <x:c r="P136" s="8" t="str">
        <x:f>IF(ISBLANK('Evaluation Plan'!P136),"",'Evaluation Plan'!P136)</x:f>
      </x:c>
      <x:c r="Q136" s="8" t="str">
        <x:f>'Evaluation Plan'!Q136</x:f>
        <x:v>Place the target in the bowl before starting; arrange the listed distractors on the table.</x:v>
      </x:c>
      <x:c r="R136" s="9" t="str">
        <x:f>'Evaluation Plan'!R136</x:f>
        <x:v>Normal training-supported size wording is retained, so no-movement behavior is not correlated with a special phrase. Success requires no object contact or displacement.</x:v>
      </x:c>
      <x:c r="S136" s="9" t="str">
        <x:f>IF(ISBLANK('Evaluation Plan'!S136),"",'Evaluation Plan'!S136)</x:f>
      </x:c>
    </x:row>
    <x:row r="137" ht="67.5" customHeight="1">
      <x:c r="A137" s="8" t="s">
        <x:v>19</x:v>
      </x:c>
      <x:c r="B137" s="8" t="n">
        <x:f>'Evaluation Plan'!B137</x:f>
        <x:v>135</x:v>
      </x:c>
      <x:c r="C137" s="9" t="str">
        <x:f>'Evaluation Plan'!C137</x:f>
        <x:v>Put the smallest object in the bowl.</x:v>
      </x:c>
      <x:c r="D137" s="9" t="str">
        <x:f>'Evaluation Plan'!D137</x:f>
        <x:v>Bowl: green block. Table: crushed Pepsi can. row shifted 4 cm toward robot-right; every object fully visible. The requested extremal object is already in the bowl.</x:v>
      </x:c>
      <x:c r="E137" s="8" t="str">
        <x:f>IF(ISBLANK('Evaluation Plan'!E137),"",'Evaluation Plan'!E137)</x:f>
      </x:c>
      <x:c r="F137" s="8" t="str">
        <x:f>'Evaluation Plan'!F137</x:f>
        <x:v>1056</x:v>
      </x:c>
      <x:c r="G137" s="8" t="str">
        <x:f>'Evaluation Plan'!G137</x:f>
        <x:v>NO MOVEMENT — goal already satisfied</x:v>
      </x:c>
      <x:c r="H137" s="9"/>
      <x:c r="I137" s="8" t="str">
        <x:f>'Evaluation Plan'!I137</x:f>
        <x:v>Goal already satisfied / no movement</x:v>
      </x:c>
      <x:c r="J137" s="8" t="str">
        <x:f>'Evaluation Plan'!J137</x:f>
        <x:v>SZ-NOOP-2-2</x:v>
      </x:c>
      <x:c r="K137" s="8" t="str">
        <x:f>'Evaluation Plan'!K137</x:f>
        <x:v>smallest</x:v>
      </x:c>
      <x:c r="L137" s="8" t="str">
        <x:f>'Evaluation Plan'!L137</x:f>
        <x:v>Trained smallest × green block; target already in bowl</x:v>
      </x:c>
      <x:c r="M137" s="8" t="str">
        <x:f>'Evaluation Plan'!M137</x:f>
        <x:v>green block</x:v>
      </x:c>
      <x:c r="N137" s="8" t="str">
        <x:f>'Evaluation Plan'!N137</x:f>
        <x:v>In bowl</x:v>
      </x:c>
      <x:c r="O137" s="8" t="n">
        <x:f>'Evaluation Plan'!O137</x:f>
        <x:v>2</x:v>
      </x:c>
      <x:c r="P137" s="8" t="str">
        <x:f>IF(ISBLANK('Evaluation Plan'!P137),"",'Evaluation Plan'!P137)</x:f>
      </x:c>
      <x:c r="Q137" s="8" t="str">
        <x:f>'Evaluation Plan'!Q137</x:f>
        <x:v>Place the target in the bowl before starting; arrange the listed distractors on the table.</x:v>
      </x:c>
      <x:c r="R137" s="9" t="str">
        <x:f>'Evaluation Plan'!R137</x:f>
        <x:v>Normal training-supported size wording is retained, so no-movement behavior is not correlated with a special phrase. Success requires no object contact or displacement.</x:v>
      </x:c>
      <x:c r="S137" s="9" t="str">
        <x:f>IF(ISBLANK('Evaluation Plan'!S137),"",'Evaluation Plan'!S137)</x:f>
      </x:c>
    </x:row>
    <x:row r="138" ht="67.5" customHeight="1">
      <x:c r="A138" s="8" t="s">
        <x:v>19</x:v>
      </x:c>
      <x:c r="B138" s="8" t="n">
        <x:f>'Evaluation Plan'!B138</x:f>
        <x:v>136</x:v>
      </x:c>
      <x:c r="C138" s="9" t="str">
        <x:f>'Evaluation Plan'!C138</x:f>
        <x:v>Move the object that is largest into the bowl.</x:v>
      </x:c>
      <x:c r="D138" s="9" t="str">
        <x:f>'Evaluation Plan'!D138</x:f>
        <x:v>Bowl: juggling ball. Table: green block. row shifted 4 cm toward the robot; every object fully visible. The requested extremal object is already in the bowl.</x:v>
      </x:c>
      <x:c r="E138" s="8" t="str">
        <x:f>IF(ISBLANK('Evaluation Plan'!E138),"",'Evaluation Plan'!E138)</x:f>
      </x:c>
      <x:c r="F138" s="8" t="str">
        <x:f>'Evaluation Plan'!F138</x:f>
        <x:v>1131</x:v>
      </x:c>
      <x:c r="G138" s="8" t="str">
        <x:f>'Evaluation Plan'!G138</x:f>
        <x:v>NO MOVEMENT — goal already satisfied</x:v>
      </x:c>
      <x:c r="H138" s="9"/>
      <x:c r="I138" s="8" t="str">
        <x:f>'Evaluation Plan'!I138</x:f>
        <x:v>Goal already satisfied / no movement</x:v>
      </x:c>
      <x:c r="J138" s="8" t="str">
        <x:f>'Evaluation Plan'!J138</x:f>
        <x:v>SZ-NOOP-3-2</x:v>
      </x:c>
      <x:c r="K138" s="8" t="str">
        <x:f>'Evaluation Plan'!K138</x:f>
        <x:v>largest</x:v>
      </x:c>
      <x:c r="L138" s="8" t="str">
        <x:f>'Evaluation Plan'!L138</x:f>
        <x:v>Trained largest × juggling ball; target already in bowl</x:v>
      </x:c>
      <x:c r="M138" s="8" t="str">
        <x:f>'Evaluation Plan'!M138</x:f>
        <x:v>juggling ball</x:v>
      </x:c>
      <x:c r="N138" s="8" t="str">
        <x:f>'Evaluation Plan'!N138</x:f>
        <x:v>In bowl</x:v>
      </x:c>
      <x:c r="O138" s="8" t="n">
        <x:f>'Evaluation Plan'!O138</x:f>
        <x:v>2</x:v>
      </x:c>
      <x:c r="P138" s="8" t="str">
        <x:f>IF(ISBLANK('Evaluation Plan'!P138),"",'Evaluation Plan'!P138)</x:f>
      </x:c>
      <x:c r="Q138" s="8" t="str">
        <x:f>'Evaluation Plan'!Q138</x:f>
        <x:v>Place the target in the bowl before starting; arrange the listed distractors on the table.</x:v>
      </x:c>
      <x:c r="R138" s="9" t="str">
        <x:f>'Evaluation Plan'!R138</x:f>
        <x:v>Normal training-supported size wording is retained, so no-movement behavior is not correlated with a special phrase. Success requires no object contact or displacement.</x:v>
      </x:c>
      <x:c r="S138" s="9" t="str">
        <x:f>IF(ISBLANK('Evaluation Plan'!S138),"",'Evaluation Plan'!S138)</x:f>
      </x:c>
    </x:row>
    <x:row r="139" ht="67.5" customHeight="1">
      <x:c r="A139" s="8" t="s">
        <x:v>19</x:v>
      </x:c>
      <x:c r="B139" s="8" t="n">
        <x:f>'Evaluation Plan'!B139</x:f>
        <x:v>137</x:v>
      </x:c>
      <x:c r="C139" s="9" t="str">
        <x:f>'Evaluation Plan'!C139</x:f>
        <x:v>Pick up the largest item and place it in the bowl.</x:v>
      </x:c>
      <x:c r="D139" s="9" t="str">
        <x:f>'Evaluation Plan'!D139</x:f>
        <x:v>Bowl: crushed Pepsi can. Table: green block. row shifted 4 cm away from the robot; every object fully visible. The requested extremal object is already in the bowl.</x:v>
      </x:c>
      <x:c r="E139" s="8" t="str">
        <x:f>IF(ISBLANK('Evaluation Plan'!E139),"",'Evaluation Plan'!E139)</x:f>
      </x:c>
      <x:c r="F139" s="8" t="str">
        <x:f>'Evaluation Plan'!F139</x:f>
        <x:v>1161</x:v>
      </x:c>
      <x:c r="G139" s="8" t="str">
        <x:f>'Evaluation Plan'!G139</x:f>
        <x:v>NO MOVEMENT — goal already satisfied</x:v>
      </x:c>
      <x:c r="H139" s="9"/>
      <x:c r="I139" s="8" t="str">
        <x:f>'Evaluation Plan'!I139</x:f>
        <x:v>Goal already satisfied / no movement</x:v>
      </x:c>
      <x:c r="J139" s="8" t="str">
        <x:f>'Evaluation Plan'!J139</x:f>
        <x:v>SZ-NOOP-4-2</x:v>
      </x:c>
      <x:c r="K139" s="8" t="str">
        <x:f>'Evaluation Plan'!K139</x:f>
        <x:v>largest</x:v>
      </x:c>
      <x:c r="L139" s="8" t="str">
        <x:f>'Evaluation Plan'!L139</x:f>
        <x:v>Trained largest × crushed Pepsi can; target already in bowl</x:v>
      </x:c>
      <x:c r="M139" s="8" t="str">
        <x:f>'Evaluation Plan'!M139</x:f>
        <x:v>crushed Pepsi can</x:v>
      </x:c>
      <x:c r="N139" s="8" t="str">
        <x:f>'Evaluation Plan'!N139</x:f>
        <x:v>In bowl</x:v>
      </x:c>
      <x:c r="O139" s="8" t="n">
        <x:f>'Evaluation Plan'!O139</x:f>
        <x:v>2</x:v>
      </x:c>
      <x:c r="P139" s="8" t="str">
        <x:f>IF(ISBLANK('Evaluation Plan'!P139),"",'Evaluation Plan'!P139)</x:f>
      </x:c>
      <x:c r="Q139" s="8" t="str">
        <x:f>'Evaluation Plan'!Q139</x:f>
        <x:v>Place the target in the bowl before starting; arrange the listed distractors on the table.</x:v>
      </x:c>
      <x:c r="R139" s="9" t="str">
        <x:f>'Evaluation Plan'!R139</x:f>
        <x:v>Normal training-supported size wording is retained, so no-movement behavior is not correlated with a special phrase. Success requires no object contact or displacement.</x:v>
      </x:c>
      <x:c r="S139" s="9" t="str">
        <x:f>IF(ISBLANK('Evaluation Plan'!S139),"",'Evaluation Plan'!S139)</x:f>
      </x:c>
    </x:row>
    <x:row r="140" ht="67.5" customHeight="1">
      <x:c r="A140" s="8" t="s">
        <x:v>19</x:v>
      </x:c>
      <x:c r="B140" s="8" t="n">
        <x:f>'Evaluation Plan'!B140</x:f>
        <x:v>138</x:v>
      </x:c>
      <x:c r="C140" s="9" t="str">
        <x:f>'Evaluation Plan'!C140</x:f>
        <x:v>Put the smallest object in the bowl.</x:v>
      </x:c>
      <x:c r="D140" s="9" t="str">
        <x:f>'Evaluation Plan'!D140</x:f>
        <x:v>Bowl: red pencil sharpener. Table: green block; juggling ball; crushed Pepsi can. row shifted 4 cm toward robot-right; every object fully visible. The requested extremal object is already in the bowl.</x:v>
      </x:c>
      <x:c r="E140" s="8" t="str">
        <x:f>IF(ISBLANK('Evaluation Plan'!E140),"",'Evaluation Plan'!E140)</x:f>
      </x:c>
      <x:c r="F140" s="8" t="str">
        <x:f>'Evaluation Plan'!F140</x:f>
        <x:v>1012</x:v>
      </x:c>
      <x:c r="G140" s="8" t="str">
        <x:f>'Evaluation Plan'!G140</x:f>
        <x:v>NO MOVEMENT — goal already satisfied</x:v>
      </x:c>
      <x:c r="H140" s="9"/>
      <x:c r="I140" s="8" t="str">
        <x:f>'Evaluation Plan'!I140</x:f>
        <x:v>Goal already satisfied / no movement</x:v>
      </x:c>
      <x:c r="J140" s="8" t="str">
        <x:f>'Evaluation Plan'!J140</x:f>
        <x:v>SZ-NOOP-1-3</x:v>
      </x:c>
      <x:c r="K140" s="8" t="str">
        <x:f>'Evaluation Plan'!K140</x:f>
        <x:v>smallest</x:v>
      </x:c>
      <x:c r="L140" s="8" t="str">
        <x:f>'Evaluation Plan'!L140</x:f>
        <x:v>Trained smallest × red pencil sharpener; target already in bowl</x:v>
      </x:c>
      <x:c r="M140" s="8" t="str">
        <x:f>'Evaluation Plan'!M140</x:f>
        <x:v>red pencil sharpener</x:v>
      </x:c>
      <x:c r="N140" s="8" t="str">
        <x:f>'Evaluation Plan'!N140</x:f>
        <x:v>In bowl</x:v>
      </x:c>
      <x:c r="O140" s="8" t="n">
        <x:f>'Evaluation Plan'!O140</x:f>
        <x:v>4</x:v>
      </x:c>
      <x:c r="P140" s="8" t="str">
        <x:f>IF(ISBLANK('Evaluation Plan'!P140),"",'Evaluation Plan'!P140)</x:f>
      </x:c>
      <x:c r="Q140" s="8" t="str">
        <x:f>'Evaluation Plan'!Q140</x:f>
        <x:v>Place the target in the bowl before starting; arrange the listed distractors on the table.</x:v>
      </x:c>
      <x:c r="R140" s="9" t="str">
        <x:f>'Evaluation Plan'!R140</x:f>
        <x:v>Normal training-supported size wording is retained, so no-movement behavior is not correlated with a special phrase. Success requires no object contact or displacement.</x:v>
      </x:c>
      <x:c r="S140" s="9" t="str">
        <x:f>IF(ISBLANK('Evaluation Plan'!S140),"",'Evaluation Plan'!S140)</x:f>
      </x:c>
    </x:row>
    <x:row r="141" ht="67.5" customHeight="1">
      <x:c r="A141" s="8" t="s">
        <x:v>19</x:v>
      </x:c>
      <x:c r="B141" s="8" t="n">
        <x:f>'Evaluation Plan'!B141</x:f>
        <x:v>139</x:v>
      </x:c>
      <x:c r="C141" s="9" t="str">
        <x:f>'Evaluation Plan'!C141</x:f>
        <x:v>Move the object that is smallest into the bowl.</x:v>
      </x:c>
      <x:c r="D141" s="9" t="str">
        <x:f>'Evaluation Plan'!D141</x:f>
        <x:v>Bowl: green block. Table: juggling ball; crushed Pepsi can. row shifted 4 cm toward the robot; every object fully visible. The requested extremal object is already in the bowl.</x:v>
      </x:c>
      <x:c r="E141" s="8" t="str">
        <x:f>IF(ISBLANK('Evaluation Plan'!E141),"",'Evaluation Plan'!E141)</x:f>
      </x:c>
      <x:c r="F141" s="8" t="str">
        <x:f>'Evaluation Plan'!F141</x:f>
        <x:v>1057</x:v>
      </x:c>
      <x:c r="G141" s="8" t="str">
        <x:f>'Evaluation Plan'!G141</x:f>
        <x:v>NO MOVEMENT — goal already satisfied</x:v>
      </x:c>
      <x:c r="H141" s="9"/>
      <x:c r="I141" s="8" t="str">
        <x:f>'Evaluation Plan'!I141</x:f>
        <x:v>Goal already satisfied / no movement</x:v>
      </x:c>
      <x:c r="J141" s="8" t="str">
        <x:f>'Evaluation Plan'!J141</x:f>
        <x:v>SZ-NOOP-2-3</x:v>
      </x:c>
      <x:c r="K141" s="8" t="str">
        <x:f>'Evaluation Plan'!K141</x:f>
        <x:v>smallest</x:v>
      </x:c>
      <x:c r="L141" s="8" t="str">
        <x:f>'Evaluation Plan'!L141</x:f>
        <x:v>Trained smallest × green block; target already in bowl</x:v>
      </x:c>
      <x:c r="M141" s="8" t="str">
        <x:f>'Evaluation Plan'!M141</x:f>
        <x:v>green block</x:v>
      </x:c>
      <x:c r="N141" s="8" t="str">
        <x:f>'Evaluation Plan'!N141</x:f>
        <x:v>In bowl</x:v>
      </x:c>
      <x:c r="O141" s="8" t="n">
        <x:f>'Evaluation Plan'!O141</x:f>
        <x:v>3</x:v>
      </x:c>
      <x:c r="P141" s="8" t="str">
        <x:f>IF(ISBLANK('Evaluation Plan'!P141),"",'Evaluation Plan'!P141)</x:f>
      </x:c>
      <x:c r="Q141" s="8" t="str">
        <x:f>'Evaluation Plan'!Q141</x:f>
        <x:v>Place the target in the bowl before starting; arrange the listed distractors on the table.</x:v>
      </x:c>
      <x:c r="R141" s="9" t="str">
        <x:f>'Evaluation Plan'!R141</x:f>
        <x:v>Normal training-supported size wording is retained, so no-movement behavior is not correlated with a special phrase. Success requires no object contact or displacement.</x:v>
      </x:c>
      <x:c r="S141" s="9" t="str">
        <x:f>IF(ISBLANK('Evaluation Plan'!S141),"",'Evaluation Plan'!S141)</x:f>
      </x:c>
    </x:row>
    <x:row r="142" ht="67.5" customHeight="1">
      <x:c r="A142" s="8" t="s">
        <x:v>19</x:v>
      </x:c>
      <x:c r="B142" s="8" t="n">
        <x:f>'Evaluation Plan'!B142</x:f>
        <x:v>140</x:v>
      </x:c>
      <x:c r="C142" s="9" t="str">
        <x:f>'Evaluation Plan'!C142</x:f>
        <x:v>Pick up the largest item and place it in the bowl.</x:v>
      </x:c>
      <x:c r="D142" s="9" t="str">
        <x:f>'Evaluation Plan'!D142</x:f>
        <x:v>Bowl: juggling ball. Table: red pencil sharpener; green block. row shifted 4 cm away from the robot; every object fully visible. The requested extremal object is already in the bowl.</x:v>
      </x:c>
      <x:c r="E142" s="8" t="str">
        <x:f>IF(ISBLANK('Evaluation Plan'!E142),"",'Evaluation Plan'!E142)</x:f>
      </x:c>
      <x:c r="F142" s="8" t="str">
        <x:f>'Evaluation Plan'!F142</x:f>
        <x:v>1132</x:v>
      </x:c>
      <x:c r="G142" s="8" t="str">
        <x:f>'Evaluation Plan'!G142</x:f>
        <x:v>NO MOVEMENT — goal already satisfied</x:v>
      </x:c>
      <x:c r="H142" s="9"/>
      <x:c r="I142" s="8" t="str">
        <x:f>'Evaluation Plan'!I142</x:f>
        <x:v>Goal already satisfied / no movement</x:v>
      </x:c>
      <x:c r="J142" s="8" t="str">
        <x:f>'Evaluation Plan'!J142</x:f>
        <x:v>SZ-NOOP-3-3</x:v>
      </x:c>
      <x:c r="K142" s="8" t="str">
        <x:f>'Evaluation Plan'!K142</x:f>
        <x:v>largest</x:v>
      </x:c>
      <x:c r="L142" s="8" t="str">
        <x:f>'Evaluation Plan'!L142</x:f>
        <x:v>Trained largest × juggling ball; target already in bowl</x:v>
      </x:c>
      <x:c r="M142" s="8" t="str">
        <x:f>'Evaluation Plan'!M142</x:f>
        <x:v>juggling ball</x:v>
      </x:c>
      <x:c r="N142" s="8" t="str">
        <x:f>'Evaluation Plan'!N142</x:f>
        <x:v>In bowl</x:v>
      </x:c>
      <x:c r="O142" s="8" t="n">
        <x:f>'Evaluation Plan'!O142</x:f>
        <x:v>3</x:v>
      </x:c>
      <x:c r="P142" s="8" t="str">
        <x:f>IF(ISBLANK('Evaluation Plan'!P142),"",'Evaluation Plan'!P142)</x:f>
      </x:c>
      <x:c r="Q142" s="8" t="str">
        <x:f>'Evaluation Plan'!Q142</x:f>
        <x:v>Place the target in the bowl before starting; arrange the listed distractors on the table.</x:v>
      </x:c>
      <x:c r="R142" s="9" t="str">
        <x:f>'Evaluation Plan'!R142</x:f>
        <x:v>Normal training-supported size wording is retained, so no-movement behavior is not correlated with a special phrase. Success requires no object contact or displacement.</x:v>
      </x:c>
      <x:c r="S142" s="9" t="str">
        <x:f>IF(ISBLANK('Evaluation Plan'!S142),"",'Evaluation Plan'!S142)</x:f>
      </x:c>
    </x:row>
    <x:row r="143" ht="67.5" customHeight="1">
      <x:c r="A143" s="8" t="s">
        <x:v>19</x:v>
      </x:c>
      <x:c r="B143" s="8" t="n">
        <x:f>'Evaluation Plan'!B143</x:f>
        <x:v>141</x:v>
      </x:c>
      <x:c r="C143" s="9" t="str">
        <x:f>'Evaluation Plan'!C143</x:f>
        <x:v>Put the largest object in the bowl.</x:v>
      </x:c>
      <x:c r="D143" s="9" t="str">
        <x:f>'Evaluation Plan'!D143</x:f>
        <x:v>Bowl: crushed Pepsi can. Table: red pencil sharpener; green block; juggling ball. row centered on the workspace; every object fully visible. The requested extremal object is already in the bowl.</x:v>
      </x:c>
      <x:c r="E143" s="8" t="str">
        <x:f>IF(ISBLANK('Evaluation Plan'!E143),"",'Evaluation Plan'!E143)</x:f>
      </x:c>
      <x:c r="F143" s="8" t="str">
        <x:f>'Evaluation Plan'!F143</x:f>
        <x:v>1162</x:v>
      </x:c>
      <x:c r="G143" s="8" t="str">
        <x:f>'Evaluation Plan'!G143</x:f>
        <x:v>NO MOVEMENT — goal already satisfied</x:v>
      </x:c>
      <x:c r="H143" s="9"/>
      <x:c r="I143" s="8" t="str">
        <x:f>'Evaluation Plan'!I143</x:f>
        <x:v>Goal already satisfied / no movement</x:v>
      </x:c>
      <x:c r="J143" s="8" t="str">
        <x:f>'Evaluation Plan'!J143</x:f>
        <x:v>SZ-NOOP-4-3</x:v>
      </x:c>
      <x:c r="K143" s="8" t="str">
        <x:f>'Evaluation Plan'!K143</x:f>
        <x:v>largest</x:v>
      </x:c>
      <x:c r="L143" s="8" t="str">
        <x:f>'Evaluation Plan'!L143</x:f>
        <x:v>Trained largest × crushed Pepsi can; target already in bowl</x:v>
      </x:c>
      <x:c r="M143" s="8" t="str">
        <x:f>'Evaluation Plan'!M143</x:f>
        <x:v>crushed Pepsi can</x:v>
      </x:c>
      <x:c r="N143" s="8" t="str">
        <x:f>'Evaluation Plan'!N143</x:f>
        <x:v>In bowl</x:v>
      </x:c>
      <x:c r="O143" s="8" t="n">
        <x:f>'Evaluation Plan'!O143</x:f>
        <x:v>4</x:v>
      </x:c>
      <x:c r="P143" s="8" t="str">
        <x:f>IF(ISBLANK('Evaluation Plan'!P143),"",'Evaluation Plan'!P143)</x:f>
      </x:c>
      <x:c r="Q143" s="8" t="str">
        <x:f>'Evaluation Plan'!Q143</x:f>
        <x:v>Place the target in the bowl before starting; arrange the listed distractors on the table.</x:v>
      </x:c>
      <x:c r="R143" s="9" t="str">
        <x:f>'Evaluation Plan'!R143</x:f>
        <x:v>Normal training-supported size wording is retained, so no-movement behavior is not correlated with a special phrase. Success requires no object contact or displacement.</x:v>
      </x:c>
      <x:c r="S143" s="9" t="str">
        <x:f>IF(ISBLANK('Evaluation Plan'!S143),"",'Evaluation Plan'!S143)</x:f>
      </x:c>
    </x:row>
    <x:row r="144" ht="67.5" customHeight="1">
      <x:c r="A144" s="8" t="s">
        <x:v>19</x:v>
      </x:c>
      <x:c r="B144" s="8" t="n">
        <x:f>'Evaluation Plan'!B144</x:f>
        <x:v>142</x:v>
      </x:c>
      <x:c r="C144" s="9" t="str">
        <x:f>'Evaluation Plan'!C144</x:f>
        <x:v>Move the object that is smallest into the bowl.</x:v>
      </x:c>
      <x:c r="D144" s="9" t="str">
        <x:f>'Evaluation Plan'!D144</x:f>
        <x:v>Bowl: red pencil sharpener. Table: juggling ball; crushed Pepsi can; green block. row shifted 4 cm toward the robot; every object fully visible. The requested extremal object is already in the bowl.</x:v>
      </x:c>
      <x:c r="E144" s="8" t="str">
        <x:f>IF(ISBLANK('Evaluation Plan'!E144),"",'Evaluation Plan'!E144)</x:f>
      </x:c>
      <x:c r="F144" s="8" t="str">
        <x:f>'Evaluation Plan'!F144</x:f>
        <x:v>1013</x:v>
      </x:c>
      <x:c r="G144" s="8" t="str">
        <x:f>'Evaluation Plan'!G144</x:f>
        <x:v>NO MOVEMENT — goal already satisfied</x:v>
      </x:c>
      <x:c r="H144" s="9"/>
      <x:c r="I144" s="8" t="str">
        <x:f>'Evaluation Plan'!I144</x:f>
        <x:v>Goal already satisfied / no movement</x:v>
      </x:c>
      <x:c r="J144" s="8" t="str">
        <x:f>'Evaluation Plan'!J144</x:f>
        <x:v>SZ-NOOP-1-4</x:v>
      </x:c>
      <x:c r="K144" s="8" t="str">
        <x:f>'Evaluation Plan'!K144</x:f>
        <x:v>smallest</x:v>
      </x:c>
      <x:c r="L144" s="8" t="str">
        <x:f>'Evaluation Plan'!L144</x:f>
        <x:v>Trained smallest × red pencil sharpener; target already in bowl</x:v>
      </x:c>
      <x:c r="M144" s="8" t="str">
        <x:f>'Evaluation Plan'!M144</x:f>
        <x:v>red pencil sharpener</x:v>
      </x:c>
      <x:c r="N144" s="8" t="str">
        <x:f>'Evaluation Plan'!N144</x:f>
        <x:v>In bowl</x:v>
      </x:c>
      <x:c r="O144" s="8" t="n">
        <x:f>'Evaluation Plan'!O144</x:f>
        <x:v>4</x:v>
      </x:c>
      <x:c r="P144" s="8" t="str">
        <x:f>IF(ISBLANK('Evaluation Plan'!P144),"",'Evaluation Plan'!P144)</x:f>
      </x:c>
      <x:c r="Q144" s="8" t="str">
        <x:f>'Evaluation Plan'!Q144</x:f>
        <x:v>Place the target in the bowl before starting; arrange the listed distractors on the table.</x:v>
      </x:c>
      <x:c r="R144" s="9" t="str">
        <x:f>'Evaluation Plan'!R144</x:f>
        <x:v>Normal training-supported size wording is retained, so no-movement behavior is not correlated with a special phrase. Success requires no object contact or displacement.</x:v>
      </x:c>
      <x:c r="S144" s="9" t="str">
        <x:f>IF(ISBLANK('Evaluation Plan'!S144),"",'Evaluation Plan'!S144)</x:f>
      </x:c>
    </x:row>
    <x:row r="145" ht="67.5" customHeight="1">
      <x:c r="A145" s="8" t="s">
        <x:v>19</x:v>
      </x:c>
      <x:c r="B145" s="8" t="n">
        <x:f>'Evaluation Plan'!B145</x:f>
        <x:v>143</x:v>
      </x:c>
      <x:c r="C145" s="9" t="str">
        <x:f>'Evaluation Plan'!C145</x:f>
        <x:v>Pick up the smallest item and place it in the bowl.</x:v>
      </x:c>
      <x:c r="D145" s="9" t="str">
        <x:f>'Evaluation Plan'!D145</x:f>
        <x:v>Bowl: green block. Table: crushed Pepsi can; juggling ball. row shifted 4 cm away from the robot; every object fully visible. The requested extremal object is already in the bowl.</x:v>
      </x:c>
      <x:c r="E145" s="8" t="str">
        <x:f>IF(ISBLANK('Evaluation Plan'!E145),"",'Evaluation Plan'!E145)</x:f>
      </x:c>
      <x:c r="F145" s="8" t="str">
        <x:f>'Evaluation Plan'!F145</x:f>
        <x:v>1058</x:v>
      </x:c>
      <x:c r="G145" s="8" t="str">
        <x:f>'Evaluation Plan'!G145</x:f>
        <x:v>NO MOVEMENT — goal already satisfied</x:v>
      </x:c>
      <x:c r="H145" s="9"/>
      <x:c r="I145" s="8" t="str">
        <x:f>'Evaluation Plan'!I145</x:f>
        <x:v>Goal already satisfied / no movement</x:v>
      </x:c>
      <x:c r="J145" s="8" t="str">
        <x:f>'Evaluation Plan'!J145</x:f>
        <x:v>SZ-NOOP-2-4</x:v>
      </x:c>
      <x:c r="K145" s="8" t="str">
        <x:f>'Evaluation Plan'!K145</x:f>
        <x:v>smallest</x:v>
      </x:c>
      <x:c r="L145" s="8" t="str">
        <x:f>'Evaluation Plan'!L145</x:f>
        <x:v>Trained smallest × green block; target already in bowl</x:v>
      </x:c>
      <x:c r="M145" s="8" t="str">
        <x:f>'Evaluation Plan'!M145</x:f>
        <x:v>green block</x:v>
      </x:c>
      <x:c r="N145" s="8" t="str">
        <x:f>'Evaluation Plan'!N145</x:f>
        <x:v>In bowl</x:v>
      </x:c>
      <x:c r="O145" s="8" t="n">
        <x:f>'Evaluation Plan'!O145</x:f>
        <x:v>3</x:v>
      </x:c>
      <x:c r="P145" s="8" t="str">
        <x:f>IF(ISBLANK('Evaluation Plan'!P145),"",'Evaluation Plan'!P145)</x:f>
      </x:c>
      <x:c r="Q145" s="8" t="str">
        <x:f>'Evaluation Plan'!Q145</x:f>
        <x:v>Place the target in the bowl before starting; arrange the listed distractors on the table.</x:v>
      </x:c>
      <x:c r="R145" s="9" t="str">
        <x:f>'Evaluation Plan'!R145</x:f>
        <x:v>Normal training-supported size wording is retained, so no-movement behavior is not correlated with a special phrase. Success requires no object contact or displacement.</x:v>
      </x:c>
      <x:c r="S145" s="9" t="str">
        <x:f>IF(ISBLANK('Evaluation Plan'!S145),"",'Evaluation Plan'!S145)</x:f>
      </x:c>
    </x:row>
    <x:row r="146" ht="67.5" customHeight="1">
      <x:c r="A146" s="8" t="s">
        <x:v>19</x:v>
      </x:c>
      <x:c r="B146" s="8" t="n">
        <x:f>'Evaluation Plan'!B146</x:f>
        <x:v>144</x:v>
      </x:c>
      <x:c r="C146" s="9" t="str">
        <x:f>'Evaluation Plan'!C146</x:f>
        <x:v>Put the largest object in the bowl.</x:v>
      </x:c>
      <x:c r="D146" s="9" t="str">
        <x:f>'Evaluation Plan'!D146</x:f>
        <x:v>Bowl: juggling ball. Table: green block; red pencil sharpener. row centered on the workspace; every object fully visible. The requested extremal object is already in the bowl.</x:v>
      </x:c>
      <x:c r="E146" s="8" t="str">
        <x:f>IF(ISBLANK('Evaluation Plan'!E146),"",'Evaluation Plan'!E146)</x:f>
      </x:c>
      <x:c r="F146" s="8" t="str">
        <x:f>'Evaluation Plan'!F146</x:f>
        <x:v>1133</x:v>
      </x:c>
      <x:c r="G146" s="8" t="str">
        <x:f>'Evaluation Plan'!G146</x:f>
        <x:v>NO MOVEMENT — goal already satisfied</x:v>
      </x:c>
      <x:c r="H146" s="9"/>
      <x:c r="I146" s="8" t="str">
        <x:f>'Evaluation Plan'!I146</x:f>
        <x:v>Goal already satisfied / no movement</x:v>
      </x:c>
      <x:c r="J146" s="8" t="str">
        <x:f>'Evaluation Plan'!J146</x:f>
        <x:v>SZ-NOOP-3-4</x:v>
      </x:c>
      <x:c r="K146" s="8" t="str">
        <x:f>'Evaluation Plan'!K146</x:f>
        <x:v>largest</x:v>
      </x:c>
      <x:c r="L146" s="8" t="str">
        <x:f>'Evaluation Plan'!L146</x:f>
        <x:v>Trained largest × juggling ball; target already in bowl</x:v>
      </x:c>
      <x:c r="M146" s="8" t="str">
        <x:f>'Evaluation Plan'!M146</x:f>
        <x:v>juggling ball</x:v>
      </x:c>
      <x:c r="N146" s="8" t="str">
        <x:f>'Evaluation Plan'!N146</x:f>
        <x:v>In bowl</x:v>
      </x:c>
      <x:c r="O146" s="8" t="n">
        <x:f>'Evaluation Plan'!O146</x:f>
        <x:v>3</x:v>
      </x:c>
      <x:c r="P146" s="8" t="str">
        <x:f>IF(ISBLANK('Evaluation Plan'!P146),"",'Evaluation Plan'!P146)</x:f>
      </x:c>
      <x:c r="Q146" s="8" t="str">
        <x:f>'Evaluation Plan'!Q146</x:f>
        <x:v>Place the target in the bowl before starting; arrange the listed distractors on the table.</x:v>
      </x:c>
      <x:c r="R146" s="9" t="str">
        <x:f>'Evaluation Plan'!R146</x:f>
        <x:v>Normal training-supported size wording is retained, so no-movement behavior is not correlated with a special phrase. Success requires no object contact or displacement.</x:v>
      </x:c>
      <x:c r="S146" s="9" t="str">
        <x:f>IF(ISBLANK('Evaluation Plan'!S146),"",'Evaluation Plan'!S146)</x:f>
      </x:c>
    </x:row>
    <x:row r="147" ht="67.5" customHeight="1">
      <x:c r="A147" s="8" t="s">
        <x:v>19</x:v>
      </x:c>
      <x:c r="B147" s="8" t="n">
        <x:f>'Evaluation Plan'!B147</x:f>
        <x:v>145</x:v>
      </x:c>
      <x:c r="C147" s="9" t="str">
        <x:f>'Evaluation Plan'!C147</x:f>
        <x:v>Move the object that is largest into the bowl.</x:v>
      </x:c>
      <x:c r="D147" s="9" t="str">
        <x:f>'Evaluation Plan'!D147</x:f>
        <x:v>Bowl: crushed Pepsi can. Table: green block; juggling ball; red pencil sharpener. row shifted 4 cm toward robot-left; every object fully visible. The requested extremal object is already in the bowl.</x:v>
      </x:c>
      <x:c r="E147" s="8" t="str">
        <x:f>IF(ISBLANK('Evaluation Plan'!E147),"",'Evaluation Plan'!E147)</x:f>
      </x:c>
      <x:c r="F147" s="8" t="str">
        <x:f>'Evaluation Plan'!F147</x:f>
        <x:v>1163</x:v>
      </x:c>
      <x:c r="G147" s="8" t="str">
        <x:f>'Evaluation Plan'!G147</x:f>
        <x:v>NO MOVEMENT — goal already satisfied</x:v>
      </x:c>
      <x:c r="H147" s="9"/>
      <x:c r="I147" s="8" t="str">
        <x:f>'Evaluation Plan'!I147</x:f>
        <x:v>Goal already satisfied / no movement</x:v>
      </x:c>
      <x:c r="J147" s="8" t="str">
        <x:f>'Evaluation Plan'!J147</x:f>
        <x:v>SZ-NOOP-4-4</x:v>
      </x:c>
      <x:c r="K147" s="8" t="str">
        <x:f>'Evaluation Plan'!K147</x:f>
        <x:v>largest</x:v>
      </x:c>
      <x:c r="L147" s="8" t="str">
        <x:f>'Evaluation Plan'!L147</x:f>
        <x:v>Trained largest × crushed Pepsi can; target already in bowl</x:v>
      </x:c>
      <x:c r="M147" s="8" t="str">
        <x:f>'Evaluation Plan'!M147</x:f>
        <x:v>crushed Pepsi can</x:v>
      </x:c>
      <x:c r="N147" s="8" t="str">
        <x:f>'Evaluation Plan'!N147</x:f>
        <x:v>In bowl</x:v>
      </x:c>
      <x:c r="O147" s="8" t="n">
        <x:f>'Evaluation Plan'!O147</x:f>
        <x:v>4</x:v>
      </x:c>
      <x:c r="P147" s="8" t="str">
        <x:f>IF(ISBLANK('Evaluation Plan'!P147),"",'Evaluation Plan'!P147)</x:f>
      </x:c>
      <x:c r="Q147" s="8" t="str">
        <x:f>'Evaluation Plan'!Q147</x:f>
        <x:v>Place the target in the bowl before starting; arrange the listed distractors on the table.</x:v>
      </x:c>
      <x:c r="R147" s="9" t="str">
        <x:f>'Evaluation Plan'!R147</x:f>
        <x:v>Normal training-supported size wording is retained, so no-movement behavior is not correlated with a special phrase. Success requires no object contact or displacement.</x:v>
      </x:c>
      <x:c r="S147" s="9" t="str">
        <x:f>IF(ISBLANK('Evaluation Plan'!S147),"",'Evaluation Plan'!S147)</x:f>
      </x:c>
    </x:row>
    <x:row r="148" ht="67.5" customHeight="1">
      <x:c r="A148" s="8" t="s">
        <x:v>19</x:v>
      </x:c>
      <x:c r="B148" s="8" t="n">
        <x:f>'Evaluation Plan'!B148</x:f>
        <x:v>146</x:v>
      </x:c>
      <x:c r="C148" s="9" t="str">
        <x:f>'Evaluation Plan'!C148</x:f>
        <x:v>Pick up the smallest item and place it in the bowl.</x:v>
      </x:c>
      <x:c r="D148" s="9" t="str">
        <x:f>'Evaluation Plan'!D148</x:f>
        <x:v>Bowl: red pencil sharpener. Table: crushed Pepsi can; green block; juggling ball. row shifted 4 cm away from the robot; every object fully visible. The requested extremal object is already in the bowl.</x:v>
      </x:c>
      <x:c r="E148" s="8" t="str">
        <x:f>IF(ISBLANK('Evaluation Plan'!E148),"",'Evaluation Plan'!E148)</x:f>
      </x:c>
      <x:c r="F148" s="8" t="str">
        <x:f>'Evaluation Plan'!F148</x:f>
        <x:v>1014</x:v>
      </x:c>
      <x:c r="G148" s="8" t="str">
        <x:f>'Evaluation Plan'!G148</x:f>
        <x:v>NO MOVEMENT — goal already satisfied</x:v>
      </x:c>
      <x:c r="H148" s="9"/>
      <x:c r="I148" s="8" t="str">
        <x:f>'Evaluation Plan'!I148</x:f>
        <x:v>Goal already satisfied / no movement</x:v>
      </x:c>
      <x:c r="J148" s="8" t="str">
        <x:f>'Evaluation Plan'!J148</x:f>
        <x:v>SZ-NOOP-1-5</x:v>
      </x:c>
      <x:c r="K148" s="8" t="str">
        <x:f>'Evaluation Plan'!K148</x:f>
        <x:v>smallest</x:v>
      </x:c>
      <x:c r="L148" s="8" t="str">
        <x:f>'Evaluation Plan'!L148</x:f>
        <x:v>Trained smallest × red pencil sharpener; target already in bowl</x:v>
      </x:c>
      <x:c r="M148" s="8" t="str">
        <x:f>'Evaluation Plan'!M148</x:f>
        <x:v>red pencil sharpener</x:v>
      </x:c>
      <x:c r="N148" s="8" t="str">
        <x:f>'Evaluation Plan'!N148</x:f>
        <x:v>In bowl</x:v>
      </x:c>
      <x:c r="O148" s="8" t="n">
        <x:f>'Evaluation Plan'!O148</x:f>
        <x:v>4</x:v>
      </x:c>
      <x:c r="P148" s="8" t="str">
        <x:f>IF(ISBLANK('Evaluation Plan'!P148),"",'Evaluation Plan'!P148)</x:f>
      </x:c>
      <x:c r="Q148" s="8" t="str">
        <x:f>'Evaluation Plan'!Q148</x:f>
        <x:v>Place the target in the bowl before starting; arrange the listed distractors on the table.</x:v>
      </x:c>
      <x:c r="R148" s="9" t="str">
        <x:f>'Evaluation Plan'!R148</x:f>
        <x:v>Normal training-supported size wording is retained, so no-movement behavior is not correlated with a special phrase. Success requires no object contact or displacement.</x:v>
      </x:c>
      <x:c r="S148" s="9" t="str">
        <x:f>IF(ISBLANK('Evaluation Plan'!S148),"",'Evaluation Plan'!S148)</x:f>
      </x:c>
    </x:row>
    <x:row r="149" ht="67.5" customHeight="1">
      <x:c r="A149" s="8" t="s">
        <x:v>19</x:v>
      </x:c>
      <x:c r="B149" s="8" t="n">
        <x:f>'Evaluation Plan'!B149</x:f>
        <x:v>147</x:v>
      </x:c>
      <x:c r="C149" s="9" t="str">
        <x:f>'Evaluation Plan'!C149</x:f>
        <x:v>Put the smallest object in the bowl.</x:v>
      </x:c>
      <x:c r="D149" s="9" t="str">
        <x:f>'Evaluation Plan'!D149</x:f>
        <x:v>Bowl: green block. Table: juggling ball; crushed Pepsi can. row centered on the workspace; every object fully visible. The requested extremal object is already in the bowl.</x:v>
      </x:c>
      <x:c r="E149" s="8" t="str">
        <x:f>IF(ISBLANK('Evaluation Plan'!E149),"",'Evaluation Plan'!E149)</x:f>
      </x:c>
      <x:c r="F149" s="8" t="str">
        <x:f>'Evaluation Plan'!F149</x:f>
        <x:v>1059</x:v>
      </x:c>
      <x:c r="G149" s="8" t="str">
        <x:f>'Evaluation Plan'!G149</x:f>
        <x:v>NO MOVEMENT — goal already satisfied</x:v>
      </x:c>
      <x:c r="H149" s="9"/>
      <x:c r="I149" s="8" t="str">
        <x:f>'Evaluation Plan'!I149</x:f>
        <x:v>Goal already satisfied / no movement</x:v>
      </x:c>
      <x:c r="J149" s="8" t="str">
        <x:f>'Evaluation Plan'!J149</x:f>
        <x:v>SZ-NOOP-2-5</x:v>
      </x:c>
      <x:c r="K149" s="8" t="str">
        <x:f>'Evaluation Plan'!K149</x:f>
        <x:v>smallest</x:v>
      </x:c>
      <x:c r="L149" s="8" t="str">
        <x:f>'Evaluation Plan'!L149</x:f>
        <x:v>Trained smallest × green block; target already in bowl</x:v>
      </x:c>
      <x:c r="M149" s="8" t="str">
        <x:f>'Evaluation Plan'!M149</x:f>
        <x:v>green block</x:v>
      </x:c>
      <x:c r="N149" s="8" t="str">
        <x:f>'Evaluation Plan'!N149</x:f>
        <x:v>In bowl</x:v>
      </x:c>
      <x:c r="O149" s="8" t="n">
        <x:f>'Evaluation Plan'!O149</x:f>
        <x:v>3</x:v>
      </x:c>
      <x:c r="P149" s="8" t="str">
        <x:f>IF(ISBLANK('Evaluation Plan'!P149),"",'Evaluation Plan'!P149)</x:f>
      </x:c>
      <x:c r="Q149" s="8" t="str">
        <x:f>'Evaluation Plan'!Q149</x:f>
        <x:v>Place the target in the bowl before starting; arrange the listed distractors on the table.</x:v>
      </x:c>
      <x:c r="R149" s="9" t="str">
        <x:f>'Evaluation Plan'!R149</x:f>
        <x:v>Normal training-supported size wording is retained, so no-movement behavior is not correlated with a special phrase. Success requires no object contact or displacement.</x:v>
      </x:c>
      <x:c r="S149" s="9" t="str">
        <x:f>IF(ISBLANK('Evaluation Plan'!S149),"",'Evaluation Plan'!S149)</x:f>
      </x:c>
    </x:row>
    <x:row r="150" ht="67.5" customHeight="1">
      <x:c r="A150" s="8" t="s">
        <x:v>19</x:v>
      </x:c>
      <x:c r="B150" s="8" t="n">
        <x:f>'Evaluation Plan'!B150</x:f>
        <x:v>148</x:v>
      </x:c>
      <x:c r="C150" s="9" t="str">
        <x:f>'Evaluation Plan'!C150</x:f>
        <x:v>Move the object that is largest into the bowl.</x:v>
      </x:c>
      <x:c r="D150" s="9" t="str">
        <x:f>'Evaluation Plan'!D150</x:f>
        <x:v>Bowl: juggling ball. Table: red pencil sharpener; green block. row shifted 4 cm toward robot-left; every object fully visible. The requested extremal object is already in the bowl.</x:v>
      </x:c>
      <x:c r="E150" s="8" t="str">
        <x:f>IF(ISBLANK('Evaluation Plan'!E150),"",'Evaluation Plan'!E150)</x:f>
      </x:c>
      <x:c r="F150" s="8" t="str">
        <x:f>'Evaluation Plan'!F150</x:f>
        <x:v>1134</x:v>
      </x:c>
      <x:c r="G150" s="8" t="str">
        <x:f>'Evaluation Plan'!G150</x:f>
        <x:v>NO MOVEMENT — goal already satisfied</x:v>
      </x:c>
      <x:c r="H150" s="9"/>
      <x:c r="I150" s="8" t="str">
        <x:f>'Evaluation Plan'!I150</x:f>
        <x:v>Goal already satisfied / no movement</x:v>
      </x:c>
      <x:c r="J150" s="8" t="str">
        <x:f>'Evaluation Plan'!J150</x:f>
        <x:v>SZ-NOOP-3-5</x:v>
      </x:c>
      <x:c r="K150" s="8" t="str">
        <x:f>'Evaluation Plan'!K150</x:f>
        <x:v>largest</x:v>
      </x:c>
      <x:c r="L150" s="8" t="str">
        <x:f>'Evaluation Plan'!L150</x:f>
        <x:v>Trained largest × juggling ball; target already in bowl</x:v>
      </x:c>
      <x:c r="M150" s="8" t="str">
        <x:f>'Evaluation Plan'!M150</x:f>
        <x:v>juggling ball</x:v>
      </x:c>
      <x:c r="N150" s="8" t="str">
        <x:f>'Evaluation Plan'!N150</x:f>
        <x:v>In bowl</x:v>
      </x:c>
      <x:c r="O150" s="8" t="n">
        <x:f>'Evaluation Plan'!O150</x:f>
        <x:v>3</x:v>
      </x:c>
      <x:c r="P150" s="8" t="str">
        <x:f>IF(ISBLANK('Evaluation Plan'!P150),"",'Evaluation Plan'!P150)</x:f>
      </x:c>
      <x:c r="Q150" s="8" t="str">
        <x:f>'Evaluation Plan'!Q150</x:f>
        <x:v>Place the target in the bowl before starting; arrange the listed distractors on the table.</x:v>
      </x:c>
      <x:c r="R150" s="9" t="str">
        <x:f>'Evaluation Plan'!R150</x:f>
        <x:v>Normal training-supported size wording is retained, so no-movement behavior is not correlated with a special phrase. Success requires no object contact or displacement.</x:v>
      </x:c>
      <x:c r="S150" s="9" t="str">
        <x:f>IF(ISBLANK('Evaluation Plan'!S150),"",'Evaluation Plan'!S150)</x:f>
      </x:c>
    </x:row>
    <x:row r="151" ht="67.5" customHeight="1">
      <x:c r="A151" s="8" t="s">
        <x:v>19</x:v>
      </x:c>
      <x:c r="B151" s="8" t="n">
        <x:f>'Evaluation Plan'!B151</x:f>
        <x:v>149</x:v>
      </x:c>
      <x:c r="C151" s="9" t="str">
        <x:f>'Evaluation Plan'!C151</x:f>
        <x:v>Pick up the largest item and place it in the bowl.</x:v>
      </x:c>
      <x:c r="D151" s="9" t="str">
        <x:f>'Evaluation Plan'!D151</x:f>
        <x:v>Bowl: crushed Pepsi can. Table: juggling ball; red pencil sharpener; green block. row shifted 4 cm toward robot-right; every object fully visible. The requested extremal object is already in the bowl.</x:v>
      </x:c>
      <x:c r="E151" s="8" t="str">
        <x:f>IF(ISBLANK('Evaluation Plan'!E151),"",'Evaluation Plan'!E151)</x:f>
      </x:c>
      <x:c r="F151" s="8" t="str">
        <x:f>'Evaluation Plan'!F151</x:f>
        <x:v>1164</x:v>
      </x:c>
      <x:c r="G151" s="8" t="str">
        <x:f>'Evaluation Plan'!G151</x:f>
        <x:v>NO MOVEMENT — goal already satisfied</x:v>
      </x:c>
      <x:c r="H151" s="9"/>
      <x:c r="I151" s="8" t="str">
        <x:f>'Evaluation Plan'!I151</x:f>
        <x:v>Goal already satisfied / no movement</x:v>
      </x:c>
      <x:c r="J151" s="8" t="str">
        <x:f>'Evaluation Plan'!J151</x:f>
        <x:v>SZ-NOOP-4-5</x:v>
      </x:c>
      <x:c r="K151" s="8" t="str">
        <x:f>'Evaluation Plan'!K151</x:f>
        <x:v>largest</x:v>
      </x:c>
      <x:c r="L151" s="8" t="str">
        <x:f>'Evaluation Plan'!L151</x:f>
        <x:v>Trained largest × crushed Pepsi can; target already in bowl</x:v>
      </x:c>
      <x:c r="M151" s="8" t="str">
        <x:f>'Evaluation Plan'!M151</x:f>
        <x:v>crushed Pepsi can</x:v>
      </x:c>
      <x:c r="N151" s="8" t="str">
        <x:f>'Evaluation Plan'!N151</x:f>
        <x:v>In bowl</x:v>
      </x:c>
      <x:c r="O151" s="8" t="n">
        <x:f>'Evaluation Plan'!O151</x:f>
        <x:v>4</x:v>
      </x:c>
      <x:c r="P151" s="8" t="str">
        <x:f>IF(ISBLANK('Evaluation Plan'!P151),"",'Evaluation Plan'!P151)</x:f>
      </x:c>
      <x:c r="Q151" s="8" t="str">
        <x:f>'Evaluation Plan'!Q151</x:f>
        <x:v>Place the target in the bowl before starting; arrange the listed distractors on the table.</x:v>
      </x:c>
      <x:c r="R151" s="9" t="str">
        <x:f>'Evaluation Plan'!R151</x:f>
        <x:v>Normal training-supported size wording is retained, so no-movement behavior is not correlated with a special phrase. Success requires no object contact or displacement.</x:v>
      </x:c>
      <x:c r="S151" s="9" t="str">
        <x:f>IF(ISBLANK('Evaluation Plan'!S151),"",'Evaluation Plan'!S151)</x:f>
      </x:c>
    </x:row>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A2:S151">
    <x:cfRule type="expression" dxfId="7" priority="1">
      <x:formula>$A2="Success"</x:formula>
    </x:cfRule>
  </x:conditionalFormatting>
  <x:conditionalFormatting sqref="A2:S151">
    <x:cfRule type="expression" dxfId="8" priority="2">
      <x:formula>$A2="Failure"</x:formula>
    </x:cfRule>
  </x:conditionalFormatting>
  <x:conditionalFormatting sqref="I2:I151">
    <x:cfRule type="containsText" dxfId="9" priority="3" operator="containsText" text="In-distribution">
      <x:formula>NOT(ISERROR(SEARCH(("In-distribution"),(I2))))</x:formula>
    </x:cfRule>
  </x:conditionalFormatting>
  <x:conditionalFormatting sqref="I2:I151">
    <x:cfRule type="containsText" dxfId="10" priority="4" operator="containsText" text="Concept/compositional">
      <x:formula>NOT(ISERROR(SEARCH(("Concept/compositional"),(I2))))</x:formula>
    </x:cfRule>
  </x:conditionalFormatting>
  <x:conditionalFormatting sqref="I2:I151">
    <x:cfRule type="containsText" dxfId="11" priority="5" operator="containsText" text="Matched manipulation">
      <x:formula>NOT(ISERROR(SEARCH(("Matched manipulation"),(I2))))</x:formula>
    </x:cfRule>
  </x:conditionalFormatting>
  <x:conditionalFormatting sqref="I2:I151">
    <x:cfRule type="containsText" dxfId="12" priority="6" operator="containsText" text="Language robustness">
      <x:formula>NOT(ISERROR(SEARCH(("Language robustness"),(I2))))</x:formula>
    </x:cfRule>
  </x:conditionalFormatting>
  <x:conditionalFormatting sqref="I2:I151">
    <x:cfRule type="containsText" dxfId="13" priority="7" operator="containsText" text="Cross-task">
      <x:formula>NOT(ISERROR(SEARCH(("Cross-task"),(I2))))</x:formula>
    </x:cfRule>
  </x:conditionalFormatting>
  <x:conditionalFormatting sqref="I2:I151">
    <x:cfRule type="containsText" dxfId="14" priority="8" operator="containsText" text="Goal already">
      <x:formula>NOT(ISERROR(SEARCH(("Goal already"),(I2))))</x:formula>
    </x:cfRule>
  </x:conditionalFormatting>
  <x:dataValidations count="1">
    <x:dataValidation type="list" allowBlank="1" sqref="A2:A151">
      <x:formula1>"Not collected,Success,Failure"</x:formula1>
    </x:dataValidation>
  </x:dataValidations>
  <x:pageMargins left="0.7" right="0.7" top="0.75" bottom="0.75" header="0.3" footer="0.3"/>
  <x:tableParts count="1">
    <x:tablePart xmlns:r="http://schemas.openxmlformats.org/officeDocument/2006/relationships" r:id="R8c8f1913c85a4249"/>
  </x:tableParts>
</x:worksheet>
</file>

<file path=xl/worksheets/sheet8.xml><?xml version="1.0" encoding="utf-8"?>
<x:worksheet xmlns:x="http://schemas.openxmlformats.org/spreadsheetml/2006/main">
  <x:sheetViews>
    <x:sheetView showGridLines="0" workbookViewId="0"/>
  </x:sheetViews>
  <x:sheetFormatPr defaultColWidth="12.630000114440918" defaultRowHeight="15"/>
  <x:cols>
    <x:col min="1" max="1" width="15" customWidth="1"/>
    <x:col min="2" max="2" width="9" customWidth="1"/>
    <x:col min="3" max="3" width="51" customWidth="1"/>
    <x:col min="4" max="4" width="78" customWidth="1"/>
    <x:col min="5" max="5" width="14" customWidth="1"/>
    <x:col min="6" max="6" width="24" customWidth="1"/>
    <x:col min="7" max="7" width="34" customWidth="1"/>
    <x:col min="8" max="8" width="42" customWidth="1"/>
    <x:col min="9" max="9" width="33" customWidth="1"/>
    <x:col min="10" max="10" width="18" customWidth="1"/>
    <x:col min="11" max="11" width="13" customWidth="1"/>
    <x:col min="12" max="12" width="50" customWidth="1"/>
    <x:col min="13" max="13" width="34" customWidth="1"/>
    <x:col min="14" max="15" width="12" customWidth="1"/>
    <x:col min="16" max="16" width="14" customWidth="1"/>
    <x:col min="17" max="17" width="64" customWidth="1"/>
    <x:col min="18" max="18" width="80" customWidth="1"/>
    <x:col min="19" max="19" width="30" customWidth="1"/>
    <x:col min="20" max="26" width="8.630000114440918" customWidth="1"/>
  </x:cols>
  <x:sheetData>
    <x:row r="1" ht="39.75" customHeight="1">
      <x:c r="A1" s="5" t="s">
        <x:v>0</x:v>
      </x:c>
      <x:c r="B1" s="5" t="s">
        <x:v>1</x:v>
      </x:c>
      <x:c r="C1" s="5" t="s">
        <x:v>2</x:v>
      </x:c>
      <x:c r="D1" s="5" t="s">
        <x:v>3</x:v>
      </x:c>
      <x:c r="E1" s="5" t="s">
        <x:v>4</x:v>
      </x:c>
      <x:c r="F1" s="5" t="s">
        <x:v>5</x:v>
      </x:c>
      <x:c r="G1" s="5" t="s">
        <x:v>6</x:v>
      </x:c>
      <x:c r="H1" s="5" t="s">
        <x:v>7</x:v>
      </x:c>
      <x:c r="I1" s="5" t="s">
        <x:v>8</x:v>
      </x:c>
      <x:c r="J1" s="5" t="s">
        <x:v>9</x:v>
      </x:c>
      <x:c r="K1" s="5" t="s">
        <x:v>10</x:v>
      </x:c>
      <x:c r="L1" s="5" t="s">
        <x:v>11</x:v>
      </x:c>
      <x:c r="M1" s="5" t="s">
        <x:v>12</x:v>
      </x:c>
      <x:c r="N1" s="5" t="s">
        <x:v>13</x:v>
      </x:c>
      <x:c r="O1" s="5" t="s">
        <x:v>14</x:v>
      </x:c>
      <x:c r="P1" s="5" t="s">
        <x:v>15</x:v>
      </x:c>
      <x:c r="Q1" s="5" t="s">
        <x:v>16</x:v>
      </x:c>
      <x:c r="R1" s="5" t="s">
        <x:v>17</x:v>
      </x:c>
      <x:c r="S1" s="5" t="s">
        <x:v>18</x:v>
      </x:c>
    </x:row>
    <x:row r="2" ht="67.5" customHeight="1">
      <x:c r="A2" s="22" t="s">
        <x:v>693</x:v>
      </x:c>
      <x:c r="B2" s="8" t="n">
        <x:f>'Evaluation Plan'!B2</x:f>
        <x:v>0</x:v>
      </x:c>
      <x:c r="C2" s="9" t="str">
        <x:f>'Evaluation Plan'!C2</x:f>
        <x:v>Move the object that is smallest into the bowl.</x:v>
      </x:c>
      <x:c r="D2" s="9" t="str">
        <x:f>'Evaluation Plan'!D2</x:f>
        <x:v>Bowl: empty. Table, robot-left→robot-right: P1 red pencil sharpener; P2 green block; P3 juggling ball; P4 crushed Pepsi can. Adjacent centers 8 cm apart; row centered on the workspace; all objects fully visible and grasp paths clear.</x:v>
      </x:c>
      <x:c r="E2" s="8" t="str">
        <x:f>IF(ISBLANK('Evaluation Plan'!E2),"",'Evaluation Plan'!E2)</x:f>
      </x:c>
      <x:c r="F2" s="8" t="str">
        <x:f>'Evaluation Plan'!F2</x:f>
        <x:v>1005</x:v>
      </x:c>
      <x:c r="G2" s="8" t="str">
        <x:f>'Evaluation Plan'!G2</x:f>
        <x:v>MOVE red pencil sharpener to bowl</x:v>
      </x:c>
      <x:c r="H2" s="23" t="s">
        <x:v>726</x:v>
      </x:c>
      <x:c r="I2" s="8" t="str">
        <x:f>'Evaluation Plan'!I2</x:f>
        <x:v>In-distribution concept baseline</x:v>
      </x:c>
      <x:c r="J2" s="8" t="str">
        <x:f>'Evaluation Plan'!J2</x:f>
        <x:v>SZ-ID-SH01</x:v>
      </x:c>
      <x:c r="K2" s="8" t="str">
        <x:f>'Evaluation Plan'!K2</x:f>
        <x:v>smallest</x:v>
      </x:c>
      <x:c r="L2" s="8" t="str">
        <x:f>'Evaluation Plan'!L2</x:f>
        <x:v>Explicitly trained smallest × red pencil sharpener</x:v>
      </x:c>
      <x:c r="M2" s="8" t="str">
        <x:f>'Evaluation Plan'!M2</x:f>
        <x:v>red pencil sharpener</x:v>
      </x:c>
      <x:c r="N2" s="8" t="str">
        <x:f>'Evaluation Plan'!N2</x:f>
        <x:v>Left</x:v>
      </x:c>
      <x:c r="O2" s="8" t="n">
        <x:f>'Evaluation Plan'!O2</x:f>
        <x:v>4</x:v>
      </x:c>
      <x:c r="P2" s="8" t="n">
        <x:f>IF(ISBLANK('Evaluation Plan'!P2),"",'Evaluation Plan'!P2)</x:f>
        <x:v>8</x:v>
      </x:c>
      <x:c r="Q2" s="8" t="str">
        <x:f>'Evaluation Plan'!Q2</x:f>
        <x:v>Build the listed manifest-supported scene.</x:v>
      </x:c>
      <x:c r="R2" s="9" t="str">
        <x:f>'Evaluation Plan'!R2</x:f>
        <x:v>Exact prompt and object composition from training episode 1005; this establishes the familiar smallest × red pencil sharpener cell.</x:v>
      </x:c>
      <x:c r="S2" s="9" t="str">
        <x:f>IF(ISBLANK('Evaluation Plan'!S2),"",'Evaluation Plan'!S2)</x:f>
      </x:c>
    </x:row>
    <x:row r="3" ht="67.5" customHeight="1">
      <x:c r="A3" s="22" t="s">
        <x:v>591</x:v>
      </x:c>
      <x:c r="B3" s="8" t="n">
        <x:f>'Evaluation Plan'!B3</x:f>
        <x:v>1</x:v>
      </x:c>
      <x:c r="C3" s="9" t="str">
        <x:f>'Evaluation Plan'!C3</x:f>
        <x:v>Pick up the smallest item and place it in the bowl.</x:v>
      </x:c>
      <x:c r="D3" s="9" t="str">
        <x:f>'Evaluation Plan'!D3</x:f>
        <x:v>Bowl: empty. Table, robot-left→robot-right: P1 crushed Pepsi can; P2 juggling ball; P3 green block. Adjacent centers 12 cm apart; row shifted 4 cm toward robot-left; all objects fully visible and grasp paths clear.</x:v>
      </x:c>
      <x:c r="E3" s="8" t="str">
        <x:f>IF(ISBLANK('Evaluation Plan'!E3),"",'Evaluation Plan'!E3)</x:f>
      </x:c>
      <x:c r="F3" s="8" t="str">
        <x:f>'Evaluation Plan'!F3</x:f>
        <x:v>1050</x:v>
      </x:c>
      <x:c r="G3" s="8" t="str">
        <x:f>'Evaluation Plan'!G3</x:f>
        <x:v>MOVE green block to bowl</x:v>
      </x:c>
      <x:c r="H3" s="9"/>
      <x:c r="I3" s="8" t="str">
        <x:f>'Evaluation Plan'!I3</x:f>
        <x:v>In-distribution concept baseline</x:v>
      </x:c>
      <x:c r="J3" s="8" t="str">
        <x:f>'Evaluation Plan'!J3</x:f>
        <x:v>SZ-ID-GB01</x:v>
      </x:c>
      <x:c r="K3" s="8" t="str">
        <x:f>'Evaluation Plan'!K3</x:f>
        <x:v>smallest</x:v>
      </x:c>
      <x:c r="L3" s="8" t="str">
        <x:f>'Evaluation Plan'!L3</x:f>
        <x:v>Explicitly trained smallest × green block</x:v>
      </x:c>
      <x:c r="M3" s="8" t="str">
        <x:f>'Evaluation Plan'!M3</x:f>
        <x:v>green block</x:v>
      </x:c>
      <x:c r="N3" s="8" t="str">
        <x:f>'Evaluation Plan'!N3</x:f>
        <x:v>Right</x:v>
      </x:c>
      <x:c r="O3" s="8" t="n">
        <x:f>'Evaluation Plan'!O3</x:f>
        <x:v>3</x:v>
      </x:c>
      <x:c r="P3" s="8" t="n">
        <x:f>IF(ISBLANK('Evaluation Plan'!P3),"",'Evaluation Plan'!P3)</x:f>
        <x:v>12</x:v>
      </x:c>
      <x:c r="Q3" s="8" t="str">
        <x:f>'Evaluation Plan'!Q3</x:f>
        <x:v>Build the listed manifest-supported scene.</x:v>
      </x:c>
      <x:c r="R3" s="9" t="str">
        <x:f>'Evaluation Plan'!R3</x:f>
        <x:v>Exact prompt and object composition from training episode 1050; this establishes the familiar smallest × green block cell.</x:v>
      </x:c>
      <x:c r="S3" s="9" t="str">
        <x:f>IF(ISBLANK('Evaluation Plan'!S3),"",'Evaluation Plan'!S3)</x:f>
      </x:c>
    </x:row>
    <x:row r="4" ht="67.5" customHeight="1">
      <x:c r="A4" s="22" t="s">
        <x:v>591</x:v>
      </x:c>
      <x:c r="B4" s="8" t="n">
        <x:f>'Evaluation Plan'!B4</x:f>
        <x:v>2</x:v>
      </x:c>
      <x:c r="C4" s="9" t="str">
        <x:f>'Evaluation Plan'!C4</x:f>
        <x:v>Put the largest object in the bowl.</x:v>
      </x:c>
      <x:c r="D4" s="9" t="str">
        <x:f>'Evaluation Plan'!D4</x:f>
        <x:v>Bowl: empty. Table, robot-left→robot-right: P1 juggling ball; P2 red pencil sharpener; P3 green block. Adjacent centers 16 cm apart; row shifted 4 cm toward robot-right; all objects fully visible and grasp paths clear.</x:v>
      </x:c>
      <x:c r="E4" s="8" t="str">
        <x:f>IF(ISBLANK('Evaluation Plan'!E4),"",'Evaluation Plan'!E4)</x:f>
      </x:c>
      <x:c r="F4" s="8" t="str">
        <x:f>'Evaluation Plan'!F4</x:f>
        <x:v>1125</x:v>
      </x:c>
      <x:c r="G4" s="8" t="str">
        <x:f>'Evaluation Plan'!G4</x:f>
        <x:v>MOVE juggling ball to bowl</x:v>
      </x:c>
      <x:c r="H4" s="9"/>
      <x:c r="I4" s="8" t="str">
        <x:f>'Evaluation Plan'!I4</x:f>
        <x:v>In-distribution concept baseline</x:v>
      </x:c>
      <x:c r="J4" s="8" t="str">
        <x:f>'Evaluation Plan'!J4</x:f>
        <x:v>SZ-ID-JB01</x:v>
      </x:c>
      <x:c r="K4" s="8" t="str">
        <x:f>'Evaluation Plan'!K4</x:f>
        <x:v>largest</x:v>
      </x:c>
      <x:c r="L4" s="8" t="str">
        <x:f>'Evaluation Plan'!L4</x:f>
        <x:v>Explicitly trained largest × juggling ball</x:v>
      </x:c>
      <x:c r="M4" s="8" t="str">
        <x:f>'Evaluation Plan'!M4</x:f>
        <x:v>juggling ball</x:v>
      </x:c>
      <x:c r="N4" s="8" t="str">
        <x:f>'Evaluation Plan'!N4</x:f>
        <x:v>Left</x:v>
      </x:c>
      <x:c r="O4" s="8" t="n">
        <x:f>'Evaluation Plan'!O4</x:f>
        <x:v>3</x:v>
      </x:c>
      <x:c r="P4" s="8" t="n">
        <x:f>IF(ISBLANK('Evaluation Plan'!P4),"",'Evaluation Plan'!P4)</x:f>
        <x:v>16</x:v>
      </x:c>
      <x:c r="Q4" s="8" t="str">
        <x:f>'Evaluation Plan'!Q4</x:f>
        <x:v>Build the listed manifest-supported scene.</x:v>
      </x:c>
      <x:c r="R4" s="9" t="str">
        <x:f>'Evaluation Plan'!R4</x:f>
        <x:v>Exact prompt and object composition from training episode 1125; this establishes the familiar largest × juggling ball cell.</x:v>
      </x:c>
      <x:c r="S4" s="9" t="str">
        <x:f>IF(ISBLANK('Evaluation Plan'!S4),"",'Evaluation Plan'!S4)</x:f>
      </x:c>
    </x:row>
    <x:row r="5" ht="67.5" customHeight="1">
      <x:c r="A5" s="22" t="s">
        <x:v>591</x:v>
      </x:c>
      <x:c r="B5" s="8" t="n">
        <x:f>'Evaluation Plan'!B5</x:f>
        <x:v>3</x:v>
      </x:c>
      <x:c r="C5" s="9" t="str">
        <x:f>'Evaluation Plan'!C5</x:f>
        <x:v>Pick up the largest item and place it in the bowl.</x:v>
      </x:c>
      <x:c r="D5" s="9" t="str">
        <x:f>'Evaluation Plan'!D5</x:f>
        <x:v>Bowl: empty. Table, robot-left→robot-right: P1 red pencil sharpener; P2 green block; P3 juggling ball; P4 crushed Pepsi can. Adjacent centers 8 cm apart; row shifted 4 cm toward the robot; all objects fully visible and grasp paths clear.</x:v>
      </x:c>
      <x:c r="E5" s="8" t="str">
        <x:f>IF(ISBLANK('Evaluation Plan'!E5),"",'Evaluation Plan'!E5)</x:f>
      </x:c>
      <x:c r="F5" s="8" t="str">
        <x:f>'Evaluation Plan'!F5</x:f>
        <x:v>1155</x:v>
      </x:c>
      <x:c r="G5" s="8" t="str">
        <x:f>'Evaluation Plan'!G5</x:f>
        <x:v>MOVE crushed Pepsi can to bowl</x:v>
      </x:c>
      <x:c r="H5" s="9"/>
      <x:c r="I5" s="8" t="str">
        <x:f>'Evaluation Plan'!I5</x:f>
        <x:v>In-distribution concept baseline</x:v>
      </x:c>
      <x:c r="J5" s="8" t="str">
        <x:f>'Evaluation Plan'!J5</x:f>
        <x:v>SZ-ID-PC01</x:v>
      </x:c>
      <x:c r="K5" s="8" t="str">
        <x:f>'Evaluation Plan'!K5</x:f>
        <x:v>largest</x:v>
      </x:c>
      <x:c r="L5" s="8" t="str">
        <x:f>'Evaluation Plan'!L5</x:f>
        <x:v>Explicitly trained largest × crushed Pepsi can</x:v>
      </x:c>
      <x:c r="M5" s="8" t="str">
        <x:f>'Evaluation Plan'!M5</x:f>
        <x:v>crushed Pepsi can</x:v>
      </x:c>
      <x:c r="N5" s="8" t="str">
        <x:f>'Evaluation Plan'!N5</x:f>
        <x:v>Right</x:v>
      </x:c>
      <x:c r="O5" s="8" t="n">
        <x:f>'Evaluation Plan'!O5</x:f>
        <x:v>4</x:v>
      </x:c>
      <x:c r="P5" s="8" t="n">
        <x:f>IF(ISBLANK('Evaluation Plan'!P5),"",'Evaluation Plan'!P5)</x:f>
        <x:v>8</x:v>
      </x:c>
      <x:c r="Q5" s="8" t="str">
        <x:f>'Evaluation Plan'!Q5</x:f>
        <x:v>Build the listed manifest-supported scene.</x:v>
      </x:c>
      <x:c r="R5" s="9" t="str">
        <x:f>'Evaluation Plan'!R5</x:f>
        <x:v>Exact prompt and object composition from training episode 1155; this establishes the familiar largest × crushed Pepsi can cell.</x:v>
      </x:c>
      <x:c r="S5" s="9" t="str">
        <x:f>IF(ISBLANK('Evaluation Plan'!S5),"",'Evaluation Plan'!S5)</x:f>
      </x:c>
    </x:row>
    <x:row r="6" ht="67.5" customHeight="1">
      <x:c r="A6" s="22" t="s">
        <x:v>591</x:v>
      </x:c>
      <x:c r="B6" s="8" t="n">
        <x:f>'Evaluation Plan'!B6</x:f>
        <x:v>4</x:v>
      </x:c>
      <x:c r="C6" s="9" t="str">
        <x:f>'Evaluation Plan'!C6</x:f>
        <x:v>Pick up the smallest item and place it in the bowl.</x:v>
      </x:c>
      <x:c r="D6" s="9" t="str">
        <x:f>'Evaluation Plan'!D6</x:f>
        <x:v>Bowl: empty. Table, robot-left→robot-right: P1 juggling ball; P2 crushed Pepsi can; P3 green block; P4 red pencil sharpener. Adjacent centers 12 cm apart; row shifted 4 cm toward robot-left; all objects fully visible and grasp paths clear.</x:v>
      </x:c>
      <x:c r="E6" s="8" t="str">
        <x:f>IF(ISBLANK('Evaluation Plan'!E6),"",'Evaluation Plan'!E6)</x:f>
      </x:c>
      <x:c r="F6" s="8" t="str">
        <x:f>'Evaluation Plan'!F6</x:f>
        <x:v>1006</x:v>
      </x:c>
      <x:c r="G6" s="8" t="str">
        <x:f>'Evaluation Plan'!G6</x:f>
        <x:v>MOVE red pencil sharpener to bowl</x:v>
      </x:c>
      <x:c r="H6" s="9"/>
      <x:c r="I6" s="8" t="str">
        <x:f>'Evaluation Plan'!I6</x:f>
        <x:v>In-distribution concept baseline</x:v>
      </x:c>
      <x:c r="J6" s="8" t="str">
        <x:f>'Evaluation Plan'!J6</x:f>
        <x:v>SZ-ID-SH02</x:v>
      </x:c>
      <x:c r="K6" s="8" t="str">
        <x:f>'Evaluation Plan'!K6</x:f>
        <x:v>smallest</x:v>
      </x:c>
      <x:c r="L6" s="8" t="str">
        <x:f>'Evaluation Plan'!L6</x:f>
        <x:v>Explicitly trained smallest × red pencil sharpener</x:v>
      </x:c>
      <x:c r="M6" s="8" t="str">
        <x:f>'Evaluation Plan'!M6</x:f>
        <x:v>red pencil sharpener</x:v>
      </x:c>
      <x:c r="N6" s="8" t="str">
        <x:f>'Evaluation Plan'!N6</x:f>
        <x:v>Right</x:v>
      </x:c>
      <x:c r="O6" s="8" t="n">
        <x:f>'Evaluation Plan'!O6</x:f>
        <x:v>4</x:v>
      </x:c>
      <x:c r="P6" s="8" t="n">
        <x:f>IF(ISBLANK('Evaluation Plan'!P6),"",'Evaluation Plan'!P6)</x:f>
        <x:v>12</x:v>
      </x:c>
      <x:c r="Q6" s="8" t="str">
        <x:f>'Evaluation Plan'!Q6</x:f>
        <x:v>Build the listed manifest-supported scene.</x:v>
      </x:c>
      <x:c r="R6" s="9" t="str">
        <x:f>'Evaluation Plan'!R6</x:f>
        <x:v>Exact prompt and object composition from training episode 1006; this establishes the familiar smallest × red pencil sharpener cell.</x:v>
      </x:c>
      <x:c r="S6" s="9" t="str">
        <x:f>IF(ISBLANK('Evaluation Plan'!S6),"",'Evaluation Plan'!S6)</x:f>
      </x:c>
    </x:row>
    <x:row r="7" ht="67.5" customHeight="1">
      <x:c r="A7" s="22" t="s">
        <x:v>591</x:v>
      </x:c>
      <x:c r="B7" s="8" t="n">
        <x:f>'Evaluation Plan'!B7</x:f>
        <x:v>5</x:v>
      </x:c>
      <x:c r="C7" s="9" t="str">
        <x:f>'Evaluation Plan'!C7</x:f>
        <x:v>Pick up the smallest item and place it in the bowl.</x:v>
      </x:c>
      <x:c r="D7" s="9" t="str">
        <x:f>'Evaluation Plan'!D7</x:f>
        <x:v>Bowl: empty. Table, robot-left→robot-right: P1 green block; P2 juggling ball; P3 crushed Pepsi can. Adjacent centers 16 cm apart; row shifted 4 cm toward robot-right; all objects fully visible and grasp paths clear.</x:v>
      </x:c>
      <x:c r="E7" s="8" t="str">
        <x:f>IF(ISBLANK('Evaluation Plan'!E7),"",'Evaluation Plan'!E7)</x:f>
      </x:c>
      <x:c r="F7" s="8" t="str">
        <x:f>'Evaluation Plan'!F7</x:f>
        <x:v>1051</x:v>
      </x:c>
      <x:c r="G7" s="8" t="str">
        <x:f>'Evaluation Plan'!G7</x:f>
        <x:v>MOVE green block to bowl</x:v>
      </x:c>
      <x:c r="H7" s="9"/>
      <x:c r="I7" s="8" t="str">
        <x:f>'Evaluation Plan'!I7</x:f>
        <x:v>In-distribution concept baseline</x:v>
      </x:c>
      <x:c r="J7" s="8" t="str">
        <x:f>'Evaluation Plan'!J7</x:f>
        <x:v>SZ-ID-GB02</x:v>
      </x:c>
      <x:c r="K7" s="8" t="str">
        <x:f>'Evaluation Plan'!K7</x:f>
        <x:v>smallest</x:v>
      </x:c>
      <x:c r="L7" s="8" t="str">
        <x:f>'Evaluation Plan'!L7</x:f>
        <x:v>Explicitly trained smallest × green block</x:v>
      </x:c>
      <x:c r="M7" s="8" t="str">
        <x:f>'Evaluation Plan'!M7</x:f>
        <x:v>green block</x:v>
      </x:c>
      <x:c r="N7" s="8" t="str">
        <x:f>'Evaluation Plan'!N7</x:f>
        <x:v>Left</x:v>
      </x:c>
      <x:c r="O7" s="8" t="n">
        <x:f>'Evaluation Plan'!O7</x:f>
        <x:v>3</x:v>
      </x:c>
      <x:c r="P7" s="8" t="n">
        <x:f>IF(ISBLANK('Evaluation Plan'!P7),"",'Evaluation Plan'!P7)</x:f>
        <x:v>16</x:v>
      </x:c>
      <x:c r="Q7" s="8" t="str">
        <x:f>'Evaluation Plan'!Q7</x:f>
        <x:v>Build the listed manifest-supported scene.</x:v>
      </x:c>
      <x:c r="R7" s="9" t="str">
        <x:f>'Evaluation Plan'!R7</x:f>
        <x:v>Exact prompt and object composition from training episode 1051; this establishes the familiar smallest × green block cell.</x:v>
      </x:c>
      <x:c r="S7" s="9" t="str">
        <x:f>IF(ISBLANK('Evaluation Plan'!S7),"",'Evaluation Plan'!S7)</x:f>
      </x:c>
    </x:row>
    <x:row r="8" ht="67.5" customHeight="1">
      <x:c r="A8" s="22" t="s">
        <x:v>591</x:v>
      </x:c>
      <x:c r="B8" s="8" t="n">
        <x:f>'Evaluation Plan'!B8</x:f>
        <x:v>6</x:v>
      </x:c>
      <x:c r="C8" s="9" t="str">
        <x:f>'Evaluation Plan'!C8</x:f>
        <x:v>Pick up the largest item and place it in the bowl.</x:v>
      </x:c>
      <x:c r="D8" s="9" t="str">
        <x:f>'Evaluation Plan'!D8</x:f>
        <x:v>Bowl: empty. Table, robot-left→robot-right: P1 green block; P2 red pencil sharpener; P3 juggling ball. Adjacent centers 8 cm apart; row shifted 4 cm toward the robot; all objects fully visible and grasp paths clear.</x:v>
      </x:c>
      <x:c r="E8" s="8" t="str">
        <x:f>IF(ISBLANK('Evaluation Plan'!E8),"",'Evaluation Plan'!E8)</x:f>
      </x:c>
      <x:c r="F8" s="8" t="str">
        <x:f>'Evaluation Plan'!F8</x:f>
        <x:v>1126</x:v>
      </x:c>
      <x:c r="G8" s="8" t="str">
        <x:f>'Evaluation Plan'!G8</x:f>
        <x:v>MOVE juggling ball to bowl</x:v>
      </x:c>
      <x:c r="H8" s="9"/>
      <x:c r="I8" s="8" t="str">
        <x:f>'Evaluation Plan'!I8</x:f>
        <x:v>In-distribution concept baseline</x:v>
      </x:c>
      <x:c r="J8" s="8" t="str">
        <x:f>'Evaluation Plan'!J8</x:f>
        <x:v>SZ-ID-JB02</x:v>
      </x:c>
      <x:c r="K8" s="8" t="str">
        <x:f>'Evaluation Plan'!K8</x:f>
        <x:v>largest</x:v>
      </x:c>
      <x:c r="L8" s="8" t="str">
        <x:f>'Evaluation Plan'!L8</x:f>
        <x:v>Explicitly trained largest × juggling ball</x:v>
      </x:c>
      <x:c r="M8" s="8" t="str">
        <x:f>'Evaluation Plan'!M8</x:f>
        <x:v>juggling ball</x:v>
      </x:c>
      <x:c r="N8" s="8" t="str">
        <x:f>'Evaluation Plan'!N8</x:f>
        <x:v>Right</x:v>
      </x:c>
      <x:c r="O8" s="8" t="n">
        <x:f>'Evaluation Plan'!O8</x:f>
        <x:v>3</x:v>
      </x:c>
      <x:c r="P8" s="8" t="n">
        <x:f>IF(ISBLANK('Evaluation Plan'!P8),"",'Evaluation Plan'!P8)</x:f>
        <x:v>8</x:v>
      </x:c>
      <x:c r="Q8" s="8" t="str">
        <x:f>'Evaluation Plan'!Q8</x:f>
        <x:v>Build the listed manifest-supported scene.</x:v>
      </x:c>
      <x:c r="R8" s="9" t="str">
        <x:f>'Evaluation Plan'!R8</x:f>
        <x:v>Exact prompt and object composition from training episode 1126; this establishes the familiar largest × juggling ball cell.</x:v>
      </x:c>
      <x:c r="S8" s="9" t="str">
        <x:f>IF(ISBLANK('Evaluation Plan'!S8),"",'Evaluation Plan'!S8)</x:f>
      </x:c>
    </x:row>
    <x:row r="9" ht="67.5" customHeight="1">
      <x:c r="A9" s="22" t="s">
        <x:v>693</x:v>
      </x:c>
      <x:c r="B9" s="8" t="n">
        <x:f>'Evaluation Plan'!B9</x:f>
        <x:v>7</x:v>
      </x:c>
      <x:c r="C9" s="9" t="str">
        <x:f>'Evaluation Plan'!C9</x:f>
        <x:v>Move the object that is largest into the bowl.</x:v>
      </x:c>
      <x:c r="D9" s="9" t="str">
        <x:f>'Evaluation Plan'!D9</x:f>
        <x:v>Bowl: empty. Table, robot-left→robot-right: P1 crushed Pepsi can; P2 green block; P3 juggling ball; P4 red pencil sharpener. Adjacent centers 12 cm apart; row shifted 4 cm away from the robot; all objects fully visible and grasp paths clear.</x:v>
      </x:c>
      <x:c r="E9" s="8" t="str">
        <x:f>IF(ISBLANK('Evaluation Plan'!E9),"",'Evaluation Plan'!E9)</x:f>
      </x:c>
      <x:c r="F9" s="8" t="str">
        <x:f>'Evaluation Plan'!F9</x:f>
        <x:v>1156</x:v>
      </x:c>
      <x:c r="G9" s="8" t="str">
        <x:f>'Evaluation Plan'!G9</x:f>
        <x:v>MOVE crushed Pepsi can to bowl</x:v>
      </x:c>
      <x:c r="H9" s="23" t="s">
        <x:v>727</x:v>
      </x:c>
      <x:c r="I9" s="8" t="str">
        <x:f>'Evaluation Plan'!I9</x:f>
        <x:v>In-distribution concept baseline</x:v>
      </x:c>
      <x:c r="J9" s="8" t="str">
        <x:f>'Evaluation Plan'!J9</x:f>
        <x:v>SZ-ID-PC02</x:v>
      </x:c>
      <x:c r="K9" s="8" t="str">
        <x:f>'Evaluation Plan'!K9</x:f>
        <x:v>largest</x:v>
      </x:c>
      <x:c r="L9" s="8" t="str">
        <x:f>'Evaluation Plan'!L9</x:f>
        <x:v>Explicitly trained largest × crushed Pepsi can</x:v>
      </x:c>
      <x:c r="M9" s="8" t="str">
        <x:f>'Evaluation Plan'!M9</x:f>
        <x:v>crushed Pepsi can</x:v>
      </x:c>
      <x:c r="N9" s="8" t="str">
        <x:f>'Evaluation Plan'!N9</x:f>
        <x:v>Left</x:v>
      </x:c>
      <x:c r="O9" s="8" t="n">
        <x:f>'Evaluation Plan'!O9</x:f>
        <x:v>4</x:v>
      </x:c>
      <x:c r="P9" s="8" t="n">
        <x:f>IF(ISBLANK('Evaluation Plan'!P9),"",'Evaluation Plan'!P9)</x:f>
        <x:v>12</x:v>
      </x:c>
      <x:c r="Q9" s="8" t="str">
        <x:f>'Evaluation Plan'!Q9</x:f>
        <x:v>Build the listed manifest-supported scene.</x:v>
      </x:c>
      <x:c r="R9" s="9" t="str">
        <x:f>'Evaluation Plan'!R9</x:f>
        <x:v>Exact prompt and object composition from training episode 1156; this establishes the familiar largest × crushed Pepsi can cell.</x:v>
      </x:c>
      <x:c r="S9" s="9" t="str">
        <x:f>IF(ISBLANK('Evaluation Plan'!S9),"",'Evaluation Plan'!S9)</x:f>
      </x:c>
    </x:row>
    <x:row r="10" ht="67.5" customHeight="1">
      <x:c r="A10" s="22" t="s">
        <x:v>591</x:v>
      </x:c>
      <x:c r="B10" s="8" t="n">
        <x:f>'Evaluation Plan'!B10</x:f>
        <x:v>8</x:v>
      </x:c>
      <x:c r="C10" s="9" t="str">
        <x:f>'Evaluation Plan'!C10</x:f>
        <x:v>Move the object that is smallest into the bowl.</x:v>
      </x:c>
      <x:c r="D10" s="9" t="str">
        <x:f>'Evaluation Plan'!D10</x:f>
        <x:v>Bowl: empty. Table, robot-left→robot-right: P1 red pencil sharpener; P2 crushed Pepsi can; P3 green block; P4 juggling ball. Adjacent centers 16 cm apart; row shifted 4 cm toward robot-right; all objects fully visible and grasp paths clear.</x:v>
      </x:c>
      <x:c r="E10" s="8" t="str">
        <x:f>IF(ISBLANK('Evaluation Plan'!E10),"",'Evaluation Plan'!E10)</x:f>
      </x:c>
      <x:c r="F10" s="8" t="str">
        <x:f>'Evaluation Plan'!F10</x:f>
        <x:v>1007</x:v>
      </x:c>
      <x:c r="G10" s="8" t="str">
        <x:f>'Evaluation Plan'!G10</x:f>
        <x:v>MOVE red pencil sharpener to bowl</x:v>
      </x:c>
      <x:c r="H10" s="9"/>
      <x:c r="I10" s="8" t="str">
        <x:f>'Evaluation Plan'!I10</x:f>
        <x:v>In-distribution concept baseline</x:v>
      </x:c>
      <x:c r="J10" s="8" t="str">
        <x:f>'Evaluation Plan'!J10</x:f>
        <x:v>SZ-ID-SH03</x:v>
      </x:c>
      <x:c r="K10" s="8" t="str">
        <x:f>'Evaluation Plan'!K10</x:f>
        <x:v>smallest</x:v>
      </x:c>
      <x:c r="L10" s="8" t="str">
        <x:f>'Evaluation Plan'!L10</x:f>
        <x:v>Explicitly trained smallest × red pencil sharpener</x:v>
      </x:c>
      <x:c r="M10" s="8" t="str">
        <x:f>'Evaluation Plan'!M10</x:f>
        <x:v>red pencil sharpener</x:v>
      </x:c>
      <x:c r="N10" s="8" t="str">
        <x:f>'Evaluation Plan'!N10</x:f>
        <x:v>Left</x:v>
      </x:c>
      <x:c r="O10" s="8" t="n">
        <x:f>'Evaluation Plan'!O10</x:f>
        <x:v>4</x:v>
      </x:c>
      <x:c r="P10" s="8" t="n">
        <x:f>IF(ISBLANK('Evaluation Plan'!P10),"",'Evaluation Plan'!P10)</x:f>
        <x:v>16</x:v>
      </x:c>
      <x:c r="Q10" s="8" t="str">
        <x:f>'Evaluation Plan'!Q10</x:f>
        <x:v>Build the listed manifest-supported scene.</x:v>
      </x:c>
      <x:c r="R10" s="9" t="str">
        <x:f>'Evaluation Plan'!R10</x:f>
        <x:v>Exact prompt and object composition from training episode 1007; this establishes the familiar smallest × red pencil sharpener cell.</x:v>
      </x:c>
      <x:c r="S10" s="9" t="str">
        <x:f>IF(ISBLANK('Evaluation Plan'!S10),"",'Evaluation Plan'!S10)</x:f>
      </x:c>
    </x:row>
    <x:row r="11" ht="67.5" customHeight="1">
      <x:c r="A11" s="22" t="s">
        <x:v>591</x:v>
      </x:c>
      <x:c r="B11" s="8" t="n">
        <x:f>'Evaluation Plan'!B11</x:f>
        <x:v>9</x:v>
      </x:c>
      <x:c r="C11" s="9" t="str">
        <x:f>'Evaluation Plan'!C11</x:f>
        <x:v>Put the smallest object in the bowl.</x:v>
      </x:c>
      <x:c r="D11" s="9" t="str">
        <x:f>'Evaluation Plan'!D11</x:f>
        <x:v>Bowl: empty. Table, robot-left→robot-right: P1 crushed Pepsi can; P2 juggling ball; P3 green block. Adjacent centers 8 cm apart; row shifted 4 cm toward the robot; all objects fully visible and grasp paths clear.</x:v>
      </x:c>
      <x:c r="E11" s="8" t="str">
        <x:f>IF(ISBLANK('Evaluation Plan'!E11),"",'Evaluation Plan'!E11)</x:f>
      </x:c>
      <x:c r="F11" s="8" t="str">
        <x:f>'Evaluation Plan'!F11</x:f>
        <x:v>1052</x:v>
      </x:c>
      <x:c r="G11" s="8" t="str">
        <x:f>'Evaluation Plan'!G11</x:f>
        <x:v>MOVE green block to bowl</x:v>
      </x:c>
      <x:c r="H11" s="9"/>
      <x:c r="I11" s="8" t="str">
        <x:f>'Evaluation Plan'!I11</x:f>
        <x:v>In-distribution concept baseline</x:v>
      </x:c>
      <x:c r="J11" s="8" t="str">
        <x:f>'Evaluation Plan'!J11</x:f>
        <x:v>SZ-ID-GB03</x:v>
      </x:c>
      <x:c r="K11" s="8" t="str">
        <x:f>'Evaluation Plan'!K11</x:f>
        <x:v>smallest</x:v>
      </x:c>
      <x:c r="L11" s="8" t="str">
        <x:f>'Evaluation Plan'!L11</x:f>
        <x:v>Explicitly trained smallest × green block</x:v>
      </x:c>
      <x:c r="M11" s="8" t="str">
        <x:f>'Evaluation Plan'!M11</x:f>
        <x:v>green block</x:v>
      </x:c>
      <x:c r="N11" s="8" t="str">
        <x:f>'Evaluation Plan'!N11</x:f>
        <x:v>Right</x:v>
      </x:c>
      <x:c r="O11" s="8" t="n">
        <x:f>'Evaluation Plan'!O11</x:f>
        <x:v>3</x:v>
      </x:c>
      <x:c r="P11" s="8" t="n">
        <x:f>IF(ISBLANK('Evaluation Plan'!P11),"",'Evaluation Plan'!P11)</x:f>
        <x:v>8</x:v>
      </x:c>
      <x:c r="Q11" s="8" t="str">
        <x:f>'Evaluation Plan'!Q11</x:f>
        <x:v>Build the listed manifest-supported scene.</x:v>
      </x:c>
      <x:c r="R11" s="9" t="str">
        <x:f>'Evaluation Plan'!R11</x:f>
        <x:v>Exact prompt and object composition from training episode 1052; this establishes the familiar smallest × green block cell.</x:v>
      </x:c>
      <x:c r="S11" s="9" t="str">
        <x:f>IF(ISBLANK('Evaluation Plan'!S11),"",'Evaluation Plan'!S11)</x:f>
      </x:c>
    </x:row>
    <x:row r="12" ht="67.5" customHeight="1">
      <x:c r="A12" s="22" t="s">
        <x:v>591</x:v>
      </x:c>
      <x:c r="B12" s="8" t="n">
        <x:f>'Evaluation Plan'!B12</x:f>
        <x:v>10</x:v>
      </x:c>
      <x:c r="C12" s="9" t="str">
        <x:f>'Evaluation Plan'!C12</x:f>
        <x:v>Pick up the largest item and place it in the bowl.</x:v>
      </x:c>
      <x:c r="D12" s="9" t="str">
        <x:f>'Evaluation Plan'!D12</x:f>
        <x:v>Bowl: empty. Table, robot-left→robot-right: P1 juggling ball; P2 red pencil sharpener; P3 green block. Adjacent centers 12 cm apart; row shifted 4 cm away from the robot; all objects fully visible and grasp paths clear.</x:v>
      </x:c>
      <x:c r="E12" s="8" t="str">
        <x:f>IF(ISBLANK('Evaluation Plan'!E12),"",'Evaluation Plan'!E12)</x:f>
      </x:c>
      <x:c r="F12" s="8" t="str">
        <x:f>'Evaluation Plan'!F12</x:f>
        <x:v>1127</x:v>
      </x:c>
      <x:c r="G12" s="8" t="str">
        <x:f>'Evaluation Plan'!G12</x:f>
        <x:v>MOVE juggling ball to bowl</x:v>
      </x:c>
      <x:c r="H12" s="9"/>
      <x:c r="I12" s="8" t="str">
        <x:f>'Evaluation Plan'!I12</x:f>
        <x:v>In-distribution concept baseline</x:v>
      </x:c>
      <x:c r="J12" s="8" t="str">
        <x:f>'Evaluation Plan'!J12</x:f>
        <x:v>SZ-ID-JB03</x:v>
      </x:c>
      <x:c r="K12" s="8" t="str">
        <x:f>'Evaluation Plan'!K12</x:f>
        <x:v>largest</x:v>
      </x:c>
      <x:c r="L12" s="8" t="str">
        <x:f>'Evaluation Plan'!L12</x:f>
        <x:v>Explicitly trained largest × juggling ball</x:v>
      </x:c>
      <x:c r="M12" s="8" t="str">
        <x:f>'Evaluation Plan'!M12</x:f>
        <x:v>juggling ball</x:v>
      </x:c>
      <x:c r="N12" s="8" t="str">
        <x:f>'Evaluation Plan'!N12</x:f>
        <x:v>Left</x:v>
      </x:c>
      <x:c r="O12" s="8" t="n">
        <x:f>'Evaluation Plan'!O12</x:f>
        <x:v>3</x:v>
      </x:c>
      <x:c r="P12" s="8" t="n">
        <x:f>IF(ISBLANK('Evaluation Plan'!P12),"",'Evaluation Plan'!P12)</x:f>
        <x:v>12</x:v>
      </x:c>
      <x:c r="Q12" s="8" t="str">
        <x:f>'Evaluation Plan'!Q12</x:f>
        <x:v>Build the listed manifest-supported scene.</x:v>
      </x:c>
      <x:c r="R12" s="9" t="str">
        <x:f>'Evaluation Plan'!R12</x:f>
        <x:v>Exact prompt and object composition from training episode 1127; this establishes the familiar largest × juggling ball cell.</x:v>
      </x:c>
      <x:c r="S12" s="9" t="str">
        <x:f>IF(ISBLANK('Evaluation Plan'!S12),"",'Evaluation Plan'!S12)</x:f>
      </x:c>
    </x:row>
    <x:row r="13" ht="67.5" customHeight="1">
      <x:c r="A13" s="22" t="s">
        <x:v>591</x:v>
      </x:c>
      <x:c r="B13" s="8" t="n">
        <x:f>'Evaluation Plan'!B13</x:f>
        <x:v>11</x:v>
      </x:c>
      <x:c r="C13" s="9" t="str">
        <x:f>'Evaluation Plan'!C13</x:f>
        <x:v>Put the largest object in the bowl.</x:v>
      </x:c>
      <x:c r="D13" s="9" t="str">
        <x:f>'Evaluation Plan'!D13</x:f>
        <x:v>Bowl: empty. Table, robot-left→robot-right: P1 juggling ball; P2 red pencil sharpener; P3 green block; P4 crushed Pepsi can. Adjacent centers 16 cm apart; row centered on the workspace; all objects fully visible and grasp paths clear.</x:v>
      </x:c>
      <x:c r="E13" s="8" t="str">
        <x:f>IF(ISBLANK('Evaluation Plan'!E13),"",'Evaluation Plan'!E13)</x:f>
      </x:c>
      <x:c r="F13" s="8" t="str">
        <x:f>'Evaluation Plan'!F13</x:f>
        <x:v>1157</x:v>
      </x:c>
      <x:c r="G13" s="8" t="str">
        <x:f>'Evaluation Plan'!G13</x:f>
        <x:v>MOVE crushed Pepsi can to bowl</x:v>
      </x:c>
      <x:c r="H13" s="9"/>
      <x:c r="I13" s="8" t="str">
        <x:f>'Evaluation Plan'!I13</x:f>
        <x:v>In-distribution concept baseline</x:v>
      </x:c>
      <x:c r="J13" s="8" t="str">
        <x:f>'Evaluation Plan'!J13</x:f>
        <x:v>SZ-ID-PC03</x:v>
      </x:c>
      <x:c r="K13" s="8" t="str">
        <x:f>'Evaluation Plan'!K13</x:f>
        <x:v>largest</x:v>
      </x:c>
      <x:c r="L13" s="8" t="str">
        <x:f>'Evaluation Plan'!L13</x:f>
        <x:v>Explicitly trained largest × crushed Pepsi can</x:v>
      </x:c>
      <x:c r="M13" s="8" t="str">
        <x:f>'Evaluation Plan'!M13</x:f>
        <x:v>crushed Pepsi can</x:v>
      </x:c>
      <x:c r="N13" s="8" t="str">
        <x:f>'Evaluation Plan'!N13</x:f>
        <x:v>Right</x:v>
      </x:c>
      <x:c r="O13" s="8" t="n">
        <x:f>'Evaluation Plan'!O13</x:f>
        <x:v>4</x:v>
      </x:c>
      <x:c r="P13" s="8" t="n">
        <x:f>IF(ISBLANK('Evaluation Plan'!P13),"",'Evaluation Plan'!P13)</x:f>
        <x:v>16</x:v>
      </x:c>
      <x:c r="Q13" s="8" t="str">
        <x:f>'Evaluation Plan'!Q13</x:f>
        <x:v>Build the listed manifest-supported scene.</x:v>
      </x:c>
      <x:c r="R13" s="9" t="str">
        <x:f>'Evaluation Plan'!R13</x:f>
        <x:v>Exact prompt and object composition from training episode 1157; this establishes the familiar largest × crushed Pepsi can cell.</x:v>
      </x:c>
      <x:c r="S13" s="9" t="str">
        <x:f>IF(ISBLANK('Evaluation Plan'!S13),"",'Evaluation Plan'!S13)</x:f>
      </x:c>
    </x:row>
    <x:row r="14" ht="67.5" customHeight="1">
      <x:c r="A14" s="22" t="s">
        <x:v>591</x:v>
      </x:c>
      <x:c r="B14" s="8" t="n">
        <x:f>'Evaluation Plan'!B14</x:f>
        <x:v>12</x:v>
      </x:c>
      <x:c r="C14" s="9" t="str">
        <x:f>'Evaluation Plan'!C14</x:f>
        <x:v>Put the smallest object in the bowl.</x:v>
      </x:c>
      <x:c r="D14" s="9" t="str">
        <x:f>'Evaluation Plan'!D14</x:f>
        <x:v>Bowl: empty. Table, robot-left→robot-right: P1 green block; P2 juggling ball; P3 crushed Pepsi can; P4 red pencil sharpener. Adjacent centers 8 cm apart; row shifted 4 cm toward the robot; all objects fully visible and grasp paths clear.</x:v>
      </x:c>
      <x:c r="E14" s="8" t="str">
        <x:f>IF(ISBLANK('Evaluation Plan'!E14),"",'Evaluation Plan'!E14)</x:f>
      </x:c>
      <x:c r="F14" s="8" t="str">
        <x:f>'Evaluation Plan'!F14</x:f>
        <x:v>1008</x:v>
      </x:c>
      <x:c r="G14" s="8" t="str">
        <x:f>'Evaluation Plan'!G14</x:f>
        <x:v>MOVE red pencil sharpener to bowl</x:v>
      </x:c>
      <x:c r="H14" s="9"/>
      <x:c r="I14" s="8" t="str">
        <x:f>'Evaluation Plan'!I14</x:f>
        <x:v>In-distribution concept baseline</x:v>
      </x:c>
      <x:c r="J14" s="8" t="str">
        <x:f>'Evaluation Plan'!J14</x:f>
        <x:v>SZ-ID-SH04</x:v>
      </x:c>
      <x:c r="K14" s="8" t="str">
        <x:f>'Evaluation Plan'!K14</x:f>
        <x:v>smallest</x:v>
      </x:c>
      <x:c r="L14" s="8" t="str">
        <x:f>'Evaluation Plan'!L14</x:f>
        <x:v>Explicitly trained smallest × red pencil sharpener</x:v>
      </x:c>
      <x:c r="M14" s="8" t="str">
        <x:f>'Evaluation Plan'!M14</x:f>
        <x:v>red pencil sharpener</x:v>
      </x:c>
      <x:c r="N14" s="8" t="str">
        <x:f>'Evaluation Plan'!N14</x:f>
        <x:v>Right</x:v>
      </x:c>
      <x:c r="O14" s="8" t="n">
        <x:f>'Evaluation Plan'!O14</x:f>
        <x:v>4</x:v>
      </x:c>
      <x:c r="P14" s="8" t="n">
        <x:f>IF(ISBLANK('Evaluation Plan'!P14),"",'Evaluation Plan'!P14)</x:f>
        <x:v>8</x:v>
      </x:c>
      <x:c r="Q14" s="8" t="str">
        <x:f>'Evaluation Plan'!Q14</x:f>
        <x:v>Build the listed manifest-supported scene.</x:v>
      </x:c>
      <x:c r="R14" s="9" t="str">
        <x:f>'Evaluation Plan'!R14</x:f>
        <x:v>Exact prompt and object composition from training episode 1008; this establishes the familiar smallest × red pencil sharpener cell.</x:v>
      </x:c>
      <x:c r="S14" s="9" t="str">
        <x:f>IF(ISBLANK('Evaluation Plan'!S14),"",'Evaluation Plan'!S14)</x:f>
      </x:c>
    </x:row>
    <x:row r="15" ht="67.5" customHeight="1">
      <x:c r="A15" s="22" t="s">
        <x:v>591</x:v>
      </x:c>
      <x:c r="B15" s="8" t="n">
        <x:f>'Evaluation Plan'!B15</x:f>
        <x:v>13</x:v>
      </x:c>
      <x:c r="C15" s="9" t="str">
        <x:f>'Evaluation Plan'!C15</x:f>
        <x:v>Put the smallest object in the bowl.</x:v>
      </x:c>
      <x:c r="D15" s="9" t="str">
        <x:f>'Evaluation Plan'!D15</x:f>
        <x:v>Bowl: empty. Table, robot-left→robot-right: P1 green block; P2 juggling ball; P3 crushed Pepsi can. Adjacent centers 12 cm apart; row shifted 4 cm away from the robot; all objects fully visible and grasp paths clear.</x:v>
      </x:c>
      <x:c r="E15" s="8" t="str">
        <x:f>IF(ISBLANK('Evaluation Plan'!E15),"",'Evaluation Plan'!E15)</x:f>
      </x:c>
      <x:c r="F15" s="8" t="str">
        <x:f>'Evaluation Plan'!F15</x:f>
        <x:v>1053</x:v>
      </x:c>
      <x:c r="G15" s="8" t="str">
        <x:f>'Evaluation Plan'!G15</x:f>
        <x:v>MOVE green block to bowl</x:v>
      </x:c>
      <x:c r="H15" s="9"/>
      <x:c r="I15" s="8" t="str">
        <x:f>'Evaluation Plan'!I15</x:f>
        <x:v>In-distribution concept baseline</x:v>
      </x:c>
      <x:c r="J15" s="8" t="str">
        <x:f>'Evaluation Plan'!J15</x:f>
        <x:v>SZ-ID-GB04</x:v>
      </x:c>
      <x:c r="K15" s="8" t="str">
        <x:f>'Evaluation Plan'!K15</x:f>
        <x:v>smallest</x:v>
      </x:c>
      <x:c r="L15" s="8" t="str">
        <x:f>'Evaluation Plan'!L15</x:f>
        <x:v>Explicitly trained smallest × green block</x:v>
      </x:c>
      <x:c r="M15" s="8" t="str">
        <x:f>'Evaluation Plan'!M15</x:f>
        <x:v>green block</x:v>
      </x:c>
      <x:c r="N15" s="8" t="str">
        <x:f>'Evaluation Plan'!N15</x:f>
        <x:v>Left</x:v>
      </x:c>
      <x:c r="O15" s="8" t="n">
        <x:f>'Evaluation Plan'!O15</x:f>
        <x:v>3</x:v>
      </x:c>
      <x:c r="P15" s="8" t="n">
        <x:f>IF(ISBLANK('Evaluation Plan'!P15),"",'Evaluation Plan'!P15)</x:f>
        <x:v>12</x:v>
      </x:c>
      <x:c r="Q15" s="8" t="str">
        <x:f>'Evaluation Plan'!Q15</x:f>
        <x:v>Build the listed manifest-supported scene.</x:v>
      </x:c>
      <x:c r="R15" s="9" t="str">
        <x:f>'Evaluation Plan'!R15</x:f>
        <x:v>Exact prompt and object composition from training episode 1053; this establishes the familiar smallest × green block cell.</x:v>
      </x:c>
      <x:c r="S15" s="9" t="str">
        <x:f>IF(ISBLANK('Evaluation Plan'!S15),"",'Evaluation Plan'!S15)</x:f>
      </x:c>
    </x:row>
    <x:row r="16" ht="67.5" customHeight="1">
      <x:c r="A16" s="22" t="s">
        <x:v>591</x:v>
      </x:c>
      <x:c r="B16" s="8" t="n">
        <x:f>'Evaluation Plan'!B16</x:f>
        <x:v>14</x:v>
      </x:c>
      <x:c r="C16" s="9" t="str">
        <x:f>'Evaluation Plan'!C16</x:f>
        <x:v>Pick up the largest item and place it in the bowl.</x:v>
      </x:c>
      <x:c r="D16" s="9" t="str">
        <x:f>'Evaluation Plan'!D16</x:f>
        <x:v>Bowl: empty. Table, robot-left→robot-right: P1 green block; P2 red pencil sharpener; P3 juggling ball. Adjacent centers 16 cm apart; row centered on the workspace; all objects fully visible and grasp paths clear.</x:v>
      </x:c>
      <x:c r="E16" s="8" t="str">
        <x:f>IF(ISBLANK('Evaluation Plan'!E16),"",'Evaluation Plan'!E16)</x:f>
      </x:c>
      <x:c r="F16" s="8" t="str">
        <x:f>'Evaluation Plan'!F16</x:f>
        <x:v>1128</x:v>
      </x:c>
      <x:c r="G16" s="8" t="str">
        <x:f>'Evaluation Plan'!G16</x:f>
        <x:v>MOVE juggling ball to bowl</x:v>
      </x:c>
      <x:c r="H16" s="9"/>
      <x:c r="I16" s="8" t="str">
        <x:f>'Evaluation Plan'!I16</x:f>
        <x:v>In-distribution concept baseline</x:v>
      </x:c>
      <x:c r="J16" s="8" t="str">
        <x:f>'Evaluation Plan'!J16</x:f>
        <x:v>SZ-ID-JB04</x:v>
      </x:c>
      <x:c r="K16" s="8" t="str">
        <x:f>'Evaluation Plan'!K16</x:f>
        <x:v>largest</x:v>
      </x:c>
      <x:c r="L16" s="8" t="str">
        <x:f>'Evaluation Plan'!L16</x:f>
        <x:v>Explicitly trained largest × juggling ball</x:v>
      </x:c>
      <x:c r="M16" s="8" t="str">
        <x:f>'Evaluation Plan'!M16</x:f>
        <x:v>juggling ball</x:v>
      </x:c>
      <x:c r="N16" s="8" t="str">
        <x:f>'Evaluation Plan'!N16</x:f>
        <x:v>Right</x:v>
      </x:c>
      <x:c r="O16" s="8" t="n">
        <x:f>'Evaluation Plan'!O16</x:f>
        <x:v>3</x:v>
      </x:c>
      <x:c r="P16" s="8" t="n">
        <x:f>IF(ISBLANK('Evaluation Plan'!P16),"",'Evaluation Plan'!P16)</x:f>
        <x:v>16</x:v>
      </x:c>
      <x:c r="Q16" s="8" t="str">
        <x:f>'Evaluation Plan'!Q16</x:f>
        <x:v>Build the listed manifest-supported scene.</x:v>
      </x:c>
      <x:c r="R16" s="9" t="str">
        <x:f>'Evaluation Plan'!R16</x:f>
        <x:v>Exact prompt and object composition from training episode 1128; this establishes the familiar largest × juggling ball cell.</x:v>
      </x:c>
      <x:c r="S16" s="9" t="str">
        <x:f>IF(ISBLANK('Evaluation Plan'!S16),"",'Evaluation Plan'!S16)</x:f>
      </x:c>
    </x:row>
    <x:row r="17" ht="67.5" customHeight="1">
      <x:c r="A17" s="22" t="s">
        <x:v>591</x:v>
      </x:c>
      <x:c r="B17" s="8" t="n">
        <x:f>'Evaluation Plan'!B17</x:f>
        <x:v>15</x:v>
      </x:c>
      <x:c r="C17" s="9" t="str">
        <x:f>'Evaluation Plan'!C17</x:f>
        <x:v>Put the largest object in the bowl.</x:v>
      </x:c>
      <x:c r="D17" s="9" t="str">
        <x:f>'Evaluation Plan'!D17</x:f>
        <x:v>Bowl: empty. Table, robot-left→robot-right: P1 crushed Pepsi can; P2 red pencil sharpener; P3 green block; P4 juggling ball. Adjacent centers 8 cm apart; row shifted 4 cm toward robot-left; all objects fully visible and grasp paths clear.</x:v>
      </x:c>
      <x:c r="E17" s="8" t="str">
        <x:f>IF(ISBLANK('Evaluation Plan'!E17),"",'Evaluation Plan'!E17)</x:f>
      </x:c>
      <x:c r="F17" s="8" t="str">
        <x:f>'Evaluation Plan'!F17</x:f>
        <x:v>1158</x:v>
      </x:c>
      <x:c r="G17" s="8" t="str">
        <x:f>'Evaluation Plan'!G17</x:f>
        <x:v>MOVE crushed Pepsi can to bowl</x:v>
      </x:c>
      <x:c r="H17" s="9"/>
      <x:c r="I17" s="8" t="str">
        <x:f>'Evaluation Plan'!I17</x:f>
        <x:v>In-distribution concept baseline</x:v>
      </x:c>
      <x:c r="J17" s="8" t="str">
        <x:f>'Evaluation Plan'!J17</x:f>
        <x:v>SZ-ID-PC04</x:v>
      </x:c>
      <x:c r="K17" s="8" t="str">
        <x:f>'Evaluation Plan'!K17</x:f>
        <x:v>largest</x:v>
      </x:c>
      <x:c r="L17" s="8" t="str">
        <x:f>'Evaluation Plan'!L17</x:f>
        <x:v>Explicitly trained largest × crushed Pepsi can</x:v>
      </x:c>
      <x:c r="M17" s="8" t="str">
        <x:f>'Evaluation Plan'!M17</x:f>
        <x:v>crushed Pepsi can</x:v>
      </x:c>
      <x:c r="N17" s="8" t="str">
        <x:f>'Evaluation Plan'!N17</x:f>
        <x:v>Left</x:v>
      </x:c>
      <x:c r="O17" s="8" t="n">
        <x:f>'Evaluation Plan'!O17</x:f>
        <x:v>4</x:v>
      </x:c>
      <x:c r="P17" s="8" t="n">
        <x:f>IF(ISBLANK('Evaluation Plan'!P17),"",'Evaluation Plan'!P17)</x:f>
        <x:v>8</x:v>
      </x:c>
      <x:c r="Q17" s="8" t="str">
        <x:f>'Evaluation Plan'!Q17</x:f>
        <x:v>Build the listed manifest-supported scene.</x:v>
      </x:c>
      <x:c r="R17" s="9" t="str">
        <x:f>'Evaluation Plan'!R17</x:f>
        <x:v>Exact prompt and object composition from training episode 1158; this establishes the familiar largest × crushed Pepsi can cell.</x:v>
      </x:c>
      <x:c r="S17" s="9" t="str">
        <x:f>IF(ISBLANK('Evaluation Plan'!S17),"",'Evaluation Plan'!S17)</x:f>
      </x:c>
    </x:row>
    <x:row r="18" ht="67.5" customHeight="1">
      <x:c r="A18" s="22" t="s">
        <x:v>591</x:v>
      </x:c>
      <x:c r="B18" s="8" t="n">
        <x:f>'Evaluation Plan'!B18</x:f>
        <x:v>16</x:v>
      </x:c>
      <x:c r="C18" s="9" t="str">
        <x:f>'Evaluation Plan'!C18</x:f>
        <x:v>Move the object that is smallest into the bowl.</x:v>
      </x:c>
      <x:c r="D18" s="9" t="str">
        <x:f>'Evaluation Plan'!D18</x:f>
        <x:v>Bowl: empty. Table, robot-left→robot-right: P1 red pencil sharpener; P2 juggling ball; P3 crushed Pepsi can; P4 green block. Adjacent centers 12 cm apart; row shifted 4 cm away from the robot; all objects fully visible and grasp paths clear.</x:v>
      </x:c>
      <x:c r="E18" s="8" t="str">
        <x:f>IF(ISBLANK('Evaluation Plan'!E18),"",'Evaluation Plan'!E18)</x:f>
      </x:c>
      <x:c r="F18" s="8" t="str">
        <x:f>'Evaluation Plan'!F18</x:f>
        <x:v>1009</x:v>
      </x:c>
      <x:c r="G18" s="8" t="str">
        <x:f>'Evaluation Plan'!G18</x:f>
        <x:v>MOVE red pencil sharpener to bowl</x:v>
      </x:c>
      <x:c r="H18" s="9"/>
      <x:c r="I18" s="8" t="str">
        <x:f>'Evaluation Plan'!I18</x:f>
        <x:v>In-distribution concept baseline</x:v>
      </x:c>
      <x:c r="J18" s="8" t="str">
        <x:f>'Evaluation Plan'!J18</x:f>
        <x:v>SZ-ID-SH05</x:v>
      </x:c>
      <x:c r="K18" s="8" t="str">
        <x:f>'Evaluation Plan'!K18</x:f>
        <x:v>smallest</x:v>
      </x:c>
      <x:c r="L18" s="8" t="str">
        <x:f>'Evaluation Plan'!L18</x:f>
        <x:v>Explicitly trained smallest × red pencil sharpener</x:v>
      </x:c>
      <x:c r="M18" s="8" t="str">
        <x:f>'Evaluation Plan'!M18</x:f>
        <x:v>red pencil sharpener</x:v>
      </x:c>
      <x:c r="N18" s="8" t="str">
        <x:f>'Evaluation Plan'!N18</x:f>
        <x:v>Left</x:v>
      </x:c>
      <x:c r="O18" s="8" t="n">
        <x:f>'Evaluation Plan'!O18</x:f>
        <x:v>4</x:v>
      </x:c>
      <x:c r="P18" s="8" t="n">
        <x:f>IF(ISBLANK('Evaluation Plan'!P18),"",'Evaluation Plan'!P18)</x:f>
        <x:v>12</x:v>
      </x:c>
      <x:c r="Q18" s="8" t="str">
        <x:f>'Evaluation Plan'!Q18</x:f>
        <x:v>Build the listed manifest-supported scene.</x:v>
      </x:c>
      <x:c r="R18" s="9" t="str">
        <x:f>'Evaluation Plan'!R18</x:f>
        <x:v>Exact prompt and object composition from training episode 1009; this establishes the familiar smallest × red pencil sharpener cell.</x:v>
      </x:c>
      <x:c r="S18" s="9" t="str">
        <x:f>IF(ISBLANK('Evaluation Plan'!S18),"",'Evaluation Plan'!S18)</x:f>
      </x:c>
    </x:row>
    <x:row r="19" ht="67.5" customHeight="1">
      <x:c r="A19" s="22" t="s">
        <x:v>693</x:v>
      </x:c>
      <x:c r="B19" s="8" t="n">
        <x:f>'Evaluation Plan'!B19</x:f>
        <x:v>17</x:v>
      </x:c>
      <x:c r="C19" s="9" t="str">
        <x:f>'Evaluation Plan'!C19</x:f>
        <x:v>Put the smallest object in the bowl.</x:v>
      </x:c>
      <x:c r="D19" s="9" t="str">
        <x:f>'Evaluation Plan'!D19</x:f>
        <x:v>Bowl: empty. Table, robot-left→robot-right: P1 crushed Pepsi can; P2 juggling ball; P3 green block. Adjacent centers 16 cm apart; row centered on the workspace; all objects fully visible and grasp paths clear.</x:v>
      </x:c>
      <x:c r="E19" s="8" t="str">
        <x:f>IF(ISBLANK('Evaluation Plan'!E19),"",'Evaluation Plan'!E19)</x:f>
      </x:c>
      <x:c r="F19" s="8" t="str">
        <x:f>'Evaluation Plan'!F19</x:f>
        <x:v>1054</x:v>
      </x:c>
      <x:c r="G19" s="8" t="str">
        <x:f>'Evaluation Plan'!G19</x:f>
        <x:v>MOVE green block to bowl</x:v>
      </x:c>
      <x:c r="H19" s="9"/>
      <x:c r="I19" s="8" t="str">
        <x:f>'Evaluation Plan'!I19</x:f>
        <x:v>In-distribution concept baseline</x:v>
      </x:c>
      <x:c r="J19" s="8" t="str">
        <x:f>'Evaluation Plan'!J19</x:f>
        <x:v>SZ-ID-GB05</x:v>
      </x:c>
      <x:c r="K19" s="8" t="str">
        <x:f>'Evaluation Plan'!K19</x:f>
        <x:v>smallest</x:v>
      </x:c>
      <x:c r="L19" s="8" t="str">
        <x:f>'Evaluation Plan'!L19</x:f>
        <x:v>Explicitly trained smallest × green block</x:v>
      </x:c>
      <x:c r="M19" s="8" t="str">
        <x:f>'Evaluation Plan'!M19</x:f>
        <x:v>green block</x:v>
      </x:c>
      <x:c r="N19" s="8" t="str">
        <x:f>'Evaluation Plan'!N19</x:f>
        <x:v>Right</x:v>
      </x:c>
      <x:c r="O19" s="8" t="n">
        <x:f>'Evaluation Plan'!O19</x:f>
        <x:v>3</x:v>
      </x:c>
      <x:c r="P19" s="8" t="n">
        <x:f>IF(ISBLANK('Evaluation Plan'!P19),"",'Evaluation Plan'!P19)</x:f>
        <x:v>16</x:v>
      </x:c>
      <x:c r="Q19" s="8" t="str">
        <x:f>'Evaluation Plan'!Q19</x:f>
        <x:v>Build the listed manifest-supported scene.</x:v>
      </x:c>
      <x:c r="R19" s="9" t="str">
        <x:f>'Evaluation Plan'!R19</x:f>
        <x:v>Exact prompt and object composition from training episode 1054; this establishes the familiar smallest × green block cell.</x:v>
      </x:c>
      <x:c r="S19" s="9" t="str">
        <x:f>IF(ISBLANK('Evaluation Plan'!S19),"",'Evaluation Plan'!S19)</x:f>
      </x:c>
    </x:row>
    <x:row r="20" ht="67.5" customHeight="1">
      <x:c r="A20" s="22" t="s">
        <x:v>591</x:v>
      </x:c>
      <x:c r="B20" s="8" t="n">
        <x:f>'Evaluation Plan'!B20</x:f>
        <x:v>18</x:v>
      </x:c>
      <x:c r="C20" s="9" t="str">
        <x:f>'Evaluation Plan'!C20</x:f>
        <x:v>Put the largest object in the bowl.</x:v>
      </x:c>
      <x:c r="D20" s="9" t="str">
        <x:f>'Evaluation Plan'!D20</x:f>
        <x:v>Bowl: empty. Table, robot-left→robot-right: P1 juggling ball; P2 red pencil sharpener; P3 green block. Adjacent centers 8 cm apart; row shifted 4 cm toward robot-left; all objects fully visible and grasp paths clear.</x:v>
      </x:c>
      <x:c r="E20" s="8" t="str">
        <x:f>IF(ISBLANK('Evaluation Plan'!E20),"",'Evaluation Plan'!E20)</x:f>
      </x:c>
      <x:c r="F20" s="8" t="str">
        <x:f>'Evaluation Plan'!F20</x:f>
        <x:v>1129</x:v>
      </x:c>
      <x:c r="G20" s="8" t="str">
        <x:f>'Evaluation Plan'!G20</x:f>
        <x:v>MOVE juggling ball to bowl</x:v>
      </x:c>
      <x:c r="H20" s="9"/>
      <x:c r="I20" s="8" t="str">
        <x:f>'Evaluation Plan'!I20</x:f>
        <x:v>In-distribution concept baseline</x:v>
      </x:c>
      <x:c r="J20" s="8" t="str">
        <x:f>'Evaluation Plan'!J20</x:f>
        <x:v>SZ-ID-JB05</x:v>
      </x:c>
      <x:c r="K20" s="8" t="str">
        <x:f>'Evaluation Plan'!K20</x:f>
        <x:v>largest</x:v>
      </x:c>
      <x:c r="L20" s="8" t="str">
        <x:f>'Evaluation Plan'!L20</x:f>
        <x:v>Explicitly trained largest × juggling ball</x:v>
      </x:c>
      <x:c r="M20" s="8" t="str">
        <x:f>'Evaluation Plan'!M20</x:f>
        <x:v>juggling ball</x:v>
      </x:c>
      <x:c r="N20" s="8" t="str">
        <x:f>'Evaluation Plan'!N20</x:f>
        <x:v>Left</x:v>
      </x:c>
      <x:c r="O20" s="8" t="n">
        <x:f>'Evaluation Plan'!O20</x:f>
        <x:v>3</x:v>
      </x:c>
      <x:c r="P20" s="8" t="n">
        <x:f>IF(ISBLANK('Evaluation Plan'!P20),"",'Evaluation Plan'!P20)</x:f>
        <x:v>8</x:v>
      </x:c>
      <x:c r="Q20" s="8" t="str">
        <x:f>'Evaluation Plan'!Q20</x:f>
        <x:v>Build the listed manifest-supported scene.</x:v>
      </x:c>
      <x:c r="R20" s="9" t="str">
        <x:f>'Evaluation Plan'!R20</x:f>
        <x:v>Exact prompt and object composition from training episode 1129; this establishes the familiar largest × juggling ball cell.</x:v>
      </x:c>
      <x:c r="S20" s="9" t="str">
        <x:f>IF(ISBLANK('Evaluation Plan'!S20),"",'Evaluation Plan'!S20)</x:f>
      </x:c>
    </x:row>
    <x:row r="21" ht="67.5" customHeight="1">
      <x:c r="A21" s="22" t="s">
        <x:v>693</x:v>
      </x:c>
      <x:c r="B21" s="8" t="n">
        <x:f>'Evaluation Plan'!B21</x:f>
        <x:v>19</x:v>
      </x:c>
      <x:c r="C21" s="9" t="str">
        <x:f>'Evaluation Plan'!C21</x:f>
        <x:v>Move the object that is largest into the bowl.</x:v>
      </x:c>
      <x:c r="D21" s="9" t="str">
        <x:f>'Evaluation Plan'!D21</x:f>
        <x:v>Bowl: empty. Table, robot-left→robot-right: P1 green block; P2 juggling ball; P3 red pencil sharpener; P4 crushed Pepsi can. Adjacent centers 12 cm apart; row shifted 4 cm toward robot-right; all objects fully visible and grasp paths clear.</x:v>
      </x:c>
      <x:c r="E21" s="8" t="str">
        <x:f>IF(ISBLANK('Evaluation Plan'!E21),"",'Evaluation Plan'!E21)</x:f>
      </x:c>
      <x:c r="F21" s="8" t="str">
        <x:f>'Evaluation Plan'!F21</x:f>
        <x:v>1159</x:v>
      </x:c>
      <x:c r="G21" s="8" t="str">
        <x:f>'Evaluation Plan'!G21</x:f>
        <x:v>MOVE crushed Pepsi can to bowl</x:v>
      </x:c>
      <x:c r="H21" s="23" t="s">
        <x:v>728</x:v>
      </x:c>
      <x:c r="I21" s="8" t="str">
        <x:f>'Evaluation Plan'!I21</x:f>
        <x:v>In-distribution concept baseline</x:v>
      </x:c>
      <x:c r="J21" s="8" t="str">
        <x:f>'Evaluation Plan'!J21</x:f>
        <x:v>SZ-ID-PC05</x:v>
      </x:c>
      <x:c r="K21" s="8" t="str">
        <x:f>'Evaluation Plan'!K21</x:f>
        <x:v>largest</x:v>
      </x:c>
      <x:c r="L21" s="8" t="str">
        <x:f>'Evaluation Plan'!L21</x:f>
        <x:v>Explicitly trained largest × crushed Pepsi can</x:v>
      </x:c>
      <x:c r="M21" s="8" t="str">
        <x:f>'Evaluation Plan'!M21</x:f>
        <x:v>crushed Pepsi can</x:v>
      </x:c>
      <x:c r="N21" s="8" t="str">
        <x:f>'Evaluation Plan'!N21</x:f>
        <x:v>Right</x:v>
      </x:c>
      <x:c r="O21" s="8" t="n">
        <x:f>'Evaluation Plan'!O21</x:f>
        <x:v>4</x:v>
      </x:c>
      <x:c r="P21" s="8" t="n">
        <x:f>IF(ISBLANK('Evaluation Plan'!P21),"",'Evaluation Plan'!P21)</x:f>
        <x:v>12</x:v>
      </x:c>
      <x:c r="Q21" s="8" t="str">
        <x:f>'Evaluation Plan'!Q21</x:f>
        <x:v>Build the listed manifest-supported scene.</x:v>
      </x:c>
      <x:c r="R21" s="9" t="str">
        <x:f>'Evaluation Plan'!R21</x:f>
        <x:v>Exact prompt and object composition from training episode 1159; this establishes the familiar largest × crushed Pepsi can cell.</x:v>
      </x:c>
      <x:c r="S21" s="9" t="str">
        <x:f>IF(ISBLANK('Evaluation Plan'!S21),"",'Evaluation Plan'!S21)</x:f>
      </x:c>
    </x:row>
    <x:row r="22" ht="67.5" customHeight="1">
      <x:c r="A22" s="22" t="s">
        <x:v>693</x:v>
      </x:c>
      <x:c r="B22" s="8" t="n">
        <x:f>'Evaluation Plan'!B22</x:f>
        <x:v>20</x:v>
      </x:c>
      <x:c r="C22" s="9" t="str">
        <x:f>'Evaluation Plan'!C22</x:f>
        <x:v>Move the object that is largest into the bowl.</x:v>
      </x:c>
      <x:c r="D22" s="9" t="str">
        <x:f>'Evaluation Plan'!D22</x:f>
        <x:v>Bowl: empty. Table, robot-left→robot-right: P1 green block; P2 red pencil sharpener. Adjacent centers 8 cm apart; row centered on the workspace; all objects fully visible and grasp paths clear.</x:v>
      </x:c>
      <x:c r="E22" s="8" t="str">
        <x:f>IF(ISBLANK('Evaluation Plan'!E22),"",'Evaluation Plan'!E22)</x:f>
      </x:c>
      <x:c r="F22" s="8" t="str">
        <x:f>'Evaluation Plan'!F22</x:f>
        <x:v>1080</x:v>
      </x:c>
      <x:c r="G22" s="8" t="str">
        <x:f>'Evaluation Plan'!G22</x:f>
        <x:v>MOVE green block to bowl</x:v>
      </x:c>
      <x:c r="H22" s="23" t="s">
        <x:v>729</x:v>
      </x:c>
      <x:c r="I22" s="8" t="str">
        <x:f>'Evaluation Plan'!I22</x:f>
        <x:v>Concept/compositional transfer</x:v>
      </x:c>
      <x:c r="J22" s="8" t="str">
        <x:f>'Evaluation Plan'!J22</x:f>
        <x:v>SZ-CT-LG01</x:v>
      </x:c>
      <x:c r="K22" s="8" t="str">
        <x:f>'Evaluation Plan'!K22</x:f>
        <x:v>largest</x:v>
      </x:c>
      <x:c r="L22" s="8" t="str">
        <x:f>'Evaluation Plan'!L22</x:f>
        <x:v>Held-out largest × green block — Move</x:v>
      </x:c>
      <x:c r="M22" s="8" t="str">
        <x:f>'Evaluation Plan'!M22</x:f>
        <x:v>green block</x:v>
      </x:c>
      <x:c r="N22" s="8" t="str">
        <x:f>'Evaluation Plan'!N22</x:f>
        <x:v>Left</x:v>
      </x:c>
      <x:c r="O22" s="8" t="n">
        <x:f>'Evaluation Plan'!O22</x:f>
        <x:v>2</x:v>
      </x:c>
      <x:c r="P22" s="8" t="n">
        <x:f>IF(ISBLANK('Evaluation Plan'!P22),"",'Evaluation Plan'!P22)</x:f>
        <x:v>8</x:v>
      </x:c>
      <x:c r="Q22" s="8" t="str">
        <x:f>'Evaluation Plan'!Q22</x:f>
        <x:v>Build the listed two-object scene and save a first-frame filename.</x:v>
      </x:c>
      <x:c r="R22" s="9" t="str">
        <x:f>'Evaluation Plan'!R22</x:f>
        <x:v>Primary missing cell. Training episode 1080 contains the same target trajectory but masks the size word with a direct identity prompt.</x:v>
      </x:c>
      <x:c r="S22" s="9" t="str">
        <x:f>IF(ISBLANK('Evaluation Plan'!S22),"",'Evaluation Plan'!S22)</x:f>
      </x:c>
    </x:row>
    <x:row r="23" ht="67.5" customHeight="1">
      <x:c r="A23" s="33" t="s">
        <x:v>591</x:v>
      </x:c>
      <x:c r="B23" s="16" t="n">
        <x:f>'Evaluation Plan'!B23</x:f>
        <x:v>21</x:v>
      </x:c>
      <x:c r="C23" s="6" t="str">
        <x:f>'Evaluation Plan'!C23</x:f>
        <x:v>Put the green block in the bowl.</x:v>
      </x:c>
      <x:c r="D23" s="6" t="str">
        <x:f>'Evaluation Plan'!D23</x:f>
        <x:v>Bowl: empty. Table, robot-left→robot-right: P1 green block; P2 red pencil sharpener. Adjacent centers 8 cm apart; row centered on the workspace; all objects fully visible and grasp paths clear.</x:v>
      </x:c>
      <x:c r="E23" s="16" t="n">
        <x:f>IF(ISBLANK('Evaluation Plan'!E23),"",'Evaluation Plan'!E23)</x:f>
        <x:v>20</x:v>
      </x:c>
      <x:c r="F23" s="16" t="str">
        <x:f>'Evaluation Plan'!F23</x:f>
        <x:v>1075</x:v>
      </x:c>
      <x:c r="G23" s="16" t="str">
        <x:f>'Evaluation Plan'!G23</x:f>
        <x:v>MOVE green block to bowl</x:v>
      </x:c>
      <x:c r="H23" s="6"/>
      <x:c r="I23" s="16" t="str">
        <x:f>'Evaluation Plan'!I23</x:f>
        <x:v>Matched manipulation control</x:v>
      </x:c>
      <x:c r="J23" s="16" t="str">
        <x:f>'Evaluation Plan'!J23</x:f>
        <x:v>SZ-CT-LG01</x:v>
      </x:c>
      <x:c r="K23" s="16" t="str">
        <x:f>'Evaluation Plan'!K23</x:f>
        <x:v>Direct</x:v>
      </x:c>
      <x:c r="L23" s="16" t="str">
        <x:f>'Evaluation Plan'!L23</x:f>
        <x:v>Same-scene direct target control</x:v>
      </x:c>
      <x:c r="M23" s="16" t="str">
        <x:f>'Evaluation Plan'!M23</x:f>
        <x:v>green block</x:v>
      </x:c>
      <x:c r="N23" s="16" t="str">
        <x:f>'Evaluation Plan'!N23</x:f>
        <x:v>Left</x:v>
      </x:c>
      <x:c r="O23" s="16" t="n">
        <x:f>'Evaluation Plan'!O23</x:f>
        <x:v>2</x:v>
      </x:c>
      <x:c r="P23" s="16" t="n">
        <x:f>IF(ISBLANK('Evaluation Plan'!P23),"",'Evaluation Plan'!P23)</x:f>
        <x:v>8</x:v>
      </x:c>
      <x:c r="Q23" s="16" t="str">
        <x:f>'Evaluation Plan'!Q23</x:f>
        <x:v>Reset the target to its original pose; change only the prompt.</x:v>
      </x:c>
      <x:c r="R23" s="6" t="str">
        <x:f>'Evaluation Plan'!R23</x:f>
        <x:v>Exact-scene control using a direct prompt supported by training episode 1075.</x:v>
      </x:c>
      <x:c r="S23" s="6" t="str">
        <x:f>IF(ISBLANK('Evaluation Plan'!S23),"",'Evaluation Plan'!S23)</x:f>
      </x:c>
    </x:row>
    <x:row r="24" ht="67.5" customHeight="1">
      <x:c r="A24" s="33" t="s">
        <x:v>693</x:v>
      </x:c>
      <x:c r="B24" s="16" t="n">
        <x:f>'Evaluation Plan'!B24</x:f>
        <x:v>22</x:v>
      </x:c>
      <x:c r="C24" s="6" t="str">
        <x:f>'Evaluation Plan'!C24</x:f>
        <x:v>Choose the biggest item and move it into the bowl.</x:v>
      </x:c>
      <x:c r="D24" s="6" t="str">
        <x:f>'Evaluation Plan'!D24</x:f>
        <x:v>Bowl: empty. Table, robot-left→robot-right: P1 green block; P2 red pencil sharpener. Adjacent centers 8 cm apart; row centered on the workspace; all objects fully visible and grasp paths clear.</x:v>
      </x:c>
      <x:c r="E24" s="16" t="n">
        <x:f>IF(ISBLANK('Evaluation Plan'!E24),"",'Evaluation Plan'!E24)</x:f>
        <x:v>20</x:v>
      </x:c>
      <x:c r="F24" s="16" t="str">
        <x:f>'Evaluation Plan'!F24</x:f>
        <x:v>1080</x:v>
      </x:c>
      <x:c r="G24" s="16" t="str">
        <x:f>'Evaluation Plan'!G24</x:f>
        <x:v>MOVE green block to bowl</x:v>
      </x:c>
      <x:c r="H24" s="34" t="s">
        <x:v>729</x:v>
      </x:c>
      <x:c r="I24" s="16" t="str">
        <x:f>'Evaluation Plan'!I24</x:f>
        <x:v>Language robustness</x:v>
      </x:c>
      <x:c r="J24" s="16" t="str">
        <x:f>'Evaluation Plan'!J24</x:f>
        <x:v>SZ-CT-LG01</x:v>
      </x:c>
      <x:c r="K24" s="16" t="str">
        <x:f>'Evaluation Plan'!K24</x:f>
        <x:v>largest</x:v>
      </x:c>
      <x:c r="L24" s="16" t="str">
        <x:f>'Evaluation Plan'!L24</x:f>
        <x:v>Primary compositional-transfer prompt paraphrase</x:v>
      </x:c>
      <x:c r="M24" s="16" t="str">
        <x:f>'Evaluation Plan'!M24</x:f>
        <x:v>green block</x:v>
      </x:c>
      <x:c r="N24" s="16" t="str">
        <x:f>'Evaluation Plan'!N24</x:f>
        <x:v>Left</x:v>
      </x:c>
      <x:c r="O24" s="16" t="n">
        <x:f>'Evaluation Plan'!O24</x:f>
        <x:v>2</x:v>
      </x:c>
      <x:c r="P24" s="16" t="n">
        <x:f>IF(ISBLANK('Evaluation Plan'!P24),"",'Evaluation Plan'!P24)</x:f>
        <x:v>8</x:v>
      </x:c>
      <x:c r="Q24" s="16" t="str">
        <x:f>'Evaluation Plan'!Q24</x:f>
        <x:v>Reset the target; preserve the exact scene and paraphrase only the transfer prompt.</x:v>
      </x:c>
      <x:c r="R24" s="6" t="str">
        <x:f>'Evaluation Plan'!R24</x:f>
        <x:v>Exact-scene paraphrase of the primary transfer instruction.</x:v>
      </x:c>
      <x:c r="S24" s="6" t="str">
        <x:f>IF(ISBLANK('Evaluation Plan'!S24),"",'Evaluation Plan'!S24)</x:f>
      </x:c>
    </x:row>
    <x:row r="25" ht="67.5" customHeight="1">
      <x:c r="A25" s="33" t="s">
        <x:v>591</x:v>
      </x:c>
      <x:c r="B25" s="16" t="n">
        <x:f>'Evaluation Plan'!B25</x:f>
        <x:v>23</x:v>
      </x:c>
      <x:c r="C25" s="6" t="str">
        <x:f>'Evaluation Plan'!C25</x:f>
        <x:v>Transfer the green block from the table into the bowl.</x:v>
      </x:c>
      <x:c r="D25" s="6" t="str">
        <x:f>'Evaluation Plan'!D25</x:f>
        <x:v>Bowl: empty. Table, robot-left→robot-right: P1 green block; P2 red pencil sharpener. Adjacent centers 8 cm apart; row centered on the workspace; all objects fully visible and grasp paths clear.</x:v>
      </x:c>
      <x:c r="E25" s="16" t="n">
        <x:f>IF(ISBLANK('Evaluation Plan'!E25),"",'Evaluation Plan'!E25)</x:f>
        <x:v>21</x:v>
      </x:c>
      <x:c r="F25" s="16" t="str">
        <x:f>'Evaluation Plan'!F25</x:f>
        <x:v>1075</x:v>
      </x:c>
      <x:c r="G25" s="16" t="str">
        <x:f>'Evaluation Plan'!G25</x:f>
        <x:v>MOVE green block to bowl</x:v>
      </x:c>
      <x:c r="H25" s="6"/>
      <x:c r="I25" s="16" t="str">
        <x:f>'Evaluation Plan'!I25</x:f>
        <x:v>Language robustness</x:v>
      </x:c>
      <x:c r="J25" s="16" t="str">
        <x:f>'Evaluation Plan'!J25</x:f>
        <x:v>SZ-CT-LG01</x:v>
      </x:c>
      <x:c r="K25" s="16" t="str">
        <x:f>'Evaluation Plan'!K25</x:f>
        <x:v>Direct</x:v>
      </x:c>
      <x:c r="L25" s="16" t="str">
        <x:f>'Evaluation Plan'!L25</x:f>
        <x:v>Matched-control direct prompt paraphrase</x:v>
      </x:c>
      <x:c r="M25" s="16" t="str">
        <x:f>'Evaluation Plan'!M25</x:f>
        <x:v>green block</x:v>
      </x:c>
      <x:c r="N25" s="16" t="str">
        <x:f>'Evaluation Plan'!N25</x:f>
        <x:v>Left</x:v>
      </x:c>
      <x:c r="O25" s="16" t="n">
        <x:f>'Evaluation Plan'!O25</x:f>
        <x:v>2</x:v>
      </x:c>
      <x:c r="P25" s="16" t="n">
        <x:f>IF(ISBLANK('Evaluation Plan'!P25),"",'Evaluation Plan'!P25)</x:f>
        <x:v>8</x:v>
      </x:c>
      <x:c r="Q25" s="16" t="str">
        <x:f>'Evaluation Plan'!Q25</x:f>
        <x:v>Reset the target; preserve the exact scene and paraphrase only the matched-control prompt.</x:v>
      </x:c>
      <x:c r="R25" s="6" t="str">
        <x:f>'Evaluation Plan'!R25</x:f>
        <x:v>Exact-scene paraphrase of the direct manipulation control.</x:v>
      </x:c>
      <x:c r="S25" s="6" t="str">
        <x:f>IF(ISBLANK('Evaluation Plan'!S25),"",'Evaluation Plan'!S25)</x:f>
      </x:c>
    </x:row>
    <x:row r="26" ht="67.5" customHeight="1">
      <x:c r="A26" s="22" t="s">
        <x:v>591</x:v>
      </x:c>
      <x:c r="B26" s="8" t="n">
        <x:f>'Evaluation Plan'!B26</x:f>
        <x:v>24</x:v>
      </x:c>
      <x:c r="C26" s="9" t="str">
        <x:f>'Evaluation Plan'!C26</x:f>
        <x:v>Pick up the smallest item and place it in the bowl.</x:v>
      </x:c>
      <x:c r="D26" s="9" t="str">
        <x:f>'Evaluation Plan'!D26</x:f>
        <x:v>Bowl: empty. Table, robot-left→robot-right: P1 crushed Pepsi can; P2 juggling ball. Adjacent centers 12 cm apart; row shifted 4 cm toward robot-right; all objects fully visible and grasp paths clear.</x:v>
      </x:c>
      <x:c r="E26" s="8" t="str">
        <x:f>IF(ISBLANK('Evaluation Plan'!E26),"",'Evaluation Plan'!E26)</x:f>
      </x:c>
      <x:c r="F26" s="8" t="str">
        <x:f>'Evaluation Plan'!F26</x:f>
        <x:v>1105</x:v>
      </x:c>
      <x:c r="G26" s="8" t="str">
        <x:f>'Evaluation Plan'!G26</x:f>
        <x:v>MOVE juggling ball to bowl</x:v>
      </x:c>
      <x:c r="H26" s="9"/>
      <x:c r="I26" s="8" t="str">
        <x:f>'Evaluation Plan'!I26</x:f>
        <x:v>Concept/compositional transfer</x:v>
      </x:c>
      <x:c r="J26" s="8" t="str">
        <x:f>'Evaluation Plan'!J26</x:f>
        <x:v>SZ-CT-SJ01</x:v>
      </x:c>
      <x:c r="K26" s="8" t="str">
        <x:f>'Evaluation Plan'!K26</x:f>
        <x:v>smallest</x:v>
      </x:c>
      <x:c r="L26" s="8" t="str">
        <x:f>'Evaluation Plan'!L26</x:f>
        <x:v>Held-out smallest × juggling ball — Pick up</x:v>
      </x:c>
      <x:c r="M26" s="8" t="str">
        <x:f>'Evaluation Plan'!M26</x:f>
        <x:v>juggling ball</x:v>
      </x:c>
      <x:c r="N26" s="8" t="str">
        <x:f>'Evaluation Plan'!N26</x:f>
        <x:v>Right</x:v>
      </x:c>
      <x:c r="O26" s="8" t="n">
        <x:f>'Evaluation Plan'!O26</x:f>
        <x:v>2</x:v>
      </x:c>
      <x:c r="P26" s="8" t="n">
        <x:f>IF(ISBLANK('Evaluation Plan'!P26),"",'Evaluation Plan'!P26)</x:f>
        <x:v>12</x:v>
      </x:c>
      <x:c r="Q26" s="8" t="str">
        <x:f>'Evaluation Plan'!Q26</x:f>
        <x:v>Build the listed two-object scene and save a first-frame filename.</x:v>
      </x:c>
      <x:c r="R26" s="9" t="str">
        <x:f>'Evaluation Plan'!R26</x:f>
        <x:v>Primary missing cell. Training episode 1105 contains the same target trajectory but masks the size word with a direct identity prompt.</x:v>
      </x:c>
      <x:c r="S26" s="9" t="str">
        <x:f>IF(ISBLANK('Evaluation Plan'!S26),"",'Evaluation Plan'!S26)</x:f>
      </x:c>
    </x:row>
    <x:row r="27" ht="67.5" customHeight="1">
      <x:c r="A27" s="33" t="s">
        <x:v>591</x:v>
      </x:c>
      <x:c r="B27" s="16" t="n">
        <x:f>'Evaluation Plan'!B27</x:f>
        <x:v>25</x:v>
      </x:c>
      <x:c r="C27" s="6" t="str">
        <x:f>'Evaluation Plan'!C27</x:f>
        <x:v>Put the juggling ball in the bowl.</x:v>
      </x:c>
      <x:c r="D27" s="6" t="str">
        <x:f>'Evaluation Plan'!D27</x:f>
        <x:v>Bowl: empty. Table, robot-left→robot-right: P1 crushed Pepsi can; P2 juggling ball. Adjacent centers 12 cm apart; row shifted 4 cm toward robot-right; all objects fully visible and grasp paths clear.</x:v>
      </x:c>
      <x:c r="E27" s="16" t="n">
        <x:f>IF(ISBLANK('Evaluation Plan'!E27),"",'Evaluation Plan'!E27)</x:f>
        <x:v>24</x:v>
      </x:c>
      <x:c r="F27" s="16" t="str">
        <x:f>'Evaluation Plan'!F27</x:f>
        <x:v>1100</x:v>
      </x:c>
      <x:c r="G27" s="16" t="str">
        <x:f>'Evaluation Plan'!G27</x:f>
        <x:v>MOVE juggling ball to bowl</x:v>
      </x:c>
      <x:c r="H27" s="6"/>
      <x:c r="I27" s="16" t="str">
        <x:f>'Evaluation Plan'!I27</x:f>
        <x:v>Matched manipulation control</x:v>
      </x:c>
      <x:c r="J27" s="16" t="str">
        <x:f>'Evaluation Plan'!J27</x:f>
        <x:v>SZ-CT-SJ01</x:v>
      </x:c>
      <x:c r="K27" s="16" t="str">
        <x:f>'Evaluation Plan'!K27</x:f>
        <x:v>Direct</x:v>
      </x:c>
      <x:c r="L27" s="16" t="str">
        <x:f>'Evaluation Plan'!L27</x:f>
        <x:v>Same-scene direct target control</x:v>
      </x:c>
      <x:c r="M27" s="16" t="str">
        <x:f>'Evaluation Plan'!M27</x:f>
        <x:v>juggling ball</x:v>
      </x:c>
      <x:c r="N27" s="16" t="str">
        <x:f>'Evaluation Plan'!N27</x:f>
        <x:v>Right</x:v>
      </x:c>
      <x:c r="O27" s="16" t="n">
        <x:f>'Evaluation Plan'!O27</x:f>
        <x:v>2</x:v>
      </x:c>
      <x:c r="P27" s="16" t="n">
        <x:f>IF(ISBLANK('Evaluation Plan'!P27),"",'Evaluation Plan'!P27)</x:f>
        <x:v>12</x:v>
      </x:c>
      <x:c r="Q27" s="16" t="str">
        <x:f>'Evaluation Plan'!Q27</x:f>
        <x:v>Reset the target to its original pose; change only the prompt.</x:v>
      </x:c>
      <x:c r="R27" s="6" t="str">
        <x:f>'Evaluation Plan'!R27</x:f>
        <x:v>Exact-scene control using a direct prompt supported by training episode 1100.</x:v>
      </x:c>
      <x:c r="S27" s="6" t="str">
        <x:f>IF(ISBLANK('Evaluation Plan'!S27),"",'Evaluation Plan'!S27)</x:f>
      </x:c>
    </x:row>
    <x:row r="28" ht="67.5" customHeight="1">
      <x:c r="A28" s="33" t="s">
        <x:v>591</x:v>
      </x:c>
      <x:c r="B28" s="16" t="n">
        <x:f>'Evaluation Plan'!B28</x:f>
        <x:v>26</x:v>
      </x:c>
      <x:c r="C28" s="6" t="str">
        <x:f>'Evaluation Plan'!C28</x:f>
        <x:v>Choose the tiniest item and move it into the bowl.</x:v>
      </x:c>
      <x:c r="D28" s="6" t="str">
        <x:f>'Evaluation Plan'!D28</x:f>
        <x:v>Bowl: empty. Table, robot-left→robot-right: P1 crushed Pepsi can; P2 juggling ball. Adjacent centers 12 cm apart; row shifted 4 cm toward robot-right; all objects fully visible and grasp paths clear.</x:v>
      </x:c>
      <x:c r="E28" s="16" t="n">
        <x:f>IF(ISBLANK('Evaluation Plan'!E28),"",'Evaluation Plan'!E28)</x:f>
        <x:v>24</x:v>
      </x:c>
      <x:c r="F28" s="16" t="str">
        <x:f>'Evaluation Plan'!F28</x:f>
        <x:v>1105</x:v>
      </x:c>
      <x:c r="G28" s="16" t="str">
        <x:f>'Evaluation Plan'!G28</x:f>
        <x:v>MOVE juggling ball to bowl</x:v>
      </x:c>
      <x:c r="H28" s="6"/>
      <x:c r="I28" s="16" t="str">
        <x:f>'Evaluation Plan'!I28</x:f>
        <x:v>Language robustness</x:v>
      </x:c>
      <x:c r="J28" s="16" t="str">
        <x:f>'Evaluation Plan'!J28</x:f>
        <x:v>SZ-CT-SJ01</x:v>
      </x:c>
      <x:c r="K28" s="16" t="str">
        <x:f>'Evaluation Plan'!K28</x:f>
        <x:v>smallest</x:v>
      </x:c>
      <x:c r="L28" s="16" t="str">
        <x:f>'Evaluation Plan'!L28</x:f>
        <x:v>Primary compositional-transfer prompt paraphrase</x:v>
      </x:c>
      <x:c r="M28" s="16" t="str">
        <x:f>'Evaluation Plan'!M28</x:f>
        <x:v>juggling ball</x:v>
      </x:c>
      <x:c r="N28" s="16" t="str">
        <x:f>'Evaluation Plan'!N28</x:f>
        <x:v>Right</x:v>
      </x:c>
      <x:c r="O28" s="16" t="n">
        <x:f>'Evaluation Plan'!O28</x:f>
        <x:v>2</x:v>
      </x:c>
      <x:c r="P28" s="16" t="n">
        <x:f>IF(ISBLANK('Evaluation Plan'!P28),"",'Evaluation Plan'!P28)</x:f>
        <x:v>12</x:v>
      </x:c>
      <x:c r="Q28" s="16" t="str">
        <x:f>'Evaluation Plan'!Q28</x:f>
        <x:v>Reset the target; preserve the exact scene and paraphrase only the transfer prompt.</x:v>
      </x:c>
      <x:c r="R28" s="6" t="str">
        <x:f>'Evaluation Plan'!R28</x:f>
        <x:v>Exact-scene paraphrase of the primary transfer instruction.</x:v>
      </x:c>
      <x:c r="S28" s="6" t="str">
        <x:f>IF(ISBLANK('Evaluation Plan'!S28),"",'Evaluation Plan'!S28)</x:f>
      </x:c>
    </x:row>
    <x:row r="29" ht="67.5" customHeight="1">
      <x:c r="A29" s="33" t="s">
        <x:v>591</x:v>
      </x:c>
      <x:c r="B29" s="16" t="n">
        <x:f>'Evaluation Plan'!B29</x:f>
        <x:v>27</x:v>
      </x:c>
      <x:c r="C29" s="6" t="str">
        <x:f>'Evaluation Plan'!C29</x:f>
        <x:v>Transfer the juggling ball from the table into the bowl.</x:v>
      </x:c>
      <x:c r="D29" s="6" t="str">
        <x:f>'Evaluation Plan'!D29</x:f>
        <x:v>Bowl: empty. Table, robot-left→robot-right: P1 crushed Pepsi can; P2 juggling ball. Adjacent centers 12 cm apart; row shifted 4 cm toward robot-right; all objects fully visible and grasp paths clear.</x:v>
      </x:c>
      <x:c r="E29" s="16" t="n">
        <x:f>IF(ISBLANK('Evaluation Plan'!E29),"",'Evaluation Plan'!E29)</x:f>
        <x:v>25</x:v>
      </x:c>
      <x:c r="F29" s="16" t="str">
        <x:f>'Evaluation Plan'!F29</x:f>
        <x:v>1100</x:v>
      </x:c>
      <x:c r="G29" s="16" t="str">
        <x:f>'Evaluation Plan'!G29</x:f>
        <x:v>MOVE juggling ball to bowl</x:v>
      </x:c>
      <x:c r="H29" s="6"/>
      <x:c r="I29" s="16" t="str">
        <x:f>'Evaluation Plan'!I29</x:f>
        <x:v>Language robustness</x:v>
      </x:c>
      <x:c r="J29" s="16" t="str">
        <x:f>'Evaluation Plan'!J29</x:f>
        <x:v>SZ-CT-SJ01</x:v>
      </x:c>
      <x:c r="K29" s="16" t="str">
        <x:f>'Evaluation Plan'!K29</x:f>
        <x:v>Direct</x:v>
      </x:c>
      <x:c r="L29" s="16" t="str">
        <x:f>'Evaluation Plan'!L29</x:f>
        <x:v>Matched-control direct prompt paraphrase</x:v>
      </x:c>
      <x:c r="M29" s="16" t="str">
        <x:f>'Evaluation Plan'!M29</x:f>
        <x:v>juggling ball</x:v>
      </x:c>
      <x:c r="N29" s="16" t="str">
        <x:f>'Evaluation Plan'!N29</x:f>
        <x:v>Right</x:v>
      </x:c>
      <x:c r="O29" s="16" t="n">
        <x:f>'Evaluation Plan'!O29</x:f>
        <x:v>2</x:v>
      </x:c>
      <x:c r="P29" s="16" t="n">
        <x:f>IF(ISBLANK('Evaluation Plan'!P29),"",'Evaluation Plan'!P29)</x:f>
        <x:v>12</x:v>
      </x:c>
      <x:c r="Q29" s="16" t="str">
        <x:f>'Evaluation Plan'!Q29</x:f>
        <x:v>Reset the target; preserve the exact scene and paraphrase only the matched-control prompt.</x:v>
      </x:c>
      <x:c r="R29" s="6" t="str">
        <x:f>'Evaluation Plan'!R29</x:f>
        <x:v>Exact-scene paraphrase of the direct manipulation control.</x:v>
      </x:c>
      <x:c r="S29" s="6" t="str">
        <x:f>IF(ISBLANK('Evaluation Plan'!S29),"",'Evaluation Plan'!S29)</x:f>
      </x:c>
    </x:row>
    <x:row r="30" ht="67.5" customHeight="1">
      <x:c r="A30" s="22" t="s">
        <x:v>591</x:v>
      </x:c>
      <x:c r="B30" s="8" t="n">
        <x:f>'Evaluation Plan'!B30</x:f>
        <x:v>28</x:v>
      </x:c>
      <x:c r="C30" s="9" t="str">
        <x:f>'Evaluation Plan'!C30</x:f>
        <x:v>Pick up the largest item and place it in the bowl.</x:v>
      </x:c>
      <x:c r="D30" s="9" t="str">
        <x:f>'Evaluation Plan'!D30</x:f>
        <x:v>Bowl: empty. Table, robot-left→robot-right: P1 red pencil sharpener; P2 green block. Adjacent centers 12 cm apart; row shifted 4 cm toward robot-left; all objects fully visible and grasp paths clear.</x:v>
      </x:c>
      <x:c r="E30" s="8" t="str">
        <x:f>IF(ISBLANK('Evaluation Plan'!E30),"",'Evaluation Plan'!E30)</x:f>
      </x:c>
      <x:c r="F30" s="8" t="str">
        <x:f>'Evaluation Plan'!F30</x:f>
        <x:v>1081</x:v>
      </x:c>
      <x:c r="G30" s="8" t="str">
        <x:f>'Evaluation Plan'!G30</x:f>
        <x:v>MOVE green block to bowl</x:v>
      </x:c>
      <x:c r="H30" s="23" t="s">
        <x:v>730</x:v>
      </x:c>
      <x:c r="I30" s="8" t="str">
        <x:f>'Evaluation Plan'!I30</x:f>
        <x:v>Concept/compositional transfer</x:v>
      </x:c>
      <x:c r="J30" s="8" t="str">
        <x:f>'Evaluation Plan'!J30</x:f>
        <x:v>SZ-CT-LG02</x:v>
      </x:c>
      <x:c r="K30" s="8" t="str">
        <x:f>'Evaluation Plan'!K30</x:f>
        <x:v>largest</x:v>
      </x:c>
      <x:c r="L30" s="8" t="str">
        <x:f>'Evaluation Plan'!L30</x:f>
        <x:v>Held-out largest × green block — Pick up</x:v>
      </x:c>
      <x:c r="M30" s="8" t="str">
        <x:f>'Evaluation Plan'!M30</x:f>
        <x:v>green block</x:v>
      </x:c>
      <x:c r="N30" s="8" t="str">
        <x:f>'Evaluation Plan'!N30</x:f>
        <x:v>Right</x:v>
      </x:c>
      <x:c r="O30" s="8" t="n">
        <x:f>'Evaluation Plan'!O30</x:f>
        <x:v>2</x:v>
      </x:c>
      <x:c r="P30" s="8" t="n">
        <x:f>IF(ISBLANK('Evaluation Plan'!P30),"",'Evaluation Plan'!P30)</x:f>
        <x:v>12</x:v>
      </x:c>
      <x:c r="Q30" s="8" t="str">
        <x:f>'Evaluation Plan'!Q30</x:f>
        <x:v>Build the listed two-object scene and save a first-frame filename.</x:v>
      </x:c>
      <x:c r="R30" s="9" t="str">
        <x:f>'Evaluation Plan'!R30</x:f>
        <x:v>Primary missing cell. Training episode 1081 contains the same target trajectory but masks the size word with a direct identity prompt.</x:v>
      </x:c>
      <x:c r="S30" s="9" t="str">
        <x:f>IF(ISBLANK('Evaluation Plan'!S30),"",'Evaluation Plan'!S30)</x:f>
      </x:c>
    </x:row>
    <x:row r="31" ht="67.5" customHeight="1">
      <x:c r="A31" s="33" t="s">
        <x:v>591</x:v>
      </x:c>
      <x:c r="B31" s="16" t="n">
        <x:f>'Evaluation Plan'!B31</x:f>
        <x:v>29</x:v>
      </x:c>
      <x:c r="C31" s="6" t="str">
        <x:f>'Evaluation Plan'!C31</x:f>
        <x:v>Move the green block into the bowl.</x:v>
      </x:c>
      <x:c r="D31" s="6" t="str">
        <x:f>'Evaluation Plan'!D31</x:f>
        <x:v>Bowl: empty. Table, robot-left→robot-right: P1 red pencil sharpener; P2 green block. Adjacent centers 12 cm apart; row shifted 4 cm toward robot-left; all objects fully visible and grasp paths clear.</x:v>
      </x:c>
      <x:c r="E31" s="16" t="n">
        <x:f>IF(ISBLANK('Evaluation Plan'!E31),"",'Evaluation Plan'!E31)</x:f>
        <x:v>28</x:v>
      </x:c>
      <x:c r="F31" s="16" t="str">
        <x:f>'Evaluation Plan'!F31</x:f>
        <x:v>1076</x:v>
      </x:c>
      <x:c r="G31" s="16" t="str">
        <x:f>'Evaluation Plan'!G31</x:f>
        <x:v>MOVE green block to bowl</x:v>
      </x:c>
      <x:c r="H31" s="6"/>
      <x:c r="I31" s="16" t="str">
        <x:f>'Evaluation Plan'!I31</x:f>
        <x:v>Matched manipulation control</x:v>
      </x:c>
      <x:c r="J31" s="16" t="str">
        <x:f>'Evaluation Plan'!J31</x:f>
        <x:v>SZ-CT-LG02</x:v>
      </x:c>
      <x:c r="K31" s="16" t="str">
        <x:f>'Evaluation Plan'!K31</x:f>
        <x:v>Direct</x:v>
      </x:c>
      <x:c r="L31" s="16" t="str">
        <x:f>'Evaluation Plan'!L31</x:f>
        <x:v>Same-scene direct target control</x:v>
      </x:c>
      <x:c r="M31" s="16" t="str">
        <x:f>'Evaluation Plan'!M31</x:f>
        <x:v>green block</x:v>
      </x:c>
      <x:c r="N31" s="16" t="str">
        <x:f>'Evaluation Plan'!N31</x:f>
        <x:v>Right</x:v>
      </x:c>
      <x:c r="O31" s="16" t="n">
        <x:f>'Evaluation Plan'!O31</x:f>
        <x:v>2</x:v>
      </x:c>
      <x:c r="P31" s="16" t="n">
        <x:f>IF(ISBLANK('Evaluation Plan'!P31),"",'Evaluation Plan'!P31)</x:f>
        <x:v>12</x:v>
      </x:c>
      <x:c r="Q31" s="16" t="str">
        <x:f>'Evaluation Plan'!Q31</x:f>
        <x:v>Reset the target to its original pose; change only the prompt.</x:v>
      </x:c>
      <x:c r="R31" s="6" t="str">
        <x:f>'Evaluation Plan'!R31</x:f>
        <x:v>Exact-scene control using a direct prompt supported by training episode 1076.</x:v>
      </x:c>
      <x:c r="S31" s="6" t="str">
        <x:f>IF(ISBLANK('Evaluation Plan'!S31),"",'Evaluation Plan'!S31)</x:f>
      </x:c>
    </x:row>
    <x:row r="32" ht="67.5" customHeight="1">
      <x:c r="A32" s="33" t="s">
        <x:v>591</x:v>
      </x:c>
      <x:c r="B32" s="16" t="n">
        <x:f>'Evaluation Plan'!B32</x:f>
        <x:v>30</x:v>
      </x:c>
      <x:c r="C32" s="6" t="str">
        <x:f>'Evaluation Plan'!C32</x:f>
        <x:v>Place whichever object is greatest in size inside the bowl.</x:v>
      </x:c>
      <x:c r="D32" s="6" t="str">
        <x:f>'Evaluation Plan'!D32</x:f>
        <x:v>Bowl: empty. Table, robot-left→robot-right: P1 red pencil sharpener; P2 green block. Adjacent centers 12 cm apart; row shifted 4 cm toward robot-left; all objects fully visible and grasp paths clear.</x:v>
      </x:c>
      <x:c r="E32" s="16" t="n">
        <x:f>IF(ISBLANK('Evaluation Plan'!E32),"",'Evaluation Plan'!E32)</x:f>
        <x:v>28</x:v>
      </x:c>
      <x:c r="F32" s="16" t="str">
        <x:f>'Evaluation Plan'!F32</x:f>
        <x:v>1081</x:v>
      </x:c>
      <x:c r="G32" s="16" t="str">
        <x:f>'Evaluation Plan'!G32</x:f>
        <x:v>MOVE green block to bowl</x:v>
      </x:c>
      <x:c r="H32" s="6"/>
      <x:c r="I32" s="16" t="str">
        <x:f>'Evaluation Plan'!I32</x:f>
        <x:v>Language robustness</x:v>
      </x:c>
      <x:c r="J32" s="16" t="str">
        <x:f>'Evaluation Plan'!J32</x:f>
        <x:v>SZ-CT-LG02</x:v>
      </x:c>
      <x:c r="K32" s="16" t="str">
        <x:f>'Evaluation Plan'!K32</x:f>
        <x:v>largest</x:v>
      </x:c>
      <x:c r="L32" s="16" t="str">
        <x:f>'Evaluation Plan'!L32</x:f>
        <x:v>Primary compositional-transfer prompt paraphrase</x:v>
      </x:c>
      <x:c r="M32" s="16" t="str">
        <x:f>'Evaluation Plan'!M32</x:f>
        <x:v>green block</x:v>
      </x:c>
      <x:c r="N32" s="16" t="str">
        <x:f>'Evaluation Plan'!N32</x:f>
        <x:v>Right</x:v>
      </x:c>
      <x:c r="O32" s="16" t="n">
        <x:f>'Evaluation Plan'!O32</x:f>
        <x:v>2</x:v>
      </x:c>
      <x:c r="P32" s="16" t="n">
        <x:f>IF(ISBLANK('Evaluation Plan'!P32),"",'Evaluation Plan'!P32)</x:f>
        <x:v>12</x:v>
      </x:c>
      <x:c r="Q32" s="16" t="str">
        <x:f>'Evaluation Plan'!Q32</x:f>
        <x:v>Reset the target; preserve the exact scene and paraphrase only the transfer prompt.</x:v>
      </x:c>
      <x:c r="R32" s="6" t="str">
        <x:f>'Evaluation Plan'!R32</x:f>
        <x:v>Exact-scene paraphrase of the primary transfer instruction.</x:v>
      </x:c>
      <x:c r="S32" s="6" t="str">
        <x:f>IF(ISBLANK('Evaluation Plan'!S32),"",'Evaluation Plan'!S32)</x:f>
      </x:c>
    </x:row>
    <x:row r="33" ht="67.5" customHeight="1">
      <x:c r="A33" s="33" t="s">
        <x:v>591</x:v>
      </x:c>
      <x:c r="B33" s="16" t="n">
        <x:f>'Evaluation Plan'!B33</x:f>
        <x:v>31</x:v>
      </x:c>
      <x:c r="C33" s="6" t="str">
        <x:f>'Evaluation Plan'!C33</x:f>
        <x:v>Lift the green block and set it inside the bowl.</x:v>
      </x:c>
      <x:c r="D33" s="6" t="str">
        <x:f>'Evaluation Plan'!D33</x:f>
        <x:v>Bowl: empty. Table, robot-left→robot-right: P1 red pencil sharpener; P2 green block. Adjacent centers 12 cm apart; row shifted 4 cm toward robot-left; all objects fully visible and grasp paths clear.</x:v>
      </x:c>
      <x:c r="E33" s="16" t="n">
        <x:f>IF(ISBLANK('Evaluation Plan'!E33),"",'Evaluation Plan'!E33)</x:f>
        <x:v>29</x:v>
      </x:c>
      <x:c r="F33" s="16" t="str">
        <x:f>'Evaluation Plan'!F33</x:f>
        <x:v>1076</x:v>
      </x:c>
      <x:c r="G33" s="16" t="str">
        <x:f>'Evaluation Plan'!G33</x:f>
        <x:v>MOVE green block to bowl</x:v>
      </x:c>
      <x:c r="H33" s="6"/>
      <x:c r="I33" s="16" t="str">
        <x:f>'Evaluation Plan'!I33</x:f>
        <x:v>Language robustness</x:v>
      </x:c>
      <x:c r="J33" s="16" t="str">
        <x:f>'Evaluation Plan'!J33</x:f>
        <x:v>SZ-CT-LG02</x:v>
      </x:c>
      <x:c r="K33" s="16" t="str">
        <x:f>'Evaluation Plan'!K33</x:f>
        <x:v>Direct</x:v>
      </x:c>
      <x:c r="L33" s="16" t="str">
        <x:f>'Evaluation Plan'!L33</x:f>
        <x:v>Matched-control direct prompt paraphrase</x:v>
      </x:c>
      <x:c r="M33" s="16" t="str">
        <x:f>'Evaluation Plan'!M33</x:f>
        <x:v>green block</x:v>
      </x:c>
      <x:c r="N33" s="16" t="str">
        <x:f>'Evaluation Plan'!N33</x:f>
        <x:v>Right</x:v>
      </x:c>
      <x:c r="O33" s="16" t="n">
        <x:f>'Evaluation Plan'!O33</x:f>
        <x:v>2</x:v>
      </x:c>
      <x:c r="P33" s="16" t="n">
        <x:f>IF(ISBLANK('Evaluation Plan'!P33),"",'Evaluation Plan'!P33)</x:f>
        <x:v>12</x:v>
      </x:c>
      <x:c r="Q33" s="16" t="str">
        <x:f>'Evaluation Plan'!Q33</x:f>
        <x:v>Reset the target; preserve the exact scene and paraphrase only the matched-control prompt.</x:v>
      </x:c>
      <x:c r="R33" s="6" t="str">
        <x:f>'Evaluation Plan'!R33</x:f>
        <x:v>Exact-scene paraphrase of the direct manipulation control.</x:v>
      </x:c>
      <x:c r="S33" s="6" t="str">
        <x:f>IF(ISBLANK('Evaluation Plan'!S33),"",'Evaluation Plan'!S33)</x:f>
      </x:c>
    </x:row>
    <x:row r="34" ht="67.5" customHeight="1">
      <x:c r="A34" s="22" t="s">
        <x:v>591</x:v>
      </x:c>
      <x:c r="B34" s="8" t="n">
        <x:f>'Evaluation Plan'!B34</x:f>
        <x:v>32</x:v>
      </x:c>
      <x:c r="C34" s="9" t="str">
        <x:f>'Evaluation Plan'!C34</x:f>
        <x:v>Put the smallest object in the bowl.</x:v>
      </x:c>
      <x:c r="D34" s="9" t="str">
        <x:f>'Evaluation Plan'!D34</x:f>
        <x:v>Bowl: empty. Table, robot-left→robot-right: P1 juggling ball; P2 crushed Pepsi can. Adjacent centers 16 cm apart; row shifted 4 cm toward the robot; all objects fully visible and grasp paths clear.</x:v>
      </x:c>
      <x:c r="E34" s="8" t="str">
        <x:f>IF(ISBLANK('Evaluation Plan'!E34),"",'Evaluation Plan'!E34)</x:f>
      </x:c>
      <x:c r="F34" s="8" t="str">
        <x:f>'Evaluation Plan'!F34</x:f>
        <x:v>1106</x:v>
      </x:c>
      <x:c r="G34" s="8" t="str">
        <x:f>'Evaluation Plan'!G34</x:f>
        <x:v>MOVE juggling ball to bowl</x:v>
      </x:c>
      <x:c r="H34" s="9"/>
      <x:c r="I34" s="8" t="str">
        <x:f>'Evaluation Plan'!I34</x:f>
        <x:v>Concept/compositional transfer</x:v>
      </x:c>
      <x:c r="J34" s="8" t="str">
        <x:f>'Evaluation Plan'!J34</x:f>
        <x:v>SZ-CT-SJ02</x:v>
      </x:c>
      <x:c r="K34" s="8" t="str">
        <x:f>'Evaluation Plan'!K34</x:f>
        <x:v>smallest</x:v>
      </x:c>
      <x:c r="L34" s="8" t="str">
        <x:f>'Evaluation Plan'!L34</x:f>
        <x:v>Held-out smallest × juggling ball — Put</x:v>
      </x:c>
      <x:c r="M34" s="8" t="str">
        <x:f>'Evaluation Plan'!M34</x:f>
        <x:v>juggling ball</x:v>
      </x:c>
      <x:c r="N34" s="8" t="str">
        <x:f>'Evaluation Plan'!N34</x:f>
        <x:v>Left</x:v>
      </x:c>
      <x:c r="O34" s="8" t="n">
        <x:f>'Evaluation Plan'!O34</x:f>
        <x:v>2</x:v>
      </x:c>
      <x:c r="P34" s="8" t="n">
        <x:f>IF(ISBLANK('Evaluation Plan'!P34),"",'Evaluation Plan'!P34)</x:f>
        <x:v>16</x:v>
      </x:c>
      <x:c r="Q34" s="8" t="str">
        <x:f>'Evaluation Plan'!Q34</x:f>
        <x:v>Build the listed two-object scene and save a first-frame filename.</x:v>
      </x:c>
      <x:c r="R34" s="9" t="str">
        <x:f>'Evaluation Plan'!R34</x:f>
        <x:v>Primary missing cell. Training episode 1106 contains the same target trajectory but masks the size word with a direct identity prompt.</x:v>
      </x:c>
      <x:c r="S34" s="9" t="str">
        <x:f>IF(ISBLANK('Evaluation Plan'!S34),"",'Evaluation Plan'!S34)</x:f>
      </x:c>
    </x:row>
    <x:row r="35" ht="67.5" customHeight="1">
      <x:c r="A35" s="33" t="s">
        <x:v>591</x:v>
      </x:c>
      <x:c r="B35" s="16" t="n">
        <x:f>'Evaluation Plan'!B35</x:f>
        <x:v>33</x:v>
      </x:c>
      <x:c r="C35" s="6" t="str">
        <x:f>'Evaluation Plan'!C35</x:f>
        <x:v>Move the juggling ball into the bowl.</x:v>
      </x:c>
      <x:c r="D35" s="6" t="str">
        <x:f>'Evaluation Plan'!D35</x:f>
        <x:v>Bowl: empty. Table, robot-left→robot-right: P1 juggling ball; P2 crushed Pepsi can. Adjacent centers 16 cm apart; row shifted 4 cm toward the robot; all objects fully visible and grasp paths clear.</x:v>
      </x:c>
      <x:c r="E35" s="16" t="n">
        <x:f>IF(ISBLANK('Evaluation Plan'!E35),"",'Evaluation Plan'!E35)</x:f>
        <x:v>32</x:v>
      </x:c>
      <x:c r="F35" s="16" t="str">
        <x:f>'Evaluation Plan'!F35</x:f>
        <x:v>1101</x:v>
      </x:c>
      <x:c r="G35" s="16" t="str">
        <x:f>'Evaluation Plan'!G35</x:f>
        <x:v>MOVE juggling ball to bowl</x:v>
      </x:c>
      <x:c r="H35" s="6"/>
      <x:c r="I35" s="16" t="str">
        <x:f>'Evaluation Plan'!I35</x:f>
        <x:v>Matched manipulation control</x:v>
      </x:c>
      <x:c r="J35" s="16" t="str">
        <x:f>'Evaluation Plan'!J35</x:f>
        <x:v>SZ-CT-SJ02</x:v>
      </x:c>
      <x:c r="K35" s="16" t="str">
        <x:f>'Evaluation Plan'!K35</x:f>
        <x:v>Direct</x:v>
      </x:c>
      <x:c r="L35" s="16" t="str">
        <x:f>'Evaluation Plan'!L35</x:f>
        <x:v>Same-scene direct target control</x:v>
      </x:c>
      <x:c r="M35" s="16" t="str">
        <x:f>'Evaluation Plan'!M35</x:f>
        <x:v>juggling ball</x:v>
      </x:c>
      <x:c r="N35" s="16" t="str">
        <x:f>'Evaluation Plan'!N35</x:f>
        <x:v>Left</x:v>
      </x:c>
      <x:c r="O35" s="16" t="n">
        <x:f>'Evaluation Plan'!O35</x:f>
        <x:v>2</x:v>
      </x:c>
      <x:c r="P35" s="16" t="n">
        <x:f>IF(ISBLANK('Evaluation Plan'!P35),"",'Evaluation Plan'!P35)</x:f>
        <x:v>16</x:v>
      </x:c>
      <x:c r="Q35" s="16" t="str">
        <x:f>'Evaluation Plan'!Q35</x:f>
        <x:v>Reset the target to its original pose; change only the prompt.</x:v>
      </x:c>
      <x:c r="R35" s="6" t="str">
        <x:f>'Evaluation Plan'!R35</x:f>
        <x:v>Exact-scene control using a direct prompt supported by training episode 1101.</x:v>
      </x:c>
      <x:c r="S35" s="6" t="str">
        <x:f>IF(ISBLANK('Evaluation Plan'!S35),"",'Evaluation Plan'!S35)</x:f>
      </x:c>
    </x:row>
    <x:row r="36" ht="67.5" customHeight="1">
      <x:c r="A36" s="33" t="s">
        <x:v>591</x:v>
      </x:c>
      <x:c r="B36" s="16" t="n">
        <x:f>'Evaluation Plan'!B36</x:f>
        <x:v>34</x:v>
      </x:c>
      <x:c r="C36" s="6" t="str">
        <x:f>'Evaluation Plan'!C36</x:f>
        <x:v>Place whichever object is least in size inside the bowl.</x:v>
      </x:c>
      <x:c r="D36" s="6" t="str">
        <x:f>'Evaluation Plan'!D36</x:f>
        <x:v>Bowl: empty. Table, robot-left→robot-right: P1 juggling ball; P2 crushed Pepsi can. Adjacent centers 16 cm apart; row shifted 4 cm toward the robot; all objects fully visible and grasp paths clear.</x:v>
      </x:c>
      <x:c r="E36" s="16" t="n">
        <x:f>IF(ISBLANK('Evaluation Plan'!E36),"",'Evaluation Plan'!E36)</x:f>
        <x:v>32</x:v>
      </x:c>
      <x:c r="F36" s="16" t="str">
        <x:f>'Evaluation Plan'!F36</x:f>
        <x:v>1106</x:v>
      </x:c>
      <x:c r="G36" s="16" t="str">
        <x:f>'Evaluation Plan'!G36</x:f>
        <x:v>MOVE juggling ball to bowl</x:v>
      </x:c>
      <x:c r="H36" s="6"/>
      <x:c r="I36" s="16" t="str">
        <x:f>'Evaluation Plan'!I36</x:f>
        <x:v>Language robustness</x:v>
      </x:c>
      <x:c r="J36" s="16" t="str">
        <x:f>'Evaluation Plan'!J36</x:f>
        <x:v>SZ-CT-SJ02</x:v>
      </x:c>
      <x:c r="K36" s="16" t="str">
        <x:f>'Evaluation Plan'!K36</x:f>
        <x:v>smallest</x:v>
      </x:c>
      <x:c r="L36" s="16" t="str">
        <x:f>'Evaluation Plan'!L36</x:f>
        <x:v>Primary compositional-transfer prompt paraphrase</x:v>
      </x:c>
      <x:c r="M36" s="16" t="str">
        <x:f>'Evaluation Plan'!M36</x:f>
        <x:v>juggling ball</x:v>
      </x:c>
      <x:c r="N36" s="16" t="str">
        <x:f>'Evaluation Plan'!N36</x:f>
        <x:v>Left</x:v>
      </x:c>
      <x:c r="O36" s="16" t="n">
        <x:f>'Evaluation Plan'!O36</x:f>
        <x:v>2</x:v>
      </x:c>
      <x:c r="P36" s="16" t="n">
        <x:f>IF(ISBLANK('Evaluation Plan'!P36),"",'Evaluation Plan'!P36)</x:f>
        <x:v>16</x:v>
      </x:c>
      <x:c r="Q36" s="16" t="str">
        <x:f>'Evaluation Plan'!Q36</x:f>
        <x:v>Reset the target; preserve the exact scene and paraphrase only the transfer prompt.</x:v>
      </x:c>
      <x:c r="R36" s="6" t="str">
        <x:f>'Evaluation Plan'!R36</x:f>
        <x:v>Exact-scene paraphrase of the primary transfer instruction.</x:v>
      </x:c>
      <x:c r="S36" s="6" t="str">
        <x:f>IF(ISBLANK('Evaluation Plan'!S36),"",'Evaluation Plan'!S36)</x:f>
      </x:c>
    </x:row>
    <x:row r="37" ht="67.5" customHeight="1">
      <x:c r="A37" s="33" t="s">
        <x:v>591</x:v>
      </x:c>
      <x:c r="B37" s="16" t="n">
        <x:f>'Evaluation Plan'!B37</x:f>
        <x:v>35</x:v>
      </x:c>
      <x:c r="C37" s="6" t="str">
        <x:f>'Evaluation Plan'!C37</x:f>
        <x:v>Lift the juggling ball and set it inside the bowl.</x:v>
      </x:c>
      <x:c r="D37" s="6" t="str">
        <x:f>'Evaluation Plan'!D37</x:f>
        <x:v>Bowl: empty. Table, robot-left→robot-right: P1 juggling ball; P2 crushed Pepsi can. Adjacent centers 16 cm apart; row shifted 4 cm toward the robot; all objects fully visible and grasp paths clear.</x:v>
      </x:c>
      <x:c r="E37" s="16" t="n">
        <x:f>IF(ISBLANK('Evaluation Plan'!E37),"",'Evaluation Plan'!E37)</x:f>
        <x:v>33</x:v>
      </x:c>
      <x:c r="F37" s="16" t="str">
        <x:f>'Evaluation Plan'!F37</x:f>
        <x:v>1101</x:v>
      </x:c>
      <x:c r="G37" s="16" t="str">
        <x:f>'Evaluation Plan'!G37</x:f>
        <x:v>MOVE juggling ball to bowl</x:v>
      </x:c>
      <x:c r="H37" s="6"/>
      <x:c r="I37" s="16" t="str">
        <x:f>'Evaluation Plan'!I37</x:f>
        <x:v>Language robustness</x:v>
      </x:c>
      <x:c r="J37" s="16" t="str">
        <x:f>'Evaluation Plan'!J37</x:f>
        <x:v>SZ-CT-SJ02</x:v>
      </x:c>
      <x:c r="K37" s="16" t="str">
        <x:f>'Evaluation Plan'!K37</x:f>
        <x:v>Direct</x:v>
      </x:c>
      <x:c r="L37" s="16" t="str">
        <x:f>'Evaluation Plan'!L37</x:f>
        <x:v>Matched-control direct prompt paraphrase</x:v>
      </x:c>
      <x:c r="M37" s="16" t="str">
        <x:f>'Evaluation Plan'!M37</x:f>
        <x:v>juggling ball</x:v>
      </x:c>
      <x:c r="N37" s="16" t="str">
        <x:f>'Evaluation Plan'!N37</x:f>
        <x:v>Left</x:v>
      </x:c>
      <x:c r="O37" s="16" t="n">
        <x:f>'Evaluation Plan'!O37</x:f>
        <x:v>2</x:v>
      </x:c>
      <x:c r="P37" s="16" t="n">
        <x:f>IF(ISBLANK('Evaluation Plan'!P37),"",'Evaluation Plan'!P37)</x:f>
        <x:v>16</x:v>
      </x:c>
      <x:c r="Q37" s="16" t="str">
        <x:f>'Evaluation Plan'!Q37</x:f>
        <x:v>Reset the target; preserve the exact scene and paraphrase only the matched-control prompt.</x:v>
      </x:c>
      <x:c r="R37" s="6" t="str">
        <x:f>'Evaluation Plan'!R37</x:f>
        <x:v>Exact-scene paraphrase of the direct manipulation control.</x:v>
      </x:c>
      <x:c r="S37" s="6" t="str">
        <x:f>IF(ISBLANK('Evaluation Plan'!S37),"",'Evaluation Plan'!S37)</x:f>
      </x:c>
    </x:row>
    <x:row r="38" ht="67.5" customHeight="1">
      <x:c r="A38" s="22" t="s">
        <x:v>591</x:v>
      </x:c>
      <x:c r="B38" s="8" t="n">
        <x:f>'Evaluation Plan'!B38</x:f>
        <x:v>36</x:v>
      </x:c>
      <x:c r="C38" s="9" t="str">
        <x:f>'Evaluation Plan'!C38</x:f>
        <x:v>Put the largest object in the bowl.</x:v>
      </x:c>
      <x:c r="D38" s="9" t="str">
        <x:f>'Evaluation Plan'!D38</x:f>
        <x:v>Bowl: empty. Table, robot-left→robot-right: P1 green block; P2 red pencil sharpener. Adjacent centers 16 cm apart; row shifted 4 cm toward robot-right; all objects fully visible and grasp paths clear.</x:v>
      </x:c>
      <x:c r="E38" s="8" t="str">
        <x:f>IF(ISBLANK('Evaluation Plan'!E38),"",'Evaluation Plan'!E38)</x:f>
      </x:c>
      <x:c r="F38" s="8" t="str">
        <x:f>'Evaluation Plan'!F38</x:f>
        <x:v>1082</x:v>
      </x:c>
      <x:c r="G38" s="8" t="str">
        <x:f>'Evaluation Plan'!G38</x:f>
        <x:v>MOVE green block to bowl</x:v>
      </x:c>
      <x:c r="H38" s="9"/>
      <x:c r="I38" s="8" t="str">
        <x:f>'Evaluation Plan'!I38</x:f>
        <x:v>Concept/compositional transfer</x:v>
      </x:c>
      <x:c r="J38" s="8" t="str">
        <x:f>'Evaluation Plan'!J38</x:f>
        <x:v>SZ-CT-LG03</x:v>
      </x:c>
      <x:c r="K38" s="8" t="str">
        <x:f>'Evaluation Plan'!K38</x:f>
        <x:v>largest</x:v>
      </x:c>
      <x:c r="L38" s="8" t="str">
        <x:f>'Evaluation Plan'!L38</x:f>
        <x:v>Held-out largest × green block — Put</x:v>
      </x:c>
      <x:c r="M38" s="8" t="str">
        <x:f>'Evaluation Plan'!M38</x:f>
        <x:v>green block</x:v>
      </x:c>
      <x:c r="N38" s="8" t="str">
        <x:f>'Evaluation Plan'!N38</x:f>
        <x:v>Left</x:v>
      </x:c>
      <x:c r="O38" s="8" t="n">
        <x:f>'Evaluation Plan'!O38</x:f>
        <x:v>2</x:v>
      </x:c>
      <x:c r="P38" s="8" t="n">
        <x:f>IF(ISBLANK('Evaluation Plan'!P38),"",'Evaluation Plan'!P38)</x:f>
        <x:v>16</x:v>
      </x:c>
      <x:c r="Q38" s="8" t="str">
        <x:f>'Evaluation Plan'!Q38</x:f>
        <x:v>Build the listed two-object scene and save a first-frame filename.</x:v>
      </x:c>
      <x:c r="R38" s="9" t="str">
        <x:f>'Evaluation Plan'!R38</x:f>
        <x:v>Primary missing cell. Training episode 1082 contains the same target trajectory but masks the size word with a direct identity prompt.</x:v>
      </x:c>
      <x:c r="S38" s="9" t="str">
        <x:f>IF(ISBLANK('Evaluation Plan'!S38),"",'Evaluation Plan'!S38)</x:f>
      </x:c>
    </x:row>
    <x:row r="39" ht="67.5" customHeight="1">
      <x:c r="A39" s="33" t="s">
        <x:v>591</x:v>
      </x:c>
      <x:c r="B39" s="16" t="n">
        <x:f>'Evaluation Plan'!B39</x:f>
        <x:v>37</x:v>
      </x:c>
      <x:c r="C39" s="6" t="str">
        <x:f>'Evaluation Plan'!C39</x:f>
        <x:v>Pick up the green block and place it in the bowl.</x:v>
      </x:c>
      <x:c r="D39" s="6" t="str">
        <x:f>'Evaluation Plan'!D39</x:f>
        <x:v>Bowl: empty. Table, robot-left→robot-right: P1 green block; P2 red pencil sharpener. Adjacent centers 16 cm apart; row shifted 4 cm toward robot-right; all objects fully visible and grasp paths clear.</x:v>
      </x:c>
      <x:c r="E39" s="16" t="n">
        <x:f>IF(ISBLANK('Evaluation Plan'!E39),"",'Evaluation Plan'!E39)</x:f>
        <x:v>36</x:v>
      </x:c>
      <x:c r="F39" s="16" t="str">
        <x:f>'Evaluation Plan'!F39</x:f>
        <x:v>1077</x:v>
      </x:c>
      <x:c r="G39" s="16" t="str">
        <x:f>'Evaluation Plan'!G39</x:f>
        <x:v>MOVE green block to bowl</x:v>
      </x:c>
      <x:c r="H39" s="6"/>
      <x:c r="I39" s="16" t="str">
        <x:f>'Evaluation Plan'!I39</x:f>
        <x:v>Matched manipulation control</x:v>
      </x:c>
      <x:c r="J39" s="16" t="str">
        <x:f>'Evaluation Plan'!J39</x:f>
        <x:v>SZ-CT-LG03</x:v>
      </x:c>
      <x:c r="K39" s="16" t="str">
        <x:f>'Evaluation Plan'!K39</x:f>
        <x:v>Direct</x:v>
      </x:c>
      <x:c r="L39" s="16" t="str">
        <x:f>'Evaluation Plan'!L39</x:f>
        <x:v>Same-scene direct target control</x:v>
      </x:c>
      <x:c r="M39" s="16" t="str">
        <x:f>'Evaluation Plan'!M39</x:f>
        <x:v>green block</x:v>
      </x:c>
      <x:c r="N39" s="16" t="str">
        <x:f>'Evaluation Plan'!N39</x:f>
        <x:v>Left</x:v>
      </x:c>
      <x:c r="O39" s="16" t="n">
        <x:f>'Evaluation Plan'!O39</x:f>
        <x:v>2</x:v>
      </x:c>
      <x:c r="P39" s="16" t="n">
        <x:f>IF(ISBLANK('Evaluation Plan'!P39),"",'Evaluation Plan'!P39)</x:f>
        <x:v>16</x:v>
      </x:c>
      <x:c r="Q39" s="16" t="str">
        <x:f>'Evaluation Plan'!Q39</x:f>
        <x:v>Reset the target to its original pose; change only the prompt.</x:v>
      </x:c>
      <x:c r="R39" s="6" t="str">
        <x:f>'Evaluation Plan'!R39</x:f>
        <x:v>Exact-scene control using a direct prompt supported by training episode 1077.</x:v>
      </x:c>
      <x:c r="S39" s="6" t="str">
        <x:f>IF(ISBLANK('Evaluation Plan'!S39),"",'Evaluation Plan'!S39)</x:f>
      </x:c>
    </x:row>
    <x:row r="40" ht="67.5" customHeight="1">
      <x:c r="A40" s="33" t="s">
        <x:v>591</x:v>
      </x:c>
      <x:c r="B40" s="16" t="n">
        <x:f>'Evaluation Plan'!B40</x:f>
        <x:v>38</x:v>
      </x:c>
      <x:c r="C40" s="6" t="str">
        <x:f>'Evaluation Plan'!C40</x:f>
        <x:v>Select the bigger object and put it into the bowl.</x:v>
      </x:c>
      <x:c r="D40" s="6" t="str">
        <x:f>'Evaluation Plan'!D40</x:f>
        <x:v>Bowl: empty. Table, robot-left→robot-right: P1 green block; P2 red pencil sharpener. Adjacent centers 16 cm apart; row shifted 4 cm toward robot-right; all objects fully visible and grasp paths clear.</x:v>
      </x:c>
      <x:c r="E40" s="16" t="n">
        <x:f>IF(ISBLANK('Evaluation Plan'!E40),"",'Evaluation Plan'!E40)</x:f>
        <x:v>36</x:v>
      </x:c>
      <x:c r="F40" s="16" t="str">
        <x:f>'Evaluation Plan'!F40</x:f>
        <x:v>1082</x:v>
      </x:c>
      <x:c r="G40" s="16" t="str">
        <x:f>'Evaluation Plan'!G40</x:f>
        <x:v>MOVE green block to bowl</x:v>
      </x:c>
      <x:c r="H40" s="6"/>
      <x:c r="I40" s="16" t="str">
        <x:f>'Evaluation Plan'!I40</x:f>
        <x:v>Language robustness</x:v>
      </x:c>
      <x:c r="J40" s="16" t="str">
        <x:f>'Evaluation Plan'!J40</x:f>
        <x:v>SZ-CT-LG03</x:v>
      </x:c>
      <x:c r="K40" s="16" t="str">
        <x:f>'Evaluation Plan'!K40</x:f>
        <x:v>largest</x:v>
      </x:c>
      <x:c r="L40" s="16" t="str">
        <x:f>'Evaluation Plan'!L40</x:f>
        <x:v>Primary compositional-transfer prompt paraphrase</x:v>
      </x:c>
      <x:c r="M40" s="16" t="str">
        <x:f>'Evaluation Plan'!M40</x:f>
        <x:v>green block</x:v>
      </x:c>
      <x:c r="N40" s="16" t="str">
        <x:f>'Evaluation Plan'!N40</x:f>
        <x:v>Left</x:v>
      </x:c>
      <x:c r="O40" s="16" t="n">
        <x:f>'Evaluation Plan'!O40</x:f>
        <x:v>2</x:v>
      </x:c>
      <x:c r="P40" s="16" t="n">
        <x:f>IF(ISBLANK('Evaluation Plan'!P40),"",'Evaluation Plan'!P40)</x:f>
        <x:v>16</x:v>
      </x:c>
      <x:c r="Q40" s="16" t="str">
        <x:f>'Evaluation Plan'!Q40</x:f>
        <x:v>Reset the target; preserve the exact scene and paraphrase only the transfer prompt.</x:v>
      </x:c>
      <x:c r="R40" s="6" t="str">
        <x:f>'Evaluation Plan'!R40</x:f>
        <x:v>Exact-scene paraphrase of the primary transfer instruction.</x:v>
      </x:c>
      <x:c r="S40" s="6" t="str">
        <x:f>IF(ISBLANK('Evaluation Plan'!S40),"",'Evaluation Plan'!S40)</x:f>
      </x:c>
    </x:row>
    <x:row r="41" ht="67.5" customHeight="1">
      <x:c r="A41" s="33" t="s">
        <x:v>591</x:v>
      </x:c>
      <x:c r="B41" s="16" t="n">
        <x:f>'Evaluation Plan'!B41</x:f>
        <x:v>39</x:v>
      </x:c>
      <x:c r="C41" s="6" t="str">
        <x:f>'Evaluation Plan'!C41</x:f>
        <x:v>Move the green block off the table and into the bowl.</x:v>
      </x:c>
      <x:c r="D41" s="6" t="str">
        <x:f>'Evaluation Plan'!D41</x:f>
        <x:v>Bowl: empty. Table, robot-left→robot-right: P1 green block; P2 red pencil sharpener. Adjacent centers 16 cm apart; row shifted 4 cm toward robot-right; all objects fully visible and grasp paths clear.</x:v>
      </x:c>
      <x:c r="E41" s="16" t="n">
        <x:f>IF(ISBLANK('Evaluation Plan'!E41),"",'Evaluation Plan'!E41)</x:f>
        <x:v>37</x:v>
      </x:c>
      <x:c r="F41" s="16" t="str">
        <x:f>'Evaluation Plan'!F41</x:f>
        <x:v>1077</x:v>
      </x:c>
      <x:c r="G41" s="16" t="str">
        <x:f>'Evaluation Plan'!G41</x:f>
        <x:v>MOVE green block to bowl</x:v>
      </x:c>
      <x:c r="H41" s="6"/>
      <x:c r="I41" s="16" t="str">
        <x:f>'Evaluation Plan'!I41</x:f>
        <x:v>Language robustness</x:v>
      </x:c>
      <x:c r="J41" s="16" t="str">
        <x:f>'Evaluation Plan'!J41</x:f>
        <x:v>SZ-CT-LG03</x:v>
      </x:c>
      <x:c r="K41" s="16" t="str">
        <x:f>'Evaluation Plan'!K41</x:f>
        <x:v>Direct</x:v>
      </x:c>
      <x:c r="L41" s="16" t="str">
        <x:f>'Evaluation Plan'!L41</x:f>
        <x:v>Matched-control direct prompt paraphrase</x:v>
      </x:c>
      <x:c r="M41" s="16" t="str">
        <x:f>'Evaluation Plan'!M41</x:f>
        <x:v>green block</x:v>
      </x:c>
      <x:c r="N41" s="16" t="str">
        <x:f>'Evaluation Plan'!N41</x:f>
        <x:v>Left</x:v>
      </x:c>
      <x:c r="O41" s="16" t="n">
        <x:f>'Evaluation Plan'!O41</x:f>
        <x:v>2</x:v>
      </x:c>
      <x:c r="P41" s="16" t="n">
        <x:f>IF(ISBLANK('Evaluation Plan'!P41),"",'Evaluation Plan'!P41)</x:f>
        <x:v>16</x:v>
      </x:c>
      <x:c r="Q41" s="16" t="str">
        <x:f>'Evaluation Plan'!Q41</x:f>
        <x:v>Reset the target; preserve the exact scene and paraphrase only the matched-control prompt.</x:v>
      </x:c>
      <x:c r="R41" s="6" t="str">
        <x:f>'Evaluation Plan'!R41</x:f>
        <x:v>Exact-scene paraphrase of the direct manipulation control.</x:v>
      </x:c>
      <x:c r="S41" s="6" t="str">
        <x:f>IF(ISBLANK('Evaluation Plan'!S41),"",'Evaluation Plan'!S41)</x:f>
      </x:c>
    </x:row>
    <x:row r="42" ht="67.5" customHeight="1">
      <x:c r="A42" s="22" t="s">
        <x:v>591</x:v>
      </x:c>
      <x:c r="B42" s="8" t="n">
        <x:f>'Evaluation Plan'!B42</x:f>
        <x:v>40</x:v>
      </x:c>
      <x:c r="C42" s="9" t="str">
        <x:f>'Evaluation Plan'!C42</x:f>
        <x:v>Move the object that is smallest into the bowl.</x:v>
      </x:c>
      <x:c r="D42" s="9" t="str">
        <x:f>'Evaluation Plan'!D42</x:f>
        <x:v>Bowl: empty. Table, robot-left→robot-right: P1 crushed Pepsi can; P2 juggling ball. Adjacent centers 8 cm apart; row shifted 4 cm away from the robot; all objects fully visible and grasp paths clear.</x:v>
      </x:c>
      <x:c r="E42" s="8" t="str">
        <x:f>IF(ISBLANK('Evaluation Plan'!E42),"",'Evaluation Plan'!E42)</x:f>
      </x:c>
      <x:c r="F42" s="8" t="str">
        <x:f>'Evaluation Plan'!F42</x:f>
        <x:v>1107</x:v>
      </x:c>
      <x:c r="G42" s="8" t="str">
        <x:f>'Evaluation Plan'!G42</x:f>
        <x:v>MOVE juggling ball to bowl</x:v>
      </x:c>
      <x:c r="H42" s="9"/>
      <x:c r="I42" s="8" t="str">
        <x:f>'Evaluation Plan'!I42</x:f>
        <x:v>Concept/compositional transfer</x:v>
      </x:c>
      <x:c r="J42" s="8" t="str">
        <x:f>'Evaluation Plan'!J42</x:f>
        <x:v>SZ-CT-SJ03</x:v>
      </x:c>
      <x:c r="K42" s="8" t="str">
        <x:f>'Evaluation Plan'!K42</x:f>
        <x:v>smallest</x:v>
      </x:c>
      <x:c r="L42" s="8" t="str">
        <x:f>'Evaluation Plan'!L42</x:f>
        <x:v>Held-out smallest × juggling ball — Move</x:v>
      </x:c>
      <x:c r="M42" s="8" t="str">
        <x:f>'Evaluation Plan'!M42</x:f>
        <x:v>juggling ball</x:v>
      </x:c>
      <x:c r="N42" s="8" t="str">
        <x:f>'Evaluation Plan'!N42</x:f>
        <x:v>Right</x:v>
      </x:c>
      <x:c r="O42" s="8" t="n">
        <x:f>'Evaluation Plan'!O42</x:f>
        <x:v>2</x:v>
      </x:c>
      <x:c r="P42" s="8" t="n">
        <x:f>IF(ISBLANK('Evaluation Plan'!P42),"",'Evaluation Plan'!P42)</x:f>
        <x:v>8</x:v>
      </x:c>
      <x:c r="Q42" s="8" t="str">
        <x:f>'Evaluation Plan'!Q42</x:f>
        <x:v>Build the listed two-object scene and save a first-frame filename.</x:v>
      </x:c>
      <x:c r="R42" s="9" t="str">
        <x:f>'Evaluation Plan'!R42</x:f>
        <x:v>Primary missing cell. Training episode 1107 contains the same target trajectory but masks the size word with a direct identity prompt.</x:v>
      </x:c>
      <x:c r="S42" s="9" t="str">
        <x:f>IF(ISBLANK('Evaluation Plan'!S42),"",'Evaluation Plan'!S42)</x:f>
      </x:c>
    </x:row>
    <x:row r="43" ht="67.5" customHeight="1">
      <x:c r="A43" s="33" t="s">
        <x:v>591</x:v>
      </x:c>
      <x:c r="B43" s="16" t="n">
        <x:f>'Evaluation Plan'!B43</x:f>
        <x:v>41</x:v>
      </x:c>
      <x:c r="C43" s="6" t="str">
        <x:f>'Evaluation Plan'!C43</x:f>
        <x:v>Pick up the juggling ball and place it in the bowl.</x:v>
      </x:c>
      <x:c r="D43" s="6" t="str">
        <x:f>'Evaluation Plan'!D43</x:f>
        <x:v>Bowl: empty. Table, robot-left→robot-right: P1 crushed Pepsi can; P2 juggling ball. Adjacent centers 8 cm apart; row shifted 4 cm away from the robot; all objects fully visible and grasp paths clear.</x:v>
      </x:c>
      <x:c r="E43" s="16" t="n">
        <x:f>IF(ISBLANK('Evaluation Plan'!E43),"",'Evaluation Plan'!E43)</x:f>
        <x:v>40</x:v>
      </x:c>
      <x:c r="F43" s="16" t="str">
        <x:f>'Evaluation Plan'!F43</x:f>
        <x:v>1102</x:v>
      </x:c>
      <x:c r="G43" s="16" t="str">
        <x:f>'Evaluation Plan'!G43</x:f>
        <x:v>MOVE juggling ball to bowl</x:v>
      </x:c>
      <x:c r="H43" s="6"/>
      <x:c r="I43" s="16" t="str">
        <x:f>'Evaluation Plan'!I43</x:f>
        <x:v>Matched manipulation control</x:v>
      </x:c>
      <x:c r="J43" s="16" t="str">
        <x:f>'Evaluation Plan'!J43</x:f>
        <x:v>SZ-CT-SJ03</x:v>
      </x:c>
      <x:c r="K43" s="16" t="str">
        <x:f>'Evaluation Plan'!K43</x:f>
        <x:v>Direct</x:v>
      </x:c>
      <x:c r="L43" s="16" t="str">
        <x:f>'Evaluation Plan'!L43</x:f>
        <x:v>Same-scene direct target control</x:v>
      </x:c>
      <x:c r="M43" s="16" t="str">
        <x:f>'Evaluation Plan'!M43</x:f>
        <x:v>juggling ball</x:v>
      </x:c>
      <x:c r="N43" s="16" t="str">
        <x:f>'Evaluation Plan'!N43</x:f>
        <x:v>Right</x:v>
      </x:c>
      <x:c r="O43" s="16" t="n">
        <x:f>'Evaluation Plan'!O43</x:f>
        <x:v>2</x:v>
      </x:c>
      <x:c r="P43" s="16" t="n">
        <x:f>IF(ISBLANK('Evaluation Plan'!P43),"",'Evaluation Plan'!P43)</x:f>
        <x:v>8</x:v>
      </x:c>
      <x:c r="Q43" s="16" t="str">
        <x:f>'Evaluation Plan'!Q43</x:f>
        <x:v>Reset the target to its original pose; change only the prompt.</x:v>
      </x:c>
      <x:c r="R43" s="6" t="str">
        <x:f>'Evaluation Plan'!R43</x:f>
        <x:v>Exact-scene control using a direct prompt supported by training episode 1102.</x:v>
      </x:c>
      <x:c r="S43" s="6" t="str">
        <x:f>IF(ISBLANK('Evaluation Plan'!S43),"",'Evaluation Plan'!S43)</x:f>
      </x:c>
    </x:row>
    <x:row r="44" ht="67.5" customHeight="1">
      <x:c r="A44" s="33" t="s">
        <x:v>591</x:v>
      </x:c>
      <x:c r="B44" s="16" t="n">
        <x:f>'Evaluation Plan'!B44</x:f>
        <x:v>42</x:v>
      </x:c>
      <x:c r="C44" s="6" t="str">
        <x:f>'Evaluation Plan'!C44</x:f>
        <x:v>Select the smaller object and put it into the bowl.</x:v>
      </x:c>
      <x:c r="D44" s="6" t="str">
        <x:f>'Evaluation Plan'!D44</x:f>
        <x:v>Bowl: empty. Table, robot-left→robot-right: P1 crushed Pepsi can; P2 juggling ball. Adjacent centers 8 cm apart; row shifted 4 cm away from the robot; all objects fully visible and grasp paths clear.</x:v>
      </x:c>
      <x:c r="E44" s="16" t="n">
        <x:f>IF(ISBLANK('Evaluation Plan'!E44),"",'Evaluation Plan'!E44)</x:f>
        <x:v>40</x:v>
      </x:c>
      <x:c r="F44" s="16" t="str">
        <x:f>'Evaluation Plan'!F44</x:f>
        <x:v>1107</x:v>
      </x:c>
      <x:c r="G44" s="16" t="str">
        <x:f>'Evaluation Plan'!G44</x:f>
        <x:v>MOVE juggling ball to bowl</x:v>
      </x:c>
      <x:c r="H44" s="6"/>
      <x:c r="I44" s="16" t="str">
        <x:f>'Evaluation Plan'!I44</x:f>
        <x:v>Language robustness</x:v>
      </x:c>
      <x:c r="J44" s="16" t="str">
        <x:f>'Evaluation Plan'!J44</x:f>
        <x:v>SZ-CT-SJ03</x:v>
      </x:c>
      <x:c r="K44" s="16" t="str">
        <x:f>'Evaluation Plan'!K44</x:f>
        <x:v>smallest</x:v>
      </x:c>
      <x:c r="L44" s="16" t="str">
        <x:f>'Evaluation Plan'!L44</x:f>
        <x:v>Primary compositional-transfer prompt paraphrase</x:v>
      </x:c>
      <x:c r="M44" s="16" t="str">
        <x:f>'Evaluation Plan'!M44</x:f>
        <x:v>juggling ball</x:v>
      </x:c>
      <x:c r="N44" s="16" t="str">
        <x:f>'Evaluation Plan'!N44</x:f>
        <x:v>Right</x:v>
      </x:c>
      <x:c r="O44" s="16" t="n">
        <x:f>'Evaluation Plan'!O44</x:f>
        <x:v>2</x:v>
      </x:c>
      <x:c r="P44" s="16" t="n">
        <x:f>IF(ISBLANK('Evaluation Plan'!P44),"",'Evaluation Plan'!P44)</x:f>
        <x:v>8</x:v>
      </x:c>
      <x:c r="Q44" s="16" t="str">
        <x:f>'Evaluation Plan'!Q44</x:f>
        <x:v>Reset the target; preserve the exact scene and paraphrase only the transfer prompt.</x:v>
      </x:c>
      <x:c r="R44" s="6" t="str">
        <x:f>'Evaluation Plan'!R44</x:f>
        <x:v>Exact-scene paraphrase of the primary transfer instruction.</x:v>
      </x:c>
      <x:c r="S44" s="6" t="str">
        <x:f>IF(ISBLANK('Evaluation Plan'!S44),"",'Evaluation Plan'!S44)</x:f>
      </x:c>
    </x:row>
    <x:row r="45" ht="67.5" customHeight="1">
      <x:c r="A45" s="33" t="s">
        <x:v>591</x:v>
      </x:c>
      <x:c r="B45" s="16" t="n">
        <x:f>'Evaluation Plan'!B45</x:f>
        <x:v>43</x:v>
      </x:c>
      <x:c r="C45" s="6" t="str">
        <x:f>'Evaluation Plan'!C45</x:f>
        <x:v>Move the juggling ball off the table and into the bowl.</x:v>
      </x:c>
      <x:c r="D45" s="6" t="str">
        <x:f>'Evaluation Plan'!D45</x:f>
        <x:v>Bowl: empty. Table, robot-left→robot-right: P1 crushed Pepsi can; P2 juggling ball. Adjacent centers 8 cm apart; row shifted 4 cm away from the robot; all objects fully visible and grasp paths clear.</x:v>
      </x:c>
      <x:c r="E45" s="16" t="n">
        <x:f>IF(ISBLANK('Evaluation Plan'!E45),"",'Evaluation Plan'!E45)</x:f>
        <x:v>41</x:v>
      </x:c>
      <x:c r="F45" s="16" t="str">
        <x:f>'Evaluation Plan'!F45</x:f>
        <x:v>1102</x:v>
      </x:c>
      <x:c r="G45" s="16" t="str">
        <x:f>'Evaluation Plan'!G45</x:f>
        <x:v>MOVE juggling ball to bowl</x:v>
      </x:c>
      <x:c r="H45" s="6"/>
      <x:c r="I45" s="16" t="str">
        <x:f>'Evaluation Plan'!I45</x:f>
        <x:v>Language robustness</x:v>
      </x:c>
      <x:c r="J45" s="16" t="str">
        <x:f>'Evaluation Plan'!J45</x:f>
        <x:v>SZ-CT-SJ03</x:v>
      </x:c>
      <x:c r="K45" s="16" t="str">
        <x:f>'Evaluation Plan'!K45</x:f>
        <x:v>Direct</x:v>
      </x:c>
      <x:c r="L45" s="16" t="str">
        <x:f>'Evaluation Plan'!L45</x:f>
        <x:v>Matched-control direct prompt paraphrase</x:v>
      </x:c>
      <x:c r="M45" s="16" t="str">
        <x:f>'Evaluation Plan'!M45</x:f>
        <x:v>juggling ball</x:v>
      </x:c>
      <x:c r="N45" s="16" t="str">
        <x:f>'Evaluation Plan'!N45</x:f>
        <x:v>Right</x:v>
      </x:c>
      <x:c r="O45" s="16" t="n">
        <x:f>'Evaluation Plan'!O45</x:f>
        <x:v>2</x:v>
      </x:c>
      <x:c r="P45" s="16" t="n">
        <x:f>IF(ISBLANK('Evaluation Plan'!P45),"",'Evaluation Plan'!P45)</x:f>
        <x:v>8</x:v>
      </x:c>
      <x:c r="Q45" s="16" t="str">
        <x:f>'Evaluation Plan'!Q45</x:f>
        <x:v>Reset the target; preserve the exact scene and paraphrase only the matched-control prompt.</x:v>
      </x:c>
      <x:c r="R45" s="6" t="str">
        <x:f>'Evaluation Plan'!R45</x:f>
        <x:v>Exact-scene paraphrase of the direct manipulation control.</x:v>
      </x:c>
      <x:c r="S45" s="6" t="str">
        <x:f>IF(ISBLANK('Evaluation Plan'!S45),"",'Evaluation Plan'!S45)</x:f>
      </x:c>
    </x:row>
    <x:row r="46" ht="67.5" customHeight="1">
      <x:c r="A46" s="22" t="s">
        <x:v>693</x:v>
      </x:c>
      <x:c r="B46" s="8" t="n">
        <x:f>'Evaluation Plan'!B46</x:f>
        <x:v>44</x:v>
      </x:c>
      <x:c r="C46" s="9" t="str">
        <x:f>'Evaluation Plan'!C46</x:f>
        <x:v>Move the object that is largest into the bowl.</x:v>
      </x:c>
      <x:c r="D46" s="9" t="str">
        <x:f>'Evaluation Plan'!D46</x:f>
        <x:v>Bowl: empty. Table, robot-left→robot-right: P1 red pencil sharpener; P2 green block. Adjacent centers 8 cm apart; row shifted 4 cm toward the robot; all objects fully visible and grasp paths clear.</x:v>
      </x:c>
      <x:c r="E46" s="8" t="str">
        <x:f>IF(ISBLANK('Evaluation Plan'!E46),"",'Evaluation Plan'!E46)</x:f>
      </x:c>
      <x:c r="F46" s="8" t="str">
        <x:f>'Evaluation Plan'!F46</x:f>
        <x:v>1083</x:v>
      </x:c>
      <x:c r="G46" s="8" t="str">
        <x:f>'Evaluation Plan'!G46</x:f>
        <x:v>MOVE green block to bowl</x:v>
      </x:c>
      <x:c r="H46" s="23" t="s">
        <x:v>731</x:v>
      </x:c>
      <x:c r="I46" s="8" t="str">
        <x:f>'Evaluation Plan'!I46</x:f>
        <x:v>Concept/compositional transfer</x:v>
      </x:c>
      <x:c r="J46" s="8" t="str">
        <x:f>'Evaluation Plan'!J46</x:f>
        <x:v>SZ-CT-LG04</x:v>
      </x:c>
      <x:c r="K46" s="8" t="str">
        <x:f>'Evaluation Plan'!K46</x:f>
        <x:v>largest</x:v>
      </x:c>
      <x:c r="L46" s="8" t="str">
        <x:f>'Evaluation Plan'!L46</x:f>
        <x:v>Held-out largest × green block — Move</x:v>
      </x:c>
      <x:c r="M46" s="8" t="str">
        <x:f>'Evaluation Plan'!M46</x:f>
        <x:v>green block</x:v>
      </x:c>
      <x:c r="N46" s="8" t="str">
        <x:f>'Evaluation Plan'!N46</x:f>
        <x:v>Right</x:v>
      </x:c>
      <x:c r="O46" s="8" t="n">
        <x:f>'Evaluation Plan'!O46</x:f>
        <x:v>2</x:v>
      </x:c>
      <x:c r="P46" s="8" t="n">
        <x:f>IF(ISBLANK('Evaluation Plan'!P46),"",'Evaluation Plan'!P46)</x:f>
        <x:v>8</x:v>
      </x:c>
      <x:c r="Q46" s="8" t="str">
        <x:f>'Evaluation Plan'!Q46</x:f>
        <x:v>Build the listed two-object scene and save a first-frame filename.</x:v>
      </x:c>
      <x:c r="R46" s="9" t="str">
        <x:f>'Evaluation Plan'!R46</x:f>
        <x:v>Primary missing cell. Training episode 1083 contains the same target trajectory but masks the size word with a direct identity prompt.</x:v>
      </x:c>
      <x:c r="S46" s="9" t="str">
        <x:f>IF(ISBLANK('Evaluation Plan'!S46),"",'Evaluation Plan'!S46)</x:f>
      </x:c>
    </x:row>
    <x:row r="47" ht="67.5" customHeight="1">
      <x:c r="A47" s="33" t="s">
        <x:v>591</x:v>
      </x:c>
      <x:c r="B47" s="16" t="n">
        <x:f>'Evaluation Plan'!B47</x:f>
        <x:v>45</x:v>
      </x:c>
      <x:c r="C47" s="6" t="str">
        <x:f>'Evaluation Plan'!C47</x:f>
        <x:v>Put the green block in the bowl.</x:v>
      </x:c>
      <x:c r="D47" s="6" t="str">
        <x:f>'Evaluation Plan'!D47</x:f>
        <x:v>Bowl: empty. Table, robot-left→robot-right: P1 red pencil sharpener; P2 green block. Adjacent centers 8 cm apart; row shifted 4 cm toward the robot; all objects fully visible and grasp paths clear.</x:v>
      </x:c>
      <x:c r="E47" s="16" t="n">
        <x:f>IF(ISBLANK('Evaluation Plan'!E47),"",'Evaluation Plan'!E47)</x:f>
        <x:v>44</x:v>
      </x:c>
      <x:c r="F47" s="16" t="str">
        <x:f>'Evaluation Plan'!F47</x:f>
        <x:v>1078</x:v>
      </x:c>
      <x:c r="G47" s="16" t="str">
        <x:f>'Evaluation Plan'!G47</x:f>
        <x:v>MOVE green block to bowl</x:v>
      </x:c>
      <x:c r="H47" s="6"/>
      <x:c r="I47" s="16" t="str">
        <x:f>'Evaluation Plan'!I47</x:f>
        <x:v>Matched manipulation control</x:v>
      </x:c>
      <x:c r="J47" s="16" t="str">
        <x:f>'Evaluation Plan'!J47</x:f>
        <x:v>SZ-CT-LG04</x:v>
      </x:c>
      <x:c r="K47" s="16" t="str">
        <x:f>'Evaluation Plan'!K47</x:f>
        <x:v>Direct</x:v>
      </x:c>
      <x:c r="L47" s="16" t="str">
        <x:f>'Evaluation Plan'!L47</x:f>
        <x:v>Same-scene direct target control</x:v>
      </x:c>
      <x:c r="M47" s="16" t="str">
        <x:f>'Evaluation Plan'!M47</x:f>
        <x:v>green block</x:v>
      </x:c>
      <x:c r="N47" s="16" t="str">
        <x:f>'Evaluation Plan'!N47</x:f>
        <x:v>Right</x:v>
      </x:c>
      <x:c r="O47" s="16" t="n">
        <x:f>'Evaluation Plan'!O47</x:f>
        <x:v>2</x:v>
      </x:c>
      <x:c r="P47" s="16" t="n">
        <x:f>IF(ISBLANK('Evaluation Plan'!P47),"",'Evaluation Plan'!P47)</x:f>
        <x:v>8</x:v>
      </x:c>
      <x:c r="Q47" s="16" t="str">
        <x:f>'Evaluation Plan'!Q47</x:f>
        <x:v>Reset the target to its original pose; change only the prompt.</x:v>
      </x:c>
      <x:c r="R47" s="6" t="str">
        <x:f>'Evaluation Plan'!R47</x:f>
        <x:v>Exact-scene control using a direct prompt supported by training episode 1078.</x:v>
      </x:c>
      <x:c r="S47" s="6" t="str">
        <x:f>IF(ISBLANK('Evaluation Plan'!S47),"",'Evaluation Plan'!S47)</x:f>
      </x:c>
    </x:row>
    <x:row r="48" ht="67.5" customHeight="1">
      <x:c r="A48" s="33" t="s">
        <x:v>693</x:v>
      </x:c>
      <x:c r="B48" s="16" t="n">
        <x:f>'Evaluation Plan'!B48</x:f>
        <x:v>46</x:v>
      </x:c>
      <x:c r="C48" s="6" t="str">
        <x:f>'Evaluation Plan'!C48</x:f>
        <x:v>Find the greatest-sized item and move it to the bowl.</x:v>
      </x:c>
      <x:c r="D48" s="6" t="str">
        <x:f>'Evaluation Plan'!D48</x:f>
        <x:v>Bowl: empty. Table, robot-left→robot-right: P1 red pencil sharpener; P2 green block. Adjacent centers 8 cm apart; row shifted 4 cm toward the robot; all objects fully visible and grasp paths clear.</x:v>
      </x:c>
      <x:c r="E48" s="16" t="n">
        <x:f>IF(ISBLANK('Evaluation Plan'!E48),"",'Evaluation Plan'!E48)</x:f>
        <x:v>44</x:v>
      </x:c>
      <x:c r="F48" s="16" t="str">
        <x:f>'Evaluation Plan'!F48</x:f>
        <x:v>1083</x:v>
      </x:c>
      <x:c r="G48" s="16" t="str">
        <x:f>'Evaluation Plan'!G48</x:f>
        <x:v>MOVE green block to bowl</x:v>
      </x:c>
      <x:c r="H48" s="34" t="s">
        <x:v>732</x:v>
      </x:c>
      <x:c r="I48" s="16" t="str">
        <x:f>'Evaluation Plan'!I48</x:f>
        <x:v>Language robustness</x:v>
      </x:c>
      <x:c r="J48" s="16" t="str">
        <x:f>'Evaluation Plan'!J48</x:f>
        <x:v>SZ-CT-LG04</x:v>
      </x:c>
      <x:c r="K48" s="16" t="str">
        <x:f>'Evaluation Plan'!K48</x:f>
        <x:v>largest</x:v>
      </x:c>
      <x:c r="L48" s="16" t="str">
        <x:f>'Evaluation Plan'!L48</x:f>
        <x:v>Primary compositional-transfer prompt paraphrase</x:v>
      </x:c>
      <x:c r="M48" s="16" t="str">
        <x:f>'Evaluation Plan'!M48</x:f>
        <x:v>green block</x:v>
      </x:c>
      <x:c r="N48" s="16" t="str">
        <x:f>'Evaluation Plan'!N48</x:f>
        <x:v>Right</x:v>
      </x:c>
      <x:c r="O48" s="16" t="n">
        <x:f>'Evaluation Plan'!O48</x:f>
        <x:v>2</x:v>
      </x:c>
      <x:c r="P48" s="16" t="n">
        <x:f>IF(ISBLANK('Evaluation Plan'!P48),"",'Evaluation Plan'!P48)</x:f>
        <x:v>8</x:v>
      </x:c>
      <x:c r="Q48" s="16" t="str">
        <x:f>'Evaluation Plan'!Q48</x:f>
        <x:v>Reset the target; preserve the exact scene and paraphrase only the transfer prompt.</x:v>
      </x:c>
      <x:c r="R48" s="6" t="str">
        <x:f>'Evaluation Plan'!R48</x:f>
        <x:v>Exact-scene paraphrase of the primary transfer instruction.</x:v>
      </x:c>
      <x:c r="S48" s="6" t="str">
        <x:f>IF(ISBLANK('Evaluation Plan'!S48),"",'Evaluation Plan'!S48)</x:f>
      </x:c>
    </x:row>
    <x:row r="49" ht="67.5" customHeight="1">
      <x:c r="A49" s="33" t="s">
        <x:v>591</x:v>
      </x:c>
      <x:c r="B49" s="16" t="n">
        <x:f>'Evaluation Plan'!B49</x:f>
        <x:v>47</x:v>
      </x:c>
      <x:c r="C49" s="6" t="str">
        <x:f>'Evaluation Plan'!C49</x:f>
        <x:v>Place the table's green block inside the bowl.</x:v>
      </x:c>
      <x:c r="D49" s="6" t="str">
        <x:f>'Evaluation Plan'!D49</x:f>
        <x:v>Bowl: empty. Table, robot-left→robot-right: P1 red pencil sharpener; P2 green block. Adjacent centers 8 cm apart; row shifted 4 cm toward the robot; all objects fully visible and grasp paths clear.</x:v>
      </x:c>
      <x:c r="E49" s="16" t="n">
        <x:f>IF(ISBLANK('Evaluation Plan'!E49),"",'Evaluation Plan'!E49)</x:f>
        <x:v>45</x:v>
      </x:c>
      <x:c r="F49" s="16" t="str">
        <x:f>'Evaluation Plan'!F49</x:f>
        <x:v>1078</x:v>
      </x:c>
      <x:c r="G49" s="16" t="str">
        <x:f>'Evaluation Plan'!G49</x:f>
        <x:v>MOVE green block to bowl</x:v>
      </x:c>
      <x:c r="H49" s="6"/>
      <x:c r="I49" s="16" t="str">
        <x:f>'Evaluation Plan'!I49</x:f>
        <x:v>Language robustness</x:v>
      </x:c>
      <x:c r="J49" s="16" t="str">
        <x:f>'Evaluation Plan'!J49</x:f>
        <x:v>SZ-CT-LG04</x:v>
      </x:c>
      <x:c r="K49" s="16" t="str">
        <x:f>'Evaluation Plan'!K49</x:f>
        <x:v>Direct</x:v>
      </x:c>
      <x:c r="L49" s="16" t="str">
        <x:f>'Evaluation Plan'!L49</x:f>
        <x:v>Matched-control direct prompt paraphrase</x:v>
      </x:c>
      <x:c r="M49" s="16" t="str">
        <x:f>'Evaluation Plan'!M49</x:f>
        <x:v>green block</x:v>
      </x:c>
      <x:c r="N49" s="16" t="str">
        <x:f>'Evaluation Plan'!N49</x:f>
        <x:v>Right</x:v>
      </x:c>
      <x:c r="O49" s="16" t="n">
        <x:f>'Evaluation Plan'!O49</x:f>
        <x:v>2</x:v>
      </x:c>
      <x:c r="P49" s="16" t="n">
        <x:f>IF(ISBLANK('Evaluation Plan'!P49),"",'Evaluation Plan'!P49)</x:f>
        <x:v>8</x:v>
      </x:c>
      <x:c r="Q49" s="16" t="str">
        <x:f>'Evaluation Plan'!Q49</x:f>
        <x:v>Reset the target; preserve the exact scene and paraphrase only the matched-control prompt.</x:v>
      </x:c>
      <x:c r="R49" s="6" t="str">
        <x:f>'Evaluation Plan'!R49</x:f>
        <x:v>Exact-scene paraphrase of the direct manipulation control.</x:v>
      </x:c>
      <x:c r="S49" s="6" t="str">
        <x:f>IF(ISBLANK('Evaluation Plan'!S49),"",'Evaluation Plan'!S49)</x:f>
      </x:c>
    </x:row>
    <x:row r="50" ht="67.5" customHeight="1">
      <x:c r="A50" s="22" t="s">
        <x:v>591</x:v>
      </x:c>
      <x:c r="B50" s="8" t="n">
        <x:f>'Evaluation Plan'!B50</x:f>
        <x:v>48</x:v>
      </x:c>
      <x:c r="C50" s="9" t="str">
        <x:f>'Evaluation Plan'!C50</x:f>
        <x:v>Pick up the smallest item and place it in the bowl.</x:v>
      </x:c>
      <x:c r="D50" s="9" t="str">
        <x:f>'Evaluation Plan'!D50</x:f>
        <x:v>Bowl: empty. Table, robot-left→robot-right: P1 juggling ball; P2 crushed Pepsi can. Adjacent centers 12 cm apart; row centered on the workspace; all objects fully visible and grasp paths clear.</x:v>
      </x:c>
      <x:c r="E50" s="8" t="str">
        <x:f>IF(ISBLANK('Evaluation Plan'!E50),"",'Evaluation Plan'!E50)</x:f>
      </x:c>
      <x:c r="F50" s="8" t="str">
        <x:f>'Evaluation Plan'!F50</x:f>
        <x:v>1108</x:v>
      </x:c>
      <x:c r="G50" s="8" t="str">
        <x:f>'Evaluation Plan'!G50</x:f>
        <x:v>MOVE juggling ball to bowl</x:v>
      </x:c>
      <x:c r="H50" s="9"/>
      <x:c r="I50" s="8" t="str">
        <x:f>'Evaluation Plan'!I50</x:f>
        <x:v>Concept/compositional transfer</x:v>
      </x:c>
      <x:c r="J50" s="8" t="str">
        <x:f>'Evaluation Plan'!J50</x:f>
        <x:v>SZ-CT-SJ04</x:v>
      </x:c>
      <x:c r="K50" s="8" t="str">
        <x:f>'Evaluation Plan'!K50</x:f>
        <x:v>smallest</x:v>
      </x:c>
      <x:c r="L50" s="8" t="str">
        <x:f>'Evaluation Plan'!L50</x:f>
        <x:v>Held-out smallest × juggling ball — Pick up</x:v>
      </x:c>
      <x:c r="M50" s="8" t="str">
        <x:f>'Evaluation Plan'!M50</x:f>
        <x:v>juggling ball</x:v>
      </x:c>
      <x:c r="N50" s="8" t="str">
        <x:f>'Evaluation Plan'!N50</x:f>
        <x:v>Left</x:v>
      </x:c>
      <x:c r="O50" s="8" t="n">
        <x:f>'Evaluation Plan'!O50</x:f>
        <x:v>2</x:v>
      </x:c>
      <x:c r="P50" s="8" t="n">
        <x:f>IF(ISBLANK('Evaluation Plan'!P50),"",'Evaluation Plan'!P50)</x:f>
        <x:v>12</x:v>
      </x:c>
      <x:c r="Q50" s="8" t="str">
        <x:f>'Evaluation Plan'!Q50</x:f>
        <x:v>Build the listed two-object scene and save a first-frame filename.</x:v>
      </x:c>
      <x:c r="R50" s="9" t="str">
        <x:f>'Evaluation Plan'!R50</x:f>
        <x:v>Primary missing cell. Training episode 1108 contains the same target trajectory but masks the size word with a direct identity prompt.</x:v>
      </x:c>
      <x:c r="S50" s="9" t="str">
        <x:f>IF(ISBLANK('Evaluation Plan'!S50),"",'Evaluation Plan'!S50)</x:f>
      </x:c>
    </x:row>
    <x:row r="51" ht="67.5" customHeight="1">
      <x:c r="A51" s="33" t="s">
        <x:v>591</x:v>
      </x:c>
      <x:c r="B51" s="16" t="n">
        <x:f>'Evaluation Plan'!B51</x:f>
        <x:v>49</x:v>
      </x:c>
      <x:c r="C51" s="6" t="str">
        <x:f>'Evaluation Plan'!C51</x:f>
        <x:v>Put the juggling ball in the bowl.</x:v>
      </x:c>
      <x:c r="D51" s="6" t="str">
        <x:f>'Evaluation Plan'!D51</x:f>
        <x:v>Bowl: empty. Table, robot-left→robot-right: P1 juggling ball; P2 crushed Pepsi can. Adjacent centers 12 cm apart; row centered on the workspace; all objects fully visible and grasp paths clear.</x:v>
      </x:c>
      <x:c r="E51" s="16" t="n">
        <x:f>IF(ISBLANK('Evaluation Plan'!E51),"",'Evaluation Plan'!E51)</x:f>
        <x:v>48</x:v>
      </x:c>
      <x:c r="F51" s="16" t="str">
        <x:f>'Evaluation Plan'!F51</x:f>
        <x:v>1103</x:v>
      </x:c>
      <x:c r="G51" s="16" t="str">
        <x:f>'Evaluation Plan'!G51</x:f>
        <x:v>MOVE juggling ball to bowl</x:v>
      </x:c>
      <x:c r="H51" s="6"/>
      <x:c r="I51" s="16" t="str">
        <x:f>'Evaluation Plan'!I51</x:f>
        <x:v>Matched manipulation control</x:v>
      </x:c>
      <x:c r="J51" s="16" t="str">
        <x:f>'Evaluation Plan'!J51</x:f>
        <x:v>SZ-CT-SJ04</x:v>
      </x:c>
      <x:c r="K51" s="16" t="str">
        <x:f>'Evaluation Plan'!K51</x:f>
        <x:v>Direct</x:v>
      </x:c>
      <x:c r="L51" s="16" t="str">
        <x:f>'Evaluation Plan'!L51</x:f>
        <x:v>Same-scene direct target control</x:v>
      </x:c>
      <x:c r="M51" s="16" t="str">
        <x:f>'Evaluation Plan'!M51</x:f>
        <x:v>juggling ball</x:v>
      </x:c>
      <x:c r="N51" s="16" t="str">
        <x:f>'Evaluation Plan'!N51</x:f>
        <x:v>Left</x:v>
      </x:c>
      <x:c r="O51" s="16" t="n">
        <x:f>'Evaluation Plan'!O51</x:f>
        <x:v>2</x:v>
      </x:c>
      <x:c r="P51" s="16" t="n">
        <x:f>IF(ISBLANK('Evaluation Plan'!P51),"",'Evaluation Plan'!P51)</x:f>
        <x:v>12</x:v>
      </x:c>
      <x:c r="Q51" s="16" t="str">
        <x:f>'Evaluation Plan'!Q51</x:f>
        <x:v>Reset the target to its original pose; change only the prompt.</x:v>
      </x:c>
      <x:c r="R51" s="6" t="str">
        <x:f>'Evaluation Plan'!R51</x:f>
        <x:v>Exact-scene control using a direct prompt supported by training episode 1103.</x:v>
      </x:c>
      <x:c r="S51" s="6" t="str">
        <x:f>IF(ISBLANK('Evaluation Plan'!S51),"",'Evaluation Plan'!S51)</x:f>
      </x:c>
    </x:row>
    <x:row r="52" ht="67.5" customHeight="1">
      <x:c r="A52" s="33" t="s">
        <x:v>591</x:v>
      </x:c>
      <x:c r="B52" s="16" t="n">
        <x:f>'Evaluation Plan'!B52</x:f>
        <x:v>50</x:v>
      </x:c>
      <x:c r="C52" s="6" t="str">
        <x:f>'Evaluation Plan'!C52</x:f>
        <x:v>Find the least-sized item and move it to the bowl.</x:v>
      </x:c>
      <x:c r="D52" s="6" t="str">
        <x:f>'Evaluation Plan'!D52</x:f>
        <x:v>Bowl: empty. Table, robot-left→robot-right: P1 juggling ball; P2 crushed Pepsi can. Adjacent centers 12 cm apart; row centered on the workspace; all objects fully visible and grasp paths clear.</x:v>
      </x:c>
      <x:c r="E52" s="16" t="n">
        <x:f>IF(ISBLANK('Evaluation Plan'!E52),"",'Evaluation Plan'!E52)</x:f>
        <x:v>48</x:v>
      </x:c>
      <x:c r="F52" s="16" t="str">
        <x:f>'Evaluation Plan'!F52</x:f>
        <x:v>1108</x:v>
      </x:c>
      <x:c r="G52" s="16" t="str">
        <x:f>'Evaluation Plan'!G52</x:f>
        <x:v>MOVE juggling ball to bowl</x:v>
      </x:c>
      <x:c r="H52" s="6"/>
      <x:c r="I52" s="16" t="str">
        <x:f>'Evaluation Plan'!I52</x:f>
        <x:v>Language robustness</x:v>
      </x:c>
      <x:c r="J52" s="16" t="str">
        <x:f>'Evaluation Plan'!J52</x:f>
        <x:v>SZ-CT-SJ04</x:v>
      </x:c>
      <x:c r="K52" s="16" t="str">
        <x:f>'Evaluation Plan'!K52</x:f>
        <x:v>smallest</x:v>
      </x:c>
      <x:c r="L52" s="16" t="str">
        <x:f>'Evaluation Plan'!L52</x:f>
        <x:v>Primary compositional-transfer prompt paraphrase</x:v>
      </x:c>
      <x:c r="M52" s="16" t="str">
        <x:f>'Evaluation Plan'!M52</x:f>
        <x:v>juggling ball</x:v>
      </x:c>
      <x:c r="N52" s="16" t="str">
        <x:f>'Evaluation Plan'!N52</x:f>
        <x:v>Left</x:v>
      </x:c>
      <x:c r="O52" s="16" t="n">
        <x:f>'Evaluation Plan'!O52</x:f>
        <x:v>2</x:v>
      </x:c>
      <x:c r="P52" s="16" t="n">
        <x:f>IF(ISBLANK('Evaluation Plan'!P52),"",'Evaluation Plan'!P52)</x:f>
        <x:v>12</x:v>
      </x:c>
      <x:c r="Q52" s="16" t="str">
        <x:f>'Evaluation Plan'!Q52</x:f>
        <x:v>Reset the target; preserve the exact scene and paraphrase only the transfer prompt.</x:v>
      </x:c>
      <x:c r="R52" s="6" t="str">
        <x:f>'Evaluation Plan'!R52</x:f>
        <x:v>Exact-scene paraphrase of the primary transfer instruction.</x:v>
      </x:c>
      <x:c r="S52" s="6" t="str">
        <x:f>IF(ISBLANK('Evaluation Plan'!S52),"",'Evaluation Plan'!S52)</x:f>
      </x:c>
    </x:row>
    <x:row r="53" ht="67.5" customHeight="1">
      <x:c r="A53" s="33" t="s">
        <x:v>591</x:v>
      </x:c>
      <x:c r="B53" s="16" t="n">
        <x:f>'Evaluation Plan'!B53</x:f>
        <x:v>51</x:v>
      </x:c>
      <x:c r="C53" s="6" t="str">
        <x:f>'Evaluation Plan'!C53</x:f>
        <x:v>Place the table's juggling ball inside the bowl.</x:v>
      </x:c>
      <x:c r="D53" s="6" t="str">
        <x:f>'Evaluation Plan'!D53</x:f>
        <x:v>Bowl: empty. Table, robot-left→robot-right: P1 juggling ball; P2 crushed Pepsi can. Adjacent centers 12 cm apart; row centered on the workspace; all objects fully visible and grasp paths clear.</x:v>
      </x:c>
      <x:c r="E53" s="16" t="n">
        <x:f>IF(ISBLANK('Evaluation Plan'!E53),"",'Evaluation Plan'!E53)</x:f>
        <x:v>49</x:v>
      </x:c>
      <x:c r="F53" s="16" t="str">
        <x:f>'Evaluation Plan'!F53</x:f>
        <x:v>1103</x:v>
      </x:c>
      <x:c r="G53" s="16" t="str">
        <x:f>'Evaluation Plan'!G53</x:f>
        <x:v>MOVE juggling ball to bowl</x:v>
      </x:c>
      <x:c r="H53" s="6"/>
      <x:c r="I53" s="16" t="str">
        <x:f>'Evaluation Plan'!I53</x:f>
        <x:v>Language robustness</x:v>
      </x:c>
      <x:c r="J53" s="16" t="str">
        <x:f>'Evaluation Plan'!J53</x:f>
        <x:v>SZ-CT-SJ04</x:v>
      </x:c>
      <x:c r="K53" s="16" t="str">
        <x:f>'Evaluation Plan'!K53</x:f>
        <x:v>Direct</x:v>
      </x:c>
      <x:c r="L53" s="16" t="str">
        <x:f>'Evaluation Plan'!L53</x:f>
        <x:v>Matched-control direct prompt paraphrase</x:v>
      </x:c>
      <x:c r="M53" s="16" t="str">
        <x:f>'Evaluation Plan'!M53</x:f>
        <x:v>juggling ball</x:v>
      </x:c>
      <x:c r="N53" s="16" t="str">
        <x:f>'Evaluation Plan'!N53</x:f>
        <x:v>Left</x:v>
      </x:c>
      <x:c r="O53" s="16" t="n">
        <x:f>'Evaluation Plan'!O53</x:f>
        <x:v>2</x:v>
      </x:c>
      <x:c r="P53" s="16" t="n">
        <x:f>IF(ISBLANK('Evaluation Plan'!P53),"",'Evaluation Plan'!P53)</x:f>
        <x:v>12</x:v>
      </x:c>
      <x:c r="Q53" s="16" t="str">
        <x:f>'Evaluation Plan'!Q53</x:f>
        <x:v>Reset the target; preserve the exact scene and paraphrase only the matched-control prompt.</x:v>
      </x:c>
      <x:c r="R53" s="6" t="str">
        <x:f>'Evaluation Plan'!R53</x:f>
        <x:v>Exact-scene paraphrase of the direct manipulation control.</x:v>
      </x:c>
      <x:c r="S53" s="6" t="str">
        <x:f>IF(ISBLANK('Evaluation Plan'!S53),"",'Evaluation Plan'!S53)</x:f>
      </x:c>
    </x:row>
    <x:row r="54" ht="67.5" customHeight="1">
      <x:c r="A54" s="22" t="s">
        <x:v>591</x:v>
      </x:c>
      <x:c r="B54" s="8" t="n">
        <x:f>'Evaluation Plan'!B54</x:f>
        <x:v>52</x:v>
      </x:c>
      <x:c r="C54" s="9" t="str">
        <x:f>'Evaluation Plan'!C54</x:f>
        <x:v>Pick up the largest item and place it in the bowl.</x:v>
      </x:c>
      <x:c r="D54" s="9" t="str">
        <x:f>'Evaluation Plan'!D54</x:f>
        <x:v>Bowl: empty. Table, robot-left→robot-right: P1 green block; P2 red pencil sharpener. Adjacent centers 12 cm apart; row shifted 4 cm away from the robot; all objects fully visible and grasp paths clear.</x:v>
      </x:c>
      <x:c r="E54" s="8" t="str">
        <x:f>IF(ISBLANK('Evaluation Plan'!E54),"",'Evaluation Plan'!E54)</x:f>
      </x:c>
      <x:c r="F54" s="8" t="str">
        <x:f>'Evaluation Plan'!F54</x:f>
        <x:v>1084</x:v>
      </x:c>
      <x:c r="G54" s="8" t="str">
        <x:f>'Evaluation Plan'!G54</x:f>
        <x:v>MOVE green block to bowl</x:v>
      </x:c>
      <x:c r="H54" s="9"/>
      <x:c r="I54" s="8" t="str">
        <x:f>'Evaluation Plan'!I54</x:f>
        <x:v>Concept/compositional transfer</x:v>
      </x:c>
      <x:c r="J54" s="8" t="str">
        <x:f>'Evaluation Plan'!J54</x:f>
        <x:v>SZ-CT-LG05</x:v>
      </x:c>
      <x:c r="K54" s="8" t="str">
        <x:f>'Evaluation Plan'!K54</x:f>
        <x:v>largest</x:v>
      </x:c>
      <x:c r="L54" s="8" t="str">
        <x:f>'Evaluation Plan'!L54</x:f>
        <x:v>Held-out largest × green block — Pick up</x:v>
      </x:c>
      <x:c r="M54" s="8" t="str">
        <x:f>'Evaluation Plan'!M54</x:f>
        <x:v>green block</x:v>
      </x:c>
      <x:c r="N54" s="8" t="str">
        <x:f>'Evaluation Plan'!N54</x:f>
        <x:v>Left</x:v>
      </x:c>
      <x:c r="O54" s="8" t="n">
        <x:f>'Evaluation Plan'!O54</x:f>
        <x:v>2</x:v>
      </x:c>
      <x:c r="P54" s="8" t="n">
        <x:f>IF(ISBLANK('Evaluation Plan'!P54),"",'Evaluation Plan'!P54)</x:f>
        <x:v>12</x:v>
      </x:c>
      <x:c r="Q54" s="8" t="str">
        <x:f>'Evaluation Plan'!Q54</x:f>
        <x:v>Build the listed two-object scene and save a first-frame filename.</x:v>
      </x:c>
      <x:c r="R54" s="9" t="str">
        <x:f>'Evaluation Plan'!R54</x:f>
        <x:v>Primary missing cell. Training episode 1084 contains the same target trajectory but masks the size word with a direct identity prompt.</x:v>
      </x:c>
      <x:c r="S54" s="9" t="str">
        <x:f>IF(ISBLANK('Evaluation Plan'!S54),"",'Evaluation Plan'!S54)</x:f>
      </x:c>
    </x:row>
    <x:row r="55" ht="67.5" customHeight="1">
      <x:c r="A55" s="33" t="s">
        <x:v>591</x:v>
      </x:c>
      <x:c r="B55" s="16" t="n">
        <x:f>'Evaluation Plan'!B55</x:f>
        <x:v>53</x:v>
      </x:c>
      <x:c r="C55" s="6" t="str">
        <x:f>'Evaluation Plan'!C55</x:f>
        <x:v>Move the green block into the bowl.</x:v>
      </x:c>
      <x:c r="D55" s="6" t="str">
        <x:f>'Evaluation Plan'!D55</x:f>
        <x:v>Bowl: empty. Table, robot-left→robot-right: P1 green block; P2 red pencil sharpener. Adjacent centers 12 cm apart; row shifted 4 cm away from the robot; all objects fully visible and grasp paths clear.</x:v>
      </x:c>
      <x:c r="E55" s="16" t="n">
        <x:f>IF(ISBLANK('Evaluation Plan'!E55),"",'Evaluation Plan'!E55)</x:f>
        <x:v>52</x:v>
      </x:c>
      <x:c r="F55" s="16" t="str">
        <x:f>'Evaluation Plan'!F55</x:f>
        <x:v>1079</x:v>
      </x:c>
      <x:c r="G55" s="16" t="str">
        <x:f>'Evaluation Plan'!G55</x:f>
        <x:v>MOVE green block to bowl</x:v>
      </x:c>
      <x:c r="H55" s="6"/>
      <x:c r="I55" s="16" t="str">
        <x:f>'Evaluation Plan'!I55</x:f>
        <x:v>Matched manipulation control</x:v>
      </x:c>
      <x:c r="J55" s="16" t="str">
        <x:f>'Evaluation Plan'!J55</x:f>
        <x:v>SZ-CT-LG05</x:v>
      </x:c>
      <x:c r="K55" s="16" t="str">
        <x:f>'Evaluation Plan'!K55</x:f>
        <x:v>Direct</x:v>
      </x:c>
      <x:c r="L55" s="16" t="str">
        <x:f>'Evaluation Plan'!L55</x:f>
        <x:v>Same-scene direct target control</x:v>
      </x:c>
      <x:c r="M55" s="16" t="str">
        <x:f>'Evaluation Plan'!M55</x:f>
        <x:v>green block</x:v>
      </x:c>
      <x:c r="N55" s="16" t="str">
        <x:f>'Evaluation Plan'!N55</x:f>
        <x:v>Left</x:v>
      </x:c>
      <x:c r="O55" s="16" t="n">
        <x:f>'Evaluation Plan'!O55</x:f>
        <x:v>2</x:v>
      </x:c>
      <x:c r="P55" s="16" t="n">
        <x:f>IF(ISBLANK('Evaluation Plan'!P55),"",'Evaluation Plan'!P55)</x:f>
        <x:v>12</x:v>
      </x:c>
      <x:c r="Q55" s="16" t="str">
        <x:f>'Evaluation Plan'!Q55</x:f>
        <x:v>Reset the target to its original pose; change only the prompt.</x:v>
      </x:c>
      <x:c r="R55" s="6" t="str">
        <x:f>'Evaluation Plan'!R55</x:f>
        <x:v>Exact-scene control using a direct prompt supported by training episode 1079.</x:v>
      </x:c>
      <x:c r="S55" s="6" t="str">
        <x:f>IF(ISBLANK('Evaluation Plan'!S55),"",'Evaluation Plan'!S55)</x:f>
      </x:c>
    </x:row>
    <x:row r="56" ht="67.5" customHeight="1">
      <x:c r="A56" s="33" t="s">
        <x:v>591</x:v>
      </x:c>
      <x:c r="B56" s="16" t="n">
        <x:f>'Evaluation Plan'!B56</x:f>
        <x:v>54</x:v>
      </x:c>
      <x:c r="C56" s="6" t="str">
        <x:f>'Evaluation Plan'!C56</x:f>
        <x:v>Move whichever item is larger into the bowl.</x:v>
      </x:c>
      <x:c r="D56" s="6" t="str">
        <x:f>'Evaluation Plan'!D56</x:f>
        <x:v>Bowl: empty. Table, robot-left→robot-right: P1 green block; P2 red pencil sharpener. Adjacent centers 12 cm apart; row shifted 4 cm away from the robot; all objects fully visible and grasp paths clear.</x:v>
      </x:c>
      <x:c r="E56" s="16" t="n">
        <x:f>IF(ISBLANK('Evaluation Plan'!E56),"",'Evaluation Plan'!E56)</x:f>
        <x:v>52</x:v>
      </x:c>
      <x:c r="F56" s="16" t="str">
        <x:f>'Evaluation Plan'!F56</x:f>
        <x:v>1084</x:v>
      </x:c>
      <x:c r="G56" s="16" t="str">
        <x:f>'Evaluation Plan'!G56</x:f>
        <x:v>MOVE green block to bowl</x:v>
      </x:c>
      <x:c r="H56" s="6"/>
      <x:c r="I56" s="16" t="str">
        <x:f>'Evaluation Plan'!I56</x:f>
        <x:v>Language robustness</x:v>
      </x:c>
      <x:c r="J56" s="16" t="str">
        <x:f>'Evaluation Plan'!J56</x:f>
        <x:v>SZ-CT-LG05</x:v>
      </x:c>
      <x:c r="K56" s="16" t="str">
        <x:f>'Evaluation Plan'!K56</x:f>
        <x:v>largest</x:v>
      </x:c>
      <x:c r="L56" s="16" t="str">
        <x:f>'Evaluation Plan'!L56</x:f>
        <x:v>Primary compositional-transfer prompt paraphrase</x:v>
      </x:c>
      <x:c r="M56" s="16" t="str">
        <x:f>'Evaluation Plan'!M56</x:f>
        <x:v>green block</x:v>
      </x:c>
      <x:c r="N56" s="16" t="str">
        <x:f>'Evaluation Plan'!N56</x:f>
        <x:v>Left</x:v>
      </x:c>
      <x:c r="O56" s="16" t="n">
        <x:f>'Evaluation Plan'!O56</x:f>
        <x:v>2</x:v>
      </x:c>
      <x:c r="P56" s="16" t="n">
        <x:f>IF(ISBLANK('Evaluation Plan'!P56),"",'Evaluation Plan'!P56)</x:f>
        <x:v>12</x:v>
      </x:c>
      <x:c r="Q56" s="16" t="str">
        <x:f>'Evaluation Plan'!Q56</x:f>
        <x:v>Reset the target; preserve the exact scene and paraphrase only the transfer prompt.</x:v>
      </x:c>
      <x:c r="R56" s="6" t="str">
        <x:f>'Evaluation Plan'!R56</x:f>
        <x:v>Exact-scene paraphrase of the primary transfer instruction.</x:v>
      </x:c>
      <x:c r="S56" s="6" t="str">
        <x:f>IF(ISBLANK('Evaluation Plan'!S56),"",'Evaluation Plan'!S56)</x:f>
      </x:c>
    </x:row>
    <x:row r="57" ht="67.5" customHeight="1">
      <x:c r="A57" s="33" t="s">
        <x:v>591</x:v>
      </x:c>
      <x:c r="B57" s="16" t="n">
        <x:f>'Evaluation Plan'!B57</x:f>
        <x:v>55</x:v>
      </x:c>
      <x:c r="C57" s="6" t="str">
        <x:f>'Evaluation Plan'!C57</x:f>
        <x:v>Take the green block from the table and put it in the bowl.</x:v>
      </x:c>
      <x:c r="D57" s="6" t="str">
        <x:f>'Evaluation Plan'!D57</x:f>
        <x:v>Bowl: empty. Table, robot-left→robot-right: P1 green block; P2 red pencil sharpener. Adjacent centers 12 cm apart; row shifted 4 cm away from the robot; all objects fully visible and grasp paths clear.</x:v>
      </x:c>
      <x:c r="E57" s="16" t="n">
        <x:f>IF(ISBLANK('Evaluation Plan'!E57),"",'Evaluation Plan'!E57)</x:f>
        <x:v>53</x:v>
      </x:c>
      <x:c r="F57" s="16" t="str">
        <x:f>'Evaluation Plan'!F57</x:f>
        <x:v>1079</x:v>
      </x:c>
      <x:c r="G57" s="16" t="str">
        <x:f>'Evaluation Plan'!G57</x:f>
        <x:v>MOVE green block to bowl</x:v>
      </x:c>
      <x:c r="H57" s="6"/>
      <x:c r="I57" s="16" t="str">
        <x:f>'Evaluation Plan'!I57</x:f>
        <x:v>Language robustness</x:v>
      </x:c>
      <x:c r="J57" s="16" t="str">
        <x:f>'Evaluation Plan'!J57</x:f>
        <x:v>SZ-CT-LG05</x:v>
      </x:c>
      <x:c r="K57" s="16" t="str">
        <x:f>'Evaluation Plan'!K57</x:f>
        <x:v>Direct</x:v>
      </x:c>
      <x:c r="L57" s="16" t="str">
        <x:f>'Evaluation Plan'!L57</x:f>
        <x:v>Matched-control direct prompt paraphrase</x:v>
      </x:c>
      <x:c r="M57" s="16" t="str">
        <x:f>'Evaluation Plan'!M57</x:f>
        <x:v>green block</x:v>
      </x:c>
      <x:c r="N57" s="16" t="str">
        <x:f>'Evaluation Plan'!N57</x:f>
        <x:v>Left</x:v>
      </x:c>
      <x:c r="O57" s="16" t="n">
        <x:f>'Evaluation Plan'!O57</x:f>
        <x:v>2</x:v>
      </x:c>
      <x:c r="P57" s="16" t="n">
        <x:f>IF(ISBLANK('Evaluation Plan'!P57),"",'Evaluation Plan'!P57)</x:f>
        <x:v>12</x:v>
      </x:c>
      <x:c r="Q57" s="16" t="str">
        <x:f>'Evaluation Plan'!Q57</x:f>
        <x:v>Reset the target; preserve the exact scene and paraphrase only the matched-control prompt.</x:v>
      </x:c>
      <x:c r="R57" s="6" t="str">
        <x:f>'Evaluation Plan'!R57</x:f>
        <x:v>Exact-scene paraphrase of the direct manipulation control.</x:v>
      </x:c>
      <x:c r="S57" s="6" t="str">
        <x:f>IF(ISBLANK('Evaluation Plan'!S57),"",'Evaluation Plan'!S57)</x:f>
      </x:c>
    </x:row>
    <x:row r="58" ht="67.5" customHeight="1">
      <x:c r="A58" s="22" t="s">
        <x:v>591</x:v>
      </x:c>
      <x:c r="B58" s="8" t="n">
        <x:f>'Evaluation Plan'!B58</x:f>
        <x:v>56</x:v>
      </x:c>
      <x:c r="C58" s="9" t="str">
        <x:f>'Evaluation Plan'!C58</x:f>
        <x:v>Put the smallest object in the bowl.</x:v>
      </x:c>
      <x:c r="D58" s="9" t="str">
        <x:f>'Evaluation Plan'!D58</x:f>
        <x:v>Bowl: empty. Table, robot-left→robot-right: P1 crushed Pepsi can; P2 juggling ball. Adjacent centers 16 cm apart; row shifted 4 cm toward robot-left; all objects fully visible and grasp paths clear.</x:v>
      </x:c>
      <x:c r="E58" s="8" t="str">
        <x:f>IF(ISBLANK('Evaluation Plan'!E58),"",'Evaluation Plan'!E58)</x:f>
      </x:c>
      <x:c r="F58" s="8" t="str">
        <x:f>'Evaluation Plan'!F58</x:f>
        <x:v>1109</x:v>
      </x:c>
      <x:c r="G58" s="8" t="str">
        <x:f>'Evaluation Plan'!G58</x:f>
        <x:v>MOVE juggling ball to bowl</x:v>
      </x:c>
      <x:c r="H58" s="9"/>
      <x:c r="I58" s="8" t="str">
        <x:f>'Evaluation Plan'!I58</x:f>
        <x:v>Concept/compositional transfer</x:v>
      </x:c>
      <x:c r="J58" s="8" t="str">
        <x:f>'Evaluation Plan'!J58</x:f>
        <x:v>SZ-CT-SJ05</x:v>
      </x:c>
      <x:c r="K58" s="8" t="str">
        <x:f>'Evaluation Plan'!K58</x:f>
        <x:v>smallest</x:v>
      </x:c>
      <x:c r="L58" s="8" t="str">
        <x:f>'Evaluation Plan'!L58</x:f>
        <x:v>Held-out smallest × juggling ball — Put</x:v>
      </x:c>
      <x:c r="M58" s="8" t="str">
        <x:f>'Evaluation Plan'!M58</x:f>
        <x:v>juggling ball</x:v>
      </x:c>
      <x:c r="N58" s="8" t="str">
        <x:f>'Evaluation Plan'!N58</x:f>
        <x:v>Right</x:v>
      </x:c>
      <x:c r="O58" s="8" t="n">
        <x:f>'Evaluation Plan'!O58</x:f>
        <x:v>2</x:v>
      </x:c>
      <x:c r="P58" s="8" t="n">
        <x:f>IF(ISBLANK('Evaluation Plan'!P58),"",'Evaluation Plan'!P58)</x:f>
        <x:v>16</x:v>
      </x:c>
      <x:c r="Q58" s="8" t="str">
        <x:f>'Evaluation Plan'!Q58</x:f>
        <x:v>Build the listed two-object scene and save a first-frame filename.</x:v>
      </x:c>
      <x:c r="R58" s="9" t="str">
        <x:f>'Evaluation Plan'!R58</x:f>
        <x:v>Primary missing cell. Training episode 1109 contains the same target trajectory but masks the size word with a direct identity prompt.</x:v>
      </x:c>
      <x:c r="S58" s="9" t="str">
        <x:f>IF(ISBLANK('Evaluation Plan'!S58),"",'Evaluation Plan'!S58)</x:f>
      </x:c>
    </x:row>
    <x:row r="59" ht="67.5" customHeight="1">
      <x:c r="A59" s="33" t="s">
        <x:v>591</x:v>
      </x:c>
      <x:c r="B59" s="16" t="n">
        <x:f>'Evaluation Plan'!B59</x:f>
        <x:v>57</x:v>
      </x:c>
      <x:c r="C59" s="6" t="str">
        <x:f>'Evaluation Plan'!C59</x:f>
        <x:v>Move the juggling ball into the bowl.</x:v>
      </x:c>
      <x:c r="D59" s="6" t="str">
        <x:f>'Evaluation Plan'!D59</x:f>
        <x:v>Bowl: empty. Table, robot-left→robot-right: P1 crushed Pepsi can; P2 juggling ball. Adjacent centers 16 cm apart; row shifted 4 cm toward robot-left; all objects fully visible and grasp paths clear.</x:v>
      </x:c>
      <x:c r="E59" s="16" t="n">
        <x:f>IF(ISBLANK('Evaluation Plan'!E59),"",'Evaluation Plan'!E59)</x:f>
        <x:v>56</x:v>
      </x:c>
      <x:c r="F59" s="16" t="str">
        <x:f>'Evaluation Plan'!F59</x:f>
        <x:v>1104</x:v>
      </x:c>
      <x:c r="G59" s="16" t="str">
        <x:f>'Evaluation Plan'!G59</x:f>
        <x:v>MOVE juggling ball to bowl</x:v>
      </x:c>
      <x:c r="H59" s="6"/>
      <x:c r="I59" s="16" t="str">
        <x:f>'Evaluation Plan'!I59</x:f>
        <x:v>Matched manipulation control</x:v>
      </x:c>
      <x:c r="J59" s="16" t="str">
        <x:f>'Evaluation Plan'!J59</x:f>
        <x:v>SZ-CT-SJ05</x:v>
      </x:c>
      <x:c r="K59" s="16" t="str">
        <x:f>'Evaluation Plan'!K59</x:f>
        <x:v>Direct</x:v>
      </x:c>
      <x:c r="L59" s="16" t="str">
        <x:f>'Evaluation Plan'!L59</x:f>
        <x:v>Same-scene direct target control</x:v>
      </x:c>
      <x:c r="M59" s="16" t="str">
        <x:f>'Evaluation Plan'!M59</x:f>
        <x:v>juggling ball</x:v>
      </x:c>
      <x:c r="N59" s="16" t="str">
        <x:f>'Evaluation Plan'!N59</x:f>
        <x:v>Right</x:v>
      </x:c>
      <x:c r="O59" s="16" t="n">
        <x:f>'Evaluation Plan'!O59</x:f>
        <x:v>2</x:v>
      </x:c>
      <x:c r="P59" s="16" t="n">
        <x:f>IF(ISBLANK('Evaluation Plan'!P59),"",'Evaluation Plan'!P59)</x:f>
        <x:v>16</x:v>
      </x:c>
      <x:c r="Q59" s="16" t="str">
        <x:f>'Evaluation Plan'!Q59</x:f>
        <x:v>Reset the target to its original pose; change only the prompt.</x:v>
      </x:c>
      <x:c r="R59" s="6" t="str">
        <x:f>'Evaluation Plan'!R59</x:f>
        <x:v>Exact-scene control using a direct prompt supported by training episode 1104.</x:v>
      </x:c>
      <x:c r="S59" s="6" t="str">
        <x:f>IF(ISBLANK('Evaluation Plan'!S59),"",'Evaluation Plan'!S59)</x:f>
      </x:c>
    </x:row>
    <x:row r="60" ht="67.5" customHeight="1">
      <x:c r="A60" s="33" t="s">
        <x:v>591</x:v>
      </x:c>
      <x:c r="B60" s="16" t="n">
        <x:f>'Evaluation Plan'!B60</x:f>
        <x:v>58</x:v>
      </x:c>
      <x:c r="C60" s="6" t="str">
        <x:f>'Evaluation Plan'!C60</x:f>
        <x:v>Move whichever item is smaller into the bowl.</x:v>
      </x:c>
      <x:c r="D60" s="6" t="str">
        <x:f>'Evaluation Plan'!D60</x:f>
        <x:v>Bowl: empty. Table, robot-left→robot-right: P1 crushed Pepsi can; P2 juggling ball. Adjacent centers 16 cm apart; row shifted 4 cm toward robot-left; all objects fully visible and grasp paths clear.</x:v>
      </x:c>
      <x:c r="E60" s="16" t="n">
        <x:f>IF(ISBLANK('Evaluation Plan'!E60),"",'Evaluation Plan'!E60)</x:f>
        <x:v>56</x:v>
      </x:c>
      <x:c r="F60" s="16" t="str">
        <x:f>'Evaluation Plan'!F60</x:f>
        <x:v>1109</x:v>
      </x:c>
      <x:c r="G60" s="16" t="str">
        <x:f>'Evaluation Plan'!G60</x:f>
        <x:v>MOVE juggling ball to bowl</x:v>
      </x:c>
      <x:c r="H60" s="6"/>
      <x:c r="I60" s="16" t="str">
        <x:f>'Evaluation Plan'!I60</x:f>
        <x:v>Language robustness</x:v>
      </x:c>
      <x:c r="J60" s="16" t="str">
        <x:f>'Evaluation Plan'!J60</x:f>
        <x:v>SZ-CT-SJ05</x:v>
      </x:c>
      <x:c r="K60" s="16" t="str">
        <x:f>'Evaluation Plan'!K60</x:f>
        <x:v>smallest</x:v>
      </x:c>
      <x:c r="L60" s="16" t="str">
        <x:f>'Evaluation Plan'!L60</x:f>
        <x:v>Primary compositional-transfer prompt paraphrase</x:v>
      </x:c>
      <x:c r="M60" s="16" t="str">
        <x:f>'Evaluation Plan'!M60</x:f>
        <x:v>juggling ball</x:v>
      </x:c>
      <x:c r="N60" s="16" t="str">
        <x:f>'Evaluation Plan'!N60</x:f>
        <x:v>Right</x:v>
      </x:c>
      <x:c r="O60" s="16" t="n">
        <x:f>'Evaluation Plan'!O60</x:f>
        <x:v>2</x:v>
      </x:c>
      <x:c r="P60" s="16" t="n">
        <x:f>IF(ISBLANK('Evaluation Plan'!P60),"",'Evaluation Plan'!P60)</x:f>
        <x:v>16</x:v>
      </x:c>
      <x:c r="Q60" s="16" t="str">
        <x:f>'Evaluation Plan'!Q60</x:f>
        <x:v>Reset the target; preserve the exact scene and paraphrase only the transfer prompt.</x:v>
      </x:c>
      <x:c r="R60" s="6" t="str">
        <x:f>'Evaluation Plan'!R60</x:f>
        <x:v>Exact-scene paraphrase of the primary transfer instruction.</x:v>
      </x:c>
      <x:c r="S60" s="6" t="str">
        <x:f>IF(ISBLANK('Evaluation Plan'!S60),"",'Evaluation Plan'!S60)</x:f>
      </x:c>
    </x:row>
    <x:row r="61" ht="67.5" customHeight="1">
      <x:c r="A61" s="33" t="s">
        <x:v>591</x:v>
      </x:c>
      <x:c r="B61" s="16" t="n">
        <x:f>'Evaluation Plan'!B61</x:f>
        <x:v>59</x:v>
      </x:c>
      <x:c r="C61" s="6" t="str">
        <x:f>'Evaluation Plan'!C61</x:f>
        <x:v>Take the juggling ball from the table and put it in the bowl.</x:v>
      </x:c>
      <x:c r="D61" s="6" t="str">
        <x:f>'Evaluation Plan'!D61</x:f>
        <x:v>Bowl: empty. Table, robot-left→robot-right: P1 crushed Pepsi can; P2 juggling ball. Adjacent centers 16 cm apart; row shifted 4 cm toward robot-left; all objects fully visible and grasp paths clear.</x:v>
      </x:c>
      <x:c r="E61" s="16" t="n">
        <x:f>IF(ISBLANK('Evaluation Plan'!E61),"",'Evaluation Plan'!E61)</x:f>
        <x:v>57</x:v>
      </x:c>
      <x:c r="F61" s="16" t="str">
        <x:f>'Evaluation Plan'!F61</x:f>
        <x:v>1104</x:v>
      </x:c>
      <x:c r="G61" s="16" t="str">
        <x:f>'Evaluation Plan'!G61</x:f>
        <x:v>MOVE juggling ball to bowl</x:v>
      </x:c>
      <x:c r="H61" s="6"/>
      <x:c r="I61" s="16" t="str">
        <x:f>'Evaluation Plan'!I61</x:f>
        <x:v>Language robustness</x:v>
      </x:c>
      <x:c r="J61" s="16" t="str">
        <x:f>'Evaluation Plan'!J61</x:f>
        <x:v>SZ-CT-SJ05</x:v>
      </x:c>
      <x:c r="K61" s="16" t="str">
        <x:f>'Evaluation Plan'!K61</x:f>
        <x:v>Direct</x:v>
      </x:c>
      <x:c r="L61" s="16" t="str">
        <x:f>'Evaluation Plan'!L61</x:f>
        <x:v>Matched-control direct prompt paraphrase</x:v>
      </x:c>
      <x:c r="M61" s="16" t="str">
        <x:f>'Evaluation Plan'!M61</x:f>
        <x:v>juggling ball</x:v>
      </x:c>
      <x:c r="N61" s="16" t="str">
        <x:f>'Evaluation Plan'!N61</x:f>
        <x:v>Right</x:v>
      </x:c>
      <x:c r="O61" s="16" t="n">
        <x:f>'Evaluation Plan'!O61</x:f>
        <x:v>2</x:v>
      </x:c>
      <x:c r="P61" s="16" t="n">
        <x:f>IF(ISBLANK('Evaluation Plan'!P61),"",'Evaluation Plan'!P61)</x:f>
        <x:v>16</x:v>
      </x:c>
      <x:c r="Q61" s="16" t="str">
        <x:f>'Evaluation Plan'!Q61</x:f>
        <x:v>Reset the target; preserve the exact scene and paraphrase only the matched-control prompt.</x:v>
      </x:c>
      <x:c r="R61" s="6" t="str">
        <x:f>'Evaluation Plan'!R61</x:f>
        <x:v>Exact-scene paraphrase of the direct manipulation control.</x:v>
      </x:c>
      <x:c r="S61" s="6" t="str">
        <x:f>IF(ISBLANK('Evaluation Plan'!S61),"",'Evaluation Plan'!S61)</x:f>
      </x:c>
    </x:row>
    <x:row r="62" ht="67.5" customHeight="1">
      <x:c r="A62" s="22" t="s">
        <x:v>693</x:v>
      </x:c>
      <x:c r="B62" s="8" t="n">
        <x:f>'Evaluation Plan'!B62</x:f>
        <x:v>60</x:v>
      </x:c>
      <x:c r="C62" s="9" t="str">
        <x:f>'Evaluation Plan'!C62</x:f>
        <x:v>Put the largest object in the bowl.</x:v>
      </x:c>
      <x:c r="D62" s="9" t="str">
        <x:f>'Evaluation Plan'!D62</x:f>
        <x:v>Bowl: empty. Table, robot-left→robot-right: P1 red pencil sharpener; P2 green block. Adjacent centers 16 cm apart; row centered on the workspace; all objects fully visible and grasp paths clear.</x:v>
      </x:c>
      <x:c r="E62" s="8" t="str">
        <x:f>IF(ISBLANK('Evaluation Plan'!E62),"",'Evaluation Plan'!E62)</x:f>
      </x:c>
      <x:c r="F62" s="8" t="str">
        <x:f>'Evaluation Plan'!F62</x:f>
        <x:v>1085</x:v>
      </x:c>
      <x:c r="G62" s="8" t="str">
        <x:f>'Evaluation Plan'!G62</x:f>
        <x:v>MOVE green block to bowl</x:v>
      </x:c>
      <x:c r="H62" s="23" t="s">
        <x:v>733</x:v>
      </x:c>
      <x:c r="I62" s="8" t="str">
        <x:f>'Evaluation Plan'!I62</x:f>
        <x:v>Concept/compositional transfer</x:v>
      </x:c>
      <x:c r="J62" s="8" t="str">
        <x:f>'Evaluation Plan'!J62</x:f>
        <x:v>SZ-CT-LG06</x:v>
      </x:c>
      <x:c r="K62" s="8" t="str">
        <x:f>'Evaluation Plan'!K62</x:f>
        <x:v>largest</x:v>
      </x:c>
      <x:c r="L62" s="8" t="str">
        <x:f>'Evaluation Plan'!L62</x:f>
        <x:v>Held-out largest × green block — Put</x:v>
      </x:c>
      <x:c r="M62" s="8" t="str">
        <x:f>'Evaluation Plan'!M62</x:f>
        <x:v>green block</x:v>
      </x:c>
      <x:c r="N62" s="8" t="str">
        <x:f>'Evaluation Plan'!N62</x:f>
        <x:v>Right</x:v>
      </x:c>
      <x:c r="O62" s="8" t="n">
        <x:f>'Evaluation Plan'!O62</x:f>
        <x:v>2</x:v>
      </x:c>
      <x:c r="P62" s="8" t="n">
        <x:f>IF(ISBLANK('Evaluation Plan'!P62),"",'Evaluation Plan'!P62)</x:f>
        <x:v>16</x:v>
      </x:c>
      <x:c r="Q62" s="8" t="str">
        <x:f>'Evaluation Plan'!Q62</x:f>
        <x:v>Build the listed two-object scene and save a first-frame filename.</x:v>
      </x:c>
      <x:c r="R62" s="9" t="str">
        <x:f>'Evaluation Plan'!R62</x:f>
        <x:v>Primary missing cell. Training episode 1085 contains the same target trajectory but masks the size word with a direct identity prompt.</x:v>
      </x:c>
      <x:c r="S62" s="9" t="str">
        <x:f>IF(ISBLANK('Evaluation Plan'!S62),"",'Evaluation Plan'!S62)</x:f>
      </x:c>
    </x:row>
    <x:row r="63" ht="67.5" customHeight="1">
      <x:c r="A63" s="33" t="s">
        <x:v>591</x:v>
      </x:c>
      <x:c r="B63" s="16" t="n">
        <x:f>'Evaluation Plan'!B63</x:f>
        <x:v>61</x:v>
      </x:c>
      <x:c r="C63" s="6" t="str">
        <x:f>'Evaluation Plan'!C63</x:f>
        <x:v>Pick up the green block and place it in the bowl.</x:v>
      </x:c>
      <x:c r="D63" s="6" t="str">
        <x:f>'Evaluation Plan'!D63</x:f>
        <x:v>Bowl: empty. Table, robot-left→robot-right: P1 red pencil sharpener; P2 green block. Adjacent centers 16 cm apart; row centered on the workspace; all objects fully visible and grasp paths clear.</x:v>
      </x:c>
      <x:c r="E63" s="16" t="n">
        <x:f>IF(ISBLANK('Evaluation Plan'!E63),"",'Evaluation Plan'!E63)</x:f>
        <x:v>60</x:v>
      </x:c>
      <x:c r="F63" s="16" t="str">
        <x:f>'Evaluation Plan'!F63</x:f>
        <x:v>1075</x:v>
      </x:c>
      <x:c r="G63" s="16" t="str">
        <x:f>'Evaluation Plan'!G63</x:f>
        <x:v>MOVE green block to bowl</x:v>
      </x:c>
      <x:c r="H63" s="6"/>
      <x:c r="I63" s="16" t="str">
        <x:f>'Evaluation Plan'!I63</x:f>
        <x:v>Matched manipulation control</x:v>
      </x:c>
      <x:c r="J63" s="16" t="str">
        <x:f>'Evaluation Plan'!J63</x:f>
        <x:v>SZ-CT-LG06</x:v>
      </x:c>
      <x:c r="K63" s="16" t="str">
        <x:f>'Evaluation Plan'!K63</x:f>
        <x:v>Direct</x:v>
      </x:c>
      <x:c r="L63" s="16" t="str">
        <x:f>'Evaluation Plan'!L63</x:f>
        <x:v>Same-scene direct target control</x:v>
      </x:c>
      <x:c r="M63" s="16" t="str">
        <x:f>'Evaluation Plan'!M63</x:f>
        <x:v>green block</x:v>
      </x:c>
      <x:c r="N63" s="16" t="str">
        <x:f>'Evaluation Plan'!N63</x:f>
        <x:v>Right</x:v>
      </x:c>
      <x:c r="O63" s="16" t="n">
        <x:f>'Evaluation Plan'!O63</x:f>
        <x:v>2</x:v>
      </x:c>
      <x:c r="P63" s="16" t="n">
        <x:f>IF(ISBLANK('Evaluation Plan'!P63),"",'Evaluation Plan'!P63)</x:f>
        <x:v>16</x:v>
      </x:c>
      <x:c r="Q63" s="16" t="str">
        <x:f>'Evaluation Plan'!Q63</x:f>
        <x:v>Reset the target to its original pose; change only the prompt.</x:v>
      </x:c>
      <x:c r="R63" s="6" t="str">
        <x:f>'Evaluation Plan'!R63</x:f>
        <x:v>Exact-scene control using a direct prompt supported by training episode 1075.</x:v>
      </x:c>
      <x:c r="S63" s="6" t="str">
        <x:f>IF(ISBLANK('Evaluation Plan'!S63),"",'Evaluation Plan'!S63)</x:f>
      </x:c>
    </x:row>
    <x:row r="64" ht="67.5" customHeight="1">
      <x:c r="A64" s="22" t="s">
        <x:v>591</x:v>
      </x:c>
      <x:c r="B64" s="8" t="n">
        <x:f>'Evaluation Plan'!B64</x:f>
        <x:v>62</x:v>
      </x:c>
      <x:c r="C64" s="9" t="str">
        <x:f>'Evaluation Plan'!C64</x:f>
        <x:v>Move the object that is smallest into the bowl.</x:v>
      </x:c>
      <x:c r="D64" s="9" t="str">
        <x:f>'Evaluation Plan'!D64</x:f>
        <x:v>Bowl: empty. Table, robot-left→robot-right: P1 juggling ball; P2 crushed Pepsi can. Adjacent centers 8 cm apart; row shifted 4 cm toward robot-right; all objects fully visible and grasp paths clear.</x:v>
      </x:c>
      <x:c r="E64" s="8" t="str">
        <x:f>IF(ISBLANK('Evaluation Plan'!E64),"",'Evaluation Plan'!E64)</x:f>
      </x:c>
      <x:c r="F64" s="8" t="str">
        <x:f>'Evaluation Plan'!F64</x:f>
        <x:v>1110</x:v>
      </x:c>
      <x:c r="G64" s="8" t="str">
        <x:f>'Evaluation Plan'!G64</x:f>
        <x:v>MOVE juggling ball to bowl</x:v>
      </x:c>
      <x:c r="H64" s="9"/>
      <x:c r="I64" s="8" t="str">
        <x:f>'Evaluation Plan'!I64</x:f>
        <x:v>Concept/compositional transfer</x:v>
      </x:c>
      <x:c r="J64" s="8" t="str">
        <x:f>'Evaluation Plan'!J64</x:f>
        <x:v>SZ-CT-SJ06</x:v>
      </x:c>
      <x:c r="K64" s="8" t="str">
        <x:f>'Evaluation Plan'!K64</x:f>
        <x:v>smallest</x:v>
      </x:c>
      <x:c r="L64" s="8" t="str">
        <x:f>'Evaluation Plan'!L64</x:f>
        <x:v>Held-out smallest × juggling ball — Move</x:v>
      </x:c>
      <x:c r="M64" s="8" t="str">
        <x:f>'Evaluation Plan'!M64</x:f>
        <x:v>juggling ball</x:v>
      </x:c>
      <x:c r="N64" s="8" t="str">
        <x:f>'Evaluation Plan'!N64</x:f>
        <x:v>Left</x:v>
      </x:c>
      <x:c r="O64" s="8" t="n">
        <x:f>'Evaluation Plan'!O64</x:f>
        <x:v>2</x:v>
      </x:c>
      <x:c r="P64" s="8" t="n">
        <x:f>IF(ISBLANK('Evaluation Plan'!P64),"",'Evaluation Plan'!P64)</x:f>
        <x:v>8</x:v>
      </x:c>
      <x:c r="Q64" s="8" t="str">
        <x:f>'Evaluation Plan'!Q64</x:f>
        <x:v>Build the listed two-object scene and save a first-frame filename.</x:v>
      </x:c>
      <x:c r="R64" s="9" t="str">
        <x:f>'Evaluation Plan'!R64</x:f>
        <x:v>Primary missing cell. Training episode 1110 contains the same target trajectory but masks the size word with a direct identity prompt.</x:v>
      </x:c>
      <x:c r="S64" s="9" t="str">
        <x:f>IF(ISBLANK('Evaluation Plan'!S64),"",'Evaluation Plan'!S64)</x:f>
      </x:c>
    </x:row>
    <x:row r="65" ht="67.5" customHeight="1">
      <x:c r="A65" s="33" t="s">
        <x:v>591</x:v>
      </x:c>
      <x:c r="B65" s="16" t="n">
        <x:f>'Evaluation Plan'!B65</x:f>
        <x:v>63</x:v>
      </x:c>
      <x:c r="C65" s="6" t="str">
        <x:f>'Evaluation Plan'!C65</x:f>
        <x:v>Pick up the juggling ball and place it in the bowl.</x:v>
      </x:c>
      <x:c r="D65" s="6" t="str">
        <x:f>'Evaluation Plan'!D65</x:f>
        <x:v>Bowl: empty. Table, robot-left→robot-right: P1 juggling ball; P2 crushed Pepsi can. Adjacent centers 8 cm apart; row shifted 4 cm toward robot-right; all objects fully visible and grasp paths clear.</x:v>
      </x:c>
      <x:c r="E65" s="16" t="n">
        <x:f>IF(ISBLANK('Evaluation Plan'!E65),"",'Evaluation Plan'!E65)</x:f>
        <x:v>62</x:v>
      </x:c>
      <x:c r="F65" s="16" t="str">
        <x:f>'Evaluation Plan'!F65</x:f>
        <x:v>1100</x:v>
      </x:c>
      <x:c r="G65" s="16" t="str">
        <x:f>'Evaluation Plan'!G65</x:f>
        <x:v>MOVE juggling ball to bowl</x:v>
      </x:c>
      <x:c r="H65" s="6"/>
      <x:c r="I65" s="16" t="str">
        <x:f>'Evaluation Plan'!I65</x:f>
        <x:v>Matched manipulation control</x:v>
      </x:c>
      <x:c r="J65" s="16" t="str">
        <x:f>'Evaluation Plan'!J65</x:f>
        <x:v>SZ-CT-SJ06</x:v>
      </x:c>
      <x:c r="K65" s="16" t="str">
        <x:f>'Evaluation Plan'!K65</x:f>
        <x:v>Direct</x:v>
      </x:c>
      <x:c r="L65" s="16" t="str">
        <x:f>'Evaluation Plan'!L65</x:f>
        <x:v>Same-scene direct target control</x:v>
      </x:c>
      <x:c r="M65" s="16" t="str">
        <x:f>'Evaluation Plan'!M65</x:f>
        <x:v>juggling ball</x:v>
      </x:c>
      <x:c r="N65" s="16" t="str">
        <x:f>'Evaluation Plan'!N65</x:f>
        <x:v>Left</x:v>
      </x:c>
      <x:c r="O65" s="16" t="n">
        <x:f>'Evaluation Plan'!O65</x:f>
        <x:v>2</x:v>
      </x:c>
      <x:c r="P65" s="16" t="n">
        <x:f>IF(ISBLANK('Evaluation Plan'!P65),"",'Evaluation Plan'!P65)</x:f>
        <x:v>8</x:v>
      </x:c>
      <x:c r="Q65" s="16" t="str">
        <x:f>'Evaluation Plan'!Q65</x:f>
        <x:v>Reset the target to its original pose; change only the prompt.</x:v>
      </x:c>
      <x:c r="R65" s="6" t="str">
        <x:f>'Evaluation Plan'!R65</x:f>
        <x:v>Exact-scene control using a direct prompt supported by training episode 1100.</x:v>
      </x:c>
      <x:c r="S65" s="6" t="str">
        <x:f>IF(ISBLANK('Evaluation Plan'!S65),"",'Evaluation Plan'!S65)</x:f>
      </x:c>
    </x:row>
    <x:row r="66" ht="67.5" customHeight="1">
      <x:c r="A66" s="22" t="s">
        <x:v>693</x:v>
      </x:c>
      <x:c r="B66" s="8" t="n">
        <x:f>'Evaluation Plan'!B66</x:f>
        <x:v>64</x:v>
      </x:c>
      <x:c r="C66" s="9" t="str">
        <x:f>'Evaluation Plan'!C66</x:f>
        <x:v>Move the object that is largest into the bowl.</x:v>
      </x:c>
      <x:c r="D66" s="9" t="str">
        <x:f>'Evaluation Plan'!D66</x:f>
        <x:v>Bowl: empty. Table, robot-left→robot-right: P1 green block; P2 red pencil sharpener. Adjacent centers 8 cm apart; row shifted 4 cm toward robot-left; all objects fully visible and grasp paths clear.</x:v>
      </x:c>
      <x:c r="E66" s="8" t="str">
        <x:f>IF(ISBLANK('Evaluation Plan'!E66),"",'Evaluation Plan'!E66)</x:f>
      </x:c>
      <x:c r="F66" s="8" t="str">
        <x:f>'Evaluation Plan'!F66</x:f>
        <x:v>1086</x:v>
      </x:c>
      <x:c r="G66" s="8" t="str">
        <x:f>'Evaluation Plan'!G66</x:f>
        <x:v>MOVE green block to bowl</x:v>
      </x:c>
      <x:c r="H66" s="23" t="s">
        <x:v>729</x:v>
      </x:c>
      <x:c r="I66" s="8" t="str">
        <x:f>'Evaluation Plan'!I66</x:f>
        <x:v>Concept/compositional transfer</x:v>
      </x:c>
      <x:c r="J66" s="8" t="str">
        <x:f>'Evaluation Plan'!J66</x:f>
        <x:v>SZ-CT-LG07</x:v>
      </x:c>
      <x:c r="K66" s="8" t="str">
        <x:f>'Evaluation Plan'!K66</x:f>
        <x:v>largest</x:v>
      </x:c>
      <x:c r="L66" s="8" t="str">
        <x:f>'Evaluation Plan'!L66</x:f>
        <x:v>Held-out largest × green block — Move</x:v>
      </x:c>
      <x:c r="M66" s="8" t="str">
        <x:f>'Evaluation Plan'!M66</x:f>
        <x:v>green block</x:v>
      </x:c>
      <x:c r="N66" s="8" t="str">
        <x:f>'Evaluation Plan'!N66</x:f>
        <x:v>Left</x:v>
      </x:c>
      <x:c r="O66" s="8" t="n">
        <x:f>'Evaluation Plan'!O66</x:f>
        <x:v>2</x:v>
      </x:c>
      <x:c r="P66" s="8" t="n">
        <x:f>IF(ISBLANK('Evaluation Plan'!P66),"",'Evaluation Plan'!P66)</x:f>
        <x:v>8</x:v>
      </x:c>
      <x:c r="Q66" s="8" t="str">
        <x:f>'Evaluation Plan'!Q66</x:f>
        <x:v>Build the listed two-object scene and save a first-frame filename.</x:v>
      </x:c>
      <x:c r="R66" s="9" t="str">
        <x:f>'Evaluation Plan'!R66</x:f>
        <x:v>Primary missing cell. Training episode 1086 contains the same target trajectory but masks the size word with a direct identity prompt.</x:v>
      </x:c>
      <x:c r="S66" s="9" t="str">
        <x:f>IF(ISBLANK('Evaluation Plan'!S66),"",'Evaluation Plan'!S66)</x:f>
      </x:c>
    </x:row>
    <x:row r="67" ht="67.5" customHeight="1">
      <x:c r="A67" s="33" t="s">
        <x:v>591</x:v>
      </x:c>
      <x:c r="B67" s="16" t="n">
        <x:f>'Evaluation Plan'!B67</x:f>
        <x:v>65</x:v>
      </x:c>
      <x:c r="C67" s="6" t="str">
        <x:f>'Evaluation Plan'!C67</x:f>
        <x:v>Put the green block in the bowl.</x:v>
      </x:c>
      <x:c r="D67" s="6" t="str">
        <x:f>'Evaluation Plan'!D67</x:f>
        <x:v>Bowl: empty. Table, robot-left→robot-right: P1 green block; P2 red pencil sharpener. Adjacent centers 8 cm apart; row shifted 4 cm toward robot-left; all objects fully visible and grasp paths clear.</x:v>
      </x:c>
      <x:c r="E67" s="16" t="n">
        <x:f>IF(ISBLANK('Evaluation Plan'!E67),"",'Evaluation Plan'!E67)</x:f>
        <x:v>64</x:v>
      </x:c>
      <x:c r="F67" s="16" t="str">
        <x:f>'Evaluation Plan'!F67</x:f>
        <x:v>1076</x:v>
      </x:c>
      <x:c r="G67" s="16" t="str">
        <x:f>'Evaluation Plan'!G67</x:f>
        <x:v>MOVE green block to bowl</x:v>
      </x:c>
      <x:c r="H67" s="6"/>
      <x:c r="I67" s="16" t="str">
        <x:f>'Evaluation Plan'!I67</x:f>
        <x:v>Matched manipulation control</x:v>
      </x:c>
      <x:c r="J67" s="16" t="str">
        <x:f>'Evaluation Plan'!J67</x:f>
        <x:v>SZ-CT-LG07</x:v>
      </x:c>
      <x:c r="K67" s="16" t="str">
        <x:f>'Evaluation Plan'!K67</x:f>
        <x:v>Direct</x:v>
      </x:c>
      <x:c r="L67" s="16" t="str">
        <x:f>'Evaluation Plan'!L67</x:f>
        <x:v>Same-scene direct target control</x:v>
      </x:c>
      <x:c r="M67" s="16" t="str">
        <x:f>'Evaluation Plan'!M67</x:f>
        <x:v>green block</x:v>
      </x:c>
      <x:c r="N67" s="16" t="str">
        <x:f>'Evaluation Plan'!N67</x:f>
        <x:v>Left</x:v>
      </x:c>
      <x:c r="O67" s="16" t="n">
        <x:f>'Evaluation Plan'!O67</x:f>
        <x:v>2</x:v>
      </x:c>
      <x:c r="P67" s="16" t="n">
        <x:f>IF(ISBLANK('Evaluation Plan'!P67),"",'Evaluation Plan'!P67)</x:f>
        <x:v>8</x:v>
      </x:c>
      <x:c r="Q67" s="16" t="str">
        <x:f>'Evaluation Plan'!Q67</x:f>
        <x:v>Reset the target to its original pose; change only the prompt.</x:v>
      </x:c>
      <x:c r="R67" s="6" t="str">
        <x:f>'Evaluation Plan'!R67</x:f>
        <x:v>Exact-scene control using a direct prompt supported by training episode 1076.</x:v>
      </x:c>
      <x:c r="S67" s="6" t="str">
        <x:f>IF(ISBLANK('Evaluation Plan'!S67),"",'Evaluation Plan'!S67)</x:f>
      </x:c>
    </x:row>
    <x:row r="68" ht="67.5" customHeight="1">
      <x:c r="A68" s="22" t="s">
        <x:v>591</x:v>
      </x:c>
      <x:c r="B68" s="8" t="n">
        <x:f>'Evaluation Plan'!B68</x:f>
        <x:v>66</x:v>
      </x:c>
      <x:c r="C68" s="9" t="str">
        <x:f>'Evaluation Plan'!C68</x:f>
        <x:v>Pick up the smallest item and place it in the bowl.</x:v>
      </x:c>
      <x:c r="D68" s="9" t="str">
        <x:f>'Evaluation Plan'!D68</x:f>
        <x:v>Bowl: empty. Table, robot-left→robot-right: P1 crushed Pepsi can; P2 juggling ball. Adjacent centers 12 cm apart; row shifted 4 cm toward the robot; all objects fully visible and grasp paths clear.</x:v>
      </x:c>
      <x:c r="E68" s="8" t="str">
        <x:f>IF(ISBLANK('Evaluation Plan'!E68),"",'Evaluation Plan'!E68)</x:f>
      </x:c>
      <x:c r="F68" s="8" t="str">
        <x:f>'Evaluation Plan'!F68</x:f>
        <x:v>1111</x:v>
      </x:c>
      <x:c r="G68" s="8" t="str">
        <x:f>'Evaluation Plan'!G68</x:f>
        <x:v>MOVE juggling ball to bowl</x:v>
      </x:c>
      <x:c r="H68" s="9"/>
      <x:c r="I68" s="8" t="str">
        <x:f>'Evaluation Plan'!I68</x:f>
        <x:v>Concept/compositional transfer</x:v>
      </x:c>
      <x:c r="J68" s="8" t="str">
        <x:f>'Evaluation Plan'!J68</x:f>
        <x:v>SZ-CT-SJ07</x:v>
      </x:c>
      <x:c r="K68" s="8" t="str">
        <x:f>'Evaluation Plan'!K68</x:f>
        <x:v>smallest</x:v>
      </x:c>
      <x:c r="L68" s="8" t="str">
        <x:f>'Evaluation Plan'!L68</x:f>
        <x:v>Held-out smallest × juggling ball — Pick up</x:v>
      </x:c>
      <x:c r="M68" s="8" t="str">
        <x:f>'Evaluation Plan'!M68</x:f>
        <x:v>juggling ball</x:v>
      </x:c>
      <x:c r="N68" s="8" t="str">
        <x:f>'Evaluation Plan'!N68</x:f>
        <x:v>Right</x:v>
      </x:c>
      <x:c r="O68" s="8" t="n">
        <x:f>'Evaluation Plan'!O68</x:f>
        <x:v>2</x:v>
      </x:c>
      <x:c r="P68" s="8" t="n">
        <x:f>IF(ISBLANK('Evaluation Plan'!P68),"",'Evaluation Plan'!P68)</x:f>
        <x:v>12</x:v>
      </x:c>
      <x:c r="Q68" s="8" t="str">
        <x:f>'Evaluation Plan'!Q68</x:f>
        <x:v>Build the listed two-object scene and save a first-frame filename.</x:v>
      </x:c>
      <x:c r="R68" s="9" t="str">
        <x:f>'Evaluation Plan'!R68</x:f>
        <x:v>Primary missing cell. Training episode 1111 contains the same target trajectory but masks the size word with a direct identity prompt.</x:v>
      </x:c>
      <x:c r="S68" s="9" t="str">
        <x:f>IF(ISBLANK('Evaluation Plan'!S68),"",'Evaluation Plan'!S68)</x:f>
      </x:c>
    </x:row>
    <x:row r="69" ht="67.5" customHeight="1">
      <x:c r="A69" s="33" t="s">
        <x:v>591</x:v>
      </x:c>
      <x:c r="B69" s="16" t="n">
        <x:f>'Evaluation Plan'!B69</x:f>
        <x:v>67</x:v>
      </x:c>
      <x:c r="C69" s="6" t="str">
        <x:f>'Evaluation Plan'!C69</x:f>
        <x:v>Put the juggling ball in the bowl.</x:v>
      </x:c>
      <x:c r="D69" s="6" t="str">
        <x:f>'Evaluation Plan'!D69</x:f>
        <x:v>Bowl: empty. Table, robot-left→robot-right: P1 crushed Pepsi can; P2 juggling ball. Adjacent centers 12 cm apart; row shifted 4 cm toward the robot; all objects fully visible and grasp paths clear.</x:v>
      </x:c>
      <x:c r="E69" s="16" t="n">
        <x:f>IF(ISBLANK('Evaluation Plan'!E69),"",'Evaluation Plan'!E69)</x:f>
        <x:v>66</x:v>
      </x:c>
      <x:c r="F69" s="16" t="str">
        <x:f>'Evaluation Plan'!F69</x:f>
        <x:v>1101</x:v>
      </x:c>
      <x:c r="G69" s="16" t="str">
        <x:f>'Evaluation Plan'!G69</x:f>
        <x:v>MOVE juggling ball to bowl</x:v>
      </x:c>
      <x:c r="H69" s="6"/>
      <x:c r="I69" s="16" t="str">
        <x:f>'Evaluation Plan'!I69</x:f>
        <x:v>Matched manipulation control</x:v>
      </x:c>
      <x:c r="J69" s="16" t="str">
        <x:f>'Evaluation Plan'!J69</x:f>
        <x:v>SZ-CT-SJ07</x:v>
      </x:c>
      <x:c r="K69" s="16" t="str">
        <x:f>'Evaluation Plan'!K69</x:f>
        <x:v>Direct</x:v>
      </x:c>
      <x:c r="L69" s="16" t="str">
        <x:f>'Evaluation Plan'!L69</x:f>
        <x:v>Same-scene direct target control</x:v>
      </x:c>
      <x:c r="M69" s="16" t="str">
        <x:f>'Evaluation Plan'!M69</x:f>
        <x:v>juggling ball</x:v>
      </x:c>
      <x:c r="N69" s="16" t="str">
        <x:f>'Evaluation Plan'!N69</x:f>
        <x:v>Right</x:v>
      </x:c>
      <x:c r="O69" s="16" t="n">
        <x:f>'Evaluation Plan'!O69</x:f>
        <x:v>2</x:v>
      </x:c>
      <x:c r="P69" s="16" t="n">
        <x:f>IF(ISBLANK('Evaluation Plan'!P69),"",'Evaluation Plan'!P69)</x:f>
        <x:v>12</x:v>
      </x:c>
      <x:c r="Q69" s="16" t="str">
        <x:f>'Evaluation Plan'!Q69</x:f>
        <x:v>Reset the target to its original pose; change only the prompt.</x:v>
      </x:c>
      <x:c r="R69" s="6" t="str">
        <x:f>'Evaluation Plan'!R69</x:f>
        <x:v>Exact-scene control using a direct prompt supported by training episode 1101.</x:v>
      </x:c>
      <x:c r="S69" s="6" t="str">
        <x:f>IF(ISBLANK('Evaluation Plan'!S69),"",'Evaluation Plan'!S69)</x:f>
      </x:c>
    </x:row>
    <x:row r="70" ht="67.5" customHeight="1">
      <x:c r="A70" s="22" t="s">
        <x:v>591</x:v>
      </x:c>
      <x:c r="B70" s="8" t="n">
        <x:f>'Evaluation Plan'!B70</x:f>
        <x:v>68</x:v>
      </x:c>
      <x:c r="C70" s="9" t="str">
        <x:f>'Evaluation Plan'!C70</x:f>
        <x:v>Pick up the largest item and place it in the bowl.</x:v>
      </x:c>
      <x:c r="D70" s="9" t="str">
        <x:f>'Evaluation Plan'!D70</x:f>
        <x:v>Bowl: empty. Table, robot-left→robot-right: P1 red pencil sharpener; P2 green block. Adjacent centers 12 cm apart; row shifted 4 cm toward robot-right; all objects fully visible and grasp paths clear.</x:v>
      </x:c>
      <x:c r="E70" s="8" t="str">
        <x:f>IF(ISBLANK('Evaluation Plan'!E70),"",'Evaluation Plan'!E70)</x:f>
      </x:c>
      <x:c r="F70" s="8" t="str">
        <x:f>'Evaluation Plan'!F70</x:f>
        <x:v>1087</x:v>
      </x:c>
      <x:c r="G70" s="8" t="str">
        <x:f>'Evaluation Plan'!G70</x:f>
        <x:v>MOVE green block to bowl</x:v>
      </x:c>
      <x:c r="H70" s="23" t="s">
        <x:v>734</x:v>
      </x:c>
      <x:c r="I70" s="8" t="str">
        <x:f>'Evaluation Plan'!I70</x:f>
        <x:v>Concept/compositional transfer</x:v>
      </x:c>
      <x:c r="J70" s="8" t="str">
        <x:f>'Evaluation Plan'!J70</x:f>
        <x:v>SZ-CT-LG08</x:v>
      </x:c>
      <x:c r="K70" s="8" t="str">
        <x:f>'Evaluation Plan'!K70</x:f>
        <x:v>largest</x:v>
      </x:c>
      <x:c r="L70" s="8" t="str">
        <x:f>'Evaluation Plan'!L70</x:f>
        <x:v>Held-out largest × green block — Pick up</x:v>
      </x:c>
      <x:c r="M70" s="8" t="str">
        <x:f>'Evaluation Plan'!M70</x:f>
        <x:v>green block</x:v>
      </x:c>
      <x:c r="N70" s="8" t="str">
        <x:f>'Evaluation Plan'!N70</x:f>
        <x:v>Right</x:v>
      </x:c>
      <x:c r="O70" s="8" t="n">
        <x:f>'Evaluation Plan'!O70</x:f>
        <x:v>2</x:v>
      </x:c>
      <x:c r="P70" s="8" t="n">
        <x:f>IF(ISBLANK('Evaluation Plan'!P70),"",'Evaluation Plan'!P70)</x:f>
        <x:v>12</x:v>
      </x:c>
      <x:c r="Q70" s="8" t="str">
        <x:f>'Evaluation Plan'!Q70</x:f>
        <x:v>Build the listed two-object scene and save a first-frame filename.</x:v>
      </x:c>
      <x:c r="R70" s="9" t="str">
        <x:f>'Evaluation Plan'!R70</x:f>
        <x:v>Primary missing cell. Training episode 1087 contains the same target trajectory but masks the size word with a direct identity prompt.</x:v>
      </x:c>
      <x:c r="S70" s="9" t="str">
        <x:f>IF(ISBLANK('Evaluation Plan'!S70),"",'Evaluation Plan'!S70)</x:f>
      </x:c>
    </x:row>
    <x:row r="71" ht="67.5" customHeight="1">
      <x:c r="A71" s="33" t="s">
        <x:v>591</x:v>
      </x:c>
      <x:c r="B71" s="16" t="n">
        <x:f>'Evaluation Plan'!B71</x:f>
        <x:v>69</x:v>
      </x:c>
      <x:c r="C71" s="6" t="str">
        <x:f>'Evaluation Plan'!C71</x:f>
        <x:v>Move the green block into the bowl.</x:v>
      </x:c>
      <x:c r="D71" s="6" t="str">
        <x:f>'Evaluation Plan'!D71</x:f>
        <x:v>Bowl: empty. Table, robot-left→robot-right: P1 red pencil sharpener; P2 green block. Adjacent centers 12 cm apart; row shifted 4 cm toward robot-right; all objects fully visible and grasp paths clear.</x:v>
      </x:c>
      <x:c r="E71" s="16" t="n">
        <x:f>IF(ISBLANK('Evaluation Plan'!E71),"",'Evaluation Plan'!E71)</x:f>
        <x:v>68</x:v>
      </x:c>
      <x:c r="F71" s="16" t="str">
        <x:f>'Evaluation Plan'!F71</x:f>
        <x:v>1077</x:v>
      </x:c>
      <x:c r="G71" s="16" t="str">
        <x:f>'Evaluation Plan'!G71</x:f>
        <x:v>MOVE green block to bowl</x:v>
      </x:c>
      <x:c r="H71" s="6"/>
      <x:c r="I71" s="16" t="str">
        <x:f>'Evaluation Plan'!I71</x:f>
        <x:v>Matched manipulation control</x:v>
      </x:c>
      <x:c r="J71" s="16" t="str">
        <x:f>'Evaluation Plan'!J71</x:f>
        <x:v>SZ-CT-LG08</x:v>
      </x:c>
      <x:c r="K71" s="16" t="str">
        <x:f>'Evaluation Plan'!K71</x:f>
        <x:v>Direct</x:v>
      </x:c>
      <x:c r="L71" s="16" t="str">
        <x:f>'Evaluation Plan'!L71</x:f>
        <x:v>Same-scene direct target control</x:v>
      </x:c>
      <x:c r="M71" s="16" t="str">
        <x:f>'Evaluation Plan'!M71</x:f>
        <x:v>green block</x:v>
      </x:c>
      <x:c r="N71" s="16" t="str">
        <x:f>'Evaluation Plan'!N71</x:f>
        <x:v>Right</x:v>
      </x:c>
      <x:c r="O71" s="16" t="n">
        <x:f>'Evaluation Plan'!O71</x:f>
        <x:v>2</x:v>
      </x:c>
      <x:c r="P71" s="16" t="n">
        <x:f>IF(ISBLANK('Evaluation Plan'!P71),"",'Evaluation Plan'!P71)</x:f>
        <x:v>12</x:v>
      </x:c>
      <x:c r="Q71" s="16" t="str">
        <x:f>'Evaluation Plan'!Q71</x:f>
        <x:v>Reset the target to its original pose; change only the prompt.</x:v>
      </x:c>
      <x:c r="R71" s="6" t="str">
        <x:f>'Evaluation Plan'!R71</x:f>
        <x:v>Exact-scene control using a direct prompt supported by training episode 1077.</x:v>
      </x:c>
      <x:c r="S71" s="6" t="str">
        <x:f>IF(ISBLANK('Evaluation Plan'!S71),"",'Evaluation Plan'!S71)</x:f>
      </x:c>
    </x:row>
    <x:row r="72" ht="67.5" customHeight="1">
      <x:c r="A72" s="22" t="s">
        <x:v>591</x:v>
      </x:c>
      <x:c r="B72" s="8" t="n">
        <x:f>'Evaluation Plan'!B72</x:f>
        <x:v>70</x:v>
      </x:c>
      <x:c r="C72" s="9" t="str">
        <x:f>'Evaluation Plan'!C72</x:f>
        <x:v>Put the smallest object in the bowl.</x:v>
      </x:c>
      <x:c r="D72" s="9" t="str">
        <x:f>'Evaluation Plan'!D72</x:f>
        <x:v>Bowl: empty. Table, robot-left→robot-right: P1 juggling ball; P2 crushed Pepsi can. Adjacent centers 16 cm apart; row shifted 4 cm away from the robot; all objects fully visible and grasp paths clear.</x:v>
      </x:c>
      <x:c r="E72" s="8" t="str">
        <x:f>IF(ISBLANK('Evaluation Plan'!E72),"",'Evaluation Plan'!E72)</x:f>
      </x:c>
      <x:c r="F72" s="8" t="str">
        <x:f>'Evaluation Plan'!F72</x:f>
        <x:v>1112</x:v>
      </x:c>
      <x:c r="G72" s="8" t="str">
        <x:f>'Evaluation Plan'!G72</x:f>
        <x:v>MOVE juggling ball to bowl</x:v>
      </x:c>
      <x:c r="H72" s="9"/>
      <x:c r="I72" s="8" t="str">
        <x:f>'Evaluation Plan'!I72</x:f>
        <x:v>Concept/compositional transfer</x:v>
      </x:c>
      <x:c r="J72" s="8" t="str">
        <x:f>'Evaluation Plan'!J72</x:f>
        <x:v>SZ-CT-SJ08</x:v>
      </x:c>
      <x:c r="K72" s="8" t="str">
        <x:f>'Evaluation Plan'!K72</x:f>
        <x:v>smallest</x:v>
      </x:c>
      <x:c r="L72" s="8" t="str">
        <x:f>'Evaluation Plan'!L72</x:f>
        <x:v>Held-out smallest × juggling ball — Put</x:v>
      </x:c>
      <x:c r="M72" s="8" t="str">
        <x:f>'Evaluation Plan'!M72</x:f>
        <x:v>juggling ball</x:v>
      </x:c>
      <x:c r="N72" s="8" t="str">
        <x:f>'Evaluation Plan'!N72</x:f>
        <x:v>Left</x:v>
      </x:c>
      <x:c r="O72" s="8" t="n">
        <x:f>'Evaluation Plan'!O72</x:f>
        <x:v>2</x:v>
      </x:c>
      <x:c r="P72" s="8" t="n">
        <x:f>IF(ISBLANK('Evaluation Plan'!P72),"",'Evaluation Plan'!P72)</x:f>
        <x:v>16</x:v>
      </x:c>
      <x:c r="Q72" s="8" t="str">
        <x:f>'Evaluation Plan'!Q72</x:f>
        <x:v>Build the listed two-object scene and save a first-frame filename.</x:v>
      </x:c>
      <x:c r="R72" s="9" t="str">
        <x:f>'Evaluation Plan'!R72</x:f>
        <x:v>Primary missing cell. Training episode 1112 contains the same target trajectory but masks the size word with a direct identity prompt.</x:v>
      </x:c>
      <x:c r="S72" s="9" t="str">
        <x:f>IF(ISBLANK('Evaluation Plan'!S72),"",'Evaluation Plan'!S72)</x:f>
      </x:c>
    </x:row>
    <x:row r="73" ht="67.5" customHeight="1">
      <x:c r="A73" s="33" t="s">
        <x:v>591</x:v>
      </x:c>
      <x:c r="B73" s="16" t="n">
        <x:f>'Evaluation Plan'!B73</x:f>
        <x:v>71</x:v>
      </x:c>
      <x:c r="C73" s="6" t="str">
        <x:f>'Evaluation Plan'!C73</x:f>
        <x:v>Move the juggling ball into the bowl.</x:v>
      </x:c>
      <x:c r="D73" s="6" t="str">
        <x:f>'Evaluation Plan'!D73</x:f>
        <x:v>Bowl: empty. Table, robot-left→robot-right: P1 juggling ball; P2 crushed Pepsi can. Adjacent centers 16 cm apart; row shifted 4 cm away from the robot; all objects fully visible and grasp paths clear.</x:v>
      </x:c>
      <x:c r="E73" s="16" t="n">
        <x:f>IF(ISBLANK('Evaluation Plan'!E73),"",'Evaluation Plan'!E73)</x:f>
        <x:v>70</x:v>
      </x:c>
      <x:c r="F73" s="16" t="str">
        <x:f>'Evaluation Plan'!F73</x:f>
        <x:v>1102</x:v>
      </x:c>
      <x:c r="G73" s="16" t="str">
        <x:f>'Evaluation Plan'!G73</x:f>
        <x:v>MOVE juggling ball to bowl</x:v>
      </x:c>
      <x:c r="H73" s="6"/>
      <x:c r="I73" s="16" t="str">
        <x:f>'Evaluation Plan'!I73</x:f>
        <x:v>Matched manipulation control</x:v>
      </x:c>
      <x:c r="J73" s="16" t="str">
        <x:f>'Evaluation Plan'!J73</x:f>
        <x:v>SZ-CT-SJ08</x:v>
      </x:c>
      <x:c r="K73" s="16" t="str">
        <x:f>'Evaluation Plan'!K73</x:f>
        <x:v>Direct</x:v>
      </x:c>
      <x:c r="L73" s="16" t="str">
        <x:f>'Evaluation Plan'!L73</x:f>
        <x:v>Same-scene direct target control</x:v>
      </x:c>
      <x:c r="M73" s="16" t="str">
        <x:f>'Evaluation Plan'!M73</x:f>
        <x:v>juggling ball</x:v>
      </x:c>
      <x:c r="N73" s="16" t="str">
        <x:f>'Evaluation Plan'!N73</x:f>
        <x:v>Left</x:v>
      </x:c>
      <x:c r="O73" s="16" t="n">
        <x:f>'Evaluation Plan'!O73</x:f>
        <x:v>2</x:v>
      </x:c>
      <x:c r="P73" s="16" t="n">
        <x:f>IF(ISBLANK('Evaluation Plan'!P73),"",'Evaluation Plan'!P73)</x:f>
        <x:v>16</x:v>
      </x:c>
      <x:c r="Q73" s="16" t="str">
        <x:f>'Evaluation Plan'!Q73</x:f>
        <x:v>Reset the target to its original pose; change only the prompt.</x:v>
      </x:c>
      <x:c r="R73" s="6" t="str">
        <x:f>'Evaluation Plan'!R73</x:f>
        <x:v>Exact-scene control using a direct prompt supported by training episode 1102.</x:v>
      </x:c>
      <x:c r="S73" s="6" t="str">
        <x:f>IF(ISBLANK('Evaluation Plan'!S73),"",'Evaluation Plan'!S73)</x:f>
      </x:c>
    </x:row>
    <x:row r="74" ht="67.5" customHeight="1">
      <x:c r="A74" s="22" t="s">
        <x:v>591</x:v>
      </x:c>
      <x:c r="B74" s="8" t="n">
        <x:f>'Evaluation Plan'!B74</x:f>
        <x:v>72</x:v>
      </x:c>
      <x:c r="C74" s="9" t="str">
        <x:f>'Evaluation Plan'!C74</x:f>
        <x:v>Put the largest object in the bowl.</x:v>
      </x:c>
      <x:c r="D74" s="9" t="str">
        <x:f>'Evaluation Plan'!D74</x:f>
        <x:v>Bowl: empty. Table, robot-left→robot-right: P1 green block; P2 red pencil sharpener. Adjacent centers 16 cm apart; row shifted 4 cm toward the robot; all objects fully visible and grasp paths clear.</x:v>
      </x:c>
      <x:c r="E74" s="8" t="str">
        <x:f>IF(ISBLANK('Evaluation Plan'!E74),"",'Evaluation Plan'!E74)</x:f>
      </x:c>
      <x:c r="F74" s="8" t="str">
        <x:f>'Evaluation Plan'!F74</x:f>
        <x:v>1088</x:v>
      </x:c>
      <x:c r="G74" s="8" t="str">
        <x:f>'Evaluation Plan'!G74</x:f>
        <x:v>MOVE green block to bowl</x:v>
      </x:c>
      <x:c r="H74" s="9"/>
      <x:c r="I74" s="8" t="str">
        <x:f>'Evaluation Plan'!I74</x:f>
        <x:v>Concept/compositional transfer</x:v>
      </x:c>
      <x:c r="J74" s="8" t="str">
        <x:f>'Evaluation Plan'!J74</x:f>
        <x:v>SZ-CT-LG09</x:v>
      </x:c>
      <x:c r="K74" s="8" t="str">
        <x:f>'Evaluation Plan'!K74</x:f>
        <x:v>largest</x:v>
      </x:c>
      <x:c r="L74" s="8" t="str">
        <x:f>'Evaluation Plan'!L74</x:f>
        <x:v>Held-out largest × green block — Put</x:v>
      </x:c>
      <x:c r="M74" s="8" t="str">
        <x:f>'Evaluation Plan'!M74</x:f>
        <x:v>green block</x:v>
      </x:c>
      <x:c r="N74" s="8" t="str">
        <x:f>'Evaluation Plan'!N74</x:f>
        <x:v>Left</x:v>
      </x:c>
      <x:c r="O74" s="8" t="n">
        <x:f>'Evaluation Plan'!O74</x:f>
        <x:v>2</x:v>
      </x:c>
      <x:c r="P74" s="8" t="n">
        <x:f>IF(ISBLANK('Evaluation Plan'!P74),"",'Evaluation Plan'!P74)</x:f>
        <x:v>16</x:v>
      </x:c>
      <x:c r="Q74" s="8" t="str">
        <x:f>'Evaluation Plan'!Q74</x:f>
        <x:v>Build the listed two-object scene and save a first-frame filename.</x:v>
      </x:c>
      <x:c r="R74" s="9" t="str">
        <x:f>'Evaluation Plan'!R74</x:f>
        <x:v>Primary missing cell. Training episode 1088 contains the same target trajectory but masks the size word with a direct identity prompt.</x:v>
      </x:c>
      <x:c r="S74" s="9" t="str">
        <x:f>IF(ISBLANK('Evaluation Plan'!S74),"",'Evaluation Plan'!S74)</x:f>
      </x:c>
    </x:row>
    <x:row r="75" ht="67.5" customHeight="1">
      <x:c r="A75" s="33" t="s">
        <x:v>591</x:v>
      </x:c>
      <x:c r="B75" s="16" t="n">
        <x:f>'Evaluation Plan'!B75</x:f>
        <x:v>73</x:v>
      </x:c>
      <x:c r="C75" s="6" t="str">
        <x:f>'Evaluation Plan'!C75</x:f>
        <x:v>Pick up the green block and place it in the bowl.</x:v>
      </x:c>
      <x:c r="D75" s="6" t="str">
        <x:f>'Evaluation Plan'!D75</x:f>
        <x:v>Bowl: empty. Table, robot-left→robot-right: P1 green block; P2 red pencil sharpener. Adjacent centers 16 cm apart; row shifted 4 cm toward the robot; all objects fully visible and grasp paths clear.</x:v>
      </x:c>
      <x:c r="E75" s="16" t="n">
        <x:f>IF(ISBLANK('Evaluation Plan'!E75),"",'Evaluation Plan'!E75)</x:f>
        <x:v>72</x:v>
      </x:c>
      <x:c r="F75" s="16" t="str">
        <x:f>'Evaluation Plan'!F75</x:f>
        <x:v>1078</x:v>
      </x:c>
      <x:c r="G75" s="16" t="str">
        <x:f>'Evaluation Plan'!G75</x:f>
        <x:v>MOVE green block to bowl</x:v>
      </x:c>
      <x:c r="H75" s="6"/>
      <x:c r="I75" s="16" t="str">
        <x:f>'Evaluation Plan'!I75</x:f>
        <x:v>Matched manipulation control</x:v>
      </x:c>
      <x:c r="J75" s="16" t="str">
        <x:f>'Evaluation Plan'!J75</x:f>
        <x:v>SZ-CT-LG09</x:v>
      </x:c>
      <x:c r="K75" s="16" t="str">
        <x:f>'Evaluation Plan'!K75</x:f>
        <x:v>Direct</x:v>
      </x:c>
      <x:c r="L75" s="16" t="str">
        <x:f>'Evaluation Plan'!L75</x:f>
        <x:v>Same-scene direct target control</x:v>
      </x:c>
      <x:c r="M75" s="16" t="str">
        <x:f>'Evaluation Plan'!M75</x:f>
        <x:v>green block</x:v>
      </x:c>
      <x:c r="N75" s="16" t="str">
        <x:f>'Evaluation Plan'!N75</x:f>
        <x:v>Left</x:v>
      </x:c>
      <x:c r="O75" s="16" t="n">
        <x:f>'Evaluation Plan'!O75</x:f>
        <x:v>2</x:v>
      </x:c>
      <x:c r="P75" s="16" t="n">
        <x:f>IF(ISBLANK('Evaluation Plan'!P75),"",'Evaluation Plan'!P75)</x:f>
        <x:v>16</x:v>
      </x:c>
      <x:c r="Q75" s="16" t="str">
        <x:f>'Evaluation Plan'!Q75</x:f>
        <x:v>Reset the target to its original pose; change only the prompt.</x:v>
      </x:c>
      <x:c r="R75" s="6" t="str">
        <x:f>'Evaluation Plan'!R75</x:f>
        <x:v>Exact-scene control using a direct prompt supported by training episode 1078.</x:v>
      </x:c>
      <x:c r="S75" s="6" t="str">
        <x:f>IF(ISBLANK('Evaluation Plan'!S75),"",'Evaluation Plan'!S75)</x:f>
      </x:c>
    </x:row>
    <x:row r="76" ht="67.5" customHeight="1">
      <x:c r="A76" s="22" t="s">
        <x:v>591</x:v>
      </x:c>
      <x:c r="B76" s="8" t="n">
        <x:f>'Evaluation Plan'!B76</x:f>
        <x:v>74</x:v>
      </x:c>
      <x:c r="C76" s="9" t="str">
        <x:f>'Evaluation Plan'!C76</x:f>
        <x:v>Move the object that is smallest into the bowl.</x:v>
      </x:c>
      <x:c r="D76" s="9" t="str">
        <x:f>'Evaluation Plan'!D76</x:f>
        <x:v>Bowl: empty. Table, robot-left→robot-right: P1 crushed Pepsi can; P2 juggling ball. Adjacent centers 8 cm apart; row centered on the workspace; all objects fully visible and grasp paths clear.</x:v>
      </x:c>
      <x:c r="E76" s="8" t="str">
        <x:f>IF(ISBLANK('Evaluation Plan'!E76),"",'Evaluation Plan'!E76)</x:f>
      </x:c>
      <x:c r="F76" s="8" t="str">
        <x:f>'Evaluation Plan'!F76</x:f>
        <x:v>1113</x:v>
      </x:c>
      <x:c r="G76" s="8" t="str">
        <x:f>'Evaluation Plan'!G76</x:f>
        <x:v>MOVE juggling ball to bowl</x:v>
      </x:c>
      <x:c r="H76" s="9"/>
      <x:c r="I76" s="8" t="str">
        <x:f>'Evaluation Plan'!I76</x:f>
        <x:v>Concept/compositional transfer</x:v>
      </x:c>
      <x:c r="J76" s="8" t="str">
        <x:f>'Evaluation Plan'!J76</x:f>
        <x:v>SZ-CT-SJ09</x:v>
      </x:c>
      <x:c r="K76" s="8" t="str">
        <x:f>'Evaluation Plan'!K76</x:f>
        <x:v>smallest</x:v>
      </x:c>
      <x:c r="L76" s="8" t="str">
        <x:f>'Evaluation Plan'!L76</x:f>
        <x:v>Held-out smallest × juggling ball — Move</x:v>
      </x:c>
      <x:c r="M76" s="8" t="str">
        <x:f>'Evaluation Plan'!M76</x:f>
        <x:v>juggling ball</x:v>
      </x:c>
      <x:c r="N76" s="8" t="str">
        <x:f>'Evaluation Plan'!N76</x:f>
        <x:v>Right</x:v>
      </x:c>
      <x:c r="O76" s="8" t="n">
        <x:f>'Evaluation Plan'!O76</x:f>
        <x:v>2</x:v>
      </x:c>
      <x:c r="P76" s="8" t="n">
        <x:f>IF(ISBLANK('Evaluation Plan'!P76),"",'Evaluation Plan'!P76)</x:f>
        <x:v>8</x:v>
      </x:c>
      <x:c r="Q76" s="8" t="str">
        <x:f>'Evaluation Plan'!Q76</x:f>
        <x:v>Build the listed two-object scene and save a first-frame filename.</x:v>
      </x:c>
      <x:c r="R76" s="9" t="str">
        <x:f>'Evaluation Plan'!R76</x:f>
        <x:v>Primary missing cell. Training episode 1113 contains the same target trajectory but masks the size word with a direct identity prompt.</x:v>
      </x:c>
      <x:c r="S76" s="9" t="str">
        <x:f>IF(ISBLANK('Evaluation Plan'!S76),"",'Evaluation Plan'!S76)</x:f>
      </x:c>
    </x:row>
    <x:row r="77" ht="67.5" customHeight="1">
      <x:c r="A77" s="33" t="s">
        <x:v>591</x:v>
      </x:c>
      <x:c r="B77" s="16" t="n">
        <x:f>'Evaluation Plan'!B77</x:f>
        <x:v>75</x:v>
      </x:c>
      <x:c r="C77" s="6" t="str">
        <x:f>'Evaluation Plan'!C77</x:f>
        <x:v>Pick up the juggling ball and place it in the bowl.</x:v>
      </x:c>
      <x:c r="D77" s="6" t="str">
        <x:f>'Evaluation Plan'!D77</x:f>
        <x:v>Bowl: empty. Table, robot-left→robot-right: P1 crushed Pepsi can; P2 juggling ball. Adjacent centers 8 cm apart; row centered on the workspace; all objects fully visible and grasp paths clear.</x:v>
      </x:c>
      <x:c r="E77" s="16" t="n">
        <x:f>IF(ISBLANK('Evaluation Plan'!E77),"",'Evaluation Plan'!E77)</x:f>
        <x:v>74</x:v>
      </x:c>
      <x:c r="F77" s="16" t="str">
        <x:f>'Evaluation Plan'!F77</x:f>
        <x:v>1103</x:v>
      </x:c>
      <x:c r="G77" s="16" t="str">
        <x:f>'Evaluation Plan'!G77</x:f>
        <x:v>MOVE juggling ball to bowl</x:v>
      </x:c>
      <x:c r="H77" s="6"/>
      <x:c r="I77" s="16" t="str">
        <x:f>'Evaluation Plan'!I77</x:f>
        <x:v>Matched manipulation control</x:v>
      </x:c>
      <x:c r="J77" s="16" t="str">
        <x:f>'Evaluation Plan'!J77</x:f>
        <x:v>SZ-CT-SJ09</x:v>
      </x:c>
      <x:c r="K77" s="16" t="str">
        <x:f>'Evaluation Plan'!K77</x:f>
        <x:v>Direct</x:v>
      </x:c>
      <x:c r="L77" s="16" t="str">
        <x:f>'Evaluation Plan'!L77</x:f>
        <x:v>Same-scene direct target control</x:v>
      </x:c>
      <x:c r="M77" s="16" t="str">
        <x:f>'Evaluation Plan'!M77</x:f>
        <x:v>juggling ball</x:v>
      </x:c>
      <x:c r="N77" s="16" t="str">
        <x:f>'Evaluation Plan'!N77</x:f>
        <x:v>Right</x:v>
      </x:c>
      <x:c r="O77" s="16" t="n">
        <x:f>'Evaluation Plan'!O77</x:f>
        <x:v>2</x:v>
      </x:c>
      <x:c r="P77" s="16" t="n">
        <x:f>IF(ISBLANK('Evaluation Plan'!P77),"",'Evaluation Plan'!P77)</x:f>
        <x:v>8</x:v>
      </x:c>
      <x:c r="Q77" s="16" t="str">
        <x:f>'Evaluation Plan'!Q77</x:f>
        <x:v>Reset the target to its original pose; change only the prompt.</x:v>
      </x:c>
      <x:c r="R77" s="6" t="str">
        <x:f>'Evaluation Plan'!R77</x:f>
        <x:v>Exact-scene control using a direct prompt supported by training episode 1103.</x:v>
      </x:c>
      <x:c r="S77" s="6" t="str">
        <x:f>IF(ISBLANK('Evaluation Plan'!S77),"",'Evaluation Plan'!S77)</x:f>
      </x:c>
    </x:row>
    <x:row r="78" ht="67.5" customHeight="1">
      <x:c r="A78" s="22" t="s">
        <x:v>591</x:v>
      </x:c>
      <x:c r="B78" s="8" t="n">
        <x:f>'Evaluation Plan'!B78</x:f>
        <x:v>76</x:v>
      </x:c>
      <x:c r="C78" s="9" t="str">
        <x:f>'Evaluation Plan'!C78</x:f>
        <x:v>Move the object that is largest into the bowl.</x:v>
      </x:c>
      <x:c r="D78" s="9" t="str">
        <x:f>'Evaluation Plan'!D78</x:f>
        <x:v>Bowl: empty. Table, robot-left→robot-right: P1 red pencil sharpener; P2 green block. Adjacent centers 8 cm apart; row shifted 4 cm away from the robot; all objects fully visible and grasp paths clear.</x:v>
      </x:c>
      <x:c r="E78" s="8" t="str">
        <x:f>IF(ISBLANK('Evaluation Plan'!E78),"",'Evaluation Plan'!E78)</x:f>
      </x:c>
      <x:c r="F78" s="8" t="str">
        <x:f>'Evaluation Plan'!F78</x:f>
        <x:v>1089</x:v>
      </x:c>
      <x:c r="G78" s="8" t="str">
        <x:f>'Evaluation Plan'!G78</x:f>
        <x:v>MOVE green block to bowl</x:v>
      </x:c>
      <x:c r="H78" s="9"/>
      <x:c r="I78" s="8" t="str">
        <x:f>'Evaluation Plan'!I78</x:f>
        <x:v>Concept/compositional transfer</x:v>
      </x:c>
      <x:c r="J78" s="8" t="str">
        <x:f>'Evaluation Plan'!J78</x:f>
        <x:v>SZ-CT-LG10</x:v>
      </x:c>
      <x:c r="K78" s="8" t="str">
        <x:f>'Evaluation Plan'!K78</x:f>
        <x:v>largest</x:v>
      </x:c>
      <x:c r="L78" s="8" t="str">
        <x:f>'Evaluation Plan'!L78</x:f>
        <x:v>Held-out largest × green block — Move</x:v>
      </x:c>
      <x:c r="M78" s="8" t="str">
        <x:f>'Evaluation Plan'!M78</x:f>
        <x:v>green block</x:v>
      </x:c>
      <x:c r="N78" s="8" t="str">
        <x:f>'Evaluation Plan'!N78</x:f>
        <x:v>Right</x:v>
      </x:c>
      <x:c r="O78" s="8" t="n">
        <x:f>'Evaluation Plan'!O78</x:f>
        <x:v>2</x:v>
      </x:c>
      <x:c r="P78" s="8" t="n">
        <x:f>IF(ISBLANK('Evaluation Plan'!P78),"",'Evaluation Plan'!P78)</x:f>
        <x:v>8</x:v>
      </x:c>
      <x:c r="Q78" s="8" t="str">
        <x:f>'Evaluation Plan'!Q78</x:f>
        <x:v>Build the listed two-object scene and save a first-frame filename.</x:v>
      </x:c>
      <x:c r="R78" s="9" t="str">
        <x:f>'Evaluation Plan'!R78</x:f>
        <x:v>Primary missing cell. Training episode 1089 contains the same target trajectory but masks the size word with a direct identity prompt.</x:v>
      </x:c>
      <x:c r="S78" s="9" t="str">
        <x:f>IF(ISBLANK('Evaluation Plan'!S78),"",'Evaluation Plan'!S78)</x:f>
      </x:c>
    </x:row>
    <x:row r="79" ht="67.5" customHeight="1">
      <x:c r="A79" s="33" t="s">
        <x:v>591</x:v>
      </x:c>
      <x:c r="B79" s="16" t="n">
        <x:f>'Evaluation Plan'!B79</x:f>
        <x:v>77</x:v>
      </x:c>
      <x:c r="C79" s="6" t="str">
        <x:f>'Evaluation Plan'!C79</x:f>
        <x:v>Put the green block in the bowl.</x:v>
      </x:c>
      <x:c r="D79" s="6" t="str">
        <x:f>'Evaluation Plan'!D79</x:f>
        <x:v>Bowl: empty. Table, robot-left→robot-right: P1 red pencil sharpener; P2 green block. Adjacent centers 8 cm apart; row shifted 4 cm away from the robot; all objects fully visible and grasp paths clear.</x:v>
      </x:c>
      <x:c r="E79" s="16" t="n">
        <x:f>IF(ISBLANK('Evaluation Plan'!E79),"",'Evaluation Plan'!E79)</x:f>
        <x:v>76</x:v>
      </x:c>
      <x:c r="F79" s="16" t="str">
        <x:f>'Evaluation Plan'!F79</x:f>
        <x:v>1079</x:v>
      </x:c>
      <x:c r="G79" s="16" t="str">
        <x:f>'Evaluation Plan'!G79</x:f>
        <x:v>MOVE green block to bowl</x:v>
      </x:c>
      <x:c r="H79" s="6"/>
      <x:c r="I79" s="16" t="str">
        <x:f>'Evaluation Plan'!I79</x:f>
        <x:v>Matched manipulation control</x:v>
      </x:c>
      <x:c r="J79" s="16" t="str">
        <x:f>'Evaluation Plan'!J79</x:f>
        <x:v>SZ-CT-LG10</x:v>
      </x:c>
      <x:c r="K79" s="16" t="str">
        <x:f>'Evaluation Plan'!K79</x:f>
        <x:v>Direct</x:v>
      </x:c>
      <x:c r="L79" s="16" t="str">
        <x:f>'Evaluation Plan'!L79</x:f>
        <x:v>Same-scene direct target control</x:v>
      </x:c>
      <x:c r="M79" s="16" t="str">
        <x:f>'Evaluation Plan'!M79</x:f>
        <x:v>green block</x:v>
      </x:c>
      <x:c r="N79" s="16" t="str">
        <x:f>'Evaluation Plan'!N79</x:f>
        <x:v>Right</x:v>
      </x:c>
      <x:c r="O79" s="16" t="n">
        <x:f>'Evaluation Plan'!O79</x:f>
        <x:v>2</x:v>
      </x:c>
      <x:c r="P79" s="16" t="n">
        <x:f>IF(ISBLANK('Evaluation Plan'!P79),"",'Evaluation Plan'!P79)</x:f>
        <x:v>8</x:v>
      </x:c>
      <x:c r="Q79" s="16" t="str">
        <x:f>'Evaluation Plan'!Q79</x:f>
        <x:v>Reset the target to its original pose; change only the prompt.</x:v>
      </x:c>
      <x:c r="R79" s="6" t="str">
        <x:f>'Evaluation Plan'!R79</x:f>
        <x:v>Exact-scene control using a direct prompt supported by training episode 1079.</x:v>
      </x:c>
      <x:c r="S79" s="6" t="str">
        <x:f>IF(ISBLANK('Evaluation Plan'!S79),"",'Evaluation Plan'!S79)</x:f>
      </x:c>
    </x:row>
    <x:row r="80" ht="67.5" customHeight="1">
      <x:c r="A80" s="22" t="s">
        <x:v>693</x:v>
      </x:c>
      <x:c r="B80" s="8" t="n">
        <x:f>'Evaluation Plan'!B80</x:f>
        <x:v>78</x:v>
      </x:c>
      <x:c r="C80" s="9" t="str">
        <x:f>'Evaluation Plan'!C80</x:f>
        <x:v>Pick up the smallest item and place it in the bowl.</x:v>
      </x:c>
      <x:c r="D80" s="9" t="str">
        <x:f>'Evaluation Plan'!D80</x:f>
        <x:v>Bowl: empty. Table, robot-left→robot-right: P1 juggling ball; P2 crushed Pepsi can. Adjacent centers 12 cm apart; row shifted 4 cm toward robot-left; all objects fully visible and grasp paths clear.</x:v>
      </x:c>
      <x:c r="E80" s="8" t="str">
        <x:f>IF(ISBLANK('Evaluation Plan'!E80),"",'Evaluation Plan'!E80)</x:f>
      </x:c>
      <x:c r="F80" s="8" t="str">
        <x:f>'Evaluation Plan'!F80</x:f>
        <x:v>1114</x:v>
      </x:c>
      <x:c r="G80" s="8" t="str">
        <x:f>'Evaluation Plan'!G80</x:f>
        <x:v>MOVE juggling ball to bowl</x:v>
      </x:c>
      <x:c r="H80" s="23" t="s">
        <x:v>735</x:v>
      </x:c>
      <x:c r="I80" s="8" t="str">
        <x:f>'Evaluation Plan'!I80</x:f>
        <x:v>Concept/compositional transfer</x:v>
      </x:c>
      <x:c r="J80" s="8" t="str">
        <x:f>'Evaluation Plan'!J80</x:f>
        <x:v>SZ-CT-SJ10</x:v>
      </x:c>
      <x:c r="K80" s="8" t="str">
        <x:f>'Evaluation Plan'!K80</x:f>
        <x:v>smallest</x:v>
      </x:c>
      <x:c r="L80" s="8" t="str">
        <x:f>'Evaluation Plan'!L80</x:f>
        <x:v>Held-out smallest × juggling ball — Pick up</x:v>
      </x:c>
      <x:c r="M80" s="8" t="str">
        <x:f>'Evaluation Plan'!M80</x:f>
        <x:v>juggling ball</x:v>
      </x:c>
      <x:c r="N80" s="8" t="str">
        <x:f>'Evaluation Plan'!N80</x:f>
        <x:v>Left</x:v>
      </x:c>
      <x:c r="O80" s="8" t="n">
        <x:f>'Evaluation Plan'!O80</x:f>
        <x:v>2</x:v>
      </x:c>
      <x:c r="P80" s="8" t="n">
        <x:f>IF(ISBLANK('Evaluation Plan'!P80),"",'Evaluation Plan'!P80)</x:f>
        <x:v>12</x:v>
      </x:c>
      <x:c r="Q80" s="8" t="str">
        <x:f>'Evaluation Plan'!Q80</x:f>
        <x:v>Build the listed two-object scene and save a first-frame filename.</x:v>
      </x:c>
      <x:c r="R80" s="9" t="str">
        <x:f>'Evaluation Plan'!R80</x:f>
        <x:v>Primary missing cell. Training episode 1114 contains the same target trajectory but masks the size word with a direct identity prompt.</x:v>
      </x:c>
      <x:c r="S80" s="9" t="str">
        <x:f>IF(ISBLANK('Evaluation Plan'!S80),"",'Evaluation Plan'!S80)</x:f>
      </x:c>
    </x:row>
    <x:row r="81" ht="67.5" customHeight="1">
      <x:c r="A81" s="33" t="s">
        <x:v>591</x:v>
      </x:c>
      <x:c r="B81" s="16" t="n">
        <x:f>'Evaluation Plan'!B81</x:f>
        <x:v>79</x:v>
      </x:c>
      <x:c r="C81" s="6" t="str">
        <x:f>'Evaluation Plan'!C81</x:f>
        <x:v>Put the juggling ball in the bowl.</x:v>
      </x:c>
      <x:c r="D81" s="6" t="str">
        <x:f>'Evaluation Plan'!D81</x:f>
        <x:v>Bowl: empty. Table, robot-left→robot-right: P1 juggling ball; P2 crushed Pepsi can. Adjacent centers 12 cm apart; row shifted 4 cm toward robot-left; all objects fully visible and grasp paths clear.</x:v>
      </x:c>
      <x:c r="E81" s="16" t="n">
        <x:f>IF(ISBLANK('Evaluation Plan'!E81),"",'Evaluation Plan'!E81)</x:f>
        <x:v>78</x:v>
      </x:c>
      <x:c r="F81" s="16" t="str">
        <x:f>'Evaluation Plan'!F81</x:f>
        <x:v>1104</x:v>
      </x:c>
      <x:c r="G81" s="16" t="str">
        <x:f>'Evaluation Plan'!G81</x:f>
        <x:v>MOVE juggling ball to bowl</x:v>
      </x:c>
      <x:c r="H81" s="6"/>
      <x:c r="I81" s="16" t="str">
        <x:f>'Evaluation Plan'!I81</x:f>
        <x:v>Matched manipulation control</x:v>
      </x:c>
      <x:c r="J81" s="16" t="str">
        <x:f>'Evaluation Plan'!J81</x:f>
        <x:v>SZ-CT-SJ10</x:v>
      </x:c>
      <x:c r="K81" s="16" t="str">
        <x:f>'Evaluation Plan'!K81</x:f>
        <x:v>Direct</x:v>
      </x:c>
      <x:c r="L81" s="16" t="str">
        <x:f>'Evaluation Plan'!L81</x:f>
        <x:v>Same-scene direct target control</x:v>
      </x:c>
      <x:c r="M81" s="16" t="str">
        <x:f>'Evaluation Plan'!M81</x:f>
        <x:v>juggling ball</x:v>
      </x:c>
      <x:c r="N81" s="16" t="str">
        <x:f>'Evaluation Plan'!N81</x:f>
        <x:v>Left</x:v>
      </x:c>
      <x:c r="O81" s="16" t="n">
        <x:f>'Evaluation Plan'!O81</x:f>
        <x:v>2</x:v>
      </x:c>
      <x:c r="P81" s="16" t="n">
        <x:f>IF(ISBLANK('Evaluation Plan'!P81),"",'Evaluation Plan'!P81)</x:f>
        <x:v>12</x:v>
      </x:c>
      <x:c r="Q81" s="16" t="str">
        <x:f>'Evaluation Plan'!Q81</x:f>
        <x:v>Reset the target to its original pose; change only the prompt.</x:v>
      </x:c>
      <x:c r="R81" s="6" t="str">
        <x:f>'Evaluation Plan'!R81</x:f>
        <x:v>Exact-scene control using a direct prompt supported by training episode 1104.</x:v>
      </x:c>
      <x:c r="S81" s="6" t="str">
        <x:f>IF(ISBLANK('Evaluation Plan'!S81),"",'Evaluation Plan'!S81)</x:f>
      </x:c>
    </x:row>
    <x:row r="82" ht="67.5" customHeight="1">
      <x:c r="A82" s="22" t="s">
        <x:v>591</x:v>
      </x:c>
      <x:c r="B82" s="8" t="n">
        <x:f>'Evaluation Plan'!B82</x:f>
        <x:v>80</x:v>
      </x:c>
      <x:c r="C82" s="9" t="str">
        <x:f>'Evaluation Plan'!C82</x:f>
        <x:v>Pick up the largest item and place it in the bowl.</x:v>
      </x:c>
      <x:c r="D82" s="9" t="str">
        <x:f>'Evaluation Plan'!D82</x:f>
        <x:v>Bowl: empty. Table, robot-left→robot-right: P1 green block; P2 red pencil sharpener. Adjacent centers 12 cm apart; row centered on the workspace; all objects fully visible and grasp paths clear.</x:v>
      </x:c>
      <x:c r="E82" s="8" t="str">
        <x:f>IF(ISBLANK('Evaluation Plan'!E82),"",'Evaluation Plan'!E82)</x:f>
      </x:c>
      <x:c r="F82" s="8" t="str">
        <x:f>'Evaluation Plan'!F82</x:f>
        <x:v>1090</x:v>
      </x:c>
      <x:c r="G82" s="8" t="str">
        <x:f>'Evaluation Plan'!G82</x:f>
        <x:v>MOVE green block to bowl</x:v>
      </x:c>
      <x:c r="H82" s="9"/>
      <x:c r="I82" s="8" t="str">
        <x:f>'Evaluation Plan'!I82</x:f>
        <x:v>Concept/compositional transfer</x:v>
      </x:c>
      <x:c r="J82" s="8" t="str">
        <x:f>'Evaluation Plan'!J82</x:f>
        <x:v>SZ-CT-LG11</x:v>
      </x:c>
      <x:c r="K82" s="8" t="str">
        <x:f>'Evaluation Plan'!K82</x:f>
        <x:v>largest</x:v>
      </x:c>
      <x:c r="L82" s="8" t="str">
        <x:f>'Evaluation Plan'!L82</x:f>
        <x:v>Held-out largest × green block — Pick up</x:v>
      </x:c>
      <x:c r="M82" s="8" t="str">
        <x:f>'Evaluation Plan'!M82</x:f>
        <x:v>green block</x:v>
      </x:c>
      <x:c r="N82" s="8" t="str">
        <x:f>'Evaluation Plan'!N82</x:f>
        <x:v>Left</x:v>
      </x:c>
      <x:c r="O82" s="8" t="n">
        <x:f>'Evaluation Plan'!O82</x:f>
        <x:v>2</x:v>
      </x:c>
      <x:c r="P82" s="8" t="n">
        <x:f>IF(ISBLANK('Evaluation Plan'!P82),"",'Evaluation Plan'!P82)</x:f>
        <x:v>12</x:v>
      </x:c>
      <x:c r="Q82" s="8" t="str">
        <x:f>'Evaluation Plan'!Q82</x:f>
        <x:v>Build the listed two-object scene and save a first-frame filename.</x:v>
      </x:c>
      <x:c r="R82" s="9" t="str">
        <x:f>'Evaluation Plan'!R82</x:f>
        <x:v>Primary missing cell. Training episode 1090 contains the same target trajectory but masks the size word with a direct identity prompt.</x:v>
      </x:c>
      <x:c r="S82" s="9" t="str">
        <x:f>IF(ISBLANK('Evaluation Plan'!S82),"",'Evaluation Plan'!S82)</x:f>
      </x:c>
    </x:row>
    <x:row r="83" ht="67.5" customHeight="1">
      <x:c r="A83" s="22" t="s">
        <x:v>591</x:v>
      </x:c>
      <x:c r="B83" s="8" t="n">
        <x:f>'Evaluation Plan'!B83</x:f>
        <x:v>81</x:v>
      </x:c>
      <x:c r="C83" s="9" t="str">
        <x:f>'Evaluation Plan'!C83</x:f>
        <x:v>Put the smallest object in the bowl.</x:v>
      </x:c>
      <x:c r="D83" s="9" t="str">
        <x:f>'Evaluation Plan'!D83</x:f>
        <x:v>Bowl: empty. Table, robot-left→robot-right: P1 crushed Pepsi can; P2 juggling ball. Adjacent centers 16 cm apart; row shifted 4 cm toward robot-right; all objects fully visible and grasp paths clear.</x:v>
      </x:c>
      <x:c r="E83" s="8" t="str">
        <x:f>IF(ISBLANK('Evaluation Plan'!E83),"",'Evaluation Plan'!E83)</x:f>
      </x:c>
      <x:c r="F83" s="8" t="str">
        <x:f>'Evaluation Plan'!F83</x:f>
        <x:v>1115</x:v>
      </x:c>
      <x:c r="G83" s="8" t="str">
        <x:f>'Evaluation Plan'!G83</x:f>
        <x:v>MOVE juggling ball to bowl</x:v>
      </x:c>
      <x:c r="H83" s="23" t="s">
        <x:v>736</x:v>
      </x:c>
      <x:c r="I83" s="8" t="str">
        <x:f>'Evaluation Plan'!I83</x:f>
        <x:v>Concept/compositional transfer</x:v>
      </x:c>
      <x:c r="J83" s="8" t="str">
        <x:f>'Evaluation Plan'!J83</x:f>
        <x:v>SZ-CT-SJ11</x:v>
      </x:c>
      <x:c r="K83" s="8" t="str">
        <x:f>'Evaluation Plan'!K83</x:f>
        <x:v>smallest</x:v>
      </x:c>
      <x:c r="L83" s="8" t="str">
        <x:f>'Evaluation Plan'!L83</x:f>
        <x:v>Held-out smallest × juggling ball — Put</x:v>
      </x:c>
      <x:c r="M83" s="8" t="str">
        <x:f>'Evaluation Plan'!M83</x:f>
        <x:v>juggling ball</x:v>
      </x:c>
      <x:c r="N83" s="8" t="str">
        <x:f>'Evaluation Plan'!N83</x:f>
        <x:v>Right</x:v>
      </x:c>
      <x:c r="O83" s="8" t="n">
        <x:f>'Evaluation Plan'!O83</x:f>
        <x:v>2</x:v>
      </x:c>
      <x:c r="P83" s="8" t="n">
        <x:f>IF(ISBLANK('Evaluation Plan'!P83),"",'Evaluation Plan'!P83)</x:f>
        <x:v>16</x:v>
      </x:c>
      <x:c r="Q83" s="8" t="str">
        <x:f>'Evaluation Plan'!Q83</x:f>
        <x:v>Build the listed two-object scene and save a first-frame filename.</x:v>
      </x:c>
      <x:c r="R83" s="9" t="str">
        <x:f>'Evaluation Plan'!R83</x:f>
        <x:v>Primary missing cell. Training episode 1115 contains the same target trajectory but masks the size word with a direct identity prompt.</x:v>
      </x:c>
      <x:c r="S83" s="9" t="str">
        <x:f>IF(ISBLANK('Evaluation Plan'!S83),"",'Evaluation Plan'!S83)</x:f>
      </x:c>
    </x:row>
    <x:row r="84" ht="67.5" customHeight="1">
      <x:c r="A84" s="22" t="s">
        <x:v>591</x:v>
      </x:c>
      <x:c r="B84" s="8" t="n">
        <x:f>'Evaluation Plan'!B84</x:f>
        <x:v>82</x:v>
      </x:c>
      <x:c r="C84" s="9" t="str">
        <x:f>'Evaluation Plan'!C84</x:f>
        <x:v>Put the largest object in the bowl.</x:v>
      </x:c>
      <x:c r="D84" s="9" t="str">
        <x:f>'Evaluation Plan'!D84</x:f>
        <x:v>Bowl: empty. Table, robot-left→robot-right: P1 red pencil sharpener; P2 green block. Adjacent centers 16 cm apart; row shifted 4 cm toward robot-left; all objects fully visible and grasp paths clear.</x:v>
      </x:c>
      <x:c r="E84" s="8" t="str">
        <x:f>IF(ISBLANK('Evaluation Plan'!E84),"",'Evaluation Plan'!E84)</x:f>
      </x:c>
      <x:c r="F84" s="8" t="str">
        <x:f>'Evaluation Plan'!F84</x:f>
        <x:v>1091</x:v>
      </x:c>
      <x:c r="G84" s="8" t="str">
        <x:f>'Evaluation Plan'!G84</x:f>
        <x:v>MOVE green block to bowl</x:v>
      </x:c>
      <x:c r="H84" s="23"/>
      <x:c r="I84" s="8" t="str">
        <x:f>'Evaluation Plan'!I84</x:f>
        <x:v>Concept/compositional transfer</x:v>
      </x:c>
      <x:c r="J84" s="8" t="str">
        <x:f>'Evaluation Plan'!J84</x:f>
        <x:v>SZ-CT-LG12</x:v>
      </x:c>
      <x:c r="K84" s="8" t="str">
        <x:f>'Evaluation Plan'!K84</x:f>
        <x:v>largest</x:v>
      </x:c>
      <x:c r="L84" s="8" t="str">
        <x:f>'Evaluation Plan'!L84</x:f>
        <x:v>Held-out largest × green block — Put</x:v>
      </x:c>
      <x:c r="M84" s="8" t="str">
        <x:f>'Evaluation Plan'!M84</x:f>
        <x:v>green block</x:v>
      </x:c>
      <x:c r="N84" s="8" t="str">
        <x:f>'Evaluation Plan'!N84</x:f>
        <x:v>Right</x:v>
      </x:c>
      <x:c r="O84" s="8" t="n">
        <x:f>'Evaluation Plan'!O84</x:f>
        <x:v>2</x:v>
      </x:c>
      <x:c r="P84" s="8" t="n">
        <x:f>IF(ISBLANK('Evaluation Plan'!P84),"",'Evaluation Plan'!P84)</x:f>
        <x:v>16</x:v>
      </x:c>
      <x:c r="Q84" s="8" t="str">
        <x:f>'Evaluation Plan'!Q84</x:f>
        <x:v>Build the listed two-object scene and save a first-frame filename.</x:v>
      </x:c>
      <x:c r="R84" s="9" t="str">
        <x:f>'Evaluation Plan'!R84</x:f>
        <x:v>Primary missing cell. Training episode 1091 contains the same target trajectory but masks the size word with a direct identity prompt.</x:v>
      </x:c>
      <x:c r="S84" s="9" t="str">
        <x:f>IF(ISBLANK('Evaluation Plan'!S84),"",'Evaluation Plan'!S84)</x:f>
      </x:c>
    </x:row>
    <x:row r="85" ht="67.5" customHeight="1">
      <x:c r="A85" s="22" t="s">
        <x:v>693</x:v>
      </x:c>
      <x:c r="B85" s="8" t="n">
        <x:f>'Evaluation Plan'!B85</x:f>
        <x:v>83</x:v>
      </x:c>
      <x:c r="C85" s="9" t="str">
        <x:f>'Evaluation Plan'!C85</x:f>
        <x:v>Move the object that is smallest into the bowl.</x:v>
      </x:c>
      <x:c r="D85" s="9" t="str">
        <x:f>'Evaluation Plan'!D85</x:f>
        <x:v>Bowl: empty. Table, robot-left→robot-right: P1 juggling ball; P2 crushed Pepsi can. Adjacent centers 8 cm apart; row shifted 4 cm toward the robot; all objects fully visible and grasp paths clear.</x:v>
      </x:c>
      <x:c r="E85" s="8" t="str">
        <x:f>IF(ISBLANK('Evaluation Plan'!E85),"",'Evaluation Plan'!E85)</x:f>
      </x:c>
      <x:c r="F85" s="8" t="str">
        <x:f>'Evaluation Plan'!F85</x:f>
        <x:v>1116</x:v>
      </x:c>
      <x:c r="G85" s="8" t="str">
        <x:f>'Evaluation Plan'!G85</x:f>
        <x:v>MOVE juggling ball to bowl</x:v>
      </x:c>
      <x:c r="H85" s="23" t="s">
        <x:v>737</x:v>
      </x:c>
      <x:c r="I85" s="8" t="str">
        <x:f>'Evaluation Plan'!I85</x:f>
        <x:v>Concept/compositional transfer</x:v>
      </x:c>
      <x:c r="J85" s="8" t="str">
        <x:f>'Evaluation Plan'!J85</x:f>
        <x:v>SZ-CT-SJ12</x:v>
      </x:c>
      <x:c r="K85" s="8" t="str">
        <x:f>'Evaluation Plan'!K85</x:f>
        <x:v>smallest</x:v>
      </x:c>
      <x:c r="L85" s="8" t="str">
        <x:f>'Evaluation Plan'!L85</x:f>
        <x:v>Held-out smallest × juggling ball — Move</x:v>
      </x:c>
      <x:c r="M85" s="8" t="str">
        <x:f>'Evaluation Plan'!M85</x:f>
        <x:v>juggling ball</x:v>
      </x:c>
      <x:c r="N85" s="8" t="str">
        <x:f>'Evaluation Plan'!N85</x:f>
        <x:v>Left</x:v>
      </x:c>
      <x:c r="O85" s="8" t="n">
        <x:f>'Evaluation Plan'!O85</x:f>
        <x:v>2</x:v>
      </x:c>
      <x:c r="P85" s="8" t="n">
        <x:f>IF(ISBLANK('Evaluation Plan'!P85),"",'Evaluation Plan'!P85)</x:f>
        <x:v>8</x:v>
      </x:c>
      <x:c r="Q85" s="8" t="str">
        <x:f>'Evaluation Plan'!Q85</x:f>
        <x:v>Build the listed two-object scene and save a first-frame filename.</x:v>
      </x:c>
      <x:c r="R85" s="9" t="str">
        <x:f>'Evaluation Plan'!R85</x:f>
        <x:v>Primary missing cell. Training episode 1116 contains the same target trajectory but masks the size word with a direct identity prompt.</x:v>
      </x:c>
      <x:c r="S85" s="9" t="str">
        <x:f>IF(ISBLANK('Evaluation Plan'!S85),"",'Evaluation Plan'!S85)</x:f>
      </x:c>
    </x:row>
    <x:row r="86" ht="67.5" customHeight="1">
      <x:c r="A86" s="22" t="s">
        <x:v>693</x:v>
      </x:c>
      <x:c r="B86" s="8" t="n">
        <x:f>'Evaluation Plan'!B86</x:f>
        <x:v>84</x:v>
      </x:c>
      <x:c r="C86" s="9" t="str">
        <x:f>'Evaluation Plan'!C86</x:f>
        <x:v>Move the object that is largest into the bowl.</x:v>
      </x:c>
      <x:c r="D86" s="9" t="str">
        <x:f>'Evaluation Plan'!D86</x:f>
        <x:v>Bowl: empty. Table, robot-left→robot-right: P1 green block; P2 red pencil sharpener. Adjacent centers 8 cm apart; row shifted 4 cm toward robot-right; all objects fully visible and grasp paths clear.</x:v>
      </x:c>
      <x:c r="E86" s="8" t="str">
        <x:f>IF(ISBLANK('Evaluation Plan'!E86),"",'Evaluation Plan'!E86)</x:f>
      </x:c>
      <x:c r="F86" s="8" t="str">
        <x:f>'Evaluation Plan'!F86</x:f>
        <x:v>1092</x:v>
      </x:c>
      <x:c r="G86" s="8" t="str">
        <x:f>'Evaluation Plan'!G86</x:f>
        <x:v>MOVE green block to bowl</x:v>
      </x:c>
      <x:c r="H86" s="23" t="s">
        <x:v>738</x:v>
      </x:c>
      <x:c r="I86" s="8" t="str">
        <x:f>'Evaluation Plan'!I86</x:f>
        <x:v>Concept/compositional transfer</x:v>
      </x:c>
      <x:c r="J86" s="8" t="str">
        <x:f>'Evaluation Plan'!J86</x:f>
        <x:v>SZ-CT-LG13</x:v>
      </x:c>
      <x:c r="K86" s="8" t="str">
        <x:f>'Evaluation Plan'!K86</x:f>
        <x:v>largest</x:v>
      </x:c>
      <x:c r="L86" s="8" t="str">
        <x:f>'Evaluation Plan'!L86</x:f>
        <x:v>Held-out largest × green block — Move</x:v>
      </x:c>
      <x:c r="M86" s="8" t="str">
        <x:f>'Evaluation Plan'!M86</x:f>
        <x:v>green block</x:v>
      </x:c>
      <x:c r="N86" s="8" t="str">
        <x:f>'Evaluation Plan'!N86</x:f>
        <x:v>Left</x:v>
      </x:c>
      <x:c r="O86" s="8" t="n">
        <x:f>'Evaluation Plan'!O86</x:f>
        <x:v>2</x:v>
      </x:c>
      <x:c r="P86" s="8" t="n">
        <x:f>IF(ISBLANK('Evaluation Plan'!P86),"",'Evaluation Plan'!P86)</x:f>
        <x:v>8</x:v>
      </x:c>
      <x:c r="Q86" s="8" t="str">
        <x:f>'Evaluation Plan'!Q86</x:f>
        <x:v>Build the listed two-object scene and save a first-frame filename.</x:v>
      </x:c>
      <x:c r="R86" s="9" t="str">
        <x:f>'Evaluation Plan'!R86</x:f>
        <x:v>Primary missing cell. Training episode 1092 contains the same target trajectory but masks the size word with a direct identity prompt.</x:v>
      </x:c>
      <x:c r="S86" s="9" t="str">
        <x:f>IF(ISBLANK('Evaluation Plan'!S86),"",'Evaluation Plan'!S86)</x:f>
      </x:c>
    </x:row>
    <x:row r="87" ht="67.5" customHeight="1">
      <x:c r="A87" s="22" t="s">
        <x:v>591</x:v>
      </x:c>
      <x:c r="B87" s="8" t="n">
        <x:f>'Evaluation Plan'!B87</x:f>
        <x:v>85</x:v>
      </x:c>
      <x:c r="C87" s="9" t="str">
        <x:f>'Evaluation Plan'!C87</x:f>
        <x:v>Pick up the smallest item and place it in the bowl.</x:v>
      </x:c>
      <x:c r="D87" s="9" t="str">
        <x:f>'Evaluation Plan'!D87</x:f>
        <x:v>Bowl: empty. Table, robot-left→robot-right: P1 crushed Pepsi can; P2 juggling ball. Adjacent centers 12 cm apart; row shifted 4 cm away from the robot; all objects fully visible and grasp paths clear.</x:v>
      </x:c>
      <x:c r="E87" s="8" t="str">
        <x:f>IF(ISBLANK('Evaluation Plan'!E87),"",'Evaluation Plan'!E87)</x:f>
      </x:c>
      <x:c r="F87" s="8" t="str">
        <x:f>'Evaluation Plan'!F87</x:f>
        <x:v>1117</x:v>
      </x:c>
      <x:c r="G87" s="8" t="str">
        <x:f>'Evaluation Plan'!G87</x:f>
        <x:v>MOVE juggling ball to bowl</x:v>
      </x:c>
      <x:c r="H87" s="23" t="s">
        <x:v>739</x:v>
      </x:c>
      <x:c r="I87" s="8" t="str">
        <x:f>'Evaluation Plan'!I87</x:f>
        <x:v>Concept/compositional transfer</x:v>
      </x:c>
      <x:c r="J87" s="8" t="str">
        <x:f>'Evaluation Plan'!J87</x:f>
        <x:v>SZ-CT-SJ13</x:v>
      </x:c>
      <x:c r="K87" s="8" t="str">
        <x:f>'Evaluation Plan'!K87</x:f>
        <x:v>smallest</x:v>
      </x:c>
      <x:c r="L87" s="8" t="str">
        <x:f>'Evaluation Plan'!L87</x:f>
        <x:v>Held-out smallest × juggling ball — Pick up</x:v>
      </x:c>
      <x:c r="M87" s="8" t="str">
        <x:f>'Evaluation Plan'!M87</x:f>
        <x:v>juggling ball</x:v>
      </x:c>
      <x:c r="N87" s="8" t="str">
        <x:f>'Evaluation Plan'!N87</x:f>
        <x:v>Right</x:v>
      </x:c>
      <x:c r="O87" s="8" t="n">
        <x:f>'Evaluation Plan'!O87</x:f>
        <x:v>2</x:v>
      </x:c>
      <x:c r="P87" s="8" t="n">
        <x:f>IF(ISBLANK('Evaluation Plan'!P87),"",'Evaluation Plan'!P87)</x:f>
        <x:v>12</x:v>
      </x:c>
      <x:c r="Q87" s="8" t="str">
        <x:f>'Evaluation Plan'!Q87</x:f>
        <x:v>Build the listed two-object scene and save a first-frame filename.</x:v>
      </x:c>
      <x:c r="R87" s="9" t="str">
        <x:f>'Evaluation Plan'!R87</x:f>
        <x:v>Primary missing cell. Training episode 1117 contains the same target trajectory but masks the size word with a direct identity prompt.</x:v>
      </x:c>
      <x:c r="S87" s="9" t="str">
        <x:f>IF(ISBLANK('Evaluation Plan'!S87),"",'Evaluation Plan'!S87)</x:f>
      </x:c>
    </x:row>
    <x:row r="88" ht="67.5" customHeight="1">
      <x:c r="A88" s="22" t="s">
        <x:v>591</x:v>
      </x:c>
      <x:c r="B88" s="8" t="n">
        <x:f>'Evaluation Plan'!B88</x:f>
        <x:v>86</x:v>
      </x:c>
      <x:c r="C88" s="9" t="str">
        <x:f>'Evaluation Plan'!C88</x:f>
        <x:v>Pick up the largest item and place it in the bowl.</x:v>
      </x:c>
      <x:c r="D88" s="9" t="str">
        <x:f>'Evaluation Plan'!D88</x:f>
        <x:v>Bowl: empty. Table, robot-left→robot-right: P1 red pencil sharpener; P2 green block. Adjacent centers 12 cm apart; row shifted 4 cm toward the robot; all objects fully visible and grasp paths clear.</x:v>
      </x:c>
      <x:c r="E88" s="8" t="str">
        <x:f>IF(ISBLANK('Evaluation Plan'!E88),"",'Evaluation Plan'!E88)</x:f>
      </x:c>
      <x:c r="F88" s="8" t="str">
        <x:f>'Evaluation Plan'!F88</x:f>
        <x:v>1093</x:v>
      </x:c>
      <x:c r="G88" s="8" t="str">
        <x:f>'Evaluation Plan'!G88</x:f>
        <x:v>MOVE green block to bowl</x:v>
      </x:c>
      <x:c r="H88" s="9"/>
      <x:c r="I88" s="8" t="str">
        <x:f>'Evaluation Plan'!I88</x:f>
        <x:v>Concept/compositional transfer</x:v>
      </x:c>
      <x:c r="J88" s="8" t="str">
        <x:f>'Evaluation Plan'!J88</x:f>
        <x:v>SZ-CT-LG14</x:v>
      </x:c>
      <x:c r="K88" s="8" t="str">
        <x:f>'Evaluation Plan'!K88</x:f>
        <x:v>largest</x:v>
      </x:c>
      <x:c r="L88" s="8" t="str">
        <x:f>'Evaluation Plan'!L88</x:f>
        <x:v>Held-out largest × green block — Pick up</x:v>
      </x:c>
      <x:c r="M88" s="8" t="str">
        <x:f>'Evaluation Plan'!M88</x:f>
        <x:v>green block</x:v>
      </x:c>
      <x:c r="N88" s="8" t="str">
        <x:f>'Evaluation Plan'!N88</x:f>
        <x:v>Right</x:v>
      </x:c>
      <x:c r="O88" s="8" t="n">
        <x:f>'Evaluation Plan'!O88</x:f>
        <x:v>2</x:v>
      </x:c>
      <x:c r="P88" s="8" t="n">
        <x:f>IF(ISBLANK('Evaluation Plan'!P88),"",'Evaluation Plan'!P88)</x:f>
        <x:v>12</x:v>
      </x:c>
      <x:c r="Q88" s="8" t="str">
        <x:f>'Evaluation Plan'!Q88</x:f>
        <x:v>Build the listed two-object scene and save a first-frame filename.</x:v>
      </x:c>
      <x:c r="R88" s="9" t="str">
        <x:f>'Evaluation Plan'!R88</x:f>
        <x:v>Primary missing cell. Training episode 1093 contains the same target trajectory but masks the size word with a direct identity prompt.</x:v>
      </x:c>
      <x:c r="S88" s="9" t="str">
        <x:f>IF(ISBLANK('Evaluation Plan'!S88),"",'Evaluation Plan'!S88)</x:f>
      </x:c>
    </x:row>
    <x:row r="89" ht="67.5" customHeight="1">
      <x:c r="A89" s="22" t="s">
        <x:v>591</x:v>
      </x:c>
      <x:c r="B89" s="8" t="n">
        <x:f>'Evaluation Plan'!B89</x:f>
        <x:v>87</x:v>
      </x:c>
      <x:c r="C89" s="9" t="str">
        <x:f>'Evaluation Plan'!C89</x:f>
        <x:v>Put the smallest object in the bowl.</x:v>
      </x:c>
      <x:c r="D89" s="9" t="str">
        <x:f>'Evaluation Plan'!D89</x:f>
        <x:v>Bowl: empty. Table, robot-left→robot-right: P1 juggling ball; P2 crushed Pepsi can. Adjacent centers 16 cm apart; row centered on the workspace; all objects fully visible and grasp paths clear.</x:v>
      </x:c>
      <x:c r="E89" s="8" t="str">
        <x:f>IF(ISBLANK('Evaluation Plan'!E89),"",'Evaluation Plan'!E89)</x:f>
      </x:c>
      <x:c r="F89" s="8" t="str">
        <x:f>'Evaluation Plan'!F89</x:f>
        <x:v>1118</x:v>
      </x:c>
      <x:c r="G89" s="8" t="str">
        <x:f>'Evaluation Plan'!G89</x:f>
        <x:v>MOVE juggling ball to bowl</x:v>
      </x:c>
      <x:c r="H89" s="9"/>
      <x:c r="I89" s="8" t="str">
        <x:f>'Evaluation Plan'!I89</x:f>
        <x:v>Concept/compositional transfer</x:v>
      </x:c>
      <x:c r="J89" s="8" t="str">
        <x:f>'Evaluation Plan'!J89</x:f>
        <x:v>SZ-CT-SJ14</x:v>
      </x:c>
      <x:c r="K89" s="8" t="str">
        <x:f>'Evaluation Plan'!K89</x:f>
        <x:v>smallest</x:v>
      </x:c>
      <x:c r="L89" s="8" t="str">
        <x:f>'Evaluation Plan'!L89</x:f>
        <x:v>Held-out smallest × juggling ball — Put</x:v>
      </x:c>
      <x:c r="M89" s="8" t="str">
        <x:f>'Evaluation Plan'!M89</x:f>
        <x:v>juggling ball</x:v>
      </x:c>
      <x:c r="N89" s="8" t="str">
        <x:f>'Evaluation Plan'!N89</x:f>
        <x:v>Left</x:v>
      </x:c>
      <x:c r="O89" s="8" t="n">
        <x:f>'Evaluation Plan'!O89</x:f>
        <x:v>2</x:v>
      </x:c>
      <x:c r="P89" s="8" t="n">
        <x:f>IF(ISBLANK('Evaluation Plan'!P89),"",'Evaluation Plan'!P89)</x:f>
        <x:v>16</x:v>
      </x:c>
      <x:c r="Q89" s="8" t="str">
        <x:f>'Evaluation Plan'!Q89</x:f>
        <x:v>Build the listed two-object scene and save a first-frame filename.</x:v>
      </x:c>
      <x:c r="R89" s="9" t="str">
        <x:f>'Evaluation Plan'!R89</x:f>
        <x:v>Primary missing cell. Training episode 1118 contains the same target trajectory but masks the size word with a direct identity prompt.</x:v>
      </x:c>
      <x:c r="S89" s="9" t="str">
        <x:f>IF(ISBLANK('Evaluation Plan'!S89),"",'Evaluation Plan'!S89)</x:f>
      </x:c>
    </x:row>
    <x:row r="90" ht="67.5" customHeight="1">
      <x:c r="A90" s="22" t="s">
        <x:v>693</x:v>
      </x:c>
      <x:c r="B90" s="8" t="n">
        <x:f>'Evaluation Plan'!B90</x:f>
        <x:v>88</x:v>
      </x:c>
      <x:c r="C90" s="9" t="str">
        <x:f>'Evaluation Plan'!C90</x:f>
        <x:v>Put the largest object in the bowl.</x:v>
      </x:c>
      <x:c r="D90" s="9" t="str">
        <x:f>'Evaluation Plan'!D90</x:f>
        <x:v>Bowl: empty. Table, robot-left→robot-right: P1 green block; P2 red pencil sharpener. Adjacent centers 16 cm apart; row shifted 4 cm away from the robot; all objects fully visible and grasp paths clear.</x:v>
      </x:c>
      <x:c r="E90" s="8" t="str">
        <x:f>IF(ISBLANK('Evaluation Plan'!E90),"",'Evaluation Plan'!E90)</x:f>
      </x:c>
      <x:c r="F90" s="8" t="str">
        <x:f>'Evaluation Plan'!F90</x:f>
        <x:v>1094</x:v>
      </x:c>
      <x:c r="G90" s="8" t="str">
        <x:f>'Evaluation Plan'!G90</x:f>
        <x:v>MOVE green block to bowl</x:v>
      </x:c>
      <x:c r="H90" s="23" t="s">
        <x:v>740</x:v>
      </x:c>
      <x:c r="I90" s="8" t="str">
        <x:f>'Evaluation Plan'!I90</x:f>
        <x:v>Concept/compositional transfer</x:v>
      </x:c>
      <x:c r="J90" s="8" t="str">
        <x:f>'Evaluation Plan'!J90</x:f>
        <x:v>SZ-CT-LG15</x:v>
      </x:c>
      <x:c r="K90" s="8" t="str">
        <x:f>'Evaluation Plan'!K90</x:f>
        <x:v>largest</x:v>
      </x:c>
      <x:c r="L90" s="8" t="str">
        <x:f>'Evaluation Plan'!L90</x:f>
        <x:v>Held-out largest × green block — Put</x:v>
      </x:c>
      <x:c r="M90" s="8" t="str">
        <x:f>'Evaluation Plan'!M90</x:f>
        <x:v>green block</x:v>
      </x:c>
      <x:c r="N90" s="8" t="str">
        <x:f>'Evaluation Plan'!N90</x:f>
        <x:v>Left</x:v>
      </x:c>
      <x:c r="O90" s="8" t="n">
        <x:f>'Evaluation Plan'!O90</x:f>
        <x:v>2</x:v>
      </x:c>
      <x:c r="P90" s="8" t="n">
        <x:f>IF(ISBLANK('Evaluation Plan'!P90),"",'Evaluation Plan'!P90)</x:f>
        <x:v>16</x:v>
      </x:c>
      <x:c r="Q90" s="8" t="str">
        <x:f>'Evaluation Plan'!Q90</x:f>
        <x:v>Build the listed two-object scene and save a first-frame filename.</x:v>
      </x:c>
      <x:c r="R90" s="9" t="str">
        <x:f>'Evaluation Plan'!R90</x:f>
        <x:v>Primary missing cell. Training episode 1094 contains the same target trajectory but masks the size word with a direct identity prompt.</x:v>
      </x:c>
      <x:c r="S90" s="9" t="str">
        <x:f>IF(ISBLANK('Evaluation Plan'!S90),"",'Evaluation Plan'!S90)</x:f>
      </x:c>
    </x:row>
    <x:row r="91" ht="67.5" customHeight="1">
      <x:c r="A91" s="22" t="s">
        <x:v>591</x:v>
      </x:c>
      <x:c r="B91" s="8" t="n">
        <x:f>'Evaluation Plan'!B91</x:f>
        <x:v>89</x:v>
      </x:c>
      <x:c r="C91" s="9" t="str">
        <x:f>'Evaluation Plan'!C91</x:f>
        <x:v>Move the object that is smallest into the bowl.</x:v>
      </x:c>
      <x:c r="D91" s="9" t="str">
        <x:f>'Evaluation Plan'!D91</x:f>
        <x:v>Bowl: empty. Table, robot-left→robot-right: P1 crushed Pepsi can; P2 juggling ball. Adjacent centers 8 cm apart; row shifted 4 cm toward robot-left; all objects fully visible and grasp paths clear.</x:v>
      </x:c>
      <x:c r="E91" s="8" t="str">
        <x:f>IF(ISBLANK('Evaluation Plan'!E91),"",'Evaluation Plan'!E91)</x:f>
      </x:c>
      <x:c r="F91" s="8" t="str">
        <x:f>'Evaluation Plan'!F91</x:f>
        <x:v>1119</x:v>
      </x:c>
      <x:c r="G91" s="8" t="str">
        <x:f>'Evaluation Plan'!G91</x:f>
        <x:v>MOVE juggling ball to bowl</x:v>
      </x:c>
      <x:c r="H91" s="9"/>
      <x:c r="I91" s="8" t="str">
        <x:f>'Evaluation Plan'!I91</x:f>
        <x:v>Concept/compositional transfer</x:v>
      </x:c>
      <x:c r="J91" s="8" t="str">
        <x:f>'Evaluation Plan'!J91</x:f>
        <x:v>SZ-CT-SJ15</x:v>
      </x:c>
      <x:c r="K91" s="8" t="str">
        <x:f>'Evaluation Plan'!K91</x:f>
        <x:v>smallest</x:v>
      </x:c>
      <x:c r="L91" s="8" t="str">
        <x:f>'Evaluation Plan'!L91</x:f>
        <x:v>Held-out smallest × juggling ball — Move</x:v>
      </x:c>
      <x:c r="M91" s="8" t="str">
        <x:f>'Evaluation Plan'!M91</x:f>
        <x:v>juggling ball</x:v>
      </x:c>
      <x:c r="N91" s="8" t="str">
        <x:f>'Evaluation Plan'!N91</x:f>
        <x:v>Right</x:v>
      </x:c>
      <x:c r="O91" s="8" t="n">
        <x:f>'Evaluation Plan'!O91</x:f>
        <x:v>2</x:v>
      </x:c>
      <x:c r="P91" s="8" t="n">
        <x:f>IF(ISBLANK('Evaluation Plan'!P91),"",'Evaluation Plan'!P91)</x:f>
        <x:v>8</x:v>
      </x:c>
      <x:c r="Q91" s="8" t="str">
        <x:f>'Evaluation Plan'!Q91</x:f>
        <x:v>Build the listed two-object scene and save a first-frame filename.</x:v>
      </x:c>
      <x:c r="R91" s="9" t="str">
        <x:f>'Evaluation Plan'!R91</x:f>
        <x:v>Primary missing cell. Training episode 1119 contains the same target trajectory but masks the size word with a direct identity prompt.</x:v>
      </x:c>
      <x:c r="S91" s="9" t="str">
        <x:f>IF(ISBLANK('Evaluation Plan'!S91),"",'Evaluation Plan'!S91)</x:f>
      </x:c>
    </x:row>
    <x:row r="92" ht="67.5" customHeight="1">
      <x:c r="A92" s="22" t="s">
        <x:v>693</x:v>
      </x:c>
      <x:c r="B92" s="8" t="n">
        <x:f>'Evaluation Plan'!B92</x:f>
        <x:v>90</x:v>
      </x:c>
      <x:c r="C92" s="9" t="str">
        <x:f>'Evaluation Plan'!C92</x:f>
        <x:v>Move the object that is largest into the bowl.</x:v>
      </x:c>
      <x:c r="D92" s="9" t="str">
        <x:f>'Evaluation Plan'!D92</x:f>
        <x:v>Bowl: empty. Table, robot-left→robot-right: P1 red pencil sharpener; P2 green block. Adjacent centers 8 cm apart; row centered on the workspace; all objects fully visible and grasp paths clear.</x:v>
      </x:c>
      <x:c r="E92" s="8" t="str">
        <x:f>IF(ISBLANK('Evaluation Plan'!E92),"",'Evaluation Plan'!E92)</x:f>
      </x:c>
      <x:c r="F92" s="8" t="str">
        <x:f>'Evaluation Plan'!F92</x:f>
        <x:v>1095</x:v>
      </x:c>
      <x:c r="G92" s="8" t="str">
        <x:f>'Evaluation Plan'!G92</x:f>
        <x:v>MOVE green block to bowl</x:v>
      </x:c>
      <x:c r="H92" s="23" t="s">
        <x:v>741</x:v>
      </x:c>
      <x:c r="I92" s="8" t="str">
        <x:f>'Evaluation Plan'!I92</x:f>
        <x:v>Concept/compositional transfer</x:v>
      </x:c>
      <x:c r="J92" s="8" t="str">
        <x:f>'Evaluation Plan'!J92</x:f>
        <x:v>SZ-CT-LG16</x:v>
      </x:c>
      <x:c r="K92" s="8" t="str">
        <x:f>'Evaluation Plan'!K92</x:f>
        <x:v>largest</x:v>
      </x:c>
      <x:c r="L92" s="8" t="str">
        <x:f>'Evaluation Plan'!L92</x:f>
        <x:v>Held-out largest × green block — Move</x:v>
      </x:c>
      <x:c r="M92" s="8" t="str">
        <x:f>'Evaluation Plan'!M92</x:f>
        <x:v>green block</x:v>
      </x:c>
      <x:c r="N92" s="8" t="str">
        <x:f>'Evaluation Plan'!N92</x:f>
        <x:v>Right</x:v>
      </x:c>
      <x:c r="O92" s="8" t="n">
        <x:f>'Evaluation Plan'!O92</x:f>
        <x:v>2</x:v>
      </x:c>
      <x:c r="P92" s="8" t="n">
        <x:f>IF(ISBLANK('Evaluation Plan'!P92),"",'Evaluation Plan'!P92)</x:f>
        <x:v>8</x:v>
      </x:c>
      <x:c r="Q92" s="8" t="str">
        <x:f>'Evaluation Plan'!Q92</x:f>
        <x:v>Build the listed two-object scene and save a first-frame filename.</x:v>
      </x:c>
      <x:c r="R92" s="9" t="str">
        <x:f>'Evaluation Plan'!R92</x:f>
        <x:v>Primary missing cell. Training episode 1095 contains the same target trajectory but masks the size word with a direct identity prompt.</x:v>
      </x:c>
      <x:c r="S92" s="9" t="str">
        <x:f>IF(ISBLANK('Evaluation Plan'!S92),"",'Evaluation Plan'!S92)</x:f>
      </x:c>
    </x:row>
    <x:row r="93" ht="67.5" customHeight="1">
      <x:c r="A93" s="22" t="s">
        <x:v>591</x:v>
      </x:c>
      <x:c r="B93" s="8" t="n">
        <x:f>'Evaluation Plan'!B93</x:f>
        <x:v>91</x:v>
      </x:c>
      <x:c r="C93" s="9" t="str">
        <x:f>'Evaluation Plan'!C93</x:f>
        <x:v>Pick up the smallest item and place it in the bowl.</x:v>
      </x:c>
      <x:c r="D93" s="9" t="str">
        <x:f>'Evaluation Plan'!D93</x:f>
        <x:v>Bowl: empty. Table, robot-left→robot-right: P1 juggling ball; P2 crushed Pepsi can. Adjacent centers 12 cm apart; row shifted 4 cm toward robot-right; all objects fully visible and grasp paths clear.</x:v>
      </x:c>
      <x:c r="E93" s="8" t="str">
        <x:f>IF(ISBLANK('Evaluation Plan'!E93),"",'Evaluation Plan'!E93)</x:f>
      </x:c>
      <x:c r="F93" s="8" t="str">
        <x:f>'Evaluation Plan'!F93</x:f>
        <x:v>1120</x:v>
      </x:c>
      <x:c r="G93" s="8" t="str">
        <x:f>'Evaluation Plan'!G93</x:f>
        <x:v>MOVE juggling ball to bowl</x:v>
      </x:c>
      <x:c r="H93" s="9"/>
      <x:c r="I93" s="8" t="str">
        <x:f>'Evaluation Plan'!I93</x:f>
        <x:v>Concept/compositional transfer</x:v>
      </x:c>
      <x:c r="J93" s="8" t="str">
        <x:f>'Evaluation Plan'!J93</x:f>
        <x:v>SZ-CT-SJ16</x:v>
      </x:c>
      <x:c r="K93" s="8" t="str">
        <x:f>'Evaluation Plan'!K93</x:f>
        <x:v>smallest</x:v>
      </x:c>
      <x:c r="L93" s="8" t="str">
        <x:f>'Evaluation Plan'!L93</x:f>
        <x:v>Held-out smallest × juggling ball — Pick up</x:v>
      </x:c>
      <x:c r="M93" s="8" t="str">
        <x:f>'Evaluation Plan'!M93</x:f>
        <x:v>juggling ball</x:v>
      </x:c>
      <x:c r="N93" s="8" t="str">
        <x:f>'Evaluation Plan'!N93</x:f>
        <x:v>Left</x:v>
      </x:c>
      <x:c r="O93" s="8" t="n">
        <x:f>'Evaluation Plan'!O93</x:f>
        <x:v>2</x:v>
      </x:c>
      <x:c r="P93" s="8" t="n">
        <x:f>IF(ISBLANK('Evaluation Plan'!P93),"",'Evaluation Plan'!P93)</x:f>
        <x:v>12</x:v>
      </x:c>
      <x:c r="Q93" s="8" t="str">
        <x:f>'Evaluation Plan'!Q93</x:f>
        <x:v>Build the listed two-object scene and save a first-frame filename.</x:v>
      </x:c>
      <x:c r="R93" s="9" t="str">
        <x:f>'Evaluation Plan'!R93</x:f>
        <x:v>Primary missing cell. Training episode 1120 contains the same target trajectory but masks the size word with a direct identity prompt.</x:v>
      </x:c>
      <x:c r="S93" s="9" t="str">
        <x:f>IF(ISBLANK('Evaluation Plan'!S93),"",'Evaluation Plan'!S93)</x:f>
      </x:c>
    </x:row>
    <x:row r="94" ht="67.5" customHeight="1">
      <x:c r="A94" s="22" t="s">
        <x:v>693</x:v>
      </x:c>
      <x:c r="B94" s="8" t="n">
        <x:f>'Evaluation Plan'!B94</x:f>
        <x:v>92</x:v>
      </x:c>
      <x:c r="C94" s="9" t="str">
        <x:f>'Evaluation Plan'!C94</x:f>
        <x:v>Pick up the largest item and place it in the bowl.</x:v>
      </x:c>
      <x:c r="D94" s="9" t="str">
        <x:f>'Evaluation Plan'!D94</x:f>
        <x:v>Bowl: empty. Table, robot-left→robot-right: P1 green block; P2 red pencil sharpener. Adjacent centers 12 cm apart; row shifted 4 cm toward robot-left; all objects fully visible and grasp paths clear.</x:v>
      </x:c>
      <x:c r="E94" s="8" t="str">
        <x:f>IF(ISBLANK('Evaluation Plan'!E94),"",'Evaluation Plan'!E94)</x:f>
      </x:c>
      <x:c r="F94" s="8" t="str">
        <x:f>'Evaluation Plan'!F94</x:f>
        <x:v>1096</x:v>
      </x:c>
      <x:c r="G94" s="8" t="str">
        <x:f>'Evaluation Plan'!G94</x:f>
        <x:v>MOVE green block to bowl</x:v>
      </x:c>
      <x:c r="H94" s="23" t="s">
        <x:v>729</x:v>
      </x:c>
      <x:c r="I94" s="8" t="str">
        <x:f>'Evaluation Plan'!I94</x:f>
        <x:v>Concept/compositional transfer</x:v>
      </x:c>
      <x:c r="J94" s="8" t="str">
        <x:f>'Evaluation Plan'!J94</x:f>
        <x:v>SZ-CT-LG17</x:v>
      </x:c>
      <x:c r="K94" s="8" t="str">
        <x:f>'Evaluation Plan'!K94</x:f>
        <x:v>largest</x:v>
      </x:c>
      <x:c r="L94" s="8" t="str">
        <x:f>'Evaluation Plan'!L94</x:f>
        <x:v>Held-out largest × green block — Pick up</x:v>
      </x:c>
      <x:c r="M94" s="8" t="str">
        <x:f>'Evaluation Plan'!M94</x:f>
        <x:v>green block</x:v>
      </x:c>
      <x:c r="N94" s="8" t="str">
        <x:f>'Evaluation Plan'!N94</x:f>
        <x:v>Left</x:v>
      </x:c>
      <x:c r="O94" s="8" t="n">
        <x:f>'Evaluation Plan'!O94</x:f>
        <x:v>2</x:v>
      </x:c>
      <x:c r="P94" s="8" t="n">
        <x:f>IF(ISBLANK('Evaluation Plan'!P94),"",'Evaluation Plan'!P94)</x:f>
        <x:v>12</x:v>
      </x:c>
      <x:c r="Q94" s="8" t="str">
        <x:f>'Evaluation Plan'!Q94</x:f>
        <x:v>Build the listed two-object scene and save a first-frame filename.</x:v>
      </x:c>
      <x:c r="R94" s="9" t="str">
        <x:f>'Evaluation Plan'!R94</x:f>
        <x:v>Primary missing cell. Training episode 1096 contains the same target trajectory but masks the size word with a direct identity prompt.</x:v>
      </x:c>
      <x:c r="S94" s="9" t="str">
        <x:f>IF(ISBLANK('Evaluation Plan'!S94),"",'Evaluation Plan'!S94)</x:f>
      </x:c>
    </x:row>
    <x:row r="95" ht="67.5" customHeight="1">
      <x:c r="A95" s="22" t="s">
        <x:v>591</x:v>
      </x:c>
      <x:c r="B95" s="8" t="n">
        <x:f>'Evaluation Plan'!B95</x:f>
        <x:v>93</x:v>
      </x:c>
      <x:c r="C95" s="9" t="str">
        <x:f>'Evaluation Plan'!C95</x:f>
        <x:v>Put the smallest object in the bowl.</x:v>
      </x:c>
      <x:c r="D95" s="9" t="str">
        <x:f>'Evaluation Plan'!D95</x:f>
        <x:v>Bowl: empty. Table, robot-left→robot-right: P1 crushed Pepsi can; P2 juggling ball. Adjacent centers 16 cm apart; row shifted 4 cm toward the robot; all objects fully visible and grasp paths clear.</x:v>
      </x:c>
      <x:c r="E95" s="8" t="str">
        <x:f>IF(ISBLANK('Evaluation Plan'!E95),"",'Evaluation Plan'!E95)</x:f>
      </x:c>
      <x:c r="F95" s="8" t="str">
        <x:f>'Evaluation Plan'!F95</x:f>
        <x:v>1121</x:v>
      </x:c>
      <x:c r="G95" s="8" t="str">
        <x:f>'Evaluation Plan'!G95</x:f>
        <x:v>MOVE juggling ball to bowl</x:v>
      </x:c>
      <x:c r="H95" s="9"/>
      <x:c r="I95" s="8" t="str">
        <x:f>'Evaluation Plan'!I95</x:f>
        <x:v>Concept/compositional transfer</x:v>
      </x:c>
      <x:c r="J95" s="8" t="str">
        <x:f>'Evaluation Plan'!J95</x:f>
        <x:v>SZ-CT-SJ17</x:v>
      </x:c>
      <x:c r="K95" s="8" t="str">
        <x:f>'Evaluation Plan'!K95</x:f>
        <x:v>smallest</x:v>
      </x:c>
      <x:c r="L95" s="8" t="str">
        <x:f>'Evaluation Plan'!L95</x:f>
        <x:v>Held-out smallest × juggling ball — Put</x:v>
      </x:c>
      <x:c r="M95" s="8" t="str">
        <x:f>'Evaluation Plan'!M95</x:f>
        <x:v>juggling ball</x:v>
      </x:c>
      <x:c r="N95" s="8" t="str">
        <x:f>'Evaluation Plan'!N95</x:f>
        <x:v>Right</x:v>
      </x:c>
      <x:c r="O95" s="8" t="n">
        <x:f>'Evaluation Plan'!O95</x:f>
        <x:v>2</x:v>
      </x:c>
      <x:c r="P95" s="8" t="n">
        <x:f>IF(ISBLANK('Evaluation Plan'!P95),"",'Evaluation Plan'!P95)</x:f>
        <x:v>16</x:v>
      </x:c>
      <x:c r="Q95" s="8" t="str">
        <x:f>'Evaluation Plan'!Q95</x:f>
        <x:v>Build the listed two-object scene and save a first-frame filename.</x:v>
      </x:c>
      <x:c r="R95" s="9" t="str">
        <x:f>'Evaluation Plan'!R95</x:f>
        <x:v>Primary missing cell. Training episode 1121 contains the same target trajectory but masks the size word with a direct identity prompt.</x:v>
      </x:c>
      <x:c r="S95" s="9" t="str">
        <x:f>IF(ISBLANK('Evaluation Plan'!S95),"",'Evaluation Plan'!S95)</x:f>
      </x:c>
    </x:row>
    <x:row r="96" ht="67.5" customHeight="1">
      <x:c r="A96" s="22" t="s">
        <x:v>591</x:v>
      </x:c>
      <x:c r="B96" s="8" t="n">
        <x:f>'Evaluation Plan'!B96</x:f>
        <x:v>94</x:v>
      </x:c>
      <x:c r="C96" s="9" t="str">
        <x:f>'Evaluation Plan'!C96</x:f>
        <x:v>Put the largest object in the bowl.</x:v>
      </x:c>
      <x:c r="D96" s="9" t="str">
        <x:f>'Evaluation Plan'!D96</x:f>
        <x:v>Bowl: empty. Table, robot-left→robot-right: P1 red pencil sharpener; P2 green block. Adjacent centers 16 cm apart; row shifted 4 cm toward robot-right; all objects fully visible and grasp paths clear.</x:v>
      </x:c>
      <x:c r="E96" s="8" t="str">
        <x:f>IF(ISBLANK('Evaluation Plan'!E96),"",'Evaluation Plan'!E96)</x:f>
      </x:c>
      <x:c r="F96" s="8" t="str">
        <x:f>'Evaluation Plan'!F96</x:f>
        <x:v>1097</x:v>
      </x:c>
      <x:c r="G96" s="8" t="str">
        <x:f>'Evaluation Plan'!G96</x:f>
        <x:v>MOVE green block to bowl</x:v>
      </x:c>
      <x:c r="H96" s="23" t="s">
        <x:v>742</x:v>
      </x:c>
      <x:c r="I96" s="8" t="str">
        <x:f>'Evaluation Plan'!I96</x:f>
        <x:v>Concept/compositional transfer</x:v>
      </x:c>
      <x:c r="J96" s="8" t="str">
        <x:f>'Evaluation Plan'!J96</x:f>
        <x:v>SZ-CT-LG18</x:v>
      </x:c>
      <x:c r="K96" s="8" t="str">
        <x:f>'Evaluation Plan'!K96</x:f>
        <x:v>largest</x:v>
      </x:c>
      <x:c r="L96" s="8" t="str">
        <x:f>'Evaluation Plan'!L96</x:f>
        <x:v>Held-out largest × green block — Put</x:v>
      </x:c>
      <x:c r="M96" s="8" t="str">
        <x:f>'Evaluation Plan'!M96</x:f>
        <x:v>green block</x:v>
      </x:c>
      <x:c r="N96" s="8" t="str">
        <x:f>'Evaluation Plan'!N96</x:f>
        <x:v>Right</x:v>
      </x:c>
      <x:c r="O96" s="8" t="n">
        <x:f>'Evaluation Plan'!O96</x:f>
        <x:v>2</x:v>
      </x:c>
      <x:c r="P96" s="8" t="n">
        <x:f>IF(ISBLANK('Evaluation Plan'!P96),"",'Evaluation Plan'!P96)</x:f>
        <x:v>16</x:v>
      </x:c>
      <x:c r="Q96" s="8" t="str">
        <x:f>'Evaluation Plan'!Q96</x:f>
        <x:v>Build the listed two-object scene and save a first-frame filename.</x:v>
      </x:c>
      <x:c r="R96" s="9" t="str">
        <x:f>'Evaluation Plan'!R96</x:f>
        <x:v>Primary missing cell. Training episode 1097 contains the same target trajectory but masks the size word with a direct identity prompt.</x:v>
      </x:c>
      <x:c r="S96" s="9" t="str">
        <x:f>IF(ISBLANK('Evaluation Plan'!S96),"",'Evaluation Plan'!S96)</x:f>
      </x:c>
    </x:row>
    <x:row r="97" ht="67.5" customHeight="1">
      <x:c r="A97" s="22" t="s">
        <x:v>591</x:v>
      </x:c>
      <x:c r="B97" s="8" t="n">
        <x:f>'Evaluation Plan'!B97</x:f>
        <x:v>95</x:v>
      </x:c>
      <x:c r="C97" s="9" t="str">
        <x:f>'Evaluation Plan'!C97</x:f>
        <x:v>Move the object that is smallest into the bowl.</x:v>
      </x:c>
      <x:c r="D97" s="9" t="str">
        <x:f>'Evaluation Plan'!D97</x:f>
        <x:v>Bowl: empty. Table, robot-left→robot-right: P1 juggling ball; P2 crushed Pepsi can. Adjacent centers 8 cm apart; row shifted 4 cm away from the robot; all objects fully visible and grasp paths clear.</x:v>
      </x:c>
      <x:c r="E97" s="8" t="str">
        <x:f>IF(ISBLANK('Evaluation Plan'!E97),"",'Evaluation Plan'!E97)</x:f>
      </x:c>
      <x:c r="F97" s="8" t="str">
        <x:f>'Evaluation Plan'!F97</x:f>
        <x:v>1122</x:v>
      </x:c>
      <x:c r="G97" s="8" t="str">
        <x:f>'Evaluation Plan'!G97</x:f>
        <x:v>MOVE juggling ball to bowl</x:v>
      </x:c>
      <x:c r="H97" s="9"/>
      <x:c r="I97" s="8" t="str">
        <x:f>'Evaluation Plan'!I97</x:f>
        <x:v>Concept/compositional transfer</x:v>
      </x:c>
      <x:c r="J97" s="8" t="str">
        <x:f>'Evaluation Plan'!J97</x:f>
        <x:v>SZ-CT-SJ18</x:v>
      </x:c>
      <x:c r="K97" s="8" t="str">
        <x:f>'Evaluation Plan'!K97</x:f>
        <x:v>smallest</x:v>
      </x:c>
      <x:c r="L97" s="8" t="str">
        <x:f>'Evaluation Plan'!L97</x:f>
        <x:v>Held-out smallest × juggling ball — Move</x:v>
      </x:c>
      <x:c r="M97" s="8" t="str">
        <x:f>'Evaluation Plan'!M97</x:f>
        <x:v>juggling ball</x:v>
      </x:c>
      <x:c r="N97" s="8" t="str">
        <x:f>'Evaluation Plan'!N97</x:f>
        <x:v>Left</x:v>
      </x:c>
      <x:c r="O97" s="8" t="n">
        <x:f>'Evaluation Plan'!O97</x:f>
        <x:v>2</x:v>
      </x:c>
      <x:c r="P97" s="8" t="n">
        <x:f>IF(ISBLANK('Evaluation Plan'!P97),"",'Evaluation Plan'!P97)</x:f>
        <x:v>8</x:v>
      </x:c>
      <x:c r="Q97" s="8" t="str">
        <x:f>'Evaluation Plan'!Q97</x:f>
        <x:v>Build the listed two-object scene and save a first-frame filename.</x:v>
      </x:c>
      <x:c r="R97" s="9" t="str">
        <x:f>'Evaluation Plan'!R97</x:f>
        <x:v>Primary missing cell. Training episode 1122 contains the same target trajectory but masks the size word with a direct identity prompt.</x:v>
      </x:c>
      <x:c r="S97" s="9" t="str">
        <x:f>IF(ISBLANK('Evaluation Plan'!S97),"",'Evaluation Plan'!S97)</x:f>
      </x:c>
    </x:row>
    <x:row r="98" ht="67.5" customHeight="1">
      <x:c r="A98" s="22" t="s">
        <x:v>693</x:v>
      </x:c>
      <x:c r="B98" s="8" t="n">
        <x:f>'Evaluation Plan'!B98</x:f>
        <x:v>96</x:v>
      </x:c>
      <x:c r="C98" s="9" t="str">
        <x:f>'Evaluation Plan'!C98</x:f>
        <x:v>Move the object that is largest into the bowl.</x:v>
      </x:c>
      <x:c r="D98" s="9" t="str">
        <x:f>'Evaluation Plan'!D98</x:f>
        <x:v>Bowl: empty. Table, robot-left→robot-right: P1 green block; P2 red pencil sharpener. Adjacent centers 8 cm apart; row shifted 4 cm toward the robot; all objects fully visible and grasp paths clear.</x:v>
      </x:c>
      <x:c r="E98" s="8" t="str">
        <x:f>IF(ISBLANK('Evaluation Plan'!E98),"",'Evaluation Plan'!E98)</x:f>
      </x:c>
      <x:c r="F98" s="8" t="str">
        <x:f>'Evaluation Plan'!F98</x:f>
        <x:v>1098</x:v>
      </x:c>
      <x:c r="G98" s="8" t="str">
        <x:f>'Evaluation Plan'!G98</x:f>
        <x:v>MOVE green block to bowl</x:v>
      </x:c>
      <x:c r="H98" s="23" t="s">
        <x:v>740</x:v>
      </x:c>
      <x:c r="I98" s="8" t="str">
        <x:f>'Evaluation Plan'!I98</x:f>
        <x:v>Concept/compositional transfer</x:v>
      </x:c>
      <x:c r="J98" s="8" t="str">
        <x:f>'Evaluation Plan'!J98</x:f>
        <x:v>SZ-CT-LG19</x:v>
      </x:c>
      <x:c r="K98" s="8" t="str">
        <x:f>'Evaluation Plan'!K98</x:f>
        <x:v>largest</x:v>
      </x:c>
      <x:c r="L98" s="8" t="str">
        <x:f>'Evaluation Plan'!L98</x:f>
        <x:v>Held-out largest × green block — Move</x:v>
      </x:c>
      <x:c r="M98" s="8" t="str">
        <x:f>'Evaluation Plan'!M98</x:f>
        <x:v>green block</x:v>
      </x:c>
      <x:c r="N98" s="8" t="str">
        <x:f>'Evaluation Plan'!N98</x:f>
        <x:v>Left</x:v>
      </x:c>
      <x:c r="O98" s="8" t="n">
        <x:f>'Evaluation Plan'!O98</x:f>
        <x:v>2</x:v>
      </x:c>
      <x:c r="P98" s="8" t="n">
        <x:f>IF(ISBLANK('Evaluation Plan'!P98),"",'Evaluation Plan'!P98)</x:f>
        <x:v>8</x:v>
      </x:c>
      <x:c r="Q98" s="8" t="str">
        <x:f>'Evaluation Plan'!Q98</x:f>
        <x:v>Build the listed two-object scene and save a first-frame filename.</x:v>
      </x:c>
      <x:c r="R98" s="9" t="str">
        <x:f>'Evaluation Plan'!R98</x:f>
        <x:v>Primary missing cell. Training episode 1098 contains the same target trajectory but masks the size word with a direct identity prompt.</x:v>
      </x:c>
      <x:c r="S98" s="9" t="str">
        <x:f>IF(ISBLANK('Evaluation Plan'!S98),"",'Evaluation Plan'!S98)</x:f>
      </x:c>
    </x:row>
    <x:row r="99" ht="67.5" customHeight="1">
      <x:c r="A99" s="22" t="s">
        <x:v>591</x:v>
      </x:c>
      <x:c r="B99" s="8" t="n">
        <x:f>'Evaluation Plan'!B99</x:f>
        <x:v>97</x:v>
      </x:c>
      <x:c r="C99" s="9" t="str">
        <x:f>'Evaluation Plan'!C99</x:f>
        <x:v>Pick up the smallest item and place it in the bowl.</x:v>
      </x:c>
      <x:c r="D99" s="9" t="str">
        <x:f>'Evaluation Plan'!D99</x:f>
        <x:v>Bowl: empty. Table, robot-left→robot-right: P1 crushed Pepsi can; P2 juggling ball. Adjacent centers 12 cm apart; row centered on the workspace; all objects fully visible and grasp paths clear.</x:v>
      </x:c>
      <x:c r="E99" s="8" t="str">
        <x:f>IF(ISBLANK('Evaluation Plan'!E99),"",'Evaluation Plan'!E99)</x:f>
      </x:c>
      <x:c r="F99" s="8" t="str">
        <x:f>'Evaluation Plan'!F99</x:f>
        <x:v>1123</x:v>
      </x:c>
      <x:c r="G99" s="8" t="str">
        <x:f>'Evaluation Plan'!G99</x:f>
        <x:v>MOVE juggling ball to bowl</x:v>
      </x:c>
      <x:c r="H99" s="9"/>
      <x:c r="I99" s="8" t="str">
        <x:f>'Evaluation Plan'!I99</x:f>
        <x:v>Concept/compositional transfer</x:v>
      </x:c>
      <x:c r="J99" s="8" t="str">
        <x:f>'Evaluation Plan'!J99</x:f>
        <x:v>SZ-CT-SJ19</x:v>
      </x:c>
      <x:c r="K99" s="8" t="str">
        <x:f>'Evaluation Plan'!K99</x:f>
        <x:v>smallest</x:v>
      </x:c>
      <x:c r="L99" s="8" t="str">
        <x:f>'Evaluation Plan'!L99</x:f>
        <x:v>Held-out smallest × juggling ball — Pick up</x:v>
      </x:c>
      <x:c r="M99" s="8" t="str">
        <x:f>'Evaluation Plan'!M99</x:f>
        <x:v>juggling ball</x:v>
      </x:c>
      <x:c r="N99" s="8" t="str">
        <x:f>'Evaluation Plan'!N99</x:f>
        <x:v>Right</x:v>
      </x:c>
      <x:c r="O99" s="8" t="n">
        <x:f>'Evaluation Plan'!O99</x:f>
        <x:v>2</x:v>
      </x:c>
      <x:c r="P99" s="8" t="n">
        <x:f>IF(ISBLANK('Evaluation Plan'!P99),"",'Evaluation Plan'!P99)</x:f>
        <x:v>12</x:v>
      </x:c>
      <x:c r="Q99" s="8" t="str">
        <x:f>'Evaluation Plan'!Q99</x:f>
        <x:v>Build the listed two-object scene and save a first-frame filename.</x:v>
      </x:c>
      <x:c r="R99" s="9" t="str">
        <x:f>'Evaluation Plan'!R99</x:f>
        <x:v>Primary missing cell. Training episode 1123 contains the same target trajectory but masks the size word with a direct identity prompt.</x:v>
      </x:c>
      <x:c r="S99" s="9" t="str">
        <x:f>IF(ISBLANK('Evaluation Plan'!S99),"",'Evaluation Plan'!S99)</x:f>
      </x:c>
    </x:row>
    <x:row r="100" ht="67.5" customHeight="1">
      <x:c r="A100" s="22" t="s">
        <x:v>693</x:v>
      </x:c>
      <x:c r="B100" s="8" t="n">
        <x:f>'Evaluation Plan'!B100</x:f>
        <x:v>98</x:v>
      </x:c>
      <x:c r="C100" s="9" t="str">
        <x:f>'Evaluation Plan'!C100</x:f>
        <x:v>Pick up the largest item and place it in the bowl.</x:v>
      </x:c>
      <x:c r="D100" s="9" t="str">
        <x:f>'Evaluation Plan'!D100</x:f>
        <x:v>Bowl: empty. Table, robot-left→robot-right: P1 red pencil sharpener; P2 green block. Adjacent centers 12 cm apart; row shifted 4 cm away from the robot; all objects fully visible and grasp paths clear.</x:v>
      </x:c>
      <x:c r="E100" s="8" t="str">
        <x:f>IF(ISBLANK('Evaluation Plan'!E100),"",'Evaluation Plan'!E100)</x:f>
      </x:c>
      <x:c r="F100" s="8" t="str">
        <x:f>'Evaluation Plan'!F100</x:f>
        <x:v>1099</x:v>
      </x:c>
      <x:c r="G100" s="8" t="str">
        <x:f>'Evaluation Plan'!G100</x:f>
        <x:v>MOVE green block to bowl</x:v>
      </x:c>
      <x:c r="H100" s="23" t="s">
        <x:v>729</x:v>
      </x:c>
      <x:c r="I100" s="8" t="str">
        <x:f>'Evaluation Plan'!I100</x:f>
        <x:v>Concept/compositional transfer</x:v>
      </x:c>
      <x:c r="J100" s="8" t="str">
        <x:f>'Evaluation Plan'!J100</x:f>
        <x:v>SZ-CT-LG20</x:v>
      </x:c>
      <x:c r="K100" s="8" t="str">
        <x:f>'Evaluation Plan'!K100</x:f>
        <x:v>largest</x:v>
      </x:c>
      <x:c r="L100" s="8" t="str">
        <x:f>'Evaluation Plan'!L100</x:f>
        <x:v>Held-out largest × green block — Pick up</x:v>
      </x:c>
      <x:c r="M100" s="8" t="str">
        <x:f>'Evaluation Plan'!M100</x:f>
        <x:v>green block</x:v>
      </x:c>
      <x:c r="N100" s="8" t="str">
        <x:f>'Evaluation Plan'!N100</x:f>
        <x:v>Right</x:v>
      </x:c>
      <x:c r="O100" s="8" t="n">
        <x:f>'Evaluation Plan'!O100</x:f>
        <x:v>2</x:v>
      </x:c>
      <x:c r="P100" s="8" t="n">
        <x:f>IF(ISBLANK('Evaluation Plan'!P100),"",'Evaluation Plan'!P100)</x:f>
        <x:v>12</x:v>
      </x:c>
      <x:c r="Q100" s="8" t="str">
        <x:f>'Evaluation Plan'!Q100</x:f>
        <x:v>Build the listed two-object scene and save a first-frame filename.</x:v>
      </x:c>
      <x:c r="R100" s="9" t="str">
        <x:f>'Evaluation Plan'!R100</x:f>
        <x:v>Primary missing cell. Training episode 1099 contains the same target trajectory but masks the size word with a direct identity prompt.</x:v>
      </x:c>
      <x:c r="S100" s="9" t="str">
        <x:f>IF(ISBLANK('Evaluation Plan'!S100),"",'Evaluation Plan'!S100)</x:f>
      </x:c>
    </x:row>
    <x:row r="101" ht="67.5" customHeight="1">
      <x:c r="A101" s="22" t="s">
        <x:v>591</x:v>
      </x:c>
      <x:c r="B101" s="8" t="n">
        <x:f>'Evaluation Plan'!B101</x:f>
        <x:v>99</x:v>
      </x:c>
      <x:c r="C101" s="9" t="str">
        <x:f>'Evaluation Plan'!C101</x:f>
        <x:v>Put the smallest object in the bowl.</x:v>
      </x:c>
      <x:c r="D101" s="9" t="str">
        <x:f>'Evaluation Plan'!D101</x:f>
        <x:v>Bowl: empty. Table, robot-left→robot-right: P1 juggling ball; P2 crushed Pepsi can. Adjacent centers 16 cm apart; row shifted 4 cm toward robot-left; all objects fully visible and grasp paths clear.</x:v>
      </x:c>
      <x:c r="E101" s="8" t="str">
        <x:f>IF(ISBLANK('Evaluation Plan'!E101),"",'Evaluation Plan'!E101)</x:f>
      </x:c>
      <x:c r="F101" s="8" t="str">
        <x:f>'Evaluation Plan'!F101</x:f>
        <x:v>1124</x:v>
      </x:c>
      <x:c r="G101" s="8" t="str">
        <x:f>'Evaluation Plan'!G101</x:f>
        <x:v>MOVE juggling ball to bowl</x:v>
      </x:c>
      <x:c r="H101" s="9"/>
      <x:c r="I101" s="8" t="str">
        <x:f>'Evaluation Plan'!I101</x:f>
        <x:v>Concept/compositional transfer</x:v>
      </x:c>
      <x:c r="J101" s="8" t="str">
        <x:f>'Evaluation Plan'!J101</x:f>
        <x:v>SZ-CT-SJ20</x:v>
      </x:c>
      <x:c r="K101" s="8" t="str">
        <x:f>'Evaluation Plan'!K101</x:f>
        <x:v>smallest</x:v>
      </x:c>
      <x:c r="L101" s="8" t="str">
        <x:f>'Evaluation Plan'!L101</x:f>
        <x:v>Held-out smallest × juggling ball — Put</x:v>
      </x:c>
      <x:c r="M101" s="8" t="str">
        <x:f>'Evaluation Plan'!M101</x:f>
        <x:v>juggling ball</x:v>
      </x:c>
      <x:c r="N101" s="8" t="str">
        <x:f>'Evaluation Plan'!N101</x:f>
        <x:v>Left</x:v>
      </x:c>
      <x:c r="O101" s="8" t="n">
        <x:f>'Evaluation Plan'!O101</x:f>
        <x:v>2</x:v>
      </x:c>
      <x:c r="P101" s="8" t="n">
        <x:f>IF(ISBLANK('Evaluation Plan'!P101),"",'Evaluation Plan'!P101)</x:f>
        <x:v>16</x:v>
      </x:c>
      <x:c r="Q101" s="8" t="str">
        <x:f>'Evaluation Plan'!Q101</x:f>
        <x:v>Build the listed two-object scene and save a first-frame filename.</x:v>
      </x:c>
      <x:c r="R101" s="9" t="str">
        <x:f>'Evaluation Plan'!R101</x:f>
        <x:v>Primary missing cell. Training episode 1124 contains the same target trajectory but masks the size word with a direct identity prompt.</x:v>
      </x:c>
      <x:c r="S101" s="9" t="str">
        <x:f>IF(ISBLANK('Evaluation Plan'!S101),"",'Evaluation Plan'!S101)</x:f>
      </x:c>
    </x:row>
    <x:row r="102" ht="67.5" customHeight="1">
      <x:c r="A102" s="22" t="s">
        <x:v>693</x:v>
      </x:c>
      <x:c r="B102" s="8" t="n">
        <x:f>'Evaluation Plan'!B102</x:f>
        <x:v>100</x:v>
      </x:c>
      <x:c r="C102" s="9" t="str">
        <x:f>'Evaluation Plan'!C102</x:f>
        <x:v>Put the largest object in the bowl.</x:v>
      </x:c>
      <x:c r="D102" s="9" t="str">
        <x:f>'Evaluation Plan'!D102</x:f>
        <x:v>Bowl: empty. Table, robot-left→robot-right: P1 green block; P2 red pencil sharpener. Adjacent centers 16 cm apart; row centered on the workspace; all objects fully visible and grasp paths clear.</x:v>
      </x:c>
      <x:c r="E102" s="8" t="str">
        <x:f>IF(ISBLANK('Evaluation Plan'!E102),"",'Evaluation Plan'!E102)</x:f>
      </x:c>
      <x:c r="F102" s="8" t="str">
        <x:f>'Evaluation Plan'!F102</x:f>
        <x:v>1080</x:v>
      </x:c>
      <x:c r="G102" s="8" t="str">
        <x:f>'Evaluation Plan'!G102</x:f>
        <x:v>MOVE green block to bowl</x:v>
      </x:c>
      <x:c r="H102" s="23" t="s">
        <x:v>729</x:v>
      </x:c>
      <x:c r="I102" s="8" t="str">
        <x:f>'Evaluation Plan'!I102</x:f>
        <x:v>Concept/compositional transfer</x:v>
      </x:c>
      <x:c r="J102" s="8" t="str">
        <x:f>'Evaluation Plan'!J102</x:f>
        <x:v>SZ-CT-LG21</x:v>
      </x:c>
      <x:c r="K102" s="8" t="str">
        <x:f>'Evaluation Plan'!K102</x:f>
        <x:v>largest</x:v>
      </x:c>
      <x:c r="L102" s="8" t="str">
        <x:f>'Evaluation Plan'!L102</x:f>
        <x:v>Held-out largest × green block — Put</x:v>
      </x:c>
      <x:c r="M102" s="8" t="str">
        <x:f>'Evaluation Plan'!M102</x:f>
        <x:v>green block</x:v>
      </x:c>
      <x:c r="N102" s="8" t="str">
        <x:f>'Evaluation Plan'!N102</x:f>
        <x:v>Left</x:v>
      </x:c>
      <x:c r="O102" s="8" t="n">
        <x:f>'Evaluation Plan'!O102</x:f>
        <x:v>2</x:v>
      </x:c>
      <x:c r="P102" s="8" t="n">
        <x:f>IF(ISBLANK('Evaluation Plan'!P102),"",'Evaluation Plan'!P102)</x:f>
        <x:v>16</x:v>
      </x:c>
      <x:c r="Q102" s="8" t="str">
        <x:f>'Evaluation Plan'!Q102</x:f>
        <x:v>Build the listed two-object scene and save a first-frame filename.</x:v>
      </x:c>
      <x:c r="R102" s="9" t="str">
        <x:f>'Evaluation Plan'!R102</x:f>
        <x:v>Primary missing cell. Training episode 1080 contains the same target trajectory but masks the size word with a direct identity prompt.</x:v>
      </x:c>
      <x:c r="S102" s="9" t="str">
        <x:f>IF(ISBLANK('Evaluation Plan'!S102),"",'Evaluation Plan'!S102)</x:f>
      </x:c>
    </x:row>
    <x:row r="103" ht="67.5" customHeight="1">
      <x:c r="A103" s="22" t="s">
        <x:v>693</x:v>
      </x:c>
      <x:c r="B103" s="8" t="n">
        <x:f>'Evaluation Plan'!B103</x:f>
        <x:v>101</x:v>
      </x:c>
      <x:c r="C103" s="9" t="str">
        <x:f>'Evaluation Plan'!C103</x:f>
        <x:v>Move the object that is smallest into the bowl.</x:v>
      </x:c>
      <x:c r="D103" s="9" t="str">
        <x:f>'Evaluation Plan'!D103</x:f>
        <x:v>Bowl: empty. Table, robot-left→robot-right: P1 crushed Pepsi can; P2 juggling ball. Adjacent centers 8 cm apart; row shifted 4 cm toward robot-right; all objects fully visible and grasp paths clear.</x:v>
      </x:c>
      <x:c r="E103" s="8" t="str">
        <x:f>IF(ISBLANK('Evaluation Plan'!E103),"",'Evaluation Plan'!E103)</x:f>
      </x:c>
      <x:c r="F103" s="8" t="str">
        <x:f>'Evaluation Plan'!F103</x:f>
        <x:v>1105</x:v>
      </x:c>
      <x:c r="G103" s="8" t="str">
        <x:f>'Evaluation Plan'!G103</x:f>
        <x:v>MOVE juggling ball to bowl</x:v>
      </x:c>
      <x:c r="H103" s="23" t="s">
        <x:v>743</x:v>
      </x:c>
      <x:c r="I103" s="8" t="str">
        <x:f>'Evaluation Plan'!I103</x:f>
        <x:v>Concept/compositional transfer</x:v>
      </x:c>
      <x:c r="J103" s="8" t="str">
        <x:f>'Evaluation Plan'!J103</x:f>
        <x:v>SZ-CT-SJ21</x:v>
      </x:c>
      <x:c r="K103" s="8" t="str">
        <x:f>'Evaluation Plan'!K103</x:f>
        <x:v>smallest</x:v>
      </x:c>
      <x:c r="L103" s="8" t="str">
        <x:f>'Evaluation Plan'!L103</x:f>
        <x:v>Held-out smallest × juggling ball — Move</x:v>
      </x:c>
      <x:c r="M103" s="8" t="str">
        <x:f>'Evaluation Plan'!M103</x:f>
        <x:v>juggling ball</x:v>
      </x:c>
      <x:c r="N103" s="8" t="str">
        <x:f>'Evaluation Plan'!N103</x:f>
        <x:v>Right</x:v>
      </x:c>
      <x:c r="O103" s="8" t="n">
        <x:f>'Evaluation Plan'!O103</x:f>
        <x:v>2</x:v>
      </x:c>
      <x:c r="P103" s="8" t="n">
        <x:f>IF(ISBLANK('Evaluation Plan'!P103),"",'Evaluation Plan'!P103)</x:f>
        <x:v>8</x:v>
      </x:c>
      <x:c r="Q103" s="8" t="str">
        <x:f>'Evaluation Plan'!Q103</x:f>
        <x:v>Build the listed two-object scene and save a first-frame filename.</x:v>
      </x:c>
      <x:c r="R103" s="9" t="str">
        <x:f>'Evaluation Plan'!R103</x:f>
        <x:v>Primary missing cell. Training episode 1105 contains the same target trajectory but masks the size word with a direct identity prompt.</x:v>
      </x:c>
      <x:c r="S103" s="9" t="str">
        <x:f>IF(ISBLANK('Evaluation Plan'!S103),"",'Evaluation Plan'!S103)</x:f>
      </x:c>
    </x:row>
    <x:row r="104" ht="67.5" customHeight="1">
      <x:c r="A104" s="22" t="s">
        <x:v>693</x:v>
      </x:c>
      <x:c r="B104" s="8" t="n">
        <x:f>'Evaluation Plan'!B104</x:f>
        <x:v>102</x:v>
      </x:c>
      <x:c r="C104" s="9" t="str">
        <x:f>'Evaluation Plan'!C104</x:f>
        <x:v>Move the object that is largest into the bowl.</x:v>
      </x:c>
      <x:c r="D104" s="9" t="str">
        <x:f>'Evaluation Plan'!D104</x:f>
        <x:v>Bowl: empty. Table, robot-left→robot-right: P1 red pencil sharpener; P2 green block. Adjacent centers 8 cm apart; row shifted 4 cm toward robot-left; all objects fully visible and grasp paths clear.</x:v>
      </x:c>
      <x:c r="E104" s="8" t="str">
        <x:f>IF(ISBLANK('Evaluation Plan'!E104),"",'Evaluation Plan'!E104)</x:f>
      </x:c>
      <x:c r="F104" s="8" t="str">
        <x:f>'Evaluation Plan'!F104</x:f>
        <x:v>1081</x:v>
      </x:c>
      <x:c r="G104" s="8" t="str">
        <x:f>'Evaluation Plan'!G104</x:f>
        <x:v>MOVE green block to bowl</x:v>
      </x:c>
      <x:c r="H104" s="23" t="s">
        <x:v>744</x:v>
      </x:c>
      <x:c r="I104" s="8" t="str">
        <x:f>'Evaluation Plan'!I104</x:f>
        <x:v>Concept/compositional transfer</x:v>
      </x:c>
      <x:c r="J104" s="8" t="str">
        <x:f>'Evaluation Plan'!J104</x:f>
        <x:v>SZ-CT-LG22</x:v>
      </x:c>
      <x:c r="K104" s="8" t="str">
        <x:f>'Evaluation Plan'!K104</x:f>
        <x:v>largest</x:v>
      </x:c>
      <x:c r="L104" s="8" t="str">
        <x:f>'Evaluation Plan'!L104</x:f>
        <x:v>Held-out largest × green block — Move</x:v>
      </x:c>
      <x:c r="M104" s="8" t="str">
        <x:f>'Evaluation Plan'!M104</x:f>
        <x:v>green block</x:v>
      </x:c>
      <x:c r="N104" s="8" t="str">
        <x:f>'Evaluation Plan'!N104</x:f>
        <x:v>Right</x:v>
      </x:c>
      <x:c r="O104" s="8" t="n">
        <x:f>'Evaluation Plan'!O104</x:f>
        <x:v>2</x:v>
      </x:c>
      <x:c r="P104" s="8" t="n">
        <x:f>IF(ISBLANK('Evaluation Plan'!P104),"",'Evaluation Plan'!P104)</x:f>
        <x:v>8</x:v>
      </x:c>
      <x:c r="Q104" s="8" t="str">
        <x:f>'Evaluation Plan'!Q104</x:f>
        <x:v>Build the listed two-object scene and save a first-frame filename.</x:v>
      </x:c>
      <x:c r="R104" s="9" t="str">
        <x:f>'Evaluation Plan'!R104</x:f>
        <x:v>Primary missing cell. Training episode 1081 contains the same target trajectory but masks the size word with a direct identity prompt.</x:v>
      </x:c>
      <x:c r="S104" s="9" t="str">
        <x:f>IF(ISBLANK('Evaluation Plan'!S104),"",'Evaluation Plan'!S104)</x:f>
      </x:c>
    </x:row>
    <x:row r="105" ht="67.5" customHeight="1">
      <x:c r="A105" s="22" t="s">
        <x:v>591</x:v>
      </x:c>
      <x:c r="B105" s="8" t="n">
        <x:f>'Evaluation Plan'!B105</x:f>
        <x:v>103</x:v>
      </x:c>
      <x:c r="C105" s="9" t="str">
        <x:f>'Evaluation Plan'!C105</x:f>
        <x:v>Pick up the smallest item and place it in the bowl.</x:v>
      </x:c>
      <x:c r="D105" s="9" t="str">
        <x:f>'Evaluation Plan'!D105</x:f>
        <x:v>Bowl: empty. Table, robot-left→robot-right: P1 juggling ball; P2 crushed Pepsi can. Adjacent centers 12 cm apart; row shifted 4 cm toward the robot; all objects fully visible and grasp paths clear.</x:v>
      </x:c>
      <x:c r="E105" s="8" t="str">
        <x:f>IF(ISBLANK('Evaluation Plan'!E105),"",'Evaluation Plan'!E105)</x:f>
      </x:c>
      <x:c r="F105" s="8" t="str">
        <x:f>'Evaluation Plan'!F105</x:f>
        <x:v>1106</x:v>
      </x:c>
      <x:c r="G105" s="8" t="str">
        <x:f>'Evaluation Plan'!G105</x:f>
        <x:v>MOVE juggling ball to bowl</x:v>
      </x:c>
      <x:c r="H105" s="9"/>
      <x:c r="I105" s="8" t="str">
        <x:f>'Evaluation Plan'!I105</x:f>
        <x:v>Concept/compositional transfer</x:v>
      </x:c>
      <x:c r="J105" s="8" t="str">
        <x:f>'Evaluation Plan'!J105</x:f>
        <x:v>SZ-CT-SJ22</x:v>
      </x:c>
      <x:c r="K105" s="8" t="str">
        <x:f>'Evaluation Plan'!K105</x:f>
        <x:v>smallest</x:v>
      </x:c>
      <x:c r="L105" s="8" t="str">
        <x:f>'Evaluation Plan'!L105</x:f>
        <x:v>Held-out smallest × juggling ball — Pick up</x:v>
      </x:c>
      <x:c r="M105" s="8" t="str">
        <x:f>'Evaluation Plan'!M105</x:f>
        <x:v>juggling ball</x:v>
      </x:c>
      <x:c r="N105" s="8" t="str">
        <x:f>'Evaluation Plan'!N105</x:f>
        <x:v>Left</x:v>
      </x:c>
      <x:c r="O105" s="8" t="n">
        <x:f>'Evaluation Plan'!O105</x:f>
        <x:v>2</x:v>
      </x:c>
      <x:c r="P105" s="8" t="n">
        <x:f>IF(ISBLANK('Evaluation Plan'!P105),"",'Evaluation Plan'!P105)</x:f>
        <x:v>12</x:v>
      </x:c>
      <x:c r="Q105" s="8" t="str">
        <x:f>'Evaluation Plan'!Q105</x:f>
        <x:v>Build the listed two-object scene and save a first-frame filename.</x:v>
      </x:c>
      <x:c r="R105" s="9" t="str">
        <x:f>'Evaluation Plan'!R105</x:f>
        <x:v>Primary missing cell. Training episode 1106 contains the same target trajectory but masks the size word with a direct identity prompt.</x:v>
      </x:c>
      <x:c r="S105" s="9" t="str">
        <x:f>IF(ISBLANK('Evaluation Plan'!S105),"",'Evaluation Plan'!S105)</x:f>
      </x:c>
    </x:row>
    <x:row r="106" ht="67.5" customHeight="1">
      <x:c r="A106" s="22" t="s">
        <x:v>693</x:v>
      </x:c>
      <x:c r="B106" s="8" t="n">
        <x:f>'Evaluation Plan'!B106</x:f>
        <x:v>104</x:v>
      </x:c>
      <x:c r="C106" s="9" t="str">
        <x:f>'Evaluation Plan'!C106</x:f>
        <x:v>Pick up the largest item and place it in the bowl.</x:v>
      </x:c>
      <x:c r="D106" s="9" t="str">
        <x:f>'Evaluation Plan'!D106</x:f>
        <x:v>Bowl: empty. Table, robot-left→robot-right: P1 green block; P2 red pencil sharpener. Adjacent centers 12 cm apart; row shifted 4 cm toward robot-right; all objects fully visible and grasp paths clear.</x:v>
      </x:c>
      <x:c r="E106" s="8" t="str">
        <x:f>IF(ISBLANK('Evaluation Plan'!E106),"",'Evaluation Plan'!E106)</x:f>
      </x:c>
      <x:c r="F106" s="8" t="str">
        <x:f>'Evaluation Plan'!F106</x:f>
        <x:v>1082</x:v>
      </x:c>
      <x:c r="G106" s="8" t="str">
        <x:f>'Evaluation Plan'!G106</x:f>
        <x:v>MOVE green block to bowl</x:v>
      </x:c>
      <x:c r="H106" s="23" t="s">
        <x:v>731</x:v>
      </x:c>
      <x:c r="I106" s="8" t="str">
        <x:f>'Evaluation Plan'!I106</x:f>
        <x:v>Concept/compositional transfer</x:v>
      </x:c>
      <x:c r="J106" s="8" t="str">
        <x:f>'Evaluation Plan'!J106</x:f>
        <x:v>SZ-CT-LG23</x:v>
      </x:c>
      <x:c r="K106" s="8" t="str">
        <x:f>'Evaluation Plan'!K106</x:f>
        <x:v>largest</x:v>
      </x:c>
      <x:c r="L106" s="8" t="str">
        <x:f>'Evaluation Plan'!L106</x:f>
        <x:v>Held-out largest × green block — Pick up</x:v>
      </x:c>
      <x:c r="M106" s="8" t="str">
        <x:f>'Evaluation Plan'!M106</x:f>
        <x:v>green block</x:v>
      </x:c>
      <x:c r="N106" s="8" t="str">
        <x:f>'Evaluation Plan'!N106</x:f>
        <x:v>Left</x:v>
      </x:c>
      <x:c r="O106" s="8" t="n">
        <x:f>'Evaluation Plan'!O106</x:f>
        <x:v>2</x:v>
      </x:c>
      <x:c r="P106" s="8" t="n">
        <x:f>IF(ISBLANK('Evaluation Plan'!P106),"",'Evaluation Plan'!P106)</x:f>
        <x:v>12</x:v>
      </x:c>
      <x:c r="Q106" s="8" t="str">
        <x:f>'Evaluation Plan'!Q106</x:f>
        <x:v>Build the listed two-object scene and save a first-frame filename.</x:v>
      </x:c>
      <x:c r="R106" s="9" t="str">
        <x:f>'Evaluation Plan'!R106</x:f>
        <x:v>Primary missing cell. Training episode 1082 contains the same target trajectory but masks the size word with a direct identity prompt.</x:v>
      </x:c>
      <x:c r="S106" s="9" t="str">
        <x:f>IF(ISBLANK('Evaluation Plan'!S106),"",'Evaluation Plan'!S106)</x:f>
      </x:c>
    </x:row>
    <x:row r="107" ht="67.5" customHeight="1">
      <x:c r="A107" s="22" t="s">
        <x:v>591</x:v>
      </x:c>
      <x:c r="B107" s="8" t="n">
        <x:f>'Evaluation Plan'!B107</x:f>
        <x:v>105</x:v>
      </x:c>
      <x:c r="C107" s="9" t="str">
        <x:f>'Evaluation Plan'!C107</x:f>
        <x:v>Put the smallest object in the bowl.</x:v>
      </x:c>
      <x:c r="D107" s="9" t="str">
        <x:f>'Evaluation Plan'!D107</x:f>
        <x:v>Bowl: empty. Table, robot-left→robot-right: P1 crushed Pepsi can; P2 juggling ball. Adjacent centers 16 cm apart; row shifted 4 cm away from the robot; all objects fully visible and grasp paths clear.</x:v>
      </x:c>
      <x:c r="E107" s="8" t="str">
        <x:f>IF(ISBLANK('Evaluation Plan'!E107),"",'Evaluation Plan'!E107)</x:f>
      </x:c>
      <x:c r="F107" s="8" t="str">
        <x:f>'Evaluation Plan'!F107</x:f>
        <x:v>1107</x:v>
      </x:c>
      <x:c r="G107" s="8" t="str">
        <x:f>'Evaluation Plan'!G107</x:f>
        <x:v>MOVE juggling ball to bowl</x:v>
      </x:c>
      <x:c r="H107" s="9"/>
      <x:c r="I107" s="8" t="str">
        <x:f>'Evaluation Plan'!I107</x:f>
        <x:v>Concept/compositional transfer</x:v>
      </x:c>
      <x:c r="J107" s="8" t="str">
        <x:f>'Evaluation Plan'!J107</x:f>
        <x:v>SZ-CT-SJ23</x:v>
      </x:c>
      <x:c r="K107" s="8" t="str">
        <x:f>'Evaluation Plan'!K107</x:f>
        <x:v>smallest</x:v>
      </x:c>
      <x:c r="L107" s="8" t="str">
        <x:f>'Evaluation Plan'!L107</x:f>
        <x:v>Held-out smallest × juggling ball — Put</x:v>
      </x:c>
      <x:c r="M107" s="8" t="str">
        <x:f>'Evaluation Plan'!M107</x:f>
        <x:v>juggling ball</x:v>
      </x:c>
      <x:c r="N107" s="8" t="str">
        <x:f>'Evaluation Plan'!N107</x:f>
        <x:v>Right</x:v>
      </x:c>
      <x:c r="O107" s="8" t="n">
        <x:f>'Evaluation Plan'!O107</x:f>
        <x:v>2</x:v>
      </x:c>
      <x:c r="P107" s="8" t="n">
        <x:f>IF(ISBLANK('Evaluation Plan'!P107),"",'Evaluation Plan'!P107)</x:f>
        <x:v>16</x:v>
      </x:c>
      <x:c r="Q107" s="8" t="str">
        <x:f>'Evaluation Plan'!Q107</x:f>
        <x:v>Build the listed two-object scene and save a first-frame filename.</x:v>
      </x:c>
      <x:c r="R107" s="9" t="str">
        <x:f>'Evaluation Plan'!R107</x:f>
        <x:v>Primary missing cell. Training episode 1107 contains the same target trajectory but masks the size word with a direct identity prompt.</x:v>
      </x:c>
      <x:c r="S107" s="9" t="str">
        <x:f>IF(ISBLANK('Evaluation Plan'!S107),"",'Evaluation Plan'!S107)</x:f>
      </x:c>
    </x:row>
    <x:row r="108" ht="67.5" customHeight="1">
      <x:c r="A108" s="22" t="s">
        <x:v>693</x:v>
      </x:c>
      <x:c r="B108" s="8" t="n">
        <x:f>'Evaluation Plan'!B108</x:f>
        <x:v>106</x:v>
      </x:c>
      <x:c r="C108" s="9" t="str">
        <x:f>'Evaluation Plan'!C108</x:f>
        <x:v>Put the largest object in the bowl.</x:v>
      </x:c>
      <x:c r="D108" s="9" t="str">
        <x:f>'Evaluation Plan'!D108</x:f>
        <x:v>Bowl: empty. Table, robot-left→robot-right: P1 red pencil sharpener; P2 green block. Adjacent centers 16 cm apart; row shifted 4 cm toward the robot; all objects fully visible and grasp paths clear.</x:v>
      </x:c>
      <x:c r="E108" s="8" t="str">
        <x:f>IF(ISBLANK('Evaluation Plan'!E108),"",'Evaluation Plan'!E108)</x:f>
      </x:c>
      <x:c r="F108" s="8" t="str">
        <x:f>'Evaluation Plan'!F108</x:f>
        <x:v>1083</x:v>
      </x:c>
      <x:c r="G108" s="8" t="str">
        <x:f>'Evaluation Plan'!G108</x:f>
        <x:v>MOVE green block to bowl</x:v>
      </x:c>
      <x:c r="H108" s="23" t="s">
        <x:v>731</x:v>
      </x:c>
      <x:c r="I108" s="8" t="str">
        <x:f>'Evaluation Plan'!I108</x:f>
        <x:v>Concept/compositional transfer</x:v>
      </x:c>
      <x:c r="J108" s="8" t="str">
        <x:f>'Evaluation Plan'!J108</x:f>
        <x:v>SZ-CT-LG24</x:v>
      </x:c>
      <x:c r="K108" s="8" t="str">
        <x:f>'Evaluation Plan'!K108</x:f>
        <x:v>largest</x:v>
      </x:c>
      <x:c r="L108" s="8" t="str">
        <x:f>'Evaluation Plan'!L108</x:f>
        <x:v>Held-out largest × green block — Put</x:v>
      </x:c>
      <x:c r="M108" s="8" t="str">
        <x:f>'Evaluation Plan'!M108</x:f>
        <x:v>green block</x:v>
      </x:c>
      <x:c r="N108" s="8" t="str">
        <x:f>'Evaluation Plan'!N108</x:f>
        <x:v>Right</x:v>
      </x:c>
      <x:c r="O108" s="8" t="n">
        <x:f>'Evaluation Plan'!O108</x:f>
        <x:v>2</x:v>
      </x:c>
      <x:c r="P108" s="8" t="n">
        <x:f>IF(ISBLANK('Evaluation Plan'!P108),"",'Evaluation Plan'!P108)</x:f>
        <x:v>16</x:v>
      </x:c>
      <x:c r="Q108" s="8" t="str">
        <x:f>'Evaluation Plan'!Q108</x:f>
        <x:v>Build the listed two-object scene and save a first-frame filename.</x:v>
      </x:c>
      <x:c r="R108" s="9" t="str">
        <x:f>'Evaluation Plan'!R108</x:f>
        <x:v>Primary missing cell. Training episode 1083 contains the same target trajectory but masks the size word with a direct identity prompt.</x:v>
      </x:c>
      <x:c r="S108" s="9" t="str">
        <x:f>IF(ISBLANK('Evaluation Plan'!S108),"",'Evaluation Plan'!S108)</x:f>
      </x:c>
    </x:row>
    <x:row r="109" ht="67.5" customHeight="1">
      <x:c r="A109" s="22" t="s">
        <x:v>591</x:v>
      </x:c>
      <x:c r="B109" s="8" t="n">
        <x:f>'Evaluation Plan'!B109</x:f>
        <x:v>107</x:v>
      </x:c>
      <x:c r="C109" s="9" t="str">
        <x:f>'Evaluation Plan'!C109</x:f>
        <x:v>Move the object that is smallest into the bowl.</x:v>
      </x:c>
      <x:c r="D109" s="9" t="str">
        <x:f>'Evaluation Plan'!D109</x:f>
        <x:v>Bowl: empty. Table, robot-left→robot-right: P1 juggling ball; P2 crushed Pepsi can. Adjacent centers 8 cm apart; row centered on the workspace; all objects fully visible and grasp paths clear.</x:v>
      </x:c>
      <x:c r="E109" s="8" t="str">
        <x:f>IF(ISBLANK('Evaluation Plan'!E109),"",'Evaluation Plan'!E109)</x:f>
      </x:c>
      <x:c r="F109" s="8" t="str">
        <x:f>'Evaluation Plan'!F109</x:f>
        <x:v>1108</x:v>
      </x:c>
      <x:c r="G109" s="8" t="str">
        <x:f>'Evaluation Plan'!G109</x:f>
        <x:v>MOVE juggling ball to bowl</x:v>
      </x:c>
      <x:c r="H109" s="9"/>
      <x:c r="I109" s="8" t="str">
        <x:f>'Evaluation Plan'!I109</x:f>
        <x:v>Concept/compositional transfer</x:v>
      </x:c>
      <x:c r="J109" s="8" t="str">
        <x:f>'Evaluation Plan'!J109</x:f>
        <x:v>SZ-CT-SJ24</x:v>
      </x:c>
      <x:c r="K109" s="8" t="str">
        <x:f>'Evaluation Plan'!K109</x:f>
        <x:v>smallest</x:v>
      </x:c>
      <x:c r="L109" s="8" t="str">
        <x:f>'Evaluation Plan'!L109</x:f>
        <x:v>Held-out smallest × juggling ball — Move</x:v>
      </x:c>
      <x:c r="M109" s="8" t="str">
        <x:f>'Evaluation Plan'!M109</x:f>
        <x:v>juggling ball</x:v>
      </x:c>
      <x:c r="N109" s="8" t="str">
        <x:f>'Evaluation Plan'!N109</x:f>
        <x:v>Left</x:v>
      </x:c>
      <x:c r="O109" s="8" t="n">
        <x:f>'Evaluation Plan'!O109</x:f>
        <x:v>2</x:v>
      </x:c>
      <x:c r="P109" s="8" t="n">
        <x:f>IF(ISBLANK('Evaluation Plan'!P109),"",'Evaluation Plan'!P109)</x:f>
        <x:v>8</x:v>
      </x:c>
      <x:c r="Q109" s="8" t="str">
        <x:f>'Evaluation Plan'!Q109</x:f>
        <x:v>Build the listed two-object scene and save a first-frame filename.</x:v>
      </x:c>
      <x:c r="R109" s="9" t="str">
        <x:f>'Evaluation Plan'!R109</x:f>
        <x:v>Primary missing cell. Training episode 1108 contains the same target trajectory but masks the size word with a direct identity prompt.</x:v>
      </x:c>
      <x:c r="S109" s="9" t="str">
        <x:f>IF(ISBLANK('Evaluation Plan'!S109),"",'Evaluation Plan'!S109)</x:f>
      </x:c>
    </x:row>
    <x:row r="110" ht="67.5" customHeight="1">
      <x:c r="A110" s="22" t="s">
        <x:v>693</x:v>
      </x:c>
      <x:c r="B110" s="8" t="n">
        <x:f>'Evaluation Plan'!B110</x:f>
        <x:v>108</x:v>
      </x:c>
      <x:c r="C110" s="9" t="str">
        <x:f>'Evaluation Plan'!C110</x:f>
        <x:v>Move the object that is largest into the bowl.</x:v>
      </x:c>
      <x:c r="D110" s="9" t="str">
        <x:f>'Evaluation Plan'!D110</x:f>
        <x:v>Bowl: empty. Table, robot-left→robot-right: P1 green block; P2 red pencil sharpener. Adjacent centers 8 cm apart; row shifted 4 cm away from the robot; all objects fully visible and grasp paths clear.</x:v>
      </x:c>
      <x:c r="E110" s="8" t="str">
        <x:f>IF(ISBLANK('Evaluation Plan'!E110),"",'Evaluation Plan'!E110)</x:f>
      </x:c>
      <x:c r="F110" s="8" t="str">
        <x:f>'Evaluation Plan'!F110</x:f>
        <x:v>1084</x:v>
      </x:c>
      <x:c r="G110" s="8" t="str">
        <x:f>'Evaluation Plan'!G110</x:f>
        <x:v>MOVE green block to bowl</x:v>
      </x:c>
      <x:c r="H110" s="23" t="s">
        <x:v>731</x:v>
      </x:c>
      <x:c r="I110" s="8" t="str">
        <x:f>'Evaluation Plan'!I110</x:f>
        <x:v>Concept/compositional transfer</x:v>
      </x:c>
      <x:c r="J110" s="8" t="str">
        <x:f>'Evaluation Plan'!J110</x:f>
        <x:v>SZ-CT-LG25</x:v>
      </x:c>
      <x:c r="K110" s="8" t="str">
        <x:f>'Evaluation Plan'!K110</x:f>
        <x:v>largest</x:v>
      </x:c>
      <x:c r="L110" s="8" t="str">
        <x:f>'Evaluation Plan'!L110</x:f>
        <x:v>Held-out largest × green block — Move</x:v>
      </x:c>
      <x:c r="M110" s="8" t="str">
        <x:f>'Evaluation Plan'!M110</x:f>
        <x:v>green block</x:v>
      </x:c>
      <x:c r="N110" s="8" t="str">
        <x:f>'Evaluation Plan'!N110</x:f>
        <x:v>Left</x:v>
      </x:c>
      <x:c r="O110" s="8" t="n">
        <x:f>'Evaluation Plan'!O110</x:f>
        <x:v>2</x:v>
      </x:c>
      <x:c r="P110" s="8" t="n">
        <x:f>IF(ISBLANK('Evaluation Plan'!P110),"",'Evaluation Plan'!P110)</x:f>
        <x:v>8</x:v>
      </x:c>
      <x:c r="Q110" s="8" t="str">
        <x:f>'Evaluation Plan'!Q110</x:f>
        <x:v>Build the listed two-object scene and save a first-frame filename.</x:v>
      </x:c>
      <x:c r="R110" s="9" t="str">
        <x:f>'Evaluation Plan'!R110</x:f>
        <x:v>Primary missing cell. Training episode 1084 contains the same target trajectory but masks the size word with a direct identity prompt.</x:v>
      </x:c>
      <x:c r="S110" s="9" t="str">
        <x:f>IF(ISBLANK('Evaluation Plan'!S110),"",'Evaluation Plan'!S110)</x:f>
      </x:c>
    </x:row>
    <x:row r="111" ht="67.5" customHeight="1">
      <x:c r="A111" s="22" t="s">
        <x:v>591</x:v>
      </x:c>
      <x:c r="B111" s="8" t="n">
        <x:f>'Evaluation Plan'!B111</x:f>
        <x:v>109</x:v>
      </x:c>
      <x:c r="C111" s="9" t="str">
        <x:f>'Evaluation Plan'!C111</x:f>
        <x:v>Pick up the smallest item and place it in the bowl.</x:v>
      </x:c>
      <x:c r="D111" s="9" t="str">
        <x:f>'Evaluation Plan'!D111</x:f>
        <x:v>Bowl: empty. Table, robot-left→robot-right: P1 crushed Pepsi can; P2 juggling ball. Adjacent centers 12 cm apart; row shifted 4 cm toward robot-left; all objects fully visible and grasp paths clear.</x:v>
      </x:c>
      <x:c r="E111" s="8" t="str">
        <x:f>IF(ISBLANK('Evaluation Plan'!E111),"",'Evaluation Plan'!E111)</x:f>
      </x:c>
      <x:c r="F111" s="8" t="str">
        <x:f>'Evaluation Plan'!F111</x:f>
        <x:v>1109</x:v>
      </x:c>
      <x:c r="G111" s="8" t="str">
        <x:f>'Evaluation Plan'!G111</x:f>
        <x:v>MOVE juggling ball to bowl</x:v>
      </x:c>
      <x:c r="H111" s="9"/>
      <x:c r="I111" s="8" t="str">
        <x:f>'Evaluation Plan'!I111</x:f>
        <x:v>Concept/compositional transfer</x:v>
      </x:c>
      <x:c r="J111" s="8" t="str">
        <x:f>'Evaluation Plan'!J111</x:f>
        <x:v>SZ-CT-SJ25</x:v>
      </x:c>
      <x:c r="K111" s="8" t="str">
        <x:f>'Evaluation Plan'!K111</x:f>
        <x:v>smallest</x:v>
      </x:c>
      <x:c r="L111" s="8" t="str">
        <x:f>'Evaluation Plan'!L111</x:f>
        <x:v>Held-out smallest × juggling ball — Pick up</x:v>
      </x:c>
      <x:c r="M111" s="8" t="str">
        <x:f>'Evaluation Plan'!M111</x:f>
        <x:v>juggling ball</x:v>
      </x:c>
      <x:c r="N111" s="8" t="str">
        <x:f>'Evaluation Plan'!N111</x:f>
        <x:v>Right</x:v>
      </x:c>
      <x:c r="O111" s="8" t="n">
        <x:f>'Evaluation Plan'!O111</x:f>
        <x:v>2</x:v>
      </x:c>
      <x:c r="P111" s="8" t="n">
        <x:f>IF(ISBLANK('Evaluation Plan'!P111),"",'Evaluation Plan'!P111)</x:f>
        <x:v>12</x:v>
      </x:c>
      <x:c r="Q111" s="8" t="str">
        <x:f>'Evaluation Plan'!Q111</x:f>
        <x:v>Build the listed two-object scene and save a first-frame filename.</x:v>
      </x:c>
      <x:c r="R111" s="9" t="str">
        <x:f>'Evaluation Plan'!R111</x:f>
        <x:v>Primary missing cell. Training episode 1109 contains the same target trajectory but masks the size word with a direct identity prompt.</x:v>
      </x:c>
      <x:c r="S111" s="9" t="str">
        <x:f>IF(ISBLANK('Evaluation Plan'!S111),"",'Evaluation Plan'!S111)</x:f>
      </x:c>
    </x:row>
    <x:row r="112" ht="67.5" customHeight="1">
      <x:c r="A112" s="22" t="s">
        <x:v>591</x:v>
      </x:c>
      <x:c r="B112" s="8" t="n">
        <x:f>'Evaluation Plan'!B112</x:f>
        <x:v>110</x:v>
      </x:c>
      <x:c r="C112" s="9" t="str">
        <x:f>'Evaluation Plan'!C112</x:f>
        <x:v>Move the object that is largest into the bowl.</x:v>
      </x:c>
      <x:c r="D112" s="9" t="str">
        <x:f>'Evaluation Plan'!D112</x:f>
        <x:v>Bowl: empty. Table, robot-left→robot-right: P1 airplane toy with propellers; P2 red pencil sharpener. Adjacent centers 8 cm apart; row centered on the workspace; all objects fully visible and grasp paths clear.</x:v>
      </x:c>
      <x:c r="E112" s="8" t="str">
        <x:f>IF(ISBLANK('Evaluation Plan'!E112),"",'Evaluation Plan'!E112)</x:f>
      </x:c>
      <x:c r="F112" s="8" t="str">
        <x:f>'Evaluation Plan'!F112</x:f>
        <x:v>airplane exposure 550</x:v>
      </x:c>
      <x:c r="G112" s="8" t="str">
        <x:f>'Evaluation Plan'!G112</x:f>
        <x:v>MOVE airplane toy with propellers to bowl</x:v>
      </x:c>
      <x:c r="H112" s="9"/>
      <x:c r="I112" s="8" t="str">
        <x:f>'Evaluation Plan'!I112</x:f>
        <x:v>Cross-task airplane reasoning</x:v>
      </x:c>
      <x:c r="J112" s="8" t="str">
        <x:f>'Evaluation Plan'!J112</x:f>
        <x:v>SZ-XA01</x:v>
      </x:c>
      <x:c r="K112" s="8" t="str">
        <x:f>'Evaluation Plan'!K112</x:f>
        <x:v>largest</x:v>
      </x:c>
      <x:c r="L112" s="8" t="str">
        <x:f>'Evaluation Plan'!L112</x:f>
        <x:v>Airplane is largest</x:v>
      </x:c>
      <x:c r="M112" s="8" t="str">
        <x:f>'Evaluation Plan'!M112</x:f>
        <x:v>airplane toy with propellers</x:v>
      </x:c>
      <x:c r="N112" s="8" t="str">
        <x:f>'Evaluation Plan'!N112</x:f>
        <x:v>Left</x:v>
      </x:c>
      <x:c r="O112" s="8" t="n">
        <x:f>'Evaluation Plan'!O112</x:f>
        <x:v>2</x:v>
      </x:c>
      <x:c r="P112" s="8" t="n">
        <x:f>IF(ISBLANK('Evaluation Plan'!P112),"",'Evaluation Plan'!P112)</x:f>
        <x:v>8</x:v>
      </x:c>
      <x:c r="Q112" s="8" t="str">
        <x:f>'Evaluation Plan'!Q112</x:f>
        <x:v>Build the listed airplane scene and save a first-frame filename.</x:v>
      </x:c>
      <x:c r="R112" s="9" t="str">
        <x:f>'Evaluation Plan'!R112</x:f>
        <x:v>The airplane is larger than the red pencil sharpener. It is known globally but never received size language in training.</x:v>
      </x:c>
      <x:c r="S112" s="9" t="str">
        <x:f>IF(ISBLANK('Evaluation Plan'!S112),"",'Evaluation Plan'!S112)</x:f>
      </x:c>
    </x:row>
    <x:row r="113" ht="67.5" customHeight="1">
      <x:c r="A113" s="33" t="s">
        <x:v>591</x:v>
      </x:c>
      <x:c r="B113" s="16" t="n">
        <x:f>'Evaluation Plan'!B113</x:f>
        <x:v>111</x:v>
      </x:c>
      <x:c r="C113" s="6" t="str">
        <x:f>'Evaluation Plan'!C113</x:f>
        <x:v>Put the smallest object in the bowl.</x:v>
      </x:c>
      <x:c r="D113" s="6" t="str">
        <x:f>'Evaluation Plan'!D113</x:f>
        <x:v>Bowl: empty. Table, robot-left→robot-right: P1 airplane toy with propellers; P2 red pencil sharpener. Adjacent centers 8 cm apart; row centered on the workspace; all objects fully visible and grasp paths clear.</x:v>
      </x:c>
      <x:c r="E113" s="16" t="n">
        <x:f>IF(ISBLANK('Evaluation Plan'!E113),"",'Evaluation Plan'!E113)</x:f>
        <x:v>110</x:v>
      </x:c>
      <x:c r="F113" s="16" t="str">
        <x:f>'Evaluation Plan'!F113</x:f>
        <x:v>1005; airplane exposure 550</x:v>
      </x:c>
      <x:c r="G113" s="16" t="str">
        <x:f>'Evaluation Plan'!G113</x:f>
        <x:v>MOVE red pencil sharpener to bowl</x:v>
      </x:c>
      <x:c r="H113" s="6"/>
      <x:c r="I113" s="16" t="str">
        <x:f>'Evaluation Plan'!I113</x:f>
        <x:v>Cross-task airplane counterfactual</x:v>
      </x:c>
      <x:c r="J113" s="16" t="str">
        <x:f>'Evaluation Plan'!J113</x:f>
        <x:v>SZ-XA01</x:v>
      </x:c>
      <x:c r="K113" s="16" t="str">
        <x:f>'Evaluation Plan'!K113</x:f>
        <x:v>smallest</x:v>
      </x:c>
      <x:c r="L113" s="16" t="str">
        <x:f>'Evaluation Plan'!L113</x:f>
        <x:v>Exact-scene opposite-comparison reasoning control</x:v>
      </x:c>
      <x:c r="M113" s="16" t="str">
        <x:f>'Evaluation Plan'!M113</x:f>
        <x:v>red pencil sharpener</x:v>
      </x:c>
      <x:c r="N113" s="16" t="str">
        <x:f>'Evaluation Plan'!N113</x:f>
        <x:v>Right</x:v>
      </x:c>
      <x:c r="O113" s="16" t="n">
        <x:f>'Evaluation Plan'!O113</x:f>
        <x:v>2</x:v>
      </x:c>
      <x:c r="P113" s="16" t="n">
        <x:f>IF(ISBLANK('Evaluation Plan'!P113),"",'Evaluation Plan'!P113)</x:f>
        <x:v>8</x:v>
      </x:c>
      <x:c r="Q113" s="16" t="str">
        <x:f>'Evaluation Plan'!Q113</x:f>
        <x:v>Reset the airplane; preserve the exact scene and reverse only the size comparison.</x:v>
      </x:c>
      <x:c r="R113" s="6" t="str">
        <x:f>'Evaluation Plan'!R113</x:f>
        <x:v>Reasoning-only counterfactual grounded by trained cell smallest × red pencil sharpener; an always-pick-airplane shortcut must fail.</x:v>
      </x:c>
      <x:c r="S113" s="6" t="str">
        <x:f>IF(ISBLANK('Evaluation Plan'!S113),"",'Evaluation Plan'!S113)</x:f>
      </x:c>
    </x:row>
    <x:row r="114" ht="67.5" customHeight="1">
      <x:c r="A114" s="22" t="s">
        <x:v>591</x:v>
      </x:c>
      <x:c r="B114" s="8" t="n">
        <x:f>'Evaluation Plan'!B114</x:f>
        <x:v>112</x:v>
      </x:c>
      <x:c r="C114" s="9" t="str">
        <x:f>'Evaluation Plan'!C114</x:f>
        <x:v>Pick up the smallest item and place it in the bowl.</x:v>
      </x:c>
      <x:c r="D114" s="9" t="str">
        <x:f>'Evaluation Plan'!D114</x:f>
        <x:v>Bowl: empty. Table, robot-left→robot-right: P1 airplane toy with propellers; P2 green block; P3 crushed Pepsi can. Adjacent centers 12 cm apart; row shifted 4 cm toward robot-right; all objects fully visible and grasp paths clear.</x:v>
      </x:c>
      <x:c r="E114" s="8" t="str">
        <x:f>IF(ISBLANK('Evaluation Plan'!E114),"",'Evaluation Plan'!E114)</x:f>
      </x:c>
      <x:c r="F114" s="8" t="str">
        <x:f>'Evaluation Plan'!F114</x:f>
        <x:v>airplane exposure 552</x:v>
      </x:c>
      <x:c r="G114" s="8" t="str">
        <x:f>'Evaluation Plan'!G114</x:f>
        <x:v>MOVE airplane toy with propellers to bowl</x:v>
      </x:c>
      <x:c r="H114" s="9"/>
      <x:c r="I114" s="8" t="str">
        <x:f>'Evaluation Plan'!I114</x:f>
        <x:v>Cross-task airplane reasoning</x:v>
      </x:c>
      <x:c r="J114" s="8" t="str">
        <x:f>'Evaluation Plan'!J114</x:f>
        <x:v>SZ-XA02</x:v>
      </x:c>
      <x:c r="K114" s="8" t="str">
        <x:f>'Evaluation Plan'!K114</x:f>
        <x:v>smallest</x:v>
      </x:c>
      <x:c r="L114" s="8" t="str">
        <x:f>'Evaluation Plan'!L114</x:f>
        <x:v>Airplane is smallest</x:v>
      </x:c>
      <x:c r="M114" s="8" t="str">
        <x:f>'Evaluation Plan'!M114</x:f>
        <x:v>airplane toy with propellers</x:v>
      </x:c>
      <x:c r="N114" s="8" t="str">
        <x:f>'Evaluation Plan'!N114</x:f>
        <x:v>Left</x:v>
      </x:c>
      <x:c r="O114" s="8" t="n">
        <x:f>'Evaluation Plan'!O114</x:f>
        <x:v>3</x:v>
      </x:c>
      <x:c r="P114" s="8" t="n">
        <x:f>IF(ISBLANK('Evaluation Plan'!P114),"",'Evaluation Plan'!P114)</x:f>
        <x:v>12</x:v>
      </x:c>
      <x:c r="Q114" s="8" t="str">
        <x:f>'Evaluation Plan'!Q114</x:f>
        <x:v>Build the listed airplane scene and save a first-frame filename.</x:v>
      </x:c>
      <x:c r="R114" s="9" t="str">
        <x:f>'Evaluation Plan'!R114</x:f>
        <x:v>The airplane is smaller than every listed table comparator. Green-block scenes also include a trained larger endpoint so the counterfactual does not test largest×green.</x:v>
      </x:c>
      <x:c r="S114" s="9" t="str">
        <x:f>IF(ISBLANK('Evaluation Plan'!S114),"",'Evaluation Plan'!S114)</x:f>
      </x:c>
    </x:row>
    <x:row r="115" ht="67.5" customHeight="1">
      <x:c r="A115" s="33" t="s">
        <x:v>693</x:v>
      </x:c>
      <x:c r="B115" s="16" t="n">
        <x:f>'Evaluation Plan'!B115</x:f>
        <x:v>113</x:v>
      </x:c>
      <x:c r="C115" s="6" t="str">
        <x:f>'Evaluation Plan'!C115</x:f>
        <x:v>Put the largest object in the bowl.</x:v>
      </x:c>
      <x:c r="D115" s="6" t="str">
        <x:f>'Evaluation Plan'!D115</x:f>
        <x:v>Bowl: empty. Table, robot-left→robot-right: P1 airplane toy with propellers; P2 green block; P3 crushed Pepsi can. Adjacent centers 12 cm apart; row shifted 4 cm toward robot-right; all objects fully visible and grasp paths clear.</x:v>
      </x:c>
      <x:c r="E115" s="16" t="n">
        <x:f>IF(ISBLANK('Evaluation Plan'!E115),"",'Evaluation Plan'!E115)</x:f>
        <x:v>112</x:v>
      </x:c>
      <x:c r="F115" s="16" t="str">
        <x:f>'Evaluation Plan'!F115</x:f>
        <x:v>1155; airplane exposure 552</x:v>
      </x:c>
      <x:c r="G115" s="16" t="str">
        <x:f>'Evaluation Plan'!G115</x:f>
        <x:v>MOVE crushed Pepsi can to bowl</x:v>
      </x:c>
      <x:c r="H115" s="23" t="s">
        <x:v>745</x:v>
      </x:c>
      <x:c r="I115" s="16" t="str">
        <x:f>'Evaluation Plan'!I115</x:f>
        <x:v>Cross-task airplane counterfactual</x:v>
      </x:c>
      <x:c r="J115" s="16" t="str">
        <x:f>'Evaluation Plan'!J115</x:f>
        <x:v>SZ-XA02</x:v>
      </x:c>
      <x:c r="K115" s="16" t="str">
        <x:f>'Evaluation Plan'!K115</x:f>
        <x:v>largest</x:v>
      </x:c>
      <x:c r="L115" s="16" t="str">
        <x:f>'Evaluation Plan'!L115</x:f>
        <x:v>Exact-scene opposite-comparison reasoning control</x:v>
      </x:c>
      <x:c r="M115" s="16" t="str">
        <x:f>'Evaluation Plan'!M115</x:f>
        <x:v>crushed Pepsi can</x:v>
      </x:c>
      <x:c r="N115" s="16" t="str">
        <x:f>'Evaluation Plan'!N115</x:f>
        <x:v>Right</x:v>
      </x:c>
      <x:c r="O115" s="16" t="n">
        <x:f>'Evaluation Plan'!O115</x:f>
        <x:v>3</x:v>
      </x:c>
      <x:c r="P115" s="16" t="n">
        <x:f>IF(ISBLANK('Evaluation Plan'!P115),"",'Evaluation Plan'!P115)</x:f>
        <x:v>12</x:v>
      </x:c>
      <x:c r="Q115" s="16" t="str">
        <x:f>'Evaluation Plan'!Q115</x:f>
        <x:v>Reset the airplane; preserve the exact scene and reverse only the size comparison.</x:v>
      </x:c>
      <x:c r="R115" s="6" t="str">
        <x:f>'Evaluation Plan'!R115</x:f>
        <x:v>Reasoning-only counterfactual grounded by trained cell largest × crushed Pepsi can; an always-pick-airplane shortcut must fail.</x:v>
      </x:c>
      <x:c r="S115" s="6" t="str">
        <x:f>IF(ISBLANK('Evaluation Plan'!S115),"",'Evaluation Plan'!S115)</x:f>
      </x:c>
    </x:row>
    <x:row r="116" ht="67.5" customHeight="1">
      <x:c r="A116" s="22" t="s">
        <x:v>591</x:v>
      </x:c>
      <x:c r="B116" s="8" t="n">
        <x:f>'Evaluation Plan'!B116</x:f>
        <x:v>114</x:v>
      </x:c>
      <x:c r="C116" s="9" t="str">
        <x:f>'Evaluation Plan'!C116</x:f>
        <x:v>Pick up the largest item and place it in the bowl.</x:v>
      </x:c>
      <x:c r="D116" s="9" t="str">
        <x:f>'Evaluation Plan'!D116</x:f>
        <x:v>Bowl: empty. Table, robot-left→robot-right: P1 red pencil sharpener; P2 airplane toy with propellers. Adjacent centers 12 cm apart; row shifted 4 cm toward robot-left; all objects fully visible and grasp paths clear.</x:v>
      </x:c>
      <x:c r="E116" s="8" t="str">
        <x:f>IF(ISBLANK('Evaluation Plan'!E116),"",'Evaluation Plan'!E116)</x:f>
      </x:c>
      <x:c r="F116" s="8" t="str">
        <x:f>'Evaluation Plan'!F116</x:f>
        <x:v>airplane exposure 554</x:v>
      </x:c>
      <x:c r="G116" s="8" t="str">
        <x:f>'Evaluation Plan'!G116</x:f>
        <x:v>MOVE airplane toy with propellers to bowl</x:v>
      </x:c>
      <x:c r="H116" s="23"/>
      <x:c r="I116" s="8" t="str">
        <x:f>'Evaluation Plan'!I116</x:f>
        <x:v>Cross-task airplane reasoning</x:v>
      </x:c>
      <x:c r="J116" s="8" t="str">
        <x:f>'Evaluation Plan'!J116</x:f>
        <x:v>SZ-XA03</x:v>
      </x:c>
      <x:c r="K116" s="8" t="str">
        <x:f>'Evaluation Plan'!K116</x:f>
        <x:v>largest</x:v>
      </x:c>
      <x:c r="L116" s="8" t="str">
        <x:f>'Evaluation Plan'!L116</x:f>
        <x:v>Airplane is largest</x:v>
      </x:c>
      <x:c r="M116" s="8" t="str">
        <x:f>'Evaluation Plan'!M116</x:f>
        <x:v>airplane toy with propellers</x:v>
      </x:c>
      <x:c r="N116" s="8" t="str">
        <x:f>'Evaluation Plan'!N116</x:f>
        <x:v>Right</x:v>
      </x:c>
      <x:c r="O116" s="8" t="n">
        <x:f>'Evaluation Plan'!O116</x:f>
        <x:v>2</x:v>
      </x:c>
      <x:c r="P116" s="8" t="n">
        <x:f>IF(ISBLANK('Evaluation Plan'!P116),"",'Evaluation Plan'!P116)</x:f>
        <x:v>12</x:v>
      </x:c>
      <x:c r="Q116" s="8" t="str">
        <x:f>'Evaluation Plan'!Q116</x:f>
        <x:v>Build the listed airplane scene and save a first-frame filename.</x:v>
      </x:c>
      <x:c r="R116" s="9" t="str">
        <x:f>'Evaluation Plan'!R116</x:f>
        <x:v>The airplane is larger than the red pencil sharpener. It is known globally but never received size language in training.</x:v>
      </x:c>
      <x:c r="S116" s="9" t="str">
        <x:f>IF(ISBLANK('Evaluation Plan'!S116),"",'Evaluation Plan'!S116)</x:f>
      </x:c>
    </x:row>
    <x:row r="117" ht="67.5" customHeight="1">
      <x:c r="A117" s="33" t="s">
        <x:v>591</x:v>
      </x:c>
      <x:c r="B117" s="16" t="n">
        <x:f>'Evaluation Plan'!B117</x:f>
        <x:v>115</x:v>
      </x:c>
      <x:c r="C117" s="6" t="str">
        <x:f>'Evaluation Plan'!C117</x:f>
        <x:v>Move the object that is smallest into the bowl.</x:v>
      </x:c>
      <x:c r="D117" s="6" t="str">
        <x:f>'Evaluation Plan'!D117</x:f>
        <x:v>Bowl: empty. Table, robot-left→robot-right: P1 red pencil sharpener; P2 airplane toy with propellers. Adjacent centers 12 cm apart; row shifted 4 cm toward robot-left; all objects fully visible and grasp paths clear.</x:v>
      </x:c>
      <x:c r="E117" s="16" t="n">
        <x:f>IF(ISBLANK('Evaluation Plan'!E117),"",'Evaluation Plan'!E117)</x:f>
        <x:v>114</x:v>
      </x:c>
      <x:c r="F117" s="16" t="str">
        <x:f>'Evaluation Plan'!F117</x:f>
        <x:v>1006; airplane exposure 554</x:v>
      </x:c>
      <x:c r="G117" s="16" t="str">
        <x:f>'Evaluation Plan'!G117</x:f>
        <x:v>MOVE red pencil sharpener to bowl</x:v>
      </x:c>
      <x:c r="H117" s="6"/>
      <x:c r="I117" s="16" t="str">
        <x:f>'Evaluation Plan'!I117</x:f>
        <x:v>Cross-task airplane counterfactual</x:v>
      </x:c>
      <x:c r="J117" s="16" t="str">
        <x:f>'Evaluation Plan'!J117</x:f>
        <x:v>SZ-XA03</x:v>
      </x:c>
      <x:c r="K117" s="16" t="str">
        <x:f>'Evaluation Plan'!K117</x:f>
        <x:v>smallest</x:v>
      </x:c>
      <x:c r="L117" s="16" t="str">
        <x:f>'Evaluation Plan'!L117</x:f>
        <x:v>Exact-scene opposite-comparison reasoning control</x:v>
      </x:c>
      <x:c r="M117" s="16" t="str">
        <x:f>'Evaluation Plan'!M117</x:f>
        <x:v>red pencil sharpener</x:v>
      </x:c>
      <x:c r="N117" s="16" t="str">
        <x:f>'Evaluation Plan'!N117</x:f>
        <x:v>Left</x:v>
      </x:c>
      <x:c r="O117" s="16" t="n">
        <x:f>'Evaluation Plan'!O117</x:f>
        <x:v>2</x:v>
      </x:c>
      <x:c r="P117" s="16" t="n">
        <x:f>IF(ISBLANK('Evaluation Plan'!P117),"",'Evaluation Plan'!P117)</x:f>
        <x:v>12</x:v>
      </x:c>
      <x:c r="Q117" s="16" t="str">
        <x:f>'Evaluation Plan'!Q117</x:f>
        <x:v>Reset the airplane; preserve the exact scene and reverse only the size comparison.</x:v>
      </x:c>
      <x:c r="R117" s="6" t="str">
        <x:f>'Evaluation Plan'!R117</x:f>
        <x:v>Reasoning-only counterfactual grounded by trained cell smallest × red pencil sharpener; an always-pick-airplane shortcut must fail.</x:v>
      </x:c>
      <x:c r="S117" s="6" t="str">
        <x:f>IF(ISBLANK('Evaluation Plan'!S117),"",'Evaluation Plan'!S117)</x:f>
      </x:c>
    </x:row>
    <x:row r="118" ht="67.5" customHeight="1">
      <x:c r="A118" s="22" t="s">
        <x:v>591</x:v>
      </x:c>
      <x:c r="B118" s="8" t="n">
        <x:f>'Evaluation Plan'!B118</x:f>
        <x:v>116</x:v>
      </x:c>
      <x:c r="C118" s="9" t="str">
        <x:f>'Evaluation Plan'!C118</x:f>
        <x:v>Put the smallest object in the bowl.</x:v>
      </x:c>
      <x:c r="D118" s="9" t="str">
        <x:f>'Evaluation Plan'!D118</x:f>
        <x:v>Bowl: empty. Table, robot-left→robot-right: P1 juggling ball; P2 green block; P3 airplane toy with propellers. Adjacent centers 16 cm apart; row shifted 4 cm toward the robot; all objects fully visible and grasp paths clear.</x:v>
      </x:c>
      <x:c r="E118" s="8" t="str">
        <x:f>IF(ISBLANK('Evaluation Plan'!E118),"",'Evaluation Plan'!E118)</x:f>
      </x:c>
      <x:c r="F118" s="8" t="str">
        <x:f>'Evaluation Plan'!F118</x:f>
        <x:v>airplane exposure 556</x:v>
      </x:c>
      <x:c r="G118" s="8" t="str">
        <x:f>'Evaluation Plan'!G118</x:f>
        <x:v>MOVE airplane toy with propellers to bowl</x:v>
      </x:c>
      <x:c r="H118" s="9"/>
      <x:c r="I118" s="8" t="str">
        <x:f>'Evaluation Plan'!I118</x:f>
        <x:v>Cross-task airplane reasoning</x:v>
      </x:c>
      <x:c r="J118" s="8" t="str">
        <x:f>'Evaluation Plan'!J118</x:f>
        <x:v>SZ-XA04</x:v>
      </x:c>
      <x:c r="K118" s="8" t="str">
        <x:f>'Evaluation Plan'!K118</x:f>
        <x:v>smallest</x:v>
      </x:c>
      <x:c r="L118" s="8" t="str">
        <x:f>'Evaluation Plan'!L118</x:f>
        <x:v>Airplane is smallest</x:v>
      </x:c>
      <x:c r="M118" s="8" t="str">
        <x:f>'Evaluation Plan'!M118</x:f>
        <x:v>airplane toy with propellers</x:v>
      </x:c>
      <x:c r="N118" s="8" t="str">
        <x:f>'Evaluation Plan'!N118</x:f>
        <x:v>Right</x:v>
      </x:c>
      <x:c r="O118" s="8" t="n">
        <x:f>'Evaluation Plan'!O118</x:f>
        <x:v>3</x:v>
      </x:c>
      <x:c r="P118" s="8" t="n">
        <x:f>IF(ISBLANK('Evaluation Plan'!P118),"",'Evaluation Plan'!P118)</x:f>
        <x:v>16</x:v>
      </x:c>
      <x:c r="Q118" s="8" t="str">
        <x:f>'Evaluation Plan'!Q118</x:f>
        <x:v>Build the listed airplane scene and save a first-frame filename.</x:v>
      </x:c>
      <x:c r="R118" s="9" t="str">
        <x:f>'Evaluation Plan'!R118</x:f>
        <x:v>The airplane is smaller than every listed table comparator. Green-block scenes also include a trained larger endpoint so the counterfactual does not test largest×green.</x:v>
      </x:c>
      <x:c r="S118" s="9" t="str">
        <x:f>IF(ISBLANK('Evaluation Plan'!S118),"",'Evaluation Plan'!S118)</x:f>
      </x:c>
    </x:row>
    <x:row r="119" ht="67.5" customHeight="1">
      <x:c r="A119" s="33" t="s">
        <x:v>591</x:v>
      </x:c>
      <x:c r="B119" s="16" t="n">
        <x:f>'Evaluation Plan'!B119</x:f>
        <x:v>117</x:v>
      </x:c>
      <x:c r="C119" s="6" t="str">
        <x:f>'Evaluation Plan'!C119</x:f>
        <x:v>Move the object that is largest into the bowl.</x:v>
      </x:c>
      <x:c r="D119" s="6" t="str">
        <x:f>'Evaluation Plan'!D119</x:f>
        <x:v>Bowl: empty. Table, robot-left→robot-right: P1 juggling ball; P2 green block; P3 airplane toy with propellers. Adjacent centers 16 cm apart; row shifted 4 cm toward the robot; all objects fully visible and grasp paths clear.</x:v>
      </x:c>
      <x:c r="E119" s="16" t="n">
        <x:f>IF(ISBLANK('Evaluation Plan'!E119),"",'Evaluation Plan'!E119)</x:f>
        <x:v>116</x:v>
      </x:c>
      <x:c r="F119" s="16" t="str">
        <x:f>'Evaluation Plan'!F119</x:f>
        <x:v>1126; airplane exposure 556</x:v>
      </x:c>
      <x:c r="G119" s="16" t="str">
        <x:f>'Evaluation Plan'!G119</x:f>
        <x:v>MOVE juggling ball to bowl</x:v>
      </x:c>
      <x:c r="H119" s="6"/>
      <x:c r="I119" s="16" t="str">
        <x:f>'Evaluation Plan'!I119</x:f>
        <x:v>Cross-task airplane counterfactual</x:v>
      </x:c>
      <x:c r="J119" s="16" t="str">
        <x:f>'Evaluation Plan'!J119</x:f>
        <x:v>SZ-XA04</x:v>
      </x:c>
      <x:c r="K119" s="16" t="str">
        <x:f>'Evaluation Plan'!K119</x:f>
        <x:v>largest</x:v>
      </x:c>
      <x:c r="L119" s="16" t="str">
        <x:f>'Evaluation Plan'!L119</x:f>
        <x:v>Exact-scene opposite-comparison reasoning control</x:v>
      </x:c>
      <x:c r="M119" s="16" t="str">
        <x:f>'Evaluation Plan'!M119</x:f>
        <x:v>juggling ball</x:v>
      </x:c>
      <x:c r="N119" s="16" t="str">
        <x:f>'Evaluation Plan'!N119</x:f>
        <x:v>Left</x:v>
      </x:c>
      <x:c r="O119" s="16" t="n">
        <x:f>'Evaluation Plan'!O119</x:f>
        <x:v>3</x:v>
      </x:c>
      <x:c r="P119" s="16" t="n">
        <x:f>IF(ISBLANK('Evaluation Plan'!P119),"",'Evaluation Plan'!P119)</x:f>
        <x:v>16</x:v>
      </x:c>
      <x:c r="Q119" s="16" t="str">
        <x:f>'Evaluation Plan'!Q119</x:f>
        <x:v>Reset the airplane; preserve the exact scene and reverse only the size comparison.</x:v>
      </x:c>
      <x:c r="R119" s="6" t="str">
        <x:f>'Evaluation Plan'!R119</x:f>
        <x:v>Reasoning-only counterfactual grounded by trained cell largest × juggling ball; an always-pick-airplane shortcut must fail.</x:v>
      </x:c>
      <x:c r="S119" s="6" t="str">
        <x:f>IF(ISBLANK('Evaluation Plan'!S119),"",'Evaluation Plan'!S119)</x:f>
      </x:c>
    </x:row>
    <x:row r="120" ht="67.5" customHeight="1">
      <x:c r="A120" s="22" t="s">
        <x:v>591</x:v>
      </x:c>
      <x:c r="B120" s="8" t="n">
        <x:f>'Evaluation Plan'!B120</x:f>
        <x:v>118</x:v>
      </x:c>
      <x:c r="C120" s="9" t="str">
        <x:f>'Evaluation Plan'!C120</x:f>
        <x:v>Put the largest object in the bowl.</x:v>
      </x:c>
      <x:c r="D120" s="9" t="str">
        <x:f>'Evaluation Plan'!D120</x:f>
        <x:v>Bowl: empty. Table, robot-left→robot-right: P1 airplane toy with propellers; P2 red pencil sharpener. Adjacent centers 16 cm apart; row shifted 4 cm toward robot-right; all objects fully visible and grasp paths clear.</x:v>
      </x:c>
      <x:c r="E120" s="8" t="str">
        <x:f>IF(ISBLANK('Evaluation Plan'!E120),"",'Evaluation Plan'!E120)</x:f>
      </x:c>
      <x:c r="F120" s="8" t="str">
        <x:f>'Evaluation Plan'!F120</x:f>
        <x:v>airplane exposure 558</x:v>
      </x:c>
      <x:c r="G120" s="8" t="str">
        <x:f>'Evaluation Plan'!G120</x:f>
        <x:v>MOVE airplane toy with propellers to bowl</x:v>
      </x:c>
      <x:c r="H120" s="23" t="s">
        <x:v>746</x:v>
      </x:c>
      <x:c r="I120" s="8" t="str">
        <x:f>'Evaluation Plan'!I120</x:f>
        <x:v>Cross-task airplane reasoning</x:v>
      </x:c>
      <x:c r="J120" s="8" t="str">
        <x:f>'Evaluation Plan'!J120</x:f>
        <x:v>SZ-XA05</x:v>
      </x:c>
      <x:c r="K120" s="8" t="str">
        <x:f>'Evaluation Plan'!K120</x:f>
        <x:v>largest</x:v>
      </x:c>
      <x:c r="L120" s="8" t="str">
        <x:f>'Evaluation Plan'!L120</x:f>
        <x:v>Airplane is largest</x:v>
      </x:c>
      <x:c r="M120" s="8" t="str">
        <x:f>'Evaluation Plan'!M120</x:f>
        <x:v>airplane toy with propellers</x:v>
      </x:c>
      <x:c r="N120" s="8" t="str">
        <x:f>'Evaluation Plan'!N120</x:f>
        <x:v>Left</x:v>
      </x:c>
      <x:c r="O120" s="8" t="n">
        <x:f>'Evaluation Plan'!O120</x:f>
        <x:v>2</x:v>
      </x:c>
      <x:c r="P120" s="8" t="n">
        <x:f>IF(ISBLANK('Evaluation Plan'!P120),"",'Evaluation Plan'!P120)</x:f>
        <x:v>16</x:v>
      </x:c>
      <x:c r="Q120" s="8" t="str">
        <x:f>'Evaluation Plan'!Q120</x:f>
        <x:v>Build the listed airplane scene and save a first-frame filename.</x:v>
      </x:c>
      <x:c r="R120" s="9" t="str">
        <x:f>'Evaluation Plan'!R120</x:f>
        <x:v>The airplane is larger than the red pencil sharpener. It is known globally but never received size language in training.</x:v>
      </x:c>
      <x:c r="S120" s="9" t="str">
        <x:f>IF(ISBLANK('Evaluation Plan'!S120),"",'Evaluation Plan'!S120)</x:f>
      </x:c>
    </x:row>
    <x:row r="121" ht="67.5" customHeight="1">
      <x:c r="A121" s="33" t="s">
        <x:v>591</x:v>
      </x:c>
      <x:c r="B121" s="16" t="n">
        <x:f>'Evaluation Plan'!B121</x:f>
        <x:v>119</x:v>
      </x:c>
      <x:c r="C121" s="6" t="str">
        <x:f>'Evaluation Plan'!C121</x:f>
        <x:v>Pick up the smallest item and place it in the bowl.</x:v>
      </x:c>
      <x:c r="D121" s="6" t="str">
        <x:f>'Evaluation Plan'!D121</x:f>
        <x:v>Bowl: empty. Table, robot-left→robot-right: P1 airplane toy with propellers; P2 red pencil sharpener. Adjacent centers 16 cm apart; row shifted 4 cm toward robot-right; all objects fully visible and grasp paths clear.</x:v>
      </x:c>
      <x:c r="E121" s="16" t="n">
        <x:f>IF(ISBLANK('Evaluation Plan'!E121),"",'Evaluation Plan'!E121)</x:f>
        <x:v>118</x:v>
      </x:c>
      <x:c r="F121" s="16" t="str">
        <x:f>'Evaluation Plan'!F121</x:f>
        <x:v>1007; airplane exposure 558</x:v>
      </x:c>
      <x:c r="G121" s="16" t="str">
        <x:f>'Evaluation Plan'!G121</x:f>
        <x:v>MOVE red pencil sharpener to bowl</x:v>
      </x:c>
      <x:c r="H121" s="6"/>
      <x:c r="I121" s="16" t="str">
        <x:f>'Evaluation Plan'!I121</x:f>
        <x:v>Cross-task airplane counterfactual</x:v>
      </x:c>
      <x:c r="J121" s="16" t="str">
        <x:f>'Evaluation Plan'!J121</x:f>
        <x:v>SZ-XA05</x:v>
      </x:c>
      <x:c r="K121" s="16" t="str">
        <x:f>'Evaluation Plan'!K121</x:f>
        <x:v>smallest</x:v>
      </x:c>
      <x:c r="L121" s="16" t="str">
        <x:f>'Evaluation Plan'!L121</x:f>
        <x:v>Exact-scene opposite-comparison reasoning control</x:v>
      </x:c>
      <x:c r="M121" s="16" t="str">
        <x:f>'Evaluation Plan'!M121</x:f>
        <x:v>red pencil sharpener</x:v>
      </x:c>
      <x:c r="N121" s="16" t="str">
        <x:f>'Evaluation Plan'!N121</x:f>
        <x:v>Right</x:v>
      </x:c>
      <x:c r="O121" s="16" t="n">
        <x:f>'Evaluation Plan'!O121</x:f>
        <x:v>2</x:v>
      </x:c>
      <x:c r="P121" s="16" t="n">
        <x:f>IF(ISBLANK('Evaluation Plan'!P121),"",'Evaluation Plan'!P121)</x:f>
        <x:v>16</x:v>
      </x:c>
      <x:c r="Q121" s="16" t="str">
        <x:f>'Evaluation Plan'!Q121</x:f>
        <x:v>Reset the airplane; preserve the exact scene and reverse only the size comparison.</x:v>
      </x:c>
      <x:c r="R121" s="6" t="str">
        <x:f>'Evaluation Plan'!R121</x:f>
        <x:v>Reasoning-only counterfactual grounded by trained cell smallest × red pencil sharpener; an always-pick-airplane shortcut must fail.</x:v>
      </x:c>
      <x:c r="S121" s="6" t="str">
        <x:f>IF(ISBLANK('Evaluation Plan'!S121),"",'Evaluation Plan'!S121)</x:f>
      </x:c>
    </x:row>
    <x:row r="122" ht="67.5" customHeight="1">
      <x:c r="A122" s="22" t="s">
        <x:v>591</x:v>
      </x:c>
      <x:c r="B122" s="8" t="n">
        <x:f>'Evaluation Plan'!B122</x:f>
        <x:v>120</x:v>
      </x:c>
      <x:c r="C122" s="9" t="str">
        <x:f>'Evaluation Plan'!C122</x:f>
        <x:v>Move the object that is smallest into the bowl.</x:v>
      </x:c>
      <x:c r="D122" s="9" t="str">
        <x:f>'Evaluation Plan'!D122</x:f>
        <x:v>Bowl: empty. Table, robot-left→robot-right: P1 green block; P2 crushed Pepsi can; P3 airplane toy with propellers. Adjacent centers 8 cm apart; row shifted 4 cm away from the robot; all objects fully visible and grasp paths clear.</x:v>
      </x:c>
      <x:c r="E122" s="8" t="str">
        <x:f>IF(ISBLANK('Evaluation Plan'!E122),"",'Evaluation Plan'!E122)</x:f>
      </x:c>
      <x:c r="F122" s="8" t="str">
        <x:f>'Evaluation Plan'!F122</x:f>
        <x:v>airplane exposure 560</x:v>
      </x:c>
      <x:c r="G122" s="8" t="str">
        <x:f>'Evaluation Plan'!G122</x:f>
        <x:v>MOVE airplane toy with propellers to bowl</x:v>
      </x:c>
      <x:c r="H122" s="9"/>
      <x:c r="I122" s="8" t="str">
        <x:f>'Evaluation Plan'!I122</x:f>
        <x:v>Cross-task airplane reasoning</x:v>
      </x:c>
      <x:c r="J122" s="8" t="str">
        <x:f>'Evaluation Plan'!J122</x:f>
        <x:v>SZ-XA06</x:v>
      </x:c>
      <x:c r="K122" s="8" t="str">
        <x:f>'Evaluation Plan'!K122</x:f>
        <x:v>smallest</x:v>
      </x:c>
      <x:c r="L122" s="8" t="str">
        <x:f>'Evaluation Plan'!L122</x:f>
        <x:v>Airplane is smallest</x:v>
      </x:c>
      <x:c r="M122" s="8" t="str">
        <x:f>'Evaluation Plan'!M122</x:f>
        <x:v>airplane toy with propellers</x:v>
      </x:c>
      <x:c r="N122" s="8" t="str">
        <x:f>'Evaluation Plan'!N122</x:f>
        <x:v>Right</x:v>
      </x:c>
      <x:c r="O122" s="8" t="n">
        <x:f>'Evaluation Plan'!O122</x:f>
        <x:v>3</x:v>
      </x:c>
      <x:c r="P122" s="8" t="n">
        <x:f>IF(ISBLANK('Evaluation Plan'!P122),"",'Evaluation Plan'!P122)</x:f>
        <x:v>8</x:v>
      </x:c>
      <x:c r="Q122" s="8" t="str">
        <x:f>'Evaluation Plan'!Q122</x:f>
        <x:v>Build the listed airplane scene and save a first-frame filename.</x:v>
      </x:c>
      <x:c r="R122" s="9" t="str">
        <x:f>'Evaluation Plan'!R122</x:f>
        <x:v>The airplane is smaller than every listed table comparator. Green-block scenes also include a trained larger endpoint so the counterfactual does not test largest×green.</x:v>
      </x:c>
      <x:c r="S122" s="9" t="str">
        <x:f>IF(ISBLANK('Evaluation Plan'!S122),"",'Evaluation Plan'!S122)</x:f>
      </x:c>
    </x:row>
    <x:row r="123" ht="67.5" customHeight="1">
      <x:c r="A123" s="33" t="s">
        <x:v>693</x:v>
      </x:c>
      <x:c r="B123" s="16" t="n">
        <x:f>'Evaluation Plan'!B123</x:f>
        <x:v>121</x:v>
      </x:c>
      <x:c r="C123" s="6" t="str">
        <x:f>'Evaluation Plan'!C123</x:f>
        <x:v>Pick up the largest item and place it in the bowl.</x:v>
      </x:c>
      <x:c r="D123" s="6" t="str">
        <x:f>'Evaluation Plan'!D123</x:f>
        <x:v>Bowl: empty. Table, robot-left→robot-right: P1 green block; P2 crushed Pepsi can; P3 airplane toy with propellers. Adjacent centers 8 cm apart; row shifted 4 cm away from the robot; all objects fully visible and grasp paths clear.</x:v>
      </x:c>
      <x:c r="E123" s="16" t="n">
        <x:f>IF(ISBLANK('Evaluation Plan'!E123),"",'Evaluation Plan'!E123)</x:f>
        <x:v>120</x:v>
      </x:c>
      <x:c r="F123" s="16" t="str">
        <x:f>'Evaluation Plan'!F123</x:f>
        <x:v>1157; airplane exposure 560</x:v>
      </x:c>
      <x:c r="G123" s="16" t="str">
        <x:f>'Evaluation Plan'!G123</x:f>
        <x:v>MOVE crushed Pepsi can to bowl</x:v>
      </x:c>
      <x:c r="H123" s="34" t="s">
        <x:v>747</x:v>
      </x:c>
      <x:c r="I123" s="16" t="str">
        <x:f>'Evaluation Plan'!I123</x:f>
        <x:v>Cross-task airplane counterfactual</x:v>
      </x:c>
      <x:c r="J123" s="16" t="str">
        <x:f>'Evaluation Plan'!J123</x:f>
        <x:v>SZ-XA06</x:v>
      </x:c>
      <x:c r="K123" s="16" t="str">
        <x:f>'Evaluation Plan'!K123</x:f>
        <x:v>largest</x:v>
      </x:c>
      <x:c r="L123" s="16" t="str">
        <x:f>'Evaluation Plan'!L123</x:f>
        <x:v>Exact-scene opposite-comparison reasoning control</x:v>
      </x:c>
      <x:c r="M123" s="16" t="str">
        <x:f>'Evaluation Plan'!M123</x:f>
        <x:v>crushed Pepsi can</x:v>
      </x:c>
      <x:c r="N123" s="16" t="str">
        <x:f>'Evaluation Plan'!N123</x:f>
        <x:v>Center</x:v>
      </x:c>
      <x:c r="O123" s="16" t="n">
        <x:f>'Evaluation Plan'!O123</x:f>
        <x:v>3</x:v>
      </x:c>
      <x:c r="P123" s="16" t="n">
        <x:f>IF(ISBLANK('Evaluation Plan'!P123),"",'Evaluation Plan'!P123)</x:f>
        <x:v>8</x:v>
      </x:c>
      <x:c r="Q123" s="16" t="str">
        <x:f>'Evaluation Plan'!Q123</x:f>
        <x:v>Reset the airplane; preserve the exact scene and reverse only the size comparison.</x:v>
      </x:c>
      <x:c r="R123" s="6" t="str">
        <x:f>'Evaluation Plan'!R123</x:f>
        <x:v>Reasoning-only counterfactual grounded by trained cell largest × crushed Pepsi can; an always-pick-airplane shortcut must fail.</x:v>
      </x:c>
      <x:c r="S123" s="6" t="str">
        <x:f>IF(ISBLANK('Evaluation Plan'!S123),"",'Evaluation Plan'!S123)</x:f>
      </x:c>
    </x:row>
    <x:row r="124" ht="67.5" customHeight="1">
      <x:c r="A124" s="22" t="s">
        <x:v>693</x:v>
      </x:c>
      <x:c r="B124" s="8" t="n">
        <x:f>'Evaluation Plan'!B124</x:f>
        <x:v>122</x:v>
      </x:c>
      <x:c r="C124" s="9" t="str">
        <x:f>'Evaluation Plan'!C124</x:f>
        <x:v>Move the object that is largest into the bowl.</x:v>
      </x:c>
      <x:c r="D124" s="9" t="str">
        <x:f>'Evaluation Plan'!D124</x:f>
        <x:v>Bowl: empty. Table, robot-left→robot-right: P1 red pencil sharpener; P2 airplane toy with propellers. Adjacent centers 8 cm apart; row shifted 4 cm toward the robot; all objects fully visible and grasp paths clear.</x:v>
      </x:c>
      <x:c r="E124" s="8" t="str">
        <x:f>IF(ISBLANK('Evaluation Plan'!E124),"",'Evaluation Plan'!E124)</x:f>
      </x:c>
      <x:c r="F124" s="8" t="str">
        <x:f>'Evaluation Plan'!F124</x:f>
        <x:v>airplane exposure 562</x:v>
      </x:c>
      <x:c r="G124" s="8" t="str">
        <x:f>'Evaluation Plan'!G124</x:f>
        <x:v>MOVE airplane toy with propellers to bowl</x:v>
      </x:c>
      <x:c r="H124" s="23" t="s">
        <x:v>748</x:v>
      </x:c>
      <x:c r="I124" s="8" t="str">
        <x:f>'Evaluation Plan'!I124</x:f>
        <x:v>Cross-task airplane reasoning</x:v>
      </x:c>
      <x:c r="J124" s="8" t="str">
        <x:f>'Evaluation Plan'!J124</x:f>
        <x:v>SZ-XA07</x:v>
      </x:c>
      <x:c r="K124" s="8" t="str">
        <x:f>'Evaluation Plan'!K124</x:f>
        <x:v>largest</x:v>
      </x:c>
      <x:c r="L124" s="8" t="str">
        <x:f>'Evaluation Plan'!L124</x:f>
        <x:v>Airplane is largest</x:v>
      </x:c>
      <x:c r="M124" s="8" t="str">
        <x:f>'Evaluation Plan'!M124</x:f>
        <x:v>airplane toy with propellers</x:v>
      </x:c>
      <x:c r="N124" s="8" t="str">
        <x:f>'Evaluation Plan'!N124</x:f>
        <x:v>Right</x:v>
      </x:c>
      <x:c r="O124" s="8" t="n">
        <x:f>'Evaluation Plan'!O124</x:f>
        <x:v>2</x:v>
      </x:c>
      <x:c r="P124" s="8" t="n">
        <x:f>IF(ISBLANK('Evaluation Plan'!P124),"",'Evaluation Plan'!P124)</x:f>
        <x:v>8</x:v>
      </x:c>
      <x:c r="Q124" s="8" t="str">
        <x:f>'Evaluation Plan'!Q124</x:f>
        <x:v>Build the listed airplane scene and save a first-frame filename.</x:v>
      </x:c>
      <x:c r="R124" s="9" t="str">
        <x:f>'Evaluation Plan'!R124</x:f>
        <x:v>The airplane is larger than the red pencil sharpener. It is known globally but never received size language in training.</x:v>
      </x:c>
      <x:c r="S124" s="9" t="str">
        <x:f>IF(ISBLANK('Evaluation Plan'!S124),"",'Evaluation Plan'!S124)</x:f>
      </x:c>
    </x:row>
    <x:row r="125" ht="67.5" customHeight="1">
      <x:c r="A125" s="33" t="s">
        <x:v>693</x:v>
      </x:c>
      <x:c r="B125" s="16" t="n">
        <x:f>'Evaluation Plan'!B125</x:f>
        <x:v>123</x:v>
      </x:c>
      <x:c r="C125" s="6" t="str">
        <x:f>'Evaluation Plan'!C125</x:f>
        <x:v>Put the smallest object in the bowl.</x:v>
      </x:c>
      <x:c r="D125" s="6" t="str">
        <x:f>'Evaluation Plan'!D125</x:f>
        <x:v>Bowl: empty. Table, robot-left→robot-right: P1 red pencil sharpener; P2 airplane toy with propellers. Adjacent centers 8 cm apart; row shifted 4 cm toward the robot; all objects fully visible and grasp paths clear.</x:v>
      </x:c>
      <x:c r="E125" s="16" t="n">
        <x:f>IF(ISBLANK('Evaluation Plan'!E125),"",'Evaluation Plan'!E125)</x:f>
        <x:v>122</x:v>
      </x:c>
      <x:c r="F125" s="16" t="str">
        <x:f>'Evaluation Plan'!F125</x:f>
        <x:v>1008; airplane exposure 562</x:v>
      </x:c>
      <x:c r="G125" s="16" t="str">
        <x:f>'Evaluation Plan'!G125</x:f>
        <x:v>MOVE red pencil sharpener to bowl</x:v>
      </x:c>
      <x:c r="H125" s="34" t="s">
        <x:v>749</x:v>
      </x:c>
      <x:c r="I125" s="16" t="str">
        <x:f>'Evaluation Plan'!I125</x:f>
        <x:v>Cross-task airplane counterfactual</x:v>
      </x:c>
      <x:c r="J125" s="16" t="str">
        <x:f>'Evaluation Plan'!J125</x:f>
        <x:v>SZ-XA07</x:v>
      </x:c>
      <x:c r="K125" s="16" t="str">
        <x:f>'Evaluation Plan'!K125</x:f>
        <x:v>smallest</x:v>
      </x:c>
      <x:c r="L125" s="16" t="str">
        <x:f>'Evaluation Plan'!L125</x:f>
        <x:v>Exact-scene opposite-comparison reasoning control</x:v>
      </x:c>
      <x:c r="M125" s="16" t="str">
        <x:f>'Evaluation Plan'!M125</x:f>
        <x:v>red pencil sharpener</x:v>
      </x:c>
      <x:c r="N125" s="16" t="str">
        <x:f>'Evaluation Plan'!N125</x:f>
        <x:v>Left</x:v>
      </x:c>
      <x:c r="O125" s="16" t="n">
        <x:f>'Evaluation Plan'!O125</x:f>
        <x:v>2</x:v>
      </x:c>
      <x:c r="P125" s="16" t="n">
        <x:f>IF(ISBLANK('Evaluation Plan'!P125),"",'Evaluation Plan'!P125)</x:f>
        <x:v>8</x:v>
      </x:c>
      <x:c r="Q125" s="16" t="str">
        <x:f>'Evaluation Plan'!Q125</x:f>
        <x:v>Reset the airplane; preserve the exact scene and reverse only the size comparison.</x:v>
      </x:c>
      <x:c r="R125" s="6" t="str">
        <x:f>'Evaluation Plan'!R125</x:f>
        <x:v>Reasoning-only counterfactual grounded by trained cell smallest × red pencil sharpener; an always-pick-airplane shortcut must fail.</x:v>
      </x:c>
      <x:c r="S125" s="6" t="str">
        <x:f>IF(ISBLANK('Evaluation Plan'!S125),"",'Evaluation Plan'!S125)</x:f>
      </x:c>
    </x:row>
    <x:row r="126" ht="67.5" customHeight="1">
      <x:c r="A126" s="22" t="s">
        <x:v>591</x:v>
      </x:c>
      <x:c r="B126" s="8" t="n">
        <x:f>'Evaluation Plan'!B126</x:f>
        <x:v>124</x:v>
      </x:c>
      <x:c r="C126" s="9" t="str">
        <x:f>'Evaluation Plan'!C126</x:f>
        <x:v>Pick up the smallest item and place it in the bowl.</x:v>
      </x:c>
      <x:c r="D126" s="9" t="str">
        <x:f>'Evaluation Plan'!D126</x:f>
        <x:v>Bowl: empty. Table, robot-left→robot-right: P1 airplane toy with propellers; P2 green block; P3 juggling ball. Adjacent centers 12 cm apart; row centered on the workspace; all objects fully visible and grasp paths clear.</x:v>
      </x:c>
      <x:c r="E126" s="8" t="str">
        <x:f>IF(ISBLANK('Evaluation Plan'!E126),"",'Evaluation Plan'!E126)</x:f>
      </x:c>
      <x:c r="F126" s="8" t="str">
        <x:f>'Evaluation Plan'!F126</x:f>
        <x:v>airplane exposure 564</x:v>
      </x:c>
      <x:c r="G126" s="8" t="str">
        <x:f>'Evaluation Plan'!G126</x:f>
        <x:v>MOVE airplane toy with propellers to bowl</x:v>
      </x:c>
      <x:c r="H126" s="9"/>
      <x:c r="I126" s="8" t="str">
        <x:f>'Evaluation Plan'!I126</x:f>
        <x:v>Cross-task airplane reasoning</x:v>
      </x:c>
      <x:c r="J126" s="8" t="str">
        <x:f>'Evaluation Plan'!J126</x:f>
        <x:v>SZ-XA08</x:v>
      </x:c>
      <x:c r="K126" s="8" t="str">
        <x:f>'Evaluation Plan'!K126</x:f>
        <x:v>smallest</x:v>
      </x:c>
      <x:c r="L126" s="8" t="str">
        <x:f>'Evaluation Plan'!L126</x:f>
        <x:v>Airplane is smallest</x:v>
      </x:c>
      <x:c r="M126" s="8" t="str">
        <x:f>'Evaluation Plan'!M126</x:f>
        <x:v>airplane toy with propellers</x:v>
      </x:c>
      <x:c r="N126" s="8" t="str">
        <x:f>'Evaluation Plan'!N126</x:f>
        <x:v>Left</x:v>
      </x:c>
      <x:c r="O126" s="8" t="n">
        <x:f>'Evaluation Plan'!O126</x:f>
        <x:v>3</x:v>
      </x:c>
      <x:c r="P126" s="8" t="n">
        <x:f>IF(ISBLANK('Evaluation Plan'!P126),"",'Evaluation Plan'!P126)</x:f>
        <x:v>12</x:v>
      </x:c>
      <x:c r="Q126" s="8" t="str">
        <x:f>'Evaluation Plan'!Q126</x:f>
        <x:v>Build the listed airplane scene and save a first-frame filename.</x:v>
      </x:c>
      <x:c r="R126" s="9" t="str">
        <x:f>'Evaluation Plan'!R126</x:f>
        <x:v>The airplane is smaller than every listed table comparator. Green-block scenes also include a trained larger endpoint so the counterfactual does not test largest×green.</x:v>
      </x:c>
      <x:c r="S126" s="9" t="str">
        <x:f>IF(ISBLANK('Evaluation Plan'!S126),"",'Evaluation Plan'!S126)</x:f>
      </x:c>
    </x:row>
    <x:row r="127" ht="67.5" customHeight="1">
      <x:c r="A127" s="33" t="s">
        <x:v>591</x:v>
      </x:c>
      <x:c r="B127" s="16" t="n">
        <x:f>'Evaluation Plan'!B127</x:f>
        <x:v>125</x:v>
      </x:c>
      <x:c r="C127" s="6" t="str">
        <x:f>'Evaluation Plan'!C127</x:f>
        <x:v>Put the largest object in the bowl.</x:v>
      </x:c>
      <x:c r="D127" s="6" t="str">
        <x:f>'Evaluation Plan'!D127</x:f>
        <x:v>Bowl: empty. Table, robot-left→robot-right: P1 airplane toy with propellers; P2 green block; P3 juggling ball. Adjacent centers 12 cm apart; row centered on the workspace; all objects fully visible and grasp paths clear.</x:v>
      </x:c>
      <x:c r="E127" s="16" t="n">
        <x:f>IF(ISBLANK('Evaluation Plan'!E127),"",'Evaluation Plan'!E127)</x:f>
        <x:v>124</x:v>
      </x:c>
      <x:c r="F127" s="16" t="str">
        <x:f>'Evaluation Plan'!F127</x:f>
        <x:v>1128; airplane exposure 564</x:v>
      </x:c>
      <x:c r="G127" s="16" t="str">
        <x:f>'Evaluation Plan'!G127</x:f>
        <x:v>MOVE juggling ball to bowl</x:v>
      </x:c>
      <x:c r="H127" s="6"/>
      <x:c r="I127" s="16" t="str">
        <x:f>'Evaluation Plan'!I127</x:f>
        <x:v>Cross-task airplane counterfactual</x:v>
      </x:c>
      <x:c r="J127" s="16" t="str">
        <x:f>'Evaluation Plan'!J127</x:f>
        <x:v>SZ-XA08</x:v>
      </x:c>
      <x:c r="K127" s="16" t="str">
        <x:f>'Evaluation Plan'!K127</x:f>
        <x:v>largest</x:v>
      </x:c>
      <x:c r="L127" s="16" t="str">
        <x:f>'Evaluation Plan'!L127</x:f>
        <x:v>Exact-scene opposite-comparison reasoning control</x:v>
      </x:c>
      <x:c r="M127" s="16" t="str">
        <x:f>'Evaluation Plan'!M127</x:f>
        <x:v>juggling ball</x:v>
      </x:c>
      <x:c r="N127" s="16" t="str">
        <x:f>'Evaluation Plan'!N127</x:f>
        <x:v>Right</x:v>
      </x:c>
      <x:c r="O127" s="16" t="n">
        <x:f>'Evaluation Plan'!O127</x:f>
        <x:v>3</x:v>
      </x:c>
      <x:c r="P127" s="16" t="n">
        <x:f>IF(ISBLANK('Evaluation Plan'!P127),"",'Evaluation Plan'!P127)</x:f>
        <x:v>12</x:v>
      </x:c>
      <x:c r="Q127" s="16" t="str">
        <x:f>'Evaluation Plan'!Q127</x:f>
        <x:v>Reset the airplane; preserve the exact scene and reverse only the size comparison.</x:v>
      </x:c>
      <x:c r="R127" s="6" t="str">
        <x:f>'Evaluation Plan'!R127</x:f>
        <x:v>Reasoning-only counterfactual grounded by trained cell largest × juggling ball; an always-pick-airplane shortcut must fail.</x:v>
      </x:c>
      <x:c r="S127" s="6" t="str">
        <x:f>IF(ISBLANK('Evaluation Plan'!S127),"",'Evaluation Plan'!S127)</x:f>
      </x:c>
    </x:row>
    <x:row r="128" ht="67.5" customHeight="1">
      <x:c r="A128" s="22" t="s">
        <x:v>591</x:v>
      </x:c>
      <x:c r="B128" s="8" t="n">
        <x:f>'Evaluation Plan'!B128</x:f>
        <x:v>126</x:v>
      </x:c>
      <x:c r="C128" s="9" t="str">
        <x:f>'Evaluation Plan'!C128</x:f>
        <x:v>Pick up the largest item and place it in the bowl.</x:v>
      </x:c>
      <x:c r="D128" s="9" t="str">
        <x:f>'Evaluation Plan'!D128</x:f>
        <x:v>Bowl: empty. Table, robot-left→robot-right: P1 airplane toy with propellers; P2 red pencil sharpener. Adjacent centers 12 cm apart; row shifted 4 cm away from the robot; all objects fully visible and grasp paths clear.</x:v>
      </x:c>
      <x:c r="E128" s="8" t="str">
        <x:f>IF(ISBLANK('Evaluation Plan'!E128),"",'Evaluation Plan'!E128)</x:f>
      </x:c>
      <x:c r="F128" s="8" t="str">
        <x:f>'Evaluation Plan'!F128</x:f>
        <x:v>airplane exposure 566</x:v>
      </x:c>
      <x:c r="G128" s="8" t="str">
        <x:f>'Evaluation Plan'!G128</x:f>
        <x:v>MOVE airplane toy with propellers to bowl</x:v>
      </x:c>
      <x:c r="H128" s="9"/>
      <x:c r="I128" s="8" t="str">
        <x:f>'Evaluation Plan'!I128</x:f>
        <x:v>Cross-task airplane reasoning</x:v>
      </x:c>
      <x:c r="J128" s="8" t="str">
        <x:f>'Evaluation Plan'!J128</x:f>
        <x:v>SZ-XA09</x:v>
      </x:c>
      <x:c r="K128" s="8" t="str">
        <x:f>'Evaluation Plan'!K128</x:f>
        <x:v>largest</x:v>
      </x:c>
      <x:c r="L128" s="8" t="str">
        <x:f>'Evaluation Plan'!L128</x:f>
        <x:v>Airplane is largest</x:v>
      </x:c>
      <x:c r="M128" s="8" t="str">
        <x:f>'Evaluation Plan'!M128</x:f>
        <x:v>airplane toy with propellers</x:v>
      </x:c>
      <x:c r="N128" s="8" t="str">
        <x:f>'Evaluation Plan'!N128</x:f>
        <x:v>Left</x:v>
      </x:c>
      <x:c r="O128" s="8" t="n">
        <x:f>'Evaluation Plan'!O128</x:f>
        <x:v>2</x:v>
      </x:c>
      <x:c r="P128" s="8" t="n">
        <x:f>IF(ISBLANK('Evaluation Plan'!P128),"",'Evaluation Plan'!P128)</x:f>
        <x:v>12</x:v>
      </x:c>
      <x:c r="Q128" s="8" t="str">
        <x:f>'Evaluation Plan'!Q128</x:f>
        <x:v>Build the listed airplane scene and save a first-frame filename.</x:v>
      </x:c>
      <x:c r="R128" s="9" t="str">
        <x:f>'Evaluation Plan'!R128</x:f>
        <x:v>The airplane is larger than the red pencil sharpener. It is known globally but never received size language in training.</x:v>
      </x:c>
      <x:c r="S128" s="9" t="str">
        <x:f>IF(ISBLANK('Evaluation Plan'!S128),"",'Evaluation Plan'!S128)</x:f>
      </x:c>
    </x:row>
    <x:row r="129" ht="67.5" customHeight="1">
      <x:c r="A129" s="33" t="s">
        <x:v>693</x:v>
      </x:c>
      <x:c r="B129" s="16" t="n">
        <x:f>'Evaluation Plan'!B129</x:f>
        <x:v>127</x:v>
      </x:c>
      <x:c r="C129" s="6" t="str">
        <x:f>'Evaluation Plan'!C129</x:f>
        <x:v>Move the object that is smallest into the bowl.</x:v>
      </x:c>
      <x:c r="D129" s="6" t="str">
        <x:f>'Evaluation Plan'!D129</x:f>
        <x:v>Bowl: empty. Table, robot-left→robot-right: P1 airplane toy with propellers; P2 red pencil sharpener. Adjacent centers 12 cm apart; row shifted 4 cm away from the robot; all objects fully visible and grasp paths clear.</x:v>
      </x:c>
      <x:c r="E129" s="16" t="n">
        <x:f>IF(ISBLANK('Evaluation Plan'!E129),"",'Evaluation Plan'!E129)</x:f>
        <x:v>126</x:v>
      </x:c>
      <x:c r="F129" s="16" t="str">
        <x:f>'Evaluation Plan'!F129</x:f>
        <x:v>1009; airplane exposure 566</x:v>
      </x:c>
      <x:c r="G129" s="16" t="str">
        <x:f>'Evaluation Plan'!G129</x:f>
        <x:v>MOVE red pencil sharpener to bowl</x:v>
      </x:c>
      <x:c r="H129" s="34" t="s">
        <x:v>750</x:v>
      </x:c>
      <x:c r="I129" s="16" t="str">
        <x:f>'Evaluation Plan'!I129</x:f>
        <x:v>Cross-task airplane counterfactual</x:v>
      </x:c>
      <x:c r="J129" s="16" t="str">
        <x:f>'Evaluation Plan'!J129</x:f>
        <x:v>SZ-XA09</x:v>
      </x:c>
      <x:c r="K129" s="16" t="str">
        <x:f>'Evaluation Plan'!K129</x:f>
        <x:v>smallest</x:v>
      </x:c>
      <x:c r="L129" s="16" t="str">
        <x:f>'Evaluation Plan'!L129</x:f>
        <x:v>Exact-scene opposite-comparison reasoning control</x:v>
      </x:c>
      <x:c r="M129" s="16" t="str">
        <x:f>'Evaluation Plan'!M129</x:f>
        <x:v>red pencil sharpener</x:v>
      </x:c>
      <x:c r="N129" s="16" t="str">
        <x:f>'Evaluation Plan'!N129</x:f>
        <x:v>Right</x:v>
      </x:c>
      <x:c r="O129" s="16" t="n">
        <x:f>'Evaluation Plan'!O129</x:f>
        <x:v>2</x:v>
      </x:c>
      <x:c r="P129" s="16" t="n">
        <x:f>IF(ISBLANK('Evaluation Plan'!P129),"",'Evaluation Plan'!P129)</x:f>
        <x:v>12</x:v>
      </x:c>
      <x:c r="Q129" s="16" t="str">
        <x:f>'Evaluation Plan'!Q129</x:f>
        <x:v>Reset the airplane; preserve the exact scene and reverse only the size comparison.</x:v>
      </x:c>
      <x:c r="R129" s="6" t="str">
        <x:f>'Evaluation Plan'!R129</x:f>
        <x:v>Reasoning-only counterfactual grounded by trained cell smallest × red pencil sharpener; an always-pick-airplane shortcut must fail.</x:v>
      </x:c>
      <x:c r="S129" s="6" t="str">
        <x:f>IF(ISBLANK('Evaluation Plan'!S129),"",'Evaluation Plan'!S129)</x:f>
      </x:c>
    </x:row>
    <x:row r="130" ht="67.5" customHeight="1">
      <x:c r="A130" s="22" t="s">
        <x:v>591</x:v>
      </x:c>
      <x:c r="B130" s="8" t="n">
        <x:f>'Evaluation Plan'!B130</x:f>
        <x:v>128</x:v>
      </x:c>
      <x:c r="C130" s="9" t="str">
        <x:f>'Evaluation Plan'!C130</x:f>
        <x:v>Put the smallest object in the bowl.</x:v>
      </x:c>
      <x:c r="D130" s="9" t="str">
        <x:f>'Evaluation Plan'!D130</x:f>
        <x:v>Bowl: empty. Table, robot-left→robot-right: P1 crushed Pepsi can; P2 juggling ball; P3 airplane toy with propellers. Adjacent centers 16 cm apart; row shifted 4 cm toward robot-left; all objects fully visible and grasp paths clear.</x:v>
      </x:c>
      <x:c r="E130" s="8" t="str">
        <x:f>IF(ISBLANK('Evaluation Plan'!E130),"",'Evaluation Plan'!E130)</x:f>
      </x:c>
      <x:c r="F130" s="8" t="str">
        <x:f>'Evaluation Plan'!F130</x:f>
        <x:v>airplane exposure 568</x:v>
      </x:c>
      <x:c r="G130" s="8" t="str">
        <x:f>'Evaluation Plan'!G130</x:f>
        <x:v>MOVE airplane toy with propellers to bowl</x:v>
      </x:c>
      <x:c r="H130" s="9"/>
      <x:c r="I130" s="8" t="str">
        <x:f>'Evaluation Plan'!I130</x:f>
        <x:v>Cross-task airplane reasoning</x:v>
      </x:c>
      <x:c r="J130" s="8" t="str">
        <x:f>'Evaluation Plan'!J130</x:f>
        <x:v>SZ-XA10</x:v>
      </x:c>
      <x:c r="K130" s="8" t="str">
        <x:f>'Evaluation Plan'!K130</x:f>
        <x:v>smallest</x:v>
      </x:c>
      <x:c r="L130" s="8" t="str">
        <x:f>'Evaluation Plan'!L130</x:f>
        <x:v>Airplane is smallest</x:v>
      </x:c>
      <x:c r="M130" s="8" t="str">
        <x:f>'Evaluation Plan'!M130</x:f>
        <x:v>airplane toy with propellers</x:v>
      </x:c>
      <x:c r="N130" s="8" t="str">
        <x:f>'Evaluation Plan'!N130</x:f>
        <x:v>Right</x:v>
      </x:c>
      <x:c r="O130" s="8" t="n">
        <x:f>'Evaluation Plan'!O130</x:f>
        <x:v>3</x:v>
      </x:c>
      <x:c r="P130" s="8" t="n">
        <x:f>IF(ISBLANK('Evaluation Plan'!P130),"",'Evaluation Plan'!P130)</x:f>
        <x:v>16</x:v>
      </x:c>
      <x:c r="Q130" s="8" t="str">
        <x:f>'Evaluation Plan'!Q130</x:f>
        <x:v>Build the listed airplane scene and save a first-frame filename.</x:v>
      </x:c>
      <x:c r="R130" s="9" t="str">
        <x:f>'Evaluation Plan'!R130</x:f>
        <x:v>The airplane is smaller than every listed table comparator. Green-block scenes also include a trained larger endpoint so the counterfactual does not test largest×green.</x:v>
      </x:c>
      <x:c r="S130" s="9" t="str">
        <x:f>IF(ISBLANK('Evaluation Plan'!S130),"",'Evaluation Plan'!S130)</x:f>
      </x:c>
    </x:row>
    <x:row r="131" ht="67.5" customHeight="1">
      <x:c r="A131" s="33" t="s">
        <x:v>591</x:v>
      </x:c>
      <x:c r="B131" s="16" t="n">
        <x:f>'Evaluation Plan'!B131</x:f>
        <x:v>129</x:v>
      </x:c>
      <x:c r="C131" s="6" t="str">
        <x:f>'Evaluation Plan'!C131</x:f>
        <x:v>Move the object that is largest into the bowl.</x:v>
      </x:c>
      <x:c r="D131" s="6" t="str">
        <x:f>'Evaluation Plan'!D131</x:f>
        <x:v>Bowl: empty. Table, robot-left→robot-right: P1 crushed Pepsi can; P2 juggling ball; P3 airplane toy with propellers. Adjacent centers 16 cm apart; row shifted 4 cm toward robot-left; all objects fully visible and grasp paths clear.</x:v>
      </x:c>
      <x:c r="E131" s="16" t="n">
        <x:f>IF(ISBLANK('Evaluation Plan'!E131),"",'Evaluation Plan'!E131)</x:f>
        <x:v>128</x:v>
      </x:c>
      <x:c r="F131" s="16" t="str">
        <x:f>'Evaluation Plan'!F131</x:f>
        <x:v>1159; airplane exposure 568</x:v>
      </x:c>
      <x:c r="G131" s="16" t="str">
        <x:f>'Evaluation Plan'!G131</x:f>
        <x:v>MOVE crushed Pepsi can to bowl</x:v>
      </x:c>
      <x:c r="H131" s="6"/>
      <x:c r="I131" s="16" t="str">
        <x:f>'Evaluation Plan'!I131</x:f>
        <x:v>Cross-task airplane counterfactual</x:v>
      </x:c>
      <x:c r="J131" s="16" t="str">
        <x:f>'Evaluation Plan'!J131</x:f>
        <x:v>SZ-XA10</x:v>
      </x:c>
      <x:c r="K131" s="16" t="str">
        <x:f>'Evaluation Plan'!K131</x:f>
        <x:v>largest</x:v>
      </x:c>
      <x:c r="L131" s="16" t="str">
        <x:f>'Evaluation Plan'!L131</x:f>
        <x:v>Exact-scene opposite-comparison reasoning control</x:v>
      </x:c>
      <x:c r="M131" s="16" t="str">
        <x:f>'Evaluation Plan'!M131</x:f>
        <x:v>crushed Pepsi can</x:v>
      </x:c>
      <x:c r="N131" s="16" t="str">
        <x:f>'Evaluation Plan'!N131</x:f>
        <x:v>Left</x:v>
      </x:c>
      <x:c r="O131" s="16" t="n">
        <x:f>'Evaluation Plan'!O131</x:f>
        <x:v>3</x:v>
      </x:c>
      <x:c r="P131" s="16" t="n">
        <x:f>IF(ISBLANK('Evaluation Plan'!P131),"",'Evaluation Plan'!P131)</x:f>
        <x:v>16</x:v>
      </x:c>
      <x:c r="Q131" s="16" t="str">
        <x:f>'Evaluation Plan'!Q131</x:f>
        <x:v>Reset the airplane; preserve the exact scene and reverse only the size comparison.</x:v>
      </x:c>
      <x:c r="R131" s="6" t="str">
        <x:f>'Evaluation Plan'!R131</x:f>
        <x:v>Reasoning-only counterfactual grounded by trained cell largest × crushed Pepsi can; an always-pick-airplane shortcut must fail.</x:v>
      </x:c>
      <x:c r="S131" s="6" t="str">
        <x:f>IF(ISBLANK('Evaluation Plan'!S131),"",'Evaluation Plan'!S131)</x:f>
      </x:c>
    </x:row>
    <x:row r="132" ht="67.5" customHeight="1">
      <x:c r="A132" s="8" t="s">
        <x:v>19</x:v>
      </x:c>
      <x:c r="B132" s="8" t="n">
        <x:f>'Evaluation Plan'!B132</x:f>
        <x:v>130</x:v>
      </x:c>
      <x:c r="C132" s="9" t="str">
        <x:f>'Evaluation Plan'!C132</x:f>
        <x:v>Move the object that is smallest into the bowl.</x:v>
      </x:c>
      <x:c r="D132" s="9" t="str">
        <x:f>'Evaluation Plan'!D132</x:f>
        <x:v>Bowl: red pencil sharpener. Table: green block. row centered on the workspace; every object fully visible. The requested extremal object is already in the bowl.</x:v>
      </x:c>
      <x:c r="E132" s="8" t="str">
        <x:f>IF(ISBLANK('Evaluation Plan'!E132),"",'Evaluation Plan'!E132)</x:f>
      </x:c>
      <x:c r="F132" s="8" t="str">
        <x:f>'Evaluation Plan'!F132</x:f>
        <x:v>1010</x:v>
      </x:c>
      <x:c r="G132" s="8" t="str">
        <x:f>'Evaluation Plan'!G132</x:f>
        <x:v>NO MOVEMENT — goal already satisfied</x:v>
      </x:c>
      <x:c r="H132" s="9"/>
      <x:c r="I132" s="8" t="str">
        <x:f>'Evaluation Plan'!I132</x:f>
        <x:v>Goal already satisfied / no movement</x:v>
      </x:c>
      <x:c r="J132" s="8" t="str">
        <x:f>'Evaluation Plan'!J132</x:f>
        <x:v>SZ-NOOP-1-1</x:v>
      </x:c>
      <x:c r="K132" s="8" t="str">
        <x:f>'Evaluation Plan'!K132</x:f>
        <x:v>smallest</x:v>
      </x:c>
      <x:c r="L132" s="8" t="str">
        <x:f>'Evaluation Plan'!L132</x:f>
        <x:v>Trained smallest × red pencil sharpener; target already in bowl</x:v>
      </x:c>
      <x:c r="M132" s="8" t="str">
        <x:f>'Evaluation Plan'!M132</x:f>
        <x:v>red pencil sharpener</x:v>
      </x:c>
      <x:c r="N132" s="8" t="str">
        <x:f>'Evaluation Plan'!N132</x:f>
        <x:v>In bowl</x:v>
      </x:c>
      <x:c r="O132" s="8" t="n">
        <x:f>'Evaluation Plan'!O132</x:f>
        <x:v>2</x:v>
      </x:c>
      <x:c r="P132" s="8" t="str">
        <x:f>IF(ISBLANK('Evaluation Plan'!P132),"",'Evaluation Plan'!P132)</x:f>
      </x:c>
      <x:c r="Q132" s="8" t="str">
        <x:f>'Evaluation Plan'!Q132</x:f>
        <x:v>Place the target in the bowl before starting; arrange the listed distractors on the table.</x:v>
      </x:c>
      <x:c r="R132" s="9" t="str">
        <x:f>'Evaluation Plan'!R132</x:f>
        <x:v>Normal training-supported size wording is retained, so no-movement behavior is not correlated with a special phrase. Success requires no object contact or displacement.</x:v>
      </x:c>
      <x:c r="S132" s="9" t="str">
        <x:f>IF(ISBLANK('Evaluation Plan'!S132),"",'Evaluation Plan'!S132)</x:f>
      </x:c>
    </x:row>
    <x:row r="133" ht="67.5" customHeight="1">
      <x:c r="A133" s="8" t="s">
        <x:v>19</x:v>
      </x:c>
      <x:c r="B133" s="8" t="n">
        <x:f>'Evaluation Plan'!B133</x:f>
        <x:v>131</x:v>
      </x:c>
      <x:c r="C133" s="9" t="str">
        <x:f>'Evaluation Plan'!C133</x:f>
        <x:v>Pick up the smallest item and place it in the bowl.</x:v>
      </x:c>
      <x:c r="D133" s="9" t="str">
        <x:f>'Evaluation Plan'!D133</x:f>
        <x:v>Bowl: green block. Table: juggling ball. row shifted 4 cm toward robot-left; every object fully visible. The requested extremal object is already in the bowl.</x:v>
      </x:c>
      <x:c r="E133" s="8" t="str">
        <x:f>IF(ISBLANK('Evaluation Plan'!E133),"",'Evaluation Plan'!E133)</x:f>
      </x:c>
      <x:c r="F133" s="8" t="str">
        <x:f>'Evaluation Plan'!F133</x:f>
        <x:v>1055</x:v>
      </x:c>
      <x:c r="G133" s="8" t="str">
        <x:f>'Evaluation Plan'!G133</x:f>
        <x:v>NO MOVEMENT — goal already satisfied</x:v>
      </x:c>
      <x:c r="H133" s="9"/>
      <x:c r="I133" s="8" t="str">
        <x:f>'Evaluation Plan'!I133</x:f>
        <x:v>Goal already satisfied / no movement</x:v>
      </x:c>
      <x:c r="J133" s="8" t="str">
        <x:f>'Evaluation Plan'!J133</x:f>
        <x:v>SZ-NOOP-2-1</x:v>
      </x:c>
      <x:c r="K133" s="8" t="str">
        <x:f>'Evaluation Plan'!K133</x:f>
        <x:v>smallest</x:v>
      </x:c>
      <x:c r="L133" s="8" t="str">
        <x:f>'Evaluation Plan'!L133</x:f>
        <x:v>Trained smallest × green block; target already in bowl</x:v>
      </x:c>
      <x:c r="M133" s="8" t="str">
        <x:f>'Evaluation Plan'!M133</x:f>
        <x:v>green block</x:v>
      </x:c>
      <x:c r="N133" s="8" t="str">
        <x:f>'Evaluation Plan'!N133</x:f>
        <x:v>In bowl</x:v>
      </x:c>
      <x:c r="O133" s="8" t="n">
        <x:f>'Evaluation Plan'!O133</x:f>
        <x:v>2</x:v>
      </x:c>
      <x:c r="P133" s="8" t="str">
        <x:f>IF(ISBLANK('Evaluation Plan'!P133),"",'Evaluation Plan'!P133)</x:f>
      </x:c>
      <x:c r="Q133" s="8" t="str">
        <x:f>'Evaluation Plan'!Q133</x:f>
        <x:v>Place the target in the bowl before starting; arrange the listed distractors on the table.</x:v>
      </x:c>
      <x:c r="R133" s="9" t="str">
        <x:f>'Evaluation Plan'!R133</x:f>
        <x:v>Normal training-supported size wording is retained, so no-movement behavior is not correlated with a special phrase. Success requires no object contact or displacement.</x:v>
      </x:c>
      <x:c r="S133" s="9" t="str">
        <x:f>IF(ISBLANK('Evaluation Plan'!S133),"",'Evaluation Plan'!S133)</x:f>
      </x:c>
    </x:row>
    <x:row r="134" ht="67.5" customHeight="1">
      <x:c r="A134" s="8" t="s">
        <x:v>19</x:v>
      </x:c>
      <x:c r="B134" s="8" t="n">
        <x:f>'Evaluation Plan'!B134</x:f>
        <x:v>132</x:v>
      </x:c>
      <x:c r="C134" s="9" t="str">
        <x:f>'Evaluation Plan'!C134</x:f>
        <x:v>Put the largest object in the bowl.</x:v>
      </x:c>
      <x:c r="D134" s="9" t="str">
        <x:f>'Evaluation Plan'!D134</x:f>
        <x:v>Bowl: juggling ball. Table: red pencil sharpener. row shifted 4 cm toward robot-right; every object fully visible. The requested extremal object is already in the bowl.</x:v>
      </x:c>
      <x:c r="E134" s="8" t="str">
        <x:f>IF(ISBLANK('Evaluation Plan'!E134),"",'Evaluation Plan'!E134)</x:f>
      </x:c>
      <x:c r="F134" s="8" t="str">
        <x:f>'Evaluation Plan'!F134</x:f>
        <x:v>1130</x:v>
      </x:c>
      <x:c r="G134" s="8" t="str">
        <x:f>'Evaluation Plan'!G134</x:f>
        <x:v>NO MOVEMENT — goal already satisfied</x:v>
      </x:c>
      <x:c r="H134" s="9"/>
      <x:c r="I134" s="8" t="str">
        <x:f>'Evaluation Plan'!I134</x:f>
        <x:v>Goal already satisfied / no movement</x:v>
      </x:c>
      <x:c r="J134" s="8" t="str">
        <x:f>'Evaluation Plan'!J134</x:f>
        <x:v>SZ-NOOP-3-1</x:v>
      </x:c>
      <x:c r="K134" s="8" t="str">
        <x:f>'Evaluation Plan'!K134</x:f>
        <x:v>largest</x:v>
      </x:c>
      <x:c r="L134" s="8" t="str">
        <x:f>'Evaluation Plan'!L134</x:f>
        <x:v>Trained largest × juggling ball; target already in bowl</x:v>
      </x:c>
      <x:c r="M134" s="8" t="str">
        <x:f>'Evaluation Plan'!M134</x:f>
        <x:v>juggling ball</x:v>
      </x:c>
      <x:c r="N134" s="8" t="str">
        <x:f>'Evaluation Plan'!N134</x:f>
        <x:v>In bowl</x:v>
      </x:c>
      <x:c r="O134" s="8" t="n">
        <x:f>'Evaluation Plan'!O134</x:f>
        <x:v>2</x:v>
      </x:c>
      <x:c r="P134" s="8" t="str">
        <x:f>IF(ISBLANK('Evaluation Plan'!P134),"",'Evaluation Plan'!P134)</x:f>
      </x:c>
      <x:c r="Q134" s="8" t="str">
        <x:f>'Evaluation Plan'!Q134</x:f>
        <x:v>Place the target in the bowl before starting; arrange the listed distractors on the table.</x:v>
      </x:c>
      <x:c r="R134" s="9" t="str">
        <x:f>'Evaluation Plan'!R134</x:f>
        <x:v>Normal training-supported size wording is retained, so no-movement behavior is not correlated with a special phrase. Success requires no object contact or displacement.</x:v>
      </x:c>
      <x:c r="S134" s="9" t="str">
        <x:f>IF(ISBLANK('Evaluation Plan'!S134),"",'Evaluation Plan'!S134)</x:f>
      </x:c>
    </x:row>
    <x:row r="135" ht="67.5" customHeight="1">
      <x:c r="A135" s="8" t="s">
        <x:v>19</x:v>
      </x:c>
      <x:c r="B135" s="8" t="n">
        <x:f>'Evaluation Plan'!B135</x:f>
        <x:v>133</x:v>
      </x:c>
      <x:c r="C135" s="9" t="str">
        <x:f>'Evaluation Plan'!C135</x:f>
        <x:v>Move the object that is largest into the bowl.</x:v>
      </x:c>
      <x:c r="D135" s="9" t="str">
        <x:f>'Evaluation Plan'!D135</x:f>
        <x:v>Bowl: crushed Pepsi can. Table: juggling ball. row shifted 4 cm toward the robot; every object fully visible. The requested extremal object is already in the bowl.</x:v>
      </x:c>
      <x:c r="E135" s="8" t="str">
        <x:f>IF(ISBLANK('Evaluation Plan'!E135),"",'Evaluation Plan'!E135)</x:f>
      </x:c>
      <x:c r="F135" s="8" t="str">
        <x:f>'Evaluation Plan'!F135</x:f>
        <x:v>1160</x:v>
      </x:c>
      <x:c r="G135" s="8" t="str">
        <x:f>'Evaluation Plan'!G135</x:f>
        <x:v>NO MOVEMENT — goal already satisfied</x:v>
      </x:c>
      <x:c r="H135" s="9"/>
      <x:c r="I135" s="8" t="str">
        <x:f>'Evaluation Plan'!I135</x:f>
        <x:v>Goal already satisfied / no movement</x:v>
      </x:c>
      <x:c r="J135" s="8" t="str">
        <x:f>'Evaluation Plan'!J135</x:f>
        <x:v>SZ-NOOP-4-1</x:v>
      </x:c>
      <x:c r="K135" s="8" t="str">
        <x:f>'Evaluation Plan'!K135</x:f>
        <x:v>largest</x:v>
      </x:c>
      <x:c r="L135" s="8" t="str">
        <x:f>'Evaluation Plan'!L135</x:f>
        <x:v>Trained largest × crushed Pepsi can; target already in bowl</x:v>
      </x:c>
      <x:c r="M135" s="8" t="str">
        <x:f>'Evaluation Plan'!M135</x:f>
        <x:v>crushed Pepsi can</x:v>
      </x:c>
      <x:c r="N135" s="8" t="str">
        <x:f>'Evaluation Plan'!N135</x:f>
        <x:v>In bowl</x:v>
      </x:c>
      <x:c r="O135" s="8" t="n">
        <x:f>'Evaluation Plan'!O135</x:f>
        <x:v>2</x:v>
      </x:c>
      <x:c r="P135" s="8" t="str">
        <x:f>IF(ISBLANK('Evaluation Plan'!P135),"",'Evaluation Plan'!P135)</x:f>
      </x:c>
      <x:c r="Q135" s="8" t="str">
        <x:f>'Evaluation Plan'!Q135</x:f>
        <x:v>Place the target in the bowl before starting; arrange the listed distractors on the table.</x:v>
      </x:c>
      <x:c r="R135" s="9" t="str">
        <x:f>'Evaluation Plan'!R135</x:f>
        <x:v>Normal training-supported size wording is retained, so no-movement behavior is not correlated with a special phrase. Success requires no object contact or displacement.</x:v>
      </x:c>
      <x:c r="S135" s="9" t="str">
        <x:f>IF(ISBLANK('Evaluation Plan'!S135),"",'Evaluation Plan'!S135)</x:f>
      </x:c>
    </x:row>
    <x:row r="136" ht="67.5" customHeight="1">
      <x:c r="A136" s="8" t="s">
        <x:v>19</x:v>
      </x:c>
      <x:c r="B136" s="8" t="n">
        <x:f>'Evaluation Plan'!B136</x:f>
        <x:v>134</x:v>
      </x:c>
      <x:c r="C136" s="9" t="str">
        <x:f>'Evaluation Plan'!C136</x:f>
        <x:v>Pick up the smallest item and place it in the bowl.</x:v>
      </x:c>
      <x:c r="D136" s="9" t="str">
        <x:f>'Evaluation Plan'!D136</x:f>
        <x:v>Bowl: red pencil sharpener. Table: juggling ball; crushed Pepsi can. row shifted 4 cm toward robot-left; every object fully visible. The requested extremal object is already in the bowl.</x:v>
      </x:c>
      <x:c r="E136" s="8" t="str">
        <x:f>IF(ISBLANK('Evaluation Plan'!E136),"",'Evaluation Plan'!E136)</x:f>
      </x:c>
      <x:c r="F136" s="8" t="str">
        <x:f>'Evaluation Plan'!F136</x:f>
        <x:v>1011</x:v>
      </x:c>
      <x:c r="G136" s="8" t="str">
        <x:f>'Evaluation Plan'!G136</x:f>
        <x:v>NO MOVEMENT — goal already satisfied</x:v>
      </x:c>
      <x:c r="H136" s="9"/>
      <x:c r="I136" s="8" t="str">
        <x:f>'Evaluation Plan'!I136</x:f>
        <x:v>Goal already satisfied / no movement</x:v>
      </x:c>
      <x:c r="J136" s="8" t="str">
        <x:f>'Evaluation Plan'!J136</x:f>
        <x:v>SZ-NOOP-1-2</x:v>
      </x:c>
      <x:c r="K136" s="8" t="str">
        <x:f>'Evaluation Plan'!K136</x:f>
        <x:v>smallest</x:v>
      </x:c>
      <x:c r="L136" s="8" t="str">
        <x:f>'Evaluation Plan'!L136</x:f>
        <x:v>Trained smallest × red pencil sharpener; target already in bowl</x:v>
      </x:c>
      <x:c r="M136" s="8" t="str">
        <x:f>'Evaluation Plan'!M136</x:f>
        <x:v>red pencil sharpener</x:v>
      </x:c>
      <x:c r="N136" s="8" t="str">
        <x:f>'Evaluation Plan'!N136</x:f>
        <x:v>In bowl</x:v>
      </x:c>
      <x:c r="O136" s="8" t="n">
        <x:f>'Evaluation Plan'!O136</x:f>
        <x:v>3</x:v>
      </x:c>
      <x:c r="P136" s="8" t="str">
        <x:f>IF(ISBLANK('Evaluation Plan'!P136),"",'Evaluation Plan'!P136)</x:f>
      </x:c>
      <x:c r="Q136" s="8" t="str">
        <x:f>'Evaluation Plan'!Q136</x:f>
        <x:v>Place the target in the bowl before starting; arrange the listed distractors on the table.</x:v>
      </x:c>
      <x:c r="R136" s="9" t="str">
        <x:f>'Evaluation Plan'!R136</x:f>
        <x:v>Normal training-supported size wording is retained, so no-movement behavior is not correlated with a special phrase. Success requires no object contact or displacement.</x:v>
      </x:c>
      <x:c r="S136" s="9" t="str">
        <x:f>IF(ISBLANK('Evaluation Plan'!S136),"",'Evaluation Plan'!S136)</x:f>
      </x:c>
    </x:row>
    <x:row r="137" ht="67.5" customHeight="1">
      <x:c r="A137" s="8" t="s">
        <x:v>19</x:v>
      </x:c>
      <x:c r="B137" s="8" t="n">
        <x:f>'Evaluation Plan'!B137</x:f>
        <x:v>135</x:v>
      </x:c>
      <x:c r="C137" s="9" t="str">
        <x:f>'Evaluation Plan'!C137</x:f>
        <x:v>Put the smallest object in the bowl.</x:v>
      </x:c>
      <x:c r="D137" s="9" t="str">
        <x:f>'Evaluation Plan'!D137</x:f>
        <x:v>Bowl: green block. Table: crushed Pepsi can. row shifted 4 cm toward robot-right; every object fully visible. The requested extremal object is already in the bowl.</x:v>
      </x:c>
      <x:c r="E137" s="8" t="str">
        <x:f>IF(ISBLANK('Evaluation Plan'!E137),"",'Evaluation Plan'!E137)</x:f>
      </x:c>
      <x:c r="F137" s="8" t="str">
        <x:f>'Evaluation Plan'!F137</x:f>
        <x:v>1056</x:v>
      </x:c>
      <x:c r="G137" s="8" t="str">
        <x:f>'Evaluation Plan'!G137</x:f>
        <x:v>NO MOVEMENT — goal already satisfied</x:v>
      </x:c>
      <x:c r="H137" s="9"/>
      <x:c r="I137" s="8" t="str">
        <x:f>'Evaluation Plan'!I137</x:f>
        <x:v>Goal already satisfied / no movement</x:v>
      </x:c>
      <x:c r="J137" s="8" t="str">
        <x:f>'Evaluation Plan'!J137</x:f>
        <x:v>SZ-NOOP-2-2</x:v>
      </x:c>
      <x:c r="K137" s="8" t="str">
        <x:f>'Evaluation Plan'!K137</x:f>
        <x:v>smallest</x:v>
      </x:c>
      <x:c r="L137" s="8" t="str">
        <x:f>'Evaluation Plan'!L137</x:f>
        <x:v>Trained smallest × green block; target already in bowl</x:v>
      </x:c>
      <x:c r="M137" s="8" t="str">
        <x:f>'Evaluation Plan'!M137</x:f>
        <x:v>green block</x:v>
      </x:c>
      <x:c r="N137" s="8" t="str">
        <x:f>'Evaluation Plan'!N137</x:f>
        <x:v>In bowl</x:v>
      </x:c>
      <x:c r="O137" s="8" t="n">
        <x:f>'Evaluation Plan'!O137</x:f>
        <x:v>2</x:v>
      </x:c>
      <x:c r="P137" s="8" t="str">
        <x:f>IF(ISBLANK('Evaluation Plan'!P137),"",'Evaluation Plan'!P137)</x:f>
      </x:c>
      <x:c r="Q137" s="8" t="str">
        <x:f>'Evaluation Plan'!Q137</x:f>
        <x:v>Place the target in the bowl before starting; arrange the listed distractors on the table.</x:v>
      </x:c>
      <x:c r="R137" s="9" t="str">
        <x:f>'Evaluation Plan'!R137</x:f>
        <x:v>Normal training-supported size wording is retained, so no-movement behavior is not correlated with a special phrase. Success requires no object contact or displacement.</x:v>
      </x:c>
      <x:c r="S137" s="9" t="str">
        <x:f>IF(ISBLANK('Evaluation Plan'!S137),"",'Evaluation Plan'!S137)</x:f>
      </x:c>
    </x:row>
    <x:row r="138" ht="67.5" customHeight="1">
      <x:c r="A138" s="8" t="s">
        <x:v>19</x:v>
      </x:c>
      <x:c r="B138" s="8" t="n">
        <x:f>'Evaluation Plan'!B138</x:f>
        <x:v>136</x:v>
      </x:c>
      <x:c r="C138" s="9" t="str">
        <x:f>'Evaluation Plan'!C138</x:f>
        <x:v>Move the object that is largest into the bowl.</x:v>
      </x:c>
      <x:c r="D138" s="9" t="str">
        <x:f>'Evaluation Plan'!D138</x:f>
        <x:v>Bowl: juggling ball. Table: green block. row shifted 4 cm toward the robot; every object fully visible. The requested extremal object is already in the bowl.</x:v>
      </x:c>
      <x:c r="E138" s="8" t="str">
        <x:f>IF(ISBLANK('Evaluation Plan'!E138),"",'Evaluation Plan'!E138)</x:f>
      </x:c>
      <x:c r="F138" s="8" t="str">
        <x:f>'Evaluation Plan'!F138</x:f>
        <x:v>1131</x:v>
      </x:c>
      <x:c r="G138" s="8" t="str">
        <x:f>'Evaluation Plan'!G138</x:f>
        <x:v>NO MOVEMENT — goal already satisfied</x:v>
      </x:c>
      <x:c r="H138" s="9"/>
      <x:c r="I138" s="8" t="str">
        <x:f>'Evaluation Plan'!I138</x:f>
        <x:v>Goal already satisfied / no movement</x:v>
      </x:c>
      <x:c r="J138" s="8" t="str">
        <x:f>'Evaluation Plan'!J138</x:f>
        <x:v>SZ-NOOP-3-2</x:v>
      </x:c>
      <x:c r="K138" s="8" t="str">
        <x:f>'Evaluation Plan'!K138</x:f>
        <x:v>largest</x:v>
      </x:c>
      <x:c r="L138" s="8" t="str">
        <x:f>'Evaluation Plan'!L138</x:f>
        <x:v>Trained largest × juggling ball; target already in bowl</x:v>
      </x:c>
      <x:c r="M138" s="8" t="str">
        <x:f>'Evaluation Plan'!M138</x:f>
        <x:v>juggling ball</x:v>
      </x:c>
      <x:c r="N138" s="8" t="str">
        <x:f>'Evaluation Plan'!N138</x:f>
        <x:v>In bowl</x:v>
      </x:c>
      <x:c r="O138" s="8" t="n">
        <x:f>'Evaluation Plan'!O138</x:f>
        <x:v>2</x:v>
      </x:c>
      <x:c r="P138" s="8" t="str">
        <x:f>IF(ISBLANK('Evaluation Plan'!P138),"",'Evaluation Plan'!P138)</x:f>
      </x:c>
      <x:c r="Q138" s="8" t="str">
        <x:f>'Evaluation Plan'!Q138</x:f>
        <x:v>Place the target in the bowl before starting; arrange the listed distractors on the table.</x:v>
      </x:c>
      <x:c r="R138" s="9" t="str">
        <x:f>'Evaluation Plan'!R138</x:f>
        <x:v>Normal training-supported size wording is retained, so no-movement behavior is not correlated with a special phrase. Success requires no object contact or displacement.</x:v>
      </x:c>
      <x:c r="S138" s="9" t="str">
        <x:f>IF(ISBLANK('Evaluation Plan'!S138),"",'Evaluation Plan'!S138)</x:f>
      </x:c>
    </x:row>
    <x:row r="139" ht="67.5" customHeight="1">
      <x:c r="A139" s="8" t="s">
        <x:v>19</x:v>
      </x:c>
      <x:c r="B139" s="8" t="n">
        <x:f>'Evaluation Plan'!B139</x:f>
        <x:v>137</x:v>
      </x:c>
      <x:c r="C139" s="9" t="str">
        <x:f>'Evaluation Plan'!C139</x:f>
        <x:v>Pick up the largest item and place it in the bowl.</x:v>
      </x:c>
      <x:c r="D139" s="9" t="str">
        <x:f>'Evaluation Plan'!D139</x:f>
        <x:v>Bowl: crushed Pepsi can. Table: green block. row shifted 4 cm away from the robot; every object fully visible. The requested extremal object is already in the bowl.</x:v>
      </x:c>
      <x:c r="E139" s="8" t="str">
        <x:f>IF(ISBLANK('Evaluation Plan'!E139),"",'Evaluation Plan'!E139)</x:f>
      </x:c>
      <x:c r="F139" s="8" t="str">
        <x:f>'Evaluation Plan'!F139</x:f>
        <x:v>1161</x:v>
      </x:c>
      <x:c r="G139" s="8" t="str">
        <x:f>'Evaluation Plan'!G139</x:f>
        <x:v>NO MOVEMENT — goal already satisfied</x:v>
      </x:c>
      <x:c r="H139" s="9"/>
      <x:c r="I139" s="8" t="str">
        <x:f>'Evaluation Plan'!I139</x:f>
        <x:v>Goal already satisfied / no movement</x:v>
      </x:c>
      <x:c r="J139" s="8" t="str">
        <x:f>'Evaluation Plan'!J139</x:f>
        <x:v>SZ-NOOP-4-2</x:v>
      </x:c>
      <x:c r="K139" s="8" t="str">
        <x:f>'Evaluation Plan'!K139</x:f>
        <x:v>largest</x:v>
      </x:c>
      <x:c r="L139" s="8" t="str">
        <x:f>'Evaluation Plan'!L139</x:f>
        <x:v>Trained largest × crushed Pepsi can; target already in bowl</x:v>
      </x:c>
      <x:c r="M139" s="8" t="str">
        <x:f>'Evaluation Plan'!M139</x:f>
        <x:v>crushed Pepsi can</x:v>
      </x:c>
      <x:c r="N139" s="8" t="str">
        <x:f>'Evaluation Plan'!N139</x:f>
        <x:v>In bowl</x:v>
      </x:c>
      <x:c r="O139" s="8" t="n">
        <x:f>'Evaluation Plan'!O139</x:f>
        <x:v>2</x:v>
      </x:c>
      <x:c r="P139" s="8" t="str">
        <x:f>IF(ISBLANK('Evaluation Plan'!P139),"",'Evaluation Plan'!P139)</x:f>
      </x:c>
      <x:c r="Q139" s="8" t="str">
        <x:f>'Evaluation Plan'!Q139</x:f>
        <x:v>Place the target in the bowl before starting; arrange the listed distractors on the table.</x:v>
      </x:c>
      <x:c r="R139" s="9" t="str">
        <x:f>'Evaluation Plan'!R139</x:f>
        <x:v>Normal training-supported size wording is retained, so no-movement behavior is not correlated with a special phrase. Success requires no object contact or displacement.</x:v>
      </x:c>
      <x:c r="S139" s="9" t="str">
        <x:f>IF(ISBLANK('Evaluation Plan'!S139),"",'Evaluation Plan'!S139)</x:f>
      </x:c>
    </x:row>
    <x:row r="140" ht="67.5" customHeight="1">
      <x:c r="A140" s="8" t="s">
        <x:v>19</x:v>
      </x:c>
      <x:c r="B140" s="8" t="n">
        <x:f>'Evaluation Plan'!B140</x:f>
        <x:v>138</x:v>
      </x:c>
      <x:c r="C140" s="9" t="str">
        <x:f>'Evaluation Plan'!C140</x:f>
        <x:v>Put the smallest object in the bowl.</x:v>
      </x:c>
      <x:c r="D140" s="9" t="str">
        <x:f>'Evaluation Plan'!D140</x:f>
        <x:v>Bowl: red pencil sharpener. Table: green block; juggling ball; crushed Pepsi can. row shifted 4 cm toward robot-right; every object fully visible. The requested extremal object is already in the bowl.</x:v>
      </x:c>
      <x:c r="E140" s="8" t="str">
        <x:f>IF(ISBLANK('Evaluation Plan'!E140),"",'Evaluation Plan'!E140)</x:f>
      </x:c>
      <x:c r="F140" s="8" t="str">
        <x:f>'Evaluation Plan'!F140</x:f>
        <x:v>1012</x:v>
      </x:c>
      <x:c r="G140" s="8" t="str">
        <x:f>'Evaluation Plan'!G140</x:f>
        <x:v>NO MOVEMENT — goal already satisfied</x:v>
      </x:c>
      <x:c r="H140" s="9"/>
      <x:c r="I140" s="8" t="str">
        <x:f>'Evaluation Plan'!I140</x:f>
        <x:v>Goal already satisfied / no movement</x:v>
      </x:c>
      <x:c r="J140" s="8" t="str">
        <x:f>'Evaluation Plan'!J140</x:f>
        <x:v>SZ-NOOP-1-3</x:v>
      </x:c>
      <x:c r="K140" s="8" t="str">
        <x:f>'Evaluation Plan'!K140</x:f>
        <x:v>smallest</x:v>
      </x:c>
      <x:c r="L140" s="8" t="str">
        <x:f>'Evaluation Plan'!L140</x:f>
        <x:v>Trained smallest × red pencil sharpener; target already in bowl</x:v>
      </x:c>
      <x:c r="M140" s="8" t="str">
        <x:f>'Evaluation Plan'!M140</x:f>
        <x:v>red pencil sharpener</x:v>
      </x:c>
      <x:c r="N140" s="8" t="str">
        <x:f>'Evaluation Plan'!N140</x:f>
        <x:v>In bowl</x:v>
      </x:c>
      <x:c r="O140" s="8" t="n">
        <x:f>'Evaluation Plan'!O140</x:f>
        <x:v>4</x:v>
      </x:c>
      <x:c r="P140" s="8" t="str">
        <x:f>IF(ISBLANK('Evaluation Plan'!P140),"",'Evaluation Plan'!P140)</x:f>
      </x:c>
      <x:c r="Q140" s="8" t="str">
        <x:f>'Evaluation Plan'!Q140</x:f>
        <x:v>Place the target in the bowl before starting; arrange the listed distractors on the table.</x:v>
      </x:c>
      <x:c r="R140" s="9" t="str">
        <x:f>'Evaluation Plan'!R140</x:f>
        <x:v>Normal training-supported size wording is retained, so no-movement behavior is not correlated with a special phrase. Success requires no object contact or displacement.</x:v>
      </x:c>
      <x:c r="S140" s="9" t="str">
        <x:f>IF(ISBLANK('Evaluation Plan'!S140),"",'Evaluation Plan'!S140)</x:f>
      </x:c>
    </x:row>
    <x:row r="141" ht="67.5" customHeight="1">
      <x:c r="A141" s="8" t="s">
        <x:v>19</x:v>
      </x:c>
      <x:c r="B141" s="8" t="n">
        <x:f>'Evaluation Plan'!B141</x:f>
        <x:v>139</x:v>
      </x:c>
      <x:c r="C141" s="9" t="str">
        <x:f>'Evaluation Plan'!C141</x:f>
        <x:v>Move the object that is smallest into the bowl.</x:v>
      </x:c>
      <x:c r="D141" s="9" t="str">
        <x:f>'Evaluation Plan'!D141</x:f>
        <x:v>Bowl: green block. Table: juggling ball; crushed Pepsi can. row shifted 4 cm toward the robot; every object fully visible. The requested extremal object is already in the bowl.</x:v>
      </x:c>
      <x:c r="E141" s="8" t="str">
        <x:f>IF(ISBLANK('Evaluation Plan'!E141),"",'Evaluation Plan'!E141)</x:f>
      </x:c>
      <x:c r="F141" s="8" t="str">
        <x:f>'Evaluation Plan'!F141</x:f>
        <x:v>1057</x:v>
      </x:c>
      <x:c r="G141" s="8" t="str">
        <x:f>'Evaluation Plan'!G141</x:f>
        <x:v>NO MOVEMENT — goal already satisfied</x:v>
      </x:c>
      <x:c r="H141" s="9"/>
      <x:c r="I141" s="8" t="str">
        <x:f>'Evaluation Plan'!I141</x:f>
        <x:v>Goal already satisfied / no movement</x:v>
      </x:c>
      <x:c r="J141" s="8" t="str">
        <x:f>'Evaluation Plan'!J141</x:f>
        <x:v>SZ-NOOP-2-3</x:v>
      </x:c>
      <x:c r="K141" s="8" t="str">
        <x:f>'Evaluation Plan'!K141</x:f>
        <x:v>smallest</x:v>
      </x:c>
      <x:c r="L141" s="8" t="str">
        <x:f>'Evaluation Plan'!L141</x:f>
        <x:v>Trained smallest × green block; target already in bowl</x:v>
      </x:c>
      <x:c r="M141" s="8" t="str">
        <x:f>'Evaluation Plan'!M141</x:f>
        <x:v>green block</x:v>
      </x:c>
      <x:c r="N141" s="8" t="str">
        <x:f>'Evaluation Plan'!N141</x:f>
        <x:v>In bowl</x:v>
      </x:c>
      <x:c r="O141" s="8" t="n">
        <x:f>'Evaluation Plan'!O141</x:f>
        <x:v>3</x:v>
      </x:c>
      <x:c r="P141" s="8" t="str">
        <x:f>IF(ISBLANK('Evaluation Plan'!P141),"",'Evaluation Plan'!P141)</x:f>
      </x:c>
      <x:c r="Q141" s="8" t="str">
        <x:f>'Evaluation Plan'!Q141</x:f>
        <x:v>Place the target in the bowl before starting; arrange the listed distractors on the table.</x:v>
      </x:c>
      <x:c r="R141" s="9" t="str">
        <x:f>'Evaluation Plan'!R141</x:f>
        <x:v>Normal training-supported size wording is retained, so no-movement behavior is not correlated with a special phrase. Success requires no object contact or displacement.</x:v>
      </x:c>
      <x:c r="S141" s="9" t="str">
        <x:f>IF(ISBLANK('Evaluation Plan'!S141),"",'Evaluation Plan'!S141)</x:f>
      </x:c>
    </x:row>
    <x:row r="142" ht="67.5" customHeight="1">
      <x:c r="A142" s="8" t="s">
        <x:v>19</x:v>
      </x:c>
      <x:c r="B142" s="8" t="n">
        <x:f>'Evaluation Plan'!B142</x:f>
        <x:v>140</x:v>
      </x:c>
      <x:c r="C142" s="9" t="str">
        <x:f>'Evaluation Plan'!C142</x:f>
        <x:v>Pick up the largest item and place it in the bowl.</x:v>
      </x:c>
      <x:c r="D142" s="9" t="str">
        <x:f>'Evaluation Plan'!D142</x:f>
        <x:v>Bowl: juggling ball. Table: red pencil sharpener; green block. row shifted 4 cm away from the robot; every object fully visible. The requested extremal object is already in the bowl.</x:v>
      </x:c>
      <x:c r="E142" s="8" t="str">
        <x:f>IF(ISBLANK('Evaluation Plan'!E142),"",'Evaluation Plan'!E142)</x:f>
      </x:c>
      <x:c r="F142" s="8" t="str">
        <x:f>'Evaluation Plan'!F142</x:f>
        <x:v>1132</x:v>
      </x:c>
      <x:c r="G142" s="8" t="str">
        <x:f>'Evaluation Plan'!G142</x:f>
        <x:v>NO MOVEMENT — goal already satisfied</x:v>
      </x:c>
      <x:c r="H142" s="9"/>
      <x:c r="I142" s="8" t="str">
        <x:f>'Evaluation Plan'!I142</x:f>
        <x:v>Goal already satisfied / no movement</x:v>
      </x:c>
      <x:c r="J142" s="8" t="str">
        <x:f>'Evaluation Plan'!J142</x:f>
        <x:v>SZ-NOOP-3-3</x:v>
      </x:c>
      <x:c r="K142" s="8" t="str">
        <x:f>'Evaluation Plan'!K142</x:f>
        <x:v>largest</x:v>
      </x:c>
      <x:c r="L142" s="8" t="str">
        <x:f>'Evaluation Plan'!L142</x:f>
        <x:v>Trained largest × juggling ball; target already in bowl</x:v>
      </x:c>
      <x:c r="M142" s="8" t="str">
        <x:f>'Evaluation Plan'!M142</x:f>
        <x:v>juggling ball</x:v>
      </x:c>
      <x:c r="N142" s="8" t="str">
        <x:f>'Evaluation Plan'!N142</x:f>
        <x:v>In bowl</x:v>
      </x:c>
      <x:c r="O142" s="8" t="n">
        <x:f>'Evaluation Plan'!O142</x:f>
        <x:v>3</x:v>
      </x:c>
      <x:c r="P142" s="8" t="str">
        <x:f>IF(ISBLANK('Evaluation Plan'!P142),"",'Evaluation Plan'!P142)</x:f>
      </x:c>
      <x:c r="Q142" s="8" t="str">
        <x:f>'Evaluation Plan'!Q142</x:f>
        <x:v>Place the target in the bowl before starting; arrange the listed distractors on the table.</x:v>
      </x:c>
      <x:c r="R142" s="9" t="str">
        <x:f>'Evaluation Plan'!R142</x:f>
        <x:v>Normal training-supported size wording is retained, so no-movement behavior is not correlated with a special phrase. Success requires no object contact or displacement.</x:v>
      </x:c>
      <x:c r="S142" s="9" t="str">
        <x:f>IF(ISBLANK('Evaluation Plan'!S142),"",'Evaluation Plan'!S142)</x:f>
      </x:c>
    </x:row>
    <x:row r="143" ht="67.5" customHeight="1">
      <x:c r="A143" s="8" t="s">
        <x:v>19</x:v>
      </x:c>
      <x:c r="B143" s="8" t="n">
        <x:f>'Evaluation Plan'!B143</x:f>
        <x:v>141</x:v>
      </x:c>
      <x:c r="C143" s="9" t="str">
        <x:f>'Evaluation Plan'!C143</x:f>
        <x:v>Put the largest object in the bowl.</x:v>
      </x:c>
      <x:c r="D143" s="9" t="str">
        <x:f>'Evaluation Plan'!D143</x:f>
        <x:v>Bowl: crushed Pepsi can. Table: red pencil sharpener; green block; juggling ball. row centered on the workspace; every object fully visible. The requested extremal object is already in the bowl.</x:v>
      </x:c>
      <x:c r="E143" s="8" t="str">
        <x:f>IF(ISBLANK('Evaluation Plan'!E143),"",'Evaluation Plan'!E143)</x:f>
      </x:c>
      <x:c r="F143" s="8" t="str">
        <x:f>'Evaluation Plan'!F143</x:f>
        <x:v>1162</x:v>
      </x:c>
      <x:c r="G143" s="8" t="str">
        <x:f>'Evaluation Plan'!G143</x:f>
        <x:v>NO MOVEMENT — goal already satisfied</x:v>
      </x:c>
      <x:c r="H143" s="9"/>
      <x:c r="I143" s="8" t="str">
        <x:f>'Evaluation Plan'!I143</x:f>
        <x:v>Goal already satisfied / no movement</x:v>
      </x:c>
      <x:c r="J143" s="8" t="str">
        <x:f>'Evaluation Plan'!J143</x:f>
        <x:v>SZ-NOOP-4-3</x:v>
      </x:c>
      <x:c r="K143" s="8" t="str">
        <x:f>'Evaluation Plan'!K143</x:f>
        <x:v>largest</x:v>
      </x:c>
      <x:c r="L143" s="8" t="str">
        <x:f>'Evaluation Plan'!L143</x:f>
        <x:v>Trained largest × crushed Pepsi can; target already in bowl</x:v>
      </x:c>
      <x:c r="M143" s="8" t="str">
        <x:f>'Evaluation Plan'!M143</x:f>
        <x:v>crushed Pepsi can</x:v>
      </x:c>
      <x:c r="N143" s="8" t="str">
        <x:f>'Evaluation Plan'!N143</x:f>
        <x:v>In bowl</x:v>
      </x:c>
      <x:c r="O143" s="8" t="n">
        <x:f>'Evaluation Plan'!O143</x:f>
        <x:v>4</x:v>
      </x:c>
      <x:c r="P143" s="8" t="str">
        <x:f>IF(ISBLANK('Evaluation Plan'!P143),"",'Evaluation Plan'!P143)</x:f>
      </x:c>
      <x:c r="Q143" s="8" t="str">
        <x:f>'Evaluation Plan'!Q143</x:f>
        <x:v>Place the target in the bowl before starting; arrange the listed distractors on the table.</x:v>
      </x:c>
      <x:c r="R143" s="9" t="str">
        <x:f>'Evaluation Plan'!R143</x:f>
        <x:v>Normal training-supported size wording is retained, so no-movement behavior is not correlated with a special phrase. Success requires no object contact or displacement.</x:v>
      </x:c>
      <x:c r="S143" s="9" t="str">
        <x:f>IF(ISBLANK('Evaluation Plan'!S143),"",'Evaluation Plan'!S143)</x:f>
      </x:c>
    </x:row>
    <x:row r="144" ht="67.5" customHeight="1">
      <x:c r="A144" s="8" t="s">
        <x:v>19</x:v>
      </x:c>
      <x:c r="B144" s="8" t="n">
        <x:f>'Evaluation Plan'!B144</x:f>
        <x:v>142</x:v>
      </x:c>
      <x:c r="C144" s="9" t="str">
        <x:f>'Evaluation Plan'!C144</x:f>
        <x:v>Move the object that is smallest into the bowl.</x:v>
      </x:c>
      <x:c r="D144" s="9" t="str">
        <x:f>'Evaluation Plan'!D144</x:f>
        <x:v>Bowl: red pencil sharpener. Table: juggling ball; crushed Pepsi can; green block. row shifted 4 cm toward the robot; every object fully visible. The requested extremal object is already in the bowl.</x:v>
      </x:c>
      <x:c r="E144" s="8" t="str">
        <x:f>IF(ISBLANK('Evaluation Plan'!E144),"",'Evaluation Plan'!E144)</x:f>
      </x:c>
      <x:c r="F144" s="8" t="str">
        <x:f>'Evaluation Plan'!F144</x:f>
        <x:v>1013</x:v>
      </x:c>
      <x:c r="G144" s="8" t="str">
        <x:f>'Evaluation Plan'!G144</x:f>
        <x:v>NO MOVEMENT — goal already satisfied</x:v>
      </x:c>
      <x:c r="H144" s="9"/>
      <x:c r="I144" s="8" t="str">
        <x:f>'Evaluation Plan'!I144</x:f>
        <x:v>Goal already satisfied / no movement</x:v>
      </x:c>
      <x:c r="J144" s="8" t="str">
        <x:f>'Evaluation Plan'!J144</x:f>
        <x:v>SZ-NOOP-1-4</x:v>
      </x:c>
      <x:c r="K144" s="8" t="str">
        <x:f>'Evaluation Plan'!K144</x:f>
        <x:v>smallest</x:v>
      </x:c>
      <x:c r="L144" s="8" t="str">
        <x:f>'Evaluation Plan'!L144</x:f>
        <x:v>Trained smallest × red pencil sharpener; target already in bowl</x:v>
      </x:c>
      <x:c r="M144" s="8" t="str">
        <x:f>'Evaluation Plan'!M144</x:f>
        <x:v>red pencil sharpener</x:v>
      </x:c>
      <x:c r="N144" s="8" t="str">
        <x:f>'Evaluation Plan'!N144</x:f>
        <x:v>In bowl</x:v>
      </x:c>
      <x:c r="O144" s="8" t="n">
        <x:f>'Evaluation Plan'!O144</x:f>
        <x:v>4</x:v>
      </x:c>
      <x:c r="P144" s="8" t="str">
        <x:f>IF(ISBLANK('Evaluation Plan'!P144),"",'Evaluation Plan'!P144)</x:f>
      </x:c>
      <x:c r="Q144" s="8" t="str">
        <x:f>'Evaluation Plan'!Q144</x:f>
        <x:v>Place the target in the bowl before starting; arrange the listed distractors on the table.</x:v>
      </x:c>
      <x:c r="R144" s="9" t="str">
        <x:f>'Evaluation Plan'!R144</x:f>
        <x:v>Normal training-supported size wording is retained, so no-movement behavior is not correlated with a special phrase. Success requires no object contact or displacement.</x:v>
      </x:c>
      <x:c r="S144" s="9" t="str">
        <x:f>IF(ISBLANK('Evaluation Plan'!S144),"",'Evaluation Plan'!S144)</x:f>
      </x:c>
    </x:row>
    <x:row r="145" ht="67.5" customHeight="1">
      <x:c r="A145" s="8" t="s">
        <x:v>19</x:v>
      </x:c>
      <x:c r="B145" s="8" t="n">
        <x:f>'Evaluation Plan'!B145</x:f>
        <x:v>143</x:v>
      </x:c>
      <x:c r="C145" s="9" t="str">
        <x:f>'Evaluation Plan'!C145</x:f>
        <x:v>Pick up the smallest item and place it in the bowl.</x:v>
      </x:c>
      <x:c r="D145" s="9" t="str">
        <x:f>'Evaluation Plan'!D145</x:f>
        <x:v>Bowl: green block. Table: crushed Pepsi can; juggling ball. row shifted 4 cm away from the robot; every object fully visible. The requested extremal object is already in the bowl.</x:v>
      </x:c>
      <x:c r="E145" s="8" t="str">
        <x:f>IF(ISBLANK('Evaluation Plan'!E145),"",'Evaluation Plan'!E145)</x:f>
      </x:c>
      <x:c r="F145" s="8" t="str">
        <x:f>'Evaluation Plan'!F145</x:f>
        <x:v>1058</x:v>
      </x:c>
      <x:c r="G145" s="8" t="str">
        <x:f>'Evaluation Plan'!G145</x:f>
        <x:v>NO MOVEMENT — goal already satisfied</x:v>
      </x:c>
      <x:c r="H145" s="9"/>
      <x:c r="I145" s="8" t="str">
        <x:f>'Evaluation Plan'!I145</x:f>
        <x:v>Goal already satisfied / no movement</x:v>
      </x:c>
      <x:c r="J145" s="8" t="str">
        <x:f>'Evaluation Plan'!J145</x:f>
        <x:v>SZ-NOOP-2-4</x:v>
      </x:c>
      <x:c r="K145" s="8" t="str">
        <x:f>'Evaluation Plan'!K145</x:f>
        <x:v>smallest</x:v>
      </x:c>
      <x:c r="L145" s="8" t="str">
        <x:f>'Evaluation Plan'!L145</x:f>
        <x:v>Trained smallest × green block; target already in bowl</x:v>
      </x:c>
      <x:c r="M145" s="8" t="str">
        <x:f>'Evaluation Plan'!M145</x:f>
        <x:v>green block</x:v>
      </x:c>
      <x:c r="N145" s="8" t="str">
        <x:f>'Evaluation Plan'!N145</x:f>
        <x:v>In bowl</x:v>
      </x:c>
      <x:c r="O145" s="8" t="n">
        <x:f>'Evaluation Plan'!O145</x:f>
        <x:v>3</x:v>
      </x:c>
      <x:c r="P145" s="8" t="str">
        <x:f>IF(ISBLANK('Evaluation Plan'!P145),"",'Evaluation Plan'!P145)</x:f>
      </x:c>
      <x:c r="Q145" s="8" t="str">
        <x:f>'Evaluation Plan'!Q145</x:f>
        <x:v>Place the target in the bowl before starting; arrange the listed distractors on the table.</x:v>
      </x:c>
      <x:c r="R145" s="9" t="str">
        <x:f>'Evaluation Plan'!R145</x:f>
        <x:v>Normal training-supported size wording is retained, so no-movement behavior is not correlated with a special phrase. Success requires no object contact or displacement.</x:v>
      </x:c>
      <x:c r="S145" s="9" t="str">
        <x:f>IF(ISBLANK('Evaluation Plan'!S145),"",'Evaluation Plan'!S145)</x:f>
      </x:c>
    </x:row>
    <x:row r="146" ht="67.5" customHeight="1">
      <x:c r="A146" s="8" t="s">
        <x:v>19</x:v>
      </x:c>
      <x:c r="B146" s="8" t="n">
        <x:f>'Evaluation Plan'!B146</x:f>
        <x:v>144</x:v>
      </x:c>
      <x:c r="C146" s="9" t="str">
        <x:f>'Evaluation Plan'!C146</x:f>
        <x:v>Put the largest object in the bowl.</x:v>
      </x:c>
      <x:c r="D146" s="9" t="str">
        <x:f>'Evaluation Plan'!D146</x:f>
        <x:v>Bowl: juggling ball. Table: green block; red pencil sharpener. row centered on the workspace; every object fully visible. The requested extremal object is already in the bowl.</x:v>
      </x:c>
      <x:c r="E146" s="8" t="str">
        <x:f>IF(ISBLANK('Evaluation Plan'!E146),"",'Evaluation Plan'!E146)</x:f>
      </x:c>
      <x:c r="F146" s="8" t="str">
        <x:f>'Evaluation Plan'!F146</x:f>
        <x:v>1133</x:v>
      </x:c>
      <x:c r="G146" s="8" t="str">
        <x:f>'Evaluation Plan'!G146</x:f>
        <x:v>NO MOVEMENT — goal already satisfied</x:v>
      </x:c>
      <x:c r="H146" s="9"/>
      <x:c r="I146" s="8" t="str">
        <x:f>'Evaluation Plan'!I146</x:f>
        <x:v>Goal already satisfied / no movement</x:v>
      </x:c>
      <x:c r="J146" s="8" t="str">
        <x:f>'Evaluation Plan'!J146</x:f>
        <x:v>SZ-NOOP-3-4</x:v>
      </x:c>
      <x:c r="K146" s="8" t="str">
        <x:f>'Evaluation Plan'!K146</x:f>
        <x:v>largest</x:v>
      </x:c>
      <x:c r="L146" s="8" t="str">
        <x:f>'Evaluation Plan'!L146</x:f>
        <x:v>Trained largest × juggling ball; target already in bowl</x:v>
      </x:c>
      <x:c r="M146" s="8" t="str">
        <x:f>'Evaluation Plan'!M146</x:f>
        <x:v>juggling ball</x:v>
      </x:c>
      <x:c r="N146" s="8" t="str">
        <x:f>'Evaluation Plan'!N146</x:f>
        <x:v>In bowl</x:v>
      </x:c>
      <x:c r="O146" s="8" t="n">
        <x:f>'Evaluation Plan'!O146</x:f>
        <x:v>3</x:v>
      </x:c>
      <x:c r="P146" s="8" t="str">
        <x:f>IF(ISBLANK('Evaluation Plan'!P146),"",'Evaluation Plan'!P146)</x:f>
      </x:c>
      <x:c r="Q146" s="8" t="str">
        <x:f>'Evaluation Plan'!Q146</x:f>
        <x:v>Place the target in the bowl before starting; arrange the listed distractors on the table.</x:v>
      </x:c>
      <x:c r="R146" s="9" t="str">
        <x:f>'Evaluation Plan'!R146</x:f>
        <x:v>Normal training-supported size wording is retained, so no-movement behavior is not correlated with a special phrase. Success requires no object contact or displacement.</x:v>
      </x:c>
      <x:c r="S146" s="9" t="str">
        <x:f>IF(ISBLANK('Evaluation Plan'!S146),"",'Evaluation Plan'!S146)</x:f>
      </x:c>
    </x:row>
    <x:row r="147" ht="67.5" customHeight="1">
      <x:c r="A147" s="8" t="s">
        <x:v>19</x:v>
      </x:c>
      <x:c r="B147" s="8" t="n">
        <x:f>'Evaluation Plan'!B147</x:f>
        <x:v>145</x:v>
      </x:c>
      <x:c r="C147" s="9" t="str">
        <x:f>'Evaluation Plan'!C147</x:f>
        <x:v>Move the object that is largest into the bowl.</x:v>
      </x:c>
      <x:c r="D147" s="9" t="str">
        <x:f>'Evaluation Plan'!D147</x:f>
        <x:v>Bowl: crushed Pepsi can. Table: green block; juggling ball; red pencil sharpener. row shifted 4 cm toward robot-left; every object fully visible. The requested extremal object is already in the bowl.</x:v>
      </x:c>
      <x:c r="E147" s="8" t="str">
        <x:f>IF(ISBLANK('Evaluation Plan'!E147),"",'Evaluation Plan'!E147)</x:f>
      </x:c>
      <x:c r="F147" s="8" t="str">
        <x:f>'Evaluation Plan'!F147</x:f>
        <x:v>1163</x:v>
      </x:c>
      <x:c r="G147" s="8" t="str">
        <x:f>'Evaluation Plan'!G147</x:f>
        <x:v>NO MOVEMENT — goal already satisfied</x:v>
      </x:c>
      <x:c r="H147" s="9"/>
      <x:c r="I147" s="8" t="str">
        <x:f>'Evaluation Plan'!I147</x:f>
        <x:v>Goal already satisfied / no movement</x:v>
      </x:c>
      <x:c r="J147" s="8" t="str">
        <x:f>'Evaluation Plan'!J147</x:f>
        <x:v>SZ-NOOP-4-4</x:v>
      </x:c>
      <x:c r="K147" s="8" t="str">
        <x:f>'Evaluation Plan'!K147</x:f>
        <x:v>largest</x:v>
      </x:c>
      <x:c r="L147" s="8" t="str">
        <x:f>'Evaluation Plan'!L147</x:f>
        <x:v>Trained largest × crushed Pepsi can; target already in bowl</x:v>
      </x:c>
      <x:c r="M147" s="8" t="str">
        <x:f>'Evaluation Plan'!M147</x:f>
        <x:v>crushed Pepsi can</x:v>
      </x:c>
      <x:c r="N147" s="8" t="str">
        <x:f>'Evaluation Plan'!N147</x:f>
        <x:v>In bowl</x:v>
      </x:c>
      <x:c r="O147" s="8" t="n">
        <x:f>'Evaluation Plan'!O147</x:f>
        <x:v>4</x:v>
      </x:c>
      <x:c r="P147" s="8" t="str">
        <x:f>IF(ISBLANK('Evaluation Plan'!P147),"",'Evaluation Plan'!P147)</x:f>
      </x:c>
      <x:c r="Q147" s="8" t="str">
        <x:f>'Evaluation Plan'!Q147</x:f>
        <x:v>Place the target in the bowl before starting; arrange the listed distractors on the table.</x:v>
      </x:c>
      <x:c r="R147" s="9" t="str">
        <x:f>'Evaluation Plan'!R147</x:f>
        <x:v>Normal training-supported size wording is retained, so no-movement behavior is not correlated with a special phrase. Success requires no object contact or displacement.</x:v>
      </x:c>
      <x:c r="S147" s="9" t="str">
        <x:f>IF(ISBLANK('Evaluation Plan'!S147),"",'Evaluation Plan'!S147)</x:f>
      </x:c>
    </x:row>
    <x:row r="148" ht="67.5" customHeight="1">
      <x:c r="A148" s="8" t="s">
        <x:v>19</x:v>
      </x:c>
      <x:c r="B148" s="8" t="n">
        <x:f>'Evaluation Plan'!B148</x:f>
        <x:v>146</x:v>
      </x:c>
      <x:c r="C148" s="9" t="str">
        <x:f>'Evaluation Plan'!C148</x:f>
        <x:v>Pick up the smallest item and place it in the bowl.</x:v>
      </x:c>
      <x:c r="D148" s="9" t="str">
        <x:f>'Evaluation Plan'!D148</x:f>
        <x:v>Bowl: red pencil sharpener. Table: crushed Pepsi can; green block; juggling ball. row shifted 4 cm away from the robot; every object fully visible. The requested extremal object is already in the bowl.</x:v>
      </x:c>
      <x:c r="E148" s="8" t="str">
        <x:f>IF(ISBLANK('Evaluation Plan'!E148),"",'Evaluation Plan'!E148)</x:f>
      </x:c>
      <x:c r="F148" s="8" t="str">
        <x:f>'Evaluation Plan'!F148</x:f>
        <x:v>1014</x:v>
      </x:c>
      <x:c r="G148" s="8" t="str">
        <x:f>'Evaluation Plan'!G148</x:f>
        <x:v>NO MOVEMENT — goal already satisfied</x:v>
      </x:c>
      <x:c r="H148" s="9"/>
      <x:c r="I148" s="8" t="str">
        <x:f>'Evaluation Plan'!I148</x:f>
        <x:v>Goal already satisfied / no movement</x:v>
      </x:c>
      <x:c r="J148" s="8" t="str">
        <x:f>'Evaluation Plan'!J148</x:f>
        <x:v>SZ-NOOP-1-5</x:v>
      </x:c>
      <x:c r="K148" s="8" t="str">
        <x:f>'Evaluation Plan'!K148</x:f>
        <x:v>smallest</x:v>
      </x:c>
      <x:c r="L148" s="8" t="str">
        <x:f>'Evaluation Plan'!L148</x:f>
        <x:v>Trained smallest × red pencil sharpener; target already in bowl</x:v>
      </x:c>
      <x:c r="M148" s="8" t="str">
        <x:f>'Evaluation Plan'!M148</x:f>
        <x:v>red pencil sharpener</x:v>
      </x:c>
      <x:c r="N148" s="8" t="str">
        <x:f>'Evaluation Plan'!N148</x:f>
        <x:v>In bowl</x:v>
      </x:c>
      <x:c r="O148" s="8" t="n">
        <x:f>'Evaluation Plan'!O148</x:f>
        <x:v>4</x:v>
      </x:c>
      <x:c r="P148" s="8" t="str">
        <x:f>IF(ISBLANK('Evaluation Plan'!P148),"",'Evaluation Plan'!P148)</x:f>
      </x:c>
      <x:c r="Q148" s="8" t="str">
        <x:f>'Evaluation Plan'!Q148</x:f>
        <x:v>Place the target in the bowl before starting; arrange the listed distractors on the table.</x:v>
      </x:c>
      <x:c r="R148" s="9" t="str">
        <x:f>'Evaluation Plan'!R148</x:f>
        <x:v>Normal training-supported size wording is retained, so no-movement behavior is not correlated with a special phrase. Success requires no object contact or displacement.</x:v>
      </x:c>
      <x:c r="S148" s="9" t="str">
        <x:f>IF(ISBLANK('Evaluation Plan'!S148),"",'Evaluation Plan'!S148)</x:f>
      </x:c>
    </x:row>
    <x:row r="149" ht="67.5" customHeight="1">
      <x:c r="A149" s="8" t="s">
        <x:v>19</x:v>
      </x:c>
      <x:c r="B149" s="8" t="n">
        <x:f>'Evaluation Plan'!B149</x:f>
        <x:v>147</x:v>
      </x:c>
      <x:c r="C149" s="9" t="str">
        <x:f>'Evaluation Plan'!C149</x:f>
        <x:v>Put the smallest object in the bowl.</x:v>
      </x:c>
      <x:c r="D149" s="9" t="str">
        <x:f>'Evaluation Plan'!D149</x:f>
        <x:v>Bowl: green block. Table: juggling ball; crushed Pepsi can. row centered on the workspace; every object fully visible. The requested extremal object is already in the bowl.</x:v>
      </x:c>
      <x:c r="E149" s="8" t="str">
        <x:f>IF(ISBLANK('Evaluation Plan'!E149),"",'Evaluation Plan'!E149)</x:f>
      </x:c>
      <x:c r="F149" s="8" t="str">
        <x:f>'Evaluation Plan'!F149</x:f>
        <x:v>1059</x:v>
      </x:c>
      <x:c r="G149" s="8" t="str">
        <x:f>'Evaluation Plan'!G149</x:f>
        <x:v>NO MOVEMENT — goal already satisfied</x:v>
      </x:c>
      <x:c r="H149" s="9"/>
      <x:c r="I149" s="8" t="str">
        <x:f>'Evaluation Plan'!I149</x:f>
        <x:v>Goal already satisfied / no movement</x:v>
      </x:c>
      <x:c r="J149" s="8" t="str">
        <x:f>'Evaluation Plan'!J149</x:f>
        <x:v>SZ-NOOP-2-5</x:v>
      </x:c>
      <x:c r="K149" s="8" t="str">
        <x:f>'Evaluation Plan'!K149</x:f>
        <x:v>smallest</x:v>
      </x:c>
      <x:c r="L149" s="8" t="str">
        <x:f>'Evaluation Plan'!L149</x:f>
        <x:v>Trained smallest × green block; target already in bowl</x:v>
      </x:c>
      <x:c r="M149" s="8" t="str">
        <x:f>'Evaluation Plan'!M149</x:f>
        <x:v>green block</x:v>
      </x:c>
      <x:c r="N149" s="8" t="str">
        <x:f>'Evaluation Plan'!N149</x:f>
        <x:v>In bowl</x:v>
      </x:c>
      <x:c r="O149" s="8" t="n">
        <x:f>'Evaluation Plan'!O149</x:f>
        <x:v>3</x:v>
      </x:c>
      <x:c r="P149" s="8" t="str">
        <x:f>IF(ISBLANK('Evaluation Plan'!P149),"",'Evaluation Plan'!P149)</x:f>
      </x:c>
      <x:c r="Q149" s="8" t="str">
        <x:f>'Evaluation Plan'!Q149</x:f>
        <x:v>Place the target in the bowl before starting; arrange the listed distractors on the table.</x:v>
      </x:c>
      <x:c r="R149" s="9" t="str">
        <x:f>'Evaluation Plan'!R149</x:f>
        <x:v>Normal training-supported size wording is retained, so no-movement behavior is not correlated with a special phrase. Success requires no object contact or displacement.</x:v>
      </x:c>
      <x:c r="S149" s="9" t="str">
        <x:f>IF(ISBLANK('Evaluation Plan'!S149),"",'Evaluation Plan'!S149)</x:f>
      </x:c>
    </x:row>
    <x:row r="150" ht="67.5" customHeight="1">
      <x:c r="A150" s="8" t="s">
        <x:v>19</x:v>
      </x:c>
      <x:c r="B150" s="8" t="n">
        <x:f>'Evaluation Plan'!B150</x:f>
        <x:v>148</x:v>
      </x:c>
      <x:c r="C150" s="9" t="str">
        <x:f>'Evaluation Plan'!C150</x:f>
        <x:v>Move the object that is largest into the bowl.</x:v>
      </x:c>
      <x:c r="D150" s="9" t="str">
        <x:f>'Evaluation Plan'!D150</x:f>
        <x:v>Bowl: juggling ball. Table: red pencil sharpener; green block. row shifted 4 cm toward robot-left; every object fully visible. The requested extremal object is already in the bowl.</x:v>
      </x:c>
      <x:c r="E150" s="8" t="str">
        <x:f>IF(ISBLANK('Evaluation Plan'!E150),"",'Evaluation Plan'!E150)</x:f>
      </x:c>
      <x:c r="F150" s="8" t="str">
        <x:f>'Evaluation Plan'!F150</x:f>
        <x:v>1134</x:v>
      </x:c>
      <x:c r="G150" s="8" t="str">
        <x:f>'Evaluation Plan'!G150</x:f>
        <x:v>NO MOVEMENT — goal already satisfied</x:v>
      </x:c>
      <x:c r="H150" s="9"/>
      <x:c r="I150" s="8" t="str">
        <x:f>'Evaluation Plan'!I150</x:f>
        <x:v>Goal already satisfied / no movement</x:v>
      </x:c>
      <x:c r="J150" s="8" t="str">
        <x:f>'Evaluation Plan'!J150</x:f>
        <x:v>SZ-NOOP-3-5</x:v>
      </x:c>
      <x:c r="K150" s="8" t="str">
        <x:f>'Evaluation Plan'!K150</x:f>
        <x:v>largest</x:v>
      </x:c>
      <x:c r="L150" s="8" t="str">
        <x:f>'Evaluation Plan'!L150</x:f>
        <x:v>Trained largest × juggling ball; target already in bowl</x:v>
      </x:c>
      <x:c r="M150" s="8" t="str">
        <x:f>'Evaluation Plan'!M150</x:f>
        <x:v>juggling ball</x:v>
      </x:c>
      <x:c r="N150" s="8" t="str">
        <x:f>'Evaluation Plan'!N150</x:f>
        <x:v>In bowl</x:v>
      </x:c>
      <x:c r="O150" s="8" t="n">
        <x:f>'Evaluation Plan'!O150</x:f>
        <x:v>3</x:v>
      </x:c>
      <x:c r="P150" s="8" t="str">
        <x:f>IF(ISBLANK('Evaluation Plan'!P150),"",'Evaluation Plan'!P150)</x:f>
      </x:c>
      <x:c r="Q150" s="8" t="str">
        <x:f>'Evaluation Plan'!Q150</x:f>
        <x:v>Place the target in the bowl before starting; arrange the listed distractors on the table.</x:v>
      </x:c>
      <x:c r="R150" s="9" t="str">
        <x:f>'Evaluation Plan'!R150</x:f>
        <x:v>Normal training-supported size wording is retained, so no-movement behavior is not correlated with a special phrase. Success requires no object contact or displacement.</x:v>
      </x:c>
      <x:c r="S150" s="9" t="str">
        <x:f>IF(ISBLANK('Evaluation Plan'!S150),"",'Evaluation Plan'!S150)</x:f>
      </x:c>
    </x:row>
    <x:row r="151" ht="67.5" customHeight="1">
      <x:c r="A151" s="8" t="s">
        <x:v>19</x:v>
      </x:c>
      <x:c r="B151" s="8" t="n">
        <x:f>'Evaluation Plan'!B151</x:f>
        <x:v>149</x:v>
      </x:c>
      <x:c r="C151" s="9" t="str">
        <x:f>'Evaluation Plan'!C151</x:f>
        <x:v>Pick up the largest item and place it in the bowl.</x:v>
      </x:c>
      <x:c r="D151" s="9" t="str">
        <x:f>'Evaluation Plan'!D151</x:f>
        <x:v>Bowl: crushed Pepsi can. Table: juggling ball; red pencil sharpener; green block. row shifted 4 cm toward robot-right; every object fully visible. The requested extremal object is already in the bowl.</x:v>
      </x:c>
      <x:c r="E151" s="8" t="str">
        <x:f>IF(ISBLANK('Evaluation Plan'!E151),"",'Evaluation Plan'!E151)</x:f>
      </x:c>
      <x:c r="F151" s="8" t="str">
        <x:f>'Evaluation Plan'!F151</x:f>
        <x:v>1164</x:v>
      </x:c>
      <x:c r="G151" s="8" t="str">
        <x:f>'Evaluation Plan'!G151</x:f>
        <x:v>NO MOVEMENT — goal already satisfied</x:v>
      </x:c>
      <x:c r="H151" s="9"/>
      <x:c r="I151" s="8" t="str">
        <x:f>'Evaluation Plan'!I151</x:f>
        <x:v>Goal already satisfied / no movement</x:v>
      </x:c>
      <x:c r="J151" s="8" t="str">
        <x:f>'Evaluation Plan'!J151</x:f>
        <x:v>SZ-NOOP-4-5</x:v>
      </x:c>
      <x:c r="K151" s="8" t="str">
        <x:f>'Evaluation Plan'!K151</x:f>
        <x:v>largest</x:v>
      </x:c>
      <x:c r="L151" s="8" t="str">
        <x:f>'Evaluation Plan'!L151</x:f>
        <x:v>Trained largest × crushed Pepsi can; target already in bowl</x:v>
      </x:c>
      <x:c r="M151" s="8" t="str">
        <x:f>'Evaluation Plan'!M151</x:f>
        <x:v>crushed Pepsi can</x:v>
      </x:c>
      <x:c r="N151" s="8" t="str">
        <x:f>'Evaluation Plan'!N151</x:f>
        <x:v>In bowl</x:v>
      </x:c>
      <x:c r="O151" s="8" t="n">
        <x:f>'Evaluation Plan'!O151</x:f>
        <x:v>4</x:v>
      </x:c>
      <x:c r="P151" s="8" t="str">
        <x:f>IF(ISBLANK('Evaluation Plan'!P151),"",'Evaluation Plan'!P151)</x:f>
      </x:c>
      <x:c r="Q151" s="8" t="str">
        <x:f>'Evaluation Plan'!Q151</x:f>
        <x:v>Place the target in the bowl before starting; arrange the listed distractors on the table.</x:v>
      </x:c>
      <x:c r="R151" s="9" t="str">
        <x:f>'Evaluation Plan'!R151</x:f>
        <x:v>Normal training-supported size wording is retained, so no-movement behavior is not correlated with a special phrase. Success requires no object contact or displacement.</x:v>
      </x:c>
      <x:c r="S151" s="9" t="str">
        <x:f>IF(ISBLANK('Evaluation Plan'!S151),"",'Evaluation Plan'!S151)</x:f>
      </x:c>
    </x:row>
    <x:row r="152" ht="15.75" customHeight="1"/>
    <x:row r="153" ht="15.75" customHeight="1">
      <x:c r="B153" s="38" t="n">
        <x:f>COUNTIF(A:A,"Success")</x:f>
        <x:v>101</x:v>
      </x:c>
    </x:row>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sheetData>
  <x:conditionalFormatting sqref="A2:S151">
    <x:cfRule type="expression" dxfId="7" priority="1">
      <x:formula>$A2="Success"</x:formula>
    </x:cfRule>
  </x:conditionalFormatting>
  <x:conditionalFormatting sqref="A2:S151">
    <x:cfRule type="expression" dxfId="8" priority="2">
      <x:formula>$A2="Failure"</x:formula>
    </x:cfRule>
  </x:conditionalFormatting>
  <x:conditionalFormatting sqref="I2:I151">
    <x:cfRule type="containsText" dxfId="9" priority="3" operator="containsText" text="In-distribution">
      <x:formula>NOT(ISERROR(SEARCH(("In-distribution"),(I2))))</x:formula>
    </x:cfRule>
  </x:conditionalFormatting>
  <x:conditionalFormatting sqref="I2:I151">
    <x:cfRule type="containsText" dxfId="10" priority="4" operator="containsText" text="Concept/compositional">
      <x:formula>NOT(ISERROR(SEARCH(("Concept/compositional"),(I2))))</x:formula>
    </x:cfRule>
  </x:conditionalFormatting>
  <x:conditionalFormatting sqref="I2:I151">
    <x:cfRule type="containsText" dxfId="11" priority="5" operator="containsText" text="Matched manipulation">
      <x:formula>NOT(ISERROR(SEARCH(("Matched manipulation"),(I2))))</x:formula>
    </x:cfRule>
  </x:conditionalFormatting>
  <x:conditionalFormatting sqref="I2:I151">
    <x:cfRule type="containsText" dxfId="12" priority="6" operator="containsText" text="Language robustness">
      <x:formula>NOT(ISERROR(SEARCH(("Language robustness"),(I2))))</x:formula>
    </x:cfRule>
  </x:conditionalFormatting>
  <x:conditionalFormatting sqref="I2:I151">
    <x:cfRule type="containsText" dxfId="13" priority="7" operator="containsText" text="Cross-task">
      <x:formula>NOT(ISERROR(SEARCH(("Cross-task"),(I2))))</x:formula>
    </x:cfRule>
  </x:conditionalFormatting>
  <x:conditionalFormatting sqref="I2:I151">
    <x:cfRule type="containsText" dxfId="14" priority="8" operator="containsText" text="Goal already">
      <x:formula>NOT(ISERROR(SEARCH(("Goal already"),(I2))))</x:formula>
    </x:cfRule>
  </x:conditionalFormatting>
  <x:dataValidations count="1">
    <x:dataValidation type="list" allowBlank="1" sqref="A2:A151">
      <x:formula1>"Not collected,Success,Failure"</x:formula1>
    </x:dataValidation>
  </x:dataValidations>
  <x:pageMargins left="0.7" right="0.7" top="0.75" bottom="0.75" header="0.3" footer="0.3"/>
  <x:tableParts count="1">
    <x:tablePart xmlns:r="http://schemas.openxmlformats.org/officeDocument/2006/relationships" r:id="R7d38bc17a5be421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0" hidden="0" customWidth="1"/>
    <x:col min="2" max="2" width="10" hidden="0" customWidth="1"/>
    <x:col min="3" max="3" width="10" hidden="0" customWidth="1"/>
    <x:col min="4" max="4" width="10" hidden="0" customWidth="1"/>
    <x:col min="5" max="5" width="12" hidden="0" customWidth="1"/>
    <x:col min="6" max="6" width="23" hidden="0" customWidth="1"/>
    <x:col min="7" max="7" width="14" hidden="0" customWidth="1"/>
    <x:col min="8" max="8" width="14" hidden="0" customWidth="1"/>
    <x:col min="9" max="9" width="14" hidden="0" customWidth="1"/>
    <x:col min="10" max="10" width="11" hidden="0" customWidth="1"/>
    <x:col min="11" max="11" width="11" hidden="0" customWidth="1"/>
    <x:col min="12" max="12" width="3" hidden="0" customWidth="1"/>
    <x:col min="13" max="13" width="11" hidden="0" customWidth="1"/>
    <x:col min="14" max="14" width="11" hidden="0" customWidth="1"/>
    <x:col min="15" max="15" width="11" hidden="0" customWidth="1"/>
    <x:col min="16" max="16" width="11" hidden="0" customWidth="1"/>
  </x:cols>
  <x:sheetData>
    <x:row r="1" ht="34" customHeight="1">
      <x:c r="A1" s="132" t="str">
        <x:v>SIZE RECOGNITION — MODEL RESULTS</x:v>
      </x:c>
      <x:c r="B1" s="132"/>
      <x:c r="C1" s="132"/>
      <x:c r="D1" s="132"/>
      <x:c r="E1" s="132"/>
      <x:c r="F1" s="132"/>
      <x:c r="G1" s="132"/>
      <x:c r="H1" s="132"/>
      <x:c r="I1" s="132"/>
      <x:c r="J1" s="132"/>
      <x:c r="K1" s="132"/>
      <x:c r="L1" s="132"/>
      <x:c r="M1" s="132"/>
      <x:c r="N1" s="132"/>
      <x:c r="O1" s="132"/>
      <x:c r="P1" s="132"/>
    </x:row>
    <x:row r="2" ht="28" customHeight="1">
      <x:c r="A2" s="133" t="str">
        <x:v>Primary finding: CONCEPT/COMPOSITIONAL TRANSFER SUCCESS</x:v>
      </x:c>
      <x:c r="B2" s="133"/>
      <x:c r="C2" s="133"/>
      <x:c r="D2" s="133"/>
      <x:c r="E2" s="133"/>
      <x:c r="F2" s="133"/>
      <x:c r="G2" s="133"/>
      <x:c r="H2" s="133"/>
      <x:c r="I2" s="133"/>
      <x:c r="J2" s="133"/>
      <x:c r="K2" s="133"/>
      <x:c r="L2" s="133"/>
      <x:c r="M2" s="133"/>
      <x:c r="N2" s="133"/>
      <x:c r="O2" s="133"/>
      <x:c r="P2" s="133"/>
    </x:row>
    <x:row r="3">
      <x:c r="A3" s="105" t="str">
        <x:v>Success rates exclude Not collected trials. Do not pool diagnostic conditions into one overall reasoning score.</x:v>
      </x:c>
      <x:c r="B3" s="105"/>
      <x:c r="C3" s="105"/>
      <x:c r="D3" s="105"/>
      <x:c r="E3" s="105"/>
      <x:c r="F3" s="105"/>
      <x:c r="G3" s="105"/>
      <x:c r="H3" s="105"/>
      <x:c r="I3" s="105"/>
      <x:c r="J3" s="105"/>
      <x:c r="K3" s="105"/>
      <x:c r="L3" s="105"/>
      <x:c r="M3" s="106" t="str">
        <x:v>Wilson CI z</x:v>
      </x:c>
      <x:c r="N3" s="107" t="n">
        <x:v>1.96</x:v>
      </x:c>
      <x:c r="O3" s="106" t="str">
        <x:v>95% confidence</x:v>
      </x:c>
      <x:c r="P3" s="106"/>
    </x:row>
    <x:row r="4">
      <x:c r="A4" s="108"/>
      <x:c r="B4" s="108"/>
      <x:c r="C4" s="108"/>
      <x:c r="D4" s="108"/>
      <x:c r="E4" s="108"/>
      <x:c r="F4" s="108"/>
      <x:c r="G4" s="108"/>
      <x:c r="H4" s="108"/>
      <x:c r="I4" s="108"/>
      <x:c r="J4" s="108"/>
      <x:c r="K4" s="108"/>
      <x:c r="L4" s="108"/>
      <x:c r="M4" s="108"/>
      <x:c r="N4" s="108"/>
      <x:c r="O4" s="108"/>
      <x:c r="P4" s="108"/>
    </x:row>
    <x:row r="5">
      <x:c r="A5" s="134" t="str">
        <x:v>PRIMARY ENDPOINT — CONCEPT/COMPOSITIONAL TRANSFER</x:v>
      </x:c>
      <x:c r="B5" s="135"/>
      <x:c r="C5" s="135"/>
      <x:c r="D5" s="135"/>
      <x:c r="E5" s="135"/>
      <x:c r="F5" s="135"/>
      <x:c r="G5" s="135"/>
      <x:c r="H5" s="135"/>
      <x:c r="I5" s="136"/>
      <x:c r="J5" s="108"/>
      <x:c r="K5" s="108"/>
      <x:c r="L5" s="108"/>
      <x:c r="M5" s="108"/>
      <x:c r="N5" s="108"/>
      <x:c r="O5" s="108"/>
      <x:c r="P5" s="108"/>
    </x:row>
    <x:row r="6" ht="30" customHeight="1">
      <x:c r="A6" s="137" t="str">
        <x:v>Model</x:v>
      </x:c>
      <x:c r="B6" s="137" t="str">
        <x:v>Success</x:v>
      </x:c>
      <x:c r="C6" s="137" t="str">
        <x:v>Failure</x:v>
      </x:c>
      <x:c r="D6" s="137" t="str">
        <x:v>Scored</x:v>
      </x:c>
      <x:c r="E6" s="137" t="str">
        <x:v>Success rate</x:v>
      </x:c>
      <x:c r="F6" s="137" t="str">
        <x:v>Wilson 95% CI</x:v>
      </x:c>
      <x:c r="G6" s="137" t="str">
        <x:v>Primary completion</x:v>
      </x:c>
      <x:c r="H6" s="137" t="str">
        <x:v>All scored</x:v>
      </x:c>
      <x:c r="I6" s="137" t="str">
        <x:v>All completion</x:v>
      </x:c>
      <x:c r="J6" s="108"/>
      <x:c r="K6" s="108"/>
      <x:c r="L6" s="108"/>
      <x:c r="M6" s="108"/>
      <x:c r="N6" s="108"/>
      <x:c r="O6" s="108"/>
      <x:c r="P6" s="108"/>
    </x:row>
    <x:row r="7">
      <x:c r="A7" s="148" t="str">
        <x:v>Pi0.5</x:v>
      </x:c>
      <x:c r="B7" s="114" t="n">
        <x:f>COUNTIFS('pi0.5 Results'!$A$2:$A$151,"Success",'pi0.5 Results'!$I$2:$I$151,"Concept/compositional transfer")</x:f>
        <x:v>27</x:v>
      </x:c>
      <x:c r="C7" s="114" t="n">
        <x:f>COUNTIFS('pi0.5 Results'!$A$2:$A$151,"Failure",'pi0.5 Results'!$I$2:$I$151,"Concept/compositional transfer")</x:f>
        <x:v>23</x:v>
      </x:c>
      <x:c r="D7" s="114" t="n">
        <x:f>B7+C7</x:f>
        <x:v>50</x:v>
      </x:c>
      <x:c r="E7" s="149" t="n">
        <x:f>IF(D7=0,"",B7/D7)</x:f>
        <x:v>0.54</x:v>
      </x:c>
      <x:c r="F7" s="116" t="str">
        <x:f>IF(D7=0,"",TEXT(MAX(0,(E7+$N$3^2/(2*D7)-$N$3*SQRT((E7*(1-E7)+$N$3^2/(4*D7))/D7))/(1+$N$3^2/D7)),"0.0%")&amp;" – "&amp;TEXT(MIN(1,(E7+$N$3^2/(2*D7)+$N$3*SQRT((E7*(1-E7)+$N$3^2/(4*D7))/D7))/(1+$N$3^2/D7)),"0.0%"))</x:f>
        <x:v>40.4% – 67.0%</x:v>
      </x:c>
      <x:c r="G7" s="117" t="n">
        <x:f>D7/50</x:f>
        <x:v>1</x:v>
      </x:c>
      <x:c r="H7" s="114" t="n">
        <x:f>COUNTIF('pi0.5 Results'!$A$2:$A$151,"Success")+COUNTIF('pi0.5 Results'!$A$2:$A$151,"Failure")</x:f>
        <x:v>149</x:v>
      </x:c>
      <x:c r="I7" s="117" t="n">
        <x:f>H7/150</x:f>
        <x:v>0.9933333333333333</x:v>
      </x:c>
      <x:c r="J7" s="108"/>
      <x:c r="K7" s="108"/>
      <x:c r="L7" s="108"/>
      <x:c r="M7" s="108"/>
      <x:c r="N7" s="108"/>
      <x:c r="O7" s="108"/>
      <x:c r="P7" s="108"/>
    </x:row>
    <x:row r="8">
      <x:c r="A8" s="148" t="str">
        <x:v>VLA0</x:v>
      </x:c>
      <x:c r="B8" s="114" t="n">
        <x:f>COUNTIFS('VLA0 Results'!$A$2:$A$151,"Success",'VLA0 Results'!$I$2:$I$151,"Concept/compositional transfer")</x:f>
        <x:v>0</x:v>
      </x:c>
      <x:c r="C8" s="114" t="n">
        <x:f>COUNTIFS('VLA0 Results'!$A$2:$A$151,"Failure",'VLA0 Results'!$I$2:$I$151,"Concept/compositional transfer")</x:f>
        <x:v>0</x:v>
      </x:c>
      <x:c r="D8" s="114" t="n">
        <x:f>B8+C8</x:f>
        <x:v>0</x:v>
      </x:c>
      <x:c r="E8" s="149" t="str">
        <x:f>IF(D8=0,"",B8/D8)</x:f>
      </x:c>
      <x:c r="F8" s="116" t="str">
        <x:f>IF(D8=0,"",TEXT(MAX(0,(E8+$N$3^2/(2*D8)-$N$3*SQRT((E8*(1-E8)+$N$3^2/(4*D8))/D8))/(1+$N$3^2/D8)),"0.0%")&amp;" – "&amp;TEXT(MIN(1,(E8+$N$3^2/(2*D8)+$N$3*SQRT((E8*(1-E8)+$N$3^2/(4*D8))/D8))/(1+$N$3^2/D8)),"0.0%"))</x:f>
      </x:c>
      <x:c r="G8" s="117" t="n">
        <x:f>D8/50</x:f>
        <x:v>0</x:v>
      </x:c>
      <x:c r="H8" s="114" t="n">
        <x:f>COUNTIF('VLA0 Results'!$A$2:$A$151,"Success")+COUNTIF('VLA0 Results'!$A$2:$A$151,"Failure")</x:f>
        <x:v>0</x:v>
      </x:c>
      <x:c r="I8" s="117" t="n">
        <x:f>H8/150</x:f>
        <x:v>0</x:v>
      </x:c>
      <x:c r="J8" s="108"/>
      <x:c r="K8" s="108"/>
      <x:c r="L8" s="108"/>
      <x:c r="M8" s="108"/>
      <x:c r="N8" s="108"/>
      <x:c r="O8" s="108"/>
      <x:c r="P8" s="108"/>
    </x:row>
    <x:row r="9">
      <x:c r="A9" s="148" t="str">
        <x:v>MolmoAct2</x:v>
      </x:c>
      <x:c r="B9" s="114" t="n">
        <x:f>COUNTIFS('MolmoAct2 Results'!$A$2:$A$151,"Success",'MolmoAct2 Results'!$I$2:$I$151,"Concept/compositional transfer")</x:f>
        <x:v>32</x:v>
      </x:c>
      <x:c r="C9" s="114" t="n">
        <x:f>COUNTIFS('MolmoAct2 Results'!$A$2:$A$151,"Failure",'MolmoAct2 Results'!$I$2:$I$151,"Concept/compositional transfer")</x:f>
        <x:v>18</x:v>
      </x:c>
      <x:c r="D9" s="114" t="n">
        <x:f>B9+C9</x:f>
        <x:v>50</x:v>
      </x:c>
      <x:c r="E9" s="149" t="n">
        <x:f>IF(D9=0,"",B9/D9)</x:f>
        <x:v>0.64</x:v>
      </x:c>
      <x:c r="F9" s="116" t="str">
        <x:f>IF(D9=0,"",TEXT(MAX(0,(E9+$N$3^2/(2*D9)-$N$3*SQRT((E9*(1-E9)+$N$3^2/(4*D9))/D9))/(1+$N$3^2/D9)),"0.0%")&amp;" – "&amp;TEXT(MIN(1,(E9+$N$3^2/(2*D9)+$N$3*SQRT((E9*(1-E9)+$N$3^2/(4*D9))/D9))/(1+$N$3^2/D9)),"0.0%"))</x:f>
        <x:v>50.1% – 75.9%</x:v>
      </x:c>
      <x:c r="G9" s="117" t="n">
        <x:f>D9/50</x:f>
        <x:v>1</x:v>
      </x:c>
      <x:c r="H9" s="114" t="n">
        <x:f>COUNTIF('MolmoAct2 Results'!$A$2:$A$151,"Success")+COUNTIF('MolmoAct2 Results'!$A$2:$A$151,"Failure")</x:f>
        <x:v>130</x:v>
      </x:c>
      <x:c r="I9" s="117" t="n">
        <x:f>H9/150</x:f>
        <x:v>0.8666666666666667</x:v>
      </x:c>
      <x:c r="J9" s="108"/>
      <x:c r="K9" s="108"/>
      <x:c r="L9" s="108"/>
      <x:c r="M9" s="108"/>
      <x:c r="N9" s="108"/>
      <x:c r="O9" s="108"/>
      <x:c r="P9" s="108"/>
    </x:row>
    <x:row r="10">
      <x:c r="A10" s="108"/>
      <x:c r="B10" s="108"/>
      <x:c r="C10" s="108"/>
      <x:c r="D10" s="108"/>
      <x:c r="E10" s="108"/>
      <x:c r="F10" s="108"/>
      <x:c r="G10" s="108"/>
      <x:c r="H10" s="108"/>
      <x:c r="I10" s="108"/>
      <x:c r="J10" s="108"/>
      <x:c r="K10" s="108"/>
      <x:c r="L10" s="108"/>
      <x:c r="M10" s="108"/>
      <x:c r="N10" s="108"/>
      <x:c r="O10" s="108"/>
      <x:c r="P10" s="108"/>
    </x:row>
    <x:row r="11">
      <x:c r="A11" s="108"/>
      <x:c r="B11" s="108"/>
      <x:c r="C11" s="108"/>
      <x:c r="D11" s="108"/>
      <x:c r="E11" s="108"/>
      <x:c r="F11" s="108"/>
      <x:c r="G11" s="108"/>
      <x:c r="H11" s="108"/>
      <x:c r="I11" s="108"/>
      <x:c r="J11" s="108"/>
      <x:c r="K11" s="108"/>
      <x:c r="L11" s="108"/>
      <x:c r="M11" s="108"/>
      <x:c r="N11" s="108"/>
      <x:c r="O11" s="108"/>
      <x:c r="P11" s="108"/>
    </x:row>
    <x:row r="12">
      <x:c r="A12" s="108"/>
      <x:c r="B12" s="108"/>
      <x:c r="C12" s="108"/>
      <x:c r="D12" s="108"/>
      <x:c r="E12" s="108"/>
      <x:c r="F12" s="108"/>
      <x:c r="G12" s="108"/>
      <x:c r="H12" s="108"/>
      <x:c r="I12" s="108"/>
      <x:c r="J12" s="108"/>
      <x:c r="K12" s="108"/>
      <x:c r="L12" s="108"/>
      <x:c r="M12" s="108"/>
      <x:c r="N12" s="108"/>
      <x:c r="O12" s="108"/>
      <x:c r="P12" s="108"/>
    </x:row>
    <x:row r="13">
      <x:c r="A13" s="108"/>
      <x:c r="B13" s="108"/>
      <x:c r="C13" s="108"/>
      <x:c r="D13" s="108"/>
      <x:c r="E13" s="108"/>
      <x:c r="F13" s="108"/>
      <x:c r="G13" s="108"/>
      <x:c r="H13" s="108"/>
      <x:c r="I13" s="108"/>
      <x:c r="J13" s="108"/>
      <x:c r="K13" s="108"/>
      <x:c r="L13" s="108"/>
      <x:c r="M13" s="108"/>
      <x:c r="N13" s="108"/>
      <x:c r="O13" s="108"/>
      <x:c r="P13" s="108"/>
    </x:row>
    <x:row r="14" ht="22" customHeight="1">
      <x:c r="A14" s="138" t="str">
        <x:v>SUCCESS BY EVALUATION CONDITION</x:v>
      </x:c>
      <x:c r="B14" s="138"/>
      <x:c r="C14" s="138"/>
      <x:c r="D14" s="138"/>
      <x:c r="E14" s="138"/>
      <x:c r="F14" s="138"/>
      <x:c r="G14" s="138"/>
      <x:c r="H14" s="138"/>
      <x:c r="I14" s="138"/>
      <x:c r="J14" s="138"/>
      <x:c r="K14" s="138"/>
      <x:c r="L14" s="108"/>
      <x:c r="M14" s="108"/>
      <x:c r="N14" s="108"/>
      <x:c r="O14" s="108"/>
      <x:c r="P14" s="108"/>
    </x:row>
    <x:row r="15" ht="22" customHeight="1">
      <x:c r="A15" s="137" t="str">
        <x:v>Condition</x:v>
      </x:c>
      <x:c r="B15" s="137" t="str">
        <x:v>Planned</x:v>
      </x:c>
      <x:c r="C15" s="137" t="str">
        <x:v>Pi0.5</x:v>
      </x:c>
      <x:c r="D15" s="137"/>
      <x:c r="E15" s="137"/>
      <x:c r="F15" s="137" t="str">
        <x:v>VLA0</x:v>
      </x:c>
      <x:c r="G15" s="137"/>
      <x:c r="H15" s="137"/>
      <x:c r="I15" s="137" t="str">
        <x:v>MolmoAct2</x:v>
      </x:c>
      <x:c r="J15" s="137"/>
      <x:c r="K15" s="137"/>
      <x:c r="L15" s="108"/>
      <x:c r="M15" s="108"/>
      <x:c r="N15" s="108"/>
      <x:c r="O15" s="108"/>
      <x:c r="P15" s="108"/>
    </x:row>
    <x:row r="16" ht="22" customHeight="1">
      <x:c r="A16" s="137"/>
      <x:c r="B16" s="137"/>
      <x:c r="C16" s="137" t="str">
        <x:v>Success</x:v>
      </x:c>
      <x:c r="D16" s="137" t="str">
        <x:v>Scored</x:v>
      </x:c>
      <x:c r="E16" s="137" t="str">
        <x:v>Rate</x:v>
      </x:c>
      <x:c r="F16" s="137" t="str">
        <x:v>Success</x:v>
      </x:c>
      <x:c r="G16" s="137" t="str">
        <x:v>Scored</x:v>
      </x:c>
      <x:c r="H16" s="137" t="str">
        <x:v>Rate</x:v>
      </x:c>
      <x:c r="I16" s="137" t="str">
        <x:v>Success</x:v>
      </x:c>
      <x:c r="J16" s="137" t="str">
        <x:v>Scored</x:v>
      </x:c>
      <x:c r="K16" s="137" t="str">
        <x:v>Rate</x:v>
      </x:c>
      <x:c r="L16" s="108"/>
      <x:c r="M16" s="108"/>
      <x:c r="N16" s="108"/>
      <x:c r="O16" s="108"/>
      <x:c r="P16" s="108"/>
    </x:row>
    <x:row r="17" ht="22" customHeight="1">
      <x:c r="A17" s="119" t="str">
        <x:v>In-distribution concept baseline</x:v>
      </x:c>
      <x:c r="B17" s="120" t="n">
        <x:v>20</x:v>
      </x:c>
      <x:c r="C17" s="114" t="n">
        <x:f>COUNTIFS('pi0.5 Results'!$A$2:$A$151,"Success",'pi0.5 Results'!$I$2:$I$151,"In-distribution concept baseline")</x:f>
        <x:v>19</x:v>
      </x:c>
      <x:c r="D17" s="114" t="n">
        <x:f>COUNTIFS('pi0.5 Results'!$A$2:$A$151,"Success",'pi0.5 Results'!$I$2:$I$151,"In-distribution concept baseline")+COUNTIFS('pi0.5 Results'!$A$2:$A$151,"Failure",'pi0.5 Results'!$I$2:$I$151,"In-distribution concept baseline")</x:f>
        <x:v>20</x:v>
      </x:c>
      <x:c r="E17" s="121" t="n">
        <x:f>IF(D17=0,"",C17/D17)</x:f>
        <x:v>0.95</x:v>
      </x:c>
      <x:c r="F17" s="114" t="n">
        <x:f>COUNTIFS('VLA0 Results'!$A$2:$A$151,"Success",'VLA0 Results'!$I$2:$I$151,"In-distribution concept baseline")</x:f>
        <x:v>0</x:v>
      </x:c>
      <x:c r="G17" s="114" t="n">
        <x:f>COUNTIFS('VLA0 Results'!$A$2:$A$151,"Success",'VLA0 Results'!$I$2:$I$151,"In-distribution concept baseline")+COUNTIFS('VLA0 Results'!$A$2:$A$151,"Failure",'VLA0 Results'!$I$2:$I$151,"In-distribution concept baseline")</x:f>
        <x:v>0</x:v>
      </x:c>
      <x:c r="H17" s="121" t="str">
        <x:f>IF(G17=0,"",F17/G17)</x:f>
      </x:c>
      <x:c r="I17" s="114" t="n">
        <x:f>COUNTIFS('MolmoAct2 Results'!$A$2:$A$151,"Success",'MolmoAct2 Results'!$I$2:$I$151,"In-distribution concept baseline")</x:f>
        <x:v>16</x:v>
      </x:c>
      <x:c r="J17" s="114" t="n">
        <x:f>COUNTIFS('MolmoAct2 Results'!$A$2:$A$151,"Success",'MolmoAct2 Results'!$I$2:$I$151,"In-distribution concept baseline")+COUNTIFS('MolmoAct2 Results'!$A$2:$A$151,"Failure",'MolmoAct2 Results'!$I$2:$I$151,"In-distribution concept baseline")</x:f>
        <x:v>20</x:v>
      </x:c>
      <x:c r="K17" s="121" t="n">
        <x:f>IF(J17=0,"",I17/J17)</x:f>
        <x:v>0.8</x:v>
      </x:c>
      <x:c r="L17" s="108"/>
      <x:c r="M17" s="108"/>
      <x:c r="N17" s="108"/>
      <x:c r="O17" s="108"/>
      <x:c r="P17" s="108"/>
    </x:row>
    <x:row r="18" ht="22" customHeight="1">
      <x:c r="A18" s="140" t="str">
        <x:v>Concept/compositional transfer</x:v>
      </x:c>
      <x:c r="B18" s="141" t="n">
        <x:v>50</x:v>
      </x:c>
      <x:c r="C18" s="142" t="n">
        <x:f>COUNTIFS('pi0.5 Results'!$A$2:$A$151,"Success",'pi0.5 Results'!$I$2:$I$151,"Concept/compositional transfer")</x:f>
        <x:v>27</x:v>
      </x:c>
      <x:c r="D18" s="142" t="n">
        <x:f>COUNTIFS('pi0.5 Results'!$A$2:$A$151,"Success",'pi0.5 Results'!$I$2:$I$151,"Concept/compositional transfer")+COUNTIFS('pi0.5 Results'!$A$2:$A$151,"Failure",'pi0.5 Results'!$I$2:$I$151,"Concept/compositional transfer")</x:f>
        <x:v>50</x:v>
      </x:c>
      <x:c r="E18" s="143" t="n">
        <x:f>IF(D18=0,"",C18/D18)</x:f>
        <x:v>0.54</x:v>
      </x:c>
      <x:c r="F18" s="142" t="n">
        <x:f>COUNTIFS('VLA0 Results'!$A$2:$A$151,"Success",'VLA0 Results'!$I$2:$I$151,"Concept/compositional transfer")</x:f>
        <x:v>0</x:v>
      </x:c>
      <x:c r="G18" s="142" t="n">
        <x:f>COUNTIFS('VLA0 Results'!$A$2:$A$151,"Success",'VLA0 Results'!$I$2:$I$151,"Concept/compositional transfer")+COUNTIFS('VLA0 Results'!$A$2:$A$151,"Failure",'VLA0 Results'!$I$2:$I$151,"Concept/compositional transfer")</x:f>
        <x:v>0</x:v>
      </x:c>
      <x:c r="H18" s="143" t="str">
        <x:f>IF(G18=0,"",F18/G18)</x:f>
      </x:c>
      <x:c r="I18" s="142" t="n">
        <x:f>COUNTIFS('MolmoAct2 Results'!$A$2:$A$151,"Success",'MolmoAct2 Results'!$I$2:$I$151,"Concept/compositional transfer")</x:f>
        <x:v>32</x:v>
      </x:c>
      <x:c r="J18" s="142" t="n">
        <x:f>COUNTIFS('MolmoAct2 Results'!$A$2:$A$151,"Success",'MolmoAct2 Results'!$I$2:$I$151,"Concept/compositional transfer")+COUNTIFS('MolmoAct2 Results'!$A$2:$A$151,"Failure",'MolmoAct2 Results'!$I$2:$I$151,"Concept/compositional transfer")</x:f>
        <x:v>50</x:v>
      </x:c>
      <x:c r="K18" s="143" t="n">
        <x:f>IF(J18=0,"",I18/J18)</x:f>
        <x:v>0.64</x:v>
      </x:c>
      <x:c r="L18" s="108"/>
      <x:c r="M18" s="108"/>
      <x:c r="N18" s="108"/>
      <x:c r="O18" s="108"/>
      <x:c r="P18" s="108"/>
    </x:row>
    <x:row r="19" ht="22" customHeight="1">
      <x:c r="A19" s="119" t="str">
        <x:v>Matched manipulation control</x:v>
      </x:c>
      <x:c r="B19" s="120" t="n">
        <x:v>20</x:v>
      </x:c>
      <x:c r="C19" s="114" t="n">
        <x:f>COUNTIFS('pi0.5 Results'!$A$2:$A$151,"Success",'pi0.5 Results'!$I$2:$I$151,"Matched manipulation control")</x:f>
        <x:v>20</x:v>
      </x:c>
      <x:c r="D19" s="114" t="n">
        <x:f>COUNTIFS('pi0.5 Results'!$A$2:$A$151,"Success",'pi0.5 Results'!$I$2:$I$151,"Matched manipulation control")+COUNTIFS('pi0.5 Results'!$A$2:$A$151,"Failure",'pi0.5 Results'!$I$2:$I$151,"Matched manipulation control")</x:f>
        <x:v>20</x:v>
      </x:c>
      <x:c r="E19" s="121" t="n">
        <x:f>IF(D19=0,"",C19/D19)</x:f>
        <x:v>1</x:v>
      </x:c>
      <x:c r="F19" s="114" t="n">
        <x:f>COUNTIFS('VLA0 Results'!$A$2:$A$151,"Success",'VLA0 Results'!$I$2:$I$151,"Matched manipulation control")</x:f>
        <x:v>0</x:v>
      </x:c>
      <x:c r="G19" s="114" t="n">
        <x:f>COUNTIFS('VLA0 Results'!$A$2:$A$151,"Success",'VLA0 Results'!$I$2:$I$151,"Matched manipulation control")+COUNTIFS('VLA0 Results'!$A$2:$A$151,"Failure",'VLA0 Results'!$I$2:$I$151,"Matched manipulation control")</x:f>
        <x:v>0</x:v>
      </x:c>
      <x:c r="H19" s="121" t="str">
        <x:f>IF(G19=0,"",F19/G19)</x:f>
      </x:c>
      <x:c r="I19" s="114" t="n">
        <x:f>COUNTIFS('MolmoAct2 Results'!$A$2:$A$151,"Success",'MolmoAct2 Results'!$I$2:$I$151,"Matched manipulation control")</x:f>
        <x:v>20</x:v>
      </x:c>
      <x:c r="J19" s="114" t="n">
        <x:f>COUNTIFS('MolmoAct2 Results'!$A$2:$A$151,"Success",'MolmoAct2 Results'!$I$2:$I$151,"Matched manipulation control")+COUNTIFS('MolmoAct2 Results'!$A$2:$A$151,"Failure",'MolmoAct2 Results'!$I$2:$I$151,"Matched manipulation control")</x:f>
        <x:v>20</x:v>
      </x:c>
      <x:c r="K19" s="121" t="n">
        <x:f>IF(J19=0,"",I19/J19)</x:f>
        <x:v>1</x:v>
      </x:c>
      <x:c r="L19" s="108"/>
      <x:c r="M19" s="108"/>
      <x:c r="N19" s="108"/>
      <x:c r="O19" s="108"/>
      <x:c r="P19" s="108"/>
    </x:row>
    <x:row r="20" ht="22" customHeight="1">
      <x:c r="A20" s="119" t="str">
        <x:v>Language robustness</x:v>
      </x:c>
      <x:c r="B20" s="120" t="n">
        <x:v>20</x:v>
      </x:c>
      <x:c r="C20" s="114" t="n">
        <x:f>COUNTIFS('pi0.5 Results'!$A$2:$A$151,"Success",'pi0.5 Results'!$I$2:$I$151,"Language robustness")</x:f>
        <x:v>16</x:v>
      </x:c>
      <x:c r="D20" s="114" t="n">
        <x:f>COUNTIFS('pi0.5 Results'!$A$2:$A$151,"Success",'pi0.5 Results'!$I$2:$I$151,"Language robustness")+COUNTIFS('pi0.5 Results'!$A$2:$A$151,"Failure",'pi0.5 Results'!$I$2:$I$151,"Language robustness")</x:f>
        <x:v>20</x:v>
      </x:c>
      <x:c r="E20" s="121" t="n">
        <x:f>IF(D20=0,"",C20/D20)</x:f>
        <x:v>0.8</x:v>
      </x:c>
      <x:c r="F20" s="114" t="n">
        <x:f>COUNTIFS('VLA0 Results'!$A$2:$A$151,"Success",'VLA0 Results'!$I$2:$I$151,"Language robustness")</x:f>
        <x:v>0</x:v>
      </x:c>
      <x:c r="G20" s="114" t="n">
        <x:f>COUNTIFS('VLA0 Results'!$A$2:$A$151,"Success",'VLA0 Results'!$I$2:$I$151,"Language robustness")+COUNTIFS('VLA0 Results'!$A$2:$A$151,"Failure",'VLA0 Results'!$I$2:$I$151,"Language robustness")</x:f>
        <x:v>0</x:v>
      </x:c>
      <x:c r="H20" s="121" t="str">
        <x:f>IF(G20=0,"",F20/G20)</x:f>
      </x:c>
      <x:c r="I20" s="114" t="n">
        <x:f>COUNTIFS('MolmoAct2 Results'!$A$2:$A$151,"Success",'MolmoAct2 Results'!$I$2:$I$151,"Language robustness")</x:f>
        <x:v>18</x:v>
      </x:c>
      <x:c r="J20" s="114" t="n">
        <x:f>COUNTIFS('MolmoAct2 Results'!$A$2:$A$151,"Success",'MolmoAct2 Results'!$I$2:$I$151,"Language robustness")+COUNTIFS('MolmoAct2 Results'!$A$2:$A$151,"Failure",'MolmoAct2 Results'!$I$2:$I$151,"Language robustness")</x:f>
        <x:v>20</x:v>
      </x:c>
      <x:c r="K20" s="121" t="n">
        <x:f>IF(J20=0,"",I20/J20)</x:f>
        <x:v>0.9</x:v>
      </x:c>
      <x:c r="L20" s="108"/>
      <x:c r="M20" s="108"/>
      <x:c r="N20" s="108"/>
      <x:c r="O20" s="108"/>
      <x:c r="P20" s="108"/>
    </x:row>
    <x:row r="21" ht="22" customHeight="1">
      <x:c r="A21" s="119" t="str">
        <x:v>Cross-task airplane reasoning</x:v>
      </x:c>
      <x:c r="B21" s="120" t="n">
        <x:v>10</x:v>
      </x:c>
      <x:c r="C21" s="114" t="n">
        <x:f>COUNTIFS('pi0.5 Results'!$A$2:$A$151,"Success",'pi0.5 Results'!$I$2:$I$151,"Cross-task airplane reasoning")</x:f>
        <x:v>8</x:v>
      </x:c>
      <x:c r="D21" s="114" t="n">
        <x:f>COUNTIFS('pi0.5 Results'!$A$2:$A$151,"Success",'pi0.5 Results'!$I$2:$I$151,"Cross-task airplane reasoning")+COUNTIFS('pi0.5 Results'!$A$2:$A$151,"Failure",'pi0.5 Results'!$I$2:$I$151,"Cross-task airplane reasoning")</x:f>
        <x:v>10</x:v>
      </x:c>
      <x:c r="E21" s="121" t="n">
        <x:f>IF(D21=0,"",C21/D21)</x:f>
        <x:v>0.8</x:v>
      </x:c>
      <x:c r="F21" s="114" t="n">
        <x:f>COUNTIFS('VLA0 Results'!$A$2:$A$151,"Success",'VLA0 Results'!$I$2:$I$151,"Cross-task airplane reasoning")</x:f>
        <x:v>0</x:v>
      </x:c>
      <x:c r="G21" s="114" t="n">
        <x:f>COUNTIFS('VLA0 Results'!$A$2:$A$151,"Success",'VLA0 Results'!$I$2:$I$151,"Cross-task airplane reasoning")+COUNTIFS('VLA0 Results'!$A$2:$A$151,"Failure",'VLA0 Results'!$I$2:$I$151,"Cross-task airplane reasoning")</x:f>
        <x:v>0</x:v>
      </x:c>
      <x:c r="H21" s="121" t="str">
        <x:f>IF(G21=0,"",F21/G21)</x:f>
      </x:c>
      <x:c r="I21" s="114" t="n">
        <x:f>COUNTIFS('MolmoAct2 Results'!$A$2:$A$151,"Success",'MolmoAct2 Results'!$I$2:$I$151,"Cross-task airplane reasoning")</x:f>
        <x:v>9</x:v>
      </x:c>
      <x:c r="J21" s="114" t="n">
        <x:f>COUNTIFS('MolmoAct2 Results'!$A$2:$A$151,"Success",'MolmoAct2 Results'!$I$2:$I$151,"Cross-task airplane reasoning")+COUNTIFS('MolmoAct2 Results'!$A$2:$A$151,"Failure",'MolmoAct2 Results'!$I$2:$I$151,"Cross-task airplane reasoning")</x:f>
        <x:v>10</x:v>
      </x:c>
      <x:c r="K21" s="121" t="n">
        <x:f>IF(J21=0,"",I21/J21)</x:f>
        <x:v>0.9</x:v>
      </x:c>
      <x:c r="L21" s="108"/>
      <x:c r="M21" s="108"/>
      <x:c r="N21" s="108"/>
      <x:c r="O21" s="108"/>
      <x:c r="P21" s="108"/>
    </x:row>
    <x:row r="22" ht="22" customHeight="1">
      <x:c r="A22" s="119" t="str">
        <x:v>Cross-task airplane counterfactual</x:v>
      </x:c>
      <x:c r="B22" s="120" t="n">
        <x:v>10</x:v>
      </x:c>
      <x:c r="C22" s="114" t="n">
        <x:f>COUNTIFS('pi0.5 Results'!$A$2:$A$151,"Success",'pi0.5 Results'!$I$2:$I$151,"Cross-task airplane counterfactual")</x:f>
        <x:v>9</x:v>
      </x:c>
      <x:c r="D22" s="114" t="n">
        <x:f>COUNTIFS('pi0.5 Results'!$A$2:$A$151,"Success",'pi0.5 Results'!$I$2:$I$151,"Cross-task airplane counterfactual")+COUNTIFS('pi0.5 Results'!$A$2:$A$151,"Failure",'pi0.5 Results'!$I$2:$I$151,"Cross-task airplane counterfactual")</x:f>
        <x:v>10</x:v>
      </x:c>
      <x:c r="E22" s="121" t="n">
        <x:f>IF(D22=0,"",C22/D22)</x:f>
        <x:v>0.9</x:v>
      </x:c>
      <x:c r="F22" s="114" t="n">
        <x:f>COUNTIFS('VLA0 Results'!$A$2:$A$151,"Success",'VLA0 Results'!$I$2:$I$151,"Cross-task airplane counterfactual")</x:f>
        <x:v>0</x:v>
      </x:c>
      <x:c r="G22" s="114" t="n">
        <x:f>COUNTIFS('VLA0 Results'!$A$2:$A$151,"Success",'VLA0 Results'!$I$2:$I$151,"Cross-task airplane counterfactual")+COUNTIFS('VLA0 Results'!$A$2:$A$151,"Failure",'VLA0 Results'!$I$2:$I$151,"Cross-task airplane counterfactual")</x:f>
        <x:v>0</x:v>
      </x:c>
      <x:c r="H22" s="121" t="str">
        <x:f>IF(G22=0,"",F22/G22)</x:f>
      </x:c>
      <x:c r="I22" s="114" t="n">
        <x:f>COUNTIFS('MolmoAct2 Results'!$A$2:$A$151,"Success",'MolmoAct2 Results'!$I$2:$I$151,"Cross-task airplane counterfactual")</x:f>
        <x:v>6</x:v>
      </x:c>
      <x:c r="J22" s="114" t="n">
        <x:f>COUNTIFS('MolmoAct2 Results'!$A$2:$A$151,"Success",'MolmoAct2 Results'!$I$2:$I$151,"Cross-task airplane counterfactual")+COUNTIFS('MolmoAct2 Results'!$A$2:$A$151,"Failure",'MolmoAct2 Results'!$I$2:$I$151,"Cross-task airplane counterfactual")</x:f>
        <x:v>10</x:v>
      </x:c>
      <x:c r="K22" s="121" t="n">
        <x:f>IF(J22=0,"",I22/J22)</x:f>
        <x:v>0.6</x:v>
      </x:c>
      <x:c r="L22" s="108"/>
      <x:c r="M22" s="108"/>
      <x:c r="N22" s="108"/>
      <x:c r="O22" s="108"/>
      <x:c r="P22" s="108"/>
    </x:row>
    <x:row r="23" ht="22" customHeight="1">
      <x:c r="A23" s="119" t="str">
        <x:v>Goal already satisfied / no movement</x:v>
      </x:c>
      <x:c r="B23" s="120" t="n">
        <x:v>20</x:v>
      </x:c>
      <x:c r="C23" s="114" t="n">
        <x:f>COUNTIFS('pi0.5 Results'!$A$2:$A$151,"Success",'pi0.5 Results'!$I$2:$I$151,"Goal already satisfied / no movement")</x:f>
        <x:v>19</x:v>
      </x:c>
      <x:c r="D23" s="114" t="n">
        <x:f>COUNTIFS('pi0.5 Results'!$A$2:$A$151,"Success",'pi0.5 Results'!$I$2:$I$151,"Goal already satisfied / no movement")+COUNTIFS('pi0.5 Results'!$A$2:$A$151,"Failure",'pi0.5 Results'!$I$2:$I$151,"Goal already satisfied / no movement")</x:f>
        <x:v>19</x:v>
      </x:c>
      <x:c r="E23" s="121" t="n">
        <x:f>IF(D23=0,"",C23/D23)</x:f>
        <x:v>1</x:v>
      </x:c>
      <x:c r="F23" s="114" t="n">
        <x:f>COUNTIFS('VLA0 Results'!$A$2:$A$151,"Success",'VLA0 Results'!$I$2:$I$151,"Goal already satisfied / no movement")</x:f>
        <x:v>0</x:v>
      </x:c>
      <x:c r="G23" s="114" t="n">
        <x:f>COUNTIFS('VLA0 Results'!$A$2:$A$151,"Success",'VLA0 Results'!$I$2:$I$151,"Goal already satisfied / no movement")+COUNTIFS('VLA0 Results'!$A$2:$A$151,"Failure",'VLA0 Results'!$I$2:$I$151,"Goal already satisfied / no movement")</x:f>
        <x:v>0</x:v>
      </x:c>
      <x:c r="H23" s="121" t="str">
        <x:f>IF(G23=0,"",F23/G23)</x:f>
      </x:c>
      <x:c r="I23" s="114" t="n">
        <x:f>COUNTIFS('MolmoAct2 Results'!$A$2:$A$151,"Success",'MolmoAct2 Results'!$I$2:$I$151,"Goal already satisfied / no movement")</x:f>
        <x:v>0</x:v>
      </x:c>
      <x:c r="J23" s="114" t="n">
        <x:f>COUNTIFS('MolmoAct2 Results'!$A$2:$A$151,"Success",'MolmoAct2 Results'!$I$2:$I$151,"Goal already satisfied / no movement")+COUNTIFS('MolmoAct2 Results'!$A$2:$A$151,"Failure",'MolmoAct2 Results'!$I$2:$I$151,"Goal already satisfied / no movement")</x:f>
        <x:v>0</x:v>
      </x:c>
      <x:c r="K23" s="121" t="str">
        <x:f>IF(J23=0,"",I23/J23)</x:f>
      </x:c>
      <x:c r="L23" s="108"/>
      <x:c r="M23" s="108"/>
      <x:c r="N23" s="108"/>
      <x:c r="O23" s="108"/>
      <x:c r="P23" s="108"/>
    </x:row>
    <x:row r="24" ht="22" customHeight="1">
      <x:c r="A24" s="108"/>
      <x:c r="B24" s="108"/>
      <x:c r="C24" s="108"/>
      <x:c r="D24" s="108"/>
      <x:c r="E24" s="108"/>
      <x:c r="F24" s="108"/>
      <x:c r="G24" s="108"/>
      <x:c r="H24" s="108"/>
      <x:c r="I24" s="108"/>
      <x:c r="J24" s="108"/>
      <x:c r="K24" s="108"/>
      <x:c r="L24" s="108"/>
      <x:c r="M24" s="108"/>
      <x:c r="N24" s="108"/>
      <x:c r="O24" s="108"/>
      <x:c r="P24" s="108"/>
    </x:row>
    <x:row r="25" ht="22" customHeight="1">
      <x:c r="A25" s="108"/>
      <x:c r="B25" s="108"/>
      <x:c r="C25" s="108"/>
      <x:c r="D25" s="108"/>
      <x:c r="E25" s="108"/>
      <x:c r="F25" s="108"/>
      <x:c r="G25" s="108"/>
      <x:c r="H25" s="108"/>
      <x:c r="I25" s="108"/>
      <x:c r="J25" s="108"/>
      <x:c r="K25" s="108"/>
      <x:c r="L25" s="108"/>
      <x:c r="M25" s="108"/>
      <x:c r="N25" s="108"/>
      <x:c r="O25" s="108"/>
      <x:c r="P25" s="108"/>
    </x:row>
    <x:row r="26" ht="22" customHeight="1">
      <x:c r="A26" s="138" t="str">
        <x:v>DIAGNOSTIC BREAKDOWN</x:v>
      </x:c>
      <x:c r="B26" s="138"/>
      <x:c r="C26" s="138"/>
      <x:c r="D26" s="138"/>
      <x:c r="E26" s="138"/>
      <x:c r="F26" s="138"/>
      <x:c r="G26" s="138"/>
      <x:c r="H26" s="138"/>
      <x:c r="I26" s="138"/>
      <x:c r="J26" s="138"/>
      <x:c r="K26" s="138"/>
      <x:c r="L26" s="108"/>
      <x:c r="M26" s="108"/>
      <x:c r="N26" s="108"/>
      <x:c r="O26" s="108"/>
      <x:c r="P26" s="108"/>
    </x:row>
    <x:row r="27" ht="22" customHeight="1">
      <x:c r="A27" s="137" t="str">
        <x:v>Condition</x:v>
      </x:c>
      <x:c r="B27" s="137" t="str">
        <x:v>Planned</x:v>
      </x:c>
      <x:c r="C27" s="137" t="str">
        <x:v>Pi0.5</x:v>
      </x:c>
      <x:c r="D27" s="137"/>
      <x:c r="E27" s="137"/>
      <x:c r="F27" s="137" t="str">
        <x:v>VLA0</x:v>
      </x:c>
      <x:c r="G27" s="137"/>
      <x:c r="H27" s="137"/>
      <x:c r="I27" s="137" t="str">
        <x:v>MolmoAct2</x:v>
      </x:c>
      <x:c r="J27" s="137"/>
      <x:c r="K27" s="137"/>
      <x:c r="L27" s="108"/>
      <x:c r="M27" s="108"/>
      <x:c r="N27" s="108"/>
      <x:c r="O27" s="108"/>
      <x:c r="P27" s="108"/>
    </x:row>
    <x:row r="28" ht="22" customHeight="1">
      <x:c r="A28" s="137"/>
      <x:c r="B28" s="137"/>
      <x:c r="C28" s="137" t="str">
        <x:v>Success</x:v>
      </x:c>
      <x:c r="D28" s="137" t="str">
        <x:v>Scored</x:v>
      </x:c>
      <x:c r="E28" s="137" t="str">
        <x:v>Rate</x:v>
      </x:c>
      <x:c r="F28" s="137" t="str">
        <x:v>Success</x:v>
      </x:c>
      <x:c r="G28" s="137" t="str">
        <x:v>Scored</x:v>
      </x:c>
      <x:c r="H28" s="137" t="str">
        <x:v>Rate</x:v>
      </x:c>
      <x:c r="I28" s="137" t="str">
        <x:v>Success</x:v>
      </x:c>
      <x:c r="J28" s="137" t="str">
        <x:v>Scored</x:v>
      </x:c>
      <x:c r="K28" s="137" t="str">
        <x:v>Rate</x:v>
      </x:c>
      <x:c r="L28" s="108"/>
      <x:c r="M28" s="108"/>
      <x:c r="N28" s="108"/>
      <x:c r="O28" s="108"/>
      <x:c r="P28" s="108"/>
    </x:row>
    <x:row r="29" ht="22" customHeight="1">
      <x:c r="A29" s="119" t="str">
        <x:v>In-distribution — smallest</x:v>
      </x:c>
      <x:c r="B29" s="120" t="n">
        <x:v>10</x:v>
      </x:c>
      <x:c r="C29" s="114" t="n">
        <x:f>COUNTIFS('pi0.5 Results'!$A$2:$A$151,"Success",'pi0.5 Results'!$I$2:$I$151,"In-distribution concept baseline",'pi0.5 Results'!$K$2:$K$151,"smallest")</x:f>
        <x:v>10</x:v>
      </x:c>
      <x:c r="D29" s="114" t="n">
        <x:f>COUNTIFS('pi0.5 Results'!$A$2:$A$151,"Success",'pi0.5 Results'!$I$2:$I$151,"In-distribution concept baseline",'pi0.5 Results'!$K$2:$K$151,"smallest")+COUNTIFS('pi0.5 Results'!$A$2:$A$151,"Failure",'pi0.5 Results'!$I$2:$I$151,"In-distribution concept baseline",'pi0.5 Results'!$K$2:$K$151,"smallest")</x:f>
        <x:v>10</x:v>
      </x:c>
      <x:c r="E29" s="121" t="n">
        <x:f>IF(D29=0,"",C29/D29)</x:f>
        <x:v>1</x:v>
      </x:c>
      <x:c r="F29" s="114" t="n">
        <x:f>COUNTIFS('VLA0 Results'!$A$2:$A$151,"Success",'VLA0 Results'!$I$2:$I$151,"In-distribution concept baseline",'VLA0 Results'!$K$2:$K$151,"smallest")</x:f>
        <x:v>0</x:v>
      </x:c>
      <x:c r="G29" s="114" t="n">
        <x:f>COUNTIFS('VLA0 Results'!$A$2:$A$151,"Success",'VLA0 Results'!$I$2:$I$151,"In-distribution concept baseline",'VLA0 Results'!$K$2:$K$151,"smallest")+COUNTIFS('VLA0 Results'!$A$2:$A$151,"Failure",'VLA0 Results'!$I$2:$I$151,"In-distribution concept baseline",'VLA0 Results'!$K$2:$K$151,"smallest")</x:f>
        <x:v>0</x:v>
      </x:c>
      <x:c r="H29" s="121" t="str">
        <x:f>IF(G29=0,"",F29/G29)</x:f>
      </x:c>
      <x:c r="I29" s="114" t="n">
        <x:f>COUNTIFS('MolmoAct2 Results'!$A$2:$A$151,"Success",'MolmoAct2 Results'!$I$2:$I$151,"In-distribution concept baseline",'MolmoAct2 Results'!$K$2:$K$151,"smallest")</x:f>
        <x:v>8</x:v>
      </x:c>
      <x:c r="J29" s="114" t="n">
        <x:f>COUNTIFS('MolmoAct2 Results'!$A$2:$A$151,"Success",'MolmoAct2 Results'!$I$2:$I$151,"In-distribution concept baseline",'MolmoAct2 Results'!$K$2:$K$151,"smallest")+COUNTIFS('MolmoAct2 Results'!$A$2:$A$151,"Failure",'MolmoAct2 Results'!$I$2:$I$151,"In-distribution concept baseline",'MolmoAct2 Results'!$K$2:$K$151,"smallest")</x:f>
        <x:v>10</x:v>
      </x:c>
      <x:c r="K29" s="121" t="n">
        <x:f>IF(J29=0,"",I29/J29)</x:f>
        <x:v>0.8</x:v>
      </x:c>
      <x:c r="L29" s="108"/>
      <x:c r="M29" s="108"/>
      <x:c r="N29" s="108"/>
      <x:c r="O29" s="108"/>
      <x:c r="P29" s="108"/>
    </x:row>
    <x:row r="30" ht="22" customHeight="1">
      <x:c r="A30" s="119" t="str">
        <x:v>In-distribution — largest</x:v>
      </x:c>
      <x:c r="B30" s="120" t="n">
        <x:v>10</x:v>
      </x:c>
      <x:c r="C30" s="114" t="n">
        <x:f>COUNTIFS('pi0.5 Results'!$A$2:$A$151,"Success",'pi0.5 Results'!$I$2:$I$151,"In-distribution concept baseline",'pi0.5 Results'!$K$2:$K$151,"largest")</x:f>
        <x:v>9</x:v>
      </x:c>
      <x:c r="D30" s="114" t="n">
        <x:f>COUNTIFS('pi0.5 Results'!$A$2:$A$151,"Success",'pi0.5 Results'!$I$2:$I$151,"In-distribution concept baseline",'pi0.5 Results'!$K$2:$K$151,"largest")+COUNTIFS('pi0.5 Results'!$A$2:$A$151,"Failure",'pi0.5 Results'!$I$2:$I$151,"In-distribution concept baseline",'pi0.5 Results'!$K$2:$K$151,"largest")</x:f>
        <x:v>10</x:v>
      </x:c>
      <x:c r="E30" s="121" t="n">
        <x:f>IF(D30=0,"",C30/D30)</x:f>
        <x:v>0.9</x:v>
      </x:c>
      <x:c r="F30" s="114" t="n">
        <x:f>COUNTIFS('VLA0 Results'!$A$2:$A$151,"Success",'VLA0 Results'!$I$2:$I$151,"In-distribution concept baseline",'VLA0 Results'!$K$2:$K$151,"largest")</x:f>
        <x:v>0</x:v>
      </x:c>
      <x:c r="G30" s="114" t="n">
        <x:f>COUNTIFS('VLA0 Results'!$A$2:$A$151,"Success",'VLA0 Results'!$I$2:$I$151,"In-distribution concept baseline",'VLA0 Results'!$K$2:$K$151,"largest")+COUNTIFS('VLA0 Results'!$A$2:$A$151,"Failure",'VLA0 Results'!$I$2:$I$151,"In-distribution concept baseline",'VLA0 Results'!$K$2:$K$151,"largest")</x:f>
        <x:v>0</x:v>
      </x:c>
      <x:c r="H30" s="121" t="str">
        <x:f>IF(G30=0,"",F30/G30)</x:f>
      </x:c>
      <x:c r="I30" s="114" t="n">
        <x:f>COUNTIFS('MolmoAct2 Results'!$A$2:$A$151,"Success",'MolmoAct2 Results'!$I$2:$I$151,"In-distribution concept baseline",'MolmoAct2 Results'!$K$2:$K$151,"largest")</x:f>
        <x:v>8</x:v>
      </x:c>
      <x:c r="J30" s="114" t="n">
        <x:f>COUNTIFS('MolmoAct2 Results'!$A$2:$A$151,"Success",'MolmoAct2 Results'!$I$2:$I$151,"In-distribution concept baseline",'MolmoAct2 Results'!$K$2:$K$151,"largest")+COUNTIFS('MolmoAct2 Results'!$A$2:$A$151,"Failure",'MolmoAct2 Results'!$I$2:$I$151,"In-distribution concept baseline",'MolmoAct2 Results'!$K$2:$K$151,"largest")</x:f>
        <x:v>10</x:v>
      </x:c>
      <x:c r="K30" s="121" t="n">
        <x:f>IF(J30=0,"",I30/J30)</x:f>
        <x:v>0.8</x:v>
      </x:c>
      <x:c r="L30" s="108"/>
      <x:c r="M30" s="108"/>
      <x:c r="N30" s="108"/>
      <x:c r="O30" s="108"/>
      <x:c r="P30" s="108"/>
    </x:row>
    <x:row r="31" ht="22" customHeight="1">
      <x:c r="A31" s="144" t="str">
        <x:v>Primary transfer — largest green block</x:v>
      </x:c>
      <x:c r="B31" s="145" t="n">
        <x:v>25</x:v>
      </x:c>
      <x:c r="C31" s="146" t="n">
        <x:f>COUNTIFS('pi0.5 Results'!$A$2:$A$151,"Success",'pi0.5 Results'!$I$2:$I$151,"Concept/compositional transfer",'pi0.5 Results'!$K$2:$K$151,"largest")</x:f>
        <x:v>14</x:v>
      </x:c>
      <x:c r="D31" s="146" t="n">
        <x:f>COUNTIFS('pi0.5 Results'!$A$2:$A$151,"Success",'pi0.5 Results'!$I$2:$I$151,"Concept/compositional transfer",'pi0.5 Results'!$K$2:$K$151,"largest")+COUNTIFS('pi0.5 Results'!$A$2:$A$151,"Failure",'pi0.5 Results'!$I$2:$I$151,"Concept/compositional transfer",'pi0.5 Results'!$K$2:$K$151,"largest")</x:f>
        <x:v>25</x:v>
      </x:c>
      <x:c r="E31" s="147" t="n">
        <x:f>IF(D31=0,"",C31/D31)</x:f>
        <x:v>0.56</x:v>
      </x:c>
      <x:c r="F31" s="146" t="n">
        <x:f>COUNTIFS('VLA0 Results'!$A$2:$A$151,"Success",'VLA0 Results'!$I$2:$I$151,"Concept/compositional transfer",'VLA0 Results'!$K$2:$K$151,"largest")</x:f>
        <x:v>0</x:v>
      </x:c>
      <x:c r="G31" s="146" t="n">
        <x:f>COUNTIFS('VLA0 Results'!$A$2:$A$151,"Success",'VLA0 Results'!$I$2:$I$151,"Concept/compositional transfer",'VLA0 Results'!$K$2:$K$151,"largest")+COUNTIFS('VLA0 Results'!$A$2:$A$151,"Failure",'VLA0 Results'!$I$2:$I$151,"Concept/compositional transfer",'VLA0 Results'!$K$2:$K$151,"largest")</x:f>
        <x:v>0</x:v>
      </x:c>
      <x:c r="H31" s="147" t="str">
        <x:f>IF(G31=0,"",F31/G31)</x:f>
      </x:c>
      <x:c r="I31" s="146" t="n">
        <x:f>COUNTIFS('MolmoAct2 Results'!$A$2:$A$151,"Success",'MolmoAct2 Results'!$I$2:$I$151,"Concept/compositional transfer",'MolmoAct2 Results'!$K$2:$K$151,"largest")</x:f>
        <x:v>10</x:v>
      </x:c>
      <x:c r="J31" s="146" t="n">
        <x:f>COUNTIFS('MolmoAct2 Results'!$A$2:$A$151,"Success",'MolmoAct2 Results'!$I$2:$I$151,"Concept/compositional transfer",'MolmoAct2 Results'!$K$2:$K$151,"largest")+COUNTIFS('MolmoAct2 Results'!$A$2:$A$151,"Failure",'MolmoAct2 Results'!$I$2:$I$151,"Concept/compositional transfer",'MolmoAct2 Results'!$K$2:$K$151,"largest")</x:f>
        <x:v>25</x:v>
      </x:c>
      <x:c r="K31" s="147" t="n">
        <x:f>IF(J31=0,"",I31/J31)</x:f>
        <x:v>0.4</x:v>
      </x:c>
      <x:c r="L31" s="108"/>
      <x:c r="M31" s="108"/>
      <x:c r="N31" s="108"/>
      <x:c r="O31" s="108"/>
      <x:c r="P31" s="108"/>
    </x:row>
    <x:row r="32" ht="22" customHeight="1">
      <x:c r="A32" s="144" t="str">
        <x:v>Primary transfer — smallest juggling ball</x:v>
      </x:c>
      <x:c r="B32" s="145" t="n">
        <x:v>25</x:v>
      </x:c>
      <x:c r="C32" s="146" t="n">
        <x:f>COUNTIFS('pi0.5 Results'!$A$2:$A$151,"Success",'pi0.5 Results'!$I$2:$I$151,"Concept/compositional transfer",'pi0.5 Results'!$K$2:$K$151,"smallest")</x:f>
        <x:v>13</x:v>
      </x:c>
      <x:c r="D32" s="146" t="n">
        <x:f>COUNTIFS('pi0.5 Results'!$A$2:$A$151,"Success",'pi0.5 Results'!$I$2:$I$151,"Concept/compositional transfer",'pi0.5 Results'!$K$2:$K$151,"smallest")+COUNTIFS('pi0.5 Results'!$A$2:$A$151,"Failure",'pi0.5 Results'!$I$2:$I$151,"Concept/compositional transfer",'pi0.5 Results'!$K$2:$K$151,"smallest")</x:f>
        <x:v>25</x:v>
      </x:c>
      <x:c r="E32" s="147" t="n">
        <x:f>IF(D32=0,"",C32/D32)</x:f>
        <x:v>0.52</x:v>
      </x:c>
      <x:c r="F32" s="146" t="n">
        <x:f>COUNTIFS('VLA0 Results'!$A$2:$A$151,"Success",'VLA0 Results'!$I$2:$I$151,"Concept/compositional transfer",'VLA0 Results'!$K$2:$K$151,"smallest")</x:f>
        <x:v>0</x:v>
      </x:c>
      <x:c r="G32" s="146" t="n">
        <x:f>COUNTIFS('VLA0 Results'!$A$2:$A$151,"Success",'VLA0 Results'!$I$2:$I$151,"Concept/compositional transfer",'VLA0 Results'!$K$2:$K$151,"smallest")+COUNTIFS('VLA0 Results'!$A$2:$A$151,"Failure",'VLA0 Results'!$I$2:$I$151,"Concept/compositional transfer",'VLA0 Results'!$K$2:$K$151,"smallest")</x:f>
        <x:v>0</x:v>
      </x:c>
      <x:c r="H32" s="147" t="str">
        <x:f>IF(G32=0,"",F32/G32)</x:f>
      </x:c>
      <x:c r="I32" s="146" t="n">
        <x:f>COUNTIFS('MolmoAct2 Results'!$A$2:$A$151,"Success",'MolmoAct2 Results'!$I$2:$I$151,"Concept/compositional transfer",'MolmoAct2 Results'!$K$2:$K$151,"smallest")</x:f>
        <x:v>22</x:v>
      </x:c>
      <x:c r="J32" s="146" t="n">
        <x:f>COUNTIFS('MolmoAct2 Results'!$A$2:$A$151,"Success",'MolmoAct2 Results'!$I$2:$I$151,"Concept/compositional transfer",'MolmoAct2 Results'!$K$2:$K$151,"smallest")+COUNTIFS('MolmoAct2 Results'!$A$2:$A$151,"Failure",'MolmoAct2 Results'!$I$2:$I$151,"Concept/compositional transfer",'MolmoAct2 Results'!$K$2:$K$151,"smallest")</x:f>
        <x:v>25</x:v>
      </x:c>
      <x:c r="K32" s="147" t="n">
        <x:f>IF(J32=0,"",I32/J32)</x:f>
        <x:v>0.88</x:v>
      </x:c>
      <x:c r="L32" s="108"/>
      <x:c r="M32" s="108"/>
      <x:c r="N32" s="108"/>
      <x:c r="O32" s="108"/>
      <x:c r="P32" s="108"/>
    </x:row>
    <x:row r="33" ht="22" customHeight="1">
      <x:c r="A33" s="119" t="str">
        <x:v>Language — transfer paraphrases</x:v>
      </x:c>
      <x:c r="B33" s="120" t="n">
        <x:v>10</x:v>
      </x:c>
      <x:c r="C33" s="114" t="n">
        <x:f>COUNTIFS('pi0.5 Results'!$A$2:$A$151,"Success",'pi0.5 Results'!$I$2:$I$151,"Language robustness",'pi0.5 Results'!$K$2:$K$151,"&lt;&gt;Direct")</x:f>
        <x:v>6</x:v>
      </x:c>
      <x:c r="D33" s="114" t="n">
        <x:f>COUNTIFS('pi0.5 Results'!$A$2:$A$151,"Success",'pi0.5 Results'!$I$2:$I$151,"Language robustness",'pi0.5 Results'!$K$2:$K$151,"&lt;&gt;Direct")+COUNTIFS('pi0.5 Results'!$A$2:$A$151,"Failure",'pi0.5 Results'!$I$2:$I$151,"Language robustness",'pi0.5 Results'!$K$2:$K$151,"&lt;&gt;Direct")</x:f>
        <x:v>10</x:v>
      </x:c>
      <x:c r="E33" s="121" t="n">
        <x:f>IF(D33=0,"",C33/D33)</x:f>
        <x:v>0.6</x:v>
      </x:c>
      <x:c r="F33" s="114" t="n">
        <x:f>COUNTIFS('VLA0 Results'!$A$2:$A$151,"Success",'VLA0 Results'!$I$2:$I$151,"Language robustness",'VLA0 Results'!$K$2:$K$151,"&lt;&gt;Direct")</x:f>
        <x:v>0</x:v>
      </x:c>
      <x:c r="G33" s="114" t="n">
        <x:f>COUNTIFS('VLA0 Results'!$A$2:$A$151,"Success",'VLA0 Results'!$I$2:$I$151,"Language robustness",'VLA0 Results'!$K$2:$K$151,"&lt;&gt;Direct")+COUNTIFS('VLA0 Results'!$A$2:$A$151,"Failure",'VLA0 Results'!$I$2:$I$151,"Language robustness",'VLA0 Results'!$K$2:$K$151,"&lt;&gt;Direct")</x:f>
        <x:v>0</x:v>
      </x:c>
      <x:c r="H33" s="121" t="str">
        <x:f>IF(G33=0,"",F33/G33)</x:f>
      </x:c>
      <x:c r="I33" s="114" t="n">
        <x:f>COUNTIFS('MolmoAct2 Results'!$A$2:$A$151,"Success",'MolmoAct2 Results'!$I$2:$I$151,"Language robustness",'MolmoAct2 Results'!$K$2:$K$151,"&lt;&gt;Direct")</x:f>
        <x:v>8</x:v>
      </x:c>
      <x:c r="J33" s="114" t="n">
        <x:f>COUNTIFS('MolmoAct2 Results'!$A$2:$A$151,"Success",'MolmoAct2 Results'!$I$2:$I$151,"Language robustness",'MolmoAct2 Results'!$K$2:$K$151,"&lt;&gt;Direct")+COUNTIFS('MolmoAct2 Results'!$A$2:$A$151,"Failure",'MolmoAct2 Results'!$I$2:$I$151,"Language robustness",'MolmoAct2 Results'!$K$2:$K$151,"&lt;&gt;Direct")</x:f>
        <x:v>10</x:v>
      </x:c>
      <x:c r="K33" s="121" t="n">
        <x:f>IF(J33=0,"",I33/J33)</x:f>
        <x:v>0.8</x:v>
      </x:c>
      <x:c r="L33" s="108"/>
      <x:c r="M33" s="108"/>
      <x:c r="N33" s="108"/>
      <x:c r="O33" s="108"/>
      <x:c r="P33" s="108"/>
    </x:row>
    <x:row r="34" ht="22" customHeight="1">
      <x:c r="A34" s="119" t="str">
        <x:v>Language — matched-control paraphrases</x:v>
      </x:c>
      <x:c r="B34" s="120" t="n">
        <x:v>10</x:v>
      </x:c>
      <x:c r="C34" s="114" t="n">
        <x:f>COUNTIFS('pi0.5 Results'!$A$2:$A$151,"Success",'pi0.5 Results'!$I$2:$I$151,"Language robustness",'pi0.5 Results'!$K$2:$K$151,"Direct")</x:f>
        <x:v>10</x:v>
      </x:c>
      <x:c r="D34" s="114" t="n">
        <x:f>COUNTIFS('pi0.5 Results'!$A$2:$A$151,"Success",'pi0.5 Results'!$I$2:$I$151,"Language robustness",'pi0.5 Results'!$K$2:$K$151,"Direct")+COUNTIFS('pi0.5 Results'!$A$2:$A$151,"Failure",'pi0.5 Results'!$I$2:$I$151,"Language robustness",'pi0.5 Results'!$K$2:$K$151,"Direct")</x:f>
        <x:v>10</x:v>
      </x:c>
      <x:c r="E34" s="121" t="n">
        <x:f>IF(D34=0,"",C34/D34)</x:f>
        <x:v>1</x:v>
      </x:c>
      <x:c r="F34" s="114" t="n">
        <x:f>COUNTIFS('VLA0 Results'!$A$2:$A$151,"Success",'VLA0 Results'!$I$2:$I$151,"Language robustness",'VLA0 Results'!$K$2:$K$151,"Direct")</x:f>
        <x:v>0</x:v>
      </x:c>
      <x:c r="G34" s="114" t="n">
        <x:f>COUNTIFS('VLA0 Results'!$A$2:$A$151,"Success",'VLA0 Results'!$I$2:$I$151,"Language robustness",'VLA0 Results'!$K$2:$K$151,"Direct")+COUNTIFS('VLA0 Results'!$A$2:$A$151,"Failure",'VLA0 Results'!$I$2:$I$151,"Language robustness",'VLA0 Results'!$K$2:$K$151,"Direct")</x:f>
        <x:v>0</x:v>
      </x:c>
      <x:c r="H34" s="121" t="str">
        <x:f>IF(G34=0,"",F34/G34)</x:f>
      </x:c>
      <x:c r="I34" s="114" t="n">
        <x:f>COUNTIFS('MolmoAct2 Results'!$A$2:$A$151,"Success",'MolmoAct2 Results'!$I$2:$I$151,"Language robustness",'MolmoAct2 Results'!$K$2:$K$151,"Direct")</x:f>
        <x:v>10</x:v>
      </x:c>
      <x:c r="J34" s="114" t="n">
        <x:f>COUNTIFS('MolmoAct2 Results'!$A$2:$A$151,"Success",'MolmoAct2 Results'!$I$2:$I$151,"Language robustness",'MolmoAct2 Results'!$K$2:$K$151,"Direct")+COUNTIFS('MolmoAct2 Results'!$A$2:$A$151,"Failure",'MolmoAct2 Results'!$I$2:$I$151,"Language robustness",'MolmoAct2 Results'!$K$2:$K$151,"Direct")</x:f>
        <x:v>10</x:v>
      </x:c>
      <x:c r="K34" s="121" t="n">
        <x:f>IF(J34=0,"",I34/J34)</x:f>
        <x:v>1</x:v>
      </x:c>
      <x:c r="L34" s="108"/>
      <x:c r="M34" s="108"/>
      <x:c r="N34" s="108"/>
      <x:c r="O34" s="108"/>
      <x:c r="P34" s="108"/>
    </x:row>
    <x:row r="35" ht="22" customHeight="1">
      <x:c r="A35" s="119" t="str">
        <x:v>Cross-task — airplane is reasoning target</x:v>
      </x:c>
      <x:c r="B35" s="120" t="n">
        <x:v>10</x:v>
      </x:c>
      <x:c r="C35" s="114" t="n">
        <x:f>COUNTIFS('pi0.5 Results'!$A$2:$A$151,"Success",'pi0.5 Results'!$I$2:$I$151,"Cross-task airplane reasoning")</x:f>
        <x:v>8</x:v>
      </x:c>
      <x:c r="D35" s="114" t="n">
        <x:f>COUNTIFS('pi0.5 Results'!$A$2:$A$151,"Success",'pi0.5 Results'!$I$2:$I$151,"Cross-task airplane reasoning")+COUNTIFS('pi0.5 Results'!$A$2:$A$151,"Failure",'pi0.5 Results'!$I$2:$I$151,"Cross-task airplane reasoning")</x:f>
        <x:v>10</x:v>
      </x:c>
      <x:c r="E35" s="121" t="n">
        <x:f>IF(D35=0,"",C35/D35)</x:f>
        <x:v>0.8</x:v>
      </x:c>
      <x:c r="F35" s="114" t="n">
        <x:f>COUNTIFS('VLA0 Results'!$A$2:$A$151,"Success",'VLA0 Results'!$I$2:$I$151,"Cross-task airplane reasoning")</x:f>
        <x:v>0</x:v>
      </x:c>
      <x:c r="G35" s="114" t="n">
        <x:f>COUNTIFS('VLA0 Results'!$A$2:$A$151,"Success",'VLA0 Results'!$I$2:$I$151,"Cross-task airplane reasoning")+COUNTIFS('VLA0 Results'!$A$2:$A$151,"Failure",'VLA0 Results'!$I$2:$I$151,"Cross-task airplane reasoning")</x:f>
        <x:v>0</x:v>
      </x:c>
      <x:c r="H35" s="121" t="str">
        <x:f>IF(G35=0,"",F35/G35)</x:f>
      </x:c>
      <x:c r="I35" s="114" t="n">
        <x:f>COUNTIFS('MolmoAct2 Results'!$A$2:$A$151,"Success",'MolmoAct2 Results'!$I$2:$I$151,"Cross-task airplane reasoning")</x:f>
        <x:v>9</x:v>
      </x:c>
      <x:c r="J35" s="114" t="n">
        <x:f>COUNTIFS('MolmoAct2 Results'!$A$2:$A$151,"Success",'MolmoAct2 Results'!$I$2:$I$151,"Cross-task airplane reasoning")+COUNTIFS('MolmoAct2 Results'!$A$2:$A$151,"Failure",'MolmoAct2 Results'!$I$2:$I$151,"Cross-task airplane reasoning")</x:f>
        <x:v>10</x:v>
      </x:c>
      <x:c r="K35" s="121" t="n">
        <x:f>IF(J35=0,"",I35/J35)</x:f>
        <x:v>0.9</x:v>
      </x:c>
      <x:c r="L35" s="108"/>
      <x:c r="M35" s="108"/>
      <x:c r="N35" s="108"/>
      <x:c r="O35" s="108"/>
      <x:c r="P35" s="108"/>
    </x:row>
    <x:row r="36" ht="22" customHeight="1">
      <x:c r="A36" s="119" t="str">
        <x:v>Cross-task — airplane is distractor</x:v>
      </x:c>
      <x:c r="B36" s="120" t="n">
        <x:v>10</x:v>
      </x:c>
      <x:c r="C36" s="114" t="n">
        <x:f>COUNTIFS('pi0.5 Results'!$A$2:$A$151,"Success",'pi0.5 Results'!$I$2:$I$151,"Cross-task airplane counterfactual")</x:f>
        <x:v>9</x:v>
      </x:c>
      <x:c r="D36" s="114" t="n">
        <x:f>COUNTIFS('pi0.5 Results'!$A$2:$A$151,"Success",'pi0.5 Results'!$I$2:$I$151,"Cross-task airplane counterfactual")+COUNTIFS('pi0.5 Results'!$A$2:$A$151,"Failure",'pi0.5 Results'!$I$2:$I$151,"Cross-task airplane counterfactual")</x:f>
        <x:v>10</x:v>
      </x:c>
      <x:c r="E36" s="121" t="n">
        <x:f>IF(D36=0,"",C36/D36)</x:f>
        <x:v>0.9</x:v>
      </x:c>
      <x:c r="F36" s="114" t="n">
        <x:f>COUNTIFS('VLA0 Results'!$A$2:$A$151,"Success",'VLA0 Results'!$I$2:$I$151,"Cross-task airplane counterfactual")</x:f>
        <x:v>0</x:v>
      </x:c>
      <x:c r="G36" s="114" t="n">
        <x:f>COUNTIFS('VLA0 Results'!$A$2:$A$151,"Success",'VLA0 Results'!$I$2:$I$151,"Cross-task airplane counterfactual")+COUNTIFS('VLA0 Results'!$A$2:$A$151,"Failure",'VLA0 Results'!$I$2:$I$151,"Cross-task airplane counterfactual")</x:f>
        <x:v>0</x:v>
      </x:c>
      <x:c r="H36" s="121" t="str">
        <x:f>IF(G36=0,"",F36/G36)</x:f>
      </x:c>
      <x:c r="I36" s="114" t="n">
        <x:f>COUNTIFS('MolmoAct2 Results'!$A$2:$A$151,"Success",'MolmoAct2 Results'!$I$2:$I$151,"Cross-task airplane counterfactual")</x:f>
        <x:v>6</x:v>
      </x:c>
      <x:c r="J36" s="114" t="n">
        <x:f>COUNTIFS('MolmoAct2 Results'!$A$2:$A$151,"Success",'MolmoAct2 Results'!$I$2:$I$151,"Cross-task airplane counterfactual")+COUNTIFS('MolmoAct2 Results'!$A$2:$A$151,"Failure",'MolmoAct2 Results'!$I$2:$I$151,"Cross-task airplane counterfactual")</x:f>
        <x:v>10</x:v>
      </x:c>
      <x:c r="K36" s="121" t="n">
        <x:f>IF(J36=0,"",I36/J36)</x:f>
        <x:v>0.6</x:v>
      </x:c>
      <x:c r="L36" s="108"/>
      <x:c r="M36" s="108"/>
      <x:c r="N36" s="108"/>
      <x:c r="O36" s="108"/>
      <x:c r="P36" s="108"/>
    </x:row>
    <x:row r="37" ht="22" customHeight="1">
      <x:c r="A37" s="119" t="str">
        <x:v>No movement — smallest</x:v>
      </x:c>
      <x:c r="B37" s="120" t="n">
        <x:v>10</x:v>
      </x:c>
      <x:c r="C37" s="114" t="n">
        <x:f>COUNTIFS('pi0.5 Results'!$A$2:$A$151,"Success",'pi0.5 Results'!$I$2:$I$151,"Goal already satisfied / no movement",'pi0.5 Results'!$K$2:$K$151,"smallest")</x:f>
        <x:v>10</x:v>
      </x:c>
      <x:c r="D37" s="114" t="n">
        <x:f>COUNTIFS('pi0.5 Results'!$A$2:$A$151,"Success",'pi0.5 Results'!$I$2:$I$151,"Goal already satisfied / no movement",'pi0.5 Results'!$K$2:$K$151,"smallest")+COUNTIFS('pi0.5 Results'!$A$2:$A$151,"Failure",'pi0.5 Results'!$I$2:$I$151,"Goal already satisfied / no movement",'pi0.5 Results'!$K$2:$K$151,"smallest")</x:f>
        <x:v>10</x:v>
      </x:c>
      <x:c r="E37" s="121" t="n">
        <x:f>IF(D37=0,"",C37/D37)</x:f>
        <x:v>1</x:v>
      </x:c>
      <x:c r="F37" s="114" t="n">
        <x:f>COUNTIFS('VLA0 Results'!$A$2:$A$151,"Success",'VLA0 Results'!$I$2:$I$151,"Goal already satisfied / no movement",'VLA0 Results'!$K$2:$K$151,"smallest")</x:f>
        <x:v>0</x:v>
      </x:c>
      <x:c r="G37" s="114" t="n">
        <x:f>COUNTIFS('VLA0 Results'!$A$2:$A$151,"Success",'VLA0 Results'!$I$2:$I$151,"Goal already satisfied / no movement",'VLA0 Results'!$K$2:$K$151,"smallest")+COUNTIFS('VLA0 Results'!$A$2:$A$151,"Failure",'VLA0 Results'!$I$2:$I$151,"Goal already satisfied / no movement",'VLA0 Results'!$K$2:$K$151,"smallest")</x:f>
        <x:v>0</x:v>
      </x:c>
      <x:c r="H37" s="121" t="str">
        <x:f>IF(G37=0,"",F37/G37)</x:f>
      </x:c>
      <x:c r="I37" s="114" t="n">
        <x:f>COUNTIFS('MolmoAct2 Results'!$A$2:$A$151,"Success",'MolmoAct2 Results'!$I$2:$I$151,"Goal already satisfied / no movement",'MolmoAct2 Results'!$K$2:$K$151,"smallest")</x:f>
        <x:v>0</x:v>
      </x:c>
      <x:c r="J37" s="114" t="n">
        <x:f>COUNTIFS('MolmoAct2 Results'!$A$2:$A$151,"Success",'MolmoAct2 Results'!$I$2:$I$151,"Goal already satisfied / no movement",'MolmoAct2 Results'!$K$2:$K$151,"smallest")+COUNTIFS('MolmoAct2 Results'!$A$2:$A$151,"Failure",'MolmoAct2 Results'!$I$2:$I$151,"Goal already satisfied / no movement",'MolmoAct2 Results'!$K$2:$K$151,"smallest")</x:f>
        <x:v>0</x:v>
      </x:c>
      <x:c r="K37" s="121" t="str">
        <x:f>IF(J37=0,"",I37/J37)</x:f>
      </x:c>
      <x:c r="L37" s="108"/>
      <x:c r="M37" s="108"/>
      <x:c r="N37" s="108"/>
      <x:c r="O37" s="108"/>
      <x:c r="P37" s="108"/>
    </x:row>
    <x:row r="38" ht="22" customHeight="1">
      <x:c r="A38" s="119" t="str">
        <x:v>No movement — largest</x:v>
      </x:c>
      <x:c r="B38" s="120" t="n">
        <x:v>10</x:v>
      </x:c>
      <x:c r="C38" s="114" t="n">
        <x:f>COUNTIFS('pi0.5 Results'!$A$2:$A$151,"Success",'pi0.5 Results'!$I$2:$I$151,"Goal already satisfied / no movement",'pi0.5 Results'!$K$2:$K$151,"largest")</x:f>
        <x:v>9</x:v>
      </x:c>
      <x:c r="D38" s="114" t="n">
        <x:f>COUNTIFS('pi0.5 Results'!$A$2:$A$151,"Success",'pi0.5 Results'!$I$2:$I$151,"Goal already satisfied / no movement",'pi0.5 Results'!$K$2:$K$151,"largest")+COUNTIFS('pi0.5 Results'!$A$2:$A$151,"Failure",'pi0.5 Results'!$I$2:$I$151,"Goal already satisfied / no movement",'pi0.5 Results'!$K$2:$K$151,"largest")</x:f>
        <x:v>9</x:v>
      </x:c>
      <x:c r="E38" s="121" t="n">
        <x:f>IF(D38=0,"",C38/D38)</x:f>
        <x:v>1</x:v>
      </x:c>
      <x:c r="F38" s="114" t="n">
        <x:f>COUNTIFS('VLA0 Results'!$A$2:$A$151,"Success",'VLA0 Results'!$I$2:$I$151,"Goal already satisfied / no movement",'VLA0 Results'!$K$2:$K$151,"largest")</x:f>
        <x:v>0</x:v>
      </x:c>
      <x:c r="G38" s="114" t="n">
        <x:f>COUNTIFS('VLA0 Results'!$A$2:$A$151,"Success",'VLA0 Results'!$I$2:$I$151,"Goal already satisfied / no movement",'VLA0 Results'!$K$2:$K$151,"largest")+COUNTIFS('VLA0 Results'!$A$2:$A$151,"Failure",'VLA0 Results'!$I$2:$I$151,"Goal already satisfied / no movement",'VLA0 Results'!$K$2:$K$151,"largest")</x:f>
        <x:v>0</x:v>
      </x:c>
      <x:c r="H38" s="121" t="str">
        <x:f>IF(G38=0,"",F38/G38)</x:f>
      </x:c>
      <x:c r="I38" s="114" t="n">
        <x:f>COUNTIFS('MolmoAct2 Results'!$A$2:$A$151,"Success",'MolmoAct2 Results'!$I$2:$I$151,"Goal already satisfied / no movement",'MolmoAct2 Results'!$K$2:$K$151,"largest")</x:f>
        <x:v>0</x:v>
      </x:c>
      <x:c r="J38" s="114" t="n">
        <x:f>COUNTIFS('MolmoAct2 Results'!$A$2:$A$151,"Success",'MolmoAct2 Results'!$I$2:$I$151,"Goal already satisfied / no movement",'MolmoAct2 Results'!$K$2:$K$151,"largest")+COUNTIFS('MolmoAct2 Results'!$A$2:$A$151,"Failure",'MolmoAct2 Results'!$I$2:$I$151,"Goal already satisfied / no movement",'MolmoAct2 Results'!$K$2:$K$151,"largest")</x:f>
        <x:v>0</x:v>
      </x:c>
      <x:c r="K38" s="121" t="str">
        <x:f>IF(J38=0,"",I38/J38)</x:f>
      </x:c>
      <x:c r="L38" s="108"/>
      <x:c r="M38" s="108"/>
      <x:c r="N38" s="108"/>
      <x:c r="O38" s="108"/>
      <x:c r="P38" s="108"/>
    </x:row>
    <x:row r="39">
      <x:c r="A39" s="108"/>
      <x:c r="B39" s="108"/>
      <x:c r="C39" s="108"/>
      <x:c r="D39" s="108"/>
      <x:c r="E39" s="108"/>
      <x:c r="F39" s="108"/>
      <x:c r="G39" s="108"/>
      <x:c r="H39" s="108"/>
      <x:c r="I39" s="108"/>
      <x:c r="J39" s="108"/>
      <x:c r="K39" s="108"/>
      <x:c r="L39" s="108"/>
      <x:c r="M39" s="108"/>
      <x:c r="N39" s="108"/>
      <x:c r="O39" s="108"/>
      <x:c r="P39" s="108"/>
    </x:row>
    <x:row r="40">
      <x:c r="A40" s="108"/>
      <x:c r="B40" s="108"/>
      <x:c r="C40" s="108"/>
      <x:c r="D40" s="108"/>
      <x:c r="E40" s="108"/>
      <x:c r="F40" s="108"/>
      <x:c r="G40" s="108"/>
      <x:c r="H40" s="108"/>
      <x:c r="I40" s="108"/>
      <x:c r="J40" s="108"/>
      <x:c r="K40" s="108"/>
      <x:c r="L40" s="108"/>
      <x:c r="M40" s="108"/>
      <x:c r="N40" s="108"/>
      <x:c r="O40" s="108"/>
      <x:c r="P40" s="108"/>
    </x:row>
    <x:row r="41">
      <x:c r="A41" s="139" t="str">
        <x:v>REPORTING NOTES</x:v>
      </x:c>
      <x:c r="B41" s="139"/>
      <x:c r="C41" s="139"/>
      <x:c r="D41" s="139"/>
      <x:c r="E41" s="139"/>
      <x:c r="F41" s="139"/>
      <x:c r="G41" s="139"/>
      <x:c r="H41" s="139"/>
      <x:c r="I41" s="139"/>
      <x:c r="J41" s="139"/>
      <x:c r="K41" s="139"/>
      <x:c r="L41" s="108"/>
      <x:c r="M41" s="108"/>
      <x:c r="N41" s="108"/>
      <x:c r="O41" s="108"/>
      <x:c r="P41" s="108"/>
    </x:row>
    <x:row r="42" ht="28" customHeight="1">
      <x:c r="A42" s="131" t="str">
        <x:v>Primary endpoint: report the 50 concept/compositional-transfer trials for each model as the main result.</x:v>
      </x:c>
      <x:c r="B42" s="131"/>
      <x:c r="C42" s="131"/>
      <x:c r="D42" s="131"/>
      <x:c r="E42" s="131"/>
      <x:c r="F42" s="131"/>
      <x:c r="G42" s="131"/>
      <x:c r="H42" s="131"/>
      <x:c r="I42" s="131"/>
      <x:c r="J42" s="131"/>
      <x:c r="K42" s="131"/>
      <x:c r="L42" s="108"/>
      <x:c r="M42" s="108"/>
      <x:c r="N42" s="108"/>
      <x:c r="O42" s="108"/>
      <x:c r="P42" s="108"/>
    </x:row>
    <x:row r="43" ht="28" customHeight="1">
      <x:c r="A43" s="131" t="str">
        <x:v>Success rate denominator: Success + Failure. Not collected trials remain visible through the Scored and completion columns but are excluded from rates.</x:v>
      </x:c>
      <x:c r="B43" s="131"/>
      <x:c r="C43" s="131"/>
      <x:c r="D43" s="131"/>
      <x:c r="E43" s="131"/>
      <x:c r="F43" s="131"/>
      <x:c r="G43" s="131"/>
      <x:c r="H43" s="131"/>
      <x:c r="I43" s="131"/>
      <x:c r="J43" s="131"/>
      <x:c r="K43" s="131"/>
      <x:c r="L43" s="108"/>
      <x:c r="M43" s="108"/>
      <x:c r="N43" s="108"/>
      <x:c r="O43" s="108"/>
      <x:c r="P43" s="108"/>
    </x:row>
    <x:row r="44" ht="28" customHeight="1">
      <x:c r="A44" s="131" t="str">
        <x:v>Matched manipulation, in-distribution, language, cross-task, and no-movement conditions are diagnostics; report them separately instead of combining them with the primary endpoint.</x:v>
      </x:c>
      <x:c r="B44" s="131"/>
      <x:c r="C44" s="131"/>
      <x:c r="D44" s="131"/>
      <x:c r="E44" s="131"/>
      <x:c r="F44" s="131"/>
      <x:c r="G44" s="131"/>
      <x:c r="H44" s="131"/>
      <x:c r="I44" s="131"/>
      <x:c r="J44" s="131"/>
      <x:c r="K44" s="131"/>
      <x:c r="L44" s="108"/>
      <x:c r="M44" s="108"/>
      <x:c r="N44" s="108"/>
      <x:c r="O44" s="108"/>
      <x:c r="P44" s="108"/>
    </x:row>
    <x:row r="45" ht="28" customHeight="1">
      <x:c r="A45" s="131" t="str">
        <x:v>The diagnostic table separates smallest versus largest, transfer versus control paraphrases, airplane target versus distractor, and no-movement subtypes.</x:v>
      </x:c>
      <x:c r="B45" s="131"/>
      <x:c r="C45" s="131"/>
      <x:c r="D45" s="131"/>
      <x:c r="E45" s="131"/>
      <x:c r="F45" s="131"/>
      <x:c r="G45" s="131"/>
      <x:c r="H45" s="131"/>
      <x:c r="I45" s="131"/>
      <x:c r="J45" s="131"/>
      <x:c r="K45" s="131"/>
      <x:c r="L45" s="108"/>
      <x:c r="M45" s="108"/>
      <x:c r="N45" s="108"/>
      <x:c r="O45" s="108"/>
      <x:c r="P45" s="108"/>
    </x:row>
  </x:sheetData>
  <x:mergeCells>
    <x:mergeCell ref="A1:P1"/>
    <x:mergeCell ref="A2:P2"/>
    <x:mergeCell ref="A3:L3"/>
    <x:mergeCell ref="O3:P3"/>
    <x:mergeCell ref="A5:I5"/>
    <x:mergeCell ref="A14:K14"/>
    <x:mergeCell ref="A15:A16"/>
    <x:mergeCell ref="B15:B16"/>
    <x:mergeCell ref="C15:E15"/>
    <x:mergeCell ref="F15:H15"/>
    <x:mergeCell ref="I15:K15"/>
    <x:mergeCell ref="A26:K26"/>
    <x:mergeCell ref="A27:A28"/>
    <x:mergeCell ref="B27:B28"/>
    <x:mergeCell ref="C27:E27"/>
    <x:mergeCell ref="F27:H27"/>
    <x:mergeCell ref="I27:K27"/>
    <x:mergeCell ref="A41:K41"/>
    <x:mergeCell ref="A42:K42"/>
    <x:mergeCell ref="A43:K43"/>
    <x:mergeCell ref="A44:K44"/>
    <x:mergeCell ref="A45:K45"/>
  </x:mergeCells>
  <x:pageMargins left="0.7" right="0.7" top="0.75" bottom="0.75" header="0.3" footer="0.3"/>
  <x:drawing xmlns:r="http://schemas.openxmlformats.org/officeDocument/2006/relationships" r:id="Rd63e2252ff31486a"/>
</x:worksheet>
</file>