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350dd5853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472e62995b40da"/>
    <x:sheet xmlns:r="http://schemas.openxmlformats.org/officeDocument/2006/relationships" name="Design Guide" sheetId="2" r:id="Red5edac606944d2f"/>
    <x:sheet xmlns:r="http://schemas.openxmlformats.org/officeDocument/2006/relationships" name="Training Export" sheetId="3" r:id="Rce794c4a2f1f4e05"/>
    <x:sheet xmlns:r="http://schemas.openxmlformats.org/officeDocument/2006/relationships" name="Sampler Weights" sheetId="4" r:id="R09362e82eaaf4b23"/>
    <x:sheet xmlns:r="http://schemas.openxmlformats.org/officeDocument/2006/relationships" name="Source &amp; Audit" sheetId="5" r:id="R57988fb52ac945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%"/>
    <x:numFmt numFmtId="202" formatCode="0.000"/>
    <x:numFmt numFmtId="203" formatCode="0.000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3"/>
      <x:color rgb="FF0F766E"/>
      <x:name val="Carlito"/>
    </x:font>
    <x:font>
      <x:b/>
      <x:sz val="11"/>
      <x:color rgb="FF17324D"/>
      <x:name val="Carlito"/>
    </x:font>
    <x:font>
      <x:b/>
      <x:sz val="13"/>
      <x:color rgb="FFB45309"/>
      <x:name val="Carlito"/>
    </x:font>
    <x:font>
      <x:b/>
      <x:sz val="11"/>
      <x:color rgb="FFB4530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DDF4EF"/>
      </x:patternFill>
    </x:fill>
    <x:fill>
      <x:patternFill patternType="solid">
        <x:fgColor rgb="FFFEF3C7"/>
      </x:patternFill>
    </x:fill>
  </x:fills>
  <x:borders count="6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 applyAlignment="1">
      <x:alignment horizontal="right"/>
    </x:xf>
    <x:xf numFmtId="0" fontId="0" fillId="0" borderId="4" xfId="0" applyNumberFormat="1" applyFont="1" applyFill="1" applyBorder="1"/>
    <x:xf numFmtId="200" fontId="0" fillId="0" borderId="4" xfId="0" applyNumberFormat="1" applyFont="1" applyFill="1" applyBorder="1" applyAlignment="1">
      <x:alignment horizontal="right"/>
    </x:xf>
    <x:xf numFmtId="0" fontId="0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2563EB"/>
      </x:font>
      <x:fill>
        <x:patternFill patternType="solid">
          <x:bgColor rgb="FFEAF2FF"/>
        </x:patternFill>
      </x:fill>
    </x:dxf>
    <x:dxf>
      <x:font>
        <x:color rgb="FFB45309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e2e9927ba444d" /><Relationship Type="http://schemas.openxmlformats.org/officeDocument/2006/relationships/theme" Target="/xl/theme/theme1.xml" Id="R2825667490794c8e" /><Relationship Type="http://schemas.openxmlformats.org/officeDocument/2006/relationships/sharedStrings" Target="/xl/sharedStrings.xml" Id="Rdbdc579c029345a3" /><Relationship Type="http://schemas.openxmlformats.org/officeDocument/2006/relationships/worksheet" Target="/xl/worksheets/sheet1.xml" Id="R0b472e62995b40da" /><Relationship Type="http://schemas.openxmlformats.org/officeDocument/2006/relationships/worksheet" Target="/xl/worksheets/sheet2.xml" Id="Red5edac606944d2f" /><Relationship Type="http://schemas.openxmlformats.org/officeDocument/2006/relationships/worksheet" Target="/xl/worksheets/sheet3.xml" Id="Rce794c4a2f1f4e05" /><Relationship Type="http://schemas.openxmlformats.org/officeDocument/2006/relationships/worksheet" Target="/xl/worksheets/sheet4.xml" Id="R09362e82eaaf4b23" /><Relationship Type="http://schemas.openxmlformats.org/officeDocument/2006/relationships/worksheet" Target="/xl/worksheets/sheet5.xml" Id="R57988fb52ac9459f" /></Relationships>
</file>

<file path=xl/tables/table1.xml><?xml version="1.0" encoding="utf-8"?>
<x:table xmlns:x="http://schemas.openxmlformats.org/spreadsheetml/2006/main" id="1" name="SemanticHoldoutTraining" displayName="SemanticHoldoutTraining" ref="A4:U204" headerRowCount="1" totalsRowCount="0" totalsRowShown="0">
  <x:autoFilter ref="A4:U204"/>
  <x:tableColumns count="21">
    <x:tableColumn id="1" name="Episode"/>
    <x:tableColumn id="2" name="Global episode ID"/>
    <x:tableColumn id="3" name="Training prompt"/>
    <x:tableColumn id="4" name="Prompt class"/>
    <x:tableColumn id="5" name="Exposed semantic"/>
    <x:tableColumn id="6" name="Held-out semantic(s) physically present"/>
    <x:tableColumn id="7" name="Demonstrated target ID"/>
    <x:tableColumn id="8" name="Target category"/>
    <x:tableColumn id="9" name="Physical state"/>
    <x:tableColumn id="10" name="Physical orientation"/>
    <x:tableColumn id="11" name="Valid target count"/>
    <x:tableColumn id="12" name="Valid target IDs"/>
    <x:tableColumn id="13" name="Demonstrated target valid?"/>
    <x:tableColumn id="14" name="Set-valued instruction?"/>
    <x:tableColumn id="15" name="Mask operation"/>
    <x:tableColumn id="16" name="Semantic leakage check"/>
    <x:tableColumn id="17" name="Sampling balance stratum"/>
    <x:tableColumn id="18" name="Split"/>
    <x:tableColumn id="19" name="Visual review"/>
    <x:tableColumn id="20" name="Notes"/>
    <x:tableColumn id="21" name="Relative sampling multipli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manticHoldoutWeights" displayName="SemanticHoldoutWeights" ref="A11:K211" headerRowCount="1" totalsRowCount="0" totalsRowShown="0">
  <x:autoFilter ref="A11:K211"/>
  <x:tableColumns count="11">
    <x:tableColumn id="1" name="Episode"/>
    <x:tableColumn id="2" name="Prompt class"/>
    <x:tableColumn id="3" name="Category"/>
    <x:tableColumn id="4" name="State"/>
    <x:tableColumn id="5" name="Orientation"/>
    <x:tableColumn id="6" name="Balance stratum"/>
    <x:tableColumn id="7" name="Raw count in stratum"/>
    <x:tableColumn id="8" name="Target group mass"/>
    <x:tableColumn id="9" name="Strata in group"/>
    <x:tableColumn id="10" name="Sampling probability"/>
    <x:tableColumn id="11" name="Relative multiplier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emanticHoldoutSourceAudit" displayName="SemanticHoldoutSourceAudit" ref="A4:J204" headerRowCount="1" totalsRowCount="0" totalsRowShown="0">
  <x:autoFilter ref="A4:J204"/>
  <x:tableColumns count="10">
    <x:tableColumn id="1" name="Episode"/>
    <x:tableColumn id="2" name="Source task"/>
    <x:tableColumn id="3" name="Previous assigned prompt"/>
    <x:tableColumn id="4" name="Target ID"/>
    <x:tableColumn id="5" name="Target category"/>
    <x:tableColumn id="6" name="State"/>
    <x:tableColumn id="7" name="Orientation"/>
    <x:tableColumn id="8" name="Scene summary"/>
    <x:tableColumn id="9" name="Source revision"/>
    <x:tableColumn id="10" name="Previous file warnin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201593615f74c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46a817d9f9046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d4590d0ab424c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8" hidden="0" customWidth="1"/>
    <x:col min="3" max="3" width="8" hidden="0" customWidth="1"/>
    <x:col min="4" max="4" width="30" hidden="0" customWidth="1"/>
    <x:col min="5" max="5" width="18" hidden="0" customWidth="1"/>
    <x:col min="6" max="6" width="24" hidden="0" customWidth="1"/>
  </x:cols>
  <x:sheetData>
    <x:row r="1" ht="30" customHeight="1">
      <x:c r="A1" s="3" t="str">
        <x:v>Semantic Holdout Prompt Masks — Summary</x:v>
      </x:c>
      <x:c r="B1" s="3" t="str"/>
      <x:c r="C1" s="3" t="str"/>
      <x:c r="D1" s="3" t="str"/>
      <x:c r="E1" s="3" t="str"/>
      <x:c r="F1" s="3" t="str"/>
    </x:row>
    <x:row r="2" ht="34" customHeight="1">
      <x:c r="A2" s="7" t="str">
        <x:v>Fine-tuning holdout: closed and upright. Seen semantic words: open and upside-down. All 200 physical demonstrations remain in training.</x:v>
      </x:c>
      <x:c r="B2" s="7" t="str"/>
      <x:c r="C2" s="7" t="str"/>
      <x:c r="D2" s="7" t="str"/>
      <x:c r="E2" s="7" t="str"/>
      <x:c r="F2" s="7" t="str"/>
    </x:row>
    <x:row r="4" ht="30" customHeight="1">
      <x:c r="A4" s="16" t="str">
        <x:v>Validation metric</x:v>
      </x:c>
      <x:c r="B4" s="17" t="str">
        <x:v>Result</x:v>
      </x:c>
      <x:c r="D4" s="16" t="str">
        <x:v>Training prompt class</x:v>
      </x:c>
      <x:c r="E4" s="29" t="str">
        <x:v>Raw episodes</x:v>
      </x:c>
      <x:c r="F4" s="17" t="str">
        <x:v>Weighted sampling mass</x:v>
      </x:c>
    </x:row>
    <x:row r="5">
      <x:c r="A5" s="20" t="str">
        <x:v>Total episodes</x:v>
      </x:c>
      <x:c r="B5" s="21" t="n">
        <x:f>COUNTA('Training Export'!$A$5:$A$204)</x:f>
        <x:v>200</x:v>
      </x:c>
      <x:c r="D5" s="20" t="str">
        <x:v>Generic mask</x:v>
      </x:c>
      <x:c r="E5" s="31" t="n">
        <x:f>COUNTIF('Training Export'!$D$5:$D$204,"generic_mask")</x:f>
        <x:v>140</x:v>
      </x:c>
      <x:c r="F5" s="32" t="n">
        <x:f>'Sampler Weights'!$E$5</x:f>
        <x:v>0.5000000000000003</x:v>
      </x:c>
    </x:row>
    <x:row r="6">
      <x:c r="A6" s="22" t="str">
        <x:v>Generic-mask prompts</x:v>
      </x:c>
      <x:c r="B6" s="23" t="n">
        <x:f>COUNTIF('Training Export'!$D$5:$D$204,"generic_mask")</x:f>
        <x:v>140</x:v>
      </x:c>
      <x:c r="D6" s="22" t="str">
        <x:v>Explicit seen: open</x:v>
      </x:c>
      <x:c r="E6" s="33" t="n">
        <x:f>COUNTIF('Training Export'!$D$5:$D$204,"explicit_seen_open")</x:f>
        <x:v>43</x:v>
      </x:c>
      <x:c r="F6" s="34" t="n">
        <x:f>'Sampler Weights'!$E$6</x:f>
        <x:v>0.24999999999999978</x:v>
      </x:c>
    </x:row>
    <x:row r="7">
      <x:c r="A7" s="22" t="str">
        <x:v>Explicit open prompts</x:v>
      </x:c>
      <x:c r="B7" s="23" t="n">
        <x:f>COUNTIF('Training Export'!$D$5:$D$204,"explicit_seen_open")</x:f>
        <x:v>43</x:v>
      </x:c>
      <x:c r="D7" s="24" t="str">
        <x:v>Explicit seen: upside-down</x:v>
      </x:c>
      <x:c r="E7" s="35" t="n">
        <x:f>COUNTIF('Training Export'!$D$5:$D$204,"explicit_seen_upside_down")</x:f>
        <x:v>17</x:v>
      </x:c>
      <x:c r="F7" s="36" t="n">
        <x:f>'Sampler Weights'!$E$7</x:f>
        <x:v>0.24999999999999997</x:v>
      </x:c>
    </x:row>
    <x:row r="8">
      <x:c r="A8" s="22" t="str">
        <x:v>Explicit upside-down prompts</x:v>
      </x:c>
      <x:c r="B8" s="23" t="n">
        <x:f>COUNTIF('Training Export'!$D$5:$D$204,"explicit_seen_upside_down")</x:f>
        <x:v>17</x:v>
      </x:c>
    </x:row>
    <x:row r="9">
      <x:c r="A9" s="22" t="str">
        <x:v>Set-valued prompts (&gt;1 valid target)</x:v>
      </x:c>
      <x:c r="B9" s="23" t="n">
        <x:f>COUNTIF('Training Export'!$N$5:$N$204,"Yes")</x:f>
        <x:v>107</x:v>
      </x:c>
    </x:row>
    <x:row r="10">
      <x:c r="A10" s="22" t="str">
        <x:v>Demonstrated targets accepted</x:v>
      </x:c>
      <x:c r="B10" s="23" t="n">
        <x:f>COUNTIF('Training Export'!$M$5:$M$204,"PASS")</x:f>
        <x:v>200</x:v>
      </x:c>
    </x:row>
    <x:row r="11">
      <x:c r="A11" s="22" t="str">
        <x:v>Prompts without held-out semantic leakage</x:v>
      </x:c>
      <x:c r="B11" s="23" t="n">
        <x:f>COUNTIF('Training Export'!$P$5:$P$204,"PASS")</x:f>
        <x:v>200</x:v>
      </x:c>
    </x:row>
    <x:row r="12">
      <x:c r="A12" s="22" t="str">
        <x:v>Closed + upright demonstrations retained</x:v>
      </x:c>
      <x:c r="B12" s="23" t="n">
        <x:f>COUNTIFS('Training Export'!$I$5:$I$204,"closed",'Training Export'!$J$5:$J$204,"upright")</x:f>
        <x:v>74</x:v>
      </x:c>
    </x:row>
    <x:row r="13">
      <x:c r="A13" s="22" t="str">
        <x:v>Physical upright targets</x:v>
      </x:c>
      <x:c r="B13" s="23" t="n">
        <x:f>COUNTIF('Training Export'!$J$5:$J$204,"upright")</x:f>
        <x:v>150</x:v>
      </x:c>
    </x:row>
    <x:row r="14">
      <x:c r="A14" s="24" t="str">
        <x:v>First-frame visual reviews required</x:v>
      </x:c>
      <x:c r="B14" s="25" t="n">
        <x:f>COUNTIF('Training Export'!$S$5:$S$204,"Needs t0 middle-frame review")</x:f>
        <x:v>200</x:v>
      </x:c>
    </x:row>
    <x:row r="17">
      <x:c r="A17" s="38" t="str">
        <x:v>Interpretation</x:v>
      </x:c>
      <x:c r="B17" s="38" t="str"/>
      <x:c r="C17" s="38" t="str"/>
      <x:c r="D17" s="38" t="str"/>
      <x:c r="E17" s="38" t="str"/>
      <x:c r="F17" s="38" t="str"/>
    </x:row>
    <x:row r="18" ht="34" customHeight="1">
      <x:c r="A18" s="40" t="str">
        <x:v>Generic mask</x:v>
      </x:c>
      <x:c r="B18" s="39" t="str">
        <x:v>“Place a white cup in the bowl.” Any matching-category cup is valid; the recorded trajectory supplies one valid choice.</x:v>
      </x:c>
      <x:c r="C18" s="39" t="str"/>
      <x:c r="D18" s="39" t="str"/>
      <x:c r="E18" s="39" t="str"/>
      <x:c r="F18" s="39" t="str"/>
    </x:row>
    <x:row r="19" ht="34" customHeight="1">
      <x:c r="A19" s="40" t="str">
        <x:v>Semantic holdout</x:v>
      </x:c>
      <x:c r="B19" s="39" t="str">
        <x:v>No training prompt contains closed, upright, right-side-up, not open, or not upside down.</x:v>
      </x:c>
      <x:c r="C19" s="39" t="str"/>
      <x:c r="D19" s="39" t="str"/>
      <x:c r="E19" s="39" t="str"/>
      <x:c r="F19" s="39" t="str"/>
    </x:row>
    <x:row r="20" ht="34" customHeight="1">
      <x:c r="A20" s="40" t="str">
        <x:v>Sampler weights</x:v>
      </x:c>
      <x:c r="B20" s="39" t="str">
        <x:v>Recommended because the physical data contain 150 upright and 50 upside-down targets. Weights balance prompt type and latent physical strata.</x:v>
      </x:c>
      <x:c r="C20" s="39" t="str"/>
      <x:c r="D20" s="39" t="str"/>
      <x:c r="E20" s="39" t="str"/>
      <x:c r="F20" s="39" t="str"/>
    </x:row>
    <x:row r="21" ht="34" customHeight="1">
      <x:c r="A21" s="40" t="str">
        <x:v>Evaluation</x:v>
      </x:c>
      <x:c r="B21" s="39" t="str">
        <x:v>Use unique matched distractors for closed and upright prompts. For generic-prompt controls, accept every ID in valid_target_ids.</x:v>
      </x:c>
      <x:c r="C21" s="39" t="str"/>
      <x:c r="D21" s="39" t="str"/>
      <x:c r="E21" s="39" t="str"/>
      <x:c r="F21" s="39" t="str"/>
    </x:row>
    <x:row r="22" ht="34" customHeight="1">
      <x:c r="A22" s="40" t="str">
        <x:v>Important</x:v>
      </x:c>
      <x:c r="B22" s="39" t="str">
        <x:v>This tests held-out language-to-state transfer during fine-tuning; the model still sees closed and upright objects visually and behaviorally.</x:v>
      </x:c>
      <x:c r="C22" s="39" t="str"/>
      <x:c r="D22" s="39" t="str"/>
      <x:c r="E22" s="39" t="str"/>
      <x:c r="F22" s="39" t="str"/>
    </x:row>
  </x:sheetData>
  <x:mergeCells>
    <x:mergeCell ref="A1:F1"/>
    <x:mergeCell ref="A2:F2"/>
    <x:mergeCell ref="A17:F17"/>
    <x:mergeCell ref="B18:F18"/>
    <x:mergeCell ref="B19:F19"/>
    <x:mergeCell ref="B20:F20"/>
    <x:mergeCell ref="B21:F21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22" hidden="0" customWidth="1"/>
    <x:col min="4" max="4" width="40" hidden="0" customWidth="1"/>
    <x:col min="5" max="5" width="50" hidden="0" customWidth="1"/>
  </x:cols>
  <x:sheetData>
    <x:row r="1" ht="30" customHeight="1">
      <x:c r="A1" s="3" t="str">
        <x:v>Semantic Holdout Design Guide</x:v>
      </x:c>
      <x:c r="B1" s="3" t="str"/>
      <x:c r="C1" s="3" t="str"/>
      <x:c r="D1" s="3" t="str"/>
      <x:c r="E1" s="3" t="str"/>
    </x:row>
    <x:row r="2" ht="34" customHeight="1">
      <x:c r="A2" s="7" t="str">
        <x:v>This version deliberately permits multiple valid targets. The generic prompt is shared across demonstrations from all four physical state/orientation cells.</x:v>
      </x:c>
      <x:c r="B2" s="7" t="str"/>
      <x:c r="C2" s="7" t="str"/>
      <x:c r="D2" s="7" t="str"/>
      <x:c r="E2" s="7" t="str"/>
    </x:row>
    <x:row r="4" ht="30" customHeight="1">
      <x:c r="A4" s="16" t="str">
        <x:v>Prompt class</x:v>
      </x:c>
      <x:c r="B4" s="29" t="str">
        <x:v>Template</x:v>
      </x:c>
      <x:c r="C4" s="29" t="str">
        <x:v>Language exposed</x:v>
      </x:c>
      <x:c r="D4" s="29" t="str">
        <x:v>Valid target set</x:v>
      </x:c>
      <x:c r="E4" s="17" t="str">
        <x:v>Purpose</x:v>
      </x:c>
    </x:row>
    <x:row r="5">
      <x:c r="A5" s="47" t="str">
        <x:v>Generic mask</x:v>
      </x:c>
      <x:c r="B5" s="44" t="str">
        <x:v>Place a [category] in the bowl.</x:v>
      </x:c>
      <x:c r="C5" s="44" t="str">
        <x:v>No state or orientation</x:v>
      </x:c>
      <x:c r="D5" s="44" t="str">
        <x:v>Every same-category object in the scene</x:v>
      </x:c>
      <x:c r="E5" s="44" t="str">
        <x:v>Retain closed/upright physical demonstrations without pairing those meanings with language.</x:v>
      </x:c>
    </x:row>
    <x:row r="6">
      <x:c r="A6" s="48" t="str">
        <x:v>Explicit seen: open</x:v>
      </x:c>
      <x:c r="B6" s="45" t="str">
        <x:v>Place an open [category] in the bowl.</x:v>
      </x:c>
      <x:c r="C6" s="45" t="str">
        <x:v>open</x:v>
      </x:c>
      <x:c r="D6" s="45" t="str">
        <x:v>Every open same-category object</x:v>
      </x:c>
      <x:c r="E6" s="45" t="str">
        <x:v>Teach one seen state semantic while masking orientation.</x:v>
      </x:c>
    </x:row>
    <x:row r="7">
      <x:c r="A7" s="49" t="str">
        <x:v>Explicit seen: upside-down</x:v>
      </x:c>
      <x:c r="B7" s="46" t="str">
        <x:v>Place an upside-down [category] in the bowl.</x:v>
      </x:c>
      <x:c r="C7" s="46" t="str">
        <x:v>upside-down</x:v>
      </x:c>
      <x:c r="D7" s="46" t="str">
        <x:v>Every upside-down same-category object</x:v>
      </x:c>
      <x:c r="E7" s="46" t="str">
        <x:v>Teach one seen orientation semantic while masking open/closed state.</x:v>
      </x:c>
    </x:row>
    <x:row r="10" ht="30" customHeight="1">
      <x:c r="A10" s="16" t="str">
        <x:v>Physical target</x:v>
      </x:c>
      <x:c r="B10" s="29" t="str">
        <x:v>Possible assigned prompt</x:v>
      </x:c>
      <x:c r="C10" s="29" t="str">
        <x:v>Closed exposed?</x:v>
      </x:c>
      <x:c r="D10" s="29" t="str">
        <x:v>Upright exposed?</x:v>
      </x:c>
      <x:c r="E10" s="17" t="str">
        <x:v>Notes</x:v>
      </x:c>
    </x:row>
    <x:row r="11">
      <x:c r="A11" s="44" t="str">
        <x:v>Closed + upright</x:v>
      </x:c>
      <x:c r="B11" s="44" t="str">
        <x:v>Place a white cup in the bowl.</x:v>
      </x:c>
      <x:c r="C11" s="44" t="str">
        <x:v>No</x:v>
      </x:c>
      <x:c r="D11" s="44" t="str">
        <x:v>No</x:v>
      </x:c>
      <x:c r="E11" s="44" t="str">
        <x:v>Always generic because both physical semantics are held out.</x:v>
      </x:c>
    </x:row>
    <x:row r="12">
      <x:c r="A12" s="45" t="str">
        <x:v>Closed + upside down</x:v>
      </x:c>
      <x:c r="B12" s="45" t="str">
        <x:v>Generic OR upside-down</x:v>
      </x:c>
      <x:c r="C12" s="45" t="str">
        <x:v>No</x:v>
      </x:c>
      <x:c r="D12" s="45" t="str">
        <x:v>No</x:v>
      </x:c>
      <x:c r="E12" s="45" t="str">
        <x:v>Alternating assignment supplies both generic and explicit seen-orientation examples.</x:v>
      </x:c>
    </x:row>
    <x:row r="13">
      <x:c r="A13" s="45" t="str">
        <x:v>Open + upright</x:v>
      </x:c>
      <x:c r="B13" s="45" t="str">
        <x:v>Generic OR open</x:v>
      </x:c>
      <x:c r="C13" s="45" t="str">
        <x:v>No</x:v>
      </x:c>
      <x:c r="D13" s="45" t="str">
        <x:v>No</x:v>
      </x:c>
      <x:c r="E13" s="45" t="str">
        <x:v>Alternating assignment supplies both generic and explicit seen-state examples.</x:v>
      </x:c>
    </x:row>
    <x:row r="14">
      <x:c r="A14" s="46" t="str">
        <x:v>Open + upside down</x:v>
      </x:c>
      <x:c r="B14" s="46" t="str">
        <x:v>Generic OR open OR upside-down</x:v>
      </x:c>
      <x:c r="C14" s="46" t="str">
        <x:v>No</x:v>
      </x:c>
      <x:c r="D14" s="46" t="str">
        <x:v>No</x:v>
      </x:c>
      <x:c r="E14" s="46" t="str">
        <x:v>Explicit rows alternate between the two seen semantics.</x:v>
      </x:c>
    </x:row>
    <x:row r="17">
      <x:c r="A17" s="51" t="str">
        <x:v>Forbidden training wording</x:v>
      </x:c>
      <x:c r="B17" s="51" t="str"/>
      <x:c r="C17" s="51" t="str"/>
      <x:c r="D17" s="51" t="str"/>
      <x:c r="E17" s="51" t="str"/>
    </x:row>
    <x:row r="18">
      <x:c r="A18" s="52" t="str">
        <x:v>closed</x:v>
      </x:c>
      <x:c r="B18" t="str">
        <x:v>Direct held-out word</x:v>
      </x:c>
      <x:c r="C18" t="str"/>
      <x:c r="D18" t="str"/>
      <x:c r="E18" t="str"/>
    </x:row>
    <x:row r="19">
      <x:c r="A19" s="52" t="str">
        <x:v>upright / right-side-up</x:v>
      </x:c>
      <x:c r="B19" t="str">
        <x:v>Direct held-out concept or synonym</x:v>
      </x:c>
      <x:c r="C19" t="str"/>
      <x:c r="D19" t="str"/>
      <x:c r="E19" t="str"/>
    </x:row>
    <x:row r="20">
      <x:c r="A20" s="52" t="str">
        <x:v>not open</x:v>
      </x:c>
      <x:c r="B20" t="str">
        <x:v>Negated paraphrase of closed</x:v>
      </x:c>
      <x:c r="C20" t="str"/>
      <x:c r="D20" t="str"/>
      <x:c r="E20" t="str"/>
    </x:row>
    <x:row r="21">
      <x:c r="A21" s="52" t="str">
        <x:v>not upside down</x:v>
      </x:c>
      <x:c r="B21" t="str">
        <x:v>Negated paraphrase of upright</x:v>
      </x:c>
      <x:c r="C21" t="str"/>
      <x:c r="D21" t="str"/>
      <x:c r="E21" t="str"/>
    </x:row>
    <x:row r="24">
      <x:c r="A24" s="38" t="str">
        <x:v>Evaluation and reporting</x:v>
      </x:c>
      <x:c r="B24" s="38" t="str"/>
      <x:c r="C24" s="38" t="str"/>
      <x:c r="D24" s="38" t="str"/>
      <x:c r="E24" s="38" t="str"/>
    </x:row>
    <x:row r="25" ht="34" customHeight="1">
      <x:c r="A25" s="40" t="str">
        <x:v>Held-out prompts</x:v>
      </x:c>
      <x:c r="B25" s="39" t="str">
        <x:v>Evaluate closed and upright only in scenes where the held-out semantic uniquely selects the intended same-category target.</x:v>
      </x:c>
      <x:c r="C25" s="39" t="str"/>
      <x:c r="D25" s="39" t="str"/>
      <x:c r="E25" s="39" t="str"/>
    </x:row>
    <x:row r="26" ht="34" customHeight="1">
      <x:c r="A26" s="40" t="str">
        <x:v>Generic controls</x:v>
      </x:c>
      <x:c r="B26" s="39" t="str">
        <x:v>Count success on any valid_target_id, not only the demonstrated target.</x:v>
      </x:c>
      <x:c r="C26" s="39" t="str"/>
      <x:c r="D26" s="39" t="str"/>
      <x:c r="E26" s="39" t="str"/>
    </x:row>
    <x:row r="27" ht="34" customHeight="1">
      <x:c r="A27" s="40" t="str">
        <x:v>Model comparison</x:v>
      </x:c>
      <x:c r="B27" s="39" t="str">
        <x:v>Use the same sampler weights, task strings, camera inputs, and success-set evaluator for all three models.</x:v>
      </x:c>
      <x:c r="C27" s="39" t="str"/>
      <x:c r="D27" s="39" t="str"/>
      <x:c r="E27" s="39" t="str"/>
    </x:row>
    <x:row r="28" ht="34" customHeight="1">
      <x:c r="A28" s="40" t="str">
        <x:v>Camera check</x:v>
      </x:c>
      <x:c r="B28" s="39" t="str">
        <x:v>Visually validate the initial middle-camera frames. Wrist evidence obtained after target approach does not establish initial identifiability.</x:v>
      </x:c>
      <x:c r="C28" s="39" t="str"/>
      <x:c r="D28" s="39" t="str"/>
      <x:c r="E28" s="39" t="str"/>
    </x:row>
  </x:sheetData>
  <x:mergeCells>
    <x:mergeCell ref="A1:E1"/>
    <x:mergeCell ref="A2:E2"/>
    <x:mergeCell ref="A17:E17"/>
    <x:mergeCell ref="B18:E18"/>
    <x:mergeCell ref="B19:E19"/>
    <x:mergeCell ref="B20:E20"/>
    <x:mergeCell ref="B21:E21"/>
    <x:mergeCell ref="A24:E24"/>
    <x:mergeCell ref="B25:E25"/>
    <x:mergeCell ref="B26:E26"/>
    <x:mergeCell ref="B27:E27"/>
    <x:mergeCell ref="B28:E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46" hidden="0" customWidth="1"/>
    <x:col min="4" max="4" width="28" hidden="0" customWidth="1"/>
    <x:col min="5" max="5" width="18" hidden="0" customWidth="1"/>
    <x:col min="6" max="6" width="30" hidden="0" customWidth="1"/>
    <x:col min="7" max="7" width="34" hidden="0" customWidth="1"/>
    <x:col min="8" max="8" width="28" hidden="0" customWidth="1"/>
    <x:col min="9" max="9" width="14" hidden="0" customWidth="1"/>
    <x:col min="10" max="10" width="18" hidden="0" customWidth="1"/>
    <x:col min="11" max="11" width="15" hidden="0" customWidth="1"/>
    <x:col min="12" max="12" width="48" hidden="0" customWidth="1"/>
    <x:col min="13" max="13" width="18" hidden="0" customWidth="1"/>
    <x:col min="14" max="14" width="18" hidden="0" customWidth="1"/>
    <x:col min="15" max="15" width="65" hidden="0" customWidth="1"/>
    <x:col min="16" max="16" width="20" hidden="0" customWidth="1"/>
    <x:col min="17" max="17" width="55" hidden="0" customWidth="1"/>
    <x:col min="18" max="18" width="10" hidden="0" customWidth="1"/>
    <x:col min="19" max="19" width="30" hidden="0" customWidth="1"/>
    <x:col min="20" max="20" width="42" hidden="0" customWidth="1"/>
    <x:col min="21" max="21" width="20" hidden="0" customWidth="1"/>
  </x:cols>
  <x:sheetData>
    <x:row r="1" ht="30" customHeight="1">
      <x:c r="A1" s="3" t="str">
        <x:v>Episode-level semantic-holdout prompt masks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</x:row>
    <x:row r="2" ht="34" customHeight="1">
      <x:c r="A2" s="7" t="str">
        <x:v>Only the Training prompt column should be passed to the VLA. Physical labels, valid target sets, and balance strata are audit metadata.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</x:row>
    <x:row r="4" ht="30" customHeight="1">
      <x:c r="A4" s="16" t="str">
        <x:v>Episode</x:v>
      </x:c>
      <x:c r="B4" s="29" t="str">
        <x:v>Global episode ID</x:v>
      </x:c>
      <x:c r="C4" s="29" t="str">
        <x:v>Training prompt</x:v>
      </x:c>
      <x:c r="D4" s="29" t="str">
        <x:v>Prompt class</x:v>
      </x:c>
      <x:c r="E4" s="29" t="str">
        <x:v>Exposed semantic</x:v>
      </x:c>
      <x:c r="F4" s="29" t="str">
        <x:v>Held-out semantic(s) physically present</x:v>
      </x:c>
      <x:c r="G4" s="29" t="str">
        <x:v>Demonstrated target ID</x:v>
      </x:c>
      <x:c r="H4" s="29" t="str">
        <x:v>Target category</x:v>
      </x:c>
      <x:c r="I4" s="29" t="str">
        <x:v>Physical state</x:v>
      </x:c>
      <x:c r="J4" s="29" t="str">
        <x:v>Physical orientation</x:v>
      </x:c>
      <x:c r="K4" s="29" t="str">
        <x:v>Valid target count</x:v>
      </x:c>
      <x:c r="L4" s="29" t="str">
        <x:v>Valid target IDs</x:v>
      </x:c>
      <x:c r="M4" s="29" t="str">
        <x:v>Demonstrated target valid?</x:v>
      </x:c>
      <x:c r="N4" s="29" t="str">
        <x:v>Set-valued instruction?</x:v>
      </x:c>
      <x:c r="O4" s="29" t="str">
        <x:v>Mask operation</x:v>
      </x:c>
      <x:c r="P4" s="29" t="str">
        <x:v>Semantic leakage check</x:v>
      </x:c>
      <x:c r="Q4" s="29" t="str">
        <x:v>Sampling balance stratum</x:v>
      </x:c>
      <x:c r="R4" s="29" t="str">
        <x:v>Split</x:v>
      </x:c>
      <x:c r="S4" s="29" t="str">
        <x:v>Visual review</x:v>
      </x:c>
      <x:c r="T4" s="29" t="str">
        <x:v>Notes</x:v>
      </x:c>
      <x:c r="U4" s="17" t="str">
        <x:v>Relative sampling multiplier</x:v>
      </x:c>
    </x:row>
    <x:row r="5">
      <x:c r="A5" s="56" t="n">
        <x:v>0</x:v>
      </x:c>
      <x:c r="B5" s="54" t="str">
        <x:v>justintiensmith/MT_State_Recognition_200:000</x:v>
      </x:c>
      <x:c r="C5" s="55" t="str">
        <x:v>Place a white cup in the bowl.</x:v>
      </x:c>
      <x:c r="D5" s="55" t="str">
        <x:v>generic_mask</x:v>
      </x:c>
      <x:c r="E5" s="55" t="str">
        <x:v>none</x:v>
      </x:c>
      <x:c r="F5" s="55" t="str">
        <x:v>closed; upright</x:v>
      </x:c>
      <x:c r="G5" s="54" t="str">
        <x:v>white_cup_b</x:v>
      </x:c>
      <x:c r="H5" s="54" t="str">
        <x:v>white cup</x:v>
      </x:c>
      <x:c r="I5" s="54" t="str">
        <x:v>closed</x:v>
      </x:c>
      <x:c r="J5" s="54" t="str">
        <x:v>upright</x:v>
      </x:c>
      <x:c r="K5" s="56" t="n">
        <x:v>2</x:v>
      </x:c>
      <x:c r="L5" s="55" t="str">
        <x:v>["white_cup_b","white_cup_a"]</x:v>
      </x:c>
      <x:c r="M5" s="55" t="str">
        <x:v>PASS</x:v>
      </x:c>
      <x:c r="N5" s="55" t="str">
        <x:v>Yes</x:v>
      </x:c>
      <x:c r="O5" s="55" t="str">
        <x:v>Remove both state and orientation language; retain only the object category.</x:v>
      </x:c>
      <x:c r="P5" s="55" t="str">
        <x:v>PASS</x:v>
      </x:c>
      <x:c r="Q5" s="55" t="str">
        <x:v>generic_mask|white_cup|closed|right_side_up</x:v>
      </x:c>
      <x:c r="R5" s="55" t="str">
        <x:v>train</x:v>
      </x:c>
      <x:c r="S5" s="55" t="str">
        <x:v>Needs t0 middle-frame review</x:v>
      </x:c>
      <x:c r="T5" s="55" t="str">
        <x:v>Omitted physical attributes: closed; upright.</x:v>
      </x:c>
      <x:c r="U5" s="57" t="n">
        <x:f>'Sampler Weights'!K12</x:f>
        <x:v>0.3125</x:v>
      </x:c>
    </x:row>
    <x:row r="6">
      <x:c r="A6" s="56" t="n">
        <x:v>1</x:v>
      </x:c>
      <x:c r="B6" s="54" t="str">
        <x:v>justintiensmith/MT_State_Recognition_200:001</x:v>
      </x:c>
      <x:c r="C6" s="55" t="str">
        <x:v>Place a white cup in the bowl.</x:v>
      </x:c>
      <x:c r="D6" s="55" t="str">
        <x:v>generic_mask</x:v>
      </x:c>
      <x:c r="E6" s="55" t="str">
        <x:v>none</x:v>
      </x:c>
      <x:c r="F6" s="55" t="str">
        <x:v>upright</x:v>
      </x:c>
      <x:c r="G6" s="54" t="str">
        <x:v>white_cup_b</x:v>
      </x:c>
      <x:c r="H6" s="54" t="str">
        <x:v>white cup</x:v>
      </x:c>
      <x:c r="I6" s="54" t="str">
        <x:v>open</x:v>
      </x:c>
      <x:c r="J6" s="54" t="str">
        <x:v>upright</x:v>
      </x:c>
      <x:c r="K6" s="56" t="n">
        <x:v>2</x:v>
      </x:c>
      <x:c r="L6" s="55" t="str">
        <x:v>["white_cup_b","white_cup_a"]</x:v>
      </x:c>
      <x:c r="M6" s="55" t="str">
        <x:v>PASS</x:v>
      </x:c>
      <x:c r="N6" s="55" t="str">
        <x:v>Yes</x:v>
      </x:c>
      <x:c r="O6" s="55" t="str">
        <x:v>Remove both state and orientation language; retain only the object category.</x:v>
      </x:c>
      <x:c r="P6" s="55" t="str">
        <x:v>PASS</x:v>
      </x:c>
      <x:c r="Q6" s="55" t="str">
        <x:v>generic_mask|white_cup|open|right_side_up</x:v>
      </x:c>
      <x:c r="R6" s="55" t="str">
        <x:v>train</x:v>
      </x:c>
      <x:c r="S6" s="55" t="str">
        <x:v>Needs t0 middle-frame review</x:v>
      </x:c>
      <x:c r="T6" s="55" t="str">
        <x:v>Omitted physical attributes: open; upright.</x:v>
      </x:c>
      <x:c r="U6" s="57" t="n">
        <x:f>'Sampler Weights'!K13</x:f>
        <x:v>0.6944444444444444</x:v>
      </x:c>
    </x:row>
    <x:row r="7">
      <x:c r="A7" s="56" t="n">
        <x:v>2</x:v>
      </x:c>
      <x:c r="B7" s="54" t="str">
        <x:v>justintiensmith/MT_State_Recognition_200:002</x:v>
      </x:c>
      <x:c r="C7" s="55" t="str">
        <x:v>Place an open white cup in the bowl.</x:v>
      </x:c>
      <x:c r="D7" s="55" t="str">
        <x:v>explicit_seen_open</x:v>
      </x:c>
      <x:c r="E7" s="55" t="str">
        <x:v>open</x:v>
      </x:c>
      <x:c r="F7" s="55" t="str">
        <x:v>upright</x:v>
      </x:c>
      <x:c r="G7" s="54" t="str">
        <x:v>white_cup_a</x:v>
      </x:c>
      <x:c r="H7" s="54" t="str">
        <x:v>white cup</x:v>
      </x:c>
      <x:c r="I7" s="54" t="str">
        <x:v>open</x:v>
      </x:c>
      <x:c r="J7" s="54" t="str">
        <x:v>upright</x:v>
      </x:c>
      <x:c r="K7" s="56" t="n">
        <x:v>1</x:v>
      </x:c>
      <x:c r="L7" s="55" t="str">
        <x:v>["white_cup_a"]</x:v>
      </x:c>
      <x:c r="M7" s="55" t="str">
        <x:v>PASS</x:v>
      </x:c>
      <x:c r="N7" s="55" t="str">
        <x:v>No</x:v>
      </x:c>
      <x:c r="O7" s="55" t="str">
        <x:v>Keep the seen semantic open; remove all orientation language and all held-out wording.</x:v>
      </x:c>
      <x:c r="P7" s="55" t="str">
        <x:v>PASS</x:v>
      </x:c>
      <x:c r="Q7" s="55" t="str">
        <x:v>explicit_seen_open|white_cup|right_side_up</x:v>
      </x:c>
      <x:c r="R7" s="55" t="str">
        <x:v>train</x:v>
      </x:c>
      <x:c r="S7" s="55" t="str">
        <x:v>Needs t0 middle-frame review</x:v>
      </x:c>
      <x:c r="T7" s="55" t="str">
        <x:v>Omitted physical attributes: upright.</x:v>
      </x:c>
      <x:c r="U7" s="57" t="n">
        <x:f>'Sampler Weights'!K14</x:f>
        <x:v>0.6944444444444444</x:v>
      </x:c>
    </x:row>
    <x:row r="8">
      <x:c r="A8" s="56" t="n">
        <x:v>3</x:v>
      </x:c>
      <x:c r="B8" s="54" t="str">
        <x:v>justintiensmith/MT_State_Recognition_200:003</x:v>
      </x:c>
      <x:c r="C8" s="55" t="str">
        <x:v>Place a white cup in the bowl.</x:v>
      </x:c>
      <x:c r="D8" s="55" t="str">
        <x:v>generic_mask</x:v>
      </x:c>
      <x:c r="E8" s="55" t="str">
        <x:v>none</x:v>
      </x:c>
      <x:c r="F8" s="55" t="str">
        <x:v>closed; upright</x:v>
      </x:c>
      <x:c r="G8" s="54" t="str">
        <x:v>white_cup_a</x:v>
      </x:c>
      <x:c r="H8" s="54" t="str">
        <x:v>white cup</x:v>
      </x:c>
      <x:c r="I8" s="54" t="str">
        <x:v>closed</x:v>
      </x:c>
      <x:c r="J8" s="54" t="str">
        <x:v>upright</x:v>
      </x:c>
      <x:c r="K8" s="56" t="n">
        <x:v>2</x:v>
      </x:c>
      <x:c r="L8" s="55" t="str">
        <x:v>["white_cup_a","white_cup_b"]</x:v>
      </x:c>
      <x:c r="M8" s="55" t="str">
        <x:v>PASS</x:v>
      </x:c>
      <x:c r="N8" s="55" t="str">
        <x:v>Yes</x:v>
      </x:c>
      <x:c r="O8" s="55" t="str">
        <x:v>Remove both state and orientation language; retain only the object category.</x:v>
      </x:c>
      <x:c r="P8" s="55" t="str">
        <x:v>PASS</x:v>
      </x:c>
      <x:c r="Q8" s="55" t="str">
        <x:v>generic_mask|white_cup|closed|right_side_up</x:v>
      </x:c>
      <x:c r="R8" s="55" t="str">
        <x:v>train</x:v>
      </x:c>
      <x:c r="S8" s="55" t="str">
        <x:v>Needs t0 middle-frame review</x:v>
      </x:c>
      <x:c r="T8" s="55" t="str">
        <x:v>Omitted physical attributes: closed; upright.</x:v>
      </x:c>
      <x:c r="U8" s="57" t="n">
        <x:f>'Sampler Weights'!K15</x:f>
        <x:v>0.3125</x:v>
      </x:c>
    </x:row>
    <x:row r="9">
      <x:c r="A9" s="56" t="n">
        <x:v>4</x:v>
      </x:c>
      <x:c r="B9" s="54" t="str">
        <x:v>justintiensmith/MT_State_Recognition_200:004</x:v>
      </x:c>
      <x:c r="C9" s="55" t="str">
        <x:v>Place a white cup in the bowl.</x:v>
      </x:c>
      <x:c r="D9" s="55" t="str">
        <x:v>generic_mask</x:v>
      </x:c>
      <x:c r="E9" s="55" t="str">
        <x:v>none</x:v>
      </x:c>
      <x:c r="F9" s="55" t="str">
        <x:v>closed; upright</x:v>
      </x:c>
      <x:c r="G9" s="54" t="str">
        <x:v>white_cup_b</x:v>
      </x:c>
      <x:c r="H9" s="54" t="str">
        <x:v>white cup</x:v>
      </x:c>
      <x:c r="I9" s="54" t="str">
        <x:v>closed</x:v>
      </x:c>
      <x:c r="J9" s="54" t="str">
        <x:v>upright</x:v>
      </x:c>
      <x:c r="K9" s="56" t="n">
        <x:v>1</x:v>
      </x:c>
      <x:c r="L9" s="55" t="str">
        <x:v>["white_cup_b"]</x:v>
      </x:c>
      <x:c r="M9" s="55" t="str">
        <x:v>PASS</x:v>
      </x:c>
      <x:c r="N9" s="55" t="str">
        <x:v>No</x:v>
      </x:c>
      <x:c r="O9" s="55" t="str">
        <x:v>Remove both state and orientation language; retain only the object category.</x:v>
      </x:c>
      <x:c r="P9" s="55" t="str">
        <x:v>PASS</x:v>
      </x:c>
      <x:c r="Q9" s="55" t="str">
        <x:v>generic_mask|white_cup|closed|right_side_up</x:v>
      </x:c>
      <x:c r="R9" s="55" t="str">
        <x:v>train</x:v>
      </x:c>
      <x:c r="S9" s="55" t="str">
        <x:v>Needs t0 middle-frame review</x:v>
      </x:c>
      <x:c r="T9" s="55" t="str">
        <x:v>Omitted physical attributes: closed; upright.</x:v>
      </x:c>
      <x:c r="U9" s="57" t="n">
        <x:f>'Sampler Weights'!K16</x:f>
        <x:v>0.3125</x:v>
      </x:c>
    </x:row>
    <x:row r="10">
      <x:c r="A10" s="56" t="n">
        <x:v>5</x:v>
      </x:c>
      <x:c r="B10" s="54" t="str">
        <x:v>justintiensmith/MT_State_Recognition_200:005</x:v>
      </x:c>
      <x:c r="C10" s="55" t="str">
        <x:v>Place a white cup in the bowl.</x:v>
      </x:c>
      <x:c r="D10" s="55" t="str">
        <x:v>generic_mask</x:v>
      </x:c>
      <x:c r="E10" s="55" t="str">
        <x:v>none</x:v>
      </x:c>
      <x:c r="F10" s="55" t="str">
        <x:v>upright</x:v>
      </x:c>
      <x:c r="G10" s="54" t="str">
        <x:v>white_cup_b</x:v>
      </x:c>
      <x:c r="H10" s="54" t="str">
        <x:v>white cup</x:v>
      </x:c>
      <x:c r="I10" s="54" t="str">
        <x:v>open</x:v>
      </x:c>
      <x:c r="J10" s="54" t="str">
        <x:v>upright</x:v>
      </x:c>
      <x:c r="K10" s="56" t="n">
        <x:v>1</x:v>
      </x:c>
      <x:c r="L10" s="55" t="str">
        <x:v>["white_cup_b"]</x:v>
      </x:c>
      <x:c r="M10" s="55" t="str">
        <x:v>PASS</x:v>
      </x:c>
      <x:c r="N10" s="55" t="str">
        <x:v>No</x:v>
      </x:c>
      <x:c r="O10" s="55" t="str">
        <x:v>Remove both state and orientation language; retain only the object category.</x:v>
      </x:c>
      <x:c r="P10" s="55" t="str">
        <x:v>PASS</x:v>
      </x:c>
      <x:c r="Q10" s="55" t="str">
        <x:v>generic_mask|white_cup|open|right_side_up</x:v>
      </x:c>
      <x:c r="R10" s="55" t="str">
        <x:v>train</x:v>
      </x:c>
      <x:c r="S10" s="55" t="str">
        <x:v>Needs t0 middle-frame review</x:v>
      </x:c>
      <x:c r="T10" s="55" t="str">
        <x:v>Omitted physical attributes: open; upright.</x:v>
      </x:c>
      <x:c r="U10" s="57" t="n">
        <x:f>'Sampler Weights'!K17</x:f>
        <x:v>0.6944444444444444</x:v>
      </x:c>
    </x:row>
    <x:row r="11">
      <x:c r="A11" s="56" t="n">
        <x:v>6</x:v>
      </x:c>
      <x:c r="B11" s="54" t="str">
        <x:v>justintiensmith/MT_State_Recognition_200:006</x:v>
      </x:c>
      <x:c r="C11" s="55" t="str">
        <x:v>Place a white cup in the bowl.</x:v>
      </x:c>
      <x:c r="D11" s="55" t="str">
        <x:v>generic_mask</x:v>
      </x:c>
      <x:c r="E11" s="55" t="str">
        <x:v>none</x:v>
      </x:c>
      <x:c r="F11" s="55" t="str">
        <x:v>closed; upright</x:v>
      </x:c>
      <x:c r="G11" s="54" t="str">
        <x:v>white_cup_b</x:v>
      </x:c>
      <x:c r="H11" s="54" t="str">
        <x:v>white cup</x:v>
      </x:c>
      <x:c r="I11" s="54" t="str">
        <x:v>closed</x:v>
      </x:c>
      <x:c r="J11" s="54" t="str">
        <x:v>upright</x:v>
      </x:c>
      <x:c r="K11" s="56" t="n">
        <x:v>2</x:v>
      </x:c>
      <x:c r="L11" s="55" t="str">
        <x:v>["white_cup_b","white_cup_a"]</x:v>
      </x:c>
      <x:c r="M11" s="55" t="str">
        <x:v>PASS</x:v>
      </x:c>
      <x:c r="N11" s="55" t="str">
        <x:v>Yes</x:v>
      </x:c>
      <x:c r="O11" s="55" t="str">
        <x:v>Remove both state and orientation language; retain only the object category.</x:v>
      </x:c>
      <x:c r="P11" s="55" t="str">
        <x:v>PASS</x:v>
      </x:c>
      <x:c r="Q11" s="55" t="str">
        <x:v>generic_mask|white_cup|closed|right_side_up</x:v>
      </x:c>
      <x:c r="R11" s="55" t="str">
        <x:v>train</x:v>
      </x:c>
      <x:c r="S11" s="55" t="str">
        <x:v>Needs t0 middle-frame review</x:v>
      </x:c>
      <x:c r="T11" s="55" t="str">
        <x:v>Omitted physical attributes: closed; upright.</x:v>
      </x:c>
      <x:c r="U11" s="57" t="n">
        <x:f>'Sampler Weights'!K18</x:f>
        <x:v>0.3125</x:v>
      </x:c>
    </x:row>
    <x:row r="12">
      <x:c r="A12" s="56" t="n">
        <x:v>7</x:v>
      </x:c>
      <x:c r="B12" s="54" t="str">
        <x:v>justintiensmith/MT_State_Recognition_200:007</x:v>
      </x:c>
      <x:c r="C12" s="55" t="str">
        <x:v>Place a white cup in the bowl.</x:v>
      </x:c>
      <x:c r="D12" s="55" t="str">
        <x:v>generic_mask</x:v>
      </x:c>
      <x:c r="E12" s="55" t="str">
        <x:v>none</x:v>
      </x:c>
      <x:c r="F12" s="55" t="str">
        <x:v>closed; upright</x:v>
      </x:c>
      <x:c r="G12" s="54" t="str">
        <x:v>white_cup_a</x:v>
      </x:c>
      <x:c r="H12" s="54" t="str">
        <x:v>white cup</x:v>
      </x:c>
      <x:c r="I12" s="54" t="str">
        <x:v>closed</x:v>
      </x:c>
      <x:c r="J12" s="54" t="str">
        <x:v>upright</x:v>
      </x:c>
      <x:c r="K12" s="56" t="n">
        <x:v>2</x:v>
      </x:c>
      <x:c r="L12" s="55" t="str">
        <x:v>["white_cup_a","white_cup_b"]</x:v>
      </x:c>
      <x:c r="M12" s="55" t="str">
        <x:v>PASS</x:v>
      </x:c>
      <x:c r="N12" s="55" t="str">
        <x:v>Yes</x:v>
      </x:c>
      <x:c r="O12" s="55" t="str">
        <x:v>Remove both state and orientation language; retain only the object category.</x:v>
      </x:c>
      <x:c r="P12" s="55" t="str">
        <x:v>PASS</x:v>
      </x:c>
      <x:c r="Q12" s="55" t="str">
        <x:v>generic_mask|white_cup|closed|right_side_up</x:v>
      </x:c>
      <x:c r="R12" s="55" t="str">
        <x:v>train</x:v>
      </x:c>
      <x:c r="S12" s="55" t="str">
        <x:v>Needs t0 middle-frame review</x:v>
      </x:c>
      <x:c r="T12" s="55" t="str">
        <x:v>Omitted physical attributes: closed; upright.</x:v>
      </x:c>
      <x:c r="U12" s="57" t="n">
        <x:f>'Sampler Weights'!K19</x:f>
        <x:v>0.3125</x:v>
      </x:c>
    </x:row>
    <x:row r="13">
      <x:c r="A13" s="56" t="n">
        <x:v>8</x:v>
      </x:c>
      <x:c r="B13" s="54" t="str">
        <x:v>justintiensmith/MT_State_Recognition_200:008</x:v>
      </x:c>
      <x:c r="C13" s="55" t="str">
        <x:v>Place an open white cup in the bowl.</x:v>
      </x:c>
      <x:c r="D13" s="55" t="str">
        <x:v>explicit_seen_open</x:v>
      </x:c>
      <x:c r="E13" s="55" t="str">
        <x:v>open</x:v>
      </x:c>
      <x:c r="F13" s="55" t="str">
        <x:v>upright</x:v>
      </x:c>
      <x:c r="G13" s="54" t="str">
        <x:v>white_cup_a</x:v>
      </x:c>
      <x:c r="H13" s="54" t="str">
        <x:v>white cup</x:v>
      </x:c>
      <x:c r="I13" s="54" t="str">
        <x:v>open</x:v>
      </x:c>
      <x:c r="J13" s="54" t="str">
        <x:v>upright</x:v>
      </x:c>
      <x:c r="K13" s="56" t="n">
        <x:v>1</x:v>
      </x:c>
      <x:c r="L13" s="55" t="str">
        <x:v>["white_cup_a"]</x:v>
      </x:c>
      <x:c r="M13" s="55" t="str">
        <x:v>PASS</x:v>
      </x:c>
      <x:c r="N13" s="55" t="str">
        <x:v>No</x:v>
      </x:c>
      <x:c r="O13" s="55" t="str">
        <x:v>Keep the seen semantic open; remove all orientation language and all held-out wording.</x:v>
      </x:c>
      <x:c r="P13" s="55" t="str">
        <x:v>PASS</x:v>
      </x:c>
      <x:c r="Q13" s="55" t="str">
        <x:v>explicit_seen_open|white_cup|right_side_up</x:v>
      </x:c>
      <x:c r="R13" s="55" t="str">
        <x:v>train</x:v>
      </x:c>
      <x:c r="S13" s="55" t="str">
        <x:v>Needs t0 middle-frame review</x:v>
      </x:c>
      <x:c r="T13" s="55" t="str">
        <x:v>Omitted physical attributes: upright.</x:v>
      </x:c>
      <x:c r="U13" s="57" t="n">
        <x:f>'Sampler Weights'!K20</x:f>
        <x:v>0.6944444444444444</x:v>
      </x:c>
    </x:row>
    <x:row r="14">
      <x:c r="A14" s="56" t="n">
        <x:v>9</x:v>
      </x:c>
      <x:c r="B14" s="54" t="str">
        <x:v>justintiensmith/MT_State_Recognition_200:009</x:v>
      </x:c>
      <x:c r="C14" s="55" t="str">
        <x:v>Place a white cup in the bowl.</x:v>
      </x:c>
      <x:c r="D14" s="55" t="str">
        <x:v>generic_mask</x:v>
      </x:c>
      <x:c r="E14" s="55" t="str">
        <x:v>none</x:v>
      </x:c>
      <x:c r="F14" s="55" t="str">
        <x:v>upright</x:v>
      </x:c>
      <x:c r="G14" s="54" t="str">
        <x:v>white_cup_b</x:v>
      </x:c>
      <x:c r="H14" s="54" t="str">
        <x:v>white cup</x:v>
      </x:c>
      <x:c r="I14" s="54" t="str">
        <x:v>open</x:v>
      </x:c>
      <x:c r="J14" s="54" t="str">
        <x:v>upright</x:v>
      </x:c>
      <x:c r="K14" s="56" t="n">
        <x:v>2</x:v>
      </x:c>
      <x:c r="L14" s="55" t="str">
        <x:v>["white_cup_b","white_cup_a"]</x:v>
      </x:c>
      <x:c r="M14" s="55" t="str">
        <x:v>PASS</x:v>
      </x:c>
      <x:c r="N14" s="55" t="str">
        <x:v>Yes</x:v>
      </x:c>
      <x:c r="O14" s="55" t="str">
        <x:v>Remove both state and orientation language; retain only the object category.</x:v>
      </x:c>
      <x:c r="P14" s="55" t="str">
        <x:v>PASS</x:v>
      </x:c>
      <x:c r="Q14" s="55" t="str">
        <x:v>generic_mask|white_cup|open|right_side_up</x:v>
      </x:c>
      <x:c r="R14" s="55" t="str">
        <x:v>train</x:v>
      </x:c>
      <x:c r="S14" s="55" t="str">
        <x:v>Needs t0 middle-frame review</x:v>
      </x:c>
      <x:c r="T14" s="55" t="str">
        <x:v>Omitted physical attributes: open; upright.</x:v>
      </x:c>
      <x:c r="U14" s="57" t="n">
        <x:f>'Sampler Weights'!K21</x:f>
        <x:v>0.6944444444444444</x:v>
      </x:c>
    </x:row>
    <x:row r="15">
      <x:c r="A15" s="56" t="n">
        <x:v>10</x:v>
      </x:c>
      <x:c r="B15" s="54" t="str">
        <x:v>justintiensmith/MT_State_Recognition_200:010</x:v>
      </x:c>
      <x:c r="C15" s="55" t="str">
        <x:v>Place a white cup in the bowl.</x:v>
      </x:c>
      <x:c r="D15" s="55" t="str">
        <x:v>generic_mask</x:v>
      </x:c>
      <x:c r="E15" s="55" t="str">
        <x:v>none</x:v>
      </x:c>
      <x:c r="F15" s="55" t="str">
        <x:v>closed; upright</x:v>
      </x:c>
      <x:c r="G15" s="54" t="str">
        <x:v>white_cup_a</x:v>
      </x:c>
      <x:c r="H15" s="54" t="str">
        <x:v>white cup</x:v>
      </x:c>
      <x:c r="I15" s="54" t="str">
        <x:v>closed</x:v>
      </x:c>
      <x:c r="J15" s="54" t="str">
        <x:v>upright</x:v>
      </x:c>
      <x:c r="K15" s="56" t="n">
        <x:v>2</x:v>
      </x:c>
      <x:c r="L15" s="55" t="str">
        <x:v>["white_cup_a","white_cup_b"]</x:v>
      </x:c>
      <x:c r="M15" s="55" t="str">
        <x:v>PASS</x:v>
      </x:c>
      <x:c r="N15" s="55" t="str">
        <x:v>Yes</x:v>
      </x:c>
      <x:c r="O15" s="55" t="str">
        <x:v>Remove both state and orientation language; retain only the object category.</x:v>
      </x:c>
      <x:c r="P15" s="55" t="str">
        <x:v>PASS</x:v>
      </x:c>
      <x:c r="Q15" s="55" t="str">
        <x:v>generic_mask|white_cup|closed|right_side_up</x:v>
      </x:c>
      <x:c r="R15" s="55" t="str">
        <x:v>train</x:v>
      </x:c>
      <x:c r="S15" s="55" t="str">
        <x:v>Needs t0 middle-frame review</x:v>
      </x:c>
      <x:c r="T15" s="55" t="str">
        <x:v>Omitted physical attributes: closed; upright.</x:v>
      </x:c>
      <x:c r="U15" s="57" t="n">
        <x:f>'Sampler Weights'!K22</x:f>
        <x:v>0.3125</x:v>
      </x:c>
    </x:row>
    <x:row r="16">
      <x:c r="A16" s="56" t="n">
        <x:v>11</x:v>
      </x:c>
      <x:c r="B16" s="54" t="str">
        <x:v>justintiensmith/MT_State_Recognition_200:011</x:v>
      </x:c>
      <x:c r="C16" s="55" t="str">
        <x:v>Place an open white cup in the bowl.</x:v>
      </x:c>
      <x:c r="D16" s="55" t="str">
        <x:v>explicit_seen_open</x:v>
      </x:c>
      <x:c r="E16" s="55" t="str">
        <x:v>open</x:v>
      </x:c>
      <x:c r="F16" s="55" t="str">
        <x:v>upright</x:v>
      </x:c>
      <x:c r="G16" s="54" t="str">
        <x:v>white_cup_a</x:v>
      </x:c>
      <x:c r="H16" s="54" t="str">
        <x:v>white cup</x:v>
      </x:c>
      <x:c r="I16" s="54" t="str">
        <x:v>open</x:v>
      </x:c>
      <x:c r="J16" s="54" t="str">
        <x:v>upright</x:v>
      </x:c>
      <x:c r="K16" s="56" t="n">
        <x:v>1</x:v>
      </x:c>
      <x:c r="L16" s="55" t="str">
        <x:v>["white_cup_a"]</x:v>
      </x:c>
      <x:c r="M16" s="55" t="str">
        <x:v>PASS</x:v>
      </x:c>
      <x:c r="N16" s="55" t="str">
        <x:v>No</x:v>
      </x:c>
      <x:c r="O16" s="55" t="str">
        <x:v>Keep the seen semantic open; remove all orientation language and all held-out wording.</x:v>
      </x:c>
      <x:c r="P16" s="55" t="str">
        <x:v>PASS</x:v>
      </x:c>
      <x:c r="Q16" s="55" t="str">
        <x:v>explicit_seen_open|white_cup|right_side_up</x:v>
      </x:c>
      <x:c r="R16" s="55" t="str">
        <x:v>train</x:v>
      </x:c>
      <x:c r="S16" s="55" t="str">
        <x:v>Needs t0 middle-frame review</x:v>
      </x:c>
      <x:c r="T16" s="55" t="str">
        <x:v>Omitted physical attributes: upright.</x:v>
      </x:c>
      <x:c r="U16" s="57" t="n">
        <x:f>'Sampler Weights'!K23</x:f>
        <x:v>0.6944444444444444</x:v>
      </x:c>
    </x:row>
    <x:row r="17">
      <x:c r="A17" s="56" t="n">
        <x:v>12</x:v>
      </x:c>
      <x:c r="B17" s="54" t="str">
        <x:v>justintiensmith/MT_State_Recognition_200:012</x:v>
      </x:c>
      <x:c r="C17" s="55" t="str">
        <x:v>Place a white cup in the bowl.</x:v>
      </x:c>
      <x:c r="D17" s="55" t="str">
        <x:v>generic_mask</x:v>
      </x:c>
      <x:c r="E17" s="55" t="str">
        <x:v>none</x:v>
      </x:c>
      <x:c r="F17" s="55" t="str">
        <x:v>upright</x:v>
      </x:c>
      <x:c r="G17" s="54" t="str">
        <x:v>white_cup_a</x:v>
      </x:c>
      <x:c r="H17" s="54" t="str">
        <x:v>white cup</x:v>
      </x:c>
      <x:c r="I17" s="54" t="str">
        <x:v>open</x:v>
      </x:c>
      <x:c r="J17" s="54" t="str">
        <x:v>upright</x:v>
      </x:c>
      <x:c r="K17" s="56" t="n">
        <x:v>2</x:v>
      </x:c>
      <x:c r="L17" s="55" t="str">
        <x:v>["white_cup_a","white_cup_b"]</x:v>
      </x:c>
      <x:c r="M17" s="55" t="str">
        <x:v>PASS</x:v>
      </x:c>
      <x:c r="N17" s="55" t="str">
        <x:v>Yes</x:v>
      </x:c>
      <x:c r="O17" s="55" t="str">
        <x:v>Remove both state and orientation language; retain only the object category.</x:v>
      </x:c>
      <x:c r="P17" s="55" t="str">
        <x:v>PASS</x:v>
      </x:c>
      <x:c r="Q17" s="55" t="str">
        <x:v>generic_mask|white_cup|open|right_side_up</x:v>
      </x:c>
      <x:c r="R17" s="55" t="str">
        <x:v>train</x:v>
      </x:c>
      <x:c r="S17" s="55" t="str">
        <x:v>Needs t0 middle-frame review</x:v>
      </x:c>
      <x:c r="T17" s="55" t="str">
        <x:v>Omitted physical attributes: open; upright.</x:v>
      </x:c>
      <x:c r="U17" s="57" t="n">
        <x:f>'Sampler Weights'!K24</x:f>
        <x:v>0.6944444444444444</x:v>
      </x:c>
    </x:row>
    <x:row r="18">
      <x:c r="A18" s="56" t="n">
        <x:v>13</x:v>
      </x:c>
      <x:c r="B18" s="54" t="str">
        <x:v>justintiensmith/MT_State_Recognition_200:013</x:v>
      </x:c>
      <x:c r="C18" s="55" t="str">
        <x:v>Place a white cup in the bowl.</x:v>
      </x:c>
      <x:c r="D18" s="55" t="str">
        <x:v>generic_mask</x:v>
      </x:c>
      <x:c r="E18" s="55" t="str">
        <x:v>none</x:v>
      </x:c>
      <x:c r="F18" s="55" t="str">
        <x:v>closed; upright</x:v>
      </x:c>
      <x:c r="G18" s="54" t="str">
        <x:v>white_cup_b</x:v>
      </x:c>
      <x:c r="H18" s="54" t="str">
        <x:v>white cup</x:v>
      </x:c>
      <x:c r="I18" s="54" t="str">
        <x:v>closed</x:v>
      </x:c>
      <x:c r="J18" s="54" t="str">
        <x:v>upright</x:v>
      </x:c>
      <x:c r="K18" s="56" t="n">
        <x:v>1</x:v>
      </x:c>
      <x:c r="L18" s="55" t="str">
        <x:v>["white_cup_b"]</x:v>
      </x:c>
      <x:c r="M18" s="55" t="str">
        <x:v>PASS</x:v>
      </x:c>
      <x:c r="N18" s="55" t="str">
        <x:v>No</x:v>
      </x:c>
      <x:c r="O18" s="55" t="str">
        <x:v>Remove both state and orientation language; retain only the object category.</x:v>
      </x:c>
      <x:c r="P18" s="55" t="str">
        <x:v>PASS</x:v>
      </x:c>
      <x:c r="Q18" s="55" t="str">
        <x:v>generic_mask|white_cup|closed|right_side_up</x:v>
      </x:c>
      <x:c r="R18" s="55" t="str">
        <x:v>train</x:v>
      </x:c>
      <x:c r="S18" s="55" t="str">
        <x:v>Needs t0 middle-frame review</x:v>
      </x:c>
      <x:c r="T18" s="55" t="str">
        <x:v>Omitted physical attributes: closed; upright.</x:v>
      </x:c>
      <x:c r="U18" s="57" t="n">
        <x:f>'Sampler Weights'!K25</x:f>
        <x:v>0.3125</x:v>
      </x:c>
    </x:row>
    <x:row r="19">
      <x:c r="A19" s="56" t="n">
        <x:v>14</x:v>
      </x:c>
      <x:c r="B19" s="54" t="str">
        <x:v>justintiensmith/MT_State_Recognition_200:014</x:v>
      </x:c>
      <x:c r="C19" s="55" t="str">
        <x:v>Place an open white cup in the bowl.</x:v>
      </x:c>
      <x:c r="D19" s="55" t="str">
        <x:v>explicit_seen_open</x:v>
      </x:c>
      <x:c r="E19" s="55" t="str">
        <x:v>open</x:v>
      </x:c>
      <x:c r="F19" s="55" t="str">
        <x:v>upright</x:v>
      </x:c>
      <x:c r="G19" s="54" t="str">
        <x:v>white_cup_b</x:v>
      </x:c>
      <x:c r="H19" s="54" t="str">
        <x:v>white cup</x:v>
      </x:c>
      <x:c r="I19" s="54" t="str">
        <x:v>open</x:v>
      </x:c>
      <x:c r="J19" s="54" t="str">
        <x:v>upright</x:v>
      </x:c>
      <x:c r="K19" s="56" t="n">
        <x:v>1</x:v>
      </x:c>
      <x:c r="L19" s="55" t="str">
        <x:v>["white_cup_b"]</x:v>
      </x:c>
      <x:c r="M19" s="55" t="str">
        <x:v>PASS</x:v>
      </x:c>
      <x:c r="N19" s="55" t="str">
        <x:v>No</x:v>
      </x:c>
      <x:c r="O19" s="55" t="str">
        <x:v>Keep the seen semantic open; remove all orientation language and all held-out wording.</x:v>
      </x:c>
      <x:c r="P19" s="55" t="str">
        <x:v>PASS</x:v>
      </x:c>
      <x:c r="Q19" s="55" t="str">
        <x:v>explicit_seen_open|white_cup|right_side_up</x:v>
      </x:c>
      <x:c r="R19" s="55" t="str">
        <x:v>train</x:v>
      </x:c>
      <x:c r="S19" s="55" t="str">
        <x:v>Needs t0 middle-frame review</x:v>
      </x:c>
      <x:c r="T19" s="55" t="str">
        <x:v>Omitted physical attributes: upright.</x:v>
      </x:c>
      <x:c r="U19" s="57" t="n">
        <x:f>'Sampler Weights'!K26</x:f>
        <x:v>0.6944444444444444</x:v>
      </x:c>
    </x:row>
    <x:row r="20">
      <x:c r="A20" s="56" t="n">
        <x:v>15</x:v>
      </x:c>
      <x:c r="B20" s="54" t="str">
        <x:v>justintiensmith/MT_State_Recognition_200:015</x:v>
      </x:c>
      <x:c r="C20" s="55" t="str">
        <x:v>Place a white cup in the bowl.</x:v>
      </x:c>
      <x:c r="D20" s="55" t="str">
        <x:v>generic_mask</x:v>
      </x:c>
      <x:c r="E20" s="55" t="str">
        <x:v>none</x:v>
      </x:c>
      <x:c r="F20" s="55" t="str">
        <x:v>closed; upright</x:v>
      </x:c>
      <x:c r="G20" s="54" t="str">
        <x:v>white_cup_a</x:v>
      </x:c>
      <x:c r="H20" s="54" t="str">
        <x:v>white cup</x:v>
      </x:c>
      <x:c r="I20" s="54" t="str">
        <x:v>closed</x:v>
      </x:c>
      <x:c r="J20" s="54" t="str">
        <x:v>upright</x:v>
      </x:c>
      <x:c r="K20" s="56" t="n">
        <x:v>2</x:v>
      </x:c>
      <x:c r="L20" s="55" t="str">
        <x:v>["white_cup_a","white_cup_b"]</x:v>
      </x:c>
      <x:c r="M20" s="55" t="str">
        <x:v>PASS</x:v>
      </x:c>
      <x:c r="N20" s="55" t="str">
        <x:v>Yes</x:v>
      </x:c>
      <x:c r="O20" s="55" t="str">
        <x:v>Remove both state and orientation language; retain only the object category.</x:v>
      </x:c>
      <x:c r="P20" s="55" t="str">
        <x:v>PASS</x:v>
      </x:c>
      <x:c r="Q20" s="55" t="str">
        <x:v>generic_mask|white_cup|closed|right_side_up</x:v>
      </x:c>
      <x:c r="R20" s="55" t="str">
        <x:v>train</x:v>
      </x:c>
      <x:c r="S20" s="55" t="str">
        <x:v>Needs t0 middle-frame review</x:v>
      </x:c>
      <x:c r="T20" s="55" t="str">
        <x:v>Omitted physical attributes: closed; upright.</x:v>
      </x:c>
      <x:c r="U20" s="57" t="n">
        <x:f>'Sampler Weights'!K27</x:f>
        <x:v>0.3125</x:v>
      </x:c>
    </x:row>
    <x:row r="21">
      <x:c r="A21" s="56" t="n">
        <x:v>16</x:v>
      </x:c>
      <x:c r="B21" s="54" t="str">
        <x:v>justintiensmith/MT_State_Recognition_200:016</x:v>
      </x:c>
      <x:c r="C21" s="55" t="str">
        <x:v>Place a white cup in the bowl.</x:v>
      </x:c>
      <x:c r="D21" s="55" t="str">
        <x:v>generic_mask</x:v>
      </x:c>
      <x:c r="E21" s="55" t="str">
        <x:v>none</x:v>
      </x:c>
      <x:c r="F21" s="55" t="str">
        <x:v>closed; upright</x:v>
      </x:c>
      <x:c r="G21" s="54" t="str">
        <x:v>white_cup_a</x:v>
      </x:c>
      <x:c r="H21" s="54" t="str">
        <x:v>white cup</x:v>
      </x:c>
      <x:c r="I21" s="54" t="str">
        <x:v>closed</x:v>
      </x:c>
      <x:c r="J21" s="54" t="str">
        <x:v>upright</x:v>
      </x:c>
      <x:c r="K21" s="56" t="n">
        <x:v>2</x:v>
      </x:c>
      <x:c r="L21" s="55" t="str">
        <x:v>["white_cup_a","white_cup_b"]</x:v>
      </x:c>
      <x:c r="M21" s="55" t="str">
        <x:v>PASS</x:v>
      </x:c>
      <x:c r="N21" s="55" t="str">
        <x:v>Yes</x:v>
      </x:c>
      <x:c r="O21" s="55" t="str">
        <x:v>Remove both state and orientation language; retain only the object category.</x:v>
      </x:c>
      <x:c r="P21" s="55" t="str">
        <x:v>PASS</x:v>
      </x:c>
      <x:c r="Q21" s="55" t="str">
        <x:v>generic_mask|white_cup|closed|right_side_up</x:v>
      </x:c>
      <x:c r="R21" s="55" t="str">
        <x:v>train</x:v>
      </x:c>
      <x:c r="S21" s="55" t="str">
        <x:v>Needs t0 middle-frame review</x:v>
      </x:c>
      <x:c r="T21" s="55" t="str">
        <x:v>Omitted physical attributes: closed; upright.</x:v>
      </x:c>
      <x:c r="U21" s="57" t="n">
        <x:f>'Sampler Weights'!K28</x:f>
        <x:v>0.3125</x:v>
      </x:c>
    </x:row>
    <x:row r="22">
      <x:c r="A22" s="56" t="n">
        <x:v>17</x:v>
      </x:c>
      <x:c r="B22" s="54" t="str">
        <x:v>justintiensmith/MT_State_Recognition_200:017</x:v>
      </x:c>
      <x:c r="C22" s="55" t="str">
        <x:v>Place a white cup in the bowl.</x:v>
      </x:c>
      <x:c r="D22" s="55" t="str">
        <x:v>generic_mask</x:v>
      </x:c>
      <x:c r="E22" s="55" t="str">
        <x:v>none</x:v>
      </x:c>
      <x:c r="F22" s="55" t="str">
        <x:v>upright</x:v>
      </x:c>
      <x:c r="G22" s="54" t="str">
        <x:v>white_cup_b</x:v>
      </x:c>
      <x:c r="H22" s="54" t="str">
        <x:v>white cup</x:v>
      </x:c>
      <x:c r="I22" s="54" t="str">
        <x:v>open</x:v>
      </x:c>
      <x:c r="J22" s="54" t="str">
        <x:v>upright</x:v>
      </x:c>
      <x:c r="K22" s="56" t="n">
        <x:v>2</x:v>
      </x:c>
      <x:c r="L22" s="55" t="str">
        <x:v>["white_cup_b","white_cup_a"]</x:v>
      </x:c>
      <x:c r="M22" s="55" t="str">
        <x:v>PASS</x:v>
      </x:c>
      <x:c r="N22" s="55" t="str">
        <x:v>Yes</x:v>
      </x:c>
      <x:c r="O22" s="55" t="str">
        <x:v>Remove both state and orientation language; retain only the object category.</x:v>
      </x:c>
      <x:c r="P22" s="55" t="str">
        <x:v>PASS</x:v>
      </x:c>
      <x:c r="Q22" s="55" t="str">
        <x:v>generic_mask|white_cup|open|right_side_up</x:v>
      </x:c>
      <x:c r="R22" s="55" t="str">
        <x:v>train</x:v>
      </x:c>
      <x:c r="S22" s="55" t="str">
        <x:v>Needs t0 middle-frame review</x:v>
      </x:c>
      <x:c r="T22" s="55" t="str">
        <x:v>Omitted physical attributes: open; upright.</x:v>
      </x:c>
      <x:c r="U22" s="57" t="n">
        <x:f>'Sampler Weights'!K29</x:f>
        <x:v>0.6944444444444444</x:v>
      </x:c>
    </x:row>
    <x:row r="23">
      <x:c r="A23" s="56" t="n">
        <x:v>18</x:v>
      </x:c>
      <x:c r="B23" s="54" t="str">
        <x:v>justintiensmith/MT_State_Recognition_200:018</x:v>
      </x:c>
      <x:c r="C23" s="55" t="str">
        <x:v>Place a white cup in the bowl.</x:v>
      </x:c>
      <x:c r="D23" s="55" t="str">
        <x:v>generic_mask</x:v>
      </x:c>
      <x:c r="E23" s="55" t="str">
        <x:v>none</x:v>
      </x:c>
      <x:c r="F23" s="55" t="str">
        <x:v>closed; upright</x:v>
      </x:c>
      <x:c r="G23" s="54" t="str">
        <x:v>white_cup_a</x:v>
      </x:c>
      <x:c r="H23" s="54" t="str">
        <x:v>white cup</x:v>
      </x:c>
      <x:c r="I23" s="54" t="str">
        <x:v>closed</x:v>
      </x:c>
      <x:c r="J23" s="54" t="str">
        <x:v>upright</x:v>
      </x:c>
      <x:c r="K23" s="56" t="n">
        <x:v>1</x:v>
      </x:c>
      <x:c r="L23" s="55" t="str">
        <x:v>["white_cup_a"]</x:v>
      </x:c>
      <x:c r="M23" s="55" t="str">
        <x:v>PASS</x:v>
      </x:c>
      <x:c r="N23" s="55" t="str">
        <x:v>No</x:v>
      </x:c>
      <x:c r="O23" s="55" t="str">
        <x:v>Remove both state and orientation language; retain only the object category.</x:v>
      </x:c>
      <x:c r="P23" s="55" t="str">
        <x:v>PASS</x:v>
      </x:c>
      <x:c r="Q23" s="55" t="str">
        <x:v>generic_mask|white_cup|closed|right_side_up</x:v>
      </x:c>
      <x:c r="R23" s="55" t="str">
        <x:v>train</x:v>
      </x:c>
      <x:c r="S23" s="55" t="str">
        <x:v>Needs t0 middle-frame review</x:v>
      </x:c>
      <x:c r="T23" s="55" t="str">
        <x:v>Omitted physical attributes: closed; upright.</x:v>
      </x:c>
      <x:c r="U23" s="57" t="n">
        <x:f>'Sampler Weights'!K30</x:f>
        <x:v>0.3125</x:v>
      </x:c>
    </x:row>
    <x:row r="24">
      <x:c r="A24" s="56" t="n">
        <x:v>19</x:v>
      </x:c>
      <x:c r="B24" s="54" t="str">
        <x:v>justintiensmith/MT_State_Recognition_200:019</x:v>
      </x:c>
      <x:c r="C24" s="55" t="str">
        <x:v>Place an open white cup in the bowl.</x:v>
      </x:c>
      <x:c r="D24" s="55" t="str">
        <x:v>explicit_seen_open</x:v>
      </x:c>
      <x:c r="E24" s="55" t="str">
        <x:v>open</x:v>
      </x:c>
      <x:c r="F24" s="55" t="str">
        <x:v>upright</x:v>
      </x:c>
      <x:c r="G24" s="54" t="str">
        <x:v>white_cup_b</x:v>
      </x:c>
      <x:c r="H24" s="54" t="str">
        <x:v>white cup</x:v>
      </x:c>
      <x:c r="I24" s="54" t="str">
        <x:v>open</x:v>
      </x:c>
      <x:c r="J24" s="54" t="str">
        <x:v>upright</x:v>
      </x:c>
      <x:c r="K24" s="56" t="n">
        <x:v>1</x:v>
      </x:c>
      <x:c r="L24" s="55" t="str">
        <x:v>["white_cup_b"]</x:v>
      </x:c>
      <x:c r="M24" s="55" t="str">
        <x:v>PASS</x:v>
      </x:c>
      <x:c r="N24" s="55" t="str">
        <x:v>No</x:v>
      </x:c>
      <x:c r="O24" s="55" t="str">
        <x:v>Keep the seen semantic open; remove all orientation language and all held-out wording.</x:v>
      </x:c>
      <x:c r="P24" s="55" t="str">
        <x:v>PASS</x:v>
      </x:c>
      <x:c r="Q24" s="55" t="str">
        <x:v>explicit_seen_open|white_cup|right_side_up</x:v>
      </x:c>
      <x:c r="R24" s="55" t="str">
        <x:v>train</x:v>
      </x:c>
      <x:c r="S24" s="55" t="str">
        <x:v>Needs t0 middle-frame review</x:v>
      </x:c>
      <x:c r="T24" s="55" t="str">
        <x:v>Omitted physical attributes: upright.</x:v>
      </x:c>
      <x:c r="U24" s="57" t="n">
        <x:f>'Sampler Weights'!K31</x:f>
        <x:v>0.6944444444444444</x:v>
      </x:c>
    </x:row>
    <x:row r="25">
      <x:c r="A25" s="56" t="n">
        <x:v>20</x:v>
      </x:c>
      <x:c r="B25" s="54" t="str">
        <x:v>justintiensmith/MT_State_Recognition_200:020</x:v>
      </x:c>
      <x:c r="C25" s="55" t="str">
        <x:v>Place a white cup in the bowl.</x:v>
      </x:c>
      <x:c r="D25" s="55" t="str">
        <x:v>generic_mask</x:v>
      </x:c>
      <x:c r="E25" s="55" t="str">
        <x:v>none</x:v>
      </x:c>
      <x:c r="F25" s="55" t="str">
        <x:v>upright</x:v>
      </x:c>
      <x:c r="G25" s="54" t="str">
        <x:v>white_cup_a</x:v>
      </x:c>
      <x:c r="H25" s="54" t="str">
        <x:v>white cup</x:v>
      </x:c>
      <x:c r="I25" s="54" t="str">
        <x:v>open</x:v>
      </x:c>
      <x:c r="J25" s="54" t="str">
        <x:v>upright</x:v>
      </x:c>
      <x:c r="K25" s="56" t="n">
        <x:v>1</x:v>
      </x:c>
      <x:c r="L25" s="55" t="str">
        <x:v>["white_cup_a"]</x:v>
      </x:c>
      <x:c r="M25" s="55" t="str">
        <x:v>PASS</x:v>
      </x:c>
      <x:c r="N25" s="55" t="str">
        <x:v>No</x:v>
      </x:c>
      <x:c r="O25" s="55" t="str">
        <x:v>Remove both state and orientation language; retain only the object category.</x:v>
      </x:c>
      <x:c r="P25" s="55" t="str">
        <x:v>PASS</x:v>
      </x:c>
      <x:c r="Q25" s="55" t="str">
        <x:v>generic_mask|white_cup|open|right_side_up</x:v>
      </x:c>
      <x:c r="R25" s="55" t="str">
        <x:v>train</x:v>
      </x:c>
      <x:c r="S25" s="55" t="str">
        <x:v>Needs t0 middle-frame review</x:v>
      </x:c>
      <x:c r="T25" s="55" t="str">
        <x:v>Omitted physical attributes: open; upright.</x:v>
      </x:c>
      <x:c r="U25" s="57" t="n">
        <x:f>'Sampler Weights'!K32</x:f>
        <x:v>0.6944444444444444</x:v>
      </x:c>
    </x:row>
    <x:row r="26">
      <x:c r="A26" s="56" t="n">
        <x:v>21</x:v>
      </x:c>
      <x:c r="B26" s="54" t="str">
        <x:v>justintiensmith/MT_State_Recognition_200:021</x:v>
      </x:c>
      <x:c r="C26" s="55" t="str">
        <x:v>Place a white cup in the bowl.</x:v>
      </x:c>
      <x:c r="D26" s="55" t="str">
        <x:v>generic_mask</x:v>
      </x:c>
      <x:c r="E26" s="55" t="str">
        <x:v>none</x:v>
      </x:c>
      <x:c r="F26" s="55" t="str">
        <x:v>closed; upright</x:v>
      </x:c>
      <x:c r="G26" s="54" t="str">
        <x:v>white_cup_b</x:v>
      </x:c>
      <x:c r="H26" s="54" t="str">
        <x:v>white cup</x:v>
      </x:c>
      <x:c r="I26" s="54" t="str">
        <x:v>closed</x:v>
      </x:c>
      <x:c r="J26" s="54" t="str">
        <x:v>upright</x:v>
      </x:c>
      <x:c r="K26" s="56" t="n">
        <x:v>2</x:v>
      </x:c>
      <x:c r="L26" s="55" t="str">
        <x:v>["white_cup_b","white_cup_a"]</x:v>
      </x:c>
      <x:c r="M26" s="55" t="str">
        <x:v>PASS</x:v>
      </x:c>
      <x:c r="N26" s="55" t="str">
        <x:v>Yes</x:v>
      </x:c>
      <x:c r="O26" s="55" t="str">
        <x:v>Remove both state and orientation language; retain only the object category.</x:v>
      </x:c>
      <x:c r="P26" s="55" t="str">
        <x:v>PASS</x:v>
      </x:c>
      <x:c r="Q26" s="55" t="str">
        <x:v>generic_mask|white_cup|closed|right_side_up</x:v>
      </x:c>
      <x:c r="R26" s="55" t="str">
        <x:v>train</x:v>
      </x:c>
      <x:c r="S26" s="55" t="str">
        <x:v>Needs t0 middle-frame review</x:v>
      </x:c>
      <x:c r="T26" s="55" t="str">
        <x:v>Omitted physical attributes: closed; upright.</x:v>
      </x:c>
      <x:c r="U26" s="57" t="n">
        <x:f>'Sampler Weights'!K33</x:f>
        <x:v>0.3125</x:v>
      </x:c>
    </x:row>
    <x:row r="27">
      <x:c r="A27" s="56" t="n">
        <x:v>22</x:v>
      </x:c>
      <x:c r="B27" s="54" t="str">
        <x:v>justintiensmith/MT_State_Recognition_200:022</x:v>
      </x:c>
      <x:c r="C27" s="55" t="str">
        <x:v>Place an open white cup in the bowl.</x:v>
      </x:c>
      <x:c r="D27" s="55" t="str">
        <x:v>explicit_seen_open</x:v>
      </x:c>
      <x:c r="E27" s="55" t="str">
        <x:v>open</x:v>
      </x:c>
      <x:c r="F27" s="55" t="str">
        <x:v>upright</x:v>
      </x:c>
      <x:c r="G27" s="54" t="str">
        <x:v>white_cup_b</x:v>
      </x:c>
      <x:c r="H27" s="54" t="str">
        <x:v>white cup</x:v>
      </x:c>
      <x:c r="I27" s="54" t="str">
        <x:v>open</x:v>
      </x:c>
      <x:c r="J27" s="54" t="str">
        <x:v>upright</x:v>
      </x:c>
      <x:c r="K27" s="56" t="n">
        <x:v>1</x:v>
      </x:c>
      <x:c r="L27" s="55" t="str">
        <x:v>["white_cup_b"]</x:v>
      </x:c>
      <x:c r="M27" s="55" t="str">
        <x:v>PASS</x:v>
      </x:c>
      <x:c r="N27" s="55" t="str">
        <x:v>No</x:v>
      </x:c>
      <x:c r="O27" s="55" t="str">
        <x:v>Keep the seen semantic open; remove all orientation language and all held-out wording.</x:v>
      </x:c>
      <x:c r="P27" s="55" t="str">
        <x:v>PASS</x:v>
      </x:c>
      <x:c r="Q27" s="55" t="str">
        <x:v>explicit_seen_open|white_cup|right_side_up</x:v>
      </x:c>
      <x:c r="R27" s="55" t="str">
        <x:v>train</x:v>
      </x:c>
      <x:c r="S27" s="55" t="str">
        <x:v>Needs t0 middle-frame review</x:v>
      </x:c>
      <x:c r="T27" s="55" t="str">
        <x:v>Omitted physical attributes: upright.</x:v>
      </x:c>
      <x:c r="U27" s="57" t="n">
        <x:f>'Sampler Weights'!K34</x:f>
        <x:v>0.6944444444444444</x:v>
      </x:c>
    </x:row>
    <x:row r="28">
      <x:c r="A28" s="56" t="n">
        <x:v>23</x:v>
      </x:c>
      <x:c r="B28" s="54" t="str">
        <x:v>justintiensmith/MT_State_Recognition_200:023</x:v>
      </x:c>
      <x:c r="C28" s="55" t="str">
        <x:v>Place a white cup in the bowl.</x:v>
      </x:c>
      <x:c r="D28" s="55" t="str">
        <x:v>generic_mask</x:v>
      </x:c>
      <x:c r="E28" s="55" t="str">
        <x:v>none</x:v>
      </x:c>
      <x:c r="F28" s="55" t="str">
        <x:v>closed; upright</x:v>
      </x:c>
      <x:c r="G28" s="54" t="str">
        <x:v>white_cup_a</x:v>
      </x:c>
      <x:c r="H28" s="54" t="str">
        <x:v>white cup</x:v>
      </x:c>
      <x:c r="I28" s="54" t="str">
        <x:v>closed</x:v>
      </x:c>
      <x:c r="J28" s="54" t="str">
        <x:v>upright</x:v>
      </x:c>
      <x:c r="K28" s="56" t="n">
        <x:v>2</x:v>
      </x:c>
      <x:c r="L28" s="55" t="str">
        <x:v>["white_cup_a","white_cup_b"]</x:v>
      </x:c>
      <x:c r="M28" s="55" t="str">
        <x:v>PASS</x:v>
      </x:c>
      <x:c r="N28" s="55" t="str">
        <x:v>Yes</x:v>
      </x:c>
      <x:c r="O28" s="55" t="str">
        <x:v>Remove both state and orientation language; retain only the object category.</x:v>
      </x:c>
      <x:c r="P28" s="55" t="str">
        <x:v>PASS</x:v>
      </x:c>
      <x:c r="Q28" s="55" t="str">
        <x:v>generic_mask|white_cup|closed|right_side_up</x:v>
      </x:c>
      <x:c r="R28" s="55" t="str">
        <x:v>train</x:v>
      </x:c>
      <x:c r="S28" s="55" t="str">
        <x:v>Needs t0 middle-frame review</x:v>
      </x:c>
      <x:c r="T28" s="55" t="str">
        <x:v>Omitted physical attributes: closed; upright.</x:v>
      </x:c>
      <x:c r="U28" s="57" t="n">
        <x:f>'Sampler Weights'!K35</x:f>
        <x:v>0.3125</x:v>
      </x:c>
    </x:row>
    <x:row r="29">
      <x:c r="A29" s="56" t="n">
        <x:v>24</x:v>
      </x:c>
      <x:c r="B29" s="54" t="str">
        <x:v>justintiensmith/MT_State_Recognition_200:024</x:v>
      </x:c>
      <x:c r="C29" s="55" t="str">
        <x:v>Place a white cup in the bowl.</x:v>
      </x:c>
      <x:c r="D29" s="55" t="str">
        <x:v>generic_mask</x:v>
      </x:c>
      <x:c r="E29" s="55" t="str">
        <x:v>none</x:v>
      </x:c>
      <x:c r="F29" s="55" t="str">
        <x:v>upright</x:v>
      </x:c>
      <x:c r="G29" s="54" t="str">
        <x:v>white_cup_a</x:v>
      </x:c>
      <x:c r="H29" s="54" t="str">
        <x:v>white cup</x:v>
      </x:c>
      <x:c r="I29" s="54" t="str">
        <x:v>open</x:v>
      </x:c>
      <x:c r="J29" s="54" t="str">
        <x:v>upright</x:v>
      </x:c>
      <x:c r="K29" s="56" t="n">
        <x:v>2</x:v>
      </x:c>
      <x:c r="L29" s="55" t="str">
        <x:v>["white_cup_a","white_cup_b"]</x:v>
      </x:c>
      <x:c r="M29" s="55" t="str">
        <x:v>PASS</x:v>
      </x:c>
      <x:c r="N29" s="55" t="str">
        <x:v>Yes</x:v>
      </x:c>
      <x:c r="O29" s="55" t="str">
        <x:v>Remove both state and orientation language; retain only the object category.</x:v>
      </x:c>
      <x:c r="P29" s="55" t="str">
        <x:v>PASS</x:v>
      </x:c>
      <x:c r="Q29" s="55" t="str">
        <x:v>generic_mask|white_cup|open|right_side_up</x:v>
      </x:c>
      <x:c r="R29" s="55" t="str">
        <x:v>train</x:v>
      </x:c>
      <x:c r="S29" s="55" t="str">
        <x:v>Needs t0 middle-frame review</x:v>
      </x:c>
      <x:c r="T29" s="55" t="str">
        <x:v>Omitted physical attributes: open; upright.</x:v>
      </x:c>
      <x:c r="U29" s="57" t="n">
        <x:f>'Sampler Weights'!K36</x:f>
        <x:v>0.6944444444444444</x:v>
      </x:c>
    </x:row>
    <x:row r="30">
      <x:c r="A30" s="56" t="n">
        <x:v>25</x:v>
      </x:c>
      <x:c r="B30" s="54" t="str">
        <x:v>justintiensmith/MT_State_Recognition_200:025</x:v>
      </x:c>
      <x:c r="C30" s="55" t="str">
        <x:v>Place a white cup in the bowl.</x:v>
      </x:c>
      <x:c r="D30" s="55" t="str">
        <x:v>generic_mask</x:v>
      </x:c>
      <x:c r="E30" s="55" t="str">
        <x:v>none</x:v>
      </x:c>
      <x:c r="F30" s="55" t="str">
        <x:v>closed</x:v>
      </x:c>
      <x:c r="G30" s="54" t="str">
        <x:v>white_cup_b</x:v>
      </x:c>
      <x:c r="H30" s="54" t="str">
        <x:v>white cup</x:v>
      </x:c>
      <x:c r="I30" s="54" t="str">
        <x:v>closed</x:v>
      </x:c>
      <x:c r="J30" s="54" t="str">
        <x:v>upside down</x:v>
      </x:c>
      <x:c r="K30" s="56" t="n">
        <x:v>1</x:v>
      </x:c>
      <x:c r="L30" s="55" t="str">
        <x:v>["white_cup_b"]</x:v>
      </x:c>
      <x:c r="M30" s="55" t="str">
        <x:v>PASS</x:v>
      </x:c>
      <x:c r="N30" s="55" t="str">
        <x:v>No</x:v>
      </x:c>
      <x:c r="O30" s="55" t="str">
        <x:v>Remove both state and orientation language; retain only the object category.</x:v>
      </x:c>
      <x:c r="P30" s="55" t="str">
        <x:v>PASS</x:v>
      </x:c>
      <x:c r="Q30" s="55" t="str">
        <x:v>generic_mask|white_cup|closed|upside_down</x:v>
      </x:c>
      <x:c r="R30" s="55" t="str">
        <x:v>train</x:v>
      </x:c>
      <x:c r="S30" s="55" t="str">
        <x:v>Needs t0 middle-frame review</x:v>
      </x:c>
      <x:c r="T30" s="55" t="str">
        <x:v>Omitted physical attributes: closed; upside down.</x:v>
      </x:c>
      <x:c r="U30" s="57" t="n">
        <x:f>'Sampler Weights'!K37</x:f>
        <x:v>2.083333333333333</x:v>
      </x:c>
    </x:row>
    <x:row r="31">
      <x:c r="A31" s="56" t="n">
        <x:v>26</x:v>
      </x:c>
      <x:c r="B31" s="54" t="str">
        <x:v>justintiensmith/MT_State_Recognition_200:026</x:v>
      </x:c>
      <x:c r="C31" s="55" t="str">
        <x:v>Place an open white cup in the bowl.</x:v>
      </x:c>
      <x:c r="D31" s="55" t="str">
        <x:v>explicit_seen_open</x:v>
      </x:c>
      <x:c r="E31" s="55" t="str">
        <x:v>open</x:v>
      </x:c>
      <x:c r="F31" s="55" t="str">
        <x:v>upright</x:v>
      </x:c>
      <x:c r="G31" s="54" t="str">
        <x:v>white_cup_a</x:v>
      </x:c>
      <x:c r="H31" s="54" t="str">
        <x:v>white cup</x:v>
      </x:c>
      <x:c r="I31" s="54" t="str">
        <x:v>open</x:v>
      </x:c>
      <x:c r="J31" s="54" t="str">
        <x:v>upright</x:v>
      </x:c>
      <x:c r="K31" s="56" t="n">
        <x:v>1</x:v>
      </x:c>
      <x:c r="L31" s="55" t="str">
        <x:v>["white_cup_a"]</x:v>
      </x:c>
      <x:c r="M31" s="55" t="str">
        <x:v>PASS</x:v>
      </x:c>
      <x:c r="N31" s="55" t="str">
        <x:v>No</x:v>
      </x:c>
      <x:c r="O31" s="55" t="str">
        <x:v>Keep the seen semantic open; remove all orientation language and all held-out wording.</x:v>
      </x:c>
      <x:c r="P31" s="55" t="str">
        <x:v>PASS</x:v>
      </x:c>
      <x:c r="Q31" s="55" t="str">
        <x:v>explicit_seen_open|white_cup|right_side_up</x:v>
      </x:c>
      <x:c r="R31" s="55" t="str">
        <x:v>train</x:v>
      </x:c>
      <x:c r="S31" s="55" t="str">
        <x:v>Needs t0 middle-frame review</x:v>
      </x:c>
      <x:c r="T31" s="55" t="str">
        <x:v>Omitted physical attributes: upright.</x:v>
      </x:c>
      <x:c r="U31" s="57" t="n">
        <x:f>'Sampler Weights'!K38</x:f>
        <x:v>0.6944444444444444</x:v>
      </x:c>
    </x:row>
    <x:row r="32">
      <x:c r="A32" s="56" t="n">
        <x:v>27</x:v>
      </x:c>
      <x:c r="B32" s="54" t="str">
        <x:v>justintiensmith/MT_State_Recognition_200:027</x:v>
      </x:c>
      <x:c r="C32" s="55" t="str">
        <x:v>Place a white cup in the bowl.</x:v>
      </x:c>
      <x:c r="D32" s="55" t="str">
        <x:v>generic_mask</x:v>
      </x:c>
      <x:c r="E32" s="55" t="str">
        <x:v>none</x:v>
      </x:c>
      <x:c r="F32" s="55" t="str">
        <x:v>closed; upright</x:v>
      </x:c>
      <x:c r="G32" s="54" t="str">
        <x:v>white_cup_b</x:v>
      </x:c>
      <x:c r="H32" s="54" t="str">
        <x:v>white cup</x:v>
      </x:c>
      <x:c r="I32" s="54" t="str">
        <x:v>closed</x:v>
      </x:c>
      <x:c r="J32" s="54" t="str">
        <x:v>upright</x:v>
      </x:c>
      <x:c r="K32" s="56" t="n">
        <x:v>2</x:v>
      </x:c>
      <x:c r="L32" s="55" t="str">
        <x:v>["white_cup_b","white_cup_a"]</x:v>
      </x:c>
      <x:c r="M32" s="55" t="str">
        <x:v>PASS</x:v>
      </x:c>
      <x:c r="N32" s="55" t="str">
        <x:v>Yes</x:v>
      </x:c>
      <x:c r="O32" s="55" t="str">
        <x:v>Remove both state and orientation language; retain only the object category.</x:v>
      </x:c>
      <x:c r="P32" s="55" t="str">
        <x:v>PASS</x:v>
      </x:c>
      <x:c r="Q32" s="55" t="str">
        <x:v>generic_mask|white_cup|closed|right_side_up</x:v>
      </x:c>
      <x:c r="R32" s="55" t="str">
        <x:v>train</x:v>
      </x:c>
      <x:c r="S32" s="55" t="str">
        <x:v>Needs t0 middle-frame review</x:v>
      </x:c>
      <x:c r="T32" s="55" t="str">
        <x:v>Omitted physical attributes: closed; upright.</x:v>
      </x:c>
      <x:c r="U32" s="57" t="n">
        <x:f>'Sampler Weights'!K39</x:f>
        <x:v>0.3125</x:v>
      </x:c>
    </x:row>
    <x:row r="33">
      <x:c r="A33" s="56" t="n">
        <x:v>28</x:v>
      </x:c>
      <x:c r="B33" s="54" t="str">
        <x:v>justintiensmith/MT_State_Recognition_200:028</x:v>
      </x:c>
      <x:c r="C33" s="55" t="str">
        <x:v>Place a white cup in the bowl.</x:v>
      </x:c>
      <x:c r="D33" s="55" t="str">
        <x:v>generic_mask</x:v>
      </x:c>
      <x:c r="E33" s="55" t="str">
        <x:v>none</x:v>
      </x:c>
      <x:c r="F33" s="55" t="str"/>
      <x:c r="G33" s="54" t="str">
        <x:v>white_cup_b</x:v>
      </x:c>
      <x:c r="H33" s="54" t="str">
        <x:v>white cup</x:v>
      </x:c>
      <x:c r="I33" s="54" t="str">
        <x:v>open</x:v>
      </x:c>
      <x:c r="J33" s="54" t="str">
        <x:v>upside down</x:v>
      </x:c>
      <x:c r="K33" s="56" t="n">
        <x:v>2</x:v>
      </x:c>
      <x:c r="L33" s="55" t="str">
        <x:v>["white_cup_b","white_cup_a"]</x:v>
      </x:c>
      <x:c r="M33" s="55" t="str">
        <x:v>PASS</x:v>
      </x:c>
      <x:c r="N33" s="55" t="str">
        <x:v>Yes</x:v>
      </x:c>
      <x:c r="O33" s="55" t="str">
        <x:v>Remove both state and orientation language; retain only the object category.</x:v>
      </x:c>
      <x:c r="P33" s="55" t="str">
        <x:v>PASS</x:v>
      </x:c>
      <x:c r="Q33" s="55" t="str">
        <x:v>generic_mask|white_cup|open|upside_down</x:v>
      </x:c>
      <x:c r="R33" s="55" t="str">
        <x:v>train</x:v>
      </x:c>
      <x:c r="S33" s="55" t="str">
        <x:v>Needs t0 middle-frame review</x:v>
      </x:c>
      <x:c r="T33" s="55" t="str">
        <x:v>Omitted physical attributes: open; upside down.</x:v>
      </x:c>
      <x:c r="U33" s="57" t="n">
        <x:f>'Sampler Weights'!K40</x:f>
        <x:v>1.5625</x:v>
      </x:c>
    </x:row>
    <x:row r="34">
      <x:c r="A34" s="56" t="n">
        <x:v>29</x:v>
      </x:c>
      <x:c r="B34" s="54" t="str">
        <x:v>justintiensmith/MT_State_Recognition_200:029</x:v>
      </x:c>
      <x:c r="C34" s="55" t="str">
        <x:v>Place an upside-down white cup in the bowl.</x:v>
      </x:c>
      <x:c r="D34" s="55" t="str">
        <x:v>explicit_seen_upside_down</x:v>
      </x:c>
      <x:c r="E34" s="55" t="str">
        <x:v>upside-down</x:v>
      </x:c>
      <x:c r="F34" s="55" t="str">
        <x:v>closed</x:v>
      </x:c>
      <x:c r="G34" s="54" t="str">
        <x:v>white_cup_a</x:v>
      </x:c>
      <x:c r="H34" s="54" t="str">
        <x:v>white cup</x:v>
      </x:c>
      <x:c r="I34" s="54" t="str">
        <x:v>closed</x:v>
      </x:c>
      <x:c r="J34" s="54" t="str">
        <x:v>upside down</x:v>
      </x:c>
      <x:c r="K34" s="56" t="n">
        <x:v>1</x:v>
      </x:c>
      <x:c r="L34" s="55" t="str">
        <x:v>["white_cup_a"]</x:v>
      </x:c>
      <x:c r="M34" s="55" t="str">
        <x:v>PASS</x:v>
      </x:c>
      <x:c r="N34" s="55" t="str">
        <x:v>No</x:v>
      </x:c>
      <x:c r="O34" s="55" t="str">
        <x:v>Keep the seen semantic upside-down; remove all open/closed language and all held-out wording.</x:v>
      </x:c>
      <x:c r="P34" s="55" t="str">
        <x:v>PASS</x:v>
      </x:c>
      <x:c r="Q34" s="55" t="str">
        <x:v>explicit_seen_upside_down|white_cup|closed</x:v>
      </x:c>
      <x:c r="R34" s="55" t="str">
        <x:v>train</x:v>
      </x:c>
      <x:c r="S34" s="55" t="str">
        <x:v>Needs t0 middle-frame review</x:v>
      </x:c>
      <x:c r="T34" s="55" t="str">
        <x:v>Omitted physical attributes: closed.</x:v>
      </x:c>
      <x:c r="U34" s="57" t="n">
        <x:f>'Sampler Weights'!K41</x:f>
        <x:v>3.125</x:v>
      </x:c>
    </x:row>
    <x:row r="35">
      <x:c r="A35" s="56" t="n">
        <x:v>30</x:v>
      </x:c>
      <x:c r="B35" s="54" t="str">
        <x:v>justintiensmith/MT_State_Recognition_200:030</x:v>
      </x:c>
      <x:c r="C35" s="55" t="str">
        <x:v>Place an open white cup in the bowl.</x:v>
      </x:c>
      <x:c r="D35" s="55" t="str">
        <x:v>explicit_seen_open</x:v>
      </x:c>
      <x:c r="E35" s="55" t="str">
        <x:v>open</x:v>
      </x:c>
      <x:c r="F35" s="55" t="str"/>
      <x:c r="G35" s="54" t="str">
        <x:v>white_cup_a</x:v>
      </x:c>
      <x:c r="H35" s="54" t="str">
        <x:v>white cup</x:v>
      </x:c>
      <x:c r="I35" s="54" t="str">
        <x:v>open</x:v>
      </x:c>
      <x:c r="J35" s="54" t="str">
        <x:v>upside down</x:v>
      </x:c>
      <x:c r="K35" s="56" t="n">
        <x:v>1</x:v>
      </x:c>
      <x:c r="L35" s="55" t="str">
        <x:v>["white_cup_a"]</x:v>
      </x:c>
      <x:c r="M35" s="55" t="str">
        <x:v>PASS</x:v>
      </x:c>
      <x:c r="N35" s="55" t="str">
        <x:v>No</x:v>
      </x:c>
      <x:c r="O35" s="55" t="str">
        <x:v>Keep the seen semantic open; remove all orientation language and all held-out wording.</x:v>
      </x:c>
      <x:c r="P35" s="55" t="str">
        <x:v>PASS</x:v>
      </x:c>
      <x:c r="Q35" s="55" t="str">
        <x:v>explicit_seen_open|white_cup|upside_down</x:v>
      </x:c>
      <x:c r="R35" s="55" t="str">
        <x:v>train</x:v>
      </x:c>
      <x:c r="S35" s="55" t="str">
        <x:v>Needs t0 middle-frame review</x:v>
      </x:c>
      <x:c r="T35" s="55" t="str">
        <x:v>Omitted physical attributes: upside down.</x:v>
      </x:c>
      <x:c r="U35" s="57" t="n">
        <x:f>'Sampler Weights'!K42</x:f>
        <x:v>3.125</x:v>
      </x:c>
    </x:row>
    <x:row r="36">
      <x:c r="A36" s="56" t="n">
        <x:v>31</x:v>
      </x:c>
      <x:c r="B36" s="54" t="str">
        <x:v>justintiensmith/MT_State_Recognition_200:031</x:v>
      </x:c>
      <x:c r="C36" s="55" t="str">
        <x:v>Place a white cup in the bowl.</x:v>
      </x:c>
      <x:c r="D36" s="55" t="str">
        <x:v>generic_mask</x:v>
      </x:c>
      <x:c r="E36" s="55" t="str">
        <x:v>none</x:v>
      </x:c>
      <x:c r="F36" s="55" t="str">
        <x:v>closed; upright</x:v>
      </x:c>
      <x:c r="G36" s="54" t="str">
        <x:v>white_cup_b</x:v>
      </x:c>
      <x:c r="H36" s="54" t="str">
        <x:v>white cup</x:v>
      </x:c>
      <x:c r="I36" s="54" t="str">
        <x:v>closed</x:v>
      </x:c>
      <x:c r="J36" s="54" t="str">
        <x:v>upright</x:v>
      </x:c>
      <x:c r="K36" s="56" t="n">
        <x:v>2</x:v>
      </x:c>
      <x:c r="L36" s="55" t="str">
        <x:v>["white_cup_b","white_cup_a"]</x:v>
      </x:c>
      <x:c r="M36" s="55" t="str">
        <x:v>PASS</x:v>
      </x:c>
      <x:c r="N36" s="55" t="str">
        <x:v>Yes</x:v>
      </x:c>
      <x:c r="O36" s="55" t="str">
        <x:v>Remove both state and orientation language; retain only the object category.</x:v>
      </x:c>
      <x:c r="P36" s="55" t="str">
        <x:v>PASS</x:v>
      </x:c>
      <x:c r="Q36" s="55" t="str">
        <x:v>generic_mask|white_cup|closed|right_side_up</x:v>
      </x:c>
      <x:c r="R36" s="55" t="str">
        <x:v>train</x:v>
      </x:c>
      <x:c r="S36" s="55" t="str">
        <x:v>Needs t0 middle-frame review</x:v>
      </x:c>
      <x:c r="T36" s="55" t="str">
        <x:v>Omitted physical attributes: closed; upright.</x:v>
      </x:c>
      <x:c r="U36" s="57" t="n">
        <x:f>'Sampler Weights'!K43</x:f>
        <x:v>0.3125</x:v>
      </x:c>
    </x:row>
    <x:row r="37">
      <x:c r="A37" s="56" t="n">
        <x:v>32</x:v>
      </x:c>
      <x:c r="B37" s="54" t="str">
        <x:v>justintiensmith/MT_State_Recognition_200:032</x:v>
      </x:c>
      <x:c r="C37" s="55" t="str">
        <x:v>Place a white cup in the bowl.</x:v>
      </x:c>
      <x:c r="D37" s="55" t="str">
        <x:v>generic_mask</x:v>
      </x:c>
      <x:c r="E37" s="55" t="str">
        <x:v>none</x:v>
      </x:c>
      <x:c r="F37" s="55" t="str"/>
      <x:c r="G37" s="54" t="str">
        <x:v>white_cup_a</x:v>
      </x:c>
      <x:c r="H37" s="54" t="str">
        <x:v>white cup</x:v>
      </x:c>
      <x:c r="I37" s="54" t="str">
        <x:v>open</x:v>
      </x:c>
      <x:c r="J37" s="54" t="str">
        <x:v>upside down</x:v>
      </x:c>
      <x:c r="K37" s="56" t="n">
        <x:v>2</x:v>
      </x:c>
      <x:c r="L37" s="55" t="str">
        <x:v>["white_cup_a","white_cup_b"]</x:v>
      </x:c>
      <x:c r="M37" s="55" t="str">
        <x:v>PASS</x:v>
      </x:c>
      <x:c r="N37" s="55" t="str">
        <x:v>Yes</x:v>
      </x:c>
      <x:c r="O37" s="55" t="str">
        <x:v>Remove both state and orientation language; retain only the object category.</x:v>
      </x:c>
      <x:c r="P37" s="55" t="str">
        <x:v>PASS</x:v>
      </x:c>
      <x:c r="Q37" s="55" t="str">
        <x:v>generic_mask|white_cup|open|upside_down</x:v>
      </x:c>
      <x:c r="R37" s="55" t="str">
        <x:v>train</x:v>
      </x:c>
      <x:c r="S37" s="55" t="str">
        <x:v>Needs t0 middle-frame review</x:v>
      </x:c>
      <x:c r="T37" s="55" t="str">
        <x:v>Omitted physical attributes: open; upside down.</x:v>
      </x:c>
      <x:c r="U37" s="57" t="n">
        <x:f>'Sampler Weights'!K44</x:f>
        <x:v>1.5625</x:v>
      </x:c>
    </x:row>
    <x:row r="38">
      <x:c r="A38" s="56" t="n">
        <x:v>33</x:v>
      </x:c>
      <x:c r="B38" s="54" t="str">
        <x:v>justintiensmith/MT_State_Recognition_200:033</x:v>
      </x:c>
      <x:c r="C38" s="55" t="str">
        <x:v>Place a white cup in the bowl.</x:v>
      </x:c>
      <x:c r="D38" s="55" t="str">
        <x:v>generic_mask</x:v>
      </x:c>
      <x:c r="E38" s="55" t="str">
        <x:v>none</x:v>
      </x:c>
      <x:c r="F38" s="55" t="str">
        <x:v>closed; upright</x:v>
      </x:c>
      <x:c r="G38" s="54" t="str">
        <x:v>white_cup_a</x:v>
      </x:c>
      <x:c r="H38" s="54" t="str">
        <x:v>white cup</x:v>
      </x:c>
      <x:c r="I38" s="54" t="str">
        <x:v>closed</x:v>
      </x:c>
      <x:c r="J38" s="54" t="str">
        <x:v>upright</x:v>
      </x:c>
      <x:c r="K38" s="56" t="n">
        <x:v>2</x:v>
      </x:c>
      <x:c r="L38" s="55" t="str">
        <x:v>["white_cup_a","white_cup_b"]</x:v>
      </x:c>
      <x:c r="M38" s="55" t="str">
        <x:v>PASS</x:v>
      </x:c>
      <x:c r="N38" s="55" t="str">
        <x:v>Yes</x:v>
      </x:c>
      <x:c r="O38" s="55" t="str">
        <x:v>Remove both state and orientation language; retain only the object category.</x:v>
      </x:c>
      <x:c r="P38" s="55" t="str">
        <x:v>PASS</x:v>
      </x:c>
      <x:c r="Q38" s="55" t="str">
        <x:v>generic_mask|white_cup|closed|right_side_up</x:v>
      </x:c>
      <x:c r="R38" s="55" t="str">
        <x:v>train</x:v>
      </x:c>
      <x:c r="S38" s="55" t="str">
        <x:v>Needs t0 middle-frame review</x:v>
      </x:c>
      <x:c r="T38" s="55" t="str">
        <x:v>Omitted physical attributes: closed; upright.</x:v>
      </x:c>
      <x:c r="U38" s="57" t="n">
        <x:f>'Sampler Weights'!K45</x:f>
        <x:v>0.3125</x:v>
      </x:c>
    </x:row>
    <x:row r="39">
      <x:c r="A39" s="56" t="n">
        <x:v>34</x:v>
      </x:c>
      <x:c r="B39" s="54" t="str">
        <x:v>justintiensmith/MT_State_Recognition_200:034</x:v>
      </x:c>
      <x:c r="C39" s="55" t="str">
        <x:v>Place an upside-down white cup in the bowl.</x:v>
      </x:c>
      <x:c r="D39" s="55" t="str">
        <x:v>explicit_seen_upside_down</x:v>
      </x:c>
      <x:c r="E39" s="55" t="str">
        <x:v>upside-down</x:v>
      </x:c>
      <x:c r="F39" s="55" t="str"/>
      <x:c r="G39" s="54" t="str">
        <x:v>white_cup_b</x:v>
      </x:c>
      <x:c r="H39" s="54" t="str">
        <x:v>white cup</x:v>
      </x:c>
      <x:c r="I39" s="54" t="str">
        <x:v>open</x:v>
      </x:c>
      <x:c r="J39" s="54" t="str">
        <x:v>upside down</x:v>
      </x:c>
      <x:c r="K39" s="56" t="n">
        <x:v>1</x:v>
      </x:c>
      <x:c r="L39" s="55" t="str">
        <x:v>["white_cup_b"]</x:v>
      </x:c>
      <x:c r="M39" s="55" t="str">
        <x:v>PASS</x:v>
      </x:c>
      <x:c r="N39" s="55" t="str">
        <x:v>No</x:v>
      </x:c>
      <x:c r="O39" s="55" t="str">
        <x:v>Keep the seen semantic upside-down; remove all open/closed language and all held-out wording.</x:v>
      </x:c>
      <x:c r="P39" s="55" t="str">
        <x:v>PASS</x:v>
      </x:c>
      <x:c r="Q39" s="55" t="str">
        <x:v>explicit_seen_upside_down|white_cup|open</x:v>
      </x:c>
      <x:c r="R39" s="55" t="str">
        <x:v>train</x:v>
      </x:c>
      <x:c r="S39" s="55" t="str">
        <x:v>Needs t0 middle-frame review</x:v>
      </x:c>
      <x:c r="T39" s="55" t="str">
        <x:v>Omitted physical attributes: open.</x:v>
      </x:c>
      <x:c r="U39" s="57" t="n">
        <x:f>'Sampler Weights'!K46</x:f>
        <x:v>6.25</x:v>
      </x:c>
    </x:row>
    <x:row r="40">
      <x:c r="A40" s="56" t="n">
        <x:v>35</x:v>
      </x:c>
      <x:c r="B40" s="54" t="str">
        <x:v>justintiensmith/MT_State_Recognition_200:035</x:v>
      </x:c>
      <x:c r="C40" s="55" t="str">
        <x:v>Place a white cup in the bowl.</x:v>
      </x:c>
      <x:c r="D40" s="55" t="str">
        <x:v>generic_mask</x:v>
      </x:c>
      <x:c r="E40" s="55" t="str">
        <x:v>none</x:v>
      </x:c>
      <x:c r="F40" s="55" t="str">
        <x:v>closed</x:v>
      </x:c>
      <x:c r="G40" s="54" t="str">
        <x:v>white_cup_a</x:v>
      </x:c>
      <x:c r="H40" s="54" t="str">
        <x:v>white cup</x:v>
      </x:c>
      <x:c r="I40" s="54" t="str">
        <x:v>closed</x:v>
      </x:c>
      <x:c r="J40" s="54" t="str">
        <x:v>upside down</x:v>
      </x:c>
      <x:c r="K40" s="56" t="n">
        <x:v>2</x:v>
      </x:c>
      <x:c r="L40" s="55" t="str">
        <x:v>["white_cup_a","white_cup_b"]</x:v>
      </x:c>
      <x:c r="M40" s="55" t="str">
        <x:v>PASS</x:v>
      </x:c>
      <x:c r="N40" s="55" t="str">
        <x:v>Yes</x:v>
      </x:c>
      <x:c r="O40" s="55" t="str">
        <x:v>Remove both state and orientation language; retain only the object category.</x:v>
      </x:c>
      <x:c r="P40" s="55" t="str">
        <x:v>PASS</x:v>
      </x:c>
      <x:c r="Q40" s="55" t="str">
        <x:v>generic_mask|white_cup|closed|upside_down</x:v>
      </x:c>
      <x:c r="R40" s="55" t="str">
        <x:v>train</x:v>
      </x:c>
      <x:c r="S40" s="55" t="str">
        <x:v>Needs t0 middle-frame review</x:v>
      </x:c>
      <x:c r="T40" s="55" t="str">
        <x:v>Omitted physical attributes: closed; upside down.</x:v>
      </x:c>
      <x:c r="U40" s="57" t="n">
        <x:f>'Sampler Weights'!K47</x:f>
        <x:v>2.083333333333333</x:v>
      </x:c>
    </x:row>
    <x:row r="41">
      <x:c r="A41" s="56" t="n">
        <x:v>36</x:v>
      </x:c>
      <x:c r="B41" s="54" t="str">
        <x:v>justintiensmith/MT_State_Recognition_200:036</x:v>
      </x:c>
      <x:c r="C41" s="55" t="str">
        <x:v>Place a white cup in the bowl.</x:v>
      </x:c>
      <x:c r="D41" s="55" t="str">
        <x:v>generic_mask</x:v>
      </x:c>
      <x:c r="E41" s="55" t="str">
        <x:v>none</x:v>
      </x:c>
      <x:c r="F41" s="55" t="str">
        <x:v>upright</x:v>
      </x:c>
      <x:c r="G41" s="54" t="str">
        <x:v>white_cup_b</x:v>
      </x:c>
      <x:c r="H41" s="54" t="str">
        <x:v>white cup</x:v>
      </x:c>
      <x:c r="I41" s="54" t="str">
        <x:v>open</x:v>
      </x:c>
      <x:c r="J41" s="54" t="str">
        <x:v>upright</x:v>
      </x:c>
      <x:c r="K41" s="56" t="n">
        <x:v>1</x:v>
      </x:c>
      <x:c r="L41" s="55" t="str">
        <x:v>["white_cup_b"]</x:v>
      </x:c>
      <x:c r="M41" s="55" t="str">
        <x:v>PASS</x:v>
      </x:c>
      <x:c r="N41" s="55" t="str">
        <x:v>No</x:v>
      </x:c>
      <x:c r="O41" s="55" t="str">
        <x:v>Remove both state and orientation language; retain only the object category.</x:v>
      </x:c>
      <x:c r="P41" s="55" t="str">
        <x:v>PASS</x:v>
      </x:c>
      <x:c r="Q41" s="55" t="str">
        <x:v>generic_mask|white_cup|open|right_side_up</x:v>
      </x:c>
      <x:c r="R41" s="55" t="str">
        <x:v>train</x:v>
      </x:c>
      <x:c r="S41" s="55" t="str">
        <x:v>Needs t0 middle-frame review</x:v>
      </x:c>
      <x:c r="T41" s="55" t="str">
        <x:v>Omitted physical attributes: open; upright.</x:v>
      </x:c>
      <x:c r="U41" s="57" t="n">
        <x:f>'Sampler Weights'!K48</x:f>
        <x:v>0.6944444444444444</x:v>
      </x:c>
    </x:row>
    <x:row r="42">
      <x:c r="A42" s="56" t="n">
        <x:v>37</x:v>
      </x:c>
      <x:c r="B42" s="54" t="str">
        <x:v>justintiensmith/MT_State_Recognition_200:037</x:v>
      </x:c>
      <x:c r="C42" s="55" t="str">
        <x:v>Place a white cup in the bowl.</x:v>
      </x:c>
      <x:c r="D42" s="55" t="str">
        <x:v>generic_mask</x:v>
      </x:c>
      <x:c r="E42" s="55" t="str">
        <x:v>none</x:v>
      </x:c>
      <x:c r="F42" s="55" t="str">
        <x:v>closed; upright</x:v>
      </x:c>
      <x:c r="G42" s="54" t="str">
        <x:v>white_cup_a</x:v>
      </x:c>
      <x:c r="H42" s="54" t="str">
        <x:v>white cup</x:v>
      </x:c>
      <x:c r="I42" s="54" t="str">
        <x:v>closed</x:v>
      </x:c>
      <x:c r="J42" s="54" t="str">
        <x:v>upright</x:v>
      </x:c>
      <x:c r="K42" s="56" t="n">
        <x:v>1</x:v>
      </x:c>
      <x:c r="L42" s="55" t="str">
        <x:v>["white_cup_a"]</x:v>
      </x:c>
      <x:c r="M42" s="55" t="str">
        <x:v>PASS</x:v>
      </x:c>
      <x:c r="N42" s="55" t="str">
        <x:v>No</x:v>
      </x:c>
      <x:c r="O42" s="55" t="str">
        <x:v>Remove both state and orientation language; retain only the object category.</x:v>
      </x:c>
      <x:c r="P42" s="55" t="str">
        <x:v>PASS</x:v>
      </x:c>
      <x:c r="Q42" s="55" t="str">
        <x:v>generic_mask|white_cup|closed|right_side_up</x:v>
      </x:c>
      <x:c r="R42" s="55" t="str">
        <x:v>train</x:v>
      </x:c>
      <x:c r="S42" s="55" t="str">
        <x:v>Needs t0 middle-frame review</x:v>
      </x:c>
      <x:c r="T42" s="55" t="str">
        <x:v>Omitted physical attributes: closed; upright.</x:v>
      </x:c>
      <x:c r="U42" s="57" t="n">
        <x:f>'Sampler Weights'!K49</x:f>
        <x:v>0.3125</x:v>
      </x:c>
    </x:row>
    <x:row r="43">
      <x:c r="A43" s="56" t="n">
        <x:v>38</x:v>
      </x:c>
      <x:c r="B43" s="54" t="str">
        <x:v>justintiensmith/MT_State_Recognition_200:038</x:v>
      </x:c>
      <x:c r="C43" s="55" t="str">
        <x:v>Place a white cup in the bowl.</x:v>
      </x:c>
      <x:c r="D43" s="55" t="str">
        <x:v>generic_mask</x:v>
      </x:c>
      <x:c r="E43" s="55" t="str">
        <x:v>none</x:v>
      </x:c>
      <x:c r="F43" s="55" t="str"/>
      <x:c r="G43" s="54" t="str">
        <x:v>white_cup_b</x:v>
      </x:c>
      <x:c r="H43" s="54" t="str">
        <x:v>white cup</x:v>
      </x:c>
      <x:c r="I43" s="54" t="str">
        <x:v>open</x:v>
      </x:c>
      <x:c r="J43" s="54" t="str">
        <x:v>upside down</x:v>
      </x:c>
      <x:c r="K43" s="56" t="n">
        <x:v>2</x:v>
      </x:c>
      <x:c r="L43" s="55" t="str">
        <x:v>["white_cup_b","white_cup_a"]</x:v>
      </x:c>
      <x:c r="M43" s="55" t="str">
        <x:v>PASS</x:v>
      </x:c>
      <x:c r="N43" s="55" t="str">
        <x:v>Yes</x:v>
      </x:c>
      <x:c r="O43" s="55" t="str">
        <x:v>Remove both state and orientation language; retain only the object category.</x:v>
      </x:c>
      <x:c r="P43" s="55" t="str">
        <x:v>PASS</x:v>
      </x:c>
      <x:c r="Q43" s="55" t="str">
        <x:v>generic_mask|white_cup|open|upside_down</x:v>
      </x:c>
      <x:c r="R43" s="55" t="str">
        <x:v>train</x:v>
      </x:c>
      <x:c r="S43" s="55" t="str">
        <x:v>Needs t0 middle-frame review</x:v>
      </x:c>
      <x:c r="T43" s="55" t="str">
        <x:v>Omitted physical attributes: open; upside down.</x:v>
      </x:c>
      <x:c r="U43" s="57" t="n">
        <x:f>'Sampler Weights'!K50</x:f>
        <x:v>1.5625</x:v>
      </x:c>
    </x:row>
    <x:row r="44">
      <x:c r="A44" s="56" t="n">
        <x:v>39</x:v>
      </x:c>
      <x:c r="B44" s="54" t="str">
        <x:v>justintiensmith/MT_State_Recognition_200:039</x:v>
      </x:c>
      <x:c r="C44" s="55" t="str">
        <x:v>Place an upside-down white cup in the bowl.</x:v>
      </x:c>
      <x:c r="D44" s="55" t="str">
        <x:v>explicit_seen_upside_down</x:v>
      </x:c>
      <x:c r="E44" s="55" t="str">
        <x:v>upside-down</x:v>
      </x:c>
      <x:c r="F44" s="55" t="str">
        <x:v>closed</x:v>
      </x:c>
      <x:c r="G44" s="54" t="str">
        <x:v>white_cup_a</x:v>
      </x:c>
      <x:c r="H44" s="54" t="str">
        <x:v>white cup</x:v>
      </x:c>
      <x:c r="I44" s="54" t="str">
        <x:v>closed</x:v>
      </x:c>
      <x:c r="J44" s="54" t="str">
        <x:v>upside down</x:v>
      </x:c>
      <x:c r="K44" s="56" t="n">
        <x:v>1</x:v>
      </x:c>
      <x:c r="L44" s="55" t="str">
        <x:v>["white_cup_a"]</x:v>
      </x:c>
      <x:c r="M44" s="55" t="str">
        <x:v>PASS</x:v>
      </x:c>
      <x:c r="N44" s="55" t="str">
        <x:v>No</x:v>
      </x:c>
      <x:c r="O44" s="55" t="str">
        <x:v>Keep the seen semantic upside-down; remove all open/closed language and all held-out wording.</x:v>
      </x:c>
      <x:c r="P44" s="55" t="str">
        <x:v>PASS</x:v>
      </x:c>
      <x:c r="Q44" s="55" t="str">
        <x:v>explicit_seen_upside_down|white_cup|closed</x:v>
      </x:c>
      <x:c r="R44" s="55" t="str">
        <x:v>train</x:v>
      </x:c>
      <x:c r="S44" s="55" t="str">
        <x:v>Needs t0 middle-frame review</x:v>
      </x:c>
      <x:c r="T44" s="55" t="str">
        <x:v>Omitted physical attributes: closed.</x:v>
      </x:c>
      <x:c r="U44" s="57" t="n">
        <x:f>'Sampler Weights'!K51</x:f>
        <x:v>3.125</x:v>
      </x:c>
    </x:row>
    <x:row r="45">
      <x:c r="A45" s="56" t="n">
        <x:v>40</x:v>
      </x:c>
      <x:c r="B45" s="54" t="str">
        <x:v>justintiensmith/MT_State_Recognition_200:040</x:v>
      </x:c>
      <x:c r="C45" s="55" t="str">
        <x:v>Place an open white cup in the bowl.</x:v>
      </x:c>
      <x:c r="D45" s="55" t="str">
        <x:v>explicit_seen_open</x:v>
      </x:c>
      <x:c r="E45" s="55" t="str">
        <x:v>open</x:v>
      </x:c>
      <x:c r="F45" s="55" t="str">
        <x:v>upright</x:v>
      </x:c>
      <x:c r="G45" s="54" t="str">
        <x:v>white_cup_a</x:v>
      </x:c>
      <x:c r="H45" s="54" t="str">
        <x:v>white cup</x:v>
      </x:c>
      <x:c r="I45" s="54" t="str">
        <x:v>open</x:v>
      </x:c>
      <x:c r="J45" s="54" t="str">
        <x:v>upright</x:v>
      </x:c>
      <x:c r="K45" s="56" t="n">
        <x:v>2</x:v>
      </x:c>
      <x:c r="L45" s="55" t="str">
        <x:v>["white_cup_a","white_cup_b"]</x:v>
      </x:c>
      <x:c r="M45" s="55" t="str">
        <x:v>PASS</x:v>
      </x:c>
      <x:c r="N45" s="55" t="str">
        <x:v>Yes</x:v>
      </x:c>
      <x:c r="O45" s="55" t="str">
        <x:v>Keep the seen semantic open; remove all orientation language and all held-out wording.</x:v>
      </x:c>
      <x:c r="P45" s="55" t="str">
        <x:v>PASS</x:v>
      </x:c>
      <x:c r="Q45" s="55" t="str">
        <x:v>explicit_seen_open|white_cup|right_side_up</x:v>
      </x:c>
      <x:c r="R45" s="55" t="str">
        <x:v>train</x:v>
      </x:c>
      <x:c r="S45" s="55" t="str">
        <x:v>Needs t0 middle-frame review</x:v>
      </x:c>
      <x:c r="T45" s="55" t="str">
        <x:v>Omitted physical attributes: upright.</x:v>
      </x:c>
      <x:c r="U45" s="57" t="n">
        <x:f>'Sampler Weights'!K52</x:f>
        <x:v>0.6944444444444444</x:v>
      </x:c>
    </x:row>
    <x:row r="46">
      <x:c r="A46" s="56" t="n">
        <x:v>41</x:v>
      </x:c>
      <x:c r="B46" s="54" t="str">
        <x:v>justintiensmith/MT_State_Recognition_200:041</x:v>
      </x:c>
      <x:c r="C46" s="55" t="str">
        <x:v>Place a white cup in the bowl.</x:v>
      </x:c>
      <x:c r="D46" s="55" t="str">
        <x:v>generic_mask</x:v>
      </x:c>
      <x:c r="E46" s="55" t="str">
        <x:v>none</x:v>
      </x:c>
      <x:c r="F46" s="55" t="str">
        <x:v>closed; upright</x:v>
      </x:c>
      <x:c r="G46" s="54" t="str">
        <x:v>white_cup_b</x:v>
      </x:c>
      <x:c r="H46" s="54" t="str">
        <x:v>white cup</x:v>
      </x:c>
      <x:c r="I46" s="54" t="str">
        <x:v>closed</x:v>
      </x:c>
      <x:c r="J46" s="54" t="str">
        <x:v>upright</x:v>
      </x:c>
      <x:c r="K46" s="56" t="n">
        <x:v>2</x:v>
      </x:c>
      <x:c r="L46" s="55" t="str">
        <x:v>["white_cup_b","white_cup_a"]</x:v>
      </x:c>
      <x:c r="M46" s="55" t="str">
        <x:v>PASS</x:v>
      </x:c>
      <x:c r="N46" s="55" t="str">
        <x:v>Yes</x:v>
      </x:c>
      <x:c r="O46" s="55" t="str">
        <x:v>Remove both state and orientation language; retain only the object category.</x:v>
      </x:c>
      <x:c r="P46" s="55" t="str">
        <x:v>PASS</x:v>
      </x:c>
      <x:c r="Q46" s="55" t="str">
        <x:v>generic_mask|white_cup|closed|right_side_up</x:v>
      </x:c>
      <x:c r="R46" s="55" t="str">
        <x:v>train</x:v>
      </x:c>
      <x:c r="S46" s="55" t="str">
        <x:v>Needs t0 middle-frame review</x:v>
      </x:c>
      <x:c r="T46" s="55" t="str">
        <x:v>Omitted physical attributes: closed; upright.</x:v>
      </x:c>
      <x:c r="U46" s="57" t="n">
        <x:f>'Sampler Weights'!K53</x:f>
        <x:v>0.3125</x:v>
      </x:c>
    </x:row>
    <x:row r="47">
      <x:c r="A47" s="56" t="n">
        <x:v>42</x:v>
      </x:c>
      <x:c r="B47" s="54" t="str">
        <x:v>justintiensmith/MT_State_Recognition_200:042</x:v>
      </x:c>
      <x:c r="C47" s="55" t="str">
        <x:v>Place an open white cup in the bowl.</x:v>
      </x:c>
      <x:c r="D47" s="55" t="str">
        <x:v>explicit_seen_open</x:v>
      </x:c>
      <x:c r="E47" s="55" t="str">
        <x:v>open</x:v>
      </x:c>
      <x:c r="F47" s="55" t="str"/>
      <x:c r="G47" s="54" t="str">
        <x:v>white_cup_b</x:v>
      </x:c>
      <x:c r="H47" s="54" t="str">
        <x:v>white cup</x:v>
      </x:c>
      <x:c r="I47" s="54" t="str">
        <x:v>open</x:v>
      </x:c>
      <x:c r="J47" s="54" t="str">
        <x:v>upside down</x:v>
      </x:c>
      <x:c r="K47" s="56" t="n">
        <x:v>1</x:v>
      </x:c>
      <x:c r="L47" s="55" t="str">
        <x:v>["white_cup_b"]</x:v>
      </x:c>
      <x:c r="M47" s="55" t="str">
        <x:v>PASS</x:v>
      </x:c>
      <x:c r="N47" s="55" t="str">
        <x:v>No</x:v>
      </x:c>
      <x:c r="O47" s="55" t="str">
        <x:v>Keep the seen semantic open; remove all orientation language and all held-out wording.</x:v>
      </x:c>
      <x:c r="P47" s="55" t="str">
        <x:v>PASS</x:v>
      </x:c>
      <x:c r="Q47" s="55" t="str">
        <x:v>explicit_seen_open|white_cup|upside_down</x:v>
      </x:c>
      <x:c r="R47" s="55" t="str">
        <x:v>train</x:v>
      </x:c>
      <x:c r="S47" s="55" t="str">
        <x:v>Needs t0 middle-frame review</x:v>
      </x:c>
      <x:c r="T47" s="55" t="str">
        <x:v>Omitted physical attributes: upside down.</x:v>
      </x:c>
      <x:c r="U47" s="57" t="n">
        <x:f>'Sampler Weights'!K54</x:f>
        <x:v>3.125</x:v>
      </x:c>
    </x:row>
    <x:row r="48">
      <x:c r="A48" s="56" t="n">
        <x:v>43</x:v>
      </x:c>
      <x:c r="B48" s="54" t="str">
        <x:v>justintiensmith/MT_State_Recognition_200:043</x:v>
      </x:c>
      <x:c r="C48" s="55" t="str">
        <x:v>Place a white cup in the bowl.</x:v>
      </x:c>
      <x:c r="D48" s="55" t="str">
        <x:v>generic_mask</x:v>
      </x:c>
      <x:c r="E48" s="55" t="str">
        <x:v>none</x:v>
      </x:c>
      <x:c r="F48" s="55" t="str">
        <x:v>closed</x:v>
      </x:c>
      <x:c r="G48" s="54" t="str">
        <x:v>white_cup_a</x:v>
      </x:c>
      <x:c r="H48" s="54" t="str">
        <x:v>white cup</x:v>
      </x:c>
      <x:c r="I48" s="54" t="str">
        <x:v>closed</x:v>
      </x:c>
      <x:c r="J48" s="54" t="str">
        <x:v>upside down</x:v>
      </x:c>
      <x:c r="K48" s="56" t="n">
        <x:v>2</x:v>
      </x:c>
      <x:c r="L48" s="55" t="str">
        <x:v>["white_cup_a","white_cup_b"]</x:v>
      </x:c>
      <x:c r="M48" s="55" t="str">
        <x:v>PASS</x:v>
      </x:c>
      <x:c r="N48" s="55" t="str">
        <x:v>Yes</x:v>
      </x:c>
      <x:c r="O48" s="55" t="str">
        <x:v>Remove both state and orientation language; retain only the object category.</x:v>
      </x:c>
      <x:c r="P48" s="55" t="str">
        <x:v>PASS</x:v>
      </x:c>
      <x:c r="Q48" s="55" t="str">
        <x:v>generic_mask|white_cup|closed|upside_down</x:v>
      </x:c>
      <x:c r="R48" s="55" t="str">
        <x:v>train</x:v>
      </x:c>
      <x:c r="S48" s="55" t="str">
        <x:v>Needs t0 middle-frame review</x:v>
      </x:c>
      <x:c r="T48" s="55" t="str">
        <x:v>Omitted physical attributes: closed; upside down.</x:v>
      </x:c>
      <x:c r="U48" s="57" t="n">
        <x:f>'Sampler Weights'!K55</x:f>
        <x:v>2.083333333333333</x:v>
      </x:c>
    </x:row>
    <x:row r="49">
      <x:c r="A49" s="56" t="n">
        <x:v>44</x:v>
      </x:c>
      <x:c r="B49" s="54" t="str">
        <x:v>justintiensmith/MT_State_Recognition_200:044</x:v>
      </x:c>
      <x:c r="C49" s="55" t="str">
        <x:v>Place a white cup in the bowl.</x:v>
      </x:c>
      <x:c r="D49" s="55" t="str">
        <x:v>generic_mask</x:v>
      </x:c>
      <x:c r="E49" s="55" t="str">
        <x:v>none</x:v>
      </x:c>
      <x:c r="F49" s="55" t="str">
        <x:v>upright</x:v>
      </x:c>
      <x:c r="G49" s="54" t="str">
        <x:v>white_cup_b</x:v>
      </x:c>
      <x:c r="H49" s="54" t="str">
        <x:v>white cup</x:v>
      </x:c>
      <x:c r="I49" s="54" t="str">
        <x:v>open</x:v>
      </x:c>
      <x:c r="J49" s="54" t="str">
        <x:v>upright</x:v>
      </x:c>
      <x:c r="K49" s="56" t="n">
        <x:v>2</x:v>
      </x:c>
      <x:c r="L49" s="55" t="str">
        <x:v>["white_cup_b","white_cup_a"]</x:v>
      </x:c>
      <x:c r="M49" s="55" t="str">
        <x:v>PASS</x:v>
      </x:c>
      <x:c r="N49" s="55" t="str">
        <x:v>Yes</x:v>
      </x:c>
      <x:c r="O49" s="55" t="str">
        <x:v>Remove both state and orientation language; retain only the object category.</x:v>
      </x:c>
      <x:c r="P49" s="55" t="str">
        <x:v>PASS</x:v>
      </x:c>
      <x:c r="Q49" s="55" t="str">
        <x:v>generic_mask|white_cup|open|right_side_up</x:v>
      </x:c>
      <x:c r="R49" s="55" t="str">
        <x:v>train</x:v>
      </x:c>
      <x:c r="S49" s="55" t="str">
        <x:v>Needs t0 middle-frame review</x:v>
      </x:c>
      <x:c r="T49" s="55" t="str">
        <x:v>Omitted physical attributes: open; upright.</x:v>
      </x:c>
      <x:c r="U49" s="57" t="n">
        <x:f>'Sampler Weights'!K56</x:f>
        <x:v>0.6944444444444444</x:v>
      </x:c>
    </x:row>
    <x:row r="50">
      <x:c r="A50" s="56" t="n">
        <x:v>45</x:v>
      </x:c>
      <x:c r="B50" s="54" t="str">
        <x:v>justintiensmith/MT_State_Recognition_200:045</x:v>
      </x:c>
      <x:c r="C50" s="55" t="str">
        <x:v>Place a white cup in the bowl.</x:v>
      </x:c>
      <x:c r="D50" s="55" t="str">
        <x:v>generic_mask</x:v>
      </x:c>
      <x:c r="E50" s="55" t="str">
        <x:v>none</x:v>
      </x:c>
      <x:c r="F50" s="55" t="str">
        <x:v>closed; upright</x:v>
      </x:c>
      <x:c r="G50" s="54" t="str">
        <x:v>white_cup_a</x:v>
      </x:c>
      <x:c r="H50" s="54" t="str">
        <x:v>white cup</x:v>
      </x:c>
      <x:c r="I50" s="54" t="str">
        <x:v>closed</x:v>
      </x:c>
      <x:c r="J50" s="54" t="str">
        <x:v>upright</x:v>
      </x:c>
      <x:c r="K50" s="56" t="n">
        <x:v>1</x:v>
      </x:c>
      <x:c r="L50" s="55" t="str">
        <x:v>["white_cup_a"]</x:v>
      </x:c>
      <x:c r="M50" s="55" t="str">
        <x:v>PASS</x:v>
      </x:c>
      <x:c r="N50" s="55" t="str">
        <x:v>No</x:v>
      </x:c>
      <x:c r="O50" s="55" t="str">
        <x:v>Remove both state and orientation language; retain only the object category.</x:v>
      </x:c>
      <x:c r="P50" s="55" t="str">
        <x:v>PASS</x:v>
      </x:c>
      <x:c r="Q50" s="55" t="str">
        <x:v>generic_mask|white_cup|closed|right_side_up</x:v>
      </x:c>
      <x:c r="R50" s="55" t="str">
        <x:v>train</x:v>
      </x:c>
      <x:c r="S50" s="55" t="str">
        <x:v>Needs t0 middle-frame review</x:v>
      </x:c>
      <x:c r="T50" s="55" t="str">
        <x:v>Omitted physical attributes: closed; upright.</x:v>
      </x:c>
      <x:c r="U50" s="57" t="n">
        <x:f>'Sampler Weights'!K57</x:f>
        <x:v>0.3125</x:v>
      </x:c>
    </x:row>
    <x:row r="51">
      <x:c r="A51" s="56" t="n">
        <x:v>46</x:v>
      </x:c>
      <x:c r="B51" s="54" t="str">
        <x:v>justintiensmith/MT_State_Recognition_200:046</x:v>
      </x:c>
      <x:c r="C51" s="55" t="str">
        <x:v>Place a white cup in the bowl.</x:v>
      </x:c>
      <x:c r="D51" s="55" t="str">
        <x:v>generic_mask</x:v>
      </x:c>
      <x:c r="E51" s="55" t="str">
        <x:v>none</x:v>
      </x:c>
      <x:c r="F51" s="55" t="str"/>
      <x:c r="G51" s="54" t="str">
        <x:v>white_cup_b</x:v>
      </x:c>
      <x:c r="H51" s="54" t="str">
        <x:v>white cup</x:v>
      </x:c>
      <x:c r="I51" s="54" t="str">
        <x:v>open</x:v>
      </x:c>
      <x:c r="J51" s="54" t="str">
        <x:v>upside down</x:v>
      </x:c>
      <x:c r="K51" s="56" t="n">
        <x:v>2</x:v>
      </x:c>
      <x:c r="L51" s="55" t="str">
        <x:v>["white_cup_b","white_cup_a"]</x:v>
      </x:c>
      <x:c r="M51" s="55" t="str">
        <x:v>PASS</x:v>
      </x:c>
      <x:c r="N51" s="55" t="str">
        <x:v>Yes</x:v>
      </x:c>
      <x:c r="O51" s="55" t="str">
        <x:v>Remove both state and orientation language; retain only the object category.</x:v>
      </x:c>
      <x:c r="P51" s="55" t="str">
        <x:v>PASS</x:v>
      </x:c>
      <x:c r="Q51" s="55" t="str">
        <x:v>generic_mask|white_cup|open|upside_down</x:v>
      </x:c>
      <x:c r="R51" s="55" t="str">
        <x:v>train</x:v>
      </x:c>
      <x:c r="S51" s="55" t="str">
        <x:v>Needs t0 middle-frame review</x:v>
      </x:c>
      <x:c r="T51" s="55" t="str">
        <x:v>Omitted physical attributes: open; upside down.</x:v>
      </x:c>
      <x:c r="U51" s="57" t="n">
        <x:f>'Sampler Weights'!K58</x:f>
        <x:v>1.5625</x:v>
      </x:c>
    </x:row>
    <x:row r="52">
      <x:c r="A52" s="56" t="n">
        <x:v>47</x:v>
      </x:c>
      <x:c r="B52" s="54" t="str">
        <x:v>justintiensmith/MT_State_Recognition_200:047</x:v>
      </x:c>
      <x:c r="C52" s="55" t="str">
        <x:v>Place a white cup in the bowl.</x:v>
      </x:c>
      <x:c r="D52" s="55" t="str">
        <x:v>generic_mask</x:v>
      </x:c>
      <x:c r="E52" s="55" t="str">
        <x:v>none</x:v>
      </x:c>
      <x:c r="F52" s="55" t="str">
        <x:v>closed; upright</x:v>
      </x:c>
      <x:c r="G52" s="54" t="str">
        <x:v>white_cup_a</x:v>
      </x:c>
      <x:c r="H52" s="54" t="str">
        <x:v>white cup</x:v>
      </x:c>
      <x:c r="I52" s="54" t="str">
        <x:v>closed</x:v>
      </x:c>
      <x:c r="J52" s="54" t="str">
        <x:v>upright</x:v>
      </x:c>
      <x:c r="K52" s="56" t="n">
        <x:v>2</x:v>
      </x:c>
      <x:c r="L52" s="55" t="str">
        <x:v>["white_cup_a","white_cup_b"]</x:v>
      </x:c>
      <x:c r="M52" s="55" t="str">
        <x:v>PASS</x:v>
      </x:c>
      <x:c r="N52" s="55" t="str">
        <x:v>Yes</x:v>
      </x:c>
      <x:c r="O52" s="55" t="str">
        <x:v>Remove both state and orientation language; retain only the object category.</x:v>
      </x:c>
      <x:c r="P52" s="55" t="str">
        <x:v>PASS</x:v>
      </x:c>
      <x:c r="Q52" s="55" t="str">
        <x:v>generic_mask|white_cup|closed|right_side_up</x:v>
      </x:c>
      <x:c r="R52" s="55" t="str">
        <x:v>train</x:v>
      </x:c>
      <x:c r="S52" s="55" t="str">
        <x:v>Needs t0 middle-frame review</x:v>
      </x:c>
      <x:c r="T52" s="55" t="str">
        <x:v>Omitted physical attributes: closed; upright.</x:v>
      </x:c>
      <x:c r="U52" s="57" t="n">
        <x:f>'Sampler Weights'!K59</x:f>
        <x:v>0.3125</x:v>
      </x:c>
    </x:row>
    <x:row r="53">
      <x:c r="A53" s="56" t="n">
        <x:v>48</x:v>
      </x:c>
      <x:c r="B53" s="54" t="str">
        <x:v>justintiensmith/MT_State_Recognition_200:048</x:v>
      </x:c>
      <x:c r="C53" s="55" t="str">
        <x:v>Place an open white cup in the bowl.</x:v>
      </x:c>
      <x:c r="D53" s="55" t="str">
        <x:v>explicit_seen_open</x:v>
      </x:c>
      <x:c r="E53" s="55" t="str">
        <x:v>open</x:v>
      </x:c>
      <x:c r="F53" s="55" t="str">
        <x:v>upright</x:v>
      </x:c>
      <x:c r="G53" s="54" t="str">
        <x:v>white_cup_b</x:v>
      </x:c>
      <x:c r="H53" s="54" t="str">
        <x:v>white cup</x:v>
      </x:c>
      <x:c r="I53" s="54" t="str">
        <x:v>open</x:v>
      </x:c>
      <x:c r="J53" s="54" t="str">
        <x:v>upright</x:v>
      </x:c>
      <x:c r="K53" s="56" t="n">
        <x:v>2</x:v>
      </x:c>
      <x:c r="L53" s="55" t="str">
        <x:v>["white_cup_b","white_cup_a"]</x:v>
      </x:c>
      <x:c r="M53" s="55" t="str">
        <x:v>PASS</x:v>
      </x:c>
      <x:c r="N53" s="55" t="str">
        <x:v>Yes</x:v>
      </x:c>
      <x:c r="O53" s="55" t="str">
        <x:v>Keep the seen semantic open; remove all orientation language and all held-out wording.</x:v>
      </x:c>
      <x:c r="P53" s="55" t="str">
        <x:v>PASS</x:v>
      </x:c>
      <x:c r="Q53" s="55" t="str">
        <x:v>explicit_seen_open|white_cup|right_side_up</x:v>
      </x:c>
      <x:c r="R53" s="55" t="str">
        <x:v>train</x:v>
      </x:c>
      <x:c r="S53" s="55" t="str">
        <x:v>Needs t0 middle-frame review</x:v>
      </x:c>
      <x:c r="T53" s="55" t="str">
        <x:v>Omitted physical attributes: upright.</x:v>
      </x:c>
      <x:c r="U53" s="57" t="n">
        <x:f>'Sampler Weights'!K60</x:f>
        <x:v>0.6944444444444444</x:v>
      </x:c>
    </x:row>
    <x:row r="54">
      <x:c r="A54" s="56" t="n">
        <x:v>49</x:v>
      </x:c>
      <x:c r="B54" s="54" t="str">
        <x:v>justintiensmith/MT_State_Recognition_200:049</x:v>
      </x:c>
      <x:c r="C54" s="55" t="str">
        <x:v>Place a white cup in the bowl.</x:v>
      </x:c>
      <x:c r="D54" s="55" t="str">
        <x:v>generic_mask</x:v>
      </x:c>
      <x:c r="E54" s="55" t="str">
        <x:v>none</x:v>
      </x:c>
      <x:c r="F54" s="55" t="str">
        <x:v>closed; upright</x:v>
      </x:c>
      <x:c r="G54" s="54" t="str">
        <x:v>white_cup_b</x:v>
      </x:c>
      <x:c r="H54" s="54" t="str">
        <x:v>white cup</x:v>
      </x:c>
      <x:c r="I54" s="54" t="str">
        <x:v>closed</x:v>
      </x:c>
      <x:c r="J54" s="54" t="str">
        <x:v>upright</x:v>
      </x:c>
      <x:c r="K54" s="56" t="n">
        <x:v>2</x:v>
      </x:c>
      <x:c r="L54" s="55" t="str">
        <x:v>["white_cup_b","white_cup_a"]</x:v>
      </x:c>
      <x:c r="M54" s="55" t="str">
        <x:v>PASS</x:v>
      </x:c>
      <x:c r="N54" s="55" t="str">
        <x:v>Yes</x:v>
      </x:c>
      <x:c r="O54" s="55" t="str">
        <x:v>Remove both state and orientation language; retain only the object category.</x:v>
      </x:c>
      <x:c r="P54" s="55" t="str">
        <x:v>PASS</x:v>
      </x:c>
      <x:c r="Q54" s="55" t="str">
        <x:v>generic_mask|white_cup|closed|right_side_up</x:v>
      </x:c>
      <x:c r="R54" s="55" t="str">
        <x:v>train</x:v>
      </x:c>
      <x:c r="S54" s="55" t="str">
        <x:v>Needs t0 middle-frame review</x:v>
      </x:c>
      <x:c r="T54" s="55" t="str">
        <x:v>Omitted physical attributes: closed; upright.</x:v>
      </x:c>
      <x:c r="U54" s="57" t="n">
        <x:f>'Sampler Weights'!K61</x:f>
        <x:v>0.3125</x:v>
      </x:c>
    </x:row>
    <x:row r="55">
      <x:c r="A55" s="56" t="n">
        <x:v>50</x:v>
      </x:c>
      <x:c r="B55" s="54" t="str">
        <x:v>justintiensmith/MT_State_Recognition_200:050</x:v>
      </x:c>
      <x:c r="C55" s="55" t="str">
        <x:v>Place a yellow-white striped cup in the bowl.</x:v>
      </x:c>
      <x:c r="D55" s="55" t="str">
        <x:v>generic_mask</x:v>
      </x:c>
      <x:c r="E55" s="55" t="str">
        <x:v>none</x:v>
      </x:c>
      <x:c r="F55" s="55" t="str">
        <x:v>upright</x:v>
      </x:c>
      <x:c r="G55" s="54" t="str">
        <x:v>yellow_white_striped_cup_b</x:v>
      </x:c>
      <x:c r="H55" s="54" t="str">
        <x:v>yellow-white striped cup</x:v>
      </x:c>
      <x:c r="I55" s="54" t="str">
        <x:v>open</x:v>
      </x:c>
      <x:c r="J55" s="54" t="str">
        <x:v>upright</x:v>
      </x:c>
      <x:c r="K55" s="56" t="n">
        <x:v>2</x:v>
      </x:c>
      <x:c r="L55" s="55" t="str">
        <x:v>["yellow_white_striped_cup_b","yellow_white_striped_cup_a"]</x:v>
      </x:c>
      <x:c r="M55" s="55" t="str">
        <x:v>PASS</x:v>
      </x:c>
      <x:c r="N55" s="55" t="str">
        <x:v>Yes</x:v>
      </x:c>
      <x:c r="O55" s="55" t="str">
        <x:v>Remove both state and orientation language; retain only the object category.</x:v>
      </x:c>
      <x:c r="P55" s="55" t="str">
        <x:v>PASS</x:v>
      </x:c>
      <x:c r="Q55" s="55" t="str">
        <x:v>generic_mask|yellow_white_striped_cup|open|right_side_up</x:v>
      </x:c>
      <x:c r="R55" s="55" t="str">
        <x:v>train</x:v>
      </x:c>
      <x:c r="S55" s="55" t="str">
        <x:v>Needs t0 middle-frame review</x:v>
      </x:c>
      <x:c r="T55" s="55" t="str">
        <x:v>Omitted physical attributes: open; upright.</x:v>
      </x:c>
      <x:c r="U55" s="57" t="n">
        <x:f>'Sampler Weights'!K62</x:f>
        <x:v>0.625</x:v>
      </x:c>
    </x:row>
    <x:row r="56">
      <x:c r="A56" s="56" t="n">
        <x:v>51</x:v>
      </x:c>
      <x:c r="B56" s="54" t="str">
        <x:v>justintiensmith/MT_State_Recognition_200:051</x:v>
      </x:c>
      <x:c r="C56" s="55" t="str">
        <x:v>Place a yellow-white striped cup in the bowl.</x:v>
      </x:c>
      <x:c r="D56" s="55" t="str">
        <x:v>generic_mask</x:v>
      </x:c>
      <x:c r="E56" s="55" t="str">
        <x:v>none</x:v>
      </x:c>
      <x:c r="F56" s="55" t="str">
        <x:v>closed; upright</x:v>
      </x:c>
      <x:c r="G56" s="54" t="str">
        <x:v>yellow_white_striped_cup_b</x:v>
      </x:c>
      <x:c r="H56" s="54" t="str">
        <x:v>yellow-white striped cup</x:v>
      </x:c>
      <x:c r="I56" s="54" t="str">
        <x:v>closed</x:v>
      </x:c>
      <x:c r="J56" s="54" t="str">
        <x:v>upright</x:v>
      </x:c>
      <x:c r="K56" s="56" t="n">
        <x:v>2</x:v>
      </x:c>
      <x:c r="L56" s="55" t="str">
        <x:v>["yellow_white_striped_cup_b","yellow_white_striped_cup_a"]</x:v>
      </x:c>
      <x:c r="M56" s="55" t="str">
        <x:v>PASS</x:v>
      </x:c>
      <x:c r="N56" s="55" t="str">
        <x:v>Yes</x:v>
      </x:c>
      <x:c r="O56" s="55" t="str">
        <x:v>Remove both state and orientation language; retain only the object category.</x:v>
      </x:c>
      <x:c r="P56" s="55" t="str">
        <x:v>PASS</x:v>
      </x:c>
      <x:c r="Q56" s="55" t="str">
        <x:v>generic_mask|yellow_white_striped_cup|closed|right_side_up</x:v>
      </x:c>
      <x:c r="R56" s="55" t="str">
        <x:v>train</x:v>
      </x:c>
      <x:c r="S56" s="55" t="str">
        <x:v>Needs t0 middle-frame review</x:v>
      </x:c>
      <x:c r="T56" s="55" t="str">
        <x:v>Omitted physical attributes: closed; upright.</x:v>
      </x:c>
      <x:c r="U56" s="57" t="n">
        <x:f>'Sampler Weights'!K63</x:f>
        <x:v>0.3472222222222222</x:v>
      </x:c>
    </x:row>
    <x:row r="57">
      <x:c r="A57" s="56" t="n">
        <x:v>52</x:v>
      </x:c>
      <x:c r="B57" s="54" t="str">
        <x:v>justintiensmith/MT_State_Recognition_200:052</x:v>
      </x:c>
      <x:c r="C57" s="55" t="str">
        <x:v>Place an open yellow-white striped cup in the bowl.</x:v>
      </x:c>
      <x:c r="D57" s="55" t="str">
        <x:v>explicit_seen_open</x:v>
      </x:c>
      <x:c r="E57" s="55" t="str">
        <x:v>open</x:v>
      </x:c>
      <x:c r="F57" s="55" t="str">
        <x:v>upright</x:v>
      </x:c>
      <x:c r="G57" s="54" t="str">
        <x:v>yellow_white_striped_cup_a</x:v>
      </x:c>
      <x:c r="H57" s="54" t="str">
        <x:v>yellow-white striped cup</x:v>
      </x:c>
      <x:c r="I57" s="54" t="str">
        <x:v>open</x:v>
      </x:c>
      <x:c r="J57" s="54" t="str">
        <x:v>upright</x:v>
      </x:c>
      <x:c r="K57" s="56" t="n">
        <x:v>1</x:v>
      </x:c>
      <x:c r="L57" s="55" t="str">
        <x:v>["yellow_white_striped_cup_a"]</x:v>
      </x:c>
      <x:c r="M57" s="55" t="str">
        <x:v>PASS</x:v>
      </x:c>
      <x:c r="N57" s="55" t="str">
        <x:v>No</x:v>
      </x:c>
      <x:c r="O57" s="55" t="str">
        <x:v>Keep the seen semantic open; remove all orientation language and all held-out wording.</x:v>
      </x:c>
      <x:c r="P57" s="55" t="str">
        <x:v>PASS</x:v>
      </x:c>
      <x:c r="Q57" s="55" t="str">
        <x:v>explicit_seen_open|yellow_white_striped_cup|right_side_up</x:v>
      </x:c>
      <x:c r="R57" s="55" t="str">
        <x:v>train</x:v>
      </x:c>
      <x:c r="S57" s="55" t="str">
        <x:v>Needs t0 middle-frame review</x:v>
      </x:c>
      <x:c r="T57" s="55" t="str">
        <x:v>Omitted physical attributes: upright.</x:v>
      </x:c>
      <x:c r="U57" s="57" t="n">
        <x:f>'Sampler Weights'!K64</x:f>
        <x:v>0.6944444444444444</x:v>
      </x:c>
    </x:row>
    <x:row r="58">
      <x:c r="A58" s="56" t="n">
        <x:v>53</x:v>
      </x:c>
      <x:c r="B58" s="54" t="str">
        <x:v>justintiensmith/MT_State_Recognition_200:053</x:v>
      </x:c>
      <x:c r="C58" s="55" t="str">
        <x:v>Place a yellow-white striped cup in the bowl.</x:v>
      </x:c>
      <x:c r="D58" s="55" t="str">
        <x:v>generic_mask</x:v>
      </x:c>
      <x:c r="E58" s="55" t="str">
        <x:v>none</x:v>
      </x:c>
      <x:c r="F58" s="55" t="str">
        <x:v>upright</x:v>
      </x:c>
      <x:c r="G58" s="54" t="str">
        <x:v>yellow_white_striped_cup_b</x:v>
      </x:c>
      <x:c r="H58" s="54" t="str">
        <x:v>yellow-white striped cup</x:v>
      </x:c>
      <x:c r="I58" s="54" t="str">
        <x:v>open</x:v>
      </x:c>
      <x:c r="J58" s="54" t="str">
        <x:v>upright</x:v>
      </x:c>
      <x:c r="K58" s="56" t="n">
        <x:v>2</x:v>
      </x:c>
      <x:c r="L58" s="55" t="str">
        <x:v>["yellow_white_striped_cup_b","yellow_white_striped_cup_a"]</x:v>
      </x:c>
      <x:c r="M58" s="55" t="str">
        <x:v>PASS</x:v>
      </x:c>
      <x:c r="N58" s="55" t="str">
        <x:v>Yes</x:v>
      </x:c>
      <x:c r="O58" s="55" t="str">
        <x:v>Remove both state and orientation language; retain only the object category.</x:v>
      </x:c>
      <x:c r="P58" s="55" t="str">
        <x:v>PASS</x:v>
      </x:c>
      <x:c r="Q58" s="55" t="str">
        <x:v>generic_mask|yellow_white_striped_cup|open|right_side_up</x:v>
      </x:c>
      <x:c r="R58" s="55" t="str">
        <x:v>train</x:v>
      </x:c>
      <x:c r="S58" s="55" t="str">
        <x:v>Needs t0 middle-frame review</x:v>
      </x:c>
      <x:c r="T58" s="55" t="str">
        <x:v>Omitted physical attributes: open; upright.</x:v>
      </x:c>
      <x:c r="U58" s="57" t="n">
        <x:f>'Sampler Weights'!K65</x:f>
        <x:v>0.625</x:v>
      </x:c>
    </x:row>
    <x:row r="59">
      <x:c r="A59" s="56" t="n">
        <x:v>54</x:v>
      </x:c>
      <x:c r="B59" s="54" t="str">
        <x:v>justintiensmith/MT_State_Recognition_200:054</x:v>
      </x:c>
      <x:c r="C59" s="55" t="str">
        <x:v>Place an open yellow-white striped cup in the bowl.</x:v>
      </x:c>
      <x:c r="D59" s="55" t="str">
        <x:v>explicit_seen_open</x:v>
      </x:c>
      <x:c r="E59" s="55" t="str">
        <x:v>open</x:v>
      </x:c>
      <x:c r="F59" s="55" t="str">
        <x:v>upright</x:v>
      </x:c>
      <x:c r="G59" s="54" t="str">
        <x:v>yellow_white_striped_cup_b</x:v>
      </x:c>
      <x:c r="H59" s="54" t="str">
        <x:v>yellow-white striped cup</x:v>
      </x:c>
      <x:c r="I59" s="54" t="str">
        <x:v>open</x:v>
      </x:c>
      <x:c r="J59" s="54" t="str">
        <x:v>upright</x:v>
      </x:c>
      <x:c r="K59" s="56" t="n">
        <x:v>1</x:v>
      </x:c>
      <x:c r="L59" s="55" t="str">
        <x:v>["yellow_white_striped_cup_b"]</x:v>
      </x:c>
      <x:c r="M59" s="55" t="str">
        <x:v>PASS</x:v>
      </x:c>
      <x:c r="N59" s="55" t="str">
        <x:v>No</x:v>
      </x:c>
      <x:c r="O59" s="55" t="str">
        <x:v>Keep the seen semantic open; remove all orientation language and all held-out wording.</x:v>
      </x:c>
      <x:c r="P59" s="55" t="str">
        <x:v>PASS</x:v>
      </x:c>
      <x:c r="Q59" s="55" t="str">
        <x:v>explicit_seen_open|yellow_white_striped_cup|right_side_up</x:v>
      </x:c>
      <x:c r="R59" s="55" t="str">
        <x:v>train</x:v>
      </x:c>
      <x:c r="S59" s="55" t="str">
        <x:v>Needs t0 middle-frame review</x:v>
      </x:c>
      <x:c r="T59" s="55" t="str">
        <x:v>Omitted physical attributes: upright.</x:v>
      </x:c>
      <x:c r="U59" s="57" t="n">
        <x:f>'Sampler Weights'!K66</x:f>
        <x:v>0.6944444444444444</x:v>
      </x:c>
    </x:row>
    <x:row r="60">
      <x:c r="A60" s="56" t="n">
        <x:v>55</x:v>
      </x:c>
      <x:c r="B60" s="54" t="str">
        <x:v>justintiensmith/MT_State_Recognition_200:055</x:v>
      </x:c>
      <x:c r="C60" s="55" t="str">
        <x:v>Place a yellow-white striped cup in the bowl.</x:v>
      </x:c>
      <x:c r="D60" s="55" t="str">
        <x:v>generic_mask</x:v>
      </x:c>
      <x:c r="E60" s="55" t="str">
        <x:v>none</x:v>
      </x:c>
      <x:c r="F60" s="55" t="str">
        <x:v>closed; upright</x:v>
      </x:c>
      <x:c r="G60" s="54" t="str">
        <x:v>yellow_white_striped_cup_a</x:v>
      </x:c>
      <x:c r="H60" s="54" t="str">
        <x:v>yellow-white striped cup</x:v>
      </x:c>
      <x:c r="I60" s="54" t="str">
        <x:v>closed</x:v>
      </x:c>
      <x:c r="J60" s="54" t="str">
        <x:v>upright</x:v>
      </x:c>
      <x:c r="K60" s="56" t="n">
        <x:v>2</x:v>
      </x:c>
      <x:c r="L60" s="55" t="str">
        <x:v>["yellow_white_striped_cup_a","yellow_white_striped_cup_b"]</x:v>
      </x:c>
      <x:c r="M60" s="55" t="str">
        <x:v>PASS</x:v>
      </x:c>
      <x:c r="N60" s="55" t="str">
        <x:v>Yes</x:v>
      </x:c>
      <x:c r="O60" s="55" t="str">
        <x:v>Remove both state and orientation language; retain only the object category.</x:v>
      </x:c>
      <x:c r="P60" s="55" t="str">
        <x:v>PASS</x:v>
      </x:c>
      <x:c r="Q60" s="55" t="str">
        <x:v>generic_mask|yellow_white_striped_cup|closed|right_side_up</x:v>
      </x:c>
      <x:c r="R60" s="55" t="str">
        <x:v>train</x:v>
      </x:c>
      <x:c r="S60" s="55" t="str">
        <x:v>Needs t0 middle-frame review</x:v>
      </x:c>
      <x:c r="T60" s="55" t="str">
        <x:v>Omitted physical attributes: closed; upright.</x:v>
      </x:c>
      <x:c r="U60" s="57" t="n">
        <x:f>'Sampler Weights'!K67</x:f>
        <x:v>0.3472222222222222</x:v>
      </x:c>
    </x:row>
    <x:row r="61">
      <x:c r="A61" s="56" t="n">
        <x:v>56</x:v>
      </x:c>
      <x:c r="B61" s="54" t="str">
        <x:v>justintiensmith/MT_State_Recognition_200:056</x:v>
      </x:c>
      <x:c r="C61" s="55" t="str">
        <x:v>Place a yellow-white striped cup in the bowl.</x:v>
      </x:c>
      <x:c r="D61" s="55" t="str">
        <x:v>generic_mask</x:v>
      </x:c>
      <x:c r="E61" s="55" t="str">
        <x:v>none</x:v>
      </x:c>
      <x:c r="F61" s="55" t="str">
        <x:v>closed; upright</x:v>
      </x:c>
      <x:c r="G61" s="54" t="str">
        <x:v>yellow_white_striped_cup_b</x:v>
      </x:c>
      <x:c r="H61" s="54" t="str">
        <x:v>yellow-white striped cup</x:v>
      </x:c>
      <x:c r="I61" s="54" t="str">
        <x:v>closed</x:v>
      </x:c>
      <x:c r="J61" s="54" t="str">
        <x:v>upright</x:v>
      </x:c>
      <x:c r="K61" s="56" t="n">
        <x:v>2</x:v>
      </x:c>
      <x:c r="L61" s="55" t="str">
        <x:v>["yellow_white_striped_cup_b","yellow_white_striped_cup_a"]</x:v>
      </x:c>
      <x:c r="M61" s="55" t="str">
        <x:v>PASS</x:v>
      </x:c>
      <x:c r="N61" s="55" t="str">
        <x:v>Yes</x:v>
      </x:c>
      <x:c r="O61" s="55" t="str">
        <x:v>Remove both state and orientation language; retain only the object category.</x:v>
      </x:c>
      <x:c r="P61" s="55" t="str">
        <x:v>PASS</x:v>
      </x:c>
      <x:c r="Q61" s="55" t="str">
        <x:v>generic_mask|yellow_white_striped_cup|closed|right_side_up</x:v>
      </x:c>
      <x:c r="R61" s="55" t="str">
        <x:v>train</x:v>
      </x:c>
      <x:c r="S61" s="55" t="str">
        <x:v>Needs t0 middle-frame review</x:v>
      </x:c>
      <x:c r="T61" s="55" t="str">
        <x:v>Omitted physical attributes: closed; upright.</x:v>
      </x:c>
      <x:c r="U61" s="57" t="n">
        <x:f>'Sampler Weights'!K68</x:f>
        <x:v>0.3472222222222222</x:v>
      </x:c>
    </x:row>
    <x:row r="62">
      <x:c r="A62" s="56" t="n">
        <x:v>57</x:v>
      </x:c>
      <x:c r="B62" s="54" t="str">
        <x:v>justintiensmith/MT_State_Recognition_200:057</x:v>
      </x:c>
      <x:c r="C62" s="55" t="str">
        <x:v>Place a yellow-white striped cup in the bowl.</x:v>
      </x:c>
      <x:c r="D62" s="55" t="str">
        <x:v>generic_mask</x:v>
      </x:c>
      <x:c r="E62" s="55" t="str">
        <x:v>none</x:v>
      </x:c>
      <x:c r="F62" s="55" t="str">
        <x:v>upright</x:v>
      </x:c>
      <x:c r="G62" s="54" t="str">
        <x:v>yellow_white_striped_cup_a</x:v>
      </x:c>
      <x:c r="H62" s="54" t="str">
        <x:v>yellow-white striped cup</x:v>
      </x:c>
      <x:c r="I62" s="54" t="str">
        <x:v>open</x:v>
      </x:c>
      <x:c r="J62" s="54" t="str">
        <x:v>upright</x:v>
      </x:c>
      <x:c r="K62" s="56" t="n">
        <x:v>1</x:v>
      </x:c>
      <x:c r="L62" s="55" t="str">
        <x:v>["yellow_white_striped_cup_a"]</x:v>
      </x:c>
      <x:c r="M62" s="55" t="str">
        <x:v>PASS</x:v>
      </x:c>
      <x:c r="N62" s="55" t="str">
        <x:v>No</x:v>
      </x:c>
      <x:c r="O62" s="55" t="str">
        <x:v>Remove both state and orientation language; retain only the object category.</x:v>
      </x:c>
      <x:c r="P62" s="55" t="str">
        <x:v>PASS</x:v>
      </x:c>
      <x:c r="Q62" s="55" t="str">
        <x:v>generic_mask|yellow_white_striped_cup|open|right_side_up</x:v>
      </x:c>
      <x:c r="R62" s="55" t="str">
        <x:v>train</x:v>
      </x:c>
      <x:c r="S62" s="55" t="str">
        <x:v>Needs t0 middle-frame review</x:v>
      </x:c>
      <x:c r="T62" s="55" t="str">
        <x:v>Omitted physical attributes: open; upright.</x:v>
      </x:c>
      <x:c r="U62" s="57" t="n">
        <x:f>'Sampler Weights'!K69</x:f>
        <x:v>0.625</x:v>
      </x:c>
    </x:row>
    <x:row r="63">
      <x:c r="A63" s="56" t="n">
        <x:v>58</x:v>
      </x:c>
      <x:c r="B63" s="54" t="str">
        <x:v>justintiensmith/MT_State_Recognition_200:058</x:v>
      </x:c>
      <x:c r="C63" s="55" t="str">
        <x:v>Place a yellow-white striped cup in the bowl.</x:v>
      </x:c>
      <x:c r="D63" s="55" t="str">
        <x:v>generic_mask</x:v>
      </x:c>
      <x:c r="E63" s="55" t="str">
        <x:v>none</x:v>
      </x:c>
      <x:c r="F63" s="55" t="str">
        <x:v>closed; upright</x:v>
      </x:c>
      <x:c r="G63" s="54" t="str">
        <x:v>yellow_white_striped_cup_b</x:v>
      </x:c>
      <x:c r="H63" s="54" t="str">
        <x:v>yellow-white striped cup</x:v>
      </x:c>
      <x:c r="I63" s="54" t="str">
        <x:v>closed</x:v>
      </x:c>
      <x:c r="J63" s="54" t="str">
        <x:v>upright</x:v>
      </x:c>
      <x:c r="K63" s="56" t="n">
        <x:v>1</x:v>
      </x:c>
      <x:c r="L63" s="55" t="str">
        <x:v>["yellow_white_striped_cup_b"]</x:v>
      </x:c>
      <x:c r="M63" s="55" t="str">
        <x:v>PASS</x:v>
      </x:c>
      <x:c r="N63" s="55" t="str">
        <x:v>No</x:v>
      </x:c>
      <x:c r="O63" s="55" t="str">
        <x:v>Remove both state and orientation language; retain only the object category.</x:v>
      </x:c>
      <x:c r="P63" s="55" t="str">
        <x:v>PASS</x:v>
      </x:c>
      <x:c r="Q63" s="55" t="str">
        <x:v>generic_mask|yellow_white_striped_cup|closed|right_side_up</x:v>
      </x:c>
      <x:c r="R63" s="55" t="str">
        <x:v>train</x:v>
      </x:c>
      <x:c r="S63" s="55" t="str">
        <x:v>Needs t0 middle-frame review</x:v>
      </x:c>
      <x:c r="T63" s="55" t="str">
        <x:v>Omitted physical attributes: closed; upright.</x:v>
      </x:c>
      <x:c r="U63" s="57" t="n">
        <x:f>'Sampler Weights'!K70</x:f>
        <x:v>0.3472222222222222</x:v>
      </x:c>
    </x:row>
    <x:row r="64">
      <x:c r="A64" s="56" t="n">
        <x:v>59</x:v>
      </x:c>
      <x:c r="B64" s="54" t="str">
        <x:v>justintiensmith/MT_State_Recognition_200:059</x:v>
      </x:c>
      <x:c r="C64" s="55" t="str">
        <x:v>Place an open yellow-white striped cup in the bowl.</x:v>
      </x:c>
      <x:c r="D64" s="55" t="str">
        <x:v>explicit_seen_open</x:v>
      </x:c>
      <x:c r="E64" s="55" t="str">
        <x:v>open</x:v>
      </x:c>
      <x:c r="F64" s="55" t="str">
        <x:v>upright</x:v>
      </x:c>
      <x:c r="G64" s="54" t="str">
        <x:v>yellow_white_striped_cup_a</x:v>
      </x:c>
      <x:c r="H64" s="54" t="str">
        <x:v>yellow-white striped cup</x:v>
      </x:c>
      <x:c r="I64" s="54" t="str">
        <x:v>open</x:v>
      </x:c>
      <x:c r="J64" s="54" t="str">
        <x:v>upright</x:v>
      </x:c>
      <x:c r="K64" s="56" t="n">
        <x:v>1</x:v>
      </x:c>
      <x:c r="L64" s="55" t="str">
        <x:v>["yellow_white_striped_cup_a"]</x:v>
      </x:c>
      <x:c r="M64" s="55" t="str">
        <x:v>PASS</x:v>
      </x:c>
      <x:c r="N64" s="55" t="str">
        <x:v>No</x:v>
      </x:c>
      <x:c r="O64" s="55" t="str">
        <x:v>Keep the seen semantic open; remove all orientation language and all held-out wording.</x:v>
      </x:c>
      <x:c r="P64" s="55" t="str">
        <x:v>PASS</x:v>
      </x:c>
      <x:c r="Q64" s="55" t="str">
        <x:v>explicit_seen_open|yellow_white_striped_cup|right_side_up</x:v>
      </x:c>
      <x:c r="R64" s="55" t="str">
        <x:v>train</x:v>
      </x:c>
      <x:c r="S64" s="55" t="str">
        <x:v>Needs t0 middle-frame review</x:v>
      </x:c>
      <x:c r="T64" s="55" t="str">
        <x:v>Omitted physical attributes: upright.</x:v>
      </x:c>
      <x:c r="U64" s="57" t="n">
        <x:f>'Sampler Weights'!K71</x:f>
        <x:v>0.6944444444444444</x:v>
      </x:c>
    </x:row>
    <x:row r="65">
      <x:c r="A65" s="56" t="n">
        <x:v>60</x:v>
      </x:c>
      <x:c r="B65" s="54" t="str">
        <x:v>justintiensmith/MT_State_Recognition_200:060</x:v>
      </x:c>
      <x:c r="C65" s="55" t="str">
        <x:v>Place a yellow-white striped cup in the bowl.</x:v>
      </x:c>
      <x:c r="D65" s="55" t="str">
        <x:v>generic_mask</x:v>
      </x:c>
      <x:c r="E65" s="55" t="str">
        <x:v>none</x:v>
      </x:c>
      <x:c r="F65" s="55" t="str">
        <x:v>closed; upright</x:v>
      </x:c>
      <x:c r="G65" s="54" t="str">
        <x:v>yellow_white_striped_cup_b</x:v>
      </x:c>
      <x:c r="H65" s="54" t="str">
        <x:v>yellow-white striped cup</x:v>
      </x:c>
      <x:c r="I65" s="54" t="str">
        <x:v>closed</x:v>
      </x:c>
      <x:c r="J65" s="54" t="str">
        <x:v>upright</x:v>
      </x:c>
      <x:c r="K65" s="56" t="n">
        <x:v>2</x:v>
      </x:c>
      <x:c r="L65" s="55" t="str">
        <x:v>["yellow_white_striped_cup_b","yellow_white_striped_cup_a"]</x:v>
      </x:c>
      <x:c r="M65" s="55" t="str">
        <x:v>PASS</x:v>
      </x:c>
      <x:c r="N65" s="55" t="str">
        <x:v>Yes</x:v>
      </x:c>
      <x:c r="O65" s="55" t="str">
        <x:v>Remove both state and orientation language; retain only the object category.</x:v>
      </x:c>
      <x:c r="P65" s="55" t="str">
        <x:v>PASS</x:v>
      </x:c>
      <x:c r="Q65" s="55" t="str">
        <x:v>generic_mask|yellow_white_striped_cup|closed|right_side_up</x:v>
      </x:c>
      <x:c r="R65" s="55" t="str">
        <x:v>train</x:v>
      </x:c>
      <x:c r="S65" s="55" t="str">
        <x:v>Needs t0 middle-frame review</x:v>
      </x:c>
      <x:c r="T65" s="55" t="str">
        <x:v>Omitted physical attributes: closed; upright.</x:v>
      </x:c>
      <x:c r="U65" s="57" t="n">
        <x:f>'Sampler Weights'!K72</x:f>
        <x:v>0.3472222222222222</x:v>
      </x:c>
    </x:row>
    <x:row r="66">
      <x:c r="A66" s="56" t="n">
        <x:v>61</x:v>
      </x:c>
      <x:c r="B66" s="54" t="str">
        <x:v>justintiensmith/MT_State_Recognition_200:061</x:v>
      </x:c>
      <x:c r="C66" s="55" t="str">
        <x:v>Place a yellow-white striped cup in the bowl.</x:v>
      </x:c>
      <x:c r="D66" s="55" t="str">
        <x:v>generic_mask</x:v>
      </x:c>
      <x:c r="E66" s="55" t="str">
        <x:v>none</x:v>
      </x:c>
      <x:c r="F66" s="55" t="str">
        <x:v>closed; upright</x:v>
      </x:c>
      <x:c r="G66" s="54" t="str">
        <x:v>yellow_white_striped_cup_a</x:v>
      </x:c>
      <x:c r="H66" s="54" t="str">
        <x:v>yellow-white striped cup</x:v>
      </x:c>
      <x:c r="I66" s="54" t="str">
        <x:v>closed</x:v>
      </x:c>
      <x:c r="J66" s="54" t="str">
        <x:v>upright</x:v>
      </x:c>
      <x:c r="K66" s="56" t="n">
        <x:v>2</x:v>
      </x:c>
      <x:c r="L66" s="55" t="str">
        <x:v>["yellow_white_striped_cup_a","yellow_white_striped_cup_b"]</x:v>
      </x:c>
      <x:c r="M66" s="55" t="str">
        <x:v>PASS</x:v>
      </x:c>
      <x:c r="N66" s="55" t="str">
        <x:v>Yes</x:v>
      </x:c>
      <x:c r="O66" s="55" t="str">
        <x:v>Remove both state and orientation language; retain only the object category.</x:v>
      </x:c>
      <x:c r="P66" s="55" t="str">
        <x:v>PASS</x:v>
      </x:c>
      <x:c r="Q66" s="55" t="str">
        <x:v>generic_mask|yellow_white_striped_cup|closed|right_side_up</x:v>
      </x:c>
      <x:c r="R66" s="55" t="str">
        <x:v>train</x:v>
      </x:c>
      <x:c r="S66" s="55" t="str">
        <x:v>Needs t0 middle-frame review</x:v>
      </x:c>
      <x:c r="T66" s="55" t="str">
        <x:v>Omitted physical attributes: closed; upright.</x:v>
      </x:c>
      <x:c r="U66" s="57" t="n">
        <x:f>'Sampler Weights'!K73</x:f>
        <x:v>0.3472222222222222</x:v>
      </x:c>
    </x:row>
    <x:row r="67">
      <x:c r="A67" s="56" t="n">
        <x:v>62</x:v>
      </x:c>
      <x:c r="B67" s="54" t="str">
        <x:v>justintiensmith/MT_State_Recognition_200:062</x:v>
      </x:c>
      <x:c r="C67" s="55" t="str">
        <x:v>Place a yellow-white striped cup in the bowl.</x:v>
      </x:c>
      <x:c r="D67" s="55" t="str">
        <x:v>generic_mask</x:v>
      </x:c>
      <x:c r="E67" s="55" t="str">
        <x:v>none</x:v>
      </x:c>
      <x:c r="F67" s="55" t="str">
        <x:v>closed; upright</x:v>
      </x:c>
      <x:c r="G67" s="54" t="str">
        <x:v>yellow_white_striped_cup_b</x:v>
      </x:c>
      <x:c r="H67" s="54" t="str">
        <x:v>yellow-white striped cup</x:v>
      </x:c>
      <x:c r="I67" s="54" t="str">
        <x:v>closed</x:v>
      </x:c>
      <x:c r="J67" s="54" t="str">
        <x:v>upright</x:v>
      </x:c>
      <x:c r="K67" s="56" t="n">
        <x:v>1</x:v>
      </x:c>
      <x:c r="L67" s="55" t="str">
        <x:v>["yellow_white_striped_cup_b"]</x:v>
      </x:c>
      <x:c r="M67" s="55" t="str">
        <x:v>PASS</x:v>
      </x:c>
      <x:c r="N67" s="55" t="str">
        <x:v>No</x:v>
      </x:c>
      <x:c r="O67" s="55" t="str">
        <x:v>Remove both state and orientation language; retain only the object category.</x:v>
      </x:c>
      <x:c r="P67" s="55" t="str">
        <x:v>PASS</x:v>
      </x:c>
      <x:c r="Q67" s="55" t="str">
        <x:v>generic_mask|yellow_white_striped_cup|closed|right_side_up</x:v>
      </x:c>
      <x:c r="R67" s="55" t="str">
        <x:v>train</x:v>
      </x:c>
      <x:c r="S67" s="55" t="str">
        <x:v>Needs t0 middle-frame review</x:v>
      </x:c>
      <x:c r="T67" s="55" t="str">
        <x:v>Omitted physical attributes: closed; upright.</x:v>
      </x:c>
      <x:c r="U67" s="57" t="n">
        <x:f>'Sampler Weights'!K74</x:f>
        <x:v>0.3472222222222222</x:v>
      </x:c>
    </x:row>
    <x:row r="68">
      <x:c r="A68" s="56" t="n">
        <x:v>63</x:v>
      </x:c>
      <x:c r="B68" s="54" t="str">
        <x:v>justintiensmith/MT_State_Recognition_200:063</x:v>
      </x:c>
      <x:c r="C68" s="55" t="str">
        <x:v>Place a yellow-white striped cup in the bowl.</x:v>
      </x:c>
      <x:c r="D68" s="55" t="str">
        <x:v>generic_mask</x:v>
      </x:c>
      <x:c r="E68" s="55" t="str">
        <x:v>none</x:v>
      </x:c>
      <x:c r="F68" s="55" t="str">
        <x:v>upright</x:v>
      </x:c>
      <x:c r="G68" s="54" t="str">
        <x:v>yellow_white_striped_cup_b</x:v>
      </x:c>
      <x:c r="H68" s="54" t="str">
        <x:v>yellow-white striped cup</x:v>
      </x:c>
      <x:c r="I68" s="54" t="str">
        <x:v>open</x:v>
      </x:c>
      <x:c r="J68" s="54" t="str">
        <x:v>upright</x:v>
      </x:c>
      <x:c r="K68" s="56" t="n">
        <x:v>2</x:v>
      </x:c>
      <x:c r="L68" s="55" t="str">
        <x:v>["yellow_white_striped_cup_b","yellow_white_striped_cup_a"]</x:v>
      </x:c>
      <x:c r="M68" s="55" t="str">
        <x:v>PASS</x:v>
      </x:c>
      <x:c r="N68" s="55" t="str">
        <x:v>Yes</x:v>
      </x:c>
      <x:c r="O68" s="55" t="str">
        <x:v>Remove both state and orientation language; retain only the object category.</x:v>
      </x:c>
      <x:c r="P68" s="55" t="str">
        <x:v>PASS</x:v>
      </x:c>
      <x:c r="Q68" s="55" t="str">
        <x:v>generic_mask|yellow_white_striped_cup|open|right_side_up</x:v>
      </x:c>
      <x:c r="R68" s="55" t="str">
        <x:v>train</x:v>
      </x:c>
      <x:c r="S68" s="55" t="str">
        <x:v>Needs t0 middle-frame review</x:v>
      </x:c>
      <x:c r="T68" s="55" t="str">
        <x:v>Omitted physical attributes: open; upright.</x:v>
      </x:c>
      <x:c r="U68" s="57" t="n">
        <x:f>'Sampler Weights'!K75</x:f>
        <x:v>0.625</x:v>
      </x:c>
    </x:row>
    <x:row r="69">
      <x:c r="A69" s="56" t="n">
        <x:v>64</x:v>
      </x:c>
      <x:c r="B69" s="54" t="str">
        <x:v>justintiensmith/MT_State_Recognition_200:064</x:v>
      </x:c>
      <x:c r="C69" s="55" t="str">
        <x:v>Place an open yellow-white striped cup in the bowl.</x:v>
      </x:c>
      <x:c r="D69" s="55" t="str">
        <x:v>explicit_seen_open</x:v>
      </x:c>
      <x:c r="E69" s="55" t="str">
        <x:v>open</x:v>
      </x:c>
      <x:c r="F69" s="55" t="str">
        <x:v>upright</x:v>
      </x:c>
      <x:c r="G69" s="54" t="str">
        <x:v>yellow_white_striped_cup_a</x:v>
      </x:c>
      <x:c r="H69" s="54" t="str">
        <x:v>yellow-white striped cup</x:v>
      </x:c>
      <x:c r="I69" s="54" t="str">
        <x:v>open</x:v>
      </x:c>
      <x:c r="J69" s="54" t="str">
        <x:v>upright</x:v>
      </x:c>
      <x:c r="K69" s="56" t="n">
        <x:v>1</x:v>
      </x:c>
      <x:c r="L69" s="55" t="str">
        <x:v>["yellow_white_striped_cup_a"]</x:v>
      </x:c>
      <x:c r="M69" s="55" t="str">
        <x:v>PASS</x:v>
      </x:c>
      <x:c r="N69" s="55" t="str">
        <x:v>No</x:v>
      </x:c>
      <x:c r="O69" s="55" t="str">
        <x:v>Keep the seen semantic open; remove all orientation language and all held-out wording.</x:v>
      </x:c>
      <x:c r="P69" s="55" t="str">
        <x:v>PASS</x:v>
      </x:c>
      <x:c r="Q69" s="55" t="str">
        <x:v>explicit_seen_open|yellow_white_striped_cup|right_side_up</x:v>
      </x:c>
      <x:c r="R69" s="55" t="str">
        <x:v>train</x:v>
      </x:c>
      <x:c r="S69" s="55" t="str">
        <x:v>Needs t0 middle-frame review</x:v>
      </x:c>
      <x:c r="T69" s="55" t="str">
        <x:v>Omitted physical attributes: upright.</x:v>
      </x:c>
      <x:c r="U69" s="57" t="n">
        <x:f>'Sampler Weights'!K76</x:f>
        <x:v>0.6944444444444444</x:v>
      </x:c>
    </x:row>
    <x:row r="70">
      <x:c r="A70" s="56" t="n">
        <x:v>65</x:v>
      </x:c>
      <x:c r="B70" s="54" t="str">
        <x:v>justintiensmith/MT_State_Recognition_200:065</x:v>
      </x:c>
      <x:c r="C70" s="55" t="str">
        <x:v>Place a yellow-white striped cup in the bowl.</x:v>
      </x:c>
      <x:c r="D70" s="55" t="str">
        <x:v>generic_mask</x:v>
      </x:c>
      <x:c r="E70" s="55" t="str">
        <x:v>none</x:v>
      </x:c>
      <x:c r="F70" s="55" t="str">
        <x:v>closed; upright</x:v>
      </x:c>
      <x:c r="G70" s="54" t="str">
        <x:v>yellow_white_striped_cup_b</x:v>
      </x:c>
      <x:c r="H70" s="54" t="str">
        <x:v>yellow-white striped cup</x:v>
      </x:c>
      <x:c r="I70" s="54" t="str">
        <x:v>closed</x:v>
      </x:c>
      <x:c r="J70" s="54" t="str">
        <x:v>upright</x:v>
      </x:c>
      <x:c r="K70" s="56" t="n">
        <x:v>2</x:v>
      </x:c>
      <x:c r="L70" s="55" t="str">
        <x:v>["yellow_white_striped_cup_b","yellow_white_striped_cup_a"]</x:v>
      </x:c>
      <x:c r="M70" s="55" t="str">
        <x:v>PASS</x:v>
      </x:c>
      <x:c r="N70" s="55" t="str">
        <x:v>Yes</x:v>
      </x:c>
      <x:c r="O70" s="55" t="str">
        <x:v>Remove both state and orientation language; retain only the object category.</x:v>
      </x:c>
      <x:c r="P70" s="55" t="str">
        <x:v>PASS</x:v>
      </x:c>
      <x:c r="Q70" s="55" t="str">
        <x:v>generic_mask|yellow_white_striped_cup|closed|right_side_up</x:v>
      </x:c>
      <x:c r="R70" s="55" t="str">
        <x:v>train</x:v>
      </x:c>
      <x:c r="S70" s="55" t="str">
        <x:v>Needs t0 middle-frame review</x:v>
      </x:c>
      <x:c r="T70" s="55" t="str">
        <x:v>Omitted physical attributes: closed; upright.</x:v>
      </x:c>
      <x:c r="U70" s="57" t="n">
        <x:f>'Sampler Weights'!K77</x:f>
        <x:v>0.3472222222222222</x:v>
      </x:c>
    </x:row>
    <x:row r="71">
      <x:c r="A71" s="56" t="n">
        <x:v>66</x:v>
      </x:c>
      <x:c r="B71" s="54" t="str">
        <x:v>justintiensmith/MT_State_Recognition_200:066</x:v>
      </x:c>
      <x:c r="C71" s="55" t="str">
        <x:v>Place a yellow-white striped cup in the bowl.</x:v>
      </x:c>
      <x:c r="D71" s="55" t="str">
        <x:v>generic_mask</x:v>
      </x:c>
      <x:c r="E71" s="55" t="str">
        <x:v>none</x:v>
      </x:c>
      <x:c r="F71" s="55" t="str">
        <x:v>upright</x:v>
      </x:c>
      <x:c r="G71" s="54" t="str">
        <x:v>yellow_white_striped_cup_a</x:v>
      </x:c>
      <x:c r="H71" s="54" t="str">
        <x:v>yellow-white striped cup</x:v>
      </x:c>
      <x:c r="I71" s="54" t="str">
        <x:v>open</x:v>
      </x:c>
      <x:c r="J71" s="54" t="str">
        <x:v>upright</x:v>
      </x:c>
      <x:c r="K71" s="56" t="n">
        <x:v>1</x:v>
      </x:c>
      <x:c r="L71" s="55" t="str">
        <x:v>["yellow_white_striped_cup_a"]</x:v>
      </x:c>
      <x:c r="M71" s="55" t="str">
        <x:v>PASS</x:v>
      </x:c>
      <x:c r="N71" s="55" t="str">
        <x:v>No</x:v>
      </x:c>
      <x:c r="O71" s="55" t="str">
        <x:v>Remove both state and orientation language; retain only the object category.</x:v>
      </x:c>
      <x:c r="P71" s="55" t="str">
        <x:v>PASS</x:v>
      </x:c>
      <x:c r="Q71" s="55" t="str">
        <x:v>generic_mask|yellow_white_striped_cup|open|right_side_up</x:v>
      </x:c>
      <x:c r="R71" s="55" t="str">
        <x:v>train</x:v>
      </x:c>
      <x:c r="S71" s="55" t="str">
        <x:v>Needs t0 middle-frame review</x:v>
      </x:c>
      <x:c r="T71" s="55" t="str">
        <x:v>Omitted physical attributes: open; upright.</x:v>
      </x:c>
      <x:c r="U71" s="57" t="n">
        <x:f>'Sampler Weights'!K78</x:f>
        <x:v>0.625</x:v>
      </x:c>
    </x:row>
    <x:row r="72">
      <x:c r="A72" s="56" t="n">
        <x:v>67</x:v>
      </x:c>
      <x:c r="B72" s="54" t="str">
        <x:v>justintiensmith/MT_State_Recognition_200:067</x:v>
      </x:c>
      <x:c r="C72" s="55" t="str">
        <x:v>Place a yellow-white striped cup in the bowl.</x:v>
      </x:c>
      <x:c r="D72" s="55" t="str">
        <x:v>generic_mask</x:v>
      </x:c>
      <x:c r="E72" s="55" t="str">
        <x:v>none</x:v>
      </x:c>
      <x:c r="F72" s="55" t="str">
        <x:v>closed; upright</x:v>
      </x:c>
      <x:c r="G72" s="54" t="str">
        <x:v>yellow_white_striped_cup_a</x:v>
      </x:c>
      <x:c r="H72" s="54" t="str">
        <x:v>yellow-white striped cup</x:v>
      </x:c>
      <x:c r="I72" s="54" t="str">
        <x:v>closed</x:v>
      </x:c>
      <x:c r="J72" s="54" t="str">
        <x:v>upright</x:v>
      </x:c>
      <x:c r="K72" s="56" t="n">
        <x:v>2</x:v>
      </x:c>
      <x:c r="L72" s="55" t="str">
        <x:v>["yellow_white_striped_cup_a","yellow_white_striped_cup_b"]</x:v>
      </x:c>
      <x:c r="M72" s="55" t="str">
        <x:v>PASS</x:v>
      </x:c>
      <x:c r="N72" s="55" t="str">
        <x:v>Yes</x:v>
      </x:c>
      <x:c r="O72" s="55" t="str">
        <x:v>Remove both state and orientation language; retain only the object category.</x:v>
      </x:c>
      <x:c r="P72" s="55" t="str">
        <x:v>PASS</x:v>
      </x:c>
      <x:c r="Q72" s="55" t="str">
        <x:v>generic_mask|yellow_white_striped_cup|closed|right_side_up</x:v>
      </x:c>
      <x:c r="R72" s="55" t="str">
        <x:v>train</x:v>
      </x:c>
      <x:c r="S72" s="55" t="str">
        <x:v>Needs t0 middle-frame review</x:v>
      </x:c>
      <x:c r="T72" s="55" t="str">
        <x:v>Omitted physical attributes: closed; upright.</x:v>
      </x:c>
      <x:c r="U72" s="57" t="n">
        <x:f>'Sampler Weights'!K79</x:f>
        <x:v>0.3472222222222222</x:v>
      </x:c>
    </x:row>
    <x:row r="73">
      <x:c r="A73" s="56" t="n">
        <x:v>68</x:v>
      </x:c>
      <x:c r="B73" s="54" t="str">
        <x:v>justintiensmith/MT_State_Recognition_200:068</x:v>
      </x:c>
      <x:c r="C73" s="55" t="str">
        <x:v>Place a yellow-white striped cup in the bowl.</x:v>
      </x:c>
      <x:c r="D73" s="55" t="str">
        <x:v>generic_mask</x:v>
      </x:c>
      <x:c r="E73" s="55" t="str">
        <x:v>none</x:v>
      </x:c>
      <x:c r="F73" s="55" t="str">
        <x:v>closed; upright</x:v>
      </x:c>
      <x:c r="G73" s="54" t="str">
        <x:v>yellow_white_striped_cup_b</x:v>
      </x:c>
      <x:c r="H73" s="54" t="str">
        <x:v>yellow-white striped cup</x:v>
      </x:c>
      <x:c r="I73" s="54" t="str">
        <x:v>closed</x:v>
      </x:c>
      <x:c r="J73" s="54" t="str">
        <x:v>upright</x:v>
      </x:c>
      <x:c r="K73" s="56" t="n">
        <x:v>2</x:v>
      </x:c>
      <x:c r="L73" s="55" t="str">
        <x:v>["yellow_white_striped_cup_b","yellow_white_striped_cup_a"]</x:v>
      </x:c>
      <x:c r="M73" s="55" t="str">
        <x:v>PASS</x:v>
      </x:c>
      <x:c r="N73" s="55" t="str">
        <x:v>Yes</x:v>
      </x:c>
      <x:c r="O73" s="55" t="str">
        <x:v>Remove both state and orientation language; retain only the object category.</x:v>
      </x:c>
      <x:c r="P73" s="55" t="str">
        <x:v>PASS</x:v>
      </x:c>
      <x:c r="Q73" s="55" t="str">
        <x:v>generic_mask|yellow_white_striped_cup|closed|right_side_up</x:v>
      </x:c>
      <x:c r="R73" s="55" t="str">
        <x:v>train</x:v>
      </x:c>
      <x:c r="S73" s="55" t="str">
        <x:v>Needs t0 middle-frame review</x:v>
      </x:c>
      <x:c r="T73" s="55" t="str">
        <x:v>Omitted physical attributes: closed; upright.</x:v>
      </x:c>
      <x:c r="U73" s="57" t="n">
        <x:f>'Sampler Weights'!K80</x:f>
        <x:v>0.3472222222222222</x:v>
      </x:c>
    </x:row>
    <x:row r="74">
      <x:c r="A74" s="56" t="n">
        <x:v>69</x:v>
      </x:c>
      <x:c r="B74" s="54" t="str">
        <x:v>justintiensmith/MT_State_Recognition_200:069</x:v>
      </x:c>
      <x:c r="C74" s="55" t="str">
        <x:v>Place an open yellow-white striped cup in the bowl.</x:v>
      </x:c>
      <x:c r="D74" s="55" t="str">
        <x:v>explicit_seen_open</x:v>
      </x:c>
      <x:c r="E74" s="55" t="str">
        <x:v>open</x:v>
      </x:c>
      <x:c r="F74" s="55" t="str">
        <x:v>upright</x:v>
      </x:c>
      <x:c r="G74" s="54" t="str">
        <x:v>yellow_white_striped_cup_a</x:v>
      </x:c>
      <x:c r="H74" s="54" t="str">
        <x:v>yellow-white striped cup</x:v>
      </x:c>
      <x:c r="I74" s="54" t="str">
        <x:v>open</x:v>
      </x:c>
      <x:c r="J74" s="54" t="str">
        <x:v>upright</x:v>
      </x:c>
      <x:c r="K74" s="56" t="n">
        <x:v>1</x:v>
      </x:c>
      <x:c r="L74" s="55" t="str">
        <x:v>["yellow_white_striped_cup_a"]</x:v>
      </x:c>
      <x:c r="M74" s="55" t="str">
        <x:v>PASS</x:v>
      </x:c>
      <x:c r="N74" s="55" t="str">
        <x:v>No</x:v>
      </x:c>
      <x:c r="O74" s="55" t="str">
        <x:v>Keep the seen semantic open; remove all orientation language and all held-out wording.</x:v>
      </x:c>
      <x:c r="P74" s="55" t="str">
        <x:v>PASS</x:v>
      </x:c>
      <x:c r="Q74" s="55" t="str">
        <x:v>explicit_seen_open|yellow_white_striped_cup|right_side_up</x:v>
      </x:c>
      <x:c r="R74" s="55" t="str">
        <x:v>train</x:v>
      </x:c>
      <x:c r="S74" s="55" t="str">
        <x:v>Needs t0 middle-frame review</x:v>
      </x:c>
      <x:c r="T74" s="55" t="str">
        <x:v>Omitted physical attributes: upright.</x:v>
      </x:c>
      <x:c r="U74" s="57" t="n">
        <x:f>'Sampler Weights'!K81</x:f>
        <x:v>0.6944444444444444</x:v>
      </x:c>
    </x:row>
    <x:row r="75">
      <x:c r="A75" s="56" t="n">
        <x:v>70</x:v>
      </x:c>
      <x:c r="B75" s="54" t="str">
        <x:v>justintiensmith/MT_State_Recognition_200:070</x:v>
      </x:c>
      <x:c r="C75" s="55" t="str">
        <x:v>Place a yellow-white striped cup in the bowl.</x:v>
      </x:c>
      <x:c r="D75" s="55" t="str">
        <x:v>generic_mask</x:v>
      </x:c>
      <x:c r="E75" s="55" t="str">
        <x:v>none</x:v>
      </x:c>
      <x:c r="F75" s="55" t="str">
        <x:v>closed; upright</x:v>
      </x:c>
      <x:c r="G75" s="54" t="str">
        <x:v>yellow_white_striped_cup_a</x:v>
      </x:c>
      <x:c r="H75" s="54" t="str">
        <x:v>yellow-white striped cup</x:v>
      </x:c>
      <x:c r="I75" s="54" t="str">
        <x:v>closed</x:v>
      </x:c>
      <x:c r="J75" s="54" t="str">
        <x:v>upright</x:v>
      </x:c>
      <x:c r="K75" s="56" t="n">
        <x:v>1</x:v>
      </x:c>
      <x:c r="L75" s="55" t="str">
        <x:v>["yellow_white_striped_cup_a"]</x:v>
      </x:c>
      <x:c r="M75" s="55" t="str">
        <x:v>PASS</x:v>
      </x:c>
      <x:c r="N75" s="55" t="str">
        <x:v>No</x:v>
      </x:c>
      <x:c r="O75" s="55" t="str">
        <x:v>Remove both state and orientation language; retain only the object category.</x:v>
      </x:c>
      <x:c r="P75" s="55" t="str">
        <x:v>PASS</x:v>
      </x:c>
      <x:c r="Q75" s="55" t="str">
        <x:v>generic_mask|yellow_white_striped_cup|closed|right_side_up</x:v>
      </x:c>
      <x:c r="R75" s="55" t="str">
        <x:v>train</x:v>
      </x:c>
      <x:c r="S75" s="55" t="str">
        <x:v>Needs t0 middle-frame review</x:v>
      </x:c>
      <x:c r="T75" s="55" t="str">
        <x:v>Omitted physical attributes: closed; upright.</x:v>
      </x:c>
      <x:c r="U75" s="57" t="n">
        <x:f>'Sampler Weights'!K82</x:f>
        <x:v>0.3472222222222222</x:v>
      </x:c>
    </x:row>
    <x:row r="76">
      <x:c r="A76" s="56" t="n">
        <x:v>71</x:v>
      </x:c>
      <x:c r="B76" s="54" t="str">
        <x:v>justintiensmith/MT_State_Recognition_200:071</x:v>
      </x:c>
      <x:c r="C76" s="55" t="str">
        <x:v>Place a yellow-white striped cup in the bowl.</x:v>
      </x:c>
      <x:c r="D76" s="55" t="str">
        <x:v>generic_mask</x:v>
      </x:c>
      <x:c r="E76" s="55" t="str">
        <x:v>none</x:v>
      </x:c>
      <x:c r="F76" s="55" t="str">
        <x:v>upright</x:v>
      </x:c>
      <x:c r="G76" s="54" t="str">
        <x:v>yellow_white_striped_cup_b</x:v>
      </x:c>
      <x:c r="H76" s="54" t="str">
        <x:v>yellow-white striped cup</x:v>
      </x:c>
      <x:c r="I76" s="54" t="str">
        <x:v>open</x:v>
      </x:c>
      <x:c r="J76" s="54" t="str">
        <x:v>upright</x:v>
      </x:c>
      <x:c r="K76" s="56" t="n">
        <x:v>2</x:v>
      </x:c>
      <x:c r="L76" s="55" t="str">
        <x:v>["yellow_white_striped_cup_b","yellow_white_striped_cup_a"]</x:v>
      </x:c>
      <x:c r="M76" s="55" t="str">
        <x:v>PASS</x:v>
      </x:c>
      <x:c r="N76" s="55" t="str">
        <x:v>Yes</x:v>
      </x:c>
      <x:c r="O76" s="55" t="str">
        <x:v>Remove both state and orientation language; retain only the object category.</x:v>
      </x:c>
      <x:c r="P76" s="55" t="str">
        <x:v>PASS</x:v>
      </x:c>
      <x:c r="Q76" s="55" t="str">
        <x:v>generic_mask|yellow_white_striped_cup|open|right_side_up</x:v>
      </x:c>
      <x:c r="R76" s="55" t="str">
        <x:v>train</x:v>
      </x:c>
      <x:c r="S76" s="55" t="str">
        <x:v>Needs t0 middle-frame review</x:v>
      </x:c>
      <x:c r="T76" s="55" t="str">
        <x:v>Omitted physical attributes: open; upright.</x:v>
      </x:c>
      <x:c r="U76" s="57" t="n">
        <x:f>'Sampler Weights'!K83</x:f>
        <x:v>0.625</x:v>
      </x:c>
    </x:row>
    <x:row r="77">
      <x:c r="A77" s="56" t="n">
        <x:v>72</x:v>
      </x:c>
      <x:c r="B77" s="54" t="str">
        <x:v>justintiensmith/MT_State_Recognition_200:072</x:v>
      </x:c>
      <x:c r="C77" s="55" t="str">
        <x:v>Place an open yellow-white striped cup in the bowl.</x:v>
      </x:c>
      <x:c r="D77" s="55" t="str">
        <x:v>explicit_seen_open</x:v>
      </x:c>
      <x:c r="E77" s="55" t="str">
        <x:v>open</x:v>
      </x:c>
      <x:c r="F77" s="55" t="str">
        <x:v>upright</x:v>
      </x:c>
      <x:c r="G77" s="54" t="str">
        <x:v>yellow_white_striped_cup_b</x:v>
      </x:c>
      <x:c r="H77" s="54" t="str">
        <x:v>yellow-white striped cup</x:v>
      </x:c>
      <x:c r="I77" s="54" t="str">
        <x:v>open</x:v>
      </x:c>
      <x:c r="J77" s="54" t="str">
        <x:v>upright</x:v>
      </x:c>
      <x:c r="K77" s="56" t="n">
        <x:v>1</x:v>
      </x:c>
      <x:c r="L77" s="55" t="str">
        <x:v>["yellow_white_striped_cup_b"]</x:v>
      </x:c>
      <x:c r="M77" s="55" t="str">
        <x:v>PASS</x:v>
      </x:c>
      <x:c r="N77" s="55" t="str">
        <x:v>No</x:v>
      </x:c>
      <x:c r="O77" s="55" t="str">
        <x:v>Keep the seen semantic open; remove all orientation language and all held-out wording.</x:v>
      </x:c>
      <x:c r="P77" s="55" t="str">
        <x:v>PASS</x:v>
      </x:c>
      <x:c r="Q77" s="55" t="str">
        <x:v>explicit_seen_open|yellow_white_striped_cup|right_side_up</x:v>
      </x:c>
      <x:c r="R77" s="55" t="str">
        <x:v>train</x:v>
      </x:c>
      <x:c r="S77" s="55" t="str">
        <x:v>Needs t0 middle-frame review</x:v>
      </x:c>
      <x:c r="T77" s="55" t="str">
        <x:v>Omitted physical attributes: upright.</x:v>
      </x:c>
      <x:c r="U77" s="57" t="n">
        <x:f>'Sampler Weights'!K84</x:f>
        <x:v>0.6944444444444444</x:v>
      </x:c>
    </x:row>
    <x:row r="78">
      <x:c r="A78" s="56" t="n">
        <x:v>73</x:v>
      </x:c>
      <x:c r="B78" s="54" t="str">
        <x:v>justintiensmith/MT_State_Recognition_200:073</x:v>
      </x:c>
      <x:c r="C78" s="55" t="str">
        <x:v>Place a yellow-white striped cup in the bowl.</x:v>
      </x:c>
      <x:c r="D78" s="55" t="str">
        <x:v>generic_mask</x:v>
      </x:c>
      <x:c r="E78" s="55" t="str">
        <x:v>none</x:v>
      </x:c>
      <x:c r="F78" s="55" t="str">
        <x:v>closed; upright</x:v>
      </x:c>
      <x:c r="G78" s="54" t="str">
        <x:v>yellow_white_striped_cup_a</x:v>
      </x:c>
      <x:c r="H78" s="54" t="str">
        <x:v>yellow-white striped cup</x:v>
      </x:c>
      <x:c r="I78" s="54" t="str">
        <x:v>closed</x:v>
      </x:c>
      <x:c r="J78" s="54" t="str">
        <x:v>upright</x:v>
      </x:c>
      <x:c r="K78" s="56" t="n">
        <x:v>2</x:v>
      </x:c>
      <x:c r="L78" s="55" t="str">
        <x:v>["yellow_white_striped_cup_a","yellow_white_striped_cup_b"]</x:v>
      </x:c>
      <x:c r="M78" s="55" t="str">
        <x:v>PASS</x:v>
      </x:c>
      <x:c r="N78" s="55" t="str">
        <x:v>Yes</x:v>
      </x:c>
      <x:c r="O78" s="55" t="str">
        <x:v>Remove both state and orientation language; retain only the object category.</x:v>
      </x:c>
      <x:c r="P78" s="55" t="str">
        <x:v>PASS</x:v>
      </x:c>
      <x:c r="Q78" s="55" t="str">
        <x:v>generic_mask|yellow_white_striped_cup|closed|right_side_up</x:v>
      </x:c>
      <x:c r="R78" s="55" t="str">
        <x:v>train</x:v>
      </x:c>
      <x:c r="S78" s="55" t="str">
        <x:v>Needs t0 middle-frame review</x:v>
      </x:c>
      <x:c r="T78" s="55" t="str">
        <x:v>Omitted physical attributes: closed; upright.</x:v>
      </x:c>
      <x:c r="U78" s="57" t="n">
        <x:f>'Sampler Weights'!K85</x:f>
        <x:v>0.3472222222222222</x:v>
      </x:c>
    </x:row>
    <x:row r="79">
      <x:c r="A79" s="56" t="n">
        <x:v>74</x:v>
      </x:c>
      <x:c r="B79" s="54" t="str">
        <x:v>justintiensmith/MT_State_Recognition_200:074</x:v>
      </x:c>
      <x:c r="C79" s="55" t="str">
        <x:v>Place a yellow-white striped cup in the bowl.</x:v>
      </x:c>
      <x:c r="D79" s="55" t="str">
        <x:v>generic_mask</x:v>
      </x:c>
      <x:c r="E79" s="55" t="str">
        <x:v>none</x:v>
      </x:c>
      <x:c r="F79" s="55" t="str">
        <x:v>closed; upright</x:v>
      </x:c>
      <x:c r="G79" s="54" t="str">
        <x:v>yellow_white_striped_cup_a</x:v>
      </x:c>
      <x:c r="H79" s="54" t="str">
        <x:v>yellow-white striped cup</x:v>
      </x:c>
      <x:c r="I79" s="54" t="str">
        <x:v>closed</x:v>
      </x:c>
      <x:c r="J79" s="54" t="str">
        <x:v>upright</x:v>
      </x:c>
      <x:c r="K79" s="56" t="n">
        <x:v>2</x:v>
      </x:c>
      <x:c r="L79" s="55" t="str">
        <x:v>["yellow_white_striped_cup_a","yellow_white_striped_cup_b"]</x:v>
      </x:c>
      <x:c r="M79" s="55" t="str">
        <x:v>PASS</x:v>
      </x:c>
      <x:c r="N79" s="55" t="str">
        <x:v>Yes</x:v>
      </x:c>
      <x:c r="O79" s="55" t="str">
        <x:v>Remove both state and orientation language; retain only the object category.</x:v>
      </x:c>
      <x:c r="P79" s="55" t="str">
        <x:v>PASS</x:v>
      </x:c>
      <x:c r="Q79" s="55" t="str">
        <x:v>generic_mask|yellow_white_striped_cup|closed|right_side_up</x:v>
      </x:c>
      <x:c r="R79" s="55" t="str">
        <x:v>train</x:v>
      </x:c>
      <x:c r="S79" s="55" t="str">
        <x:v>Needs t0 middle-frame review</x:v>
      </x:c>
      <x:c r="T79" s="55" t="str">
        <x:v>Omitted physical attributes: closed; upright.</x:v>
      </x:c>
      <x:c r="U79" s="57" t="n">
        <x:f>'Sampler Weights'!K86</x:f>
        <x:v>0.3472222222222222</x:v>
      </x:c>
    </x:row>
    <x:row r="80">
      <x:c r="A80" s="56" t="n">
        <x:v>75</x:v>
      </x:c>
      <x:c r="B80" s="54" t="str">
        <x:v>justintiensmith/MT_State_Recognition_200:075</x:v>
      </x:c>
      <x:c r="C80" s="55" t="str">
        <x:v>Place a yellow-white striped cup in the bowl.</x:v>
      </x:c>
      <x:c r="D80" s="55" t="str">
        <x:v>generic_mask</x:v>
      </x:c>
      <x:c r="E80" s="55" t="str">
        <x:v>none</x:v>
      </x:c>
      <x:c r="F80" s="55" t="str">
        <x:v>closed; upright</x:v>
      </x:c>
      <x:c r="G80" s="54" t="str">
        <x:v>yellow_white_striped_cup_b</x:v>
      </x:c>
      <x:c r="H80" s="54" t="str">
        <x:v>yellow-white striped cup</x:v>
      </x:c>
      <x:c r="I80" s="54" t="str">
        <x:v>closed</x:v>
      </x:c>
      <x:c r="J80" s="54" t="str">
        <x:v>upright</x:v>
      </x:c>
      <x:c r="K80" s="56" t="n">
        <x:v>2</x:v>
      </x:c>
      <x:c r="L80" s="55" t="str">
        <x:v>["yellow_white_striped_cup_b","yellow_white_striped_cup_a"]</x:v>
      </x:c>
      <x:c r="M80" s="55" t="str">
        <x:v>PASS</x:v>
      </x:c>
      <x:c r="N80" s="55" t="str">
        <x:v>Yes</x:v>
      </x:c>
      <x:c r="O80" s="55" t="str">
        <x:v>Remove both state and orientation language; retain only the object category.</x:v>
      </x:c>
      <x:c r="P80" s="55" t="str">
        <x:v>PASS</x:v>
      </x:c>
      <x:c r="Q80" s="55" t="str">
        <x:v>generic_mask|yellow_white_striped_cup|closed|right_side_up</x:v>
      </x:c>
      <x:c r="R80" s="55" t="str">
        <x:v>train</x:v>
      </x:c>
      <x:c r="S80" s="55" t="str">
        <x:v>Needs t0 middle-frame review</x:v>
      </x:c>
      <x:c r="T80" s="55" t="str">
        <x:v>Omitted physical attributes: closed; upright.</x:v>
      </x:c>
      <x:c r="U80" s="57" t="n">
        <x:f>'Sampler Weights'!K87</x:f>
        <x:v>0.3472222222222222</x:v>
      </x:c>
    </x:row>
    <x:row r="81">
      <x:c r="A81" s="56" t="n">
        <x:v>76</x:v>
      </x:c>
      <x:c r="B81" s="54" t="str">
        <x:v>justintiensmith/MT_State_Recognition_200:076</x:v>
      </x:c>
      <x:c r="C81" s="55" t="str">
        <x:v>Place a yellow-white striped cup in the bowl.</x:v>
      </x:c>
      <x:c r="D81" s="55" t="str">
        <x:v>generic_mask</x:v>
      </x:c>
      <x:c r="E81" s="55" t="str">
        <x:v>none</x:v>
      </x:c>
      <x:c r="F81" s="55" t="str">
        <x:v>upright</x:v>
      </x:c>
      <x:c r="G81" s="54" t="str">
        <x:v>yellow_white_striped_cup_b</x:v>
      </x:c>
      <x:c r="H81" s="54" t="str">
        <x:v>yellow-white striped cup</x:v>
      </x:c>
      <x:c r="I81" s="54" t="str">
        <x:v>open</x:v>
      </x:c>
      <x:c r="J81" s="54" t="str">
        <x:v>upright</x:v>
      </x:c>
      <x:c r="K81" s="56" t="n">
        <x:v>2</x:v>
      </x:c>
      <x:c r="L81" s="55" t="str">
        <x:v>["yellow_white_striped_cup_b","yellow_white_striped_cup_a"]</x:v>
      </x:c>
      <x:c r="M81" s="55" t="str">
        <x:v>PASS</x:v>
      </x:c>
      <x:c r="N81" s="55" t="str">
        <x:v>Yes</x:v>
      </x:c>
      <x:c r="O81" s="55" t="str">
        <x:v>Remove both state and orientation language; retain only the object category.</x:v>
      </x:c>
      <x:c r="P81" s="55" t="str">
        <x:v>PASS</x:v>
      </x:c>
      <x:c r="Q81" s="55" t="str">
        <x:v>generic_mask|yellow_white_striped_cup|open|right_side_up</x:v>
      </x:c>
      <x:c r="R81" s="55" t="str">
        <x:v>train</x:v>
      </x:c>
      <x:c r="S81" s="55" t="str">
        <x:v>Needs t0 middle-frame review</x:v>
      </x:c>
      <x:c r="T81" s="55" t="str">
        <x:v>Omitted physical attributes: open; upright.</x:v>
      </x:c>
      <x:c r="U81" s="57" t="n">
        <x:f>'Sampler Weights'!K88</x:f>
        <x:v>0.625</x:v>
      </x:c>
    </x:row>
    <x:row r="82">
      <x:c r="A82" s="56" t="n">
        <x:v>77</x:v>
      </x:c>
      <x:c r="B82" s="54" t="str">
        <x:v>justintiensmith/MT_State_Recognition_200:077</x:v>
      </x:c>
      <x:c r="C82" s="55" t="str">
        <x:v>Place a yellow-white striped cup in the bowl.</x:v>
      </x:c>
      <x:c r="D82" s="55" t="str">
        <x:v>generic_mask</x:v>
      </x:c>
      <x:c r="E82" s="55" t="str">
        <x:v>none</x:v>
      </x:c>
      <x:c r="F82" s="55" t="str">
        <x:v>closed</x:v>
      </x:c>
      <x:c r="G82" s="54" t="str">
        <x:v>yellow_white_striped_cup_a</x:v>
      </x:c>
      <x:c r="H82" s="54" t="str">
        <x:v>yellow-white striped cup</x:v>
      </x:c>
      <x:c r="I82" s="54" t="str">
        <x:v>closed</x:v>
      </x:c>
      <x:c r="J82" s="54" t="str">
        <x:v>upside down</x:v>
      </x:c>
      <x:c r="K82" s="56" t="n">
        <x:v>1</x:v>
      </x:c>
      <x:c r="L82" s="55" t="str">
        <x:v>["yellow_white_striped_cup_a"]</x:v>
      </x:c>
      <x:c r="M82" s="55" t="str">
        <x:v>PASS</x:v>
      </x:c>
      <x:c r="N82" s="55" t="str">
        <x:v>No</x:v>
      </x:c>
      <x:c r="O82" s="55" t="str">
        <x:v>Remove both state and orientation language; retain only the object category.</x:v>
      </x:c>
      <x:c r="P82" s="55" t="str">
        <x:v>PASS</x:v>
      </x:c>
      <x:c r="Q82" s="55" t="str">
        <x:v>generic_mask|yellow_white_striped_cup|closed|upside_down</x:v>
      </x:c>
      <x:c r="R82" s="55" t="str">
        <x:v>train</x:v>
      </x:c>
      <x:c r="S82" s="55" t="str">
        <x:v>Needs t0 middle-frame review</x:v>
      </x:c>
      <x:c r="T82" s="55" t="str">
        <x:v>Omitted physical attributes: closed; upside down.</x:v>
      </x:c>
      <x:c r="U82" s="57" t="n">
        <x:f>'Sampler Weights'!K89</x:f>
        <x:v>1.5625</x:v>
      </x:c>
    </x:row>
    <x:row r="83">
      <x:c r="A83" s="56" t="n">
        <x:v>78</x:v>
      </x:c>
      <x:c r="B83" s="54" t="str">
        <x:v>justintiensmith/MT_State_Recognition_200:078</x:v>
      </x:c>
      <x:c r="C83" s="55" t="str">
        <x:v>Place a yellow-white striped cup in the bowl.</x:v>
      </x:c>
      <x:c r="D83" s="55" t="str">
        <x:v>generic_mask</x:v>
      </x:c>
      <x:c r="E83" s="55" t="str">
        <x:v>none</x:v>
      </x:c>
      <x:c r="F83" s="55" t="str"/>
      <x:c r="G83" s="54" t="str">
        <x:v>yellow_white_striped_cup_b</x:v>
      </x:c>
      <x:c r="H83" s="54" t="str">
        <x:v>yellow-white striped cup</x:v>
      </x:c>
      <x:c r="I83" s="54" t="str">
        <x:v>open</x:v>
      </x:c>
      <x:c r="J83" s="54" t="str">
        <x:v>upside down</x:v>
      </x:c>
      <x:c r="K83" s="56" t="n">
        <x:v>2</x:v>
      </x:c>
      <x:c r="L83" s="55" t="str">
        <x:v>["yellow_white_striped_cup_b","yellow_white_striped_cup_a"]</x:v>
      </x:c>
      <x:c r="M83" s="55" t="str">
        <x:v>PASS</x:v>
      </x:c>
      <x:c r="N83" s="55" t="str">
        <x:v>Yes</x:v>
      </x:c>
      <x:c r="O83" s="55" t="str">
        <x:v>Remove both state and orientation language; retain only the object category.</x:v>
      </x:c>
      <x:c r="P83" s="55" t="str">
        <x:v>PASS</x:v>
      </x:c>
      <x:c r="Q83" s="55" t="str">
        <x:v>generic_mask|yellow_white_striped_cup|open|upside_down</x:v>
      </x:c>
      <x:c r="R83" s="55" t="str">
        <x:v>train</x:v>
      </x:c>
      <x:c r="S83" s="55" t="str">
        <x:v>Needs t0 middle-frame review</x:v>
      </x:c>
      <x:c r="T83" s="55" t="str">
        <x:v>Omitted physical attributes: open; upside down.</x:v>
      </x:c>
      <x:c r="U83" s="57" t="n">
        <x:f>'Sampler Weights'!K90</x:f>
        <x:v>2.083333333333333</x:v>
      </x:c>
    </x:row>
    <x:row r="84">
      <x:c r="A84" s="56" t="n">
        <x:v>79</x:v>
      </x:c>
      <x:c r="B84" s="54" t="str">
        <x:v>justintiensmith/MT_State_Recognition_200:079</x:v>
      </x:c>
      <x:c r="C84" s="55" t="str">
        <x:v>Place a yellow-white striped cup in the bowl.</x:v>
      </x:c>
      <x:c r="D84" s="55" t="str">
        <x:v>generic_mask</x:v>
      </x:c>
      <x:c r="E84" s="55" t="str">
        <x:v>none</x:v>
      </x:c>
      <x:c r="F84" s="55" t="str">
        <x:v>closed; upright</x:v>
      </x:c>
      <x:c r="G84" s="54" t="str">
        <x:v>yellow_white_striped_cup_a</x:v>
      </x:c>
      <x:c r="H84" s="54" t="str">
        <x:v>yellow-white striped cup</x:v>
      </x:c>
      <x:c r="I84" s="54" t="str">
        <x:v>closed</x:v>
      </x:c>
      <x:c r="J84" s="54" t="str">
        <x:v>upright</x:v>
      </x:c>
      <x:c r="K84" s="56" t="n">
        <x:v>2</x:v>
      </x:c>
      <x:c r="L84" s="55" t="str">
        <x:v>["yellow_white_striped_cup_a","yellow_white_striped_cup_b"]</x:v>
      </x:c>
      <x:c r="M84" s="55" t="str">
        <x:v>PASS</x:v>
      </x:c>
      <x:c r="N84" s="55" t="str">
        <x:v>Yes</x:v>
      </x:c>
      <x:c r="O84" s="55" t="str">
        <x:v>Remove both state and orientation language; retain only the object category.</x:v>
      </x:c>
      <x:c r="P84" s="55" t="str">
        <x:v>PASS</x:v>
      </x:c>
      <x:c r="Q84" s="55" t="str">
        <x:v>generic_mask|yellow_white_striped_cup|closed|right_side_up</x:v>
      </x:c>
      <x:c r="R84" s="55" t="str">
        <x:v>train</x:v>
      </x:c>
      <x:c r="S84" s="55" t="str">
        <x:v>Needs t0 middle-frame review</x:v>
      </x:c>
      <x:c r="T84" s="55" t="str">
        <x:v>Omitted physical attributes: closed; upright.</x:v>
      </x:c>
      <x:c r="U84" s="57" t="n">
        <x:f>'Sampler Weights'!K91</x:f>
        <x:v>0.3472222222222222</x:v>
      </x:c>
    </x:row>
    <x:row r="85">
      <x:c r="A85" s="56" t="n">
        <x:v>80</x:v>
      </x:c>
      <x:c r="B85" s="54" t="str">
        <x:v>justintiensmith/MT_State_Recognition_200:080</x:v>
      </x:c>
      <x:c r="C85" s="55" t="str">
        <x:v>Place an open yellow-white striped cup in the bowl.</x:v>
      </x:c>
      <x:c r="D85" s="55" t="str">
        <x:v>explicit_seen_open</x:v>
      </x:c>
      <x:c r="E85" s="55" t="str">
        <x:v>open</x:v>
      </x:c>
      <x:c r="F85" s="55" t="str">
        <x:v>upright</x:v>
      </x:c>
      <x:c r="G85" s="54" t="str">
        <x:v>yellow_white_striped_cup_a</x:v>
      </x:c>
      <x:c r="H85" s="54" t="str">
        <x:v>yellow-white striped cup</x:v>
      </x:c>
      <x:c r="I85" s="54" t="str">
        <x:v>open</x:v>
      </x:c>
      <x:c r="J85" s="54" t="str">
        <x:v>upright</x:v>
      </x:c>
      <x:c r="K85" s="56" t="n">
        <x:v>1</x:v>
      </x:c>
      <x:c r="L85" s="55" t="str">
        <x:v>["yellow_white_striped_cup_a"]</x:v>
      </x:c>
      <x:c r="M85" s="55" t="str">
        <x:v>PASS</x:v>
      </x:c>
      <x:c r="N85" s="55" t="str">
        <x:v>No</x:v>
      </x:c>
      <x:c r="O85" s="55" t="str">
        <x:v>Keep the seen semantic open; remove all orientation language and all held-out wording.</x:v>
      </x:c>
      <x:c r="P85" s="55" t="str">
        <x:v>PASS</x:v>
      </x:c>
      <x:c r="Q85" s="55" t="str">
        <x:v>explicit_seen_open|yellow_white_striped_cup|right_side_up</x:v>
      </x:c>
      <x:c r="R85" s="55" t="str">
        <x:v>train</x:v>
      </x:c>
      <x:c r="S85" s="55" t="str">
        <x:v>Needs t0 middle-frame review</x:v>
      </x:c>
      <x:c r="T85" s="55" t="str">
        <x:v>Omitted physical attributes: upright.</x:v>
      </x:c>
      <x:c r="U85" s="57" t="n">
        <x:f>'Sampler Weights'!K92</x:f>
        <x:v>0.6944444444444444</x:v>
      </x:c>
    </x:row>
    <x:row r="86">
      <x:c r="A86" s="56" t="n">
        <x:v>81</x:v>
      </x:c>
      <x:c r="B86" s="54" t="str">
        <x:v>justintiensmith/MT_State_Recognition_200:081</x:v>
      </x:c>
      <x:c r="C86" s="55" t="str">
        <x:v>Place an upside-down yellow-white striped cup in the bowl.</x:v>
      </x:c>
      <x:c r="D86" s="55" t="str">
        <x:v>explicit_seen_upside_down</x:v>
      </x:c>
      <x:c r="E86" s="55" t="str">
        <x:v>upside-down</x:v>
      </x:c>
      <x:c r="F86" s="55" t="str">
        <x:v>closed</x:v>
      </x:c>
      <x:c r="G86" s="54" t="str">
        <x:v>yellow_white_striped_cup_b</x:v>
      </x:c>
      <x:c r="H86" s="54" t="str">
        <x:v>yellow-white striped cup</x:v>
      </x:c>
      <x:c r="I86" s="54" t="str">
        <x:v>closed</x:v>
      </x:c>
      <x:c r="J86" s="54" t="str">
        <x:v>upside down</x:v>
      </x:c>
      <x:c r="K86" s="56" t="n">
        <x:v>1</x:v>
      </x:c>
      <x:c r="L86" s="55" t="str">
        <x:v>["yellow_white_striped_cup_b"]</x:v>
      </x:c>
      <x:c r="M86" s="55" t="str">
        <x:v>PASS</x:v>
      </x:c>
      <x:c r="N86" s="55" t="str">
        <x:v>No</x:v>
      </x:c>
      <x:c r="O86" s="55" t="str">
        <x:v>Keep the seen semantic upside-down; remove all open/closed language and all held-out wording.</x:v>
      </x:c>
      <x:c r="P86" s="55" t="str">
        <x:v>PASS</x:v>
      </x:c>
      <x:c r="Q86" s="55" t="str">
        <x:v>explicit_seen_upside_down|yellow_white_striped_cup|closed</x:v>
      </x:c>
      <x:c r="R86" s="55" t="str">
        <x:v>train</x:v>
      </x:c>
      <x:c r="S86" s="55" t="str">
        <x:v>Needs t0 middle-frame review</x:v>
      </x:c>
      <x:c r="T86" s="55" t="str">
        <x:v>Omitted physical attributes: closed.</x:v>
      </x:c>
      <x:c r="U86" s="57" t="n">
        <x:f>'Sampler Weights'!K93</x:f>
        <x:v>1.5625</x:v>
      </x:c>
    </x:row>
    <x:row r="87">
      <x:c r="A87" s="56" t="n">
        <x:v>82</x:v>
      </x:c>
      <x:c r="B87" s="54" t="str">
        <x:v>justintiensmith/MT_State_Recognition_200:082</x:v>
      </x:c>
      <x:c r="C87" s="55" t="str">
        <x:v>Place a yellow-white striped cup in the bowl.</x:v>
      </x:c>
      <x:c r="D87" s="55" t="str">
        <x:v>generic_mask</x:v>
      </x:c>
      <x:c r="E87" s="55" t="str">
        <x:v>none</x:v>
      </x:c>
      <x:c r="F87" s="55" t="str">
        <x:v>upright</x:v>
      </x:c>
      <x:c r="G87" s="54" t="str">
        <x:v>yellow_white_striped_cup_b</x:v>
      </x:c>
      <x:c r="H87" s="54" t="str">
        <x:v>yellow-white striped cup</x:v>
      </x:c>
      <x:c r="I87" s="54" t="str">
        <x:v>open</x:v>
      </x:c>
      <x:c r="J87" s="54" t="str">
        <x:v>upright</x:v>
      </x:c>
      <x:c r="K87" s="56" t="n">
        <x:v>2</x:v>
      </x:c>
      <x:c r="L87" s="55" t="str">
        <x:v>["yellow_white_striped_cup_b","yellow_white_striped_cup_a"]</x:v>
      </x:c>
      <x:c r="M87" s="55" t="str">
        <x:v>PASS</x:v>
      </x:c>
      <x:c r="N87" s="55" t="str">
        <x:v>Yes</x:v>
      </x:c>
      <x:c r="O87" s="55" t="str">
        <x:v>Remove both state and orientation language; retain only the object category.</x:v>
      </x:c>
      <x:c r="P87" s="55" t="str">
        <x:v>PASS</x:v>
      </x:c>
      <x:c r="Q87" s="55" t="str">
        <x:v>generic_mask|yellow_white_striped_cup|open|right_side_up</x:v>
      </x:c>
      <x:c r="R87" s="55" t="str">
        <x:v>train</x:v>
      </x:c>
      <x:c r="S87" s="55" t="str">
        <x:v>Needs t0 middle-frame review</x:v>
      </x:c>
      <x:c r="T87" s="55" t="str">
        <x:v>Omitted physical attributes: open; upright.</x:v>
      </x:c>
      <x:c r="U87" s="57" t="n">
        <x:f>'Sampler Weights'!K94</x:f>
        <x:v>0.625</x:v>
      </x:c>
    </x:row>
    <x:row r="88">
      <x:c r="A88" s="56" t="n">
        <x:v>83</x:v>
      </x:c>
      <x:c r="B88" s="54" t="str">
        <x:v>justintiensmith/MT_State_Recognition_200:083</x:v>
      </x:c>
      <x:c r="C88" s="55" t="str">
        <x:v>Place a yellow-white striped cup in the bowl.</x:v>
      </x:c>
      <x:c r="D88" s="55" t="str">
        <x:v>generic_mask</x:v>
      </x:c>
      <x:c r="E88" s="55" t="str">
        <x:v>none</x:v>
      </x:c>
      <x:c r="F88" s="55" t="str">
        <x:v>closed</x:v>
      </x:c>
      <x:c r="G88" s="54" t="str">
        <x:v>yellow_white_striped_cup_a</x:v>
      </x:c>
      <x:c r="H88" s="54" t="str">
        <x:v>yellow-white striped cup</x:v>
      </x:c>
      <x:c r="I88" s="54" t="str">
        <x:v>closed</x:v>
      </x:c>
      <x:c r="J88" s="54" t="str">
        <x:v>upside down</x:v>
      </x:c>
      <x:c r="K88" s="56" t="n">
        <x:v>2</x:v>
      </x:c>
      <x:c r="L88" s="55" t="str">
        <x:v>["yellow_white_striped_cup_a","yellow_white_striped_cup_b"]</x:v>
      </x:c>
      <x:c r="M88" s="55" t="str">
        <x:v>PASS</x:v>
      </x:c>
      <x:c r="N88" s="55" t="str">
        <x:v>Yes</x:v>
      </x:c>
      <x:c r="O88" s="55" t="str">
        <x:v>Remove both state and orientation language; retain only the object category.</x:v>
      </x:c>
      <x:c r="P88" s="55" t="str">
        <x:v>PASS</x:v>
      </x:c>
      <x:c r="Q88" s="55" t="str">
        <x:v>generic_mask|yellow_white_striped_cup|closed|upside_down</x:v>
      </x:c>
      <x:c r="R88" s="55" t="str">
        <x:v>train</x:v>
      </x:c>
      <x:c r="S88" s="55" t="str">
        <x:v>Needs t0 middle-frame review</x:v>
      </x:c>
      <x:c r="T88" s="55" t="str">
        <x:v>Omitted physical attributes: closed; upside down.</x:v>
      </x:c>
      <x:c r="U88" s="57" t="n">
        <x:f>'Sampler Weights'!K95</x:f>
        <x:v>1.5625</x:v>
      </x:c>
    </x:row>
    <x:row r="89">
      <x:c r="A89" s="56" t="n">
        <x:v>84</x:v>
      </x:c>
      <x:c r="B89" s="54" t="str">
        <x:v>justintiensmith/MT_State_Recognition_200:084</x:v>
      </x:c>
      <x:c r="C89" s="55" t="str">
        <x:v>Place an open yellow-white striped cup in the bowl.</x:v>
      </x:c>
      <x:c r="D89" s="55" t="str">
        <x:v>explicit_seen_open</x:v>
      </x:c>
      <x:c r="E89" s="55" t="str">
        <x:v>open</x:v>
      </x:c>
      <x:c r="F89" s="55" t="str">
        <x:v>upright</x:v>
      </x:c>
      <x:c r="G89" s="54" t="str">
        <x:v>yellow_white_striped_cup_a</x:v>
      </x:c>
      <x:c r="H89" s="54" t="str">
        <x:v>yellow-white striped cup</x:v>
      </x:c>
      <x:c r="I89" s="54" t="str">
        <x:v>open</x:v>
      </x:c>
      <x:c r="J89" s="54" t="str">
        <x:v>upright</x:v>
      </x:c>
      <x:c r="K89" s="56" t="n">
        <x:v>1</x:v>
      </x:c>
      <x:c r="L89" s="55" t="str">
        <x:v>["yellow_white_striped_cup_a"]</x:v>
      </x:c>
      <x:c r="M89" s="55" t="str">
        <x:v>PASS</x:v>
      </x:c>
      <x:c r="N89" s="55" t="str">
        <x:v>No</x:v>
      </x:c>
      <x:c r="O89" s="55" t="str">
        <x:v>Keep the seen semantic open; remove all orientation language and all held-out wording.</x:v>
      </x:c>
      <x:c r="P89" s="55" t="str">
        <x:v>PASS</x:v>
      </x:c>
      <x:c r="Q89" s="55" t="str">
        <x:v>explicit_seen_open|yellow_white_striped_cup|right_side_up</x:v>
      </x:c>
      <x:c r="R89" s="55" t="str">
        <x:v>train</x:v>
      </x:c>
      <x:c r="S89" s="55" t="str">
        <x:v>Needs t0 middle-frame review</x:v>
      </x:c>
      <x:c r="T89" s="55" t="str">
        <x:v>Omitted physical attributes: upright.</x:v>
      </x:c>
      <x:c r="U89" s="57" t="n">
        <x:f>'Sampler Weights'!K96</x:f>
        <x:v>0.6944444444444444</x:v>
      </x:c>
    </x:row>
    <x:row r="90">
      <x:c r="A90" s="56" t="n">
        <x:v>85</x:v>
      </x:c>
      <x:c r="B90" s="54" t="str">
        <x:v>justintiensmith/MT_State_Recognition_200:085</x:v>
      </x:c>
      <x:c r="C90" s="55" t="str">
        <x:v>Place an upside-down yellow-white striped cup in the bowl.</x:v>
      </x:c>
      <x:c r="D90" s="55" t="str">
        <x:v>explicit_seen_upside_down</x:v>
      </x:c>
      <x:c r="E90" s="55" t="str">
        <x:v>upside-down</x:v>
      </x:c>
      <x:c r="F90" s="55" t="str">
        <x:v>closed</x:v>
      </x:c>
      <x:c r="G90" s="54" t="str">
        <x:v>yellow_white_striped_cup_b</x:v>
      </x:c>
      <x:c r="H90" s="54" t="str">
        <x:v>yellow-white striped cup</x:v>
      </x:c>
      <x:c r="I90" s="54" t="str">
        <x:v>closed</x:v>
      </x:c>
      <x:c r="J90" s="54" t="str">
        <x:v>upside down</x:v>
      </x:c>
      <x:c r="K90" s="56" t="n">
        <x:v>1</x:v>
      </x:c>
      <x:c r="L90" s="55" t="str">
        <x:v>["yellow_white_striped_cup_b"]</x:v>
      </x:c>
      <x:c r="M90" s="55" t="str">
        <x:v>PASS</x:v>
      </x:c>
      <x:c r="N90" s="55" t="str">
        <x:v>No</x:v>
      </x:c>
      <x:c r="O90" s="55" t="str">
        <x:v>Keep the seen semantic upside-down; remove all open/closed language and all held-out wording.</x:v>
      </x:c>
      <x:c r="P90" s="55" t="str">
        <x:v>PASS</x:v>
      </x:c>
      <x:c r="Q90" s="55" t="str">
        <x:v>explicit_seen_upside_down|yellow_white_striped_cup|closed</x:v>
      </x:c>
      <x:c r="R90" s="55" t="str">
        <x:v>train</x:v>
      </x:c>
      <x:c r="S90" s="55" t="str">
        <x:v>Needs t0 middle-frame review</x:v>
      </x:c>
      <x:c r="T90" s="55" t="str">
        <x:v>Omitted physical attributes: closed.</x:v>
      </x:c>
      <x:c r="U90" s="57" t="n">
        <x:f>'Sampler Weights'!K97</x:f>
        <x:v>1.5625</x:v>
      </x:c>
    </x:row>
    <x:row r="91">
      <x:c r="A91" s="56" t="n">
        <x:v>86</x:v>
      </x:c>
      <x:c r="B91" s="54" t="str">
        <x:v>justintiensmith/MT_State_Recognition_200:086</x:v>
      </x:c>
      <x:c r="C91" s="55" t="str">
        <x:v>Place an open yellow-white striped cup in the bowl.</x:v>
      </x:c>
      <x:c r="D91" s="55" t="str">
        <x:v>explicit_seen_open</x:v>
      </x:c>
      <x:c r="E91" s="55" t="str">
        <x:v>open</x:v>
      </x:c>
      <x:c r="F91" s="55" t="str"/>
      <x:c r="G91" s="54" t="str">
        <x:v>yellow_white_striped_cup_b</x:v>
      </x:c>
      <x:c r="H91" s="54" t="str">
        <x:v>yellow-white striped cup</x:v>
      </x:c>
      <x:c r="I91" s="54" t="str">
        <x:v>open</x:v>
      </x:c>
      <x:c r="J91" s="54" t="str">
        <x:v>upside down</x:v>
      </x:c>
      <x:c r="K91" s="56" t="n">
        <x:v>2</x:v>
      </x:c>
      <x:c r="L91" s="55" t="str">
        <x:v>["yellow_white_striped_cup_b","yellow_white_striped_cup_a"]</x:v>
      </x:c>
      <x:c r="M91" s="55" t="str">
        <x:v>PASS</x:v>
      </x:c>
      <x:c r="N91" s="55" t="str">
        <x:v>Yes</x:v>
      </x:c>
      <x:c r="O91" s="55" t="str">
        <x:v>Keep the seen semantic open; remove all orientation language and all held-out wording.</x:v>
      </x:c>
      <x:c r="P91" s="55" t="str">
        <x:v>PASS</x:v>
      </x:c>
      <x:c r="Q91" s="55" t="str">
        <x:v>explicit_seen_open|yellow_white_striped_cup|upside_down</x:v>
      </x:c>
      <x:c r="R91" s="55" t="str">
        <x:v>train</x:v>
      </x:c>
      <x:c r="S91" s="55" t="str">
        <x:v>Needs t0 middle-frame review</x:v>
      </x:c>
      <x:c r="T91" s="55" t="str">
        <x:v>Omitted physical attributes: upside down.</x:v>
      </x:c>
      <x:c r="U91" s="57" t="n">
        <x:f>'Sampler Weights'!K98</x:f>
        <x:v>6.25</x:v>
      </x:c>
    </x:row>
    <x:row r="92">
      <x:c r="A92" s="56" t="n">
        <x:v>87</x:v>
      </x:c>
      <x:c r="B92" s="54" t="str">
        <x:v>justintiensmith/MT_State_Recognition_200:087</x:v>
      </x:c>
      <x:c r="C92" s="55" t="str">
        <x:v>Place a yellow-white striped cup in the bowl.</x:v>
      </x:c>
      <x:c r="D92" s="55" t="str">
        <x:v>generic_mask</x:v>
      </x:c>
      <x:c r="E92" s="55" t="str">
        <x:v>none</x:v>
      </x:c>
      <x:c r="F92" s="55" t="str">
        <x:v>closed; upright</x:v>
      </x:c>
      <x:c r="G92" s="54" t="str">
        <x:v>yellow_white_striped_cup_a</x:v>
      </x:c>
      <x:c r="H92" s="54" t="str">
        <x:v>yellow-white striped cup</x:v>
      </x:c>
      <x:c r="I92" s="54" t="str">
        <x:v>closed</x:v>
      </x:c>
      <x:c r="J92" s="54" t="str">
        <x:v>upright</x:v>
      </x:c>
      <x:c r="K92" s="56" t="n">
        <x:v>1</x:v>
      </x:c>
      <x:c r="L92" s="55" t="str">
        <x:v>["yellow_white_striped_cup_a"]</x:v>
      </x:c>
      <x:c r="M92" s="55" t="str">
        <x:v>PASS</x:v>
      </x:c>
      <x:c r="N92" s="55" t="str">
        <x:v>No</x:v>
      </x:c>
      <x:c r="O92" s="55" t="str">
        <x:v>Remove both state and orientation language; retain only the object category.</x:v>
      </x:c>
      <x:c r="P92" s="55" t="str">
        <x:v>PASS</x:v>
      </x:c>
      <x:c r="Q92" s="55" t="str">
        <x:v>generic_mask|yellow_white_striped_cup|closed|right_side_up</x:v>
      </x:c>
      <x:c r="R92" s="55" t="str">
        <x:v>train</x:v>
      </x:c>
      <x:c r="S92" s="55" t="str">
        <x:v>Needs t0 middle-frame review</x:v>
      </x:c>
      <x:c r="T92" s="55" t="str">
        <x:v>Omitted physical attributes: closed; upright.</x:v>
      </x:c>
      <x:c r="U92" s="57" t="n">
        <x:f>'Sampler Weights'!K99</x:f>
        <x:v>0.3472222222222222</x:v>
      </x:c>
    </x:row>
    <x:row r="93">
      <x:c r="A93" s="56" t="n">
        <x:v>88</x:v>
      </x:c>
      <x:c r="B93" s="54" t="str">
        <x:v>justintiensmith/MT_State_Recognition_200:088</x:v>
      </x:c>
      <x:c r="C93" s="55" t="str">
        <x:v>Place a yellow-white striped cup in the bowl.</x:v>
      </x:c>
      <x:c r="D93" s="55" t="str">
        <x:v>generic_mask</x:v>
      </x:c>
      <x:c r="E93" s="55" t="str">
        <x:v>none</x:v>
      </x:c>
      <x:c r="F93" s="55" t="str"/>
      <x:c r="G93" s="54" t="str">
        <x:v>yellow_white_striped_cup_a</x:v>
      </x:c>
      <x:c r="H93" s="54" t="str">
        <x:v>yellow-white striped cup</x:v>
      </x:c>
      <x:c r="I93" s="54" t="str">
        <x:v>open</x:v>
      </x:c>
      <x:c r="J93" s="54" t="str">
        <x:v>upside down</x:v>
      </x:c>
      <x:c r="K93" s="56" t="n">
        <x:v>2</x:v>
      </x:c>
      <x:c r="L93" s="55" t="str">
        <x:v>["yellow_white_striped_cup_a","yellow_white_striped_cup_b"]</x:v>
      </x:c>
      <x:c r="M93" s="55" t="str">
        <x:v>PASS</x:v>
      </x:c>
      <x:c r="N93" s="55" t="str">
        <x:v>Yes</x:v>
      </x:c>
      <x:c r="O93" s="55" t="str">
        <x:v>Remove both state and orientation language; retain only the object category.</x:v>
      </x:c>
      <x:c r="P93" s="55" t="str">
        <x:v>PASS</x:v>
      </x:c>
      <x:c r="Q93" s="55" t="str">
        <x:v>generic_mask|yellow_white_striped_cup|open|upside_down</x:v>
      </x:c>
      <x:c r="R93" s="55" t="str">
        <x:v>train</x:v>
      </x:c>
      <x:c r="S93" s="55" t="str">
        <x:v>Needs t0 middle-frame review</x:v>
      </x:c>
      <x:c r="T93" s="55" t="str">
        <x:v>Omitted physical attributes: open; upside down.</x:v>
      </x:c>
      <x:c r="U93" s="57" t="n">
        <x:f>'Sampler Weights'!K100</x:f>
        <x:v>2.083333333333333</x:v>
      </x:c>
    </x:row>
    <x:row r="94">
      <x:c r="A94" s="56" t="n">
        <x:v>89</x:v>
      </x:c>
      <x:c r="B94" s="54" t="str">
        <x:v>justintiensmith/MT_State_Recognition_200:089</x:v>
      </x:c>
      <x:c r="C94" s="55" t="str">
        <x:v>Place a yellow-white striped cup in the bowl.</x:v>
      </x:c>
      <x:c r="D94" s="55" t="str">
        <x:v>generic_mask</x:v>
      </x:c>
      <x:c r="E94" s="55" t="str">
        <x:v>none</x:v>
      </x:c>
      <x:c r="F94" s="55" t="str">
        <x:v>closed</x:v>
      </x:c>
      <x:c r="G94" s="54" t="str">
        <x:v>yellow_white_striped_cup_b</x:v>
      </x:c>
      <x:c r="H94" s="54" t="str">
        <x:v>yellow-white striped cup</x:v>
      </x:c>
      <x:c r="I94" s="54" t="str">
        <x:v>closed</x:v>
      </x:c>
      <x:c r="J94" s="54" t="str">
        <x:v>upside down</x:v>
      </x:c>
      <x:c r="K94" s="56" t="n">
        <x:v>2</x:v>
      </x:c>
      <x:c r="L94" s="55" t="str">
        <x:v>["yellow_white_striped_cup_b","yellow_white_striped_cup_a"]</x:v>
      </x:c>
      <x:c r="M94" s="55" t="str">
        <x:v>PASS</x:v>
      </x:c>
      <x:c r="N94" s="55" t="str">
        <x:v>Yes</x:v>
      </x:c>
      <x:c r="O94" s="55" t="str">
        <x:v>Remove both state and orientation language; retain only the object category.</x:v>
      </x:c>
      <x:c r="P94" s="55" t="str">
        <x:v>PASS</x:v>
      </x:c>
      <x:c r="Q94" s="55" t="str">
        <x:v>generic_mask|yellow_white_striped_cup|closed|upside_down</x:v>
      </x:c>
      <x:c r="R94" s="55" t="str">
        <x:v>train</x:v>
      </x:c>
      <x:c r="S94" s="55" t="str">
        <x:v>Needs t0 middle-frame review</x:v>
      </x:c>
      <x:c r="T94" s="55" t="str">
        <x:v>Omitted physical attributes: closed; upside down.</x:v>
      </x:c>
      <x:c r="U94" s="57" t="n">
        <x:f>'Sampler Weights'!K101</x:f>
        <x:v>1.5625</x:v>
      </x:c>
    </x:row>
    <x:row r="95">
      <x:c r="A95" s="56" t="n">
        <x:v>90</x:v>
      </x:c>
      <x:c r="B95" s="54" t="str">
        <x:v>justintiensmith/MT_State_Recognition_200:090</x:v>
      </x:c>
      <x:c r="C95" s="55" t="str">
        <x:v>Place a yellow-white striped cup in the bowl.</x:v>
      </x:c>
      <x:c r="D95" s="55" t="str">
        <x:v>generic_mask</x:v>
      </x:c>
      <x:c r="E95" s="55" t="str">
        <x:v>none</x:v>
      </x:c>
      <x:c r="F95" s="55" t="str">
        <x:v>upright</x:v>
      </x:c>
      <x:c r="G95" s="54" t="str">
        <x:v>yellow_white_striped_cup_a</x:v>
      </x:c>
      <x:c r="H95" s="54" t="str">
        <x:v>yellow-white striped cup</x:v>
      </x:c>
      <x:c r="I95" s="54" t="str">
        <x:v>open</x:v>
      </x:c>
      <x:c r="J95" s="54" t="str">
        <x:v>upright</x:v>
      </x:c>
      <x:c r="K95" s="56" t="n">
        <x:v>2</x:v>
      </x:c>
      <x:c r="L95" s="55" t="str">
        <x:v>["yellow_white_striped_cup_a","yellow_white_striped_cup_b"]</x:v>
      </x:c>
      <x:c r="M95" s="55" t="str">
        <x:v>PASS</x:v>
      </x:c>
      <x:c r="N95" s="55" t="str">
        <x:v>Yes</x:v>
      </x:c>
      <x:c r="O95" s="55" t="str">
        <x:v>Remove both state and orientation language; retain only the object category.</x:v>
      </x:c>
      <x:c r="P95" s="55" t="str">
        <x:v>PASS</x:v>
      </x:c>
      <x:c r="Q95" s="55" t="str">
        <x:v>generic_mask|yellow_white_striped_cup|open|right_side_up</x:v>
      </x:c>
      <x:c r="R95" s="55" t="str">
        <x:v>train</x:v>
      </x:c>
      <x:c r="S95" s="55" t="str">
        <x:v>Needs t0 middle-frame review</x:v>
      </x:c>
      <x:c r="T95" s="55" t="str">
        <x:v>Omitted physical attributes: open; upright.</x:v>
      </x:c>
      <x:c r="U95" s="57" t="n">
        <x:f>'Sampler Weights'!K102</x:f>
        <x:v>0.625</x:v>
      </x:c>
    </x:row>
    <x:row r="96">
      <x:c r="A96" s="56" t="n">
        <x:v>91</x:v>
      </x:c>
      <x:c r="B96" s="54" t="str">
        <x:v>justintiensmith/MT_State_Recognition_200:091</x:v>
      </x:c>
      <x:c r="C96" s="55" t="str">
        <x:v>Place an upside-down yellow-white striped cup in the bowl.</x:v>
      </x:c>
      <x:c r="D96" s="55" t="str">
        <x:v>explicit_seen_upside_down</x:v>
      </x:c>
      <x:c r="E96" s="55" t="str">
        <x:v>upside-down</x:v>
      </x:c>
      <x:c r="F96" s="55" t="str">
        <x:v>closed</x:v>
      </x:c>
      <x:c r="G96" s="54" t="str">
        <x:v>yellow_white_striped_cup_a</x:v>
      </x:c>
      <x:c r="H96" s="54" t="str">
        <x:v>yellow-white striped cup</x:v>
      </x:c>
      <x:c r="I96" s="54" t="str">
        <x:v>closed</x:v>
      </x:c>
      <x:c r="J96" s="54" t="str">
        <x:v>upside down</x:v>
      </x:c>
      <x:c r="K96" s="56" t="n">
        <x:v>1</x:v>
      </x:c>
      <x:c r="L96" s="55" t="str">
        <x:v>["yellow_white_striped_cup_a"]</x:v>
      </x:c>
      <x:c r="M96" s="55" t="str">
        <x:v>PASS</x:v>
      </x:c>
      <x:c r="N96" s="55" t="str">
        <x:v>No</x:v>
      </x:c>
      <x:c r="O96" s="55" t="str">
        <x:v>Keep the seen semantic upside-down; remove all open/closed language and all held-out wording.</x:v>
      </x:c>
      <x:c r="P96" s="55" t="str">
        <x:v>PASS</x:v>
      </x:c>
      <x:c r="Q96" s="55" t="str">
        <x:v>explicit_seen_upside_down|yellow_white_striped_cup|closed</x:v>
      </x:c>
      <x:c r="R96" s="55" t="str">
        <x:v>train</x:v>
      </x:c>
      <x:c r="S96" s="55" t="str">
        <x:v>Needs t0 middle-frame review</x:v>
      </x:c>
      <x:c r="T96" s="55" t="str">
        <x:v>Omitted physical attributes: closed.</x:v>
      </x:c>
      <x:c r="U96" s="57" t="n">
        <x:f>'Sampler Weights'!K103</x:f>
        <x:v>1.5625</x:v>
      </x:c>
    </x:row>
    <x:row r="97">
      <x:c r="A97" s="56" t="n">
        <x:v>92</x:v>
      </x:c>
      <x:c r="B97" s="54" t="str">
        <x:v>justintiensmith/MT_State_Recognition_200:092</x:v>
      </x:c>
      <x:c r="C97" s="55" t="str">
        <x:v>Place an open yellow-white striped cup in the bowl.</x:v>
      </x:c>
      <x:c r="D97" s="55" t="str">
        <x:v>explicit_seen_open</x:v>
      </x:c>
      <x:c r="E97" s="55" t="str">
        <x:v>open</x:v>
      </x:c>
      <x:c r="F97" s="55" t="str">
        <x:v>upright</x:v>
      </x:c>
      <x:c r="G97" s="54" t="str">
        <x:v>yellow_white_striped_cup_a</x:v>
      </x:c>
      <x:c r="H97" s="54" t="str">
        <x:v>yellow-white striped cup</x:v>
      </x:c>
      <x:c r="I97" s="54" t="str">
        <x:v>open</x:v>
      </x:c>
      <x:c r="J97" s="54" t="str">
        <x:v>upright</x:v>
      </x:c>
      <x:c r="K97" s="56" t="n">
        <x:v>1</x:v>
      </x:c>
      <x:c r="L97" s="55" t="str">
        <x:v>["yellow_white_striped_cup_a"]</x:v>
      </x:c>
      <x:c r="M97" s="55" t="str">
        <x:v>PASS</x:v>
      </x:c>
      <x:c r="N97" s="55" t="str">
        <x:v>No</x:v>
      </x:c>
      <x:c r="O97" s="55" t="str">
        <x:v>Keep the seen semantic open; remove all orientation language and all held-out wording.</x:v>
      </x:c>
      <x:c r="P97" s="55" t="str">
        <x:v>PASS</x:v>
      </x:c>
      <x:c r="Q97" s="55" t="str">
        <x:v>explicit_seen_open|yellow_white_striped_cup|right_side_up</x:v>
      </x:c>
      <x:c r="R97" s="55" t="str">
        <x:v>train</x:v>
      </x:c>
      <x:c r="S97" s="55" t="str">
        <x:v>Needs t0 middle-frame review</x:v>
      </x:c>
      <x:c r="T97" s="55" t="str">
        <x:v>Omitted physical attributes: upright.</x:v>
      </x:c>
      <x:c r="U97" s="57" t="n">
        <x:f>'Sampler Weights'!K104</x:f>
        <x:v>0.6944444444444444</x:v>
      </x:c>
    </x:row>
    <x:row r="98">
      <x:c r="A98" s="56" t="n">
        <x:v>93</x:v>
      </x:c>
      <x:c r="B98" s="54" t="str">
        <x:v>justintiensmith/MT_State_Recognition_200:093</x:v>
      </x:c>
      <x:c r="C98" s="55" t="str">
        <x:v>Place a yellow-white striped cup in the bowl.</x:v>
      </x:c>
      <x:c r="D98" s="55" t="str">
        <x:v>generic_mask</x:v>
      </x:c>
      <x:c r="E98" s="55" t="str">
        <x:v>none</x:v>
      </x:c>
      <x:c r="F98" s="55" t="str">
        <x:v>closed; upright</x:v>
      </x:c>
      <x:c r="G98" s="54" t="str">
        <x:v>yellow_white_striped_cup_b</x:v>
      </x:c>
      <x:c r="H98" s="54" t="str">
        <x:v>yellow-white striped cup</x:v>
      </x:c>
      <x:c r="I98" s="54" t="str">
        <x:v>closed</x:v>
      </x:c>
      <x:c r="J98" s="54" t="str">
        <x:v>upright</x:v>
      </x:c>
      <x:c r="K98" s="56" t="n">
        <x:v>1</x:v>
      </x:c>
      <x:c r="L98" s="55" t="str">
        <x:v>["yellow_white_striped_cup_b"]</x:v>
      </x:c>
      <x:c r="M98" s="55" t="str">
        <x:v>PASS</x:v>
      </x:c>
      <x:c r="N98" s="55" t="str">
        <x:v>No</x:v>
      </x:c>
      <x:c r="O98" s="55" t="str">
        <x:v>Remove both state and orientation language; retain only the object category.</x:v>
      </x:c>
      <x:c r="P98" s="55" t="str">
        <x:v>PASS</x:v>
      </x:c>
      <x:c r="Q98" s="55" t="str">
        <x:v>generic_mask|yellow_white_striped_cup|closed|right_side_up</x:v>
      </x:c>
      <x:c r="R98" s="55" t="str">
        <x:v>train</x:v>
      </x:c>
      <x:c r="S98" s="55" t="str">
        <x:v>Needs t0 middle-frame review</x:v>
      </x:c>
      <x:c r="T98" s="55" t="str">
        <x:v>Omitted physical attributes: closed; upright.</x:v>
      </x:c>
      <x:c r="U98" s="57" t="n">
        <x:f>'Sampler Weights'!K105</x:f>
        <x:v>0.3472222222222222</x:v>
      </x:c>
    </x:row>
    <x:row r="99">
      <x:c r="A99" s="56" t="n">
        <x:v>94</x:v>
      </x:c>
      <x:c r="B99" s="54" t="str">
        <x:v>justintiensmith/MT_State_Recognition_200:094</x:v>
      </x:c>
      <x:c r="C99" s="55" t="str">
        <x:v>Place an upside-down yellow-white striped cup in the bowl.</x:v>
      </x:c>
      <x:c r="D99" s="55" t="str">
        <x:v>explicit_seen_upside_down</x:v>
      </x:c>
      <x:c r="E99" s="55" t="str">
        <x:v>upside-down</x:v>
      </x:c>
      <x:c r="F99" s="55" t="str"/>
      <x:c r="G99" s="54" t="str">
        <x:v>yellow_white_striped_cup_a</x:v>
      </x:c>
      <x:c r="H99" s="54" t="str">
        <x:v>yellow-white striped cup</x:v>
      </x:c>
      <x:c r="I99" s="54" t="str">
        <x:v>open</x:v>
      </x:c>
      <x:c r="J99" s="54" t="str">
        <x:v>upside down</x:v>
      </x:c>
      <x:c r="K99" s="56" t="n">
        <x:v>1</x:v>
      </x:c>
      <x:c r="L99" s="55" t="str">
        <x:v>["yellow_white_striped_cup_a"]</x:v>
      </x:c>
      <x:c r="M99" s="55" t="str">
        <x:v>PASS</x:v>
      </x:c>
      <x:c r="N99" s="55" t="str">
        <x:v>No</x:v>
      </x:c>
      <x:c r="O99" s="55" t="str">
        <x:v>Keep the seen semantic upside-down; remove all open/closed language and all held-out wording.</x:v>
      </x:c>
      <x:c r="P99" s="55" t="str">
        <x:v>PASS</x:v>
      </x:c>
      <x:c r="Q99" s="55" t="str">
        <x:v>explicit_seen_upside_down|yellow_white_striped_cup|open</x:v>
      </x:c>
      <x:c r="R99" s="55" t="str">
        <x:v>train</x:v>
      </x:c>
      <x:c r="S99" s="55" t="str">
        <x:v>Needs t0 middle-frame review</x:v>
      </x:c>
      <x:c r="T99" s="55" t="str">
        <x:v>Omitted physical attributes: open.</x:v>
      </x:c>
      <x:c r="U99" s="57" t="n">
        <x:f>'Sampler Weights'!K106</x:f>
        <x:v>6.25</x:v>
      </x:c>
    </x:row>
    <x:row r="100">
      <x:c r="A100" s="56" t="n">
        <x:v>95</x:v>
      </x:c>
      <x:c r="B100" s="54" t="str">
        <x:v>justintiensmith/MT_State_Recognition_200:095</x:v>
      </x:c>
      <x:c r="C100" s="55" t="str">
        <x:v>Place a yellow-white striped cup in the bowl.</x:v>
      </x:c>
      <x:c r="D100" s="55" t="str">
        <x:v>generic_mask</x:v>
      </x:c>
      <x:c r="E100" s="55" t="str">
        <x:v>none</x:v>
      </x:c>
      <x:c r="F100" s="55" t="str">
        <x:v>closed</x:v>
      </x:c>
      <x:c r="G100" s="54" t="str">
        <x:v>yellow_white_striped_cup_b</x:v>
      </x:c>
      <x:c r="H100" s="54" t="str">
        <x:v>yellow-white striped cup</x:v>
      </x:c>
      <x:c r="I100" s="54" t="str">
        <x:v>closed</x:v>
      </x:c>
      <x:c r="J100" s="54" t="str">
        <x:v>upside down</x:v>
      </x:c>
      <x:c r="K100" s="56" t="n">
        <x:v>1</x:v>
      </x:c>
      <x:c r="L100" s="55" t="str">
        <x:v>["yellow_white_striped_cup_b"]</x:v>
      </x:c>
      <x:c r="M100" s="55" t="str">
        <x:v>PASS</x:v>
      </x:c>
      <x:c r="N100" s="55" t="str">
        <x:v>No</x:v>
      </x:c>
      <x:c r="O100" s="55" t="str">
        <x:v>Remove both state and orientation language; retain only the object category.</x:v>
      </x:c>
      <x:c r="P100" s="55" t="str">
        <x:v>PASS</x:v>
      </x:c>
      <x:c r="Q100" s="55" t="str">
        <x:v>generic_mask|yellow_white_striped_cup|closed|upside_down</x:v>
      </x:c>
      <x:c r="R100" s="55" t="str">
        <x:v>train</x:v>
      </x:c>
      <x:c r="S100" s="55" t="str">
        <x:v>Needs t0 middle-frame review</x:v>
      </x:c>
      <x:c r="T100" s="55" t="str">
        <x:v>Omitted physical attributes: closed; upside down.</x:v>
      </x:c>
      <x:c r="U100" s="57" t="n">
        <x:f>'Sampler Weights'!K107</x:f>
        <x:v>1.5625</x:v>
      </x:c>
    </x:row>
    <x:row r="101">
      <x:c r="A101" s="56" t="n">
        <x:v>96</x:v>
      </x:c>
      <x:c r="B101" s="54" t="str">
        <x:v>justintiensmith/MT_State_Recognition_200:096</x:v>
      </x:c>
      <x:c r="C101" s="55" t="str">
        <x:v>Place a yellow-white striped cup in the bowl.</x:v>
      </x:c>
      <x:c r="D101" s="55" t="str">
        <x:v>generic_mask</x:v>
      </x:c>
      <x:c r="E101" s="55" t="str">
        <x:v>none</x:v>
      </x:c>
      <x:c r="F101" s="55" t="str">
        <x:v>upright</x:v>
      </x:c>
      <x:c r="G101" s="54" t="str">
        <x:v>yellow_white_striped_cup_a</x:v>
      </x:c>
      <x:c r="H101" s="54" t="str">
        <x:v>yellow-white striped cup</x:v>
      </x:c>
      <x:c r="I101" s="54" t="str">
        <x:v>open</x:v>
      </x:c>
      <x:c r="J101" s="54" t="str">
        <x:v>upright</x:v>
      </x:c>
      <x:c r="K101" s="56" t="n">
        <x:v>2</x:v>
      </x:c>
      <x:c r="L101" s="55" t="str">
        <x:v>["yellow_white_striped_cup_a","yellow_white_striped_cup_b"]</x:v>
      </x:c>
      <x:c r="M101" s="55" t="str">
        <x:v>PASS</x:v>
      </x:c>
      <x:c r="N101" s="55" t="str">
        <x:v>Yes</x:v>
      </x:c>
      <x:c r="O101" s="55" t="str">
        <x:v>Remove both state and orientation language; retain only the object category.</x:v>
      </x:c>
      <x:c r="P101" s="55" t="str">
        <x:v>PASS</x:v>
      </x:c>
      <x:c r="Q101" s="55" t="str">
        <x:v>generic_mask|yellow_white_striped_cup|open|right_side_up</x:v>
      </x:c>
      <x:c r="R101" s="55" t="str">
        <x:v>train</x:v>
      </x:c>
      <x:c r="S101" s="55" t="str">
        <x:v>Needs t0 middle-frame review</x:v>
      </x:c>
      <x:c r="T101" s="55" t="str">
        <x:v>Omitted physical attributes: open; upright.</x:v>
      </x:c>
      <x:c r="U101" s="57" t="n">
        <x:f>'Sampler Weights'!K108</x:f>
        <x:v>0.625</x:v>
      </x:c>
    </x:row>
    <x:row r="102">
      <x:c r="A102" s="56" t="n">
        <x:v>97</x:v>
      </x:c>
      <x:c r="B102" s="54" t="str">
        <x:v>justintiensmith/MT_State_Recognition_200:097</x:v>
      </x:c>
      <x:c r="C102" s="55" t="str">
        <x:v>Place a yellow-white striped cup in the bowl.</x:v>
      </x:c>
      <x:c r="D102" s="55" t="str">
        <x:v>generic_mask</x:v>
      </x:c>
      <x:c r="E102" s="55" t="str">
        <x:v>none</x:v>
      </x:c>
      <x:c r="F102" s="55" t="str">
        <x:v>closed; upright</x:v>
      </x:c>
      <x:c r="G102" s="54" t="str">
        <x:v>yellow_white_striped_cup_b</x:v>
      </x:c>
      <x:c r="H102" s="54" t="str">
        <x:v>yellow-white striped cup</x:v>
      </x:c>
      <x:c r="I102" s="54" t="str">
        <x:v>closed</x:v>
      </x:c>
      <x:c r="J102" s="54" t="str">
        <x:v>upright</x:v>
      </x:c>
      <x:c r="K102" s="56" t="n">
        <x:v>2</x:v>
      </x:c>
      <x:c r="L102" s="55" t="str">
        <x:v>["yellow_white_striped_cup_b","yellow_white_striped_cup_a"]</x:v>
      </x:c>
      <x:c r="M102" s="55" t="str">
        <x:v>PASS</x:v>
      </x:c>
      <x:c r="N102" s="55" t="str">
        <x:v>Yes</x:v>
      </x:c>
      <x:c r="O102" s="55" t="str">
        <x:v>Remove both state and orientation language; retain only the object category.</x:v>
      </x:c>
      <x:c r="P102" s="55" t="str">
        <x:v>PASS</x:v>
      </x:c>
      <x:c r="Q102" s="55" t="str">
        <x:v>generic_mask|yellow_white_striped_cup|closed|right_side_up</x:v>
      </x:c>
      <x:c r="R102" s="55" t="str">
        <x:v>train</x:v>
      </x:c>
      <x:c r="S102" s="55" t="str">
        <x:v>Needs t0 middle-frame review</x:v>
      </x:c>
      <x:c r="T102" s="55" t="str">
        <x:v>Omitted physical attributes: closed; upright.</x:v>
      </x:c>
      <x:c r="U102" s="57" t="n">
        <x:f>'Sampler Weights'!K109</x:f>
        <x:v>0.3472222222222222</x:v>
      </x:c>
    </x:row>
    <x:row r="103">
      <x:c r="A103" s="56" t="n">
        <x:v>98</x:v>
      </x:c>
      <x:c r="B103" s="54" t="str">
        <x:v>justintiensmith/MT_State_Recognition_200:098</x:v>
      </x:c>
      <x:c r="C103" s="55" t="str">
        <x:v>Place a yellow-white striped cup in the bowl.</x:v>
      </x:c>
      <x:c r="D103" s="55" t="str">
        <x:v>generic_mask</x:v>
      </x:c>
      <x:c r="E103" s="55" t="str">
        <x:v>none</x:v>
      </x:c>
      <x:c r="F103" s="55" t="str"/>
      <x:c r="G103" s="54" t="str">
        <x:v>yellow_white_striped_cup_a</x:v>
      </x:c>
      <x:c r="H103" s="54" t="str">
        <x:v>yellow-white striped cup</x:v>
      </x:c>
      <x:c r="I103" s="54" t="str">
        <x:v>open</x:v>
      </x:c>
      <x:c r="J103" s="54" t="str">
        <x:v>upside down</x:v>
      </x:c>
      <x:c r="K103" s="56" t="n">
        <x:v>1</x:v>
      </x:c>
      <x:c r="L103" s="55" t="str">
        <x:v>["yellow_white_striped_cup_a"]</x:v>
      </x:c>
      <x:c r="M103" s="55" t="str">
        <x:v>PASS</x:v>
      </x:c>
      <x:c r="N103" s="55" t="str">
        <x:v>No</x:v>
      </x:c>
      <x:c r="O103" s="55" t="str">
        <x:v>Remove both state and orientation language; retain only the object category.</x:v>
      </x:c>
      <x:c r="P103" s="55" t="str">
        <x:v>PASS</x:v>
      </x:c>
      <x:c r="Q103" s="55" t="str">
        <x:v>generic_mask|yellow_white_striped_cup|open|upside_down</x:v>
      </x:c>
      <x:c r="R103" s="55" t="str">
        <x:v>train</x:v>
      </x:c>
      <x:c r="S103" s="55" t="str">
        <x:v>Needs t0 middle-frame review</x:v>
      </x:c>
      <x:c r="T103" s="55" t="str">
        <x:v>Omitted physical attributes: open; upside down.</x:v>
      </x:c>
      <x:c r="U103" s="57" t="n">
        <x:f>'Sampler Weights'!K110</x:f>
        <x:v>2.083333333333333</x:v>
      </x:c>
    </x:row>
    <x:row r="104">
      <x:c r="A104" s="56" t="n">
        <x:v>99</x:v>
      </x:c>
      <x:c r="B104" s="54" t="str">
        <x:v>justintiensmith/MT_State_Recognition_200:099</x:v>
      </x:c>
      <x:c r="C104" s="55" t="str">
        <x:v>Place an upside-down yellow-white striped cup in the bowl.</x:v>
      </x:c>
      <x:c r="D104" s="55" t="str">
        <x:v>explicit_seen_upside_down</x:v>
      </x:c>
      <x:c r="E104" s="55" t="str">
        <x:v>upside-down</x:v>
      </x:c>
      <x:c r="F104" s="55" t="str">
        <x:v>closed</x:v>
      </x:c>
      <x:c r="G104" s="54" t="str">
        <x:v>yellow_white_striped_cup_b</x:v>
      </x:c>
      <x:c r="H104" s="54" t="str">
        <x:v>yellow-white striped cup</x:v>
      </x:c>
      <x:c r="I104" s="54" t="str">
        <x:v>closed</x:v>
      </x:c>
      <x:c r="J104" s="54" t="str">
        <x:v>upside down</x:v>
      </x:c>
      <x:c r="K104" s="56" t="n">
        <x:v>1</x:v>
      </x:c>
      <x:c r="L104" s="55" t="str">
        <x:v>["yellow_white_striped_cup_b"]</x:v>
      </x:c>
      <x:c r="M104" s="55" t="str">
        <x:v>PASS</x:v>
      </x:c>
      <x:c r="N104" s="55" t="str">
        <x:v>No</x:v>
      </x:c>
      <x:c r="O104" s="55" t="str">
        <x:v>Keep the seen semantic upside-down; remove all open/closed language and all held-out wording.</x:v>
      </x:c>
      <x:c r="P104" s="55" t="str">
        <x:v>PASS</x:v>
      </x:c>
      <x:c r="Q104" s="55" t="str">
        <x:v>explicit_seen_upside_down|yellow_white_striped_cup|closed</x:v>
      </x:c>
      <x:c r="R104" s="55" t="str">
        <x:v>train</x:v>
      </x:c>
      <x:c r="S104" s="55" t="str">
        <x:v>Needs t0 middle-frame review</x:v>
      </x:c>
      <x:c r="T104" s="55" t="str">
        <x:v>Omitted physical attributes: closed.</x:v>
      </x:c>
      <x:c r="U104" s="57" t="n">
        <x:f>'Sampler Weights'!K111</x:f>
        <x:v>1.5625</x:v>
      </x:c>
    </x:row>
    <x:row r="105">
      <x:c r="A105" s="56" t="n">
        <x:v>100</x:v>
      </x:c>
      <x:c r="B105" s="54" t="str">
        <x:v>justintiensmith/MT_State_Recognition_200:100</x:v>
      </x:c>
      <x:c r="C105" s="55" t="str">
        <x:v>Place a brown cup in the bowl.</x:v>
      </x:c>
      <x:c r="D105" s="55" t="str">
        <x:v>generic_mask</x:v>
      </x:c>
      <x:c r="E105" s="55" t="str">
        <x:v>none</x:v>
      </x:c>
      <x:c r="F105" s="55" t="str">
        <x:v>closed; upright</x:v>
      </x:c>
      <x:c r="G105" s="54" t="str">
        <x:v>brown_cup_b</x:v>
      </x:c>
      <x:c r="H105" s="54" t="str">
        <x:v>brown cup</x:v>
      </x:c>
      <x:c r="I105" s="54" t="str">
        <x:v>closed</x:v>
      </x:c>
      <x:c r="J105" s="54" t="str">
        <x:v>upright</x:v>
      </x:c>
      <x:c r="K105" s="56" t="n">
        <x:v>2</x:v>
      </x:c>
      <x:c r="L105" s="55" t="str">
        <x:v>["brown_cup_b","brown_cup_a"]</x:v>
      </x:c>
      <x:c r="M105" s="55" t="str">
        <x:v>PASS</x:v>
      </x:c>
      <x:c r="N105" s="55" t="str">
        <x:v>Yes</x:v>
      </x:c>
      <x:c r="O105" s="55" t="str">
        <x:v>Remove both state and orientation language; retain only the object category.</x:v>
      </x:c>
      <x:c r="P105" s="55" t="str">
        <x:v>PASS</x:v>
      </x:c>
      <x:c r="Q105" s="55" t="str">
        <x:v>generic_mask|brown_cup|closed|right_side_up</x:v>
      </x:c>
      <x:c r="R105" s="55" t="str">
        <x:v>train</x:v>
      </x:c>
      <x:c r="S105" s="55" t="str">
        <x:v>Needs t0 middle-frame review</x:v>
      </x:c>
      <x:c r="T105" s="55" t="str">
        <x:v>Omitted physical attributes: closed; upright.</x:v>
      </x:c>
      <x:c r="U105" s="57" t="n">
        <x:f>'Sampler Weights'!K112</x:f>
        <x:v>0.390625</x:v>
      </x:c>
    </x:row>
    <x:row r="106">
      <x:c r="A106" s="56" t="n">
        <x:v>101</x:v>
      </x:c>
      <x:c r="B106" s="54" t="str">
        <x:v>justintiensmith/MT_State_Recognition_200:101</x:v>
      </x:c>
      <x:c r="C106" s="55" t="str">
        <x:v>Place a brown cup in the bowl.</x:v>
      </x:c>
      <x:c r="D106" s="55" t="str">
        <x:v>generic_mask</x:v>
      </x:c>
      <x:c r="E106" s="55" t="str">
        <x:v>none</x:v>
      </x:c>
      <x:c r="F106" s="55" t="str">
        <x:v>upright</x:v>
      </x:c>
      <x:c r="G106" s="54" t="str">
        <x:v>brown_cup_a</x:v>
      </x:c>
      <x:c r="H106" s="54" t="str">
        <x:v>brown cup</x:v>
      </x:c>
      <x:c r="I106" s="54" t="str">
        <x:v>open</x:v>
      </x:c>
      <x:c r="J106" s="54" t="str">
        <x:v>upright</x:v>
      </x:c>
      <x:c r="K106" s="56" t="n">
        <x:v>2</x:v>
      </x:c>
      <x:c r="L106" s="55" t="str">
        <x:v>["brown_cup_a","brown_cup_b"]</x:v>
      </x:c>
      <x:c r="M106" s="55" t="str">
        <x:v>PASS</x:v>
      </x:c>
      <x:c r="N106" s="55" t="str">
        <x:v>Yes</x:v>
      </x:c>
      <x:c r="O106" s="55" t="str">
        <x:v>Remove both state and orientation language; retain only the object category.</x:v>
      </x:c>
      <x:c r="P106" s="55" t="str">
        <x:v>PASS</x:v>
      </x:c>
      <x:c r="Q106" s="55" t="str">
        <x:v>generic_mask|brown_cup|open|right_side_up</x:v>
      </x:c>
      <x:c r="R106" s="55" t="str">
        <x:v>train</x:v>
      </x:c>
      <x:c r="S106" s="55" t="str">
        <x:v>Needs t0 middle-frame review</x:v>
      </x:c>
      <x:c r="T106" s="55" t="str">
        <x:v>Omitted physical attributes: open; upright.</x:v>
      </x:c>
      <x:c r="U106" s="57" t="n">
        <x:f>'Sampler Weights'!K113</x:f>
        <x:v>0.5681818181818182</x:v>
      </x:c>
    </x:row>
    <x:row r="107">
      <x:c r="A107" s="56" t="n">
        <x:v>102</x:v>
      </x:c>
      <x:c r="B107" s="54" t="str">
        <x:v>justintiensmith/MT_State_Recognition_200:102</x:v>
      </x:c>
      <x:c r="C107" s="55" t="str">
        <x:v>Place a brown cup in the bowl.</x:v>
      </x:c>
      <x:c r="D107" s="55" t="str">
        <x:v>generic_mask</x:v>
      </x:c>
      <x:c r="E107" s="55" t="str">
        <x:v>none</x:v>
      </x:c>
      <x:c r="F107" s="55" t="str">
        <x:v>closed; upright</x:v>
      </x:c>
      <x:c r="G107" s="54" t="str">
        <x:v>brown_cup_a</x:v>
      </x:c>
      <x:c r="H107" s="54" t="str">
        <x:v>brown cup</x:v>
      </x:c>
      <x:c r="I107" s="54" t="str">
        <x:v>closed</x:v>
      </x:c>
      <x:c r="J107" s="54" t="str">
        <x:v>upright</x:v>
      </x:c>
      <x:c r="K107" s="56" t="n">
        <x:v>1</x:v>
      </x:c>
      <x:c r="L107" s="55" t="str">
        <x:v>["brown_cup_a"]</x:v>
      </x:c>
      <x:c r="M107" s="55" t="str">
        <x:v>PASS</x:v>
      </x:c>
      <x:c r="N107" s="55" t="str">
        <x:v>No</x:v>
      </x:c>
      <x:c r="O107" s="55" t="str">
        <x:v>Remove both state and orientation language; retain only the object category.</x:v>
      </x:c>
      <x:c r="P107" s="55" t="str">
        <x:v>PASS</x:v>
      </x:c>
      <x:c r="Q107" s="55" t="str">
        <x:v>generic_mask|brown_cup|closed|right_side_up</x:v>
      </x:c>
      <x:c r="R107" s="55" t="str">
        <x:v>train</x:v>
      </x:c>
      <x:c r="S107" s="55" t="str">
        <x:v>Needs t0 middle-frame review</x:v>
      </x:c>
      <x:c r="T107" s="55" t="str">
        <x:v>Omitted physical attributes: closed; upright.</x:v>
      </x:c>
      <x:c r="U107" s="57" t="n">
        <x:f>'Sampler Weights'!K114</x:f>
        <x:v>0.390625</x:v>
      </x:c>
    </x:row>
    <x:row r="108">
      <x:c r="A108" s="56" t="n">
        <x:v>103</x:v>
      </x:c>
      <x:c r="B108" s="54" t="str">
        <x:v>justintiensmith/MT_State_Recognition_200:103</x:v>
      </x:c>
      <x:c r="C108" s="55" t="str">
        <x:v>Place a brown cup in the bowl.</x:v>
      </x:c>
      <x:c r="D108" s="55" t="str">
        <x:v>generic_mask</x:v>
      </x:c>
      <x:c r="E108" s="55" t="str">
        <x:v>none</x:v>
      </x:c>
      <x:c r="F108" s="55" t="str">
        <x:v>closed; upright</x:v>
      </x:c>
      <x:c r="G108" s="54" t="str">
        <x:v>brown_cup_b</x:v>
      </x:c>
      <x:c r="H108" s="54" t="str">
        <x:v>brown cup</x:v>
      </x:c>
      <x:c r="I108" s="54" t="str">
        <x:v>closed</x:v>
      </x:c>
      <x:c r="J108" s="54" t="str">
        <x:v>upright</x:v>
      </x:c>
      <x:c r="K108" s="56" t="n">
        <x:v>2</x:v>
      </x:c>
      <x:c r="L108" s="55" t="str">
        <x:v>["brown_cup_b","brown_cup_a"]</x:v>
      </x:c>
      <x:c r="M108" s="55" t="str">
        <x:v>PASS</x:v>
      </x:c>
      <x:c r="N108" s="55" t="str">
        <x:v>Yes</x:v>
      </x:c>
      <x:c r="O108" s="55" t="str">
        <x:v>Remove both state and orientation language; retain only the object category.</x:v>
      </x:c>
      <x:c r="P108" s="55" t="str">
        <x:v>PASS</x:v>
      </x:c>
      <x:c r="Q108" s="55" t="str">
        <x:v>generic_mask|brown_cup|closed|right_side_up</x:v>
      </x:c>
      <x:c r="R108" s="55" t="str">
        <x:v>train</x:v>
      </x:c>
      <x:c r="S108" s="55" t="str">
        <x:v>Needs t0 middle-frame review</x:v>
      </x:c>
      <x:c r="T108" s="55" t="str">
        <x:v>Omitted physical attributes: closed; upright.</x:v>
      </x:c>
      <x:c r="U108" s="57" t="n">
        <x:f>'Sampler Weights'!K115</x:f>
        <x:v>0.390625</x:v>
      </x:c>
    </x:row>
    <x:row r="109">
      <x:c r="A109" s="56" t="n">
        <x:v>104</x:v>
      </x:c>
      <x:c r="B109" s="54" t="str">
        <x:v>justintiensmith/MT_State_Recognition_200:104</x:v>
      </x:c>
      <x:c r="C109" s="55" t="str">
        <x:v>Place an open brown cup in the bowl.</x:v>
      </x:c>
      <x:c r="D109" s="55" t="str">
        <x:v>explicit_seen_open</x:v>
      </x:c>
      <x:c r="E109" s="55" t="str">
        <x:v>open</x:v>
      </x:c>
      <x:c r="F109" s="55" t="str">
        <x:v>upright</x:v>
      </x:c>
      <x:c r="G109" s="54" t="str">
        <x:v>brown_cup_b</x:v>
      </x:c>
      <x:c r="H109" s="54" t="str">
        <x:v>brown cup</x:v>
      </x:c>
      <x:c r="I109" s="54" t="str">
        <x:v>open</x:v>
      </x:c>
      <x:c r="J109" s="54" t="str">
        <x:v>upright</x:v>
      </x:c>
      <x:c r="K109" s="56" t="n">
        <x:v>1</x:v>
      </x:c>
      <x:c r="L109" s="55" t="str">
        <x:v>["brown_cup_b"]</x:v>
      </x:c>
      <x:c r="M109" s="55" t="str">
        <x:v>PASS</x:v>
      </x:c>
      <x:c r="N109" s="55" t="str">
        <x:v>No</x:v>
      </x:c>
      <x:c r="O109" s="55" t="str">
        <x:v>Keep the seen semantic open; remove all orientation language and all held-out wording.</x:v>
      </x:c>
      <x:c r="P109" s="55" t="str">
        <x:v>PASS</x:v>
      </x:c>
      <x:c r="Q109" s="55" t="str">
        <x:v>explicit_seen_open|brown_cup|right_side_up</x:v>
      </x:c>
      <x:c r="R109" s="55" t="str">
        <x:v>train</x:v>
      </x:c>
      <x:c r="S109" s="55" t="str">
        <x:v>Needs t0 middle-frame review</x:v>
      </x:c>
      <x:c r="T109" s="55" t="str">
        <x:v>Omitted physical attributes: upright.</x:v>
      </x:c>
      <x:c r="U109" s="57" t="n">
        <x:f>'Sampler Weights'!K116</x:f>
        <x:v>0.625</x:v>
      </x:c>
    </x:row>
    <x:row r="110">
      <x:c r="A110" s="56" t="n">
        <x:v>105</x:v>
      </x:c>
      <x:c r="B110" s="54" t="str">
        <x:v>justintiensmith/MT_State_Recognition_200:105</x:v>
      </x:c>
      <x:c r="C110" s="55" t="str">
        <x:v>Place a brown cup in the bowl.</x:v>
      </x:c>
      <x:c r="D110" s="55" t="str">
        <x:v>generic_mask</x:v>
      </x:c>
      <x:c r="E110" s="55" t="str">
        <x:v>none</x:v>
      </x:c>
      <x:c r="F110" s="55" t="str">
        <x:v>closed; upright</x:v>
      </x:c>
      <x:c r="G110" s="54" t="str">
        <x:v>brown_cup_a</x:v>
      </x:c>
      <x:c r="H110" s="54" t="str">
        <x:v>brown cup</x:v>
      </x:c>
      <x:c r="I110" s="54" t="str">
        <x:v>closed</x:v>
      </x:c>
      <x:c r="J110" s="54" t="str">
        <x:v>upright</x:v>
      </x:c>
      <x:c r="K110" s="56" t="n">
        <x:v>1</x:v>
      </x:c>
      <x:c r="L110" s="55" t="str">
        <x:v>["brown_cup_a"]</x:v>
      </x:c>
      <x:c r="M110" s="55" t="str">
        <x:v>PASS</x:v>
      </x:c>
      <x:c r="N110" s="55" t="str">
        <x:v>No</x:v>
      </x:c>
      <x:c r="O110" s="55" t="str">
        <x:v>Remove both state and orientation language; retain only the object category.</x:v>
      </x:c>
      <x:c r="P110" s="55" t="str">
        <x:v>PASS</x:v>
      </x:c>
      <x:c r="Q110" s="55" t="str">
        <x:v>generic_mask|brown_cup|closed|right_side_up</x:v>
      </x:c>
      <x:c r="R110" s="55" t="str">
        <x:v>train</x:v>
      </x:c>
      <x:c r="S110" s="55" t="str">
        <x:v>Needs t0 middle-frame review</x:v>
      </x:c>
      <x:c r="T110" s="55" t="str">
        <x:v>Omitted physical attributes: closed; upright.</x:v>
      </x:c>
      <x:c r="U110" s="57" t="n">
        <x:f>'Sampler Weights'!K117</x:f>
        <x:v>0.390625</x:v>
      </x:c>
    </x:row>
    <x:row r="111">
      <x:c r="A111" s="56" t="n">
        <x:v>106</x:v>
      </x:c>
      <x:c r="B111" s="54" t="str">
        <x:v>justintiensmith/MT_State_Recognition_200:106</x:v>
      </x:c>
      <x:c r="C111" s="55" t="str">
        <x:v>Place a brown cup in the bowl.</x:v>
      </x:c>
      <x:c r="D111" s="55" t="str">
        <x:v>generic_mask</x:v>
      </x:c>
      <x:c r="E111" s="55" t="str">
        <x:v>none</x:v>
      </x:c>
      <x:c r="F111" s="55" t="str">
        <x:v>upright</x:v>
      </x:c>
      <x:c r="G111" s="54" t="str">
        <x:v>brown_cup_b</x:v>
      </x:c>
      <x:c r="H111" s="54" t="str">
        <x:v>brown cup</x:v>
      </x:c>
      <x:c r="I111" s="54" t="str">
        <x:v>open</x:v>
      </x:c>
      <x:c r="J111" s="54" t="str">
        <x:v>upright</x:v>
      </x:c>
      <x:c r="K111" s="56" t="n">
        <x:v>2</x:v>
      </x:c>
      <x:c r="L111" s="55" t="str">
        <x:v>["brown_cup_b","brown_cup_a"]</x:v>
      </x:c>
      <x:c r="M111" s="55" t="str">
        <x:v>PASS</x:v>
      </x:c>
      <x:c r="N111" s="55" t="str">
        <x:v>Yes</x:v>
      </x:c>
      <x:c r="O111" s="55" t="str">
        <x:v>Remove both state and orientation language; retain only the object category.</x:v>
      </x:c>
      <x:c r="P111" s="55" t="str">
        <x:v>PASS</x:v>
      </x:c>
      <x:c r="Q111" s="55" t="str">
        <x:v>generic_mask|brown_cup|open|right_side_up</x:v>
      </x:c>
      <x:c r="R111" s="55" t="str">
        <x:v>train</x:v>
      </x:c>
      <x:c r="S111" s="55" t="str">
        <x:v>Needs t0 middle-frame review</x:v>
      </x:c>
      <x:c r="T111" s="55" t="str">
        <x:v>Omitted physical attributes: open; upright.</x:v>
      </x:c>
      <x:c r="U111" s="57" t="n">
        <x:f>'Sampler Weights'!K118</x:f>
        <x:v>0.5681818181818182</x:v>
      </x:c>
    </x:row>
    <x:row r="112">
      <x:c r="A112" s="56" t="n">
        <x:v>107</x:v>
      </x:c>
      <x:c r="B112" s="54" t="str">
        <x:v>justintiensmith/MT_State_Recognition_200:107</x:v>
      </x:c>
      <x:c r="C112" s="55" t="str">
        <x:v>Place a brown cup in the bowl.</x:v>
      </x:c>
      <x:c r="D112" s="55" t="str">
        <x:v>generic_mask</x:v>
      </x:c>
      <x:c r="E112" s="55" t="str">
        <x:v>none</x:v>
      </x:c>
      <x:c r="F112" s="55" t="str">
        <x:v>closed; upright</x:v>
      </x:c>
      <x:c r="G112" s="54" t="str">
        <x:v>brown_cup_a</x:v>
      </x:c>
      <x:c r="H112" s="54" t="str">
        <x:v>brown cup</x:v>
      </x:c>
      <x:c r="I112" s="54" t="str">
        <x:v>closed</x:v>
      </x:c>
      <x:c r="J112" s="54" t="str">
        <x:v>upright</x:v>
      </x:c>
      <x:c r="K112" s="56" t="n">
        <x:v>2</x:v>
      </x:c>
      <x:c r="L112" s="55" t="str">
        <x:v>["brown_cup_a","brown_cup_b"]</x:v>
      </x:c>
      <x:c r="M112" s="55" t="str">
        <x:v>PASS</x:v>
      </x:c>
      <x:c r="N112" s="55" t="str">
        <x:v>Yes</x:v>
      </x:c>
      <x:c r="O112" s="55" t="str">
        <x:v>Remove both state and orientation language; retain only the object category.</x:v>
      </x:c>
      <x:c r="P112" s="55" t="str">
        <x:v>PASS</x:v>
      </x:c>
      <x:c r="Q112" s="55" t="str">
        <x:v>generic_mask|brown_cup|closed|right_side_up</x:v>
      </x:c>
      <x:c r="R112" s="55" t="str">
        <x:v>train</x:v>
      </x:c>
      <x:c r="S112" s="55" t="str">
        <x:v>Needs t0 middle-frame review</x:v>
      </x:c>
      <x:c r="T112" s="55" t="str">
        <x:v>Omitted physical attributes: closed; upright.</x:v>
      </x:c>
      <x:c r="U112" s="57" t="n">
        <x:f>'Sampler Weights'!K119</x:f>
        <x:v>0.390625</x:v>
      </x:c>
    </x:row>
    <x:row r="113">
      <x:c r="A113" s="56" t="n">
        <x:v>108</x:v>
      </x:c>
      <x:c r="B113" s="54" t="str">
        <x:v>justintiensmith/MT_State_Recognition_200:108</x:v>
      </x:c>
      <x:c r="C113" s="55" t="str">
        <x:v>Place an open brown cup in the bowl.</x:v>
      </x:c>
      <x:c r="D113" s="55" t="str">
        <x:v>explicit_seen_open</x:v>
      </x:c>
      <x:c r="E113" s="55" t="str">
        <x:v>open</x:v>
      </x:c>
      <x:c r="F113" s="55" t="str">
        <x:v>upright</x:v>
      </x:c>
      <x:c r="G113" s="54" t="str">
        <x:v>brown_cup_b</x:v>
      </x:c>
      <x:c r="H113" s="54" t="str">
        <x:v>brown cup</x:v>
      </x:c>
      <x:c r="I113" s="54" t="str">
        <x:v>open</x:v>
      </x:c>
      <x:c r="J113" s="54" t="str">
        <x:v>upright</x:v>
      </x:c>
      <x:c r="K113" s="56" t="n">
        <x:v>1</x:v>
      </x:c>
      <x:c r="L113" s="55" t="str">
        <x:v>["brown_cup_b"]</x:v>
      </x:c>
      <x:c r="M113" s="55" t="str">
        <x:v>PASS</x:v>
      </x:c>
      <x:c r="N113" s="55" t="str">
        <x:v>No</x:v>
      </x:c>
      <x:c r="O113" s="55" t="str">
        <x:v>Keep the seen semantic open; remove all orientation language and all held-out wording.</x:v>
      </x:c>
      <x:c r="P113" s="55" t="str">
        <x:v>PASS</x:v>
      </x:c>
      <x:c r="Q113" s="55" t="str">
        <x:v>explicit_seen_open|brown_cup|right_side_up</x:v>
      </x:c>
      <x:c r="R113" s="55" t="str">
        <x:v>train</x:v>
      </x:c>
      <x:c r="S113" s="55" t="str">
        <x:v>Needs t0 middle-frame review</x:v>
      </x:c>
      <x:c r="T113" s="55" t="str">
        <x:v>Omitted physical attributes: upright.</x:v>
      </x:c>
      <x:c r="U113" s="57" t="n">
        <x:f>'Sampler Weights'!K120</x:f>
        <x:v>0.625</x:v>
      </x:c>
    </x:row>
    <x:row r="114">
      <x:c r="A114" s="56" t="n">
        <x:v>109</x:v>
      </x:c>
      <x:c r="B114" s="54" t="str">
        <x:v>justintiensmith/MT_State_Recognition_200:109</x:v>
      </x:c>
      <x:c r="C114" s="55" t="str">
        <x:v>Place a brown cup in the bowl.</x:v>
      </x:c>
      <x:c r="D114" s="55" t="str">
        <x:v>generic_mask</x:v>
      </x:c>
      <x:c r="E114" s="55" t="str">
        <x:v>none</x:v>
      </x:c>
      <x:c r="F114" s="55" t="str">
        <x:v>upright</x:v>
      </x:c>
      <x:c r="G114" s="54" t="str">
        <x:v>brown_cup_b</x:v>
      </x:c>
      <x:c r="H114" s="54" t="str">
        <x:v>brown cup</x:v>
      </x:c>
      <x:c r="I114" s="54" t="str">
        <x:v>open</x:v>
      </x:c>
      <x:c r="J114" s="54" t="str">
        <x:v>upright</x:v>
      </x:c>
      <x:c r="K114" s="56" t="n">
        <x:v>2</x:v>
      </x:c>
      <x:c r="L114" s="55" t="str">
        <x:v>["brown_cup_b","brown_cup_a"]</x:v>
      </x:c>
      <x:c r="M114" s="55" t="str">
        <x:v>PASS</x:v>
      </x:c>
      <x:c r="N114" s="55" t="str">
        <x:v>Yes</x:v>
      </x:c>
      <x:c r="O114" s="55" t="str">
        <x:v>Remove both state and orientation language; retain only the object category.</x:v>
      </x:c>
      <x:c r="P114" s="55" t="str">
        <x:v>PASS</x:v>
      </x:c>
      <x:c r="Q114" s="55" t="str">
        <x:v>generic_mask|brown_cup|open|right_side_up</x:v>
      </x:c>
      <x:c r="R114" s="55" t="str">
        <x:v>train</x:v>
      </x:c>
      <x:c r="S114" s="55" t="str">
        <x:v>Needs t0 middle-frame review</x:v>
      </x:c>
      <x:c r="T114" s="55" t="str">
        <x:v>Omitted physical attributes: open; upright.</x:v>
      </x:c>
      <x:c r="U114" s="57" t="n">
        <x:f>'Sampler Weights'!K121</x:f>
        <x:v>0.5681818181818182</x:v>
      </x:c>
    </x:row>
    <x:row r="115">
      <x:c r="A115" s="56" t="n">
        <x:v>110</x:v>
      </x:c>
      <x:c r="B115" s="54" t="str">
        <x:v>justintiensmith/MT_State_Recognition_200:110</x:v>
      </x:c>
      <x:c r="C115" s="55" t="str">
        <x:v>Place a brown cup in the bowl.</x:v>
      </x:c>
      <x:c r="D115" s="55" t="str">
        <x:v>generic_mask</x:v>
      </x:c>
      <x:c r="E115" s="55" t="str">
        <x:v>none</x:v>
      </x:c>
      <x:c r="F115" s="55" t="str">
        <x:v>closed; upright</x:v>
      </x:c>
      <x:c r="G115" s="54" t="str">
        <x:v>brown_cup_a</x:v>
      </x:c>
      <x:c r="H115" s="54" t="str">
        <x:v>brown cup</x:v>
      </x:c>
      <x:c r="I115" s="54" t="str">
        <x:v>closed</x:v>
      </x:c>
      <x:c r="J115" s="54" t="str">
        <x:v>upright</x:v>
      </x:c>
      <x:c r="K115" s="56" t="n">
        <x:v>2</x:v>
      </x:c>
      <x:c r="L115" s="55" t="str">
        <x:v>["brown_cup_a","brown_cup_b"]</x:v>
      </x:c>
      <x:c r="M115" s="55" t="str">
        <x:v>PASS</x:v>
      </x:c>
      <x:c r="N115" s="55" t="str">
        <x:v>Yes</x:v>
      </x:c>
      <x:c r="O115" s="55" t="str">
        <x:v>Remove both state and orientation language; retain only the object category.</x:v>
      </x:c>
      <x:c r="P115" s="55" t="str">
        <x:v>PASS</x:v>
      </x:c>
      <x:c r="Q115" s="55" t="str">
        <x:v>generic_mask|brown_cup|closed|right_side_up</x:v>
      </x:c>
      <x:c r="R115" s="55" t="str">
        <x:v>train</x:v>
      </x:c>
      <x:c r="S115" s="55" t="str">
        <x:v>Needs t0 middle-frame review</x:v>
      </x:c>
      <x:c r="T115" s="55" t="str">
        <x:v>Omitted physical attributes: closed; upright.</x:v>
      </x:c>
      <x:c r="U115" s="57" t="n">
        <x:f>'Sampler Weights'!K122</x:f>
        <x:v>0.390625</x:v>
      </x:c>
    </x:row>
    <x:row r="116">
      <x:c r="A116" s="56" t="n">
        <x:v>111</x:v>
      </x:c>
      <x:c r="B116" s="54" t="str">
        <x:v>justintiensmith/MT_State_Recognition_200:111</x:v>
      </x:c>
      <x:c r="C116" s="55" t="str">
        <x:v>Place an open brown cup in the bowl.</x:v>
      </x:c>
      <x:c r="D116" s="55" t="str">
        <x:v>explicit_seen_open</x:v>
      </x:c>
      <x:c r="E116" s="55" t="str">
        <x:v>open</x:v>
      </x:c>
      <x:c r="F116" s="55" t="str">
        <x:v>upright</x:v>
      </x:c>
      <x:c r="G116" s="54" t="str">
        <x:v>brown_cup_a</x:v>
      </x:c>
      <x:c r="H116" s="54" t="str">
        <x:v>brown cup</x:v>
      </x:c>
      <x:c r="I116" s="54" t="str">
        <x:v>open</x:v>
      </x:c>
      <x:c r="J116" s="54" t="str">
        <x:v>upright</x:v>
      </x:c>
      <x:c r="K116" s="56" t="n">
        <x:v>1</x:v>
      </x:c>
      <x:c r="L116" s="55" t="str">
        <x:v>["brown_cup_a"]</x:v>
      </x:c>
      <x:c r="M116" s="55" t="str">
        <x:v>PASS</x:v>
      </x:c>
      <x:c r="N116" s="55" t="str">
        <x:v>No</x:v>
      </x:c>
      <x:c r="O116" s="55" t="str">
        <x:v>Keep the seen semantic open; remove all orientation language and all held-out wording.</x:v>
      </x:c>
      <x:c r="P116" s="55" t="str">
        <x:v>PASS</x:v>
      </x:c>
      <x:c r="Q116" s="55" t="str">
        <x:v>explicit_seen_open|brown_cup|right_side_up</x:v>
      </x:c>
      <x:c r="R116" s="55" t="str">
        <x:v>train</x:v>
      </x:c>
      <x:c r="S116" s="55" t="str">
        <x:v>Needs t0 middle-frame review</x:v>
      </x:c>
      <x:c r="T116" s="55" t="str">
        <x:v>Omitted physical attributes: upright.</x:v>
      </x:c>
      <x:c r="U116" s="57" t="n">
        <x:f>'Sampler Weights'!K123</x:f>
        <x:v>0.625</x:v>
      </x:c>
    </x:row>
    <x:row r="117">
      <x:c r="A117" s="56" t="n">
        <x:v>112</x:v>
      </x:c>
      <x:c r="B117" s="54" t="str">
        <x:v>justintiensmith/MT_State_Recognition_200:112</x:v>
      </x:c>
      <x:c r="C117" s="55" t="str">
        <x:v>Place a brown cup in the bowl.</x:v>
      </x:c>
      <x:c r="D117" s="55" t="str">
        <x:v>generic_mask</x:v>
      </x:c>
      <x:c r="E117" s="55" t="str">
        <x:v>none</x:v>
      </x:c>
      <x:c r="F117" s="55" t="str">
        <x:v>upright</x:v>
      </x:c>
      <x:c r="G117" s="54" t="str">
        <x:v>brown_cup_b</x:v>
      </x:c>
      <x:c r="H117" s="54" t="str">
        <x:v>brown cup</x:v>
      </x:c>
      <x:c r="I117" s="54" t="str">
        <x:v>open</x:v>
      </x:c>
      <x:c r="J117" s="54" t="str">
        <x:v>upright</x:v>
      </x:c>
      <x:c r="K117" s="56" t="n">
        <x:v>1</x:v>
      </x:c>
      <x:c r="L117" s="55" t="str">
        <x:v>["brown_cup_b"]</x:v>
      </x:c>
      <x:c r="M117" s="55" t="str">
        <x:v>PASS</x:v>
      </x:c>
      <x:c r="N117" s="55" t="str">
        <x:v>No</x:v>
      </x:c>
      <x:c r="O117" s="55" t="str">
        <x:v>Remove both state and orientation language; retain only the object category.</x:v>
      </x:c>
      <x:c r="P117" s="55" t="str">
        <x:v>PASS</x:v>
      </x:c>
      <x:c r="Q117" s="55" t="str">
        <x:v>generic_mask|brown_cup|open|right_side_up</x:v>
      </x:c>
      <x:c r="R117" s="55" t="str">
        <x:v>train</x:v>
      </x:c>
      <x:c r="S117" s="55" t="str">
        <x:v>Needs t0 middle-frame review</x:v>
      </x:c>
      <x:c r="T117" s="55" t="str">
        <x:v>Omitted physical attributes: open; upright.</x:v>
      </x:c>
      <x:c r="U117" s="57" t="n">
        <x:f>'Sampler Weights'!K124</x:f>
        <x:v>0.5681818181818182</x:v>
      </x:c>
    </x:row>
    <x:row r="118">
      <x:c r="A118" s="56" t="n">
        <x:v>113</x:v>
      </x:c>
      <x:c r="B118" s="54" t="str">
        <x:v>justintiensmith/MT_State_Recognition_200:113</x:v>
      </x:c>
      <x:c r="C118" s="55" t="str">
        <x:v>Place a brown cup in the bowl.</x:v>
      </x:c>
      <x:c r="D118" s="55" t="str">
        <x:v>generic_mask</x:v>
      </x:c>
      <x:c r="E118" s="55" t="str">
        <x:v>none</x:v>
      </x:c>
      <x:c r="F118" s="55" t="str">
        <x:v>closed; upright</x:v>
      </x:c>
      <x:c r="G118" s="54" t="str">
        <x:v>brown_cup_a</x:v>
      </x:c>
      <x:c r="H118" s="54" t="str">
        <x:v>brown cup</x:v>
      </x:c>
      <x:c r="I118" s="54" t="str">
        <x:v>closed</x:v>
      </x:c>
      <x:c r="J118" s="54" t="str">
        <x:v>upright</x:v>
      </x:c>
      <x:c r="K118" s="56" t="n">
        <x:v>2</x:v>
      </x:c>
      <x:c r="L118" s="55" t="str">
        <x:v>["brown_cup_a","brown_cup_b"]</x:v>
      </x:c>
      <x:c r="M118" s="55" t="str">
        <x:v>PASS</x:v>
      </x:c>
      <x:c r="N118" s="55" t="str">
        <x:v>Yes</x:v>
      </x:c>
      <x:c r="O118" s="55" t="str">
        <x:v>Remove both state and orientation language; retain only the object category.</x:v>
      </x:c>
      <x:c r="P118" s="55" t="str">
        <x:v>PASS</x:v>
      </x:c>
      <x:c r="Q118" s="55" t="str">
        <x:v>generic_mask|brown_cup|closed|right_side_up</x:v>
      </x:c>
      <x:c r="R118" s="55" t="str">
        <x:v>train</x:v>
      </x:c>
      <x:c r="S118" s="55" t="str">
        <x:v>Needs t0 middle-frame review</x:v>
      </x:c>
      <x:c r="T118" s="55" t="str">
        <x:v>Omitted physical attributes: closed; upright.</x:v>
      </x:c>
      <x:c r="U118" s="57" t="n">
        <x:f>'Sampler Weights'!K125</x:f>
        <x:v>0.390625</x:v>
      </x:c>
    </x:row>
    <x:row r="119">
      <x:c r="A119" s="56" t="n">
        <x:v>114</x:v>
      </x:c>
      <x:c r="B119" s="54" t="str">
        <x:v>justintiensmith/MT_State_Recognition_200:114</x:v>
      </x:c>
      <x:c r="C119" s="55" t="str">
        <x:v>Place an open brown cup in the bowl.</x:v>
      </x:c>
      <x:c r="D119" s="55" t="str">
        <x:v>explicit_seen_open</x:v>
      </x:c>
      <x:c r="E119" s="55" t="str">
        <x:v>open</x:v>
      </x:c>
      <x:c r="F119" s="55" t="str">
        <x:v>upright</x:v>
      </x:c>
      <x:c r="G119" s="54" t="str">
        <x:v>brown_cup_b</x:v>
      </x:c>
      <x:c r="H119" s="54" t="str">
        <x:v>brown cup</x:v>
      </x:c>
      <x:c r="I119" s="54" t="str">
        <x:v>open</x:v>
      </x:c>
      <x:c r="J119" s="54" t="str">
        <x:v>upright</x:v>
      </x:c>
      <x:c r="K119" s="56" t="n">
        <x:v>1</x:v>
      </x:c>
      <x:c r="L119" s="55" t="str">
        <x:v>["brown_cup_b"]</x:v>
      </x:c>
      <x:c r="M119" s="55" t="str">
        <x:v>PASS</x:v>
      </x:c>
      <x:c r="N119" s="55" t="str">
        <x:v>No</x:v>
      </x:c>
      <x:c r="O119" s="55" t="str">
        <x:v>Keep the seen semantic open; remove all orientation language and all held-out wording.</x:v>
      </x:c>
      <x:c r="P119" s="55" t="str">
        <x:v>PASS</x:v>
      </x:c>
      <x:c r="Q119" s="55" t="str">
        <x:v>explicit_seen_open|brown_cup|right_side_up</x:v>
      </x:c>
      <x:c r="R119" s="55" t="str">
        <x:v>train</x:v>
      </x:c>
      <x:c r="S119" s="55" t="str">
        <x:v>Needs t0 middle-frame review</x:v>
      </x:c>
      <x:c r="T119" s="55" t="str">
        <x:v>Omitted physical attributes: upright.</x:v>
      </x:c>
      <x:c r="U119" s="57" t="n">
        <x:f>'Sampler Weights'!K126</x:f>
        <x:v>0.625</x:v>
      </x:c>
    </x:row>
    <x:row r="120">
      <x:c r="A120" s="56" t="n">
        <x:v>115</x:v>
      </x:c>
      <x:c r="B120" s="54" t="str">
        <x:v>justintiensmith/MT_State_Recognition_200:115</x:v>
      </x:c>
      <x:c r="C120" s="55" t="str">
        <x:v>Place a brown cup in the bowl.</x:v>
      </x:c>
      <x:c r="D120" s="55" t="str">
        <x:v>generic_mask</x:v>
      </x:c>
      <x:c r="E120" s="55" t="str">
        <x:v>none</x:v>
      </x:c>
      <x:c r="F120" s="55" t="str">
        <x:v>upright</x:v>
      </x:c>
      <x:c r="G120" s="54" t="str">
        <x:v>brown_cup_a</x:v>
      </x:c>
      <x:c r="H120" s="54" t="str">
        <x:v>brown cup</x:v>
      </x:c>
      <x:c r="I120" s="54" t="str">
        <x:v>open</x:v>
      </x:c>
      <x:c r="J120" s="54" t="str">
        <x:v>upright</x:v>
      </x:c>
      <x:c r="K120" s="56" t="n">
        <x:v>2</x:v>
      </x:c>
      <x:c r="L120" s="55" t="str">
        <x:v>["brown_cup_a","brown_cup_b"]</x:v>
      </x:c>
      <x:c r="M120" s="55" t="str">
        <x:v>PASS</x:v>
      </x:c>
      <x:c r="N120" s="55" t="str">
        <x:v>Yes</x:v>
      </x:c>
      <x:c r="O120" s="55" t="str">
        <x:v>Remove both state and orientation language; retain only the object category.</x:v>
      </x:c>
      <x:c r="P120" s="55" t="str">
        <x:v>PASS</x:v>
      </x:c>
      <x:c r="Q120" s="55" t="str">
        <x:v>generic_mask|brown_cup|open|right_side_up</x:v>
      </x:c>
      <x:c r="R120" s="55" t="str">
        <x:v>train</x:v>
      </x:c>
      <x:c r="S120" s="55" t="str">
        <x:v>Needs t0 middle-frame review</x:v>
      </x:c>
      <x:c r="T120" s="55" t="str">
        <x:v>Omitted physical attributes: open; upright.</x:v>
      </x:c>
      <x:c r="U120" s="57" t="n">
        <x:f>'Sampler Weights'!K127</x:f>
        <x:v>0.5681818181818182</x:v>
      </x:c>
    </x:row>
    <x:row r="121">
      <x:c r="A121" s="56" t="n">
        <x:v>116</x:v>
      </x:c>
      <x:c r="B121" s="54" t="str">
        <x:v>justintiensmith/MT_State_Recognition_200:116</x:v>
      </x:c>
      <x:c r="C121" s="55" t="str">
        <x:v>Place a brown cup in the bowl.</x:v>
      </x:c>
      <x:c r="D121" s="55" t="str">
        <x:v>generic_mask</x:v>
      </x:c>
      <x:c r="E121" s="55" t="str">
        <x:v>none</x:v>
      </x:c>
      <x:c r="F121" s="55" t="str">
        <x:v>closed; upright</x:v>
      </x:c>
      <x:c r="G121" s="54" t="str">
        <x:v>brown_cup_a</x:v>
      </x:c>
      <x:c r="H121" s="54" t="str">
        <x:v>brown cup</x:v>
      </x:c>
      <x:c r="I121" s="54" t="str">
        <x:v>closed</x:v>
      </x:c>
      <x:c r="J121" s="54" t="str">
        <x:v>upright</x:v>
      </x:c>
      <x:c r="K121" s="56" t="n">
        <x:v>2</x:v>
      </x:c>
      <x:c r="L121" s="55" t="str">
        <x:v>["brown_cup_a","brown_cup_b"]</x:v>
      </x:c>
      <x:c r="M121" s="55" t="str">
        <x:v>PASS</x:v>
      </x:c>
      <x:c r="N121" s="55" t="str">
        <x:v>Yes</x:v>
      </x:c>
      <x:c r="O121" s="55" t="str">
        <x:v>Remove both state and orientation language; retain only the object category.</x:v>
      </x:c>
      <x:c r="P121" s="55" t="str">
        <x:v>PASS</x:v>
      </x:c>
      <x:c r="Q121" s="55" t="str">
        <x:v>generic_mask|brown_cup|closed|right_side_up</x:v>
      </x:c>
      <x:c r="R121" s="55" t="str">
        <x:v>train</x:v>
      </x:c>
      <x:c r="S121" s="55" t="str">
        <x:v>Needs t0 middle-frame review</x:v>
      </x:c>
      <x:c r="T121" s="55" t="str">
        <x:v>Omitted physical attributes: closed; upright.</x:v>
      </x:c>
      <x:c r="U121" s="57" t="n">
        <x:f>'Sampler Weights'!K128</x:f>
        <x:v>0.390625</x:v>
      </x:c>
    </x:row>
    <x:row r="122">
      <x:c r="A122" s="56" t="n">
        <x:v>117</x:v>
      </x:c>
      <x:c r="B122" s="54" t="str">
        <x:v>justintiensmith/MT_State_Recognition_200:117</x:v>
      </x:c>
      <x:c r="C122" s="55" t="str">
        <x:v>Place an open brown cup in the bowl.</x:v>
      </x:c>
      <x:c r="D122" s="55" t="str">
        <x:v>explicit_seen_open</x:v>
      </x:c>
      <x:c r="E122" s="55" t="str">
        <x:v>open</x:v>
      </x:c>
      <x:c r="F122" s="55" t="str">
        <x:v>upright</x:v>
      </x:c>
      <x:c r="G122" s="54" t="str">
        <x:v>brown_cup_a</x:v>
      </x:c>
      <x:c r="H122" s="54" t="str">
        <x:v>brown cup</x:v>
      </x:c>
      <x:c r="I122" s="54" t="str">
        <x:v>open</x:v>
      </x:c>
      <x:c r="J122" s="54" t="str">
        <x:v>upright</x:v>
      </x:c>
      <x:c r="K122" s="56" t="n">
        <x:v>1</x:v>
      </x:c>
      <x:c r="L122" s="55" t="str">
        <x:v>["brown_cup_a"]</x:v>
      </x:c>
      <x:c r="M122" s="55" t="str">
        <x:v>PASS</x:v>
      </x:c>
      <x:c r="N122" s="55" t="str">
        <x:v>No</x:v>
      </x:c>
      <x:c r="O122" s="55" t="str">
        <x:v>Keep the seen semantic open; remove all orientation language and all held-out wording.</x:v>
      </x:c>
      <x:c r="P122" s="55" t="str">
        <x:v>PASS</x:v>
      </x:c>
      <x:c r="Q122" s="55" t="str">
        <x:v>explicit_seen_open|brown_cup|right_side_up</x:v>
      </x:c>
      <x:c r="R122" s="55" t="str">
        <x:v>train</x:v>
      </x:c>
      <x:c r="S122" s="55" t="str">
        <x:v>Needs t0 middle-frame review</x:v>
      </x:c>
      <x:c r="T122" s="55" t="str">
        <x:v>Omitted physical attributes: upright.</x:v>
      </x:c>
      <x:c r="U122" s="57" t="n">
        <x:f>'Sampler Weights'!K129</x:f>
        <x:v>0.625</x:v>
      </x:c>
    </x:row>
    <x:row r="123">
      <x:c r="A123" s="56" t="n">
        <x:v>118</x:v>
      </x:c>
      <x:c r="B123" s="54" t="str">
        <x:v>justintiensmith/MT_State_Recognition_200:118</x:v>
      </x:c>
      <x:c r="C123" s="55" t="str">
        <x:v>Place a brown cup in the bowl.</x:v>
      </x:c>
      <x:c r="D123" s="55" t="str">
        <x:v>generic_mask</x:v>
      </x:c>
      <x:c r="E123" s="55" t="str">
        <x:v>none</x:v>
      </x:c>
      <x:c r="F123" s="55" t="str">
        <x:v>upright</x:v>
      </x:c>
      <x:c r="G123" s="54" t="str">
        <x:v>brown_cup_b</x:v>
      </x:c>
      <x:c r="H123" s="54" t="str">
        <x:v>brown cup</x:v>
      </x:c>
      <x:c r="I123" s="54" t="str">
        <x:v>open</x:v>
      </x:c>
      <x:c r="J123" s="54" t="str">
        <x:v>upright</x:v>
      </x:c>
      <x:c r="K123" s="56" t="n">
        <x:v>2</x:v>
      </x:c>
      <x:c r="L123" s="55" t="str">
        <x:v>["brown_cup_b","brown_cup_a"]</x:v>
      </x:c>
      <x:c r="M123" s="55" t="str">
        <x:v>PASS</x:v>
      </x:c>
      <x:c r="N123" s="55" t="str">
        <x:v>Yes</x:v>
      </x:c>
      <x:c r="O123" s="55" t="str">
        <x:v>Remove both state and orientation language; retain only the object category.</x:v>
      </x:c>
      <x:c r="P123" s="55" t="str">
        <x:v>PASS</x:v>
      </x:c>
      <x:c r="Q123" s="55" t="str">
        <x:v>generic_mask|brown_cup|open|right_side_up</x:v>
      </x:c>
      <x:c r="R123" s="55" t="str">
        <x:v>train</x:v>
      </x:c>
      <x:c r="S123" s="55" t="str">
        <x:v>Needs t0 middle-frame review</x:v>
      </x:c>
      <x:c r="T123" s="55" t="str">
        <x:v>Omitted physical attributes: open; upright.</x:v>
      </x:c>
      <x:c r="U123" s="57" t="n">
        <x:f>'Sampler Weights'!K130</x:f>
        <x:v>0.5681818181818182</x:v>
      </x:c>
    </x:row>
    <x:row r="124">
      <x:c r="A124" s="56" t="n">
        <x:v>119</x:v>
      </x:c>
      <x:c r="B124" s="54" t="str">
        <x:v>justintiensmith/MT_State_Recognition_200:119</x:v>
      </x:c>
      <x:c r="C124" s="55" t="str">
        <x:v>Place a brown cup in the bowl.</x:v>
      </x:c>
      <x:c r="D124" s="55" t="str">
        <x:v>generic_mask</x:v>
      </x:c>
      <x:c r="E124" s="55" t="str">
        <x:v>none</x:v>
      </x:c>
      <x:c r="F124" s="55" t="str">
        <x:v>closed; upright</x:v>
      </x:c>
      <x:c r="G124" s="54" t="str">
        <x:v>brown_cup_b</x:v>
      </x:c>
      <x:c r="H124" s="54" t="str">
        <x:v>brown cup</x:v>
      </x:c>
      <x:c r="I124" s="54" t="str">
        <x:v>closed</x:v>
      </x:c>
      <x:c r="J124" s="54" t="str">
        <x:v>upright</x:v>
      </x:c>
      <x:c r="K124" s="56" t="n">
        <x:v>1</x:v>
      </x:c>
      <x:c r="L124" s="55" t="str">
        <x:v>["brown_cup_b"]</x:v>
      </x:c>
      <x:c r="M124" s="55" t="str">
        <x:v>PASS</x:v>
      </x:c>
      <x:c r="N124" s="55" t="str">
        <x:v>No</x:v>
      </x:c>
      <x:c r="O124" s="55" t="str">
        <x:v>Remove both state and orientation language; retain only the object category.</x:v>
      </x:c>
      <x:c r="P124" s="55" t="str">
        <x:v>PASS</x:v>
      </x:c>
      <x:c r="Q124" s="55" t="str">
        <x:v>generic_mask|brown_cup|closed|right_side_up</x:v>
      </x:c>
      <x:c r="R124" s="55" t="str">
        <x:v>train</x:v>
      </x:c>
      <x:c r="S124" s="55" t="str">
        <x:v>Needs t0 middle-frame review</x:v>
      </x:c>
      <x:c r="T124" s="55" t="str">
        <x:v>Omitted physical attributes: closed; upright.</x:v>
      </x:c>
      <x:c r="U124" s="57" t="n">
        <x:f>'Sampler Weights'!K131</x:f>
        <x:v>0.390625</x:v>
      </x:c>
    </x:row>
    <x:row r="125">
      <x:c r="A125" s="56" t="n">
        <x:v>120</x:v>
      </x:c>
      <x:c r="B125" s="54" t="str">
        <x:v>justintiensmith/MT_State_Recognition_200:120</x:v>
      </x:c>
      <x:c r="C125" s="55" t="str">
        <x:v>Place a brown cup in the bowl.</x:v>
      </x:c>
      <x:c r="D125" s="55" t="str">
        <x:v>generic_mask</x:v>
      </x:c>
      <x:c r="E125" s="55" t="str">
        <x:v>none</x:v>
      </x:c>
      <x:c r="F125" s="55" t="str">
        <x:v>closed; upright</x:v>
      </x:c>
      <x:c r="G125" s="54" t="str">
        <x:v>brown_cup_a</x:v>
      </x:c>
      <x:c r="H125" s="54" t="str">
        <x:v>brown cup</x:v>
      </x:c>
      <x:c r="I125" s="54" t="str">
        <x:v>closed</x:v>
      </x:c>
      <x:c r="J125" s="54" t="str">
        <x:v>upright</x:v>
      </x:c>
      <x:c r="K125" s="56" t="n">
        <x:v>2</x:v>
      </x:c>
      <x:c r="L125" s="55" t="str">
        <x:v>["brown_cup_a","brown_cup_b"]</x:v>
      </x:c>
      <x:c r="M125" s="55" t="str">
        <x:v>PASS</x:v>
      </x:c>
      <x:c r="N125" s="55" t="str">
        <x:v>Yes</x:v>
      </x:c>
      <x:c r="O125" s="55" t="str">
        <x:v>Remove both state and orientation language; retain only the object category.</x:v>
      </x:c>
      <x:c r="P125" s="55" t="str">
        <x:v>PASS</x:v>
      </x:c>
      <x:c r="Q125" s="55" t="str">
        <x:v>generic_mask|brown_cup|closed|right_side_up</x:v>
      </x:c>
      <x:c r="R125" s="55" t="str">
        <x:v>train</x:v>
      </x:c>
      <x:c r="S125" s="55" t="str">
        <x:v>Needs t0 middle-frame review</x:v>
      </x:c>
      <x:c r="T125" s="55" t="str">
        <x:v>Omitted physical attributes: closed; upright.</x:v>
      </x:c>
      <x:c r="U125" s="57" t="n">
        <x:f>'Sampler Weights'!K132</x:f>
        <x:v>0.390625</x:v>
      </x:c>
    </x:row>
    <x:row r="126">
      <x:c r="A126" s="56" t="n">
        <x:v>121</x:v>
      </x:c>
      <x:c r="B126" s="54" t="str">
        <x:v>justintiensmith/MT_State_Recognition_200:121</x:v>
      </x:c>
      <x:c r="C126" s="55" t="str">
        <x:v>Place an open brown cup in the bowl.</x:v>
      </x:c>
      <x:c r="D126" s="55" t="str">
        <x:v>explicit_seen_open</x:v>
      </x:c>
      <x:c r="E126" s="55" t="str">
        <x:v>open</x:v>
      </x:c>
      <x:c r="F126" s="55" t="str">
        <x:v>upright</x:v>
      </x:c>
      <x:c r="G126" s="54" t="str">
        <x:v>brown_cup_b</x:v>
      </x:c>
      <x:c r="H126" s="54" t="str">
        <x:v>brown cup</x:v>
      </x:c>
      <x:c r="I126" s="54" t="str">
        <x:v>open</x:v>
      </x:c>
      <x:c r="J126" s="54" t="str">
        <x:v>upright</x:v>
      </x:c>
      <x:c r="K126" s="56" t="n">
        <x:v>1</x:v>
      </x:c>
      <x:c r="L126" s="55" t="str">
        <x:v>["brown_cup_b"]</x:v>
      </x:c>
      <x:c r="M126" s="55" t="str">
        <x:v>PASS</x:v>
      </x:c>
      <x:c r="N126" s="55" t="str">
        <x:v>No</x:v>
      </x:c>
      <x:c r="O126" s="55" t="str">
        <x:v>Keep the seen semantic open; remove all orientation language and all held-out wording.</x:v>
      </x:c>
      <x:c r="P126" s="55" t="str">
        <x:v>PASS</x:v>
      </x:c>
      <x:c r="Q126" s="55" t="str">
        <x:v>explicit_seen_open|brown_cup|right_side_up</x:v>
      </x:c>
      <x:c r="R126" s="55" t="str">
        <x:v>train</x:v>
      </x:c>
      <x:c r="S126" s="55" t="str">
        <x:v>Needs t0 middle-frame review</x:v>
      </x:c>
      <x:c r="T126" s="55" t="str">
        <x:v>Omitted physical attributes: upright.</x:v>
      </x:c>
      <x:c r="U126" s="57" t="n">
        <x:f>'Sampler Weights'!K133</x:f>
        <x:v>0.625</x:v>
      </x:c>
    </x:row>
    <x:row r="127">
      <x:c r="A127" s="56" t="n">
        <x:v>122</x:v>
      </x:c>
      <x:c r="B127" s="54" t="str">
        <x:v>justintiensmith/MT_State_Recognition_200:122</x:v>
      </x:c>
      <x:c r="C127" s="55" t="str">
        <x:v>Place a brown cup in the bowl.</x:v>
      </x:c>
      <x:c r="D127" s="55" t="str">
        <x:v>generic_mask</x:v>
      </x:c>
      <x:c r="E127" s="55" t="str">
        <x:v>none</x:v>
      </x:c>
      <x:c r="F127" s="55" t="str">
        <x:v>closed</x:v>
      </x:c>
      <x:c r="G127" s="54" t="str">
        <x:v>brown_cup_a</x:v>
      </x:c>
      <x:c r="H127" s="54" t="str">
        <x:v>brown cup</x:v>
      </x:c>
      <x:c r="I127" s="54" t="str">
        <x:v>closed</x:v>
      </x:c>
      <x:c r="J127" s="54" t="str">
        <x:v>upside down</x:v>
      </x:c>
      <x:c r="K127" s="56" t="n">
        <x:v>2</x:v>
      </x:c>
      <x:c r="L127" s="55" t="str">
        <x:v>["brown_cup_a","brown_cup_b"]</x:v>
      </x:c>
      <x:c r="M127" s="55" t="str">
        <x:v>PASS</x:v>
      </x:c>
      <x:c r="N127" s="55" t="str">
        <x:v>Yes</x:v>
      </x:c>
      <x:c r="O127" s="55" t="str">
        <x:v>Remove both state and orientation language; retain only the object category.</x:v>
      </x:c>
      <x:c r="P127" s="55" t="str">
        <x:v>PASS</x:v>
      </x:c>
      <x:c r="Q127" s="55" t="str">
        <x:v>generic_mask|brown_cup|closed|upside_down</x:v>
      </x:c>
      <x:c r="R127" s="55" t="str">
        <x:v>train</x:v>
      </x:c>
      <x:c r="S127" s="55" t="str">
        <x:v>Needs t0 middle-frame review</x:v>
      </x:c>
      <x:c r="T127" s="55" t="str">
        <x:v>Omitted physical attributes: closed; upside down.</x:v>
      </x:c>
      <x:c r="U127" s="57" t="n">
        <x:f>'Sampler Weights'!K134</x:f>
        <x:v>1.25</x:v>
      </x:c>
    </x:row>
    <x:row r="128">
      <x:c r="A128" s="56" t="n">
        <x:v>123</x:v>
      </x:c>
      <x:c r="B128" s="54" t="str">
        <x:v>justintiensmith/MT_State_Recognition_200:123</x:v>
      </x:c>
      <x:c r="C128" s="55" t="str">
        <x:v>Place a brown cup in the bowl.</x:v>
      </x:c>
      <x:c r="D128" s="55" t="str">
        <x:v>generic_mask</x:v>
      </x:c>
      <x:c r="E128" s="55" t="str">
        <x:v>none</x:v>
      </x:c>
      <x:c r="F128" s="55" t="str"/>
      <x:c r="G128" s="54" t="str">
        <x:v>brown_cup_b</x:v>
      </x:c>
      <x:c r="H128" s="54" t="str">
        <x:v>brown cup</x:v>
      </x:c>
      <x:c r="I128" s="54" t="str">
        <x:v>open</x:v>
      </x:c>
      <x:c r="J128" s="54" t="str">
        <x:v>upside down</x:v>
      </x:c>
      <x:c r="K128" s="56" t="n">
        <x:v>1</x:v>
      </x:c>
      <x:c r="L128" s="55" t="str">
        <x:v>["brown_cup_b"]</x:v>
      </x:c>
      <x:c r="M128" s="55" t="str">
        <x:v>PASS</x:v>
      </x:c>
      <x:c r="N128" s="55" t="str">
        <x:v>No</x:v>
      </x:c>
      <x:c r="O128" s="55" t="str">
        <x:v>Remove both state and orientation language; retain only the object category.</x:v>
      </x:c>
      <x:c r="P128" s="55" t="str">
        <x:v>PASS</x:v>
      </x:c>
      <x:c r="Q128" s="55" t="str">
        <x:v>generic_mask|brown_cup|open|upside_down</x:v>
      </x:c>
      <x:c r="R128" s="55" t="str">
        <x:v>train</x:v>
      </x:c>
      <x:c r="S128" s="55" t="str">
        <x:v>Needs t0 middle-frame review</x:v>
      </x:c>
      <x:c r="T128" s="55" t="str">
        <x:v>Omitted physical attributes: open; upside down.</x:v>
      </x:c>
      <x:c r="U128" s="57" t="n">
        <x:f>'Sampler Weights'!K135</x:f>
        <x:v>3.125</x:v>
      </x:c>
    </x:row>
    <x:row r="129">
      <x:c r="A129" s="56" t="n">
        <x:v>124</x:v>
      </x:c>
      <x:c r="B129" s="54" t="str">
        <x:v>justintiensmith/MT_State_Recognition_200:124</x:v>
      </x:c>
      <x:c r="C129" s="55" t="str">
        <x:v>Place an upside-down brown cup in the bowl.</x:v>
      </x:c>
      <x:c r="D129" s="55" t="str">
        <x:v>explicit_seen_upside_down</x:v>
      </x:c>
      <x:c r="E129" s="55" t="str">
        <x:v>upside-down</x:v>
      </x:c>
      <x:c r="F129" s="55" t="str">
        <x:v>closed</x:v>
      </x:c>
      <x:c r="G129" s="54" t="str">
        <x:v>brown_cup_b</x:v>
      </x:c>
      <x:c r="H129" s="54" t="str">
        <x:v>brown cup</x:v>
      </x:c>
      <x:c r="I129" s="54" t="str">
        <x:v>closed</x:v>
      </x:c>
      <x:c r="J129" s="54" t="str">
        <x:v>upside down</x:v>
      </x:c>
      <x:c r="K129" s="56" t="n">
        <x:v>1</x:v>
      </x:c>
      <x:c r="L129" s="55" t="str">
        <x:v>["brown_cup_b"]</x:v>
      </x:c>
      <x:c r="M129" s="55" t="str">
        <x:v>PASS</x:v>
      </x:c>
      <x:c r="N129" s="55" t="str">
        <x:v>No</x:v>
      </x:c>
      <x:c r="O129" s="55" t="str">
        <x:v>Keep the seen semantic upside-down; remove all open/closed language and all held-out wording.</x:v>
      </x:c>
      <x:c r="P129" s="55" t="str">
        <x:v>PASS</x:v>
      </x:c>
      <x:c r="Q129" s="55" t="str">
        <x:v>explicit_seen_upside_down|brown_cup|closed</x:v>
      </x:c>
      <x:c r="R129" s="55" t="str">
        <x:v>train</x:v>
      </x:c>
      <x:c r="S129" s="55" t="str">
        <x:v>Needs t0 middle-frame review</x:v>
      </x:c>
      <x:c r="T129" s="55" t="str">
        <x:v>Omitted physical attributes: closed.</x:v>
      </x:c>
      <x:c r="U129" s="57" t="n">
        <x:f>'Sampler Weights'!K136</x:f>
        <x:v>1.5625</x:v>
      </x:c>
    </x:row>
    <x:row r="130">
      <x:c r="A130" s="56" t="n">
        <x:v>125</x:v>
      </x:c>
      <x:c r="B130" s="54" t="str">
        <x:v>justintiensmith/MT_State_Recognition_200:125</x:v>
      </x:c>
      <x:c r="C130" s="55" t="str">
        <x:v>Place a brown cup in the bowl.</x:v>
      </x:c>
      <x:c r="D130" s="55" t="str">
        <x:v>generic_mask</x:v>
      </x:c>
      <x:c r="E130" s="55" t="str">
        <x:v>none</x:v>
      </x:c>
      <x:c r="F130" s="55" t="str">
        <x:v>closed; upright</x:v>
      </x:c>
      <x:c r="G130" s="54" t="str">
        <x:v>brown_cup_b</x:v>
      </x:c>
      <x:c r="H130" s="54" t="str">
        <x:v>brown cup</x:v>
      </x:c>
      <x:c r="I130" s="54" t="str">
        <x:v>closed</x:v>
      </x:c>
      <x:c r="J130" s="54" t="str">
        <x:v>upright</x:v>
      </x:c>
      <x:c r="K130" s="56" t="n">
        <x:v>2</x:v>
      </x:c>
      <x:c r="L130" s="55" t="str">
        <x:v>["brown_cup_b","brown_cup_a"]</x:v>
      </x:c>
      <x:c r="M130" s="55" t="str">
        <x:v>PASS</x:v>
      </x:c>
      <x:c r="N130" s="55" t="str">
        <x:v>Yes</x:v>
      </x:c>
      <x:c r="O130" s="55" t="str">
        <x:v>Remove both state and orientation language; retain only the object category.</x:v>
      </x:c>
      <x:c r="P130" s="55" t="str">
        <x:v>PASS</x:v>
      </x:c>
      <x:c r="Q130" s="55" t="str">
        <x:v>generic_mask|brown_cup|closed|right_side_up</x:v>
      </x:c>
      <x:c r="R130" s="55" t="str">
        <x:v>train</x:v>
      </x:c>
      <x:c r="S130" s="55" t="str">
        <x:v>Needs t0 middle-frame review</x:v>
      </x:c>
      <x:c r="T130" s="55" t="str">
        <x:v>Omitted physical attributes: closed; upright.</x:v>
      </x:c>
      <x:c r="U130" s="57" t="n">
        <x:f>'Sampler Weights'!K137</x:f>
        <x:v>0.390625</x:v>
      </x:c>
    </x:row>
    <x:row r="131">
      <x:c r="A131" s="56" t="n">
        <x:v>126</x:v>
      </x:c>
      <x:c r="B131" s="54" t="str">
        <x:v>justintiensmith/MT_State_Recognition_200:126</x:v>
      </x:c>
      <x:c r="C131" s="55" t="str">
        <x:v>Place a brown cup in the bowl.</x:v>
      </x:c>
      <x:c r="D131" s="55" t="str">
        <x:v>generic_mask</x:v>
      </x:c>
      <x:c r="E131" s="55" t="str">
        <x:v>none</x:v>
      </x:c>
      <x:c r="F131" s="55" t="str">
        <x:v>upright</x:v>
      </x:c>
      <x:c r="G131" s="54" t="str">
        <x:v>brown_cup_b</x:v>
      </x:c>
      <x:c r="H131" s="54" t="str">
        <x:v>brown cup</x:v>
      </x:c>
      <x:c r="I131" s="54" t="str">
        <x:v>open</x:v>
      </x:c>
      <x:c r="J131" s="54" t="str">
        <x:v>upright</x:v>
      </x:c>
      <x:c r="K131" s="56" t="n">
        <x:v>2</x:v>
      </x:c>
      <x:c r="L131" s="55" t="str">
        <x:v>["brown_cup_b","brown_cup_a"]</x:v>
      </x:c>
      <x:c r="M131" s="55" t="str">
        <x:v>PASS</x:v>
      </x:c>
      <x:c r="N131" s="55" t="str">
        <x:v>Yes</x:v>
      </x:c>
      <x:c r="O131" s="55" t="str">
        <x:v>Remove both state and orientation language; retain only the object category.</x:v>
      </x:c>
      <x:c r="P131" s="55" t="str">
        <x:v>PASS</x:v>
      </x:c>
      <x:c r="Q131" s="55" t="str">
        <x:v>generic_mask|brown_cup|open|right_side_up</x:v>
      </x:c>
      <x:c r="R131" s="55" t="str">
        <x:v>train</x:v>
      </x:c>
      <x:c r="S131" s="55" t="str">
        <x:v>Needs t0 middle-frame review</x:v>
      </x:c>
      <x:c r="T131" s="55" t="str">
        <x:v>Omitted physical attributes: open; upright.</x:v>
      </x:c>
      <x:c r="U131" s="57" t="n">
        <x:f>'Sampler Weights'!K138</x:f>
        <x:v>0.5681818181818182</x:v>
      </x:c>
    </x:row>
    <x:row r="132">
      <x:c r="A132" s="56" t="n">
        <x:v>127</x:v>
      </x:c>
      <x:c r="B132" s="54" t="str">
        <x:v>justintiensmith/MT_State_Recognition_200:127</x:v>
      </x:c>
      <x:c r="C132" s="55" t="str">
        <x:v>Place a brown cup in the bowl.</x:v>
      </x:c>
      <x:c r="D132" s="55" t="str">
        <x:v>generic_mask</x:v>
      </x:c>
      <x:c r="E132" s="55" t="str">
        <x:v>none</x:v>
      </x:c>
      <x:c r="F132" s="55" t="str">
        <x:v>closed; upright</x:v>
      </x:c>
      <x:c r="G132" s="54" t="str">
        <x:v>brown_cup_a</x:v>
      </x:c>
      <x:c r="H132" s="54" t="str">
        <x:v>brown cup</x:v>
      </x:c>
      <x:c r="I132" s="54" t="str">
        <x:v>closed</x:v>
      </x:c>
      <x:c r="J132" s="54" t="str">
        <x:v>upright</x:v>
      </x:c>
      <x:c r="K132" s="56" t="n">
        <x:v>2</x:v>
      </x:c>
      <x:c r="L132" s="55" t="str">
        <x:v>["brown_cup_a","brown_cup_b"]</x:v>
      </x:c>
      <x:c r="M132" s="55" t="str">
        <x:v>PASS</x:v>
      </x:c>
      <x:c r="N132" s="55" t="str">
        <x:v>Yes</x:v>
      </x:c>
      <x:c r="O132" s="55" t="str">
        <x:v>Remove both state and orientation language; retain only the object category.</x:v>
      </x:c>
      <x:c r="P132" s="55" t="str">
        <x:v>PASS</x:v>
      </x:c>
      <x:c r="Q132" s="55" t="str">
        <x:v>generic_mask|brown_cup|closed|right_side_up</x:v>
      </x:c>
      <x:c r="R132" s="55" t="str">
        <x:v>train</x:v>
      </x:c>
      <x:c r="S132" s="55" t="str">
        <x:v>Needs t0 middle-frame review</x:v>
      </x:c>
      <x:c r="T132" s="55" t="str">
        <x:v>Omitted physical attributes: closed; upright.</x:v>
      </x:c>
      <x:c r="U132" s="57" t="n">
        <x:f>'Sampler Weights'!K139</x:f>
        <x:v>0.390625</x:v>
      </x:c>
    </x:row>
    <x:row r="133">
      <x:c r="A133" s="56" t="n">
        <x:v>128</x:v>
      </x:c>
      <x:c r="B133" s="54" t="str">
        <x:v>justintiensmith/MT_State_Recognition_200:128</x:v>
      </x:c>
      <x:c r="C133" s="55" t="str">
        <x:v>Place an open brown cup in the bowl.</x:v>
      </x:c>
      <x:c r="D133" s="55" t="str">
        <x:v>explicit_seen_open</x:v>
      </x:c>
      <x:c r="E133" s="55" t="str">
        <x:v>open</x:v>
      </x:c>
      <x:c r="F133" s="55" t="str">
        <x:v>upright</x:v>
      </x:c>
      <x:c r="G133" s="54" t="str">
        <x:v>brown_cup_a</x:v>
      </x:c>
      <x:c r="H133" s="54" t="str">
        <x:v>brown cup</x:v>
      </x:c>
      <x:c r="I133" s="54" t="str">
        <x:v>open</x:v>
      </x:c>
      <x:c r="J133" s="54" t="str">
        <x:v>upright</x:v>
      </x:c>
      <x:c r="K133" s="56" t="n">
        <x:v>2</x:v>
      </x:c>
      <x:c r="L133" s="55" t="str">
        <x:v>["brown_cup_a","brown_cup_b"]</x:v>
      </x:c>
      <x:c r="M133" s="55" t="str">
        <x:v>PASS</x:v>
      </x:c>
      <x:c r="N133" s="55" t="str">
        <x:v>Yes</x:v>
      </x:c>
      <x:c r="O133" s="55" t="str">
        <x:v>Keep the seen semantic open; remove all orientation language and all held-out wording.</x:v>
      </x:c>
      <x:c r="P133" s="55" t="str">
        <x:v>PASS</x:v>
      </x:c>
      <x:c r="Q133" s="55" t="str">
        <x:v>explicit_seen_open|brown_cup|right_side_up</x:v>
      </x:c>
      <x:c r="R133" s="55" t="str">
        <x:v>train</x:v>
      </x:c>
      <x:c r="S133" s="55" t="str">
        <x:v>Needs t0 middle-frame review</x:v>
      </x:c>
      <x:c r="T133" s="55" t="str">
        <x:v>Omitted physical attributes: upright.</x:v>
      </x:c>
      <x:c r="U133" s="57" t="n">
        <x:f>'Sampler Weights'!K140</x:f>
        <x:v>0.625</x:v>
      </x:c>
    </x:row>
    <x:row r="134">
      <x:c r="A134" s="56" t="n">
        <x:v>129</x:v>
      </x:c>
      <x:c r="B134" s="54" t="str">
        <x:v>justintiensmith/MT_State_Recognition_200:129</x:v>
      </x:c>
      <x:c r="C134" s="55" t="str">
        <x:v>Place a brown cup in the bowl.</x:v>
      </x:c>
      <x:c r="D134" s="55" t="str">
        <x:v>generic_mask</x:v>
      </x:c>
      <x:c r="E134" s="55" t="str">
        <x:v>none</x:v>
      </x:c>
      <x:c r="F134" s="55" t="str">
        <x:v>closed</x:v>
      </x:c>
      <x:c r="G134" s="54" t="str">
        <x:v>brown_cup_a</x:v>
      </x:c>
      <x:c r="H134" s="54" t="str">
        <x:v>brown cup</x:v>
      </x:c>
      <x:c r="I134" s="54" t="str">
        <x:v>closed</x:v>
      </x:c>
      <x:c r="J134" s="54" t="str">
        <x:v>upside down</x:v>
      </x:c>
      <x:c r="K134" s="56" t="n">
        <x:v>1</x:v>
      </x:c>
      <x:c r="L134" s="55" t="str">
        <x:v>["brown_cup_a"]</x:v>
      </x:c>
      <x:c r="M134" s="55" t="str">
        <x:v>PASS</x:v>
      </x:c>
      <x:c r="N134" s="55" t="str">
        <x:v>No</x:v>
      </x:c>
      <x:c r="O134" s="55" t="str">
        <x:v>Remove both state and orientation language; retain only the object category.</x:v>
      </x:c>
      <x:c r="P134" s="55" t="str">
        <x:v>PASS</x:v>
      </x:c>
      <x:c r="Q134" s="55" t="str">
        <x:v>generic_mask|brown_cup|closed|upside_down</x:v>
      </x:c>
      <x:c r="R134" s="55" t="str">
        <x:v>train</x:v>
      </x:c>
      <x:c r="S134" s="55" t="str">
        <x:v>Needs t0 middle-frame review</x:v>
      </x:c>
      <x:c r="T134" s="55" t="str">
        <x:v>Omitted physical attributes: closed; upside down.</x:v>
      </x:c>
      <x:c r="U134" s="57" t="n">
        <x:f>'Sampler Weights'!K141</x:f>
        <x:v>1.25</x:v>
      </x:c>
    </x:row>
    <x:row r="135">
      <x:c r="A135" s="56" t="n">
        <x:v>130</x:v>
      </x:c>
      <x:c r="B135" s="54" t="str">
        <x:v>justintiensmith/MT_State_Recognition_200:130</x:v>
      </x:c>
      <x:c r="C135" s="55" t="str">
        <x:v>Place a brown cup in the bowl.</x:v>
      </x:c>
      <x:c r="D135" s="55" t="str">
        <x:v>generic_mask</x:v>
      </x:c>
      <x:c r="E135" s="55" t="str">
        <x:v>none</x:v>
      </x:c>
      <x:c r="F135" s="55" t="str">
        <x:v>upright</x:v>
      </x:c>
      <x:c r="G135" s="54" t="str">
        <x:v>brown_cup_b</x:v>
      </x:c>
      <x:c r="H135" s="54" t="str">
        <x:v>brown cup</x:v>
      </x:c>
      <x:c r="I135" s="54" t="str">
        <x:v>open</x:v>
      </x:c>
      <x:c r="J135" s="54" t="str">
        <x:v>upright</x:v>
      </x:c>
      <x:c r="K135" s="56" t="n">
        <x:v>2</x:v>
      </x:c>
      <x:c r="L135" s="55" t="str">
        <x:v>["brown_cup_b","brown_cup_a"]</x:v>
      </x:c>
      <x:c r="M135" s="55" t="str">
        <x:v>PASS</x:v>
      </x:c>
      <x:c r="N135" s="55" t="str">
        <x:v>Yes</x:v>
      </x:c>
      <x:c r="O135" s="55" t="str">
        <x:v>Remove both state and orientation language; retain only the object category.</x:v>
      </x:c>
      <x:c r="P135" s="55" t="str">
        <x:v>PASS</x:v>
      </x:c>
      <x:c r="Q135" s="55" t="str">
        <x:v>generic_mask|brown_cup|open|right_side_up</x:v>
      </x:c>
      <x:c r="R135" s="55" t="str">
        <x:v>train</x:v>
      </x:c>
      <x:c r="S135" s="55" t="str">
        <x:v>Needs t0 middle-frame review</x:v>
      </x:c>
      <x:c r="T135" s="55" t="str">
        <x:v>Omitted physical attributes: open; upright.</x:v>
      </x:c>
      <x:c r="U135" s="57" t="n">
        <x:f>'Sampler Weights'!K142</x:f>
        <x:v>0.5681818181818182</x:v>
      </x:c>
    </x:row>
    <x:row r="136">
      <x:c r="A136" s="56" t="n">
        <x:v>131</x:v>
      </x:c>
      <x:c r="B136" s="54" t="str">
        <x:v>justintiensmith/MT_State_Recognition_200:131</x:v>
      </x:c>
      <x:c r="C136" s="55" t="str">
        <x:v>Place a brown cup in the bowl.</x:v>
      </x:c>
      <x:c r="D136" s="55" t="str">
        <x:v>generic_mask</x:v>
      </x:c>
      <x:c r="E136" s="55" t="str">
        <x:v>none</x:v>
      </x:c>
      <x:c r="F136" s="55" t="str">
        <x:v>closed; upright</x:v>
      </x:c>
      <x:c r="G136" s="54" t="str">
        <x:v>brown_cup_a</x:v>
      </x:c>
      <x:c r="H136" s="54" t="str">
        <x:v>brown cup</x:v>
      </x:c>
      <x:c r="I136" s="54" t="str">
        <x:v>closed</x:v>
      </x:c>
      <x:c r="J136" s="54" t="str">
        <x:v>upright</x:v>
      </x:c>
      <x:c r="K136" s="56" t="n">
        <x:v>2</x:v>
      </x:c>
      <x:c r="L136" s="55" t="str">
        <x:v>["brown_cup_a","brown_cup_b"]</x:v>
      </x:c>
      <x:c r="M136" s="55" t="str">
        <x:v>PASS</x:v>
      </x:c>
      <x:c r="N136" s="55" t="str">
        <x:v>Yes</x:v>
      </x:c>
      <x:c r="O136" s="55" t="str">
        <x:v>Remove both state and orientation language; retain only the object category.</x:v>
      </x:c>
      <x:c r="P136" s="55" t="str">
        <x:v>PASS</x:v>
      </x:c>
      <x:c r="Q136" s="55" t="str">
        <x:v>generic_mask|brown_cup|closed|right_side_up</x:v>
      </x:c>
      <x:c r="R136" s="55" t="str">
        <x:v>train</x:v>
      </x:c>
      <x:c r="S136" s="55" t="str">
        <x:v>Needs t0 middle-frame review</x:v>
      </x:c>
      <x:c r="T136" s="55" t="str">
        <x:v>Omitted physical attributes: closed; upright.</x:v>
      </x:c>
      <x:c r="U136" s="57" t="n">
        <x:f>'Sampler Weights'!K143</x:f>
        <x:v>0.390625</x:v>
      </x:c>
    </x:row>
    <x:row r="137">
      <x:c r="A137" s="56" t="n">
        <x:v>132</x:v>
      </x:c>
      <x:c r="B137" s="54" t="str">
        <x:v>justintiensmith/MT_State_Recognition_200:132</x:v>
      </x:c>
      <x:c r="C137" s="55" t="str">
        <x:v>Place an open brown cup in the bowl.</x:v>
      </x:c>
      <x:c r="D137" s="55" t="str">
        <x:v>explicit_seen_open</x:v>
      </x:c>
      <x:c r="E137" s="55" t="str">
        <x:v>open</x:v>
      </x:c>
      <x:c r="F137" s="55" t="str"/>
      <x:c r="G137" s="54" t="str">
        <x:v>brown_cup_a</x:v>
      </x:c>
      <x:c r="H137" s="54" t="str">
        <x:v>brown cup</x:v>
      </x:c>
      <x:c r="I137" s="54" t="str">
        <x:v>open</x:v>
      </x:c>
      <x:c r="J137" s="54" t="str">
        <x:v>upside down</x:v>
      </x:c>
      <x:c r="K137" s="56" t="n">
        <x:v>2</x:v>
      </x:c>
      <x:c r="L137" s="55" t="str">
        <x:v>["brown_cup_a","brown_cup_b"]</x:v>
      </x:c>
      <x:c r="M137" s="55" t="str">
        <x:v>PASS</x:v>
      </x:c>
      <x:c r="N137" s="55" t="str">
        <x:v>Yes</x:v>
      </x:c>
      <x:c r="O137" s="55" t="str">
        <x:v>Keep the seen semantic open; remove all orientation language and all held-out wording.</x:v>
      </x:c>
      <x:c r="P137" s="55" t="str">
        <x:v>PASS</x:v>
      </x:c>
      <x:c r="Q137" s="55" t="str">
        <x:v>explicit_seen_open|brown_cup|upside_down</x:v>
      </x:c>
      <x:c r="R137" s="55" t="str">
        <x:v>train</x:v>
      </x:c>
      <x:c r="S137" s="55" t="str">
        <x:v>Needs t0 middle-frame review</x:v>
      </x:c>
      <x:c r="T137" s="55" t="str">
        <x:v>Omitted physical attributes: upside down.</x:v>
      </x:c>
      <x:c r="U137" s="57" t="n">
        <x:f>'Sampler Weights'!K144</x:f>
        <x:v>6.25</x:v>
      </x:c>
    </x:row>
    <x:row r="138">
      <x:c r="A138" s="56" t="n">
        <x:v>133</x:v>
      </x:c>
      <x:c r="B138" s="54" t="str">
        <x:v>justintiensmith/MT_State_Recognition_200:133</x:v>
      </x:c>
      <x:c r="C138" s="55" t="str">
        <x:v>Place an upside-down brown cup in the bowl.</x:v>
      </x:c>
      <x:c r="D138" s="55" t="str">
        <x:v>explicit_seen_upside_down</x:v>
      </x:c>
      <x:c r="E138" s="55" t="str">
        <x:v>upside-down</x:v>
      </x:c>
      <x:c r="F138" s="55" t="str">
        <x:v>closed</x:v>
      </x:c>
      <x:c r="G138" s="54" t="str">
        <x:v>brown_cup_b</x:v>
      </x:c>
      <x:c r="H138" s="54" t="str">
        <x:v>brown cup</x:v>
      </x:c>
      <x:c r="I138" s="54" t="str">
        <x:v>closed</x:v>
      </x:c>
      <x:c r="J138" s="54" t="str">
        <x:v>upside down</x:v>
      </x:c>
      <x:c r="K138" s="56" t="n">
        <x:v>1</x:v>
      </x:c>
      <x:c r="L138" s="55" t="str">
        <x:v>["brown_cup_b"]</x:v>
      </x:c>
      <x:c r="M138" s="55" t="str">
        <x:v>PASS</x:v>
      </x:c>
      <x:c r="N138" s="55" t="str">
        <x:v>No</x:v>
      </x:c>
      <x:c r="O138" s="55" t="str">
        <x:v>Keep the seen semantic upside-down; remove all open/closed language and all held-out wording.</x:v>
      </x:c>
      <x:c r="P138" s="55" t="str">
        <x:v>PASS</x:v>
      </x:c>
      <x:c r="Q138" s="55" t="str">
        <x:v>explicit_seen_upside_down|brown_cup|closed</x:v>
      </x:c>
      <x:c r="R138" s="55" t="str">
        <x:v>train</x:v>
      </x:c>
      <x:c r="S138" s="55" t="str">
        <x:v>Needs t0 middle-frame review</x:v>
      </x:c>
      <x:c r="T138" s="55" t="str">
        <x:v>Omitted physical attributes: closed.</x:v>
      </x:c>
      <x:c r="U138" s="57" t="n">
        <x:f>'Sampler Weights'!K145</x:f>
        <x:v>1.5625</x:v>
      </x:c>
    </x:row>
    <x:row r="139">
      <x:c r="A139" s="56" t="n">
        <x:v>134</x:v>
      </x:c>
      <x:c r="B139" s="54" t="str">
        <x:v>justintiensmith/MT_State_Recognition_200:134</x:v>
      </x:c>
      <x:c r="C139" s="55" t="str">
        <x:v>Place an open brown cup in the bowl.</x:v>
      </x:c>
      <x:c r="D139" s="55" t="str">
        <x:v>explicit_seen_open</x:v>
      </x:c>
      <x:c r="E139" s="55" t="str">
        <x:v>open</x:v>
      </x:c>
      <x:c r="F139" s="55" t="str">
        <x:v>upright</x:v>
      </x:c>
      <x:c r="G139" s="54" t="str">
        <x:v>brown_cup_b</x:v>
      </x:c>
      <x:c r="H139" s="54" t="str">
        <x:v>brown cup</x:v>
      </x:c>
      <x:c r="I139" s="54" t="str">
        <x:v>open</x:v>
      </x:c>
      <x:c r="J139" s="54" t="str">
        <x:v>upright</x:v>
      </x:c>
      <x:c r="K139" s="56" t="n">
        <x:v>1</x:v>
      </x:c>
      <x:c r="L139" s="55" t="str">
        <x:v>["brown_cup_b"]</x:v>
      </x:c>
      <x:c r="M139" s="55" t="str">
        <x:v>PASS</x:v>
      </x:c>
      <x:c r="N139" s="55" t="str">
        <x:v>No</x:v>
      </x:c>
      <x:c r="O139" s="55" t="str">
        <x:v>Keep the seen semantic open; remove all orientation language and all held-out wording.</x:v>
      </x:c>
      <x:c r="P139" s="55" t="str">
        <x:v>PASS</x:v>
      </x:c>
      <x:c r="Q139" s="55" t="str">
        <x:v>explicit_seen_open|brown_cup|right_side_up</x:v>
      </x:c>
      <x:c r="R139" s="55" t="str">
        <x:v>train</x:v>
      </x:c>
      <x:c r="S139" s="55" t="str">
        <x:v>Needs t0 middle-frame review</x:v>
      </x:c>
      <x:c r="T139" s="55" t="str">
        <x:v>Omitted physical attributes: upright.</x:v>
      </x:c>
      <x:c r="U139" s="57" t="n">
        <x:f>'Sampler Weights'!K146</x:f>
        <x:v>0.625</x:v>
      </x:c>
    </x:row>
    <x:row r="140">
      <x:c r="A140" s="56" t="n">
        <x:v>135</x:v>
      </x:c>
      <x:c r="B140" s="54" t="str">
        <x:v>justintiensmith/MT_State_Recognition_200:135</x:v>
      </x:c>
      <x:c r="C140" s="55" t="str">
        <x:v>Place a brown cup in the bowl.</x:v>
      </x:c>
      <x:c r="D140" s="55" t="str">
        <x:v>generic_mask</x:v>
      </x:c>
      <x:c r="E140" s="55" t="str">
        <x:v>none</x:v>
      </x:c>
      <x:c r="F140" s="55" t="str">
        <x:v>closed</x:v>
      </x:c>
      <x:c r="G140" s="54" t="str">
        <x:v>brown_cup_a</x:v>
      </x:c>
      <x:c r="H140" s="54" t="str">
        <x:v>brown cup</x:v>
      </x:c>
      <x:c r="I140" s="54" t="str">
        <x:v>closed</x:v>
      </x:c>
      <x:c r="J140" s="54" t="str">
        <x:v>upside down</x:v>
      </x:c>
      <x:c r="K140" s="56" t="n">
        <x:v>2</x:v>
      </x:c>
      <x:c r="L140" s="55" t="str">
        <x:v>["brown_cup_a","brown_cup_b"]</x:v>
      </x:c>
      <x:c r="M140" s="55" t="str">
        <x:v>PASS</x:v>
      </x:c>
      <x:c r="N140" s="55" t="str">
        <x:v>Yes</x:v>
      </x:c>
      <x:c r="O140" s="55" t="str">
        <x:v>Remove both state and orientation language; retain only the object category.</x:v>
      </x:c>
      <x:c r="P140" s="55" t="str">
        <x:v>PASS</x:v>
      </x:c>
      <x:c r="Q140" s="55" t="str">
        <x:v>generic_mask|brown_cup|closed|upside_down</x:v>
      </x:c>
      <x:c r="R140" s="55" t="str">
        <x:v>train</x:v>
      </x:c>
      <x:c r="S140" s="55" t="str">
        <x:v>Needs t0 middle-frame review</x:v>
      </x:c>
      <x:c r="T140" s="55" t="str">
        <x:v>Omitted physical attributes: closed; upside down.</x:v>
      </x:c>
      <x:c r="U140" s="57" t="n">
        <x:f>'Sampler Weights'!K147</x:f>
        <x:v>1.25</x:v>
      </x:c>
    </x:row>
    <x:row r="141">
      <x:c r="A141" s="56" t="n">
        <x:v>136</x:v>
      </x:c>
      <x:c r="B141" s="54" t="str">
        <x:v>justintiensmith/MT_State_Recognition_200:136</x:v>
      </x:c>
      <x:c r="C141" s="55" t="str">
        <x:v>Place a brown cup in the bowl.</x:v>
      </x:c>
      <x:c r="D141" s="55" t="str">
        <x:v>generic_mask</x:v>
      </x:c>
      <x:c r="E141" s="55" t="str">
        <x:v>none</x:v>
      </x:c>
      <x:c r="F141" s="55" t="str">
        <x:v>upright</x:v>
      </x:c>
      <x:c r="G141" s="54" t="str">
        <x:v>brown_cup_a</x:v>
      </x:c>
      <x:c r="H141" s="54" t="str">
        <x:v>brown cup</x:v>
      </x:c>
      <x:c r="I141" s="54" t="str">
        <x:v>open</x:v>
      </x:c>
      <x:c r="J141" s="54" t="str">
        <x:v>upright</x:v>
      </x:c>
      <x:c r="K141" s="56" t="n">
        <x:v>1</x:v>
      </x:c>
      <x:c r="L141" s="55" t="str">
        <x:v>["brown_cup_a"]</x:v>
      </x:c>
      <x:c r="M141" s="55" t="str">
        <x:v>PASS</x:v>
      </x:c>
      <x:c r="N141" s="55" t="str">
        <x:v>No</x:v>
      </x:c>
      <x:c r="O141" s="55" t="str">
        <x:v>Remove both state and orientation language; retain only the object category.</x:v>
      </x:c>
      <x:c r="P141" s="55" t="str">
        <x:v>PASS</x:v>
      </x:c>
      <x:c r="Q141" s="55" t="str">
        <x:v>generic_mask|brown_cup|open|right_side_up</x:v>
      </x:c>
      <x:c r="R141" s="55" t="str">
        <x:v>train</x:v>
      </x:c>
      <x:c r="S141" s="55" t="str">
        <x:v>Needs t0 middle-frame review</x:v>
      </x:c>
      <x:c r="T141" s="55" t="str">
        <x:v>Omitted physical attributes: open; upright.</x:v>
      </x:c>
      <x:c r="U141" s="57" t="n">
        <x:f>'Sampler Weights'!K148</x:f>
        <x:v>0.5681818181818182</x:v>
      </x:c>
    </x:row>
    <x:row r="142">
      <x:c r="A142" s="56" t="n">
        <x:v>137</x:v>
      </x:c>
      <x:c r="B142" s="54" t="str">
        <x:v>justintiensmith/MT_State_Recognition_200:137</x:v>
      </x:c>
      <x:c r="C142" s="55" t="str">
        <x:v>Place an upside-down brown cup in the bowl.</x:v>
      </x:c>
      <x:c r="D142" s="55" t="str">
        <x:v>explicit_seen_upside_down</x:v>
      </x:c>
      <x:c r="E142" s="55" t="str">
        <x:v>upside-down</x:v>
      </x:c>
      <x:c r="F142" s="55" t="str">
        <x:v>closed</x:v>
      </x:c>
      <x:c r="G142" s="54" t="str">
        <x:v>brown_cup_b</x:v>
      </x:c>
      <x:c r="H142" s="54" t="str">
        <x:v>brown cup</x:v>
      </x:c>
      <x:c r="I142" s="54" t="str">
        <x:v>closed</x:v>
      </x:c>
      <x:c r="J142" s="54" t="str">
        <x:v>upside down</x:v>
      </x:c>
      <x:c r="K142" s="56" t="n">
        <x:v>1</x:v>
      </x:c>
      <x:c r="L142" s="55" t="str">
        <x:v>["brown_cup_b"]</x:v>
      </x:c>
      <x:c r="M142" s="55" t="str">
        <x:v>PASS</x:v>
      </x:c>
      <x:c r="N142" s="55" t="str">
        <x:v>No</x:v>
      </x:c>
      <x:c r="O142" s="55" t="str">
        <x:v>Keep the seen semantic upside-down; remove all open/closed language and all held-out wording.</x:v>
      </x:c>
      <x:c r="P142" s="55" t="str">
        <x:v>PASS</x:v>
      </x:c>
      <x:c r="Q142" s="55" t="str">
        <x:v>explicit_seen_upside_down|brown_cup|closed</x:v>
      </x:c>
      <x:c r="R142" s="55" t="str">
        <x:v>train</x:v>
      </x:c>
      <x:c r="S142" s="55" t="str">
        <x:v>Needs t0 middle-frame review</x:v>
      </x:c>
      <x:c r="T142" s="55" t="str">
        <x:v>Omitted physical attributes: closed.</x:v>
      </x:c>
      <x:c r="U142" s="57" t="n">
        <x:f>'Sampler Weights'!K149</x:f>
        <x:v>1.5625</x:v>
      </x:c>
    </x:row>
    <x:row r="143">
      <x:c r="A143" s="56" t="n">
        <x:v>138</x:v>
      </x:c>
      <x:c r="B143" s="54" t="str">
        <x:v>justintiensmith/MT_State_Recognition_200:138</x:v>
      </x:c>
      <x:c r="C143" s="55" t="str">
        <x:v>Place an open brown cup in the bowl.</x:v>
      </x:c>
      <x:c r="D143" s="55" t="str">
        <x:v>explicit_seen_open</x:v>
      </x:c>
      <x:c r="E143" s="55" t="str">
        <x:v>open</x:v>
      </x:c>
      <x:c r="F143" s="55" t="str">
        <x:v>upright</x:v>
      </x:c>
      <x:c r="G143" s="54" t="str">
        <x:v>brown_cup_b</x:v>
      </x:c>
      <x:c r="H143" s="54" t="str">
        <x:v>brown cup</x:v>
      </x:c>
      <x:c r="I143" s="54" t="str">
        <x:v>open</x:v>
      </x:c>
      <x:c r="J143" s="54" t="str">
        <x:v>upright</x:v>
      </x:c>
      <x:c r="K143" s="56" t="n">
        <x:v>1</x:v>
      </x:c>
      <x:c r="L143" s="55" t="str">
        <x:v>["brown_cup_b"]</x:v>
      </x:c>
      <x:c r="M143" s="55" t="str">
        <x:v>PASS</x:v>
      </x:c>
      <x:c r="N143" s="55" t="str">
        <x:v>No</x:v>
      </x:c>
      <x:c r="O143" s="55" t="str">
        <x:v>Keep the seen semantic open; remove all orientation language and all held-out wording.</x:v>
      </x:c>
      <x:c r="P143" s="55" t="str">
        <x:v>PASS</x:v>
      </x:c>
      <x:c r="Q143" s="55" t="str">
        <x:v>explicit_seen_open|brown_cup|right_side_up</x:v>
      </x:c>
      <x:c r="R143" s="55" t="str">
        <x:v>train</x:v>
      </x:c>
      <x:c r="S143" s="55" t="str">
        <x:v>Needs t0 middle-frame review</x:v>
      </x:c>
      <x:c r="T143" s="55" t="str">
        <x:v>Omitted physical attributes: upright.</x:v>
      </x:c>
      <x:c r="U143" s="57" t="n">
        <x:f>'Sampler Weights'!K150</x:f>
        <x:v>0.625</x:v>
      </x:c>
    </x:row>
    <x:row r="144">
      <x:c r="A144" s="56" t="n">
        <x:v>139</x:v>
      </x:c>
      <x:c r="B144" s="54" t="str">
        <x:v>justintiensmith/MT_State_Recognition_200:139</x:v>
      </x:c>
      <x:c r="C144" s="55" t="str">
        <x:v>Place a brown cup in the bowl.</x:v>
      </x:c>
      <x:c r="D144" s="55" t="str">
        <x:v>generic_mask</x:v>
      </x:c>
      <x:c r="E144" s="55" t="str">
        <x:v>none</x:v>
      </x:c>
      <x:c r="F144" s="55" t="str">
        <x:v>closed; upright</x:v>
      </x:c>
      <x:c r="G144" s="54" t="str">
        <x:v>brown_cup_a</x:v>
      </x:c>
      <x:c r="H144" s="54" t="str">
        <x:v>brown cup</x:v>
      </x:c>
      <x:c r="I144" s="54" t="str">
        <x:v>closed</x:v>
      </x:c>
      <x:c r="J144" s="54" t="str">
        <x:v>upright</x:v>
      </x:c>
      <x:c r="K144" s="56" t="n">
        <x:v>2</x:v>
      </x:c>
      <x:c r="L144" s="55" t="str">
        <x:v>["brown_cup_a","brown_cup_b"]</x:v>
      </x:c>
      <x:c r="M144" s="55" t="str">
        <x:v>PASS</x:v>
      </x:c>
      <x:c r="N144" s="55" t="str">
        <x:v>Yes</x:v>
      </x:c>
      <x:c r="O144" s="55" t="str">
        <x:v>Remove both state and orientation language; retain only the object category.</x:v>
      </x:c>
      <x:c r="P144" s="55" t="str">
        <x:v>PASS</x:v>
      </x:c>
      <x:c r="Q144" s="55" t="str">
        <x:v>generic_mask|brown_cup|closed|right_side_up</x:v>
      </x:c>
      <x:c r="R144" s="55" t="str">
        <x:v>train</x:v>
      </x:c>
      <x:c r="S144" s="55" t="str">
        <x:v>Needs t0 middle-frame review</x:v>
      </x:c>
      <x:c r="T144" s="55" t="str">
        <x:v>Omitted physical attributes: closed; upright.</x:v>
      </x:c>
      <x:c r="U144" s="57" t="n">
        <x:f>'Sampler Weights'!K151</x:f>
        <x:v>0.390625</x:v>
      </x:c>
    </x:row>
    <x:row r="145">
      <x:c r="A145" s="56" t="n">
        <x:v>140</x:v>
      </x:c>
      <x:c r="B145" s="54" t="str">
        <x:v>justintiensmith/MT_State_Recognition_200:140</x:v>
      </x:c>
      <x:c r="C145" s="55" t="str">
        <x:v>Place a brown cup in the bowl.</x:v>
      </x:c>
      <x:c r="D145" s="55" t="str">
        <x:v>generic_mask</x:v>
      </x:c>
      <x:c r="E145" s="55" t="str">
        <x:v>none</x:v>
      </x:c>
      <x:c r="F145" s="55" t="str">
        <x:v>upright</x:v>
      </x:c>
      <x:c r="G145" s="54" t="str">
        <x:v>brown_cup_a</x:v>
      </x:c>
      <x:c r="H145" s="54" t="str">
        <x:v>brown cup</x:v>
      </x:c>
      <x:c r="I145" s="54" t="str">
        <x:v>open</x:v>
      </x:c>
      <x:c r="J145" s="54" t="str">
        <x:v>upright</x:v>
      </x:c>
      <x:c r="K145" s="56" t="n">
        <x:v>2</x:v>
      </x:c>
      <x:c r="L145" s="55" t="str">
        <x:v>["brown_cup_a","brown_cup_b"]</x:v>
      </x:c>
      <x:c r="M145" s="55" t="str">
        <x:v>PASS</x:v>
      </x:c>
      <x:c r="N145" s="55" t="str">
        <x:v>Yes</x:v>
      </x:c>
      <x:c r="O145" s="55" t="str">
        <x:v>Remove both state and orientation language; retain only the object category.</x:v>
      </x:c>
      <x:c r="P145" s="55" t="str">
        <x:v>PASS</x:v>
      </x:c>
      <x:c r="Q145" s="55" t="str">
        <x:v>generic_mask|brown_cup|open|right_side_up</x:v>
      </x:c>
      <x:c r="R145" s="55" t="str">
        <x:v>train</x:v>
      </x:c>
      <x:c r="S145" s="55" t="str">
        <x:v>Needs t0 middle-frame review</x:v>
      </x:c>
      <x:c r="T145" s="55" t="str">
        <x:v>Omitted physical attributes: open; upright.</x:v>
      </x:c>
      <x:c r="U145" s="57" t="n">
        <x:f>'Sampler Weights'!K152</x:f>
        <x:v>0.5681818181818182</x:v>
      </x:c>
    </x:row>
    <x:row r="146">
      <x:c r="A146" s="56" t="n">
        <x:v>141</x:v>
      </x:c>
      <x:c r="B146" s="54" t="str">
        <x:v>justintiensmith/MT_State_Recognition_200:141</x:v>
      </x:c>
      <x:c r="C146" s="55" t="str">
        <x:v>Place a brown cup in the bowl.</x:v>
      </x:c>
      <x:c r="D146" s="55" t="str">
        <x:v>generic_mask</x:v>
      </x:c>
      <x:c r="E146" s="55" t="str">
        <x:v>none</x:v>
      </x:c>
      <x:c r="F146" s="55" t="str">
        <x:v>closed</x:v>
      </x:c>
      <x:c r="G146" s="54" t="str">
        <x:v>brown_cup_b</x:v>
      </x:c>
      <x:c r="H146" s="54" t="str">
        <x:v>brown cup</x:v>
      </x:c>
      <x:c r="I146" s="54" t="str">
        <x:v>closed</x:v>
      </x:c>
      <x:c r="J146" s="54" t="str">
        <x:v>upside down</x:v>
      </x:c>
      <x:c r="K146" s="56" t="n">
        <x:v>1</x:v>
      </x:c>
      <x:c r="L146" s="55" t="str">
        <x:v>["brown_cup_b"]</x:v>
      </x:c>
      <x:c r="M146" s="55" t="str">
        <x:v>PASS</x:v>
      </x:c>
      <x:c r="N146" s="55" t="str">
        <x:v>No</x:v>
      </x:c>
      <x:c r="O146" s="55" t="str">
        <x:v>Remove both state and orientation language; retain only the object category.</x:v>
      </x:c>
      <x:c r="P146" s="55" t="str">
        <x:v>PASS</x:v>
      </x:c>
      <x:c r="Q146" s="55" t="str">
        <x:v>generic_mask|brown_cup|closed|upside_down</x:v>
      </x:c>
      <x:c r="R146" s="55" t="str">
        <x:v>train</x:v>
      </x:c>
      <x:c r="S146" s="55" t="str">
        <x:v>Needs t0 middle-frame review</x:v>
      </x:c>
      <x:c r="T146" s="55" t="str">
        <x:v>Omitted physical attributes: closed; upside down.</x:v>
      </x:c>
      <x:c r="U146" s="57" t="n">
        <x:f>'Sampler Weights'!K153</x:f>
        <x:v>1.25</x:v>
      </x:c>
    </x:row>
    <x:row r="147">
      <x:c r="A147" s="56" t="n">
        <x:v>142</x:v>
      </x:c>
      <x:c r="B147" s="54" t="str">
        <x:v>justintiensmith/MT_State_Recognition_200:142</x:v>
      </x:c>
      <x:c r="C147" s="55" t="str">
        <x:v>Place an open brown cup in the bowl.</x:v>
      </x:c>
      <x:c r="D147" s="55" t="str">
        <x:v>explicit_seen_open</x:v>
      </x:c>
      <x:c r="E147" s="55" t="str">
        <x:v>open</x:v>
      </x:c>
      <x:c r="F147" s="55" t="str">
        <x:v>upright</x:v>
      </x:c>
      <x:c r="G147" s="54" t="str">
        <x:v>brown_cup_b</x:v>
      </x:c>
      <x:c r="H147" s="54" t="str">
        <x:v>brown cup</x:v>
      </x:c>
      <x:c r="I147" s="54" t="str">
        <x:v>open</x:v>
      </x:c>
      <x:c r="J147" s="54" t="str">
        <x:v>upright</x:v>
      </x:c>
      <x:c r="K147" s="56" t="n">
        <x:v>1</x:v>
      </x:c>
      <x:c r="L147" s="55" t="str">
        <x:v>["brown_cup_b"]</x:v>
      </x:c>
      <x:c r="M147" s="55" t="str">
        <x:v>PASS</x:v>
      </x:c>
      <x:c r="N147" s="55" t="str">
        <x:v>No</x:v>
      </x:c>
      <x:c r="O147" s="55" t="str">
        <x:v>Keep the seen semantic open; remove all orientation language and all held-out wording.</x:v>
      </x:c>
      <x:c r="P147" s="55" t="str">
        <x:v>PASS</x:v>
      </x:c>
      <x:c r="Q147" s="55" t="str">
        <x:v>explicit_seen_open|brown_cup|right_side_up</x:v>
      </x:c>
      <x:c r="R147" s="55" t="str">
        <x:v>train</x:v>
      </x:c>
      <x:c r="S147" s="55" t="str">
        <x:v>Needs t0 middle-frame review</x:v>
      </x:c>
      <x:c r="T147" s="55" t="str">
        <x:v>Omitted physical attributes: upright.</x:v>
      </x:c>
      <x:c r="U147" s="57" t="n">
        <x:f>'Sampler Weights'!K154</x:f>
        <x:v>0.625</x:v>
      </x:c>
    </x:row>
    <x:row r="148">
      <x:c r="A148" s="56" t="n">
        <x:v>143</x:v>
      </x:c>
      <x:c r="B148" s="54" t="str">
        <x:v>justintiensmith/MT_State_Recognition_200:143</x:v>
      </x:c>
      <x:c r="C148" s="55" t="str">
        <x:v>Place a brown cup in the bowl.</x:v>
      </x:c>
      <x:c r="D148" s="55" t="str">
        <x:v>generic_mask</x:v>
      </x:c>
      <x:c r="E148" s="55" t="str">
        <x:v>none</x:v>
      </x:c>
      <x:c r="F148" s="55" t="str">
        <x:v>closed; upright</x:v>
      </x:c>
      <x:c r="G148" s="54" t="str">
        <x:v>brown_cup_a</x:v>
      </x:c>
      <x:c r="H148" s="54" t="str">
        <x:v>brown cup</x:v>
      </x:c>
      <x:c r="I148" s="54" t="str">
        <x:v>closed</x:v>
      </x:c>
      <x:c r="J148" s="54" t="str">
        <x:v>upright</x:v>
      </x:c>
      <x:c r="K148" s="56" t="n">
        <x:v>1</x:v>
      </x:c>
      <x:c r="L148" s="55" t="str">
        <x:v>["brown_cup_a"]</x:v>
      </x:c>
      <x:c r="M148" s="55" t="str">
        <x:v>PASS</x:v>
      </x:c>
      <x:c r="N148" s="55" t="str">
        <x:v>No</x:v>
      </x:c>
      <x:c r="O148" s="55" t="str">
        <x:v>Remove both state and orientation language; retain only the object category.</x:v>
      </x:c>
      <x:c r="P148" s="55" t="str">
        <x:v>PASS</x:v>
      </x:c>
      <x:c r="Q148" s="55" t="str">
        <x:v>generic_mask|brown_cup|closed|right_side_up</x:v>
      </x:c>
      <x:c r="R148" s="55" t="str">
        <x:v>train</x:v>
      </x:c>
      <x:c r="S148" s="55" t="str">
        <x:v>Needs t0 middle-frame review</x:v>
      </x:c>
      <x:c r="T148" s="55" t="str">
        <x:v>Omitted physical attributes: closed; upright.</x:v>
      </x:c>
      <x:c r="U148" s="57" t="n">
        <x:f>'Sampler Weights'!K155</x:f>
        <x:v>0.390625</x:v>
      </x:c>
    </x:row>
    <x:row r="149">
      <x:c r="A149" s="56" t="n">
        <x:v>144</x:v>
      </x:c>
      <x:c r="B149" s="54" t="str">
        <x:v>justintiensmith/MT_State_Recognition_200:144</x:v>
      </x:c>
      <x:c r="C149" s="55" t="str">
        <x:v>Place a brown cup in the bowl.</x:v>
      </x:c>
      <x:c r="D149" s="55" t="str">
        <x:v>generic_mask</x:v>
      </x:c>
      <x:c r="E149" s="55" t="str">
        <x:v>none</x:v>
      </x:c>
      <x:c r="F149" s="55" t="str"/>
      <x:c r="G149" s="54" t="str">
        <x:v>brown_cup_b</x:v>
      </x:c>
      <x:c r="H149" s="54" t="str">
        <x:v>brown cup</x:v>
      </x:c>
      <x:c r="I149" s="54" t="str">
        <x:v>open</x:v>
      </x:c>
      <x:c r="J149" s="54" t="str">
        <x:v>upside down</x:v>
      </x:c>
      <x:c r="K149" s="56" t="n">
        <x:v>2</x:v>
      </x:c>
      <x:c r="L149" s="55" t="str">
        <x:v>["brown_cup_b","brown_cup_a"]</x:v>
      </x:c>
      <x:c r="M149" s="55" t="str">
        <x:v>PASS</x:v>
      </x:c>
      <x:c r="N149" s="55" t="str">
        <x:v>Yes</x:v>
      </x:c>
      <x:c r="O149" s="55" t="str">
        <x:v>Remove both state and orientation language; retain only the object category.</x:v>
      </x:c>
      <x:c r="P149" s="55" t="str">
        <x:v>PASS</x:v>
      </x:c>
      <x:c r="Q149" s="55" t="str">
        <x:v>generic_mask|brown_cup|open|upside_down</x:v>
      </x:c>
      <x:c r="R149" s="55" t="str">
        <x:v>train</x:v>
      </x:c>
      <x:c r="S149" s="55" t="str">
        <x:v>Needs t0 middle-frame review</x:v>
      </x:c>
      <x:c r="T149" s="55" t="str">
        <x:v>Omitted physical attributes: open; upside down.</x:v>
      </x:c>
      <x:c r="U149" s="57" t="n">
        <x:f>'Sampler Weights'!K156</x:f>
        <x:v>3.125</x:v>
      </x:c>
    </x:row>
    <x:row r="150">
      <x:c r="A150" s="56" t="n">
        <x:v>145</x:v>
      </x:c>
      <x:c r="B150" s="54" t="str">
        <x:v>justintiensmith/MT_State_Recognition_200:145</x:v>
      </x:c>
      <x:c r="C150" s="55" t="str">
        <x:v>Place a brown cup in the bowl.</x:v>
      </x:c>
      <x:c r="D150" s="55" t="str">
        <x:v>generic_mask</x:v>
      </x:c>
      <x:c r="E150" s="55" t="str">
        <x:v>none</x:v>
      </x:c>
      <x:c r="F150" s="55" t="str">
        <x:v>closed; upright</x:v>
      </x:c>
      <x:c r="G150" s="54" t="str">
        <x:v>brown_cup_a</x:v>
      </x:c>
      <x:c r="H150" s="54" t="str">
        <x:v>brown cup</x:v>
      </x:c>
      <x:c r="I150" s="54" t="str">
        <x:v>closed</x:v>
      </x:c>
      <x:c r="J150" s="54" t="str">
        <x:v>upright</x:v>
      </x:c>
      <x:c r="K150" s="56" t="n">
        <x:v>2</x:v>
      </x:c>
      <x:c r="L150" s="55" t="str">
        <x:v>["brown_cup_a","brown_cup_b"]</x:v>
      </x:c>
      <x:c r="M150" s="55" t="str">
        <x:v>PASS</x:v>
      </x:c>
      <x:c r="N150" s="55" t="str">
        <x:v>Yes</x:v>
      </x:c>
      <x:c r="O150" s="55" t="str">
        <x:v>Remove both state and orientation language; retain only the object category.</x:v>
      </x:c>
      <x:c r="P150" s="55" t="str">
        <x:v>PASS</x:v>
      </x:c>
      <x:c r="Q150" s="55" t="str">
        <x:v>generic_mask|brown_cup|closed|right_side_up</x:v>
      </x:c>
      <x:c r="R150" s="55" t="str">
        <x:v>train</x:v>
      </x:c>
      <x:c r="S150" s="55" t="str">
        <x:v>Needs t0 middle-frame review</x:v>
      </x:c>
      <x:c r="T150" s="55" t="str">
        <x:v>Omitted physical attributes: closed; upright.</x:v>
      </x:c>
      <x:c r="U150" s="57" t="n">
        <x:f>'Sampler Weights'!K157</x:f>
        <x:v>0.390625</x:v>
      </x:c>
    </x:row>
    <x:row r="151">
      <x:c r="A151" s="56" t="n">
        <x:v>146</x:v>
      </x:c>
      <x:c r="B151" s="54" t="str">
        <x:v>justintiensmith/MT_State_Recognition_200:146</x:v>
      </x:c>
      <x:c r="C151" s="55" t="str">
        <x:v>Place an upside-down brown cup in the bowl.</x:v>
      </x:c>
      <x:c r="D151" s="55" t="str">
        <x:v>explicit_seen_upside_down</x:v>
      </x:c>
      <x:c r="E151" s="55" t="str">
        <x:v>upside-down</x:v>
      </x:c>
      <x:c r="F151" s="55" t="str"/>
      <x:c r="G151" s="54" t="str">
        <x:v>brown_cup_b</x:v>
      </x:c>
      <x:c r="H151" s="54" t="str">
        <x:v>brown cup</x:v>
      </x:c>
      <x:c r="I151" s="54" t="str">
        <x:v>open</x:v>
      </x:c>
      <x:c r="J151" s="54" t="str">
        <x:v>upside down</x:v>
      </x:c>
      <x:c r="K151" s="56" t="n">
        <x:v>1</x:v>
      </x:c>
      <x:c r="L151" s="55" t="str">
        <x:v>["brown_cup_b"]</x:v>
      </x:c>
      <x:c r="M151" s="55" t="str">
        <x:v>PASS</x:v>
      </x:c>
      <x:c r="N151" s="55" t="str">
        <x:v>No</x:v>
      </x:c>
      <x:c r="O151" s="55" t="str">
        <x:v>Keep the seen semantic upside-down; remove all open/closed language and all held-out wording.</x:v>
      </x:c>
      <x:c r="P151" s="55" t="str">
        <x:v>PASS</x:v>
      </x:c>
      <x:c r="Q151" s="55" t="str">
        <x:v>explicit_seen_upside_down|brown_cup|open</x:v>
      </x:c>
      <x:c r="R151" s="55" t="str">
        <x:v>train</x:v>
      </x:c>
      <x:c r="S151" s="55" t="str">
        <x:v>Needs t0 middle-frame review</x:v>
      </x:c>
      <x:c r="T151" s="55" t="str">
        <x:v>Omitted physical attributes: open.</x:v>
      </x:c>
      <x:c r="U151" s="57" t="n">
        <x:f>'Sampler Weights'!K158</x:f>
        <x:v>6.25</x:v>
      </x:c>
    </x:row>
    <x:row r="152">
      <x:c r="A152" s="56" t="n">
        <x:v>147</x:v>
      </x:c>
      <x:c r="B152" s="54" t="str">
        <x:v>justintiensmith/MT_State_Recognition_200:147</x:v>
      </x:c>
      <x:c r="C152" s="55" t="str">
        <x:v>Place an upside-down brown cup in the bowl.</x:v>
      </x:c>
      <x:c r="D152" s="55" t="str">
        <x:v>explicit_seen_upside_down</x:v>
      </x:c>
      <x:c r="E152" s="55" t="str">
        <x:v>upside-down</x:v>
      </x:c>
      <x:c r="F152" s="55" t="str">
        <x:v>closed</x:v>
      </x:c>
      <x:c r="G152" s="54" t="str">
        <x:v>brown_cup_a</x:v>
      </x:c>
      <x:c r="H152" s="54" t="str">
        <x:v>brown cup</x:v>
      </x:c>
      <x:c r="I152" s="54" t="str">
        <x:v>closed</x:v>
      </x:c>
      <x:c r="J152" s="54" t="str">
        <x:v>upside down</x:v>
      </x:c>
      <x:c r="K152" s="56" t="n">
        <x:v>1</x:v>
      </x:c>
      <x:c r="L152" s="55" t="str">
        <x:v>["brown_cup_a"]</x:v>
      </x:c>
      <x:c r="M152" s="55" t="str">
        <x:v>PASS</x:v>
      </x:c>
      <x:c r="N152" s="55" t="str">
        <x:v>No</x:v>
      </x:c>
      <x:c r="O152" s="55" t="str">
        <x:v>Keep the seen semantic upside-down; remove all open/closed language and all held-out wording.</x:v>
      </x:c>
      <x:c r="P152" s="55" t="str">
        <x:v>PASS</x:v>
      </x:c>
      <x:c r="Q152" s="55" t="str">
        <x:v>explicit_seen_upside_down|brown_cup|closed</x:v>
      </x:c>
      <x:c r="R152" s="55" t="str">
        <x:v>train</x:v>
      </x:c>
      <x:c r="S152" s="55" t="str">
        <x:v>Needs t0 middle-frame review</x:v>
      </x:c>
      <x:c r="T152" s="55" t="str">
        <x:v>Omitted physical attributes: closed.</x:v>
      </x:c>
      <x:c r="U152" s="57" t="n">
        <x:f>'Sampler Weights'!K159</x:f>
        <x:v>1.5625</x:v>
      </x:c>
    </x:row>
    <x:row r="153">
      <x:c r="A153" s="56" t="n">
        <x:v>148</x:v>
      </x:c>
      <x:c r="B153" s="54" t="str">
        <x:v>justintiensmith/MT_State_Recognition_200:148</x:v>
      </x:c>
      <x:c r="C153" s="55" t="str">
        <x:v>Place a brown cup in the bowl.</x:v>
      </x:c>
      <x:c r="D153" s="55" t="str">
        <x:v>generic_mask</x:v>
      </x:c>
      <x:c r="E153" s="55" t="str">
        <x:v>none</x:v>
      </x:c>
      <x:c r="F153" s="55" t="str">
        <x:v>upright</x:v>
      </x:c>
      <x:c r="G153" s="54" t="str">
        <x:v>brown_cup_a</x:v>
      </x:c>
      <x:c r="H153" s="54" t="str">
        <x:v>brown cup</x:v>
      </x:c>
      <x:c r="I153" s="54" t="str">
        <x:v>open</x:v>
      </x:c>
      <x:c r="J153" s="54" t="str">
        <x:v>upright</x:v>
      </x:c>
      <x:c r="K153" s="56" t="n">
        <x:v>1</x:v>
      </x:c>
      <x:c r="L153" s="55" t="str">
        <x:v>["brown_cup_a"]</x:v>
      </x:c>
      <x:c r="M153" s="55" t="str">
        <x:v>PASS</x:v>
      </x:c>
      <x:c r="N153" s="55" t="str">
        <x:v>No</x:v>
      </x:c>
      <x:c r="O153" s="55" t="str">
        <x:v>Remove both state and orientation language; retain only the object category.</x:v>
      </x:c>
      <x:c r="P153" s="55" t="str">
        <x:v>PASS</x:v>
      </x:c>
      <x:c r="Q153" s="55" t="str">
        <x:v>generic_mask|brown_cup|open|right_side_up</x:v>
      </x:c>
      <x:c r="R153" s="55" t="str">
        <x:v>train</x:v>
      </x:c>
      <x:c r="S153" s="55" t="str">
        <x:v>Needs t0 middle-frame review</x:v>
      </x:c>
      <x:c r="T153" s="55" t="str">
        <x:v>Omitted physical attributes: open; upright.</x:v>
      </x:c>
      <x:c r="U153" s="57" t="n">
        <x:f>'Sampler Weights'!K160</x:f>
        <x:v>0.5681818181818182</x:v>
      </x:c>
    </x:row>
    <x:row r="154">
      <x:c r="A154" s="56" t="n">
        <x:v>149</x:v>
      </x:c>
      <x:c r="B154" s="54" t="str">
        <x:v>justintiensmith/MT_State_Recognition_200:149</x:v>
      </x:c>
      <x:c r="C154" s="55" t="str">
        <x:v>Place a brown cup in the bowl.</x:v>
      </x:c>
      <x:c r="D154" s="55" t="str">
        <x:v>generic_mask</x:v>
      </x:c>
      <x:c r="E154" s="55" t="str">
        <x:v>none</x:v>
      </x:c>
      <x:c r="F154" s="55" t="str">
        <x:v>closed</x:v>
      </x:c>
      <x:c r="G154" s="54" t="str">
        <x:v>brown_cup_b</x:v>
      </x:c>
      <x:c r="H154" s="54" t="str">
        <x:v>brown cup</x:v>
      </x:c>
      <x:c r="I154" s="54" t="str">
        <x:v>closed</x:v>
      </x:c>
      <x:c r="J154" s="54" t="str">
        <x:v>upside down</x:v>
      </x:c>
      <x:c r="K154" s="56" t="n">
        <x:v>2</x:v>
      </x:c>
      <x:c r="L154" s="55" t="str">
        <x:v>["brown_cup_b","brown_cup_a"]</x:v>
      </x:c>
      <x:c r="M154" s="55" t="str">
        <x:v>PASS</x:v>
      </x:c>
      <x:c r="N154" s="55" t="str">
        <x:v>Yes</x:v>
      </x:c>
      <x:c r="O154" s="55" t="str">
        <x:v>Remove both state and orientation language; retain only the object category.</x:v>
      </x:c>
      <x:c r="P154" s="55" t="str">
        <x:v>PASS</x:v>
      </x:c>
      <x:c r="Q154" s="55" t="str">
        <x:v>generic_mask|brown_cup|closed|upside_down</x:v>
      </x:c>
      <x:c r="R154" s="55" t="str">
        <x:v>train</x:v>
      </x:c>
      <x:c r="S154" s="55" t="str">
        <x:v>Needs t0 middle-frame review</x:v>
      </x:c>
      <x:c r="T154" s="55" t="str">
        <x:v>Omitted physical attributes: closed; upside down.</x:v>
      </x:c>
      <x:c r="U154" s="57" t="n">
        <x:f>'Sampler Weights'!K161</x:f>
        <x:v>1.25</x:v>
      </x:c>
    </x:row>
    <x:row r="155">
      <x:c r="A155" s="56" t="n">
        <x:v>150</x:v>
      </x:c>
      <x:c r="B155" s="54" t="str">
        <x:v>justintiensmith/MT_State_Recognition_200:150</x:v>
      </x:c>
      <x:c r="C155" s="55" t="str">
        <x:v>Place a glass spice container in the bowl.</x:v>
      </x:c>
      <x:c r="D155" s="55" t="str">
        <x:v>generic_mask</x:v>
      </x:c>
      <x:c r="E155" s="55" t="str">
        <x:v>none</x:v>
      </x:c>
      <x:c r="F155" s="55" t="str">
        <x:v>upright</x:v>
      </x:c>
      <x:c r="G155" s="54" t="str">
        <x:v>glass_spice_container_a</x:v>
      </x:c>
      <x:c r="H155" s="54" t="str">
        <x:v>glass spice container</x:v>
      </x:c>
      <x:c r="I155" s="54" t="str">
        <x:v>open</x:v>
      </x:c>
      <x:c r="J155" s="54" t="str">
        <x:v>upright</x:v>
      </x:c>
      <x:c r="K155" s="56" t="n">
        <x:v>2</x:v>
      </x:c>
      <x:c r="L155" s="55" t="str">
        <x:v>["glass_spice_container_a","glass_spice_container_b"]</x:v>
      </x:c>
      <x:c r="M155" s="55" t="str">
        <x:v>PASS</x:v>
      </x:c>
      <x:c r="N155" s="55" t="str">
        <x:v>Yes</x:v>
      </x:c>
      <x:c r="O155" s="55" t="str">
        <x:v>Remove both state and orientation language; retain only the object category.</x:v>
      </x:c>
      <x:c r="P155" s="55" t="str">
        <x:v>PASS</x:v>
      </x:c>
      <x:c r="Q155" s="55" t="str">
        <x:v>generic_mask|glass_spice_container|open|right_side_up</x:v>
      </x:c>
      <x:c r="R155" s="55" t="str">
        <x:v>train</x:v>
      </x:c>
      <x:c r="S155" s="55" t="str">
        <x:v>Needs t0 middle-frame review</x:v>
      </x:c>
      <x:c r="T155" s="55" t="str">
        <x:v>Omitted physical attributes: open; upright.</x:v>
      </x:c>
      <x:c r="U155" s="57" t="n">
        <x:f>'Sampler Weights'!K162</x:f>
        <x:v>0.6944444444444444</x:v>
      </x:c>
    </x:row>
    <x:row r="156">
      <x:c r="A156" s="56" t="n">
        <x:v>151</x:v>
      </x:c>
      <x:c r="B156" s="54" t="str">
        <x:v>justintiensmith/MT_State_Recognition_200:151</x:v>
      </x:c>
      <x:c r="C156" s="55" t="str">
        <x:v>Place a glass spice container in the bowl.</x:v>
      </x:c>
      <x:c r="D156" s="55" t="str">
        <x:v>generic_mask</x:v>
      </x:c>
      <x:c r="E156" s="55" t="str">
        <x:v>none</x:v>
      </x:c>
      <x:c r="F156" s="55" t="str">
        <x:v>closed; upright</x:v>
      </x:c>
      <x:c r="G156" s="54" t="str">
        <x:v>glass_spice_container_a</x:v>
      </x:c>
      <x:c r="H156" s="54" t="str">
        <x:v>glass spice container</x:v>
      </x:c>
      <x:c r="I156" s="54" t="str">
        <x:v>closed</x:v>
      </x:c>
      <x:c r="J156" s="54" t="str">
        <x:v>upright</x:v>
      </x:c>
      <x:c r="K156" s="56" t="n">
        <x:v>2</x:v>
      </x:c>
      <x:c r="L156" s="55" t="str">
        <x:v>["glass_spice_container_a","glass_spice_container_b"]</x:v>
      </x:c>
      <x:c r="M156" s="55" t="str">
        <x:v>PASS</x:v>
      </x:c>
      <x:c r="N156" s="55" t="str">
        <x:v>Yes</x:v>
      </x:c>
      <x:c r="O156" s="55" t="str">
        <x:v>Remove both state and orientation language; retain only the object category.</x:v>
      </x:c>
      <x:c r="P156" s="55" t="str">
        <x:v>PASS</x:v>
      </x:c>
      <x:c r="Q156" s="55" t="str">
        <x:v>generic_mask|glass_spice_container|closed|right_side_up</x:v>
      </x:c>
      <x:c r="R156" s="55" t="str">
        <x:v>train</x:v>
      </x:c>
      <x:c r="S156" s="55" t="str">
        <x:v>Needs t0 middle-frame review</x:v>
      </x:c>
      <x:c r="T156" s="55" t="str">
        <x:v>Omitted physical attributes: closed; upright.</x:v>
      </x:c>
      <x:c r="U156" s="57" t="n">
        <x:f>'Sampler Weights'!K163</x:f>
        <x:v>0.3125</x:v>
      </x:c>
    </x:row>
    <x:row r="157">
      <x:c r="A157" s="56" t="n">
        <x:v>152</x:v>
      </x:c>
      <x:c r="B157" s="54" t="str">
        <x:v>justintiensmith/MT_State_Recognition_200:152</x:v>
      </x:c>
      <x:c r="C157" s="55" t="str">
        <x:v>Place a glass spice container in the bowl.</x:v>
      </x:c>
      <x:c r="D157" s="55" t="str">
        <x:v>generic_mask</x:v>
      </x:c>
      <x:c r="E157" s="55" t="str">
        <x:v>none</x:v>
      </x:c>
      <x:c r="F157" s="55" t="str">
        <x:v>closed; upright</x:v>
      </x:c>
      <x:c r="G157" s="54" t="str">
        <x:v>glass_spice_container_b</x:v>
      </x:c>
      <x:c r="H157" s="54" t="str">
        <x:v>glass spice container</x:v>
      </x:c>
      <x:c r="I157" s="54" t="str">
        <x:v>closed</x:v>
      </x:c>
      <x:c r="J157" s="54" t="str">
        <x:v>upright</x:v>
      </x:c>
      <x:c r="K157" s="56" t="n">
        <x:v>2</x:v>
      </x:c>
      <x:c r="L157" s="55" t="str">
        <x:v>["glass_spice_container_b","glass_spice_container_a"]</x:v>
      </x:c>
      <x:c r="M157" s="55" t="str">
        <x:v>PASS</x:v>
      </x:c>
      <x:c r="N157" s="55" t="str">
        <x:v>Yes</x:v>
      </x:c>
      <x:c r="O157" s="55" t="str">
        <x:v>Remove both state and orientation language; retain only the object category.</x:v>
      </x:c>
      <x:c r="P157" s="55" t="str">
        <x:v>PASS</x:v>
      </x:c>
      <x:c r="Q157" s="55" t="str">
        <x:v>generic_mask|glass_spice_container|closed|right_side_up</x:v>
      </x:c>
      <x:c r="R157" s="55" t="str">
        <x:v>train</x:v>
      </x:c>
      <x:c r="S157" s="55" t="str">
        <x:v>Needs t0 middle-frame review</x:v>
      </x:c>
      <x:c r="T157" s="55" t="str">
        <x:v>Omitted physical attributes: closed; upright.</x:v>
      </x:c>
      <x:c r="U157" s="57" t="n">
        <x:f>'Sampler Weights'!K164</x:f>
        <x:v>0.3125</x:v>
      </x:c>
    </x:row>
    <x:row r="158">
      <x:c r="A158" s="56" t="n">
        <x:v>153</x:v>
      </x:c>
      <x:c r="B158" s="54" t="str">
        <x:v>justintiensmith/MT_State_Recognition_200:153</x:v>
      </x:c>
      <x:c r="C158" s="55" t="str">
        <x:v>Place an open glass spice container in the bowl.</x:v>
      </x:c>
      <x:c r="D158" s="55" t="str">
        <x:v>explicit_seen_open</x:v>
      </x:c>
      <x:c r="E158" s="55" t="str">
        <x:v>open</x:v>
      </x:c>
      <x:c r="F158" s="55" t="str">
        <x:v>upright</x:v>
      </x:c>
      <x:c r="G158" s="54" t="str">
        <x:v>glass_spice_container_b</x:v>
      </x:c>
      <x:c r="H158" s="54" t="str">
        <x:v>glass spice container</x:v>
      </x:c>
      <x:c r="I158" s="54" t="str">
        <x:v>open</x:v>
      </x:c>
      <x:c r="J158" s="54" t="str">
        <x:v>upright</x:v>
      </x:c>
      <x:c r="K158" s="56" t="n">
        <x:v>1</x:v>
      </x:c>
      <x:c r="L158" s="55" t="str">
        <x:v>["glass_spice_container_b"]</x:v>
      </x:c>
      <x:c r="M158" s="55" t="str">
        <x:v>PASS</x:v>
      </x:c>
      <x:c r="N158" s="55" t="str">
        <x:v>No</x:v>
      </x:c>
      <x:c r="O158" s="55" t="str">
        <x:v>Keep the seen semantic open; remove all orientation language and all held-out wording.</x:v>
      </x:c>
      <x:c r="P158" s="55" t="str">
        <x:v>PASS</x:v>
      </x:c>
      <x:c r="Q158" s="55" t="str">
        <x:v>explicit_seen_open|glass_spice_container|right_side_up</x:v>
      </x:c>
      <x:c r="R158" s="55" t="str">
        <x:v>train</x:v>
      </x:c>
      <x:c r="S158" s="55" t="str">
        <x:v>Needs t0 middle-frame review</x:v>
      </x:c>
      <x:c r="T158" s="55" t="str">
        <x:v>Omitted physical attributes: upright.</x:v>
      </x:c>
      <x:c r="U158" s="57" t="n">
        <x:f>'Sampler Weights'!K165</x:f>
        <x:v>0.6944444444444444</x:v>
      </x:c>
    </x:row>
    <x:row r="159">
      <x:c r="A159" s="56" t="n">
        <x:v>154</x:v>
      </x:c>
      <x:c r="B159" s="54" t="str">
        <x:v>justintiensmith/MT_State_Recognition_200:154</x:v>
      </x:c>
      <x:c r="C159" s="55" t="str">
        <x:v>Place a glass spice container in the bowl.</x:v>
      </x:c>
      <x:c r="D159" s="55" t="str">
        <x:v>generic_mask</x:v>
      </x:c>
      <x:c r="E159" s="55" t="str">
        <x:v>none</x:v>
      </x:c>
      <x:c r="F159" s="55" t="str">
        <x:v>upright</x:v>
      </x:c>
      <x:c r="G159" s="54" t="str">
        <x:v>glass_spice_container_a</x:v>
      </x:c>
      <x:c r="H159" s="54" t="str">
        <x:v>glass spice container</x:v>
      </x:c>
      <x:c r="I159" s="54" t="str">
        <x:v>open</x:v>
      </x:c>
      <x:c r="J159" s="54" t="str">
        <x:v>upright</x:v>
      </x:c>
      <x:c r="K159" s="56" t="n">
        <x:v>2</x:v>
      </x:c>
      <x:c r="L159" s="55" t="str">
        <x:v>["glass_spice_container_a","glass_spice_container_b"]</x:v>
      </x:c>
      <x:c r="M159" s="55" t="str">
        <x:v>PASS</x:v>
      </x:c>
      <x:c r="N159" s="55" t="str">
        <x:v>Yes</x:v>
      </x:c>
      <x:c r="O159" s="55" t="str">
        <x:v>Remove both state and orientation language; retain only the object category.</x:v>
      </x:c>
      <x:c r="P159" s="55" t="str">
        <x:v>PASS</x:v>
      </x:c>
      <x:c r="Q159" s="55" t="str">
        <x:v>generic_mask|glass_spice_container|open|right_side_up</x:v>
      </x:c>
      <x:c r="R159" s="55" t="str">
        <x:v>train</x:v>
      </x:c>
      <x:c r="S159" s="55" t="str">
        <x:v>Needs t0 middle-frame review</x:v>
      </x:c>
      <x:c r="T159" s="55" t="str">
        <x:v>Omitted physical attributes: open; upright.</x:v>
      </x:c>
      <x:c r="U159" s="57" t="n">
        <x:f>'Sampler Weights'!K166</x:f>
        <x:v>0.6944444444444444</x:v>
      </x:c>
    </x:row>
    <x:row r="160">
      <x:c r="A160" s="56" t="n">
        <x:v>155</x:v>
      </x:c>
      <x:c r="B160" s="54" t="str">
        <x:v>justintiensmith/MT_State_Recognition_200:155</x:v>
      </x:c>
      <x:c r="C160" s="55" t="str">
        <x:v>Place a glass spice container in the bowl.</x:v>
      </x:c>
      <x:c r="D160" s="55" t="str">
        <x:v>generic_mask</x:v>
      </x:c>
      <x:c r="E160" s="55" t="str">
        <x:v>none</x:v>
      </x:c>
      <x:c r="F160" s="55" t="str">
        <x:v>closed; upright</x:v>
      </x:c>
      <x:c r="G160" s="54" t="str">
        <x:v>glass_spice_container_a</x:v>
      </x:c>
      <x:c r="H160" s="54" t="str">
        <x:v>glass spice container</x:v>
      </x:c>
      <x:c r="I160" s="54" t="str">
        <x:v>closed</x:v>
      </x:c>
      <x:c r="J160" s="54" t="str">
        <x:v>upright</x:v>
      </x:c>
      <x:c r="K160" s="56" t="n">
        <x:v>2</x:v>
      </x:c>
      <x:c r="L160" s="55" t="str">
        <x:v>["glass_spice_container_a","glass_spice_container_b"]</x:v>
      </x:c>
      <x:c r="M160" s="55" t="str">
        <x:v>PASS</x:v>
      </x:c>
      <x:c r="N160" s="55" t="str">
        <x:v>Yes</x:v>
      </x:c>
      <x:c r="O160" s="55" t="str">
        <x:v>Remove both state and orientation language; retain only the object category.</x:v>
      </x:c>
      <x:c r="P160" s="55" t="str">
        <x:v>PASS</x:v>
      </x:c>
      <x:c r="Q160" s="55" t="str">
        <x:v>generic_mask|glass_spice_container|closed|right_side_up</x:v>
      </x:c>
      <x:c r="R160" s="55" t="str">
        <x:v>train</x:v>
      </x:c>
      <x:c r="S160" s="55" t="str">
        <x:v>Needs t0 middle-frame review</x:v>
      </x:c>
      <x:c r="T160" s="55" t="str">
        <x:v>Omitted physical attributes: closed; upright.</x:v>
      </x:c>
      <x:c r="U160" s="57" t="n">
        <x:f>'Sampler Weights'!K167</x:f>
        <x:v>0.3125</x:v>
      </x:c>
    </x:row>
    <x:row r="161">
      <x:c r="A161" s="56" t="n">
        <x:v>156</x:v>
      </x:c>
      <x:c r="B161" s="54" t="str">
        <x:v>justintiensmith/MT_State_Recognition_200:156</x:v>
      </x:c>
      <x:c r="C161" s="55" t="str">
        <x:v>Place an open glass spice container in the bowl.</x:v>
      </x:c>
      <x:c r="D161" s="55" t="str">
        <x:v>explicit_seen_open</x:v>
      </x:c>
      <x:c r="E161" s="55" t="str">
        <x:v>open</x:v>
      </x:c>
      <x:c r="F161" s="55" t="str">
        <x:v>upright</x:v>
      </x:c>
      <x:c r="G161" s="54" t="str">
        <x:v>glass_spice_container_b</x:v>
      </x:c>
      <x:c r="H161" s="54" t="str">
        <x:v>glass spice container</x:v>
      </x:c>
      <x:c r="I161" s="54" t="str">
        <x:v>open</x:v>
      </x:c>
      <x:c r="J161" s="54" t="str">
        <x:v>upright</x:v>
      </x:c>
      <x:c r="K161" s="56" t="n">
        <x:v>1</x:v>
      </x:c>
      <x:c r="L161" s="55" t="str">
        <x:v>["glass_spice_container_b"]</x:v>
      </x:c>
      <x:c r="M161" s="55" t="str">
        <x:v>PASS</x:v>
      </x:c>
      <x:c r="N161" s="55" t="str">
        <x:v>No</x:v>
      </x:c>
      <x:c r="O161" s="55" t="str">
        <x:v>Keep the seen semantic open; remove all orientation language and all held-out wording.</x:v>
      </x:c>
      <x:c r="P161" s="55" t="str">
        <x:v>PASS</x:v>
      </x:c>
      <x:c r="Q161" s="55" t="str">
        <x:v>explicit_seen_open|glass_spice_container|right_side_up</x:v>
      </x:c>
      <x:c r="R161" s="55" t="str">
        <x:v>train</x:v>
      </x:c>
      <x:c r="S161" s="55" t="str">
        <x:v>Needs t0 middle-frame review</x:v>
      </x:c>
      <x:c r="T161" s="55" t="str">
        <x:v>Omitted physical attributes: upright.</x:v>
      </x:c>
      <x:c r="U161" s="57" t="n">
        <x:f>'Sampler Weights'!K168</x:f>
        <x:v>0.6944444444444444</x:v>
      </x:c>
    </x:row>
    <x:row r="162">
      <x:c r="A162" s="56" t="n">
        <x:v>157</x:v>
      </x:c>
      <x:c r="B162" s="54" t="str">
        <x:v>justintiensmith/MT_State_Recognition_200:157</x:v>
      </x:c>
      <x:c r="C162" s="55" t="str">
        <x:v>Place a glass spice container in the bowl.</x:v>
      </x:c>
      <x:c r="D162" s="55" t="str">
        <x:v>generic_mask</x:v>
      </x:c>
      <x:c r="E162" s="55" t="str">
        <x:v>none</x:v>
      </x:c>
      <x:c r="F162" s="55" t="str">
        <x:v>upright</x:v>
      </x:c>
      <x:c r="G162" s="54" t="str">
        <x:v>glass_spice_container_b</x:v>
      </x:c>
      <x:c r="H162" s="54" t="str">
        <x:v>glass spice container</x:v>
      </x:c>
      <x:c r="I162" s="54" t="str">
        <x:v>open</x:v>
      </x:c>
      <x:c r="J162" s="54" t="str">
        <x:v>upright</x:v>
      </x:c>
      <x:c r="K162" s="56" t="n">
        <x:v>1</x:v>
      </x:c>
      <x:c r="L162" s="55" t="str">
        <x:v>["glass_spice_container_b"]</x:v>
      </x:c>
      <x:c r="M162" s="55" t="str">
        <x:v>PASS</x:v>
      </x:c>
      <x:c r="N162" s="55" t="str">
        <x:v>No</x:v>
      </x:c>
      <x:c r="O162" s="55" t="str">
        <x:v>Remove both state and orientation language; retain only the object category.</x:v>
      </x:c>
      <x:c r="P162" s="55" t="str">
        <x:v>PASS</x:v>
      </x:c>
      <x:c r="Q162" s="55" t="str">
        <x:v>generic_mask|glass_spice_container|open|right_side_up</x:v>
      </x:c>
      <x:c r="R162" s="55" t="str">
        <x:v>train</x:v>
      </x:c>
      <x:c r="S162" s="55" t="str">
        <x:v>Needs t0 middle-frame review</x:v>
      </x:c>
      <x:c r="T162" s="55" t="str">
        <x:v>Omitted physical attributes: open; upright.</x:v>
      </x:c>
      <x:c r="U162" s="57" t="n">
        <x:f>'Sampler Weights'!K169</x:f>
        <x:v>0.6944444444444444</x:v>
      </x:c>
    </x:row>
    <x:row r="163">
      <x:c r="A163" s="56" t="n">
        <x:v>158</x:v>
      </x:c>
      <x:c r="B163" s="54" t="str">
        <x:v>justintiensmith/MT_State_Recognition_200:158</x:v>
      </x:c>
      <x:c r="C163" s="55" t="str">
        <x:v>Place a glass spice container in the bowl.</x:v>
      </x:c>
      <x:c r="D163" s="55" t="str">
        <x:v>generic_mask</x:v>
      </x:c>
      <x:c r="E163" s="55" t="str">
        <x:v>none</x:v>
      </x:c>
      <x:c r="F163" s="55" t="str">
        <x:v>closed; upright</x:v>
      </x:c>
      <x:c r="G163" s="54" t="str">
        <x:v>glass_spice_container_b</x:v>
      </x:c>
      <x:c r="H163" s="54" t="str">
        <x:v>glass spice container</x:v>
      </x:c>
      <x:c r="I163" s="54" t="str">
        <x:v>closed</x:v>
      </x:c>
      <x:c r="J163" s="54" t="str">
        <x:v>upright</x:v>
      </x:c>
      <x:c r="K163" s="56" t="n">
        <x:v>2</x:v>
      </x:c>
      <x:c r="L163" s="55" t="str">
        <x:v>["glass_spice_container_b","glass_spice_container_a"]</x:v>
      </x:c>
      <x:c r="M163" s="55" t="str">
        <x:v>PASS</x:v>
      </x:c>
      <x:c r="N163" s="55" t="str">
        <x:v>Yes</x:v>
      </x:c>
      <x:c r="O163" s="55" t="str">
        <x:v>Remove both state and orientation language; retain only the object category.</x:v>
      </x:c>
      <x:c r="P163" s="55" t="str">
        <x:v>PASS</x:v>
      </x:c>
      <x:c r="Q163" s="55" t="str">
        <x:v>generic_mask|glass_spice_container|closed|right_side_up</x:v>
      </x:c>
      <x:c r="R163" s="55" t="str">
        <x:v>train</x:v>
      </x:c>
      <x:c r="S163" s="55" t="str">
        <x:v>Needs t0 middle-frame review</x:v>
      </x:c>
      <x:c r="T163" s="55" t="str">
        <x:v>Omitted physical attributes: closed; upright.</x:v>
      </x:c>
      <x:c r="U163" s="57" t="n">
        <x:f>'Sampler Weights'!K170</x:f>
        <x:v>0.3125</x:v>
      </x:c>
    </x:row>
    <x:row r="164">
      <x:c r="A164" s="56" t="n">
        <x:v>159</x:v>
      </x:c>
      <x:c r="B164" s="54" t="str">
        <x:v>justintiensmith/MT_State_Recognition_200:159</x:v>
      </x:c>
      <x:c r="C164" s="55" t="str">
        <x:v>Place a glass spice container in the bowl.</x:v>
      </x:c>
      <x:c r="D164" s="55" t="str">
        <x:v>generic_mask</x:v>
      </x:c>
      <x:c r="E164" s="55" t="str">
        <x:v>none</x:v>
      </x:c>
      <x:c r="F164" s="55" t="str">
        <x:v>closed; upright</x:v>
      </x:c>
      <x:c r="G164" s="54" t="str">
        <x:v>glass_spice_container_a</x:v>
      </x:c>
      <x:c r="H164" s="54" t="str">
        <x:v>glass spice container</x:v>
      </x:c>
      <x:c r="I164" s="54" t="str">
        <x:v>closed</x:v>
      </x:c>
      <x:c r="J164" s="54" t="str">
        <x:v>upright</x:v>
      </x:c>
      <x:c r="K164" s="56" t="n">
        <x:v>2</x:v>
      </x:c>
      <x:c r="L164" s="55" t="str">
        <x:v>["glass_spice_container_a","glass_spice_container_b"]</x:v>
      </x:c>
      <x:c r="M164" s="55" t="str">
        <x:v>PASS</x:v>
      </x:c>
      <x:c r="N164" s="55" t="str">
        <x:v>Yes</x:v>
      </x:c>
      <x:c r="O164" s="55" t="str">
        <x:v>Remove both state and orientation language; retain only the object category.</x:v>
      </x:c>
      <x:c r="P164" s="55" t="str">
        <x:v>PASS</x:v>
      </x:c>
      <x:c r="Q164" s="55" t="str">
        <x:v>generic_mask|glass_spice_container|closed|right_side_up</x:v>
      </x:c>
      <x:c r="R164" s="55" t="str">
        <x:v>train</x:v>
      </x:c>
      <x:c r="S164" s="55" t="str">
        <x:v>Needs t0 middle-frame review</x:v>
      </x:c>
      <x:c r="T164" s="55" t="str">
        <x:v>Omitted physical attributes: closed; upright.</x:v>
      </x:c>
      <x:c r="U164" s="57" t="n">
        <x:f>'Sampler Weights'!K171</x:f>
        <x:v>0.3125</x:v>
      </x:c>
    </x:row>
    <x:row r="165">
      <x:c r="A165" s="56" t="n">
        <x:v>160</x:v>
      </x:c>
      <x:c r="B165" s="54" t="str">
        <x:v>justintiensmith/MT_State_Recognition_200:160</x:v>
      </x:c>
      <x:c r="C165" s="55" t="str">
        <x:v>Place an open glass spice container in the bowl.</x:v>
      </x:c>
      <x:c r="D165" s="55" t="str">
        <x:v>explicit_seen_open</x:v>
      </x:c>
      <x:c r="E165" s="55" t="str">
        <x:v>open</x:v>
      </x:c>
      <x:c r="F165" s="55" t="str">
        <x:v>upright</x:v>
      </x:c>
      <x:c r="G165" s="54" t="str">
        <x:v>glass_spice_container_b</x:v>
      </x:c>
      <x:c r="H165" s="54" t="str">
        <x:v>glass spice container</x:v>
      </x:c>
      <x:c r="I165" s="54" t="str">
        <x:v>open</x:v>
      </x:c>
      <x:c r="J165" s="54" t="str">
        <x:v>upright</x:v>
      </x:c>
      <x:c r="K165" s="56" t="n">
        <x:v>1</x:v>
      </x:c>
      <x:c r="L165" s="55" t="str">
        <x:v>["glass_spice_container_b"]</x:v>
      </x:c>
      <x:c r="M165" s="55" t="str">
        <x:v>PASS</x:v>
      </x:c>
      <x:c r="N165" s="55" t="str">
        <x:v>No</x:v>
      </x:c>
      <x:c r="O165" s="55" t="str">
        <x:v>Keep the seen semantic open; remove all orientation language and all held-out wording.</x:v>
      </x:c>
      <x:c r="P165" s="55" t="str">
        <x:v>PASS</x:v>
      </x:c>
      <x:c r="Q165" s="55" t="str">
        <x:v>explicit_seen_open|glass_spice_container|right_side_up</x:v>
      </x:c>
      <x:c r="R165" s="55" t="str">
        <x:v>train</x:v>
      </x:c>
      <x:c r="S165" s="55" t="str">
        <x:v>Needs t0 middle-frame review</x:v>
      </x:c>
      <x:c r="T165" s="55" t="str">
        <x:v>Omitted physical attributes: upright.</x:v>
      </x:c>
      <x:c r="U165" s="57" t="n">
        <x:f>'Sampler Weights'!K172</x:f>
        <x:v>0.6944444444444444</x:v>
      </x:c>
    </x:row>
    <x:row r="166">
      <x:c r="A166" s="56" t="n">
        <x:v>161</x:v>
      </x:c>
      <x:c r="B166" s="54" t="str">
        <x:v>justintiensmith/MT_State_Recognition_200:161</x:v>
      </x:c>
      <x:c r="C166" s="55" t="str">
        <x:v>Place a glass spice container in the bowl.</x:v>
      </x:c>
      <x:c r="D166" s="55" t="str">
        <x:v>generic_mask</x:v>
      </x:c>
      <x:c r="E166" s="55" t="str">
        <x:v>none</x:v>
      </x:c>
      <x:c r="F166" s="55" t="str">
        <x:v>closed; upright</x:v>
      </x:c>
      <x:c r="G166" s="54" t="str">
        <x:v>glass_spice_container_a</x:v>
      </x:c>
      <x:c r="H166" s="54" t="str">
        <x:v>glass spice container</x:v>
      </x:c>
      <x:c r="I166" s="54" t="str">
        <x:v>closed</x:v>
      </x:c>
      <x:c r="J166" s="54" t="str">
        <x:v>upright</x:v>
      </x:c>
      <x:c r="K166" s="56" t="n">
        <x:v>1</x:v>
      </x:c>
      <x:c r="L166" s="55" t="str">
        <x:v>["glass_spice_container_a"]</x:v>
      </x:c>
      <x:c r="M166" s="55" t="str">
        <x:v>PASS</x:v>
      </x:c>
      <x:c r="N166" s="55" t="str">
        <x:v>No</x:v>
      </x:c>
      <x:c r="O166" s="55" t="str">
        <x:v>Remove both state and orientation language; retain only the object category.</x:v>
      </x:c>
      <x:c r="P166" s="55" t="str">
        <x:v>PASS</x:v>
      </x:c>
      <x:c r="Q166" s="55" t="str">
        <x:v>generic_mask|glass_spice_container|closed|right_side_up</x:v>
      </x:c>
      <x:c r="R166" s="55" t="str">
        <x:v>train</x:v>
      </x:c>
      <x:c r="S166" s="55" t="str">
        <x:v>Needs t0 middle-frame review</x:v>
      </x:c>
      <x:c r="T166" s="55" t="str">
        <x:v>Omitted physical attributes: closed; upright.</x:v>
      </x:c>
      <x:c r="U166" s="57" t="n">
        <x:f>'Sampler Weights'!K173</x:f>
        <x:v>0.3125</x:v>
      </x:c>
    </x:row>
    <x:row r="167">
      <x:c r="A167" s="56" t="n">
        <x:v>162</x:v>
      </x:c>
      <x:c r="B167" s="54" t="str">
        <x:v>justintiensmith/MT_State_Recognition_200:162</x:v>
      </x:c>
      <x:c r="C167" s="55" t="str">
        <x:v>Place a glass spice container in the bowl.</x:v>
      </x:c>
      <x:c r="D167" s="55" t="str">
        <x:v>generic_mask</x:v>
      </x:c>
      <x:c r="E167" s="55" t="str">
        <x:v>none</x:v>
      </x:c>
      <x:c r="F167" s="55" t="str">
        <x:v>upright</x:v>
      </x:c>
      <x:c r="G167" s="54" t="str">
        <x:v>glass_spice_container_b</x:v>
      </x:c>
      <x:c r="H167" s="54" t="str">
        <x:v>glass spice container</x:v>
      </x:c>
      <x:c r="I167" s="54" t="str">
        <x:v>open</x:v>
      </x:c>
      <x:c r="J167" s="54" t="str">
        <x:v>upright</x:v>
      </x:c>
      <x:c r="K167" s="56" t="n">
        <x:v>2</x:v>
      </x:c>
      <x:c r="L167" s="55" t="str">
        <x:v>["glass_spice_container_b","glass_spice_container_a"]</x:v>
      </x:c>
      <x:c r="M167" s="55" t="str">
        <x:v>PASS</x:v>
      </x:c>
      <x:c r="N167" s="55" t="str">
        <x:v>Yes</x:v>
      </x:c>
      <x:c r="O167" s="55" t="str">
        <x:v>Remove both state and orientation language; retain only the object category.</x:v>
      </x:c>
      <x:c r="P167" s="55" t="str">
        <x:v>PASS</x:v>
      </x:c>
      <x:c r="Q167" s="55" t="str">
        <x:v>generic_mask|glass_spice_container|open|right_side_up</x:v>
      </x:c>
      <x:c r="R167" s="55" t="str">
        <x:v>train</x:v>
      </x:c>
      <x:c r="S167" s="55" t="str">
        <x:v>Needs t0 middle-frame review</x:v>
      </x:c>
      <x:c r="T167" s="55" t="str">
        <x:v>Omitted physical attributes: open; upright.</x:v>
      </x:c>
      <x:c r="U167" s="57" t="n">
        <x:f>'Sampler Weights'!K174</x:f>
        <x:v>0.6944444444444444</x:v>
      </x:c>
    </x:row>
    <x:row r="168">
      <x:c r="A168" s="56" t="n">
        <x:v>163</x:v>
      </x:c>
      <x:c r="B168" s="54" t="str">
        <x:v>justintiensmith/MT_State_Recognition_200:163</x:v>
      </x:c>
      <x:c r="C168" s="55" t="str">
        <x:v>Place a glass spice container in the bowl.</x:v>
      </x:c>
      <x:c r="D168" s="55" t="str">
        <x:v>generic_mask</x:v>
      </x:c>
      <x:c r="E168" s="55" t="str">
        <x:v>none</x:v>
      </x:c>
      <x:c r="F168" s="55" t="str">
        <x:v>closed; upright</x:v>
      </x:c>
      <x:c r="G168" s="54" t="str">
        <x:v>glass_spice_container_a</x:v>
      </x:c>
      <x:c r="H168" s="54" t="str">
        <x:v>glass spice container</x:v>
      </x:c>
      <x:c r="I168" s="54" t="str">
        <x:v>closed</x:v>
      </x:c>
      <x:c r="J168" s="54" t="str">
        <x:v>upright</x:v>
      </x:c>
      <x:c r="K168" s="56" t="n">
        <x:v>2</x:v>
      </x:c>
      <x:c r="L168" s="55" t="str">
        <x:v>["glass_spice_container_a","glass_spice_container_b"]</x:v>
      </x:c>
      <x:c r="M168" s="55" t="str">
        <x:v>PASS</x:v>
      </x:c>
      <x:c r="N168" s="55" t="str">
        <x:v>Yes</x:v>
      </x:c>
      <x:c r="O168" s="55" t="str">
        <x:v>Remove both state and orientation language; retain only the object category.</x:v>
      </x:c>
      <x:c r="P168" s="55" t="str">
        <x:v>PASS</x:v>
      </x:c>
      <x:c r="Q168" s="55" t="str">
        <x:v>generic_mask|glass_spice_container|closed|right_side_up</x:v>
      </x:c>
      <x:c r="R168" s="55" t="str">
        <x:v>train</x:v>
      </x:c>
      <x:c r="S168" s="55" t="str">
        <x:v>Needs t0 middle-frame review</x:v>
      </x:c>
      <x:c r="T168" s="55" t="str">
        <x:v>Omitted physical attributes: closed; upright.</x:v>
      </x:c>
      <x:c r="U168" s="57" t="n">
        <x:f>'Sampler Weights'!K175</x:f>
        <x:v>0.3125</x:v>
      </x:c>
    </x:row>
    <x:row r="169">
      <x:c r="A169" s="56" t="n">
        <x:v>164</x:v>
      </x:c>
      <x:c r="B169" s="54" t="str">
        <x:v>justintiensmith/MT_State_Recognition_200:164</x:v>
      </x:c>
      <x:c r="C169" s="55" t="str">
        <x:v>Place an open glass spice container in the bowl.</x:v>
      </x:c>
      <x:c r="D169" s="55" t="str">
        <x:v>explicit_seen_open</x:v>
      </x:c>
      <x:c r="E169" s="55" t="str">
        <x:v>open</x:v>
      </x:c>
      <x:c r="F169" s="55" t="str">
        <x:v>upright</x:v>
      </x:c>
      <x:c r="G169" s="54" t="str">
        <x:v>glass_spice_container_a</x:v>
      </x:c>
      <x:c r="H169" s="54" t="str">
        <x:v>glass spice container</x:v>
      </x:c>
      <x:c r="I169" s="54" t="str">
        <x:v>open</x:v>
      </x:c>
      <x:c r="J169" s="54" t="str">
        <x:v>upright</x:v>
      </x:c>
      <x:c r="K169" s="56" t="n">
        <x:v>1</x:v>
      </x:c>
      <x:c r="L169" s="55" t="str">
        <x:v>["glass_spice_container_a"]</x:v>
      </x:c>
      <x:c r="M169" s="55" t="str">
        <x:v>PASS</x:v>
      </x:c>
      <x:c r="N169" s="55" t="str">
        <x:v>No</x:v>
      </x:c>
      <x:c r="O169" s="55" t="str">
        <x:v>Keep the seen semantic open; remove all orientation language and all held-out wording.</x:v>
      </x:c>
      <x:c r="P169" s="55" t="str">
        <x:v>PASS</x:v>
      </x:c>
      <x:c r="Q169" s="55" t="str">
        <x:v>explicit_seen_open|glass_spice_container|right_side_up</x:v>
      </x:c>
      <x:c r="R169" s="55" t="str">
        <x:v>train</x:v>
      </x:c>
      <x:c r="S169" s="55" t="str">
        <x:v>Needs t0 middle-frame review</x:v>
      </x:c>
      <x:c r="T169" s="55" t="str">
        <x:v>Omitted physical attributes: upright.</x:v>
      </x:c>
      <x:c r="U169" s="57" t="n">
        <x:f>'Sampler Weights'!K176</x:f>
        <x:v>0.6944444444444444</x:v>
      </x:c>
    </x:row>
    <x:row r="170">
      <x:c r="A170" s="56" t="n">
        <x:v>165</x:v>
      </x:c>
      <x:c r="B170" s="54" t="str">
        <x:v>justintiensmith/MT_State_Recognition_200:165</x:v>
      </x:c>
      <x:c r="C170" s="55" t="str">
        <x:v>Place a glass spice container in the bowl.</x:v>
      </x:c>
      <x:c r="D170" s="55" t="str">
        <x:v>generic_mask</x:v>
      </x:c>
      <x:c r="E170" s="55" t="str">
        <x:v>none</x:v>
      </x:c>
      <x:c r="F170" s="55" t="str">
        <x:v>upright</x:v>
      </x:c>
      <x:c r="G170" s="54" t="str">
        <x:v>glass_spice_container_b</x:v>
      </x:c>
      <x:c r="H170" s="54" t="str">
        <x:v>glass spice container</x:v>
      </x:c>
      <x:c r="I170" s="54" t="str">
        <x:v>open</x:v>
      </x:c>
      <x:c r="J170" s="54" t="str">
        <x:v>upright</x:v>
      </x:c>
      <x:c r="K170" s="56" t="n">
        <x:v>2</x:v>
      </x:c>
      <x:c r="L170" s="55" t="str">
        <x:v>["glass_spice_container_b","glass_spice_container_a"]</x:v>
      </x:c>
      <x:c r="M170" s="55" t="str">
        <x:v>PASS</x:v>
      </x:c>
      <x:c r="N170" s="55" t="str">
        <x:v>Yes</x:v>
      </x:c>
      <x:c r="O170" s="55" t="str">
        <x:v>Remove both state and orientation language; retain only the object category.</x:v>
      </x:c>
      <x:c r="P170" s="55" t="str">
        <x:v>PASS</x:v>
      </x:c>
      <x:c r="Q170" s="55" t="str">
        <x:v>generic_mask|glass_spice_container|open|right_side_up</x:v>
      </x:c>
      <x:c r="R170" s="55" t="str">
        <x:v>train</x:v>
      </x:c>
      <x:c r="S170" s="55" t="str">
        <x:v>Needs t0 middle-frame review</x:v>
      </x:c>
      <x:c r="T170" s="55" t="str">
        <x:v>Omitted physical attributes: open; upright.</x:v>
      </x:c>
      <x:c r="U170" s="57" t="n">
        <x:f>'Sampler Weights'!K177</x:f>
        <x:v>0.6944444444444444</x:v>
      </x:c>
    </x:row>
    <x:row r="171">
      <x:c r="A171" s="56" t="n">
        <x:v>166</x:v>
      </x:c>
      <x:c r="B171" s="54" t="str">
        <x:v>justintiensmith/MT_State_Recognition_200:166</x:v>
      </x:c>
      <x:c r="C171" s="55" t="str">
        <x:v>Place a glass spice container in the bowl.</x:v>
      </x:c>
      <x:c r="D171" s="55" t="str">
        <x:v>generic_mask</x:v>
      </x:c>
      <x:c r="E171" s="55" t="str">
        <x:v>none</x:v>
      </x:c>
      <x:c r="F171" s="55" t="str">
        <x:v>closed; upright</x:v>
      </x:c>
      <x:c r="G171" s="54" t="str">
        <x:v>glass_spice_container_a</x:v>
      </x:c>
      <x:c r="H171" s="54" t="str">
        <x:v>glass spice container</x:v>
      </x:c>
      <x:c r="I171" s="54" t="str">
        <x:v>closed</x:v>
      </x:c>
      <x:c r="J171" s="54" t="str">
        <x:v>upright</x:v>
      </x:c>
      <x:c r="K171" s="56" t="n">
        <x:v>1</x:v>
      </x:c>
      <x:c r="L171" s="55" t="str">
        <x:v>["glass_spice_container_a"]</x:v>
      </x:c>
      <x:c r="M171" s="55" t="str">
        <x:v>PASS</x:v>
      </x:c>
      <x:c r="N171" s="55" t="str">
        <x:v>No</x:v>
      </x:c>
      <x:c r="O171" s="55" t="str">
        <x:v>Remove both state and orientation language; retain only the object category.</x:v>
      </x:c>
      <x:c r="P171" s="55" t="str">
        <x:v>PASS</x:v>
      </x:c>
      <x:c r="Q171" s="55" t="str">
        <x:v>generic_mask|glass_spice_container|closed|right_side_up</x:v>
      </x:c>
      <x:c r="R171" s="55" t="str">
        <x:v>train</x:v>
      </x:c>
      <x:c r="S171" s="55" t="str">
        <x:v>Needs t0 middle-frame review</x:v>
      </x:c>
      <x:c r="T171" s="55" t="str">
        <x:v>Omitted physical attributes: closed; upright.</x:v>
      </x:c>
      <x:c r="U171" s="57" t="n">
        <x:f>'Sampler Weights'!K178</x:f>
        <x:v>0.3125</x:v>
      </x:c>
    </x:row>
    <x:row r="172">
      <x:c r="A172" s="56" t="n">
        <x:v>167</x:v>
      </x:c>
      <x:c r="B172" s="54" t="str">
        <x:v>justintiensmith/MT_State_Recognition_200:167</x:v>
      </x:c>
      <x:c r="C172" s="55" t="str">
        <x:v>Place a glass spice container in the bowl.</x:v>
      </x:c>
      <x:c r="D172" s="55" t="str">
        <x:v>generic_mask</x:v>
      </x:c>
      <x:c r="E172" s="55" t="str">
        <x:v>none</x:v>
      </x:c>
      <x:c r="F172" s="55" t="str">
        <x:v>closed; upright</x:v>
      </x:c>
      <x:c r="G172" s="54" t="str">
        <x:v>glass_spice_container_a</x:v>
      </x:c>
      <x:c r="H172" s="54" t="str">
        <x:v>glass spice container</x:v>
      </x:c>
      <x:c r="I172" s="54" t="str">
        <x:v>closed</x:v>
      </x:c>
      <x:c r="J172" s="54" t="str">
        <x:v>upright</x:v>
      </x:c>
      <x:c r="K172" s="56" t="n">
        <x:v>2</x:v>
      </x:c>
      <x:c r="L172" s="55" t="str">
        <x:v>["glass_spice_container_a","glass_spice_container_b"]</x:v>
      </x:c>
      <x:c r="M172" s="55" t="str">
        <x:v>PASS</x:v>
      </x:c>
      <x:c r="N172" s="55" t="str">
        <x:v>Yes</x:v>
      </x:c>
      <x:c r="O172" s="55" t="str">
        <x:v>Remove both state and orientation language; retain only the object category.</x:v>
      </x:c>
      <x:c r="P172" s="55" t="str">
        <x:v>PASS</x:v>
      </x:c>
      <x:c r="Q172" s="55" t="str">
        <x:v>generic_mask|glass_spice_container|closed|right_side_up</x:v>
      </x:c>
      <x:c r="R172" s="55" t="str">
        <x:v>train</x:v>
      </x:c>
      <x:c r="S172" s="55" t="str">
        <x:v>Needs t0 middle-frame review</x:v>
      </x:c>
      <x:c r="T172" s="55" t="str">
        <x:v>Omitted physical attributes: closed; upright.</x:v>
      </x:c>
      <x:c r="U172" s="57" t="n">
        <x:f>'Sampler Weights'!K179</x:f>
        <x:v>0.3125</x:v>
      </x:c>
    </x:row>
    <x:row r="173">
      <x:c r="A173" s="56" t="n">
        <x:v>168</x:v>
      </x:c>
      <x:c r="B173" s="54" t="str">
        <x:v>justintiensmith/MT_State_Recognition_200:168</x:v>
      </x:c>
      <x:c r="C173" s="55" t="str">
        <x:v>Place an open glass spice container in the bowl.</x:v>
      </x:c>
      <x:c r="D173" s="55" t="str">
        <x:v>explicit_seen_open</x:v>
      </x:c>
      <x:c r="E173" s="55" t="str">
        <x:v>open</x:v>
      </x:c>
      <x:c r="F173" s="55" t="str">
        <x:v>upright</x:v>
      </x:c>
      <x:c r="G173" s="54" t="str">
        <x:v>glass_spice_container_b</x:v>
      </x:c>
      <x:c r="H173" s="54" t="str">
        <x:v>glass spice container</x:v>
      </x:c>
      <x:c r="I173" s="54" t="str">
        <x:v>open</x:v>
      </x:c>
      <x:c r="J173" s="54" t="str">
        <x:v>upright</x:v>
      </x:c>
      <x:c r="K173" s="56" t="n">
        <x:v>1</x:v>
      </x:c>
      <x:c r="L173" s="55" t="str">
        <x:v>["glass_spice_container_b"]</x:v>
      </x:c>
      <x:c r="M173" s="55" t="str">
        <x:v>PASS</x:v>
      </x:c>
      <x:c r="N173" s="55" t="str">
        <x:v>No</x:v>
      </x:c>
      <x:c r="O173" s="55" t="str">
        <x:v>Keep the seen semantic open; remove all orientation language and all held-out wording.</x:v>
      </x:c>
      <x:c r="P173" s="55" t="str">
        <x:v>PASS</x:v>
      </x:c>
      <x:c r="Q173" s="55" t="str">
        <x:v>explicit_seen_open|glass_spice_container|right_side_up</x:v>
      </x:c>
      <x:c r="R173" s="55" t="str">
        <x:v>train</x:v>
      </x:c>
      <x:c r="S173" s="55" t="str">
        <x:v>Needs t0 middle-frame review</x:v>
      </x:c>
      <x:c r="T173" s="55" t="str">
        <x:v>Omitted physical attributes: upright.</x:v>
      </x:c>
      <x:c r="U173" s="57" t="n">
        <x:f>'Sampler Weights'!K180</x:f>
        <x:v>0.6944444444444444</x:v>
      </x:c>
    </x:row>
    <x:row r="174">
      <x:c r="A174" s="56" t="n">
        <x:v>169</x:v>
      </x:c>
      <x:c r="B174" s="54" t="str">
        <x:v>justintiensmith/MT_State_Recognition_200:169</x:v>
      </x:c>
      <x:c r="C174" s="55" t="str">
        <x:v>Place a glass spice container in the bowl.</x:v>
      </x:c>
      <x:c r="D174" s="55" t="str">
        <x:v>generic_mask</x:v>
      </x:c>
      <x:c r="E174" s="55" t="str">
        <x:v>none</x:v>
      </x:c>
      <x:c r="F174" s="55" t="str">
        <x:v>closed; upright</x:v>
      </x:c>
      <x:c r="G174" s="54" t="str">
        <x:v>glass_spice_container_b</x:v>
      </x:c>
      <x:c r="H174" s="54" t="str">
        <x:v>glass spice container</x:v>
      </x:c>
      <x:c r="I174" s="54" t="str">
        <x:v>closed</x:v>
      </x:c>
      <x:c r="J174" s="54" t="str">
        <x:v>upright</x:v>
      </x:c>
      <x:c r="K174" s="56" t="n">
        <x:v>1</x:v>
      </x:c>
      <x:c r="L174" s="55" t="str">
        <x:v>["glass_spice_container_b"]</x:v>
      </x:c>
      <x:c r="M174" s="55" t="str">
        <x:v>PASS</x:v>
      </x:c>
      <x:c r="N174" s="55" t="str">
        <x:v>No</x:v>
      </x:c>
      <x:c r="O174" s="55" t="str">
        <x:v>Remove both state and orientation language; retain only the object category.</x:v>
      </x:c>
      <x:c r="P174" s="55" t="str">
        <x:v>PASS</x:v>
      </x:c>
      <x:c r="Q174" s="55" t="str">
        <x:v>generic_mask|glass_spice_container|closed|right_side_up</x:v>
      </x:c>
      <x:c r="R174" s="55" t="str">
        <x:v>train</x:v>
      </x:c>
      <x:c r="S174" s="55" t="str">
        <x:v>Needs t0 middle-frame review</x:v>
      </x:c>
      <x:c r="T174" s="55" t="str">
        <x:v>Omitted physical attributes: closed; upright.</x:v>
      </x:c>
      <x:c r="U174" s="57" t="n">
        <x:f>'Sampler Weights'!K181</x:f>
        <x:v>0.3125</x:v>
      </x:c>
    </x:row>
    <x:row r="175">
      <x:c r="A175" s="56" t="n">
        <x:v>170</x:v>
      </x:c>
      <x:c r="B175" s="54" t="str">
        <x:v>justintiensmith/MT_State_Recognition_200:170</x:v>
      </x:c>
      <x:c r="C175" s="55" t="str">
        <x:v>Place a glass spice container in the bowl.</x:v>
      </x:c>
      <x:c r="D175" s="55" t="str">
        <x:v>generic_mask</x:v>
      </x:c>
      <x:c r="E175" s="55" t="str">
        <x:v>none</x:v>
      </x:c>
      <x:c r="F175" s="55" t="str">
        <x:v>upright</x:v>
      </x:c>
      <x:c r="G175" s="54" t="str">
        <x:v>glass_spice_container_a</x:v>
      </x:c>
      <x:c r="H175" s="54" t="str">
        <x:v>glass spice container</x:v>
      </x:c>
      <x:c r="I175" s="54" t="str">
        <x:v>open</x:v>
      </x:c>
      <x:c r="J175" s="54" t="str">
        <x:v>upright</x:v>
      </x:c>
      <x:c r="K175" s="56" t="n">
        <x:v>2</x:v>
      </x:c>
      <x:c r="L175" s="55" t="str">
        <x:v>["glass_spice_container_a","glass_spice_container_b"]</x:v>
      </x:c>
      <x:c r="M175" s="55" t="str">
        <x:v>PASS</x:v>
      </x:c>
      <x:c r="N175" s="55" t="str">
        <x:v>Yes</x:v>
      </x:c>
      <x:c r="O175" s="55" t="str">
        <x:v>Remove both state and orientation language; retain only the object category.</x:v>
      </x:c>
      <x:c r="P175" s="55" t="str">
        <x:v>PASS</x:v>
      </x:c>
      <x:c r="Q175" s="55" t="str">
        <x:v>generic_mask|glass_spice_container|open|right_side_up</x:v>
      </x:c>
      <x:c r="R175" s="55" t="str">
        <x:v>train</x:v>
      </x:c>
      <x:c r="S175" s="55" t="str">
        <x:v>Needs t0 middle-frame review</x:v>
      </x:c>
      <x:c r="T175" s="55" t="str">
        <x:v>Omitted physical attributes: open; upright.</x:v>
      </x:c>
      <x:c r="U175" s="57" t="n">
        <x:f>'Sampler Weights'!K182</x:f>
        <x:v>0.6944444444444444</x:v>
      </x:c>
    </x:row>
    <x:row r="176">
      <x:c r="A176" s="56" t="n">
        <x:v>171</x:v>
      </x:c>
      <x:c r="B176" s="54" t="str">
        <x:v>justintiensmith/MT_State_Recognition_200:171</x:v>
      </x:c>
      <x:c r="C176" s="55" t="str">
        <x:v>Place a glass spice container in the bowl.</x:v>
      </x:c>
      <x:c r="D176" s="55" t="str">
        <x:v>generic_mask</x:v>
      </x:c>
      <x:c r="E176" s="55" t="str">
        <x:v>none</x:v>
      </x:c>
      <x:c r="F176" s="55" t="str">
        <x:v>closed; upright</x:v>
      </x:c>
      <x:c r="G176" s="54" t="str">
        <x:v>glass_spice_container_a</x:v>
      </x:c>
      <x:c r="H176" s="54" t="str">
        <x:v>glass spice container</x:v>
      </x:c>
      <x:c r="I176" s="54" t="str">
        <x:v>closed</x:v>
      </x:c>
      <x:c r="J176" s="54" t="str">
        <x:v>upright</x:v>
      </x:c>
      <x:c r="K176" s="56" t="n">
        <x:v>2</x:v>
      </x:c>
      <x:c r="L176" s="55" t="str">
        <x:v>["glass_spice_container_a","glass_spice_container_b"]</x:v>
      </x:c>
      <x:c r="M176" s="55" t="str">
        <x:v>PASS</x:v>
      </x:c>
      <x:c r="N176" s="55" t="str">
        <x:v>Yes</x:v>
      </x:c>
      <x:c r="O176" s="55" t="str">
        <x:v>Remove both state and orientation language; retain only the object category.</x:v>
      </x:c>
      <x:c r="P176" s="55" t="str">
        <x:v>PASS</x:v>
      </x:c>
      <x:c r="Q176" s="55" t="str">
        <x:v>generic_mask|glass_spice_container|closed|right_side_up</x:v>
      </x:c>
      <x:c r="R176" s="55" t="str">
        <x:v>train</x:v>
      </x:c>
      <x:c r="S176" s="55" t="str">
        <x:v>Needs t0 middle-frame review</x:v>
      </x:c>
      <x:c r="T176" s="55" t="str">
        <x:v>Omitted physical attributes: closed; upright.</x:v>
      </x:c>
      <x:c r="U176" s="57" t="n">
        <x:f>'Sampler Weights'!K183</x:f>
        <x:v>0.3125</x:v>
      </x:c>
    </x:row>
    <x:row r="177">
      <x:c r="A177" s="56" t="n">
        <x:v>172</x:v>
      </x:c>
      <x:c r="B177" s="54" t="str">
        <x:v>justintiensmith/MT_State_Recognition_200:172</x:v>
      </x:c>
      <x:c r="C177" s="55" t="str">
        <x:v>Place a glass spice container in the bowl.</x:v>
      </x:c>
      <x:c r="D177" s="55" t="str">
        <x:v>generic_mask</x:v>
      </x:c>
      <x:c r="E177" s="55" t="str">
        <x:v>none</x:v>
      </x:c>
      <x:c r="F177" s="55" t="str">
        <x:v>closed; upright</x:v>
      </x:c>
      <x:c r="G177" s="54" t="str">
        <x:v>glass_spice_container_b</x:v>
      </x:c>
      <x:c r="H177" s="54" t="str">
        <x:v>glass spice container</x:v>
      </x:c>
      <x:c r="I177" s="54" t="str">
        <x:v>closed</x:v>
      </x:c>
      <x:c r="J177" s="54" t="str">
        <x:v>upright</x:v>
      </x:c>
      <x:c r="K177" s="56" t="n">
        <x:v>1</x:v>
      </x:c>
      <x:c r="L177" s="55" t="str">
        <x:v>["glass_spice_container_b"]</x:v>
      </x:c>
      <x:c r="M177" s="55" t="str">
        <x:v>PASS</x:v>
      </x:c>
      <x:c r="N177" s="55" t="str">
        <x:v>No</x:v>
      </x:c>
      <x:c r="O177" s="55" t="str">
        <x:v>Remove both state and orientation language; retain only the object category.</x:v>
      </x:c>
      <x:c r="P177" s="55" t="str">
        <x:v>PASS</x:v>
      </x:c>
      <x:c r="Q177" s="55" t="str">
        <x:v>generic_mask|glass_spice_container|closed|right_side_up</x:v>
      </x:c>
      <x:c r="R177" s="55" t="str">
        <x:v>train</x:v>
      </x:c>
      <x:c r="S177" s="55" t="str">
        <x:v>Needs t0 middle-frame review</x:v>
      </x:c>
      <x:c r="T177" s="55" t="str">
        <x:v>Omitted physical attributes: closed; upright.</x:v>
      </x:c>
      <x:c r="U177" s="57" t="n">
        <x:f>'Sampler Weights'!K184</x:f>
        <x:v>0.3125</x:v>
      </x:c>
    </x:row>
    <x:row r="178">
      <x:c r="A178" s="56" t="n">
        <x:v>173</x:v>
      </x:c>
      <x:c r="B178" s="54" t="str">
        <x:v>justintiensmith/MT_State_Recognition_200:173</x:v>
      </x:c>
      <x:c r="C178" s="55" t="str">
        <x:v>Place an open glass spice container in the bowl.</x:v>
      </x:c>
      <x:c r="D178" s="55" t="str">
        <x:v>explicit_seen_open</x:v>
      </x:c>
      <x:c r="E178" s="55" t="str">
        <x:v>open</x:v>
      </x:c>
      <x:c r="F178" s="55" t="str">
        <x:v>upright</x:v>
      </x:c>
      <x:c r="G178" s="54" t="str">
        <x:v>glass_spice_container_a</x:v>
      </x:c>
      <x:c r="H178" s="54" t="str">
        <x:v>glass spice container</x:v>
      </x:c>
      <x:c r="I178" s="54" t="str">
        <x:v>open</x:v>
      </x:c>
      <x:c r="J178" s="54" t="str">
        <x:v>upright</x:v>
      </x:c>
      <x:c r="K178" s="56" t="n">
        <x:v>1</x:v>
      </x:c>
      <x:c r="L178" s="55" t="str">
        <x:v>["glass_spice_container_a"]</x:v>
      </x:c>
      <x:c r="M178" s="55" t="str">
        <x:v>PASS</x:v>
      </x:c>
      <x:c r="N178" s="55" t="str">
        <x:v>No</x:v>
      </x:c>
      <x:c r="O178" s="55" t="str">
        <x:v>Keep the seen semantic open; remove all orientation language and all held-out wording.</x:v>
      </x:c>
      <x:c r="P178" s="55" t="str">
        <x:v>PASS</x:v>
      </x:c>
      <x:c r="Q178" s="55" t="str">
        <x:v>explicit_seen_open|glass_spice_container|right_side_up</x:v>
      </x:c>
      <x:c r="R178" s="55" t="str">
        <x:v>train</x:v>
      </x:c>
      <x:c r="S178" s="55" t="str">
        <x:v>Needs t0 middle-frame review</x:v>
      </x:c>
      <x:c r="T178" s="55" t="str">
        <x:v>Omitted physical attributes: upright.</x:v>
      </x:c>
      <x:c r="U178" s="57" t="n">
        <x:f>'Sampler Weights'!K185</x:f>
        <x:v>0.6944444444444444</x:v>
      </x:c>
    </x:row>
    <x:row r="179">
      <x:c r="A179" s="56" t="n">
        <x:v>174</x:v>
      </x:c>
      <x:c r="B179" s="54" t="str">
        <x:v>justintiensmith/MT_State_Recognition_200:174</x:v>
      </x:c>
      <x:c r="C179" s="55" t="str">
        <x:v>Place a glass spice container in the bowl.</x:v>
      </x:c>
      <x:c r="D179" s="55" t="str">
        <x:v>generic_mask</x:v>
      </x:c>
      <x:c r="E179" s="55" t="str">
        <x:v>none</x:v>
      </x:c>
      <x:c r="F179" s="55" t="str">
        <x:v>closed; upright</x:v>
      </x:c>
      <x:c r="G179" s="54" t="str">
        <x:v>glass_spice_container_b</x:v>
      </x:c>
      <x:c r="H179" s="54" t="str">
        <x:v>glass spice container</x:v>
      </x:c>
      <x:c r="I179" s="54" t="str">
        <x:v>closed</x:v>
      </x:c>
      <x:c r="J179" s="54" t="str">
        <x:v>upright</x:v>
      </x:c>
      <x:c r="K179" s="56" t="n">
        <x:v>2</x:v>
      </x:c>
      <x:c r="L179" s="55" t="str">
        <x:v>["glass_spice_container_b","glass_spice_container_a"]</x:v>
      </x:c>
      <x:c r="M179" s="55" t="str">
        <x:v>PASS</x:v>
      </x:c>
      <x:c r="N179" s="55" t="str">
        <x:v>Yes</x:v>
      </x:c>
      <x:c r="O179" s="55" t="str">
        <x:v>Remove both state and orientation language; retain only the object category.</x:v>
      </x:c>
      <x:c r="P179" s="55" t="str">
        <x:v>PASS</x:v>
      </x:c>
      <x:c r="Q179" s="55" t="str">
        <x:v>generic_mask|glass_spice_container|closed|right_side_up</x:v>
      </x:c>
      <x:c r="R179" s="55" t="str">
        <x:v>train</x:v>
      </x:c>
      <x:c r="S179" s="55" t="str">
        <x:v>Needs t0 middle-frame review</x:v>
      </x:c>
      <x:c r="T179" s="55" t="str">
        <x:v>Omitted physical attributes: closed; upright.</x:v>
      </x:c>
      <x:c r="U179" s="57" t="n">
        <x:f>'Sampler Weights'!K186</x:f>
        <x:v>0.3125</x:v>
      </x:c>
    </x:row>
    <x:row r="180">
      <x:c r="A180" s="56" t="n">
        <x:v>175</x:v>
      </x:c>
      <x:c r="B180" s="54" t="str">
        <x:v>justintiensmith/MT_State_Recognition_200:175</x:v>
      </x:c>
      <x:c r="C180" s="55" t="str">
        <x:v>Place a glass spice container in the bowl.</x:v>
      </x:c>
      <x:c r="D180" s="55" t="str">
        <x:v>generic_mask</x:v>
      </x:c>
      <x:c r="E180" s="55" t="str">
        <x:v>none</x:v>
      </x:c>
      <x:c r="F180" s="55" t="str">
        <x:v>closed</x:v>
      </x:c>
      <x:c r="G180" s="54" t="str">
        <x:v>glass_spice_container_b</x:v>
      </x:c>
      <x:c r="H180" s="54" t="str">
        <x:v>glass spice container</x:v>
      </x:c>
      <x:c r="I180" s="54" t="str">
        <x:v>closed</x:v>
      </x:c>
      <x:c r="J180" s="54" t="str">
        <x:v>upside down</x:v>
      </x:c>
      <x:c r="K180" s="56" t="n">
        <x:v>1</x:v>
      </x:c>
      <x:c r="L180" s="55" t="str">
        <x:v>["glass_spice_container_b"]</x:v>
      </x:c>
      <x:c r="M180" s="55" t="str">
        <x:v>PASS</x:v>
      </x:c>
      <x:c r="N180" s="55" t="str">
        <x:v>No</x:v>
      </x:c>
      <x:c r="O180" s="55" t="str">
        <x:v>Remove both state and orientation language; retain only the object category.</x:v>
      </x:c>
      <x:c r="P180" s="55" t="str">
        <x:v>PASS</x:v>
      </x:c>
      <x:c r="Q180" s="55" t="str">
        <x:v>generic_mask|glass_spice_container|closed|upside_down</x:v>
      </x:c>
      <x:c r="R180" s="55" t="str">
        <x:v>train</x:v>
      </x:c>
      <x:c r="S180" s="55" t="str">
        <x:v>Needs t0 middle-frame review</x:v>
      </x:c>
      <x:c r="T180" s="55" t="str">
        <x:v>Omitted physical attributes: closed; upside down.</x:v>
      </x:c>
      <x:c r="U180" s="57" t="n">
        <x:f>'Sampler Weights'!K187</x:f>
        <x:v>2.083333333333333</x:v>
      </x:c>
    </x:row>
    <x:row r="181">
      <x:c r="A181" s="56" t="n">
        <x:v>176</x:v>
      </x:c>
      <x:c r="B181" s="54" t="str">
        <x:v>justintiensmith/MT_State_Recognition_200:176</x:v>
      </x:c>
      <x:c r="C181" s="55" t="str">
        <x:v>Place a glass spice container in the bowl.</x:v>
      </x:c>
      <x:c r="D181" s="55" t="str">
        <x:v>generic_mask</x:v>
      </x:c>
      <x:c r="E181" s="55" t="str">
        <x:v>none</x:v>
      </x:c>
      <x:c r="F181" s="55" t="str"/>
      <x:c r="G181" s="54" t="str">
        <x:v>glass_spice_container_b</x:v>
      </x:c>
      <x:c r="H181" s="54" t="str">
        <x:v>glass spice container</x:v>
      </x:c>
      <x:c r="I181" s="54" t="str">
        <x:v>open</x:v>
      </x:c>
      <x:c r="J181" s="54" t="str">
        <x:v>upside down</x:v>
      </x:c>
      <x:c r="K181" s="56" t="n">
        <x:v>2</x:v>
      </x:c>
      <x:c r="L181" s="55" t="str">
        <x:v>["glass_spice_container_b","glass_spice_container_a"]</x:v>
      </x:c>
      <x:c r="M181" s="55" t="str">
        <x:v>PASS</x:v>
      </x:c>
      <x:c r="N181" s="55" t="str">
        <x:v>Yes</x:v>
      </x:c>
      <x:c r="O181" s="55" t="str">
        <x:v>Remove both state and orientation language; retain only the object category.</x:v>
      </x:c>
      <x:c r="P181" s="55" t="str">
        <x:v>PASS</x:v>
      </x:c>
      <x:c r="Q181" s="55" t="str">
        <x:v>generic_mask|glass_spice_container|open|upside_down</x:v>
      </x:c>
      <x:c r="R181" s="55" t="str">
        <x:v>train</x:v>
      </x:c>
      <x:c r="S181" s="55" t="str">
        <x:v>Needs t0 middle-frame review</x:v>
      </x:c>
      <x:c r="T181" s="55" t="str">
        <x:v>Omitted physical attributes: open; upside down.</x:v>
      </x:c>
      <x:c r="U181" s="57" t="n">
        <x:f>'Sampler Weights'!K188</x:f>
        <x:v>2.083333333333333</x:v>
      </x:c>
    </x:row>
    <x:row r="182">
      <x:c r="A182" s="56" t="n">
        <x:v>177</x:v>
      </x:c>
      <x:c r="B182" s="54" t="str">
        <x:v>justintiensmith/MT_State_Recognition_200:177</x:v>
      </x:c>
      <x:c r="C182" s="55" t="str">
        <x:v>Place an upside-down glass spice container in the bowl.</x:v>
      </x:c>
      <x:c r="D182" s="55" t="str">
        <x:v>explicit_seen_upside_down</x:v>
      </x:c>
      <x:c r="E182" s="55" t="str">
        <x:v>upside-down</x:v>
      </x:c>
      <x:c r="F182" s="55" t="str">
        <x:v>closed</x:v>
      </x:c>
      <x:c r="G182" s="54" t="str">
        <x:v>glass_spice_container_a</x:v>
      </x:c>
      <x:c r="H182" s="54" t="str">
        <x:v>glass spice container</x:v>
      </x:c>
      <x:c r="I182" s="54" t="str">
        <x:v>closed</x:v>
      </x:c>
      <x:c r="J182" s="54" t="str">
        <x:v>upside down</x:v>
      </x:c>
      <x:c r="K182" s="56" t="n">
        <x:v>1</x:v>
      </x:c>
      <x:c r="L182" s="55" t="str">
        <x:v>["glass_spice_container_a"]</x:v>
      </x:c>
      <x:c r="M182" s="55" t="str">
        <x:v>PASS</x:v>
      </x:c>
      <x:c r="N182" s="55" t="str">
        <x:v>No</x:v>
      </x:c>
      <x:c r="O182" s="55" t="str">
        <x:v>Keep the seen semantic upside-down; remove all open/closed language and all held-out wording.</x:v>
      </x:c>
      <x:c r="P182" s="55" t="str">
        <x:v>PASS</x:v>
      </x:c>
      <x:c r="Q182" s="55" t="str">
        <x:v>explicit_seen_upside_down|glass_spice_container|closed</x:v>
      </x:c>
      <x:c r="R182" s="55" t="str">
        <x:v>train</x:v>
      </x:c>
      <x:c r="S182" s="55" t="str">
        <x:v>Needs t0 middle-frame review</x:v>
      </x:c>
      <x:c r="T182" s="55" t="str">
        <x:v>Omitted physical attributes: closed.</x:v>
      </x:c>
      <x:c r="U182" s="57" t="n">
        <x:f>'Sampler Weights'!K189</x:f>
        <x:v>2.083333333333333</x:v>
      </x:c>
    </x:row>
    <x:row r="183">
      <x:c r="A183" s="56" t="n">
        <x:v>178</x:v>
      </x:c>
      <x:c r="B183" s="54" t="str">
        <x:v>justintiensmith/MT_State_Recognition_200:178</x:v>
      </x:c>
      <x:c r="C183" s="55" t="str">
        <x:v>Place a glass spice container in the bowl.</x:v>
      </x:c>
      <x:c r="D183" s="55" t="str">
        <x:v>generic_mask</x:v>
      </x:c>
      <x:c r="E183" s="55" t="str">
        <x:v>none</x:v>
      </x:c>
      <x:c r="F183" s="55" t="str">
        <x:v>upright</x:v>
      </x:c>
      <x:c r="G183" s="54" t="str">
        <x:v>glass_spice_container_a</x:v>
      </x:c>
      <x:c r="H183" s="54" t="str">
        <x:v>glass spice container</x:v>
      </x:c>
      <x:c r="I183" s="54" t="str">
        <x:v>open</x:v>
      </x:c>
      <x:c r="J183" s="54" t="str">
        <x:v>upright</x:v>
      </x:c>
      <x:c r="K183" s="56" t="n">
        <x:v>1</x:v>
      </x:c>
      <x:c r="L183" s="55" t="str">
        <x:v>["glass_spice_container_a"]</x:v>
      </x:c>
      <x:c r="M183" s="55" t="str">
        <x:v>PASS</x:v>
      </x:c>
      <x:c r="N183" s="55" t="str">
        <x:v>No</x:v>
      </x:c>
      <x:c r="O183" s="55" t="str">
        <x:v>Remove both state and orientation language; retain only the object category.</x:v>
      </x:c>
      <x:c r="P183" s="55" t="str">
        <x:v>PASS</x:v>
      </x:c>
      <x:c r="Q183" s="55" t="str">
        <x:v>generic_mask|glass_spice_container|open|right_side_up</x:v>
      </x:c>
      <x:c r="R183" s="55" t="str">
        <x:v>train</x:v>
      </x:c>
      <x:c r="S183" s="55" t="str">
        <x:v>Needs t0 middle-frame review</x:v>
      </x:c>
      <x:c r="T183" s="55" t="str">
        <x:v>Omitted physical attributes: open; upright.</x:v>
      </x:c>
      <x:c r="U183" s="57" t="n">
        <x:f>'Sampler Weights'!K190</x:f>
        <x:v>0.6944444444444444</x:v>
      </x:c>
    </x:row>
    <x:row r="184">
      <x:c r="A184" s="56" t="n">
        <x:v>179</x:v>
      </x:c>
      <x:c r="B184" s="54" t="str">
        <x:v>justintiensmith/MT_State_Recognition_200:179</x:v>
      </x:c>
      <x:c r="C184" s="55" t="str">
        <x:v>Place a glass spice container in the bowl.</x:v>
      </x:c>
      <x:c r="D184" s="55" t="str">
        <x:v>generic_mask</x:v>
      </x:c>
      <x:c r="E184" s="55" t="str">
        <x:v>none</x:v>
      </x:c>
      <x:c r="F184" s="55" t="str">
        <x:v>closed; upright</x:v>
      </x:c>
      <x:c r="G184" s="54" t="str">
        <x:v>glass_spice_container_b</x:v>
      </x:c>
      <x:c r="H184" s="54" t="str">
        <x:v>glass spice container</x:v>
      </x:c>
      <x:c r="I184" s="54" t="str">
        <x:v>closed</x:v>
      </x:c>
      <x:c r="J184" s="54" t="str">
        <x:v>upright</x:v>
      </x:c>
      <x:c r="K184" s="56" t="n">
        <x:v>1</x:v>
      </x:c>
      <x:c r="L184" s="55" t="str">
        <x:v>["glass_spice_container_b"]</x:v>
      </x:c>
      <x:c r="M184" s="55" t="str">
        <x:v>PASS</x:v>
      </x:c>
      <x:c r="N184" s="55" t="str">
        <x:v>No</x:v>
      </x:c>
      <x:c r="O184" s="55" t="str">
        <x:v>Remove both state and orientation language; retain only the object category.</x:v>
      </x:c>
      <x:c r="P184" s="55" t="str">
        <x:v>PASS</x:v>
      </x:c>
      <x:c r="Q184" s="55" t="str">
        <x:v>generic_mask|glass_spice_container|closed|right_side_up</x:v>
      </x:c>
      <x:c r="R184" s="55" t="str">
        <x:v>train</x:v>
      </x:c>
      <x:c r="S184" s="55" t="str">
        <x:v>Needs t0 middle-frame review</x:v>
      </x:c>
      <x:c r="T184" s="55" t="str">
        <x:v>Omitted physical attributes: closed; upright.</x:v>
      </x:c>
      <x:c r="U184" s="57" t="n">
        <x:f>'Sampler Weights'!K191</x:f>
        <x:v>0.3125</x:v>
      </x:c>
    </x:row>
    <x:row r="185">
      <x:c r="A185" s="56" t="n">
        <x:v>180</x:v>
      </x:c>
      <x:c r="B185" s="54" t="str">
        <x:v>justintiensmith/MT_State_Recognition_200:180</x:v>
      </x:c>
      <x:c r="C185" s="55" t="str">
        <x:v>Place an open glass spice container in the bowl.</x:v>
      </x:c>
      <x:c r="D185" s="55" t="str">
        <x:v>explicit_seen_open</x:v>
      </x:c>
      <x:c r="E185" s="55" t="str">
        <x:v>open</x:v>
      </x:c>
      <x:c r="F185" s="55" t="str">
        <x:v>upright</x:v>
      </x:c>
      <x:c r="G185" s="54" t="str">
        <x:v>glass_spice_container_b</x:v>
      </x:c>
      <x:c r="H185" s="54" t="str">
        <x:v>glass spice container</x:v>
      </x:c>
      <x:c r="I185" s="54" t="str">
        <x:v>open</x:v>
      </x:c>
      <x:c r="J185" s="54" t="str">
        <x:v>upright</x:v>
      </x:c>
      <x:c r="K185" s="56" t="n">
        <x:v>1</x:v>
      </x:c>
      <x:c r="L185" s="55" t="str">
        <x:v>["glass_spice_container_b"]</x:v>
      </x:c>
      <x:c r="M185" s="55" t="str">
        <x:v>PASS</x:v>
      </x:c>
      <x:c r="N185" s="55" t="str">
        <x:v>No</x:v>
      </x:c>
      <x:c r="O185" s="55" t="str">
        <x:v>Keep the seen semantic open; remove all orientation language and all held-out wording.</x:v>
      </x:c>
      <x:c r="P185" s="55" t="str">
        <x:v>PASS</x:v>
      </x:c>
      <x:c r="Q185" s="55" t="str">
        <x:v>explicit_seen_open|glass_spice_container|right_side_up</x:v>
      </x:c>
      <x:c r="R185" s="55" t="str">
        <x:v>train</x:v>
      </x:c>
      <x:c r="S185" s="55" t="str">
        <x:v>Needs t0 middle-frame review</x:v>
      </x:c>
      <x:c r="T185" s="55" t="str">
        <x:v>Omitted physical attributes: upright.</x:v>
      </x:c>
      <x:c r="U185" s="57" t="n">
        <x:f>'Sampler Weights'!K192</x:f>
        <x:v>0.6944444444444444</x:v>
      </x:c>
    </x:row>
    <x:row r="186">
      <x:c r="A186" s="56" t="n">
        <x:v>181</x:v>
      </x:c>
      <x:c r="B186" s="54" t="str">
        <x:v>justintiensmith/MT_State_Recognition_200:181</x:v>
      </x:c>
      <x:c r="C186" s="55" t="str">
        <x:v>Place a glass spice container in the bowl.</x:v>
      </x:c>
      <x:c r="D186" s="55" t="str">
        <x:v>generic_mask</x:v>
      </x:c>
      <x:c r="E186" s="55" t="str">
        <x:v>none</x:v>
      </x:c>
      <x:c r="F186" s="55" t="str">
        <x:v>closed</x:v>
      </x:c>
      <x:c r="G186" s="54" t="str">
        <x:v>glass_spice_container_a</x:v>
      </x:c>
      <x:c r="H186" s="54" t="str">
        <x:v>glass spice container</x:v>
      </x:c>
      <x:c r="I186" s="54" t="str">
        <x:v>closed</x:v>
      </x:c>
      <x:c r="J186" s="54" t="str">
        <x:v>upside down</x:v>
      </x:c>
      <x:c r="K186" s="56" t="n">
        <x:v>2</x:v>
      </x:c>
      <x:c r="L186" s="55" t="str">
        <x:v>["glass_spice_container_a","glass_spice_container_b"]</x:v>
      </x:c>
      <x:c r="M186" s="55" t="str">
        <x:v>PASS</x:v>
      </x:c>
      <x:c r="N186" s="55" t="str">
        <x:v>Yes</x:v>
      </x:c>
      <x:c r="O186" s="55" t="str">
        <x:v>Remove both state and orientation language; retain only the object category.</x:v>
      </x:c>
      <x:c r="P186" s="55" t="str">
        <x:v>PASS</x:v>
      </x:c>
      <x:c r="Q186" s="55" t="str">
        <x:v>generic_mask|glass_spice_container|closed|upside_down</x:v>
      </x:c>
      <x:c r="R186" s="55" t="str">
        <x:v>train</x:v>
      </x:c>
      <x:c r="S186" s="55" t="str">
        <x:v>Needs t0 middle-frame review</x:v>
      </x:c>
      <x:c r="T186" s="55" t="str">
        <x:v>Omitted physical attributes: closed; upside down.</x:v>
      </x:c>
      <x:c r="U186" s="57" t="n">
        <x:f>'Sampler Weights'!K193</x:f>
        <x:v>2.083333333333333</x:v>
      </x:c>
    </x:row>
    <x:row r="187">
      <x:c r="A187" s="56" t="n">
        <x:v>182</x:v>
      </x:c>
      <x:c r="B187" s="54" t="str">
        <x:v>justintiensmith/MT_State_Recognition_200:182</x:v>
      </x:c>
      <x:c r="C187" s="55" t="str">
        <x:v>Place a glass spice container in the bowl.</x:v>
      </x:c>
      <x:c r="D187" s="55" t="str">
        <x:v>generic_mask</x:v>
      </x:c>
      <x:c r="E187" s="55" t="str">
        <x:v>none</x:v>
      </x:c>
      <x:c r="F187" s="55" t="str">
        <x:v>upright</x:v>
      </x:c>
      <x:c r="G187" s="54" t="str">
        <x:v>glass_spice_container_b</x:v>
      </x:c>
      <x:c r="H187" s="54" t="str">
        <x:v>glass spice container</x:v>
      </x:c>
      <x:c r="I187" s="54" t="str">
        <x:v>open</x:v>
      </x:c>
      <x:c r="J187" s="54" t="str">
        <x:v>upright</x:v>
      </x:c>
      <x:c r="K187" s="56" t="n">
        <x:v>2</x:v>
      </x:c>
      <x:c r="L187" s="55" t="str">
        <x:v>["glass_spice_container_b","glass_spice_container_a"]</x:v>
      </x:c>
      <x:c r="M187" s="55" t="str">
        <x:v>PASS</x:v>
      </x:c>
      <x:c r="N187" s="55" t="str">
        <x:v>Yes</x:v>
      </x:c>
      <x:c r="O187" s="55" t="str">
        <x:v>Remove both state and orientation language; retain only the object category.</x:v>
      </x:c>
      <x:c r="P187" s="55" t="str">
        <x:v>PASS</x:v>
      </x:c>
      <x:c r="Q187" s="55" t="str">
        <x:v>generic_mask|glass_spice_container|open|right_side_up</x:v>
      </x:c>
      <x:c r="R187" s="55" t="str">
        <x:v>train</x:v>
      </x:c>
      <x:c r="S187" s="55" t="str">
        <x:v>Needs t0 middle-frame review</x:v>
      </x:c>
      <x:c r="T187" s="55" t="str">
        <x:v>Omitted physical attributes: open; upright.</x:v>
      </x:c>
      <x:c r="U187" s="57" t="n">
        <x:f>'Sampler Weights'!K194</x:f>
        <x:v>0.6944444444444444</x:v>
      </x:c>
    </x:row>
    <x:row r="188">
      <x:c r="A188" s="56" t="n">
        <x:v>183</x:v>
      </x:c>
      <x:c r="B188" s="54" t="str">
        <x:v>justintiensmith/MT_State_Recognition_200:183</x:v>
      </x:c>
      <x:c r="C188" s="55" t="str">
        <x:v>Place a glass spice container in the bowl.</x:v>
      </x:c>
      <x:c r="D188" s="55" t="str">
        <x:v>generic_mask</x:v>
      </x:c>
      <x:c r="E188" s="55" t="str">
        <x:v>none</x:v>
      </x:c>
      <x:c r="F188" s="55" t="str">
        <x:v>closed; upright</x:v>
      </x:c>
      <x:c r="G188" s="54" t="str">
        <x:v>glass_spice_container_a</x:v>
      </x:c>
      <x:c r="H188" s="54" t="str">
        <x:v>glass spice container</x:v>
      </x:c>
      <x:c r="I188" s="54" t="str">
        <x:v>closed</x:v>
      </x:c>
      <x:c r="J188" s="54" t="str">
        <x:v>upright</x:v>
      </x:c>
      <x:c r="K188" s="56" t="n">
        <x:v>2</x:v>
      </x:c>
      <x:c r="L188" s="55" t="str">
        <x:v>["glass_spice_container_a","glass_spice_container_b"]</x:v>
      </x:c>
      <x:c r="M188" s="55" t="str">
        <x:v>PASS</x:v>
      </x:c>
      <x:c r="N188" s="55" t="str">
        <x:v>Yes</x:v>
      </x:c>
      <x:c r="O188" s="55" t="str">
        <x:v>Remove both state and orientation language; retain only the object category.</x:v>
      </x:c>
      <x:c r="P188" s="55" t="str">
        <x:v>PASS</x:v>
      </x:c>
      <x:c r="Q188" s="55" t="str">
        <x:v>generic_mask|glass_spice_container|closed|right_side_up</x:v>
      </x:c>
      <x:c r="R188" s="55" t="str">
        <x:v>train</x:v>
      </x:c>
      <x:c r="S188" s="55" t="str">
        <x:v>Needs t0 middle-frame review</x:v>
      </x:c>
      <x:c r="T188" s="55" t="str">
        <x:v>Omitted physical attributes: closed; upright.</x:v>
      </x:c>
      <x:c r="U188" s="57" t="n">
        <x:f>'Sampler Weights'!K195</x:f>
        <x:v>0.3125</x:v>
      </x:c>
    </x:row>
    <x:row r="189">
      <x:c r="A189" s="56" t="n">
        <x:v>184</x:v>
      </x:c>
      <x:c r="B189" s="54" t="str">
        <x:v>justintiensmith/MT_State_Recognition_200:184</x:v>
      </x:c>
      <x:c r="C189" s="55" t="str">
        <x:v>Place an open glass spice container in the bowl.</x:v>
      </x:c>
      <x:c r="D189" s="55" t="str">
        <x:v>explicit_seen_open</x:v>
      </x:c>
      <x:c r="E189" s="55" t="str">
        <x:v>open</x:v>
      </x:c>
      <x:c r="F189" s="55" t="str"/>
      <x:c r="G189" s="54" t="str">
        <x:v>glass_spice_container_b</x:v>
      </x:c>
      <x:c r="H189" s="54" t="str">
        <x:v>glass spice container</x:v>
      </x:c>
      <x:c r="I189" s="54" t="str">
        <x:v>open</x:v>
      </x:c>
      <x:c r="J189" s="54" t="str">
        <x:v>upside down</x:v>
      </x:c>
      <x:c r="K189" s="56" t="n">
        <x:v>1</x:v>
      </x:c>
      <x:c r="L189" s="55" t="str">
        <x:v>["glass_spice_container_b"]</x:v>
      </x:c>
      <x:c r="M189" s="55" t="str">
        <x:v>PASS</x:v>
      </x:c>
      <x:c r="N189" s="55" t="str">
        <x:v>No</x:v>
      </x:c>
      <x:c r="O189" s="55" t="str">
        <x:v>Keep the seen semantic open; remove all orientation language and all held-out wording.</x:v>
      </x:c>
      <x:c r="P189" s="55" t="str">
        <x:v>PASS</x:v>
      </x:c>
      <x:c r="Q189" s="55" t="str">
        <x:v>explicit_seen_open|glass_spice_container|upside_down</x:v>
      </x:c>
      <x:c r="R189" s="55" t="str">
        <x:v>train</x:v>
      </x:c>
      <x:c r="S189" s="55" t="str">
        <x:v>Needs t0 middle-frame review</x:v>
      </x:c>
      <x:c r="T189" s="55" t="str">
        <x:v>Omitted physical attributes: upside down.</x:v>
      </x:c>
      <x:c r="U189" s="57" t="n">
        <x:f>'Sampler Weights'!K196</x:f>
        <x:v>3.125</x:v>
      </x:c>
    </x:row>
    <x:row r="190">
      <x:c r="A190" s="56" t="n">
        <x:v>185</x:v>
      </x:c>
      <x:c r="B190" s="54" t="str">
        <x:v>justintiensmith/MT_State_Recognition_200:185</x:v>
      </x:c>
      <x:c r="C190" s="55" t="str">
        <x:v>Place a glass spice container in the bowl.</x:v>
      </x:c>
      <x:c r="D190" s="55" t="str">
        <x:v>generic_mask</x:v>
      </x:c>
      <x:c r="E190" s="55" t="str">
        <x:v>none</x:v>
      </x:c>
      <x:c r="F190" s="55" t="str">
        <x:v>closed; upright</x:v>
      </x:c>
      <x:c r="G190" s="54" t="str">
        <x:v>glass_spice_container_a</x:v>
      </x:c>
      <x:c r="H190" s="54" t="str">
        <x:v>glass spice container</x:v>
      </x:c>
      <x:c r="I190" s="54" t="str">
        <x:v>closed</x:v>
      </x:c>
      <x:c r="J190" s="54" t="str">
        <x:v>upright</x:v>
      </x:c>
      <x:c r="K190" s="56" t="n">
        <x:v>2</x:v>
      </x:c>
      <x:c r="L190" s="55" t="str">
        <x:v>["glass_spice_container_a","glass_spice_container_b"]</x:v>
      </x:c>
      <x:c r="M190" s="55" t="str">
        <x:v>PASS</x:v>
      </x:c>
      <x:c r="N190" s="55" t="str">
        <x:v>Yes</x:v>
      </x:c>
      <x:c r="O190" s="55" t="str">
        <x:v>Remove both state and orientation language; retain only the object category.</x:v>
      </x:c>
      <x:c r="P190" s="55" t="str">
        <x:v>PASS</x:v>
      </x:c>
      <x:c r="Q190" s="55" t="str">
        <x:v>generic_mask|glass_spice_container|closed|right_side_up</x:v>
      </x:c>
      <x:c r="R190" s="55" t="str">
        <x:v>train</x:v>
      </x:c>
      <x:c r="S190" s="55" t="str">
        <x:v>Needs t0 middle-frame review</x:v>
      </x:c>
      <x:c r="T190" s="55" t="str">
        <x:v>Omitted physical attributes: closed; upright.</x:v>
      </x:c>
      <x:c r="U190" s="57" t="n">
        <x:f>'Sampler Weights'!K197</x:f>
        <x:v>0.3125</x:v>
      </x:c>
    </x:row>
    <x:row r="191">
      <x:c r="A191" s="56" t="n">
        <x:v>186</x:v>
      </x:c>
      <x:c r="B191" s="54" t="str">
        <x:v>justintiensmith/MT_State_Recognition_200:186</x:v>
      </x:c>
      <x:c r="C191" s="55" t="str">
        <x:v>Place a glass spice container in the bowl.</x:v>
      </x:c>
      <x:c r="D191" s="55" t="str">
        <x:v>generic_mask</x:v>
      </x:c>
      <x:c r="E191" s="55" t="str">
        <x:v>none</x:v>
      </x:c>
      <x:c r="F191" s="55" t="str"/>
      <x:c r="G191" s="54" t="str">
        <x:v>glass_spice_container_a</x:v>
      </x:c>
      <x:c r="H191" s="54" t="str">
        <x:v>glass spice container</x:v>
      </x:c>
      <x:c r="I191" s="54" t="str">
        <x:v>open</x:v>
      </x:c>
      <x:c r="J191" s="54" t="str">
        <x:v>upside down</x:v>
      </x:c>
      <x:c r="K191" s="56" t="n">
        <x:v>2</x:v>
      </x:c>
      <x:c r="L191" s="55" t="str">
        <x:v>["glass_spice_container_a","glass_spice_container_b"]</x:v>
      </x:c>
      <x:c r="M191" s="55" t="str">
        <x:v>PASS</x:v>
      </x:c>
      <x:c r="N191" s="55" t="str">
        <x:v>Yes</x:v>
      </x:c>
      <x:c r="O191" s="55" t="str">
        <x:v>Remove both state and orientation language; retain only the object category.</x:v>
      </x:c>
      <x:c r="P191" s="55" t="str">
        <x:v>PASS</x:v>
      </x:c>
      <x:c r="Q191" s="55" t="str">
        <x:v>generic_mask|glass_spice_container|open|upside_down</x:v>
      </x:c>
      <x:c r="R191" s="55" t="str">
        <x:v>train</x:v>
      </x:c>
      <x:c r="S191" s="55" t="str">
        <x:v>Needs t0 middle-frame review</x:v>
      </x:c>
      <x:c r="T191" s="55" t="str">
        <x:v>Omitted physical attributes: open; upside down.</x:v>
      </x:c>
      <x:c r="U191" s="57" t="n">
        <x:f>'Sampler Weights'!K198</x:f>
        <x:v>2.083333333333333</x:v>
      </x:c>
    </x:row>
    <x:row r="192">
      <x:c r="A192" s="56" t="n">
        <x:v>187</x:v>
      </x:c>
      <x:c r="B192" s="54" t="str">
        <x:v>justintiensmith/MT_State_Recognition_200:187</x:v>
      </x:c>
      <x:c r="C192" s="55" t="str">
        <x:v>Place an upside-down glass spice container in the bowl.</x:v>
      </x:c>
      <x:c r="D192" s="55" t="str">
        <x:v>explicit_seen_upside_down</x:v>
      </x:c>
      <x:c r="E192" s="55" t="str">
        <x:v>upside-down</x:v>
      </x:c>
      <x:c r="F192" s="55" t="str">
        <x:v>closed</x:v>
      </x:c>
      <x:c r="G192" s="54" t="str">
        <x:v>glass_spice_container_a</x:v>
      </x:c>
      <x:c r="H192" s="54" t="str">
        <x:v>glass spice container</x:v>
      </x:c>
      <x:c r="I192" s="54" t="str">
        <x:v>closed</x:v>
      </x:c>
      <x:c r="J192" s="54" t="str">
        <x:v>upside down</x:v>
      </x:c>
      <x:c r="K192" s="56" t="n">
        <x:v>1</x:v>
      </x:c>
      <x:c r="L192" s="55" t="str">
        <x:v>["glass_spice_container_a"]</x:v>
      </x:c>
      <x:c r="M192" s="55" t="str">
        <x:v>PASS</x:v>
      </x:c>
      <x:c r="N192" s="55" t="str">
        <x:v>No</x:v>
      </x:c>
      <x:c r="O192" s="55" t="str">
        <x:v>Keep the seen semantic upside-down; remove all open/closed language and all held-out wording.</x:v>
      </x:c>
      <x:c r="P192" s="55" t="str">
        <x:v>PASS</x:v>
      </x:c>
      <x:c r="Q192" s="55" t="str">
        <x:v>explicit_seen_upside_down|glass_spice_container|closed</x:v>
      </x:c>
      <x:c r="R192" s="55" t="str">
        <x:v>train</x:v>
      </x:c>
      <x:c r="S192" s="55" t="str">
        <x:v>Needs t0 middle-frame review</x:v>
      </x:c>
      <x:c r="T192" s="55" t="str">
        <x:v>Omitted physical attributes: closed.</x:v>
      </x:c>
      <x:c r="U192" s="57" t="n">
        <x:f>'Sampler Weights'!K199</x:f>
        <x:v>2.083333333333333</x:v>
      </x:c>
    </x:row>
    <x:row r="193">
      <x:c r="A193" s="56" t="n">
        <x:v>188</x:v>
      </x:c>
      <x:c r="B193" s="54" t="str">
        <x:v>justintiensmith/MT_State_Recognition_200:188</x:v>
      </x:c>
      <x:c r="C193" s="55" t="str">
        <x:v>Place an open glass spice container in the bowl.</x:v>
      </x:c>
      <x:c r="D193" s="55" t="str">
        <x:v>explicit_seen_open</x:v>
      </x:c>
      <x:c r="E193" s="55" t="str">
        <x:v>open</x:v>
      </x:c>
      <x:c r="F193" s="55" t="str">
        <x:v>upright</x:v>
      </x:c>
      <x:c r="G193" s="54" t="str">
        <x:v>glass_spice_container_b</x:v>
      </x:c>
      <x:c r="H193" s="54" t="str">
        <x:v>glass spice container</x:v>
      </x:c>
      <x:c r="I193" s="54" t="str">
        <x:v>open</x:v>
      </x:c>
      <x:c r="J193" s="54" t="str">
        <x:v>upright</x:v>
      </x:c>
      <x:c r="K193" s="56" t="n">
        <x:v>1</x:v>
      </x:c>
      <x:c r="L193" s="55" t="str">
        <x:v>["glass_spice_container_b"]</x:v>
      </x:c>
      <x:c r="M193" s="55" t="str">
        <x:v>PASS</x:v>
      </x:c>
      <x:c r="N193" s="55" t="str">
        <x:v>No</x:v>
      </x:c>
      <x:c r="O193" s="55" t="str">
        <x:v>Keep the seen semantic open; remove all orientation language and all held-out wording.</x:v>
      </x:c>
      <x:c r="P193" s="55" t="str">
        <x:v>PASS</x:v>
      </x:c>
      <x:c r="Q193" s="55" t="str">
        <x:v>explicit_seen_open|glass_spice_container|right_side_up</x:v>
      </x:c>
      <x:c r="R193" s="55" t="str">
        <x:v>train</x:v>
      </x:c>
      <x:c r="S193" s="55" t="str">
        <x:v>Needs t0 middle-frame review</x:v>
      </x:c>
      <x:c r="T193" s="55" t="str">
        <x:v>Omitted physical attributes: upright.</x:v>
      </x:c>
      <x:c r="U193" s="57" t="n">
        <x:f>'Sampler Weights'!K200</x:f>
        <x:v>0.6944444444444444</x:v>
      </x:c>
    </x:row>
    <x:row r="194">
      <x:c r="A194" s="56" t="n">
        <x:v>189</x:v>
      </x:c>
      <x:c r="B194" s="54" t="str">
        <x:v>justintiensmith/MT_State_Recognition_200:189</x:v>
      </x:c>
      <x:c r="C194" s="55" t="str">
        <x:v>Place a glass spice container in the bowl.</x:v>
      </x:c>
      <x:c r="D194" s="55" t="str">
        <x:v>generic_mask</x:v>
      </x:c>
      <x:c r="E194" s="55" t="str">
        <x:v>none</x:v>
      </x:c>
      <x:c r="F194" s="55" t="str">
        <x:v>closed</x:v>
      </x:c>
      <x:c r="G194" s="54" t="str">
        <x:v>glass_spice_container_a</x:v>
      </x:c>
      <x:c r="H194" s="54" t="str">
        <x:v>glass spice container</x:v>
      </x:c>
      <x:c r="I194" s="54" t="str">
        <x:v>closed</x:v>
      </x:c>
      <x:c r="J194" s="54" t="str">
        <x:v>upside down</x:v>
      </x:c>
      <x:c r="K194" s="56" t="n">
        <x:v>2</x:v>
      </x:c>
      <x:c r="L194" s="55" t="str">
        <x:v>["glass_spice_container_a","glass_spice_container_b"]</x:v>
      </x:c>
      <x:c r="M194" s="55" t="str">
        <x:v>PASS</x:v>
      </x:c>
      <x:c r="N194" s="55" t="str">
        <x:v>Yes</x:v>
      </x:c>
      <x:c r="O194" s="55" t="str">
        <x:v>Remove both state and orientation language; retain only the object category.</x:v>
      </x:c>
      <x:c r="P194" s="55" t="str">
        <x:v>PASS</x:v>
      </x:c>
      <x:c r="Q194" s="55" t="str">
        <x:v>generic_mask|glass_spice_container|closed|upside_down</x:v>
      </x:c>
      <x:c r="R194" s="55" t="str">
        <x:v>train</x:v>
      </x:c>
      <x:c r="S194" s="55" t="str">
        <x:v>Needs t0 middle-frame review</x:v>
      </x:c>
      <x:c r="T194" s="55" t="str">
        <x:v>Omitted physical attributes: closed; upside down.</x:v>
      </x:c>
      <x:c r="U194" s="57" t="n">
        <x:f>'Sampler Weights'!K201</x:f>
        <x:v>2.083333333333333</x:v>
      </x:c>
    </x:row>
    <x:row r="195">
      <x:c r="A195" s="56" t="n">
        <x:v>190</x:v>
      </x:c>
      <x:c r="B195" s="54" t="str">
        <x:v>justintiensmith/MT_State_Recognition_200:190</x:v>
      </x:c>
      <x:c r="C195" s="55" t="str">
        <x:v>Place an upside-down glass spice container in the bowl.</x:v>
      </x:c>
      <x:c r="D195" s="55" t="str">
        <x:v>explicit_seen_upside_down</x:v>
      </x:c>
      <x:c r="E195" s="55" t="str">
        <x:v>upside-down</x:v>
      </x:c>
      <x:c r="F195" s="55" t="str"/>
      <x:c r="G195" s="54" t="str">
        <x:v>glass_spice_container_b</x:v>
      </x:c>
      <x:c r="H195" s="54" t="str">
        <x:v>glass spice container</x:v>
      </x:c>
      <x:c r="I195" s="54" t="str">
        <x:v>open</x:v>
      </x:c>
      <x:c r="J195" s="54" t="str">
        <x:v>upside down</x:v>
      </x:c>
      <x:c r="K195" s="56" t="n">
        <x:v>1</x:v>
      </x:c>
      <x:c r="L195" s="55" t="str">
        <x:v>["glass_spice_container_b"]</x:v>
      </x:c>
      <x:c r="M195" s="55" t="str">
        <x:v>PASS</x:v>
      </x:c>
      <x:c r="N195" s="55" t="str">
        <x:v>No</x:v>
      </x:c>
      <x:c r="O195" s="55" t="str">
        <x:v>Keep the seen semantic upside-down; remove all open/closed language and all held-out wording.</x:v>
      </x:c>
      <x:c r="P195" s="55" t="str">
        <x:v>PASS</x:v>
      </x:c>
      <x:c r="Q195" s="55" t="str">
        <x:v>explicit_seen_upside_down|glass_spice_container|open</x:v>
      </x:c>
      <x:c r="R195" s="55" t="str">
        <x:v>train</x:v>
      </x:c>
      <x:c r="S195" s="55" t="str">
        <x:v>Needs t0 middle-frame review</x:v>
      </x:c>
      <x:c r="T195" s="55" t="str">
        <x:v>Omitted physical attributes: open.</x:v>
      </x:c>
      <x:c r="U195" s="57" t="n">
        <x:f>'Sampler Weights'!K202</x:f>
        <x:v>6.25</x:v>
      </x:c>
    </x:row>
    <x:row r="196">
      <x:c r="A196" s="56" t="n">
        <x:v>191</x:v>
      </x:c>
      <x:c r="B196" s="54" t="str">
        <x:v>justintiensmith/MT_State_Recognition_200:191</x:v>
      </x:c>
      <x:c r="C196" s="55" t="str">
        <x:v>Place a glass spice container in the bowl.</x:v>
      </x:c>
      <x:c r="D196" s="55" t="str">
        <x:v>generic_mask</x:v>
      </x:c>
      <x:c r="E196" s="55" t="str">
        <x:v>none</x:v>
      </x:c>
      <x:c r="F196" s="55" t="str">
        <x:v>closed; upright</x:v>
      </x:c>
      <x:c r="G196" s="54" t="str">
        <x:v>glass_spice_container_a</x:v>
      </x:c>
      <x:c r="H196" s="54" t="str">
        <x:v>glass spice container</x:v>
      </x:c>
      <x:c r="I196" s="54" t="str">
        <x:v>closed</x:v>
      </x:c>
      <x:c r="J196" s="54" t="str">
        <x:v>upright</x:v>
      </x:c>
      <x:c r="K196" s="56" t="n">
        <x:v>1</x:v>
      </x:c>
      <x:c r="L196" s="55" t="str">
        <x:v>["glass_spice_container_a"]</x:v>
      </x:c>
      <x:c r="M196" s="55" t="str">
        <x:v>PASS</x:v>
      </x:c>
      <x:c r="N196" s="55" t="str">
        <x:v>No</x:v>
      </x:c>
      <x:c r="O196" s="55" t="str">
        <x:v>Remove both state and orientation language; retain only the object category.</x:v>
      </x:c>
      <x:c r="P196" s="55" t="str">
        <x:v>PASS</x:v>
      </x:c>
      <x:c r="Q196" s="55" t="str">
        <x:v>generic_mask|glass_spice_container|closed|right_side_up</x:v>
      </x:c>
      <x:c r="R196" s="55" t="str">
        <x:v>train</x:v>
      </x:c>
      <x:c r="S196" s="55" t="str">
        <x:v>Needs t0 middle-frame review</x:v>
      </x:c>
      <x:c r="T196" s="55" t="str">
        <x:v>Omitted physical attributes: closed; upright.</x:v>
      </x:c>
      <x:c r="U196" s="57" t="n">
        <x:f>'Sampler Weights'!K203</x:f>
        <x:v>0.3125</x:v>
      </x:c>
    </x:row>
    <x:row r="197">
      <x:c r="A197" s="56" t="n">
        <x:v>192</x:v>
      </x:c>
      <x:c r="B197" s="54" t="str">
        <x:v>justintiensmith/MT_State_Recognition_200:192</x:v>
      </x:c>
      <x:c r="C197" s="55" t="str">
        <x:v>Place a glass spice container in the bowl.</x:v>
      </x:c>
      <x:c r="D197" s="55" t="str">
        <x:v>generic_mask</x:v>
      </x:c>
      <x:c r="E197" s="55" t="str">
        <x:v>none</x:v>
      </x:c>
      <x:c r="F197" s="55" t="str"/>
      <x:c r="G197" s="54" t="str">
        <x:v>glass_spice_container_b</x:v>
      </x:c>
      <x:c r="H197" s="54" t="str">
        <x:v>glass spice container</x:v>
      </x:c>
      <x:c r="I197" s="54" t="str">
        <x:v>open</x:v>
      </x:c>
      <x:c r="J197" s="54" t="str">
        <x:v>upside down</x:v>
      </x:c>
      <x:c r="K197" s="56" t="n">
        <x:v>2</x:v>
      </x:c>
      <x:c r="L197" s="55" t="str">
        <x:v>["glass_spice_container_b","glass_spice_container_a"]</x:v>
      </x:c>
      <x:c r="M197" s="55" t="str">
        <x:v>PASS</x:v>
      </x:c>
      <x:c r="N197" s="55" t="str">
        <x:v>Yes</x:v>
      </x:c>
      <x:c r="O197" s="55" t="str">
        <x:v>Remove both state and orientation language; retain only the object category.</x:v>
      </x:c>
      <x:c r="P197" s="55" t="str">
        <x:v>PASS</x:v>
      </x:c>
      <x:c r="Q197" s="55" t="str">
        <x:v>generic_mask|glass_spice_container|open|upside_down</x:v>
      </x:c>
      <x:c r="R197" s="55" t="str">
        <x:v>train</x:v>
      </x:c>
      <x:c r="S197" s="55" t="str">
        <x:v>Needs t0 middle-frame review</x:v>
      </x:c>
      <x:c r="T197" s="55" t="str">
        <x:v>Omitted physical attributes: open; upside down.</x:v>
      </x:c>
      <x:c r="U197" s="57" t="n">
        <x:f>'Sampler Weights'!K204</x:f>
        <x:v>2.083333333333333</x:v>
      </x:c>
    </x:row>
    <x:row r="198">
      <x:c r="A198" s="56" t="n">
        <x:v>193</x:v>
      </x:c>
      <x:c r="B198" s="54" t="str">
        <x:v>justintiensmith/MT_State_Recognition_200:193</x:v>
      </x:c>
      <x:c r="C198" s="55" t="str">
        <x:v>Place a glass spice container in the bowl.</x:v>
      </x:c>
      <x:c r="D198" s="55" t="str">
        <x:v>generic_mask</x:v>
      </x:c>
      <x:c r="E198" s="55" t="str">
        <x:v>none</x:v>
      </x:c>
      <x:c r="F198" s="55" t="str">
        <x:v>closed; upright</x:v>
      </x:c>
      <x:c r="G198" s="54" t="str">
        <x:v>glass_spice_container_a</x:v>
      </x:c>
      <x:c r="H198" s="54" t="str">
        <x:v>glass spice container</x:v>
      </x:c>
      <x:c r="I198" s="54" t="str">
        <x:v>closed</x:v>
      </x:c>
      <x:c r="J198" s="54" t="str">
        <x:v>upright</x:v>
      </x:c>
      <x:c r="K198" s="56" t="n">
        <x:v>1</x:v>
      </x:c>
      <x:c r="L198" s="55" t="str">
        <x:v>["glass_spice_container_a"]</x:v>
      </x:c>
      <x:c r="M198" s="55" t="str">
        <x:v>PASS</x:v>
      </x:c>
      <x:c r="N198" s="55" t="str">
        <x:v>No</x:v>
      </x:c>
      <x:c r="O198" s="55" t="str">
        <x:v>Remove both state and orientation language; retain only the object category.</x:v>
      </x:c>
      <x:c r="P198" s="55" t="str">
        <x:v>PASS</x:v>
      </x:c>
      <x:c r="Q198" s="55" t="str">
        <x:v>generic_mask|glass_spice_container|closed|right_side_up</x:v>
      </x:c>
      <x:c r="R198" s="55" t="str">
        <x:v>train</x:v>
      </x:c>
      <x:c r="S198" s="55" t="str">
        <x:v>Needs t0 middle-frame review</x:v>
      </x:c>
      <x:c r="T198" s="55" t="str">
        <x:v>Omitted physical attributes: closed; upright.</x:v>
      </x:c>
      <x:c r="U198" s="57" t="n">
        <x:f>'Sampler Weights'!K205</x:f>
        <x:v>0.3125</x:v>
      </x:c>
    </x:row>
    <x:row r="199">
      <x:c r="A199" s="56" t="n">
        <x:v>194</x:v>
      </x:c>
      <x:c r="B199" s="54" t="str">
        <x:v>justintiensmith/MT_State_Recognition_200:194</x:v>
      </x:c>
      <x:c r="C199" s="55" t="str">
        <x:v>Place a glass spice container in the bowl.</x:v>
      </x:c>
      <x:c r="D199" s="55" t="str">
        <x:v>generic_mask</x:v>
      </x:c>
      <x:c r="E199" s="55" t="str">
        <x:v>none</x:v>
      </x:c>
      <x:c r="F199" s="55" t="str">
        <x:v>upright</x:v>
      </x:c>
      <x:c r="G199" s="54" t="str">
        <x:v>glass_spice_container_b</x:v>
      </x:c>
      <x:c r="H199" s="54" t="str">
        <x:v>glass spice container</x:v>
      </x:c>
      <x:c r="I199" s="54" t="str">
        <x:v>open</x:v>
      </x:c>
      <x:c r="J199" s="54" t="str">
        <x:v>upright</x:v>
      </x:c>
      <x:c r="K199" s="56" t="n">
        <x:v>2</x:v>
      </x:c>
      <x:c r="L199" s="55" t="str">
        <x:v>["glass_spice_container_b","glass_spice_container_a"]</x:v>
      </x:c>
      <x:c r="M199" s="55" t="str">
        <x:v>PASS</x:v>
      </x:c>
      <x:c r="N199" s="55" t="str">
        <x:v>Yes</x:v>
      </x:c>
      <x:c r="O199" s="55" t="str">
        <x:v>Remove both state and orientation language; retain only the object category.</x:v>
      </x:c>
      <x:c r="P199" s="55" t="str">
        <x:v>PASS</x:v>
      </x:c>
      <x:c r="Q199" s="55" t="str">
        <x:v>generic_mask|glass_spice_container|open|right_side_up</x:v>
      </x:c>
      <x:c r="R199" s="55" t="str">
        <x:v>train</x:v>
      </x:c>
      <x:c r="S199" s="55" t="str">
        <x:v>Needs t0 middle-frame review</x:v>
      </x:c>
      <x:c r="T199" s="55" t="str">
        <x:v>Omitted physical attributes: open; upright.</x:v>
      </x:c>
      <x:c r="U199" s="57" t="n">
        <x:f>'Sampler Weights'!K206</x:f>
        <x:v>0.6944444444444444</x:v>
      </x:c>
    </x:row>
    <x:row r="200">
      <x:c r="A200" s="56" t="n">
        <x:v>195</x:v>
      </x:c>
      <x:c r="B200" s="54" t="str">
        <x:v>justintiensmith/MT_State_Recognition_200:195</x:v>
      </x:c>
      <x:c r="C200" s="55" t="str">
        <x:v>Place a glass spice container in the bowl.</x:v>
      </x:c>
      <x:c r="D200" s="55" t="str">
        <x:v>generic_mask</x:v>
      </x:c>
      <x:c r="E200" s="55" t="str">
        <x:v>none</x:v>
      </x:c>
      <x:c r="F200" s="55" t="str">
        <x:v>closed; upright</x:v>
      </x:c>
      <x:c r="G200" s="54" t="str">
        <x:v>glass_spice_container_a</x:v>
      </x:c>
      <x:c r="H200" s="54" t="str">
        <x:v>glass spice container</x:v>
      </x:c>
      <x:c r="I200" s="54" t="str">
        <x:v>closed</x:v>
      </x:c>
      <x:c r="J200" s="54" t="str">
        <x:v>upright</x:v>
      </x:c>
      <x:c r="K200" s="56" t="n">
        <x:v>2</x:v>
      </x:c>
      <x:c r="L200" s="55" t="str">
        <x:v>["glass_spice_container_a","glass_spice_container_b"]</x:v>
      </x:c>
      <x:c r="M200" s="55" t="str">
        <x:v>PASS</x:v>
      </x:c>
      <x:c r="N200" s="55" t="str">
        <x:v>Yes</x:v>
      </x:c>
      <x:c r="O200" s="55" t="str">
        <x:v>Remove both state and orientation language; retain only the object category.</x:v>
      </x:c>
      <x:c r="P200" s="55" t="str">
        <x:v>PASS</x:v>
      </x:c>
      <x:c r="Q200" s="55" t="str">
        <x:v>generic_mask|glass_spice_container|closed|right_side_up</x:v>
      </x:c>
      <x:c r="R200" s="55" t="str">
        <x:v>train</x:v>
      </x:c>
      <x:c r="S200" s="55" t="str">
        <x:v>Needs t0 middle-frame review</x:v>
      </x:c>
      <x:c r="T200" s="55" t="str">
        <x:v>Omitted physical attributes: closed; upright.</x:v>
      </x:c>
      <x:c r="U200" s="57" t="n">
        <x:f>'Sampler Weights'!K207</x:f>
        <x:v>0.3125</x:v>
      </x:c>
    </x:row>
    <x:row r="201">
      <x:c r="A201" s="56" t="n">
        <x:v>196</x:v>
      </x:c>
      <x:c r="B201" s="54" t="str">
        <x:v>justintiensmith/MT_State_Recognition_200:196</x:v>
      </x:c>
      <x:c r="C201" s="55" t="str">
        <x:v>Place an open glass spice container in the bowl.</x:v>
      </x:c>
      <x:c r="D201" s="55" t="str">
        <x:v>explicit_seen_open</x:v>
      </x:c>
      <x:c r="E201" s="55" t="str">
        <x:v>open</x:v>
      </x:c>
      <x:c r="F201" s="55" t="str"/>
      <x:c r="G201" s="54" t="str">
        <x:v>glass_spice_container_a</x:v>
      </x:c>
      <x:c r="H201" s="54" t="str">
        <x:v>glass spice container</x:v>
      </x:c>
      <x:c r="I201" s="54" t="str">
        <x:v>open</x:v>
      </x:c>
      <x:c r="J201" s="54" t="str">
        <x:v>upside down</x:v>
      </x:c>
      <x:c r="K201" s="56" t="n">
        <x:v>1</x:v>
      </x:c>
      <x:c r="L201" s="55" t="str">
        <x:v>["glass_spice_container_a"]</x:v>
      </x:c>
      <x:c r="M201" s="55" t="str">
        <x:v>PASS</x:v>
      </x:c>
      <x:c r="N201" s="55" t="str">
        <x:v>No</x:v>
      </x:c>
      <x:c r="O201" s="55" t="str">
        <x:v>Keep the seen semantic open; remove all orientation language and all held-out wording.</x:v>
      </x:c>
      <x:c r="P201" s="55" t="str">
        <x:v>PASS</x:v>
      </x:c>
      <x:c r="Q201" s="55" t="str">
        <x:v>explicit_seen_open|glass_spice_container|upside_down</x:v>
      </x:c>
      <x:c r="R201" s="55" t="str">
        <x:v>train</x:v>
      </x:c>
      <x:c r="S201" s="55" t="str">
        <x:v>Needs t0 middle-frame review</x:v>
      </x:c>
      <x:c r="T201" s="55" t="str">
        <x:v>Omitted physical attributes: upside down.</x:v>
      </x:c>
      <x:c r="U201" s="57" t="n">
        <x:f>'Sampler Weights'!K208</x:f>
        <x:v>3.125</x:v>
      </x:c>
    </x:row>
    <x:row r="202">
      <x:c r="A202" s="56" t="n">
        <x:v>197</x:v>
      </x:c>
      <x:c r="B202" s="54" t="str">
        <x:v>justintiensmith/MT_State_Recognition_200:197</x:v>
      </x:c>
      <x:c r="C202" s="55" t="str">
        <x:v>Place a glass spice container in the bowl.</x:v>
      </x:c>
      <x:c r="D202" s="55" t="str">
        <x:v>generic_mask</x:v>
      </x:c>
      <x:c r="E202" s="55" t="str">
        <x:v>none</x:v>
      </x:c>
      <x:c r="F202" s="55" t="str">
        <x:v>closed; upright</x:v>
      </x:c>
      <x:c r="G202" s="54" t="str">
        <x:v>glass_spice_container_b</x:v>
      </x:c>
      <x:c r="H202" s="54" t="str">
        <x:v>glass spice container</x:v>
      </x:c>
      <x:c r="I202" s="54" t="str">
        <x:v>closed</x:v>
      </x:c>
      <x:c r="J202" s="54" t="str">
        <x:v>upright</x:v>
      </x:c>
      <x:c r="K202" s="56" t="n">
        <x:v>2</x:v>
      </x:c>
      <x:c r="L202" s="55" t="str">
        <x:v>["glass_spice_container_b","glass_spice_container_a"]</x:v>
      </x:c>
      <x:c r="M202" s="55" t="str">
        <x:v>PASS</x:v>
      </x:c>
      <x:c r="N202" s="55" t="str">
        <x:v>Yes</x:v>
      </x:c>
      <x:c r="O202" s="55" t="str">
        <x:v>Remove both state and orientation language; retain only the object category.</x:v>
      </x:c>
      <x:c r="P202" s="55" t="str">
        <x:v>PASS</x:v>
      </x:c>
      <x:c r="Q202" s="55" t="str">
        <x:v>generic_mask|glass_spice_container|closed|right_side_up</x:v>
      </x:c>
      <x:c r="R202" s="55" t="str">
        <x:v>train</x:v>
      </x:c>
      <x:c r="S202" s="55" t="str">
        <x:v>Needs t0 middle-frame review</x:v>
      </x:c>
      <x:c r="T202" s="55" t="str">
        <x:v>Omitted physical attributes: closed; upright.</x:v>
      </x:c>
      <x:c r="U202" s="57" t="n">
        <x:f>'Sampler Weights'!K209</x:f>
        <x:v>0.3125</x:v>
      </x:c>
    </x:row>
    <x:row r="203">
      <x:c r="A203" s="56" t="n">
        <x:v>198</x:v>
      </x:c>
      <x:c r="B203" s="54" t="str">
        <x:v>justintiensmith/MT_State_Recognition_200:198</x:v>
      </x:c>
      <x:c r="C203" s="55" t="str">
        <x:v>Place an open glass spice container in the bowl.</x:v>
      </x:c>
      <x:c r="D203" s="55" t="str">
        <x:v>explicit_seen_open</x:v>
      </x:c>
      <x:c r="E203" s="55" t="str">
        <x:v>open</x:v>
      </x:c>
      <x:c r="F203" s="55" t="str">
        <x:v>upright</x:v>
      </x:c>
      <x:c r="G203" s="54" t="str">
        <x:v>glass_spice_container_b</x:v>
      </x:c>
      <x:c r="H203" s="54" t="str">
        <x:v>glass spice container</x:v>
      </x:c>
      <x:c r="I203" s="54" t="str">
        <x:v>open</x:v>
      </x:c>
      <x:c r="J203" s="54" t="str">
        <x:v>upright</x:v>
      </x:c>
      <x:c r="K203" s="56" t="n">
        <x:v>2</x:v>
      </x:c>
      <x:c r="L203" s="55" t="str">
        <x:v>["glass_spice_container_b","glass_spice_container_a"]</x:v>
      </x:c>
      <x:c r="M203" s="55" t="str">
        <x:v>PASS</x:v>
      </x:c>
      <x:c r="N203" s="55" t="str">
        <x:v>Yes</x:v>
      </x:c>
      <x:c r="O203" s="55" t="str">
        <x:v>Keep the seen semantic open; remove all orientation language and all held-out wording.</x:v>
      </x:c>
      <x:c r="P203" s="55" t="str">
        <x:v>PASS</x:v>
      </x:c>
      <x:c r="Q203" s="55" t="str">
        <x:v>explicit_seen_open|glass_spice_container|right_side_up</x:v>
      </x:c>
      <x:c r="R203" s="55" t="str">
        <x:v>train</x:v>
      </x:c>
      <x:c r="S203" s="55" t="str">
        <x:v>Needs t0 middle-frame review</x:v>
      </x:c>
      <x:c r="T203" s="55" t="str">
        <x:v>Omitted physical attributes: upright.</x:v>
      </x:c>
      <x:c r="U203" s="57" t="n">
        <x:f>'Sampler Weights'!K210</x:f>
        <x:v>0.6944444444444444</x:v>
      </x:c>
    </x:row>
    <x:row r="204">
      <x:c r="A204" s="56" t="n">
        <x:v>199</x:v>
      </x:c>
      <x:c r="B204" s="54" t="str">
        <x:v>justintiensmith/MT_State_Recognition_200:199</x:v>
      </x:c>
      <x:c r="C204" s="55" t="str">
        <x:v>Place an upside-down glass spice container in the bowl.</x:v>
      </x:c>
      <x:c r="D204" s="55" t="str">
        <x:v>explicit_seen_upside_down</x:v>
      </x:c>
      <x:c r="E204" s="55" t="str">
        <x:v>upside-down</x:v>
      </x:c>
      <x:c r="F204" s="55" t="str">
        <x:v>closed</x:v>
      </x:c>
      <x:c r="G204" s="54" t="str">
        <x:v>glass_spice_container_b</x:v>
      </x:c>
      <x:c r="H204" s="54" t="str">
        <x:v>glass spice container</x:v>
      </x:c>
      <x:c r="I204" s="54" t="str">
        <x:v>closed</x:v>
      </x:c>
      <x:c r="J204" s="54" t="str">
        <x:v>upside down</x:v>
      </x:c>
      <x:c r="K204" s="56" t="n">
        <x:v>1</x:v>
      </x:c>
      <x:c r="L204" s="55" t="str">
        <x:v>["glass_spice_container_b"]</x:v>
      </x:c>
      <x:c r="M204" s="55" t="str">
        <x:v>PASS</x:v>
      </x:c>
      <x:c r="N204" s="55" t="str">
        <x:v>No</x:v>
      </x:c>
      <x:c r="O204" s="55" t="str">
        <x:v>Keep the seen semantic upside-down; remove all open/closed language and all held-out wording.</x:v>
      </x:c>
      <x:c r="P204" s="55" t="str">
        <x:v>PASS</x:v>
      </x:c>
      <x:c r="Q204" s="55" t="str">
        <x:v>explicit_seen_upside_down|glass_spice_container|closed</x:v>
      </x:c>
      <x:c r="R204" s="55" t="str">
        <x:v>train</x:v>
      </x:c>
      <x:c r="S204" s="55" t="str">
        <x:v>Needs t0 middle-frame review</x:v>
      </x:c>
      <x:c r="T204" s="55" t="str">
        <x:v>Omitted physical attributes: closed.</x:v>
      </x:c>
      <x:c r="U204" s="57" t="n">
        <x:f>'Sampler Weights'!K211</x:f>
        <x:v>2.083333333333333</x:v>
      </x:c>
    </x:row>
  </x:sheetData>
  <x:mergeCells>
    <x:mergeCell ref="A1:U1"/>
    <x:mergeCell ref="A2:U2"/>
  </x:mergeCells>
  <x:conditionalFormatting sqref="M5:M204">
    <x:cfRule type="containsText" dxfId="0" priority="1" operator="containsText" text="PASS"/>
  </x:conditionalFormatting>
  <x:conditionalFormatting sqref="P5:P204">
    <x:cfRule type="containsText" dxfId="1" priority="2" operator="containsText" text="PASS"/>
  </x:conditionalFormatting>
  <x:conditionalFormatting sqref="N5:N204">
    <x:cfRule type="containsText" dxfId="2" priority="3" operator="containsText" text="Yes"/>
  </x:conditionalFormatting>
  <x:conditionalFormatting sqref="S5:S204">
    <x:cfRule type="containsText" dxfId="3" priority="4" operator="containsText" text="Needs"/>
  </x:conditionalFormatting>
  <x:dataValidations count="1">
    <x:dataValidation type="list" sqref="S5:S204">
      <x:formula1>"Needs t0 middle-frame review,Pass,Fail,Unclear"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01593615f74c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4" hidden="0" customWidth="1"/>
    <x:col min="5" max="5" width="18" hidden="0" customWidth="1"/>
    <x:col min="6" max="6" width="58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</x:cols>
  <x:sheetData>
    <x:row r="1" ht="30" customHeight="1">
      <x:c r="A1" s="3" t="str">
        <x:v>Recommended sampling weights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34" customHeight="1">
      <x:c r="A2" s="7" t="str">
        <x:v>Target batch mass: 50% generic, 25% explicit open, 25% explicit upside-down. Within each class, every balance stratum receives equal mass.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</x:row>
    <x:row r="4" ht="30" customHeight="1">
      <x:c r="A4" s="16" t="str">
        <x:v>Prompt class</x:v>
      </x:c>
      <x:c r="B4" s="29" t="str">
        <x:v>Target group mass</x:v>
      </x:c>
      <x:c r="C4" s="29" t="str">
        <x:v>Balance strata</x:v>
      </x:c>
      <x:c r="D4" s="29" t="str">
        <x:v>Raw episodes</x:v>
      </x:c>
      <x:c r="E4" s="17" t="str">
        <x:v>Calculated mass</x:v>
      </x:c>
    </x:row>
    <x:row r="5">
      <x:c r="A5" s="20" t="str">
        <x:v>generic_mask</x:v>
      </x:c>
      <x:c r="B5" s="32" t="n">
        <x:v>0.5</x:v>
      </x:c>
      <x:c r="C5" s="20" t="n">
        <x:v>16</x:v>
      </x:c>
      <x:c r="D5" s="20" t="n">
        <x:f>COUNTIF('Training Export'!$D$5:$D$204,A5)</x:f>
        <x:v>140</x:v>
      </x:c>
      <x:c r="E5" s="32" t="n">
        <x:f>SUMIF($B$12:$B$211,A5,$J$12:$J$211)</x:f>
        <x:v>0.5000000000000003</x:v>
      </x:c>
    </x:row>
    <x:row r="6">
      <x:c r="A6" s="22" t="str">
        <x:v>explicit_seen_open</x:v>
      </x:c>
      <x:c r="B6" s="34" t="n">
        <x:v>0.25</x:v>
      </x:c>
      <x:c r="C6" s="22" t="n">
        <x:v>8</x:v>
      </x:c>
      <x:c r="D6" s="22" t="n">
        <x:f>COUNTIF('Training Export'!$D$5:$D$204,A6)</x:f>
        <x:v>43</x:v>
      </x:c>
      <x:c r="E6" s="34" t="n">
        <x:f>SUMIF($B$12:$B$211,A6,$J$12:$J$211)</x:f>
        <x:v>0.24999999999999978</x:v>
      </x:c>
    </x:row>
    <x:row r="7">
      <x:c r="A7" s="24" t="str">
        <x:v>explicit_seen_upside_down</x:v>
      </x:c>
      <x:c r="B7" s="36" t="n">
        <x:v>0.25</x:v>
      </x:c>
      <x:c r="C7" s="24" t="n">
        <x:v>8</x:v>
      </x:c>
      <x:c r="D7" s="24" t="n">
        <x:f>COUNTIF('Training Export'!$D$5:$D$204,A7)</x:f>
        <x:v>17</x:v>
      </x:c>
      <x:c r="E7" s="36" t="n">
        <x:f>SUMIF($B$12:$B$211,A7,$J$12:$J$211)</x:f>
        <x:v>0.24999999999999997</x:v>
      </x:c>
    </x:row>
    <x:row r="11" ht="30" customHeight="1">
      <x:c r="A11" s="16" t="str">
        <x:v>Episode</x:v>
      </x:c>
      <x:c r="B11" s="29" t="str">
        <x:v>Prompt class</x:v>
      </x:c>
      <x:c r="C11" s="29" t="str">
        <x:v>Category</x:v>
      </x:c>
      <x:c r="D11" s="29" t="str">
        <x:v>State</x:v>
      </x:c>
      <x:c r="E11" s="29" t="str">
        <x:v>Orientation</x:v>
      </x:c>
      <x:c r="F11" s="29" t="str">
        <x:v>Balance stratum</x:v>
      </x:c>
      <x:c r="G11" s="29" t="str">
        <x:v>Raw count in stratum</x:v>
      </x:c>
      <x:c r="H11" s="29" t="str">
        <x:v>Target group mass</x:v>
      </x:c>
      <x:c r="I11" s="29" t="str">
        <x:v>Strata in group</x:v>
      </x:c>
      <x:c r="J11" s="29" t="str">
        <x:v>Sampling probability</x:v>
      </x:c>
      <x:c r="K11" s="17" t="str">
        <x:v>Relative multiplier</x:v>
      </x:c>
    </x:row>
    <x:row r="12">
      <x:c r="A12" s="56" t="n">
        <x:v>0</x:v>
      </x:c>
      <x:c r="B12" s="54" t="str">
        <x:v>generic_mask</x:v>
      </x:c>
      <x:c r="C12" s="54" t="str">
        <x:v>white cup</x:v>
      </x:c>
      <x:c r="D12" s="54" t="str">
        <x:v>closed</x:v>
      </x:c>
      <x:c r="E12" s="54" t="str">
        <x:v>upright</x:v>
      </x:c>
      <x:c r="F12" s="55" t="str">
        <x:v>generic_mask|white_cup|closed|right_side_up</x:v>
      </x:c>
      <x:c r="G12" s="56" t="n">
        <x:v>20</x:v>
      </x:c>
      <x:c r="H12" s="58" t="n">
        <x:f>IF(B12=$A$5,$B$5,IF(B12=$A$6,$B$6,$B$7))</x:f>
        <x:v>0.5</x:v>
      </x:c>
      <x:c r="I12" s="56" t="n">
        <x:f>IF(B12=$A$5,$C$5,IF(B12=$A$6,$C$6,$C$7))</x:f>
        <x:v>16</x:v>
      </x:c>
      <x:c r="J12" s="59" t="n">
        <x:f>H12/(I12*G12)</x:f>
        <x:v>0.0015625</x:v>
      </x:c>
      <x:c r="K12" s="60" t="n">
        <x:f>J12*'Summary'!$B$5</x:f>
        <x:v>0.3125</x:v>
      </x:c>
    </x:row>
    <x:row r="13">
      <x:c r="A13" s="56" t="n">
        <x:v>1</x:v>
      </x:c>
      <x:c r="B13" s="54" t="str">
        <x:v>generic_mask</x:v>
      </x:c>
      <x:c r="C13" s="54" t="str">
        <x:v>white cup</x:v>
      </x:c>
      <x:c r="D13" s="54" t="str">
        <x:v>open</x:v>
      </x:c>
      <x:c r="E13" s="54" t="str">
        <x:v>upright</x:v>
      </x:c>
      <x:c r="F13" s="55" t="str">
        <x:v>generic_mask|white_cup|open|right_side_up</x:v>
      </x:c>
      <x:c r="G13" s="56" t="n">
        <x:v>9</x:v>
      </x:c>
      <x:c r="H13" s="58" t="n">
        <x:f>IF(B13=$A$5,$B$5,IF(B13=$A$6,$B$6,$B$7))</x:f>
        <x:v>0.5</x:v>
      </x:c>
      <x:c r="I13" s="56" t="n">
        <x:f>IF(B13=$A$5,$C$5,IF(B13=$A$6,$C$6,$C$7))</x:f>
        <x:v>16</x:v>
      </x:c>
      <x:c r="J13" s="59" t="n">
        <x:f>H13/(I13*G13)</x:f>
        <x:v>0.003472222222222222</x:v>
      </x:c>
      <x:c r="K13" s="60" t="n">
        <x:f>J13*'Summary'!$B$5</x:f>
        <x:v>0.6944444444444444</x:v>
      </x:c>
    </x:row>
    <x:row r="14">
      <x:c r="A14" s="56" t="n">
        <x:v>2</x:v>
      </x:c>
      <x:c r="B14" s="54" t="str">
        <x:v>explicit_seen_open</x:v>
      </x:c>
      <x:c r="C14" s="54" t="str">
        <x:v>white cup</x:v>
      </x:c>
      <x:c r="D14" s="54" t="str">
        <x:v>open</x:v>
      </x:c>
      <x:c r="E14" s="54" t="str">
        <x:v>upright</x:v>
      </x:c>
      <x:c r="F14" s="55" t="str">
        <x:v>explicit_seen_open|white_cup|right_side_up</x:v>
      </x:c>
      <x:c r="G14" s="56" t="n">
        <x:v>9</x:v>
      </x:c>
      <x:c r="H14" s="58" t="n">
        <x:f>IF(B14=$A$5,$B$5,IF(B14=$A$6,$B$6,$B$7))</x:f>
        <x:v>0.25</x:v>
      </x:c>
      <x:c r="I14" s="56" t="n">
        <x:f>IF(B14=$A$5,$C$5,IF(B14=$A$6,$C$6,$C$7))</x:f>
        <x:v>8</x:v>
      </x:c>
      <x:c r="J14" s="59" t="n">
        <x:f>H14/(I14*G14)</x:f>
        <x:v>0.003472222222222222</x:v>
      </x:c>
      <x:c r="K14" s="60" t="n">
        <x:f>J14*'Summary'!$B$5</x:f>
        <x:v>0.6944444444444444</x:v>
      </x:c>
    </x:row>
    <x:row r="15">
      <x:c r="A15" s="56" t="n">
        <x:v>3</x:v>
      </x:c>
      <x:c r="B15" s="54" t="str">
        <x:v>generic_mask</x:v>
      </x:c>
      <x:c r="C15" s="54" t="str">
        <x:v>white cup</x:v>
      </x:c>
      <x:c r="D15" s="54" t="str">
        <x:v>closed</x:v>
      </x:c>
      <x:c r="E15" s="54" t="str">
        <x:v>upright</x:v>
      </x:c>
      <x:c r="F15" s="55" t="str">
        <x:v>generic_mask|white_cup|closed|right_side_up</x:v>
      </x:c>
      <x:c r="G15" s="56" t="n">
        <x:v>20</x:v>
      </x:c>
      <x:c r="H15" s="58" t="n">
        <x:f>IF(B15=$A$5,$B$5,IF(B15=$A$6,$B$6,$B$7))</x:f>
        <x:v>0.5</x:v>
      </x:c>
      <x:c r="I15" s="56" t="n">
        <x:f>IF(B15=$A$5,$C$5,IF(B15=$A$6,$C$6,$C$7))</x:f>
        <x:v>16</x:v>
      </x:c>
      <x:c r="J15" s="59" t="n">
        <x:f>H15/(I15*G15)</x:f>
        <x:v>0.0015625</x:v>
      </x:c>
      <x:c r="K15" s="60" t="n">
        <x:f>J15*'Summary'!$B$5</x:f>
        <x:v>0.3125</x:v>
      </x:c>
    </x:row>
    <x:row r="16">
      <x:c r="A16" s="56" t="n">
        <x:v>4</x:v>
      </x:c>
      <x:c r="B16" s="54" t="str">
        <x:v>generic_mask</x:v>
      </x:c>
      <x:c r="C16" s="54" t="str">
        <x:v>white cup</x:v>
      </x:c>
      <x:c r="D16" s="54" t="str">
        <x:v>closed</x:v>
      </x:c>
      <x:c r="E16" s="54" t="str">
        <x:v>upright</x:v>
      </x:c>
      <x:c r="F16" s="55" t="str">
        <x:v>generic_mask|white_cup|closed|right_side_up</x:v>
      </x:c>
      <x:c r="G16" s="56" t="n">
        <x:v>20</x:v>
      </x:c>
      <x:c r="H16" s="58" t="n">
        <x:f>IF(B16=$A$5,$B$5,IF(B16=$A$6,$B$6,$B$7))</x:f>
        <x:v>0.5</x:v>
      </x:c>
      <x:c r="I16" s="56" t="n">
        <x:f>IF(B16=$A$5,$C$5,IF(B16=$A$6,$C$6,$C$7))</x:f>
        <x:v>16</x:v>
      </x:c>
      <x:c r="J16" s="59" t="n">
        <x:f>H16/(I16*G16)</x:f>
        <x:v>0.0015625</x:v>
      </x:c>
      <x:c r="K16" s="60" t="n">
        <x:f>J16*'Summary'!$B$5</x:f>
        <x:v>0.3125</x:v>
      </x:c>
    </x:row>
    <x:row r="17">
      <x:c r="A17" s="56" t="n">
        <x:v>5</x:v>
      </x:c>
      <x:c r="B17" s="54" t="str">
        <x:v>generic_mask</x:v>
      </x:c>
      <x:c r="C17" s="54" t="str">
        <x:v>white cup</x:v>
      </x:c>
      <x:c r="D17" s="54" t="str">
        <x:v>open</x:v>
      </x:c>
      <x:c r="E17" s="54" t="str">
        <x:v>upright</x:v>
      </x:c>
      <x:c r="F17" s="55" t="str">
        <x:v>generic_mask|white_cup|open|right_side_up</x:v>
      </x:c>
      <x:c r="G17" s="56" t="n">
        <x:v>9</x:v>
      </x:c>
      <x:c r="H17" s="58" t="n">
        <x:f>IF(B17=$A$5,$B$5,IF(B17=$A$6,$B$6,$B$7))</x:f>
        <x:v>0.5</x:v>
      </x:c>
      <x:c r="I17" s="56" t="n">
        <x:f>IF(B17=$A$5,$C$5,IF(B17=$A$6,$C$6,$C$7))</x:f>
        <x:v>16</x:v>
      </x:c>
      <x:c r="J17" s="59" t="n">
        <x:f>H17/(I17*G17)</x:f>
        <x:v>0.003472222222222222</x:v>
      </x:c>
      <x:c r="K17" s="60" t="n">
        <x:f>J17*'Summary'!$B$5</x:f>
        <x:v>0.6944444444444444</x:v>
      </x:c>
    </x:row>
    <x:row r="18">
      <x:c r="A18" s="56" t="n">
        <x:v>6</x:v>
      </x:c>
      <x:c r="B18" s="54" t="str">
        <x:v>generic_mask</x:v>
      </x:c>
      <x:c r="C18" s="54" t="str">
        <x:v>white cup</x:v>
      </x:c>
      <x:c r="D18" s="54" t="str">
        <x:v>closed</x:v>
      </x:c>
      <x:c r="E18" s="54" t="str">
        <x:v>upright</x:v>
      </x:c>
      <x:c r="F18" s="55" t="str">
        <x:v>generic_mask|white_cup|closed|right_side_up</x:v>
      </x:c>
      <x:c r="G18" s="56" t="n">
        <x:v>20</x:v>
      </x:c>
      <x:c r="H18" s="58" t="n">
        <x:f>IF(B18=$A$5,$B$5,IF(B18=$A$6,$B$6,$B$7))</x:f>
        <x:v>0.5</x:v>
      </x:c>
      <x:c r="I18" s="56" t="n">
        <x:f>IF(B18=$A$5,$C$5,IF(B18=$A$6,$C$6,$C$7))</x:f>
        <x:v>16</x:v>
      </x:c>
      <x:c r="J18" s="59" t="n">
        <x:f>H18/(I18*G18)</x:f>
        <x:v>0.0015625</x:v>
      </x:c>
      <x:c r="K18" s="60" t="n">
        <x:f>J18*'Summary'!$B$5</x:f>
        <x:v>0.3125</x:v>
      </x:c>
    </x:row>
    <x:row r="19">
      <x:c r="A19" s="56" t="n">
        <x:v>7</x:v>
      </x:c>
      <x:c r="B19" s="54" t="str">
        <x:v>generic_mask</x:v>
      </x:c>
      <x:c r="C19" s="54" t="str">
        <x:v>white cup</x:v>
      </x:c>
      <x:c r="D19" s="54" t="str">
        <x:v>closed</x:v>
      </x:c>
      <x:c r="E19" s="54" t="str">
        <x:v>upright</x:v>
      </x:c>
      <x:c r="F19" s="55" t="str">
        <x:v>generic_mask|white_cup|closed|right_side_up</x:v>
      </x:c>
      <x:c r="G19" s="56" t="n">
        <x:v>20</x:v>
      </x:c>
      <x:c r="H19" s="58" t="n">
        <x:f>IF(B19=$A$5,$B$5,IF(B19=$A$6,$B$6,$B$7))</x:f>
        <x:v>0.5</x:v>
      </x:c>
      <x:c r="I19" s="56" t="n">
        <x:f>IF(B19=$A$5,$C$5,IF(B19=$A$6,$C$6,$C$7))</x:f>
        <x:v>16</x:v>
      </x:c>
      <x:c r="J19" s="59" t="n">
        <x:f>H19/(I19*G19)</x:f>
        <x:v>0.0015625</x:v>
      </x:c>
      <x:c r="K19" s="60" t="n">
        <x:f>J19*'Summary'!$B$5</x:f>
        <x:v>0.3125</x:v>
      </x:c>
    </x:row>
    <x:row r="20">
      <x:c r="A20" s="56" t="n">
        <x:v>8</x:v>
      </x:c>
      <x:c r="B20" s="54" t="str">
        <x:v>explicit_seen_open</x:v>
      </x:c>
      <x:c r="C20" s="54" t="str">
        <x:v>white cup</x:v>
      </x:c>
      <x:c r="D20" s="54" t="str">
        <x:v>open</x:v>
      </x:c>
      <x:c r="E20" s="54" t="str">
        <x:v>upright</x:v>
      </x:c>
      <x:c r="F20" s="55" t="str">
        <x:v>explicit_seen_open|white_cup|right_side_up</x:v>
      </x:c>
      <x:c r="G20" s="56" t="n">
        <x:v>9</x:v>
      </x:c>
      <x:c r="H20" s="58" t="n">
        <x:f>IF(B20=$A$5,$B$5,IF(B20=$A$6,$B$6,$B$7))</x:f>
        <x:v>0.25</x:v>
      </x:c>
      <x:c r="I20" s="56" t="n">
        <x:f>IF(B20=$A$5,$C$5,IF(B20=$A$6,$C$6,$C$7))</x:f>
        <x:v>8</x:v>
      </x:c>
      <x:c r="J20" s="59" t="n">
        <x:f>H20/(I20*G20)</x:f>
        <x:v>0.003472222222222222</x:v>
      </x:c>
      <x:c r="K20" s="60" t="n">
        <x:f>J20*'Summary'!$B$5</x:f>
        <x:v>0.6944444444444444</x:v>
      </x:c>
    </x:row>
    <x:row r="21">
      <x:c r="A21" s="56" t="n">
        <x:v>9</x:v>
      </x:c>
      <x:c r="B21" s="54" t="str">
        <x:v>generic_mask</x:v>
      </x:c>
      <x:c r="C21" s="54" t="str">
        <x:v>white cup</x:v>
      </x:c>
      <x:c r="D21" s="54" t="str">
        <x:v>open</x:v>
      </x:c>
      <x:c r="E21" s="54" t="str">
        <x:v>upright</x:v>
      </x:c>
      <x:c r="F21" s="55" t="str">
        <x:v>generic_mask|white_cup|open|right_side_up</x:v>
      </x:c>
      <x:c r="G21" s="56" t="n">
        <x:v>9</x:v>
      </x:c>
      <x:c r="H21" s="58" t="n">
        <x:f>IF(B21=$A$5,$B$5,IF(B21=$A$6,$B$6,$B$7))</x:f>
        <x:v>0.5</x:v>
      </x:c>
      <x:c r="I21" s="56" t="n">
        <x:f>IF(B21=$A$5,$C$5,IF(B21=$A$6,$C$6,$C$7))</x:f>
        <x:v>16</x:v>
      </x:c>
      <x:c r="J21" s="59" t="n">
        <x:f>H21/(I21*G21)</x:f>
        <x:v>0.003472222222222222</x:v>
      </x:c>
      <x:c r="K21" s="60" t="n">
        <x:f>J21*'Summary'!$B$5</x:f>
        <x:v>0.6944444444444444</x:v>
      </x:c>
    </x:row>
    <x:row r="22">
      <x:c r="A22" s="56" t="n">
        <x:v>10</x:v>
      </x:c>
      <x:c r="B22" s="54" t="str">
        <x:v>generic_mask</x:v>
      </x:c>
      <x:c r="C22" s="54" t="str">
        <x:v>white cup</x:v>
      </x:c>
      <x:c r="D22" s="54" t="str">
        <x:v>closed</x:v>
      </x:c>
      <x:c r="E22" s="54" t="str">
        <x:v>upright</x:v>
      </x:c>
      <x:c r="F22" s="55" t="str">
        <x:v>generic_mask|white_cup|closed|right_side_up</x:v>
      </x:c>
      <x:c r="G22" s="56" t="n">
        <x:v>20</x:v>
      </x:c>
      <x:c r="H22" s="58" t="n">
        <x:f>IF(B22=$A$5,$B$5,IF(B22=$A$6,$B$6,$B$7))</x:f>
        <x:v>0.5</x:v>
      </x:c>
      <x:c r="I22" s="56" t="n">
        <x:f>IF(B22=$A$5,$C$5,IF(B22=$A$6,$C$6,$C$7))</x:f>
        <x:v>16</x:v>
      </x:c>
      <x:c r="J22" s="59" t="n">
        <x:f>H22/(I22*G22)</x:f>
        <x:v>0.0015625</x:v>
      </x:c>
      <x:c r="K22" s="60" t="n">
        <x:f>J22*'Summary'!$B$5</x:f>
        <x:v>0.3125</x:v>
      </x:c>
    </x:row>
    <x:row r="23">
      <x:c r="A23" s="56" t="n">
        <x:v>11</x:v>
      </x:c>
      <x:c r="B23" s="54" t="str">
        <x:v>explicit_seen_open</x:v>
      </x:c>
      <x:c r="C23" s="54" t="str">
        <x:v>white cup</x:v>
      </x:c>
      <x:c r="D23" s="54" t="str">
        <x:v>open</x:v>
      </x:c>
      <x:c r="E23" s="54" t="str">
        <x:v>upright</x:v>
      </x:c>
      <x:c r="F23" s="55" t="str">
        <x:v>explicit_seen_open|white_cup|right_side_up</x:v>
      </x:c>
      <x:c r="G23" s="56" t="n">
        <x:v>9</x:v>
      </x:c>
      <x:c r="H23" s="58" t="n">
        <x:f>IF(B23=$A$5,$B$5,IF(B23=$A$6,$B$6,$B$7))</x:f>
        <x:v>0.25</x:v>
      </x:c>
      <x:c r="I23" s="56" t="n">
        <x:f>IF(B23=$A$5,$C$5,IF(B23=$A$6,$C$6,$C$7))</x:f>
        <x:v>8</x:v>
      </x:c>
      <x:c r="J23" s="59" t="n">
        <x:f>H23/(I23*G23)</x:f>
        <x:v>0.003472222222222222</x:v>
      </x:c>
      <x:c r="K23" s="60" t="n">
        <x:f>J23*'Summary'!$B$5</x:f>
        <x:v>0.6944444444444444</x:v>
      </x:c>
    </x:row>
    <x:row r="24">
      <x:c r="A24" s="56" t="n">
        <x:v>12</x:v>
      </x:c>
      <x:c r="B24" s="54" t="str">
        <x:v>generic_mask</x:v>
      </x:c>
      <x:c r="C24" s="54" t="str">
        <x:v>white cup</x:v>
      </x:c>
      <x:c r="D24" s="54" t="str">
        <x:v>open</x:v>
      </x:c>
      <x:c r="E24" s="54" t="str">
        <x:v>upright</x:v>
      </x:c>
      <x:c r="F24" s="55" t="str">
        <x:v>generic_mask|white_cup|open|right_side_up</x:v>
      </x:c>
      <x:c r="G24" s="56" t="n">
        <x:v>9</x:v>
      </x:c>
      <x:c r="H24" s="58" t="n">
        <x:f>IF(B24=$A$5,$B$5,IF(B24=$A$6,$B$6,$B$7))</x:f>
        <x:v>0.5</x:v>
      </x:c>
      <x:c r="I24" s="56" t="n">
        <x:f>IF(B24=$A$5,$C$5,IF(B24=$A$6,$C$6,$C$7))</x:f>
        <x:v>16</x:v>
      </x:c>
      <x:c r="J24" s="59" t="n">
        <x:f>H24/(I24*G24)</x:f>
        <x:v>0.003472222222222222</x:v>
      </x:c>
      <x:c r="K24" s="60" t="n">
        <x:f>J24*'Summary'!$B$5</x:f>
        <x:v>0.6944444444444444</x:v>
      </x:c>
    </x:row>
    <x:row r="25">
      <x:c r="A25" s="56" t="n">
        <x:v>13</x:v>
      </x:c>
      <x:c r="B25" s="54" t="str">
        <x:v>generic_mask</x:v>
      </x:c>
      <x:c r="C25" s="54" t="str">
        <x:v>white cup</x:v>
      </x:c>
      <x:c r="D25" s="54" t="str">
        <x:v>closed</x:v>
      </x:c>
      <x:c r="E25" s="54" t="str">
        <x:v>upright</x:v>
      </x:c>
      <x:c r="F25" s="55" t="str">
        <x:v>generic_mask|white_cup|closed|right_side_up</x:v>
      </x:c>
      <x:c r="G25" s="56" t="n">
        <x:v>20</x:v>
      </x:c>
      <x:c r="H25" s="58" t="n">
        <x:f>IF(B25=$A$5,$B$5,IF(B25=$A$6,$B$6,$B$7))</x:f>
        <x:v>0.5</x:v>
      </x:c>
      <x:c r="I25" s="56" t="n">
        <x:f>IF(B25=$A$5,$C$5,IF(B25=$A$6,$C$6,$C$7))</x:f>
        <x:v>16</x:v>
      </x:c>
      <x:c r="J25" s="59" t="n">
        <x:f>H25/(I25*G25)</x:f>
        <x:v>0.0015625</x:v>
      </x:c>
      <x:c r="K25" s="60" t="n">
        <x:f>J25*'Summary'!$B$5</x:f>
        <x:v>0.3125</x:v>
      </x:c>
    </x:row>
    <x:row r="26">
      <x:c r="A26" s="56" t="n">
        <x:v>14</x:v>
      </x:c>
      <x:c r="B26" s="54" t="str">
        <x:v>explicit_seen_open</x:v>
      </x:c>
      <x:c r="C26" s="54" t="str">
        <x:v>white cup</x:v>
      </x:c>
      <x:c r="D26" s="54" t="str">
        <x:v>open</x:v>
      </x:c>
      <x:c r="E26" s="54" t="str">
        <x:v>upright</x:v>
      </x:c>
      <x:c r="F26" s="55" t="str">
        <x:v>explicit_seen_open|white_cup|right_side_up</x:v>
      </x:c>
      <x:c r="G26" s="56" t="n">
        <x:v>9</x:v>
      </x:c>
      <x:c r="H26" s="58" t="n">
        <x:f>IF(B26=$A$5,$B$5,IF(B26=$A$6,$B$6,$B$7))</x:f>
        <x:v>0.25</x:v>
      </x:c>
      <x:c r="I26" s="56" t="n">
        <x:f>IF(B26=$A$5,$C$5,IF(B26=$A$6,$C$6,$C$7))</x:f>
        <x:v>8</x:v>
      </x:c>
      <x:c r="J26" s="59" t="n">
        <x:f>H26/(I26*G26)</x:f>
        <x:v>0.003472222222222222</x:v>
      </x:c>
      <x:c r="K26" s="60" t="n">
        <x:f>J26*'Summary'!$B$5</x:f>
        <x:v>0.6944444444444444</x:v>
      </x:c>
    </x:row>
    <x:row r="27">
      <x:c r="A27" s="56" t="n">
        <x:v>15</x:v>
      </x:c>
      <x:c r="B27" s="54" t="str">
        <x:v>generic_mask</x:v>
      </x:c>
      <x:c r="C27" s="54" t="str">
        <x:v>white cup</x:v>
      </x:c>
      <x:c r="D27" s="54" t="str">
        <x:v>closed</x:v>
      </x:c>
      <x:c r="E27" s="54" t="str">
        <x:v>upright</x:v>
      </x:c>
      <x:c r="F27" s="55" t="str">
        <x:v>generic_mask|white_cup|closed|right_side_up</x:v>
      </x:c>
      <x:c r="G27" s="56" t="n">
        <x:v>20</x:v>
      </x:c>
      <x:c r="H27" s="58" t="n">
        <x:f>IF(B27=$A$5,$B$5,IF(B27=$A$6,$B$6,$B$7))</x:f>
        <x:v>0.5</x:v>
      </x:c>
      <x:c r="I27" s="56" t="n">
        <x:f>IF(B27=$A$5,$C$5,IF(B27=$A$6,$C$6,$C$7))</x:f>
        <x:v>16</x:v>
      </x:c>
      <x:c r="J27" s="59" t="n">
        <x:f>H27/(I27*G27)</x:f>
        <x:v>0.0015625</x:v>
      </x:c>
      <x:c r="K27" s="60" t="n">
        <x:f>J27*'Summary'!$B$5</x:f>
        <x:v>0.3125</x:v>
      </x:c>
    </x:row>
    <x:row r="28">
      <x:c r="A28" s="56" t="n">
        <x:v>16</x:v>
      </x:c>
      <x:c r="B28" s="54" t="str">
        <x:v>generic_mask</x:v>
      </x:c>
      <x:c r="C28" s="54" t="str">
        <x:v>white cup</x:v>
      </x:c>
      <x:c r="D28" s="54" t="str">
        <x:v>closed</x:v>
      </x:c>
      <x:c r="E28" s="54" t="str">
        <x:v>upright</x:v>
      </x:c>
      <x:c r="F28" s="55" t="str">
        <x:v>generic_mask|white_cup|closed|right_side_up</x:v>
      </x:c>
      <x:c r="G28" s="56" t="n">
        <x:v>20</x:v>
      </x:c>
      <x:c r="H28" s="58" t="n">
        <x:f>IF(B28=$A$5,$B$5,IF(B28=$A$6,$B$6,$B$7))</x:f>
        <x:v>0.5</x:v>
      </x:c>
      <x:c r="I28" s="56" t="n">
        <x:f>IF(B28=$A$5,$C$5,IF(B28=$A$6,$C$6,$C$7))</x:f>
        <x:v>16</x:v>
      </x:c>
      <x:c r="J28" s="59" t="n">
        <x:f>H28/(I28*G28)</x:f>
        <x:v>0.0015625</x:v>
      </x:c>
      <x:c r="K28" s="60" t="n">
        <x:f>J28*'Summary'!$B$5</x:f>
        <x:v>0.3125</x:v>
      </x:c>
    </x:row>
    <x:row r="29">
      <x:c r="A29" s="56" t="n">
        <x:v>17</x:v>
      </x:c>
      <x:c r="B29" s="54" t="str">
        <x:v>generic_mask</x:v>
      </x:c>
      <x:c r="C29" s="54" t="str">
        <x:v>white cup</x:v>
      </x:c>
      <x:c r="D29" s="54" t="str">
        <x:v>open</x:v>
      </x:c>
      <x:c r="E29" s="54" t="str">
        <x:v>upright</x:v>
      </x:c>
      <x:c r="F29" s="55" t="str">
        <x:v>generic_mask|white_cup|open|right_side_up</x:v>
      </x:c>
      <x:c r="G29" s="56" t="n">
        <x:v>9</x:v>
      </x:c>
      <x:c r="H29" s="58" t="n">
        <x:f>IF(B29=$A$5,$B$5,IF(B29=$A$6,$B$6,$B$7))</x:f>
        <x:v>0.5</x:v>
      </x:c>
      <x:c r="I29" s="56" t="n">
        <x:f>IF(B29=$A$5,$C$5,IF(B29=$A$6,$C$6,$C$7))</x:f>
        <x:v>16</x:v>
      </x:c>
      <x:c r="J29" s="59" t="n">
        <x:f>H29/(I29*G29)</x:f>
        <x:v>0.003472222222222222</x:v>
      </x:c>
      <x:c r="K29" s="60" t="n">
        <x:f>J29*'Summary'!$B$5</x:f>
        <x:v>0.6944444444444444</x:v>
      </x:c>
    </x:row>
    <x:row r="30">
      <x:c r="A30" s="56" t="n">
        <x:v>18</x:v>
      </x:c>
      <x:c r="B30" s="54" t="str">
        <x:v>generic_mask</x:v>
      </x:c>
      <x:c r="C30" s="54" t="str">
        <x:v>white cup</x:v>
      </x:c>
      <x:c r="D30" s="54" t="str">
        <x:v>closed</x:v>
      </x:c>
      <x:c r="E30" s="54" t="str">
        <x:v>upright</x:v>
      </x:c>
      <x:c r="F30" s="55" t="str">
        <x:v>generic_mask|white_cup|closed|right_side_up</x:v>
      </x:c>
      <x:c r="G30" s="56" t="n">
        <x:v>20</x:v>
      </x:c>
      <x:c r="H30" s="58" t="n">
        <x:f>IF(B30=$A$5,$B$5,IF(B30=$A$6,$B$6,$B$7))</x:f>
        <x:v>0.5</x:v>
      </x:c>
      <x:c r="I30" s="56" t="n">
        <x:f>IF(B30=$A$5,$C$5,IF(B30=$A$6,$C$6,$C$7))</x:f>
        <x:v>16</x:v>
      </x:c>
      <x:c r="J30" s="59" t="n">
        <x:f>H30/(I30*G30)</x:f>
        <x:v>0.0015625</x:v>
      </x:c>
      <x:c r="K30" s="60" t="n">
        <x:f>J30*'Summary'!$B$5</x:f>
        <x:v>0.3125</x:v>
      </x:c>
    </x:row>
    <x:row r="31">
      <x:c r="A31" s="56" t="n">
        <x:v>19</x:v>
      </x:c>
      <x:c r="B31" s="54" t="str">
        <x:v>explicit_seen_open</x:v>
      </x:c>
      <x:c r="C31" s="54" t="str">
        <x:v>white cup</x:v>
      </x:c>
      <x:c r="D31" s="54" t="str">
        <x:v>open</x:v>
      </x:c>
      <x:c r="E31" s="54" t="str">
        <x:v>upright</x:v>
      </x:c>
      <x:c r="F31" s="55" t="str">
        <x:v>explicit_seen_open|white_cup|right_side_up</x:v>
      </x:c>
      <x:c r="G31" s="56" t="n">
        <x:v>9</x:v>
      </x:c>
      <x:c r="H31" s="58" t="n">
        <x:f>IF(B31=$A$5,$B$5,IF(B31=$A$6,$B$6,$B$7))</x:f>
        <x:v>0.25</x:v>
      </x:c>
      <x:c r="I31" s="56" t="n">
        <x:f>IF(B31=$A$5,$C$5,IF(B31=$A$6,$C$6,$C$7))</x:f>
        <x:v>8</x:v>
      </x:c>
      <x:c r="J31" s="59" t="n">
        <x:f>H31/(I31*G31)</x:f>
        <x:v>0.003472222222222222</x:v>
      </x:c>
      <x:c r="K31" s="60" t="n">
        <x:f>J31*'Summary'!$B$5</x:f>
        <x:v>0.6944444444444444</x:v>
      </x:c>
    </x:row>
    <x:row r="32">
      <x:c r="A32" s="56" t="n">
        <x:v>20</x:v>
      </x:c>
      <x:c r="B32" s="54" t="str">
        <x:v>generic_mask</x:v>
      </x:c>
      <x:c r="C32" s="54" t="str">
        <x:v>white cup</x:v>
      </x:c>
      <x:c r="D32" s="54" t="str">
        <x:v>open</x:v>
      </x:c>
      <x:c r="E32" s="54" t="str">
        <x:v>upright</x:v>
      </x:c>
      <x:c r="F32" s="55" t="str">
        <x:v>generic_mask|white_cup|open|right_side_up</x:v>
      </x:c>
      <x:c r="G32" s="56" t="n">
        <x:v>9</x:v>
      </x:c>
      <x:c r="H32" s="58" t="n">
        <x:f>IF(B32=$A$5,$B$5,IF(B32=$A$6,$B$6,$B$7))</x:f>
        <x:v>0.5</x:v>
      </x:c>
      <x:c r="I32" s="56" t="n">
        <x:f>IF(B32=$A$5,$C$5,IF(B32=$A$6,$C$6,$C$7))</x:f>
        <x:v>16</x:v>
      </x:c>
      <x:c r="J32" s="59" t="n">
        <x:f>H32/(I32*G32)</x:f>
        <x:v>0.003472222222222222</x:v>
      </x:c>
      <x:c r="K32" s="60" t="n">
        <x:f>J32*'Summary'!$B$5</x:f>
        <x:v>0.6944444444444444</x:v>
      </x:c>
    </x:row>
    <x:row r="33">
      <x:c r="A33" s="56" t="n">
        <x:v>21</x:v>
      </x:c>
      <x:c r="B33" s="54" t="str">
        <x:v>generic_mask</x:v>
      </x:c>
      <x:c r="C33" s="54" t="str">
        <x:v>white cup</x:v>
      </x:c>
      <x:c r="D33" s="54" t="str">
        <x:v>closed</x:v>
      </x:c>
      <x:c r="E33" s="54" t="str">
        <x:v>upright</x:v>
      </x:c>
      <x:c r="F33" s="55" t="str">
        <x:v>generic_mask|white_cup|closed|right_side_up</x:v>
      </x:c>
      <x:c r="G33" s="56" t="n">
        <x:v>20</x:v>
      </x:c>
      <x:c r="H33" s="58" t="n">
        <x:f>IF(B33=$A$5,$B$5,IF(B33=$A$6,$B$6,$B$7))</x:f>
        <x:v>0.5</x:v>
      </x:c>
      <x:c r="I33" s="56" t="n">
        <x:f>IF(B33=$A$5,$C$5,IF(B33=$A$6,$C$6,$C$7))</x:f>
        <x:v>16</x:v>
      </x:c>
      <x:c r="J33" s="59" t="n">
        <x:f>H33/(I33*G33)</x:f>
        <x:v>0.0015625</x:v>
      </x:c>
      <x:c r="K33" s="60" t="n">
        <x:f>J33*'Summary'!$B$5</x:f>
        <x:v>0.3125</x:v>
      </x:c>
    </x:row>
    <x:row r="34">
      <x:c r="A34" s="56" t="n">
        <x:v>22</x:v>
      </x:c>
      <x:c r="B34" s="54" t="str">
        <x:v>explicit_seen_open</x:v>
      </x:c>
      <x:c r="C34" s="54" t="str">
        <x:v>white cup</x:v>
      </x:c>
      <x:c r="D34" s="54" t="str">
        <x:v>open</x:v>
      </x:c>
      <x:c r="E34" s="54" t="str">
        <x:v>upright</x:v>
      </x:c>
      <x:c r="F34" s="55" t="str">
        <x:v>explicit_seen_open|white_cup|right_side_up</x:v>
      </x:c>
      <x:c r="G34" s="56" t="n">
        <x:v>9</x:v>
      </x:c>
      <x:c r="H34" s="58" t="n">
        <x:f>IF(B34=$A$5,$B$5,IF(B34=$A$6,$B$6,$B$7))</x:f>
        <x:v>0.25</x:v>
      </x:c>
      <x:c r="I34" s="56" t="n">
        <x:f>IF(B34=$A$5,$C$5,IF(B34=$A$6,$C$6,$C$7))</x:f>
        <x:v>8</x:v>
      </x:c>
      <x:c r="J34" s="59" t="n">
        <x:f>H34/(I34*G34)</x:f>
        <x:v>0.003472222222222222</x:v>
      </x:c>
      <x:c r="K34" s="60" t="n">
        <x:f>J34*'Summary'!$B$5</x:f>
        <x:v>0.6944444444444444</x:v>
      </x:c>
    </x:row>
    <x:row r="35">
      <x:c r="A35" s="56" t="n">
        <x:v>23</x:v>
      </x:c>
      <x:c r="B35" s="54" t="str">
        <x:v>generic_mask</x:v>
      </x:c>
      <x:c r="C35" s="54" t="str">
        <x:v>white cup</x:v>
      </x:c>
      <x:c r="D35" s="54" t="str">
        <x:v>closed</x:v>
      </x:c>
      <x:c r="E35" s="54" t="str">
        <x:v>upright</x:v>
      </x:c>
      <x:c r="F35" s="55" t="str">
        <x:v>generic_mask|white_cup|closed|right_side_up</x:v>
      </x:c>
      <x:c r="G35" s="56" t="n">
        <x:v>20</x:v>
      </x:c>
      <x:c r="H35" s="58" t="n">
        <x:f>IF(B35=$A$5,$B$5,IF(B35=$A$6,$B$6,$B$7))</x:f>
        <x:v>0.5</x:v>
      </x:c>
      <x:c r="I35" s="56" t="n">
        <x:f>IF(B35=$A$5,$C$5,IF(B35=$A$6,$C$6,$C$7))</x:f>
        <x:v>16</x:v>
      </x:c>
      <x:c r="J35" s="59" t="n">
        <x:f>H35/(I35*G35)</x:f>
        <x:v>0.0015625</x:v>
      </x:c>
      <x:c r="K35" s="60" t="n">
        <x:f>J35*'Summary'!$B$5</x:f>
        <x:v>0.3125</x:v>
      </x:c>
    </x:row>
    <x:row r="36">
      <x:c r="A36" s="56" t="n">
        <x:v>24</x:v>
      </x:c>
      <x:c r="B36" s="54" t="str">
        <x:v>generic_mask</x:v>
      </x:c>
      <x:c r="C36" s="54" t="str">
        <x:v>white cup</x:v>
      </x:c>
      <x:c r="D36" s="54" t="str">
        <x:v>open</x:v>
      </x:c>
      <x:c r="E36" s="54" t="str">
        <x:v>upright</x:v>
      </x:c>
      <x:c r="F36" s="55" t="str">
        <x:v>generic_mask|white_cup|open|right_side_up</x:v>
      </x:c>
      <x:c r="G36" s="56" t="n">
        <x:v>9</x:v>
      </x:c>
      <x:c r="H36" s="58" t="n">
        <x:f>IF(B36=$A$5,$B$5,IF(B36=$A$6,$B$6,$B$7))</x:f>
        <x:v>0.5</x:v>
      </x:c>
      <x:c r="I36" s="56" t="n">
        <x:f>IF(B36=$A$5,$C$5,IF(B36=$A$6,$C$6,$C$7))</x:f>
        <x:v>16</x:v>
      </x:c>
      <x:c r="J36" s="59" t="n">
        <x:f>H36/(I36*G36)</x:f>
        <x:v>0.003472222222222222</x:v>
      </x:c>
      <x:c r="K36" s="60" t="n">
        <x:f>J36*'Summary'!$B$5</x:f>
        <x:v>0.6944444444444444</x:v>
      </x:c>
    </x:row>
    <x:row r="37">
      <x:c r="A37" s="56" t="n">
        <x:v>25</x:v>
      </x:c>
      <x:c r="B37" s="54" t="str">
        <x:v>generic_mask</x:v>
      </x:c>
      <x:c r="C37" s="54" t="str">
        <x:v>white cup</x:v>
      </x:c>
      <x:c r="D37" s="54" t="str">
        <x:v>closed</x:v>
      </x:c>
      <x:c r="E37" s="54" t="str">
        <x:v>upside down</x:v>
      </x:c>
      <x:c r="F37" s="55" t="str">
        <x:v>generic_mask|white_cup|closed|upside_down</x:v>
      </x:c>
      <x:c r="G37" s="56" t="n">
        <x:v>3</x:v>
      </x:c>
      <x:c r="H37" s="58" t="n">
        <x:f>IF(B37=$A$5,$B$5,IF(B37=$A$6,$B$6,$B$7))</x:f>
        <x:v>0.5</x:v>
      </x:c>
      <x:c r="I37" s="56" t="n">
        <x:f>IF(B37=$A$5,$C$5,IF(B37=$A$6,$C$6,$C$7))</x:f>
        <x:v>16</x:v>
      </x:c>
      <x:c r="J37" s="59" t="n">
        <x:f>H37/(I37*G37)</x:f>
        <x:v>0.010416666666666666</x:v>
      </x:c>
      <x:c r="K37" s="60" t="n">
        <x:f>J37*'Summary'!$B$5</x:f>
        <x:v>2.083333333333333</x:v>
      </x:c>
    </x:row>
    <x:row r="38">
      <x:c r="A38" s="56" t="n">
        <x:v>26</x:v>
      </x:c>
      <x:c r="B38" s="54" t="str">
        <x:v>explicit_seen_open</x:v>
      </x:c>
      <x:c r="C38" s="54" t="str">
        <x:v>white cup</x:v>
      </x:c>
      <x:c r="D38" s="54" t="str">
        <x:v>open</x:v>
      </x:c>
      <x:c r="E38" s="54" t="str">
        <x:v>upright</x:v>
      </x:c>
      <x:c r="F38" s="55" t="str">
        <x:v>explicit_seen_open|white_cup|right_side_up</x:v>
      </x:c>
      <x:c r="G38" s="56" t="n">
        <x:v>9</x:v>
      </x:c>
      <x:c r="H38" s="58" t="n">
        <x:f>IF(B38=$A$5,$B$5,IF(B38=$A$6,$B$6,$B$7))</x:f>
        <x:v>0.25</x:v>
      </x:c>
      <x:c r="I38" s="56" t="n">
        <x:f>IF(B38=$A$5,$C$5,IF(B38=$A$6,$C$6,$C$7))</x:f>
        <x:v>8</x:v>
      </x:c>
      <x:c r="J38" s="59" t="n">
        <x:f>H38/(I38*G38)</x:f>
        <x:v>0.003472222222222222</x:v>
      </x:c>
      <x:c r="K38" s="60" t="n">
        <x:f>J38*'Summary'!$B$5</x:f>
        <x:v>0.6944444444444444</x:v>
      </x:c>
    </x:row>
    <x:row r="39">
      <x:c r="A39" s="56" t="n">
        <x:v>27</x:v>
      </x:c>
      <x:c r="B39" s="54" t="str">
        <x:v>generic_mask</x:v>
      </x:c>
      <x:c r="C39" s="54" t="str">
        <x:v>white cup</x:v>
      </x:c>
      <x:c r="D39" s="54" t="str">
        <x:v>closed</x:v>
      </x:c>
      <x:c r="E39" s="54" t="str">
        <x:v>upright</x:v>
      </x:c>
      <x:c r="F39" s="55" t="str">
        <x:v>generic_mask|white_cup|closed|right_side_up</x:v>
      </x:c>
      <x:c r="G39" s="56" t="n">
        <x:v>20</x:v>
      </x:c>
      <x:c r="H39" s="58" t="n">
        <x:f>IF(B39=$A$5,$B$5,IF(B39=$A$6,$B$6,$B$7))</x:f>
        <x:v>0.5</x:v>
      </x:c>
      <x:c r="I39" s="56" t="n">
        <x:f>IF(B39=$A$5,$C$5,IF(B39=$A$6,$C$6,$C$7))</x:f>
        <x:v>16</x:v>
      </x:c>
      <x:c r="J39" s="59" t="n">
        <x:f>H39/(I39*G39)</x:f>
        <x:v>0.0015625</x:v>
      </x:c>
      <x:c r="K39" s="60" t="n">
        <x:f>J39*'Summary'!$B$5</x:f>
        <x:v>0.3125</x:v>
      </x:c>
    </x:row>
    <x:row r="40">
      <x:c r="A40" s="56" t="n">
        <x:v>28</x:v>
      </x:c>
      <x:c r="B40" s="54" t="str">
        <x:v>generic_mask</x:v>
      </x:c>
      <x:c r="C40" s="54" t="str">
        <x:v>white cup</x:v>
      </x:c>
      <x:c r="D40" s="54" t="str">
        <x:v>open</x:v>
      </x:c>
      <x:c r="E40" s="54" t="str">
        <x:v>upside down</x:v>
      </x:c>
      <x:c r="F40" s="55" t="str">
        <x:v>generic_mask|white_cup|open|upside_down</x:v>
      </x:c>
      <x:c r="G40" s="56" t="n">
        <x:v>4</x:v>
      </x:c>
      <x:c r="H40" s="58" t="n">
        <x:f>IF(B40=$A$5,$B$5,IF(B40=$A$6,$B$6,$B$7))</x:f>
        <x:v>0.5</x:v>
      </x:c>
      <x:c r="I40" s="56" t="n">
        <x:f>IF(B40=$A$5,$C$5,IF(B40=$A$6,$C$6,$C$7))</x:f>
        <x:v>16</x:v>
      </x:c>
      <x:c r="J40" s="59" t="n">
        <x:f>H40/(I40*G40)</x:f>
        <x:v>0.0078125</x:v>
      </x:c>
      <x:c r="K40" s="60" t="n">
        <x:f>J40*'Summary'!$B$5</x:f>
        <x:v>1.5625</x:v>
      </x:c>
    </x:row>
    <x:row r="41">
      <x:c r="A41" s="56" t="n">
        <x:v>29</x:v>
      </x:c>
      <x:c r="B41" s="54" t="str">
        <x:v>explicit_seen_upside_down</x:v>
      </x:c>
      <x:c r="C41" s="54" t="str">
        <x:v>white cup</x:v>
      </x:c>
      <x:c r="D41" s="54" t="str">
        <x:v>closed</x:v>
      </x:c>
      <x:c r="E41" s="54" t="str">
        <x:v>upside down</x:v>
      </x:c>
      <x:c r="F41" s="55" t="str">
        <x:v>explicit_seen_upside_down|white_cup|closed</x:v>
      </x:c>
      <x:c r="G41" s="56" t="n">
        <x:v>2</x:v>
      </x:c>
      <x:c r="H41" s="58" t="n">
        <x:f>IF(B41=$A$5,$B$5,IF(B41=$A$6,$B$6,$B$7))</x:f>
        <x:v>0.25</x:v>
      </x:c>
      <x:c r="I41" s="56" t="n">
        <x:f>IF(B41=$A$5,$C$5,IF(B41=$A$6,$C$6,$C$7))</x:f>
        <x:v>8</x:v>
      </x:c>
      <x:c r="J41" s="59" t="n">
        <x:f>H41/(I41*G41)</x:f>
        <x:v>0.015625</x:v>
      </x:c>
      <x:c r="K41" s="60" t="n">
        <x:f>J41*'Summary'!$B$5</x:f>
        <x:v>3.125</x:v>
      </x:c>
    </x:row>
    <x:row r="42">
      <x:c r="A42" s="56" t="n">
        <x:v>30</x:v>
      </x:c>
      <x:c r="B42" s="54" t="str">
        <x:v>explicit_seen_open</x:v>
      </x:c>
      <x:c r="C42" s="54" t="str">
        <x:v>white cup</x:v>
      </x:c>
      <x:c r="D42" s="54" t="str">
        <x:v>open</x:v>
      </x:c>
      <x:c r="E42" s="54" t="str">
        <x:v>upside down</x:v>
      </x:c>
      <x:c r="F42" s="55" t="str">
        <x:v>explicit_seen_open|white_cup|upside_down</x:v>
      </x:c>
      <x:c r="G42" s="56" t="n">
        <x:v>2</x:v>
      </x:c>
      <x:c r="H42" s="58" t="n">
        <x:f>IF(B42=$A$5,$B$5,IF(B42=$A$6,$B$6,$B$7))</x:f>
        <x:v>0.25</x:v>
      </x:c>
      <x:c r="I42" s="56" t="n">
        <x:f>IF(B42=$A$5,$C$5,IF(B42=$A$6,$C$6,$C$7))</x:f>
        <x:v>8</x:v>
      </x:c>
      <x:c r="J42" s="59" t="n">
        <x:f>H42/(I42*G42)</x:f>
        <x:v>0.015625</x:v>
      </x:c>
      <x:c r="K42" s="60" t="n">
        <x:f>J42*'Summary'!$B$5</x:f>
        <x:v>3.125</x:v>
      </x:c>
    </x:row>
    <x:row r="43">
      <x:c r="A43" s="56" t="n">
        <x:v>31</x:v>
      </x:c>
      <x:c r="B43" s="54" t="str">
        <x:v>generic_mask</x:v>
      </x:c>
      <x:c r="C43" s="54" t="str">
        <x:v>white cup</x:v>
      </x:c>
      <x:c r="D43" s="54" t="str">
        <x:v>closed</x:v>
      </x:c>
      <x:c r="E43" s="54" t="str">
        <x:v>upright</x:v>
      </x:c>
      <x:c r="F43" s="55" t="str">
        <x:v>generic_mask|white_cup|closed|right_side_up</x:v>
      </x:c>
      <x:c r="G43" s="56" t="n">
        <x:v>20</x:v>
      </x:c>
      <x:c r="H43" s="58" t="n">
        <x:f>IF(B43=$A$5,$B$5,IF(B43=$A$6,$B$6,$B$7))</x:f>
        <x:v>0.5</x:v>
      </x:c>
      <x:c r="I43" s="56" t="n">
        <x:f>IF(B43=$A$5,$C$5,IF(B43=$A$6,$C$6,$C$7))</x:f>
        <x:v>16</x:v>
      </x:c>
      <x:c r="J43" s="59" t="n">
        <x:f>H43/(I43*G43)</x:f>
        <x:v>0.0015625</x:v>
      </x:c>
      <x:c r="K43" s="60" t="n">
        <x:f>J43*'Summary'!$B$5</x:f>
        <x:v>0.3125</x:v>
      </x:c>
    </x:row>
    <x:row r="44">
      <x:c r="A44" s="56" t="n">
        <x:v>32</x:v>
      </x:c>
      <x:c r="B44" s="54" t="str">
        <x:v>generic_mask</x:v>
      </x:c>
      <x:c r="C44" s="54" t="str">
        <x:v>white cup</x:v>
      </x:c>
      <x:c r="D44" s="54" t="str">
        <x:v>open</x:v>
      </x:c>
      <x:c r="E44" s="54" t="str">
        <x:v>upside down</x:v>
      </x:c>
      <x:c r="F44" s="55" t="str">
        <x:v>generic_mask|white_cup|open|upside_down</x:v>
      </x:c>
      <x:c r="G44" s="56" t="n">
        <x:v>4</x:v>
      </x:c>
      <x:c r="H44" s="58" t="n">
        <x:f>IF(B44=$A$5,$B$5,IF(B44=$A$6,$B$6,$B$7))</x:f>
        <x:v>0.5</x:v>
      </x:c>
      <x:c r="I44" s="56" t="n">
        <x:f>IF(B44=$A$5,$C$5,IF(B44=$A$6,$C$6,$C$7))</x:f>
        <x:v>16</x:v>
      </x:c>
      <x:c r="J44" s="59" t="n">
        <x:f>H44/(I44*G44)</x:f>
        <x:v>0.0078125</x:v>
      </x:c>
      <x:c r="K44" s="60" t="n">
        <x:f>J44*'Summary'!$B$5</x:f>
        <x:v>1.5625</x:v>
      </x:c>
    </x:row>
    <x:row r="45">
      <x:c r="A45" s="56" t="n">
        <x:v>33</x:v>
      </x:c>
      <x:c r="B45" s="54" t="str">
        <x:v>generic_mask</x:v>
      </x:c>
      <x:c r="C45" s="54" t="str">
        <x:v>white cup</x:v>
      </x:c>
      <x:c r="D45" s="54" t="str">
        <x:v>closed</x:v>
      </x:c>
      <x:c r="E45" s="54" t="str">
        <x:v>upright</x:v>
      </x:c>
      <x:c r="F45" s="55" t="str">
        <x:v>generic_mask|white_cup|closed|right_side_up</x:v>
      </x:c>
      <x:c r="G45" s="56" t="n">
        <x:v>20</x:v>
      </x:c>
      <x:c r="H45" s="58" t="n">
        <x:f>IF(B45=$A$5,$B$5,IF(B45=$A$6,$B$6,$B$7))</x:f>
        <x:v>0.5</x:v>
      </x:c>
      <x:c r="I45" s="56" t="n">
        <x:f>IF(B45=$A$5,$C$5,IF(B45=$A$6,$C$6,$C$7))</x:f>
        <x:v>16</x:v>
      </x:c>
      <x:c r="J45" s="59" t="n">
        <x:f>H45/(I45*G45)</x:f>
        <x:v>0.0015625</x:v>
      </x:c>
      <x:c r="K45" s="60" t="n">
        <x:f>J45*'Summary'!$B$5</x:f>
        <x:v>0.3125</x:v>
      </x:c>
    </x:row>
    <x:row r="46">
      <x:c r="A46" s="56" t="n">
        <x:v>34</x:v>
      </x:c>
      <x:c r="B46" s="54" t="str">
        <x:v>explicit_seen_upside_down</x:v>
      </x:c>
      <x:c r="C46" s="54" t="str">
        <x:v>white cup</x:v>
      </x:c>
      <x:c r="D46" s="54" t="str">
        <x:v>open</x:v>
      </x:c>
      <x:c r="E46" s="54" t="str">
        <x:v>upside down</x:v>
      </x:c>
      <x:c r="F46" s="55" t="str">
        <x:v>explicit_seen_upside_down|white_cup|open</x:v>
      </x:c>
      <x:c r="G46" s="56" t="n">
        <x:v>1</x:v>
      </x:c>
      <x:c r="H46" s="58" t="n">
        <x:f>IF(B46=$A$5,$B$5,IF(B46=$A$6,$B$6,$B$7))</x:f>
        <x:v>0.25</x:v>
      </x:c>
      <x:c r="I46" s="56" t="n">
        <x:f>IF(B46=$A$5,$C$5,IF(B46=$A$6,$C$6,$C$7))</x:f>
        <x:v>8</x:v>
      </x:c>
      <x:c r="J46" s="59" t="n">
        <x:f>H46/(I46*G46)</x:f>
        <x:v>0.03125</x:v>
      </x:c>
      <x:c r="K46" s="60" t="n">
        <x:f>J46*'Summary'!$B$5</x:f>
        <x:v>6.25</x:v>
      </x:c>
    </x:row>
    <x:row r="47">
      <x:c r="A47" s="56" t="n">
        <x:v>35</x:v>
      </x:c>
      <x:c r="B47" s="54" t="str">
        <x:v>generic_mask</x:v>
      </x:c>
      <x:c r="C47" s="54" t="str">
        <x:v>white cup</x:v>
      </x:c>
      <x:c r="D47" s="54" t="str">
        <x:v>closed</x:v>
      </x:c>
      <x:c r="E47" s="54" t="str">
        <x:v>upside down</x:v>
      </x:c>
      <x:c r="F47" s="55" t="str">
        <x:v>generic_mask|white_cup|closed|upside_down</x:v>
      </x:c>
      <x:c r="G47" s="56" t="n">
        <x:v>3</x:v>
      </x:c>
      <x:c r="H47" s="58" t="n">
        <x:f>IF(B47=$A$5,$B$5,IF(B47=$A$6,$B$6,$B$7))</x:f>
        <x:v>0.5</x:v>
      </x:c>
      <x:c r="I47" s="56" t="n">
        <x:f>IF(B47=$A$5,$C$5,IF(B47=$A$6,$C$6,$C$7))</x:f>
        <x:v>16</x:v>
      </x:c>
      <x:c r="J47" s="59" t="n">
        <x:f>H47/(I47*G47)</x:f>
        <x:v>0.010416666666666666</x:v>
      </x:c>
      <x:c r="K47" s="60" t="n">
        <x:f>J47*'Summary'!$B$5</x:f>
        <x:v>2.083333333333333</x:v>
      </x:c>
    </x:row>
    <x:row r="48">
      <x:c r="A48" s="56" t="n">
        <x:v>36</x:v>
      </x:c>
      <x:c r="B48" s="54" t="str">
        <x:v>generic_mask</x:v>
      </x:c>
      <x:c r="C48" s="54" t="str">
        <x:v>white cup</x:v>
      </x:c>
      <x:c r="D48" s="54" t="str">
        <x:v>open</x:v>
      </x:c>
      <x:c r="E48" s="54" t="str">
        <x:v>upright</x:v>
      </x:c>
      <x:c r="F48" s="55" t="str">
        <x:v>generic_mask|white_cup|open|right_side_up</x:v>
      </x:c>
      <x:c r="G48" s="56" t="n">
        <x:v>9</x:v>
      </x:c>
      <x:c r="H48" s="58" t="n">
        <x:f>IF(B48=$A$5,$B$5,IF(B48=$A$6,$B$6,$B$7))</x:f>
        <x:v>0.5</x:v>
      </x:c>
      <x:c r="I48" s="56" t="n">
        <x:f>IF(B48=$A$5,$C$5,IF(B48=$A$6,$C$6,$C$7))</x:f>
        <x:v>16</x:v>
      </x:c>
      <x:c r="J48" s="59" t="n">
        <x:f>H48/(I48*G48)</x:f>
        <x:v>0.003472222222222222</x:v>
      </x:c>
      <x:c r="K48" s="60" t="n">
        <x:f>J48*'Summary'!$B$5</x:f>
        <x:v>0.6944444444444444</x:v>
      </x:c>
    </x:row>
    <x:row r="49">
      <x:c r="A49" s="56" t="n">
        <x:v>37</x:v>
      </x:c>
      <x:c r="B49" s="54" t="str">
        <x:v>generic_mask</x:v>
      </x:c>
      <x:c r="C49" s="54" t="str">
        <x:v>white cup</x:v>
      </x:c>
      <x:c r="D49" s="54" t="str">
        <x:v>closed</x:v>
      </x:c>
      <x:c r="E49" s="54" t="str">
        <x:v>upright</x:v>
      </x:c>
      <x:c r="F49" s="55" t="str">
        <x:v>generic_mask|white_cup|closed|right_side_up</x:v>
      </x:c>
      <x:c r="G49" s="56" t="n">
        <x:v>20</x:v>
      </x:c>
      <x:c r="H49" s="58" t="n">
        <x:f>IF(B49=$A$5,$B$5,IF(B49=$A$6,$B$6,$B$7))</x:f>
        <x:v>0.5</x:v>
      </x:c>
      <x:c r="I49" s="56" t="n">
        <x:f>IF(B49=$A$5,$C$5,IF(B49=$A$6,$C$6,$C$7))</x:f>
        <x:v>16</x:v>
      </x:c>
      <x:c r="J49" s="59" t="n">
        <x:f>H49/(I49*G49)</x:f>
        <x:v>0.0015625</x:v>
      </x:c>
      <x:c r="K49" s="60" t="n">
        <x:f>J49*'Summary'!$B$5</x:f>
        <x:v>0.3125</x:v>
      </x:c>
    </x:row>
    <x:row r="50">
      <x:c r="A50" s="56" t="n">
        <x:v>38</x:v>
      </x:c>
      <x:c r="B50" s="54" t="str">
        <x:v>generic_mask</x:v>
      </x:c>
      <x:c r="C50" s="54" t="str">
        <x:v>white cup</x:v>
      </x:c>
      <x:c r="D50" s="54" t="str">
        <x:v>open</x:v>
      </x:c>
      <x:c r="E50" s="54" t="str">
        <x:v>upside down</x:v>
      </x:c>
      <x:c r="F50" s="55" t="str">
        <x:v>generic_mask|white_cup|open|upside_down</x:v>
      </x:c>
      <x:c r="G50" s="56" t="n">
        <x:v>4</x:v>
      </x:c>
      <x:c r="H50" s="58" t="n">
        <x:f>IF(B50=$A$5,$B$5,IF(B50=$A$6,$B$6,$B$7))</x:f>
        <x:v>0.5</x:v>
      </x:c>
      <x:c r="I50" s="56" t="n">
        <x:f>IF(B50=$A$5,$C$5,IF(B50=$A$6,$C$6,$C$7))</x:f>
        <x:v>16</x:v>
      </x:c>
      <x:c r="J50" s="59" t="n">
        <x:f>H50/(I50*G50)</x:f>
        <x:v>0.0078125</x:v>
      </x:c>
      <x:c r="K50" s="60" t="n">
        <x:f>J50*'Summary'!$B$5</x:f>
        <x:v>1.5625</x:v>
      </x:c>
    </x:row>
    <x:row r="51">
      <x:c r="A51" s="56" t="n">
        <x:v>39</x:v>
      </x:c>
      <x:c r="B51" s="54" t="str">
        <x:v>explicit_seen_upside_down</x:v>
      </x:c>
      <x:c r="C51" s="54" t="str">
        <x:v>white cup</x:v>
      </x:c>
      <x:c r="D51" s="54" t="str">
        <x:v>closed</x:v>
      </x:c>
      <x:c r="E51" s="54" t="str">
        <x:v>upside down</x:v>
      </x:c>
      <x:c r="F51" s="55" t="str">
        <x:v>explicit_seen_upside_down|white_cup|closed</x:v>
      </x:c>
      <x:c r="G51" s="56" t="n">
        <x:v>2</x:v>
      </x:c>
      <x:c r="H51" s="58" t="n">
        <x:f>IF(B51=$A$5,$B$5,IF(B51=$A$6,$B$6,$B$7))</x:f>
        <x:v>0.25</x:v>
      </x:c>
      <x:c r="I51" s="56" t="n">
        <x:f>IF(B51=$A$5,$C$5,IF(B51=$A$6,$C$6,$C$7))</x:f>
        <x:v>8</x:v>
      </x:c>
      <x:c r="J51" s="59" t="n">
        <x:f>H51/(I51*G51)</x:f>
        <x:v>0.015625</x:v>
      </x:c>
      <x:c r="K51" s="60" t="n">
        <x:f>J51*'Summary'!$B$5</x:f>
        <x:v>3.125</x:v>
      </x:c>
    </x:row>
    <x:row r="52">
      <x:c r="A52" s="56" t="n">
        <x:v>40</x:v>
      </x:c>
      <x:c r="B52" s="54" t="str">
        <x:v>explicit_seen_open</x:v>
      </x:c>
      <x:c r="C52" s="54" t="str">
        <x:v>white cup</x:v>
      </x:c>
      <x:c r="D52" s="54" t="str">
        <x:v>open</x:v>
      </x:c>
      <x:c r="E52" s="54" t="str">
        <x:v>upright</x:v>
      </x:c>
      <x:c r="F52" s="55" t="str">
        <x:v>explicit_seen_open|white_cup|right_side_up</x:v>
      </x:c>
      <x:c r="G52" s="56" t="n">
        <x:v>9</x:v>
      </x:c>
      <x:c r="H52" s="58" t="n">
        <x:f>IF(B52=$A$5,$B$5,IF(B52=$A$6,$B$6,$B$7))</x:f>
        <x:v>0.25</x:v>
      </x:c>
      <x:c r="I52" s="56" t="n">
        <x:f>IF(B52=$A$5,$C$5,IF(B52=$A$6,$C$6,$C$7))</x:f>
        <x:v>8</x:v>
      </x:c>
      <x:c r="J52" s="59" t="n">
        <x:f>H52/(I52*G52)</x:f>
        <x:v>0.003472222222222222</x:v>
      </x:c>
      <x:c r="K52" s="60" t="n">
        <x:f>J52*'Summary'!$B$5</x:f>
        <x:v>0.6944444444444444</x:v>
      </x:c>
    </x:row>
    <x:row r="53">
      <x:c r="A53" s="56" t="n">
        <x:v>41</x:v>
      </x:c>
      <x:c r="B53" s="54" t="str">
        <x:v>generic_mask</x:v>
      </x:c>
      <x:c r="C53" s="54" t="str">
        <x:v>white cup</x:v>
      </x:c>
      <x:c r="D53" s="54" t="str">
        <x:v>closed</x:v>
      </x:c>
      <x:c r="E53" s="54" t="str">
        <x:v>upright</x:v>
      </x:c>
      <x:c r="F53" s="55" t="str">
        <x:v>generic_mask|white_cup|closed|right_side_up</x:v>
      </x:c>
      <x:c r="G53" s="56" t="n">
        <x:v>20</x:v>
      </x:c>
      <x:c r="H53" s="58" t="n">
        <x:f>IF(B53=$A$5,$B$5,IF(B53=$A$6,$B$6,$B$7))</x:f>
        <x:v>0.5</x:v>
      </x:c>
      <x:c r="I53" s="56" t="n">
        <x:f>IF(B53=$A$5,$C$5,IF(B53=$A$6,$C$6,$C$7))</x:f>
        <x:v>16</x:v>
      </x:c>
      <x:c r="J53" s="59" t="n">
        <x:f>H53/(I53*G53)</x:f>
        <x:v>0.0015625</x:v>
      </x:c>
      <x:c r="K53" s="60" t="n">
        <x:f>J53*'Summary'!$B$5</x:f>
        <x:v>0.3125</x:v>
      </x:c>
    </x:row>
    <x:row r="54">
      <x:c r="A54" s="56" t="n">
        <x:v>42</x:v>
      </x:c>
      <x:c r="B54" s="54" t="str">
        <x:v>explicit_seen_open</x:v>
      </x:c>
      <x:c r="C54" s="54" t="str">
        <x:v>white cup</x:v>
      </x:c>
      <x:c r="D54" s="54" t="str">
        <x:v>open</x:v>
      </x:c>
      <x:c r="E54" s="54" t="str">
        <x:v>upside down</x:v>
      </x:c>
      <x:c r="F54" s="55" t="str">
        <x:v>explicit_seen_open|white_cup|upside_down</x:v>
      </x:c>
      <x:c r="G54" s="56" t="n">
        <x:v>2</x:v>
      </x:c>
      <x:c r="H54" s="58" t="n">
        <x:f>IF(B54=$A$5,$B$5,IF(B54=$A$6,$B$6,$B$7))</x:f>
        <x:v>0.25</x:v>
      </x:c>
      <x:c r="I54" s="56" t="n">
        <x:f>IF(B54=$A$5,$C$5,IF(B54=$A$6,$C$6,$C$7))</x:f>
        <x:v>8</x:v>
      </x:c>
      <x:c r="J54" s="59" t="n">
        <x:f>H54/(I54*G54)</x:f>
        <x:v>0.015625</x:v>
      </x:c>
      <x:c r="K54" s="60" t="n">
        <x:f>J54*'Summary'!$B$5</x:f>
        <x:v>3.125</x:v>
      </x:c>
    </x:row>
    <x:row r="55">
      <x:c r="A55" s="56" t="n">
        <x:v>43</x:v>
      </x:c>
      <x:c r="B55" s="54" t="str">
        <x:v>generic_mask</x:v>
      </x:c>
      <x:c r="C55" s="54" t="str">
        <x:v>white cup</x:v>
      </x:c>
      <x:c r="D55" s="54" t="str">
        <x:v>closed</x:v>
      </x:c>
      <x:c r="E55" s="54" t="str">
        <x:v>upside down</x:v>
      </x:c>
      <x:c r="F55" s="55" t="str">
        <x:v>generic_mask|white_cup|closed|upside_down</x:v>
      </x:c>
      <x:c r="G55" s="56" t="n">
        <x:v>3</x:v>
      </x:c>
      <x:c r="H55" s="58" t="n">
        <x:f>IF(B55=$A$5,$B$5,IF(B55=$A$6,$B$6,$B$7))</x:f>
        <x:v>0.5</x:v>
      </x:c>
      <x:c r="I55" s="56" t="n">
        <x:f>IF(B55=$A$5,$C$5,IF(B55=$A$6,$C$6,$C$7))</x:f>
        <x:v>16</x:v>
      </x:c>
      <x:c r="J55" s="59" t="n">
        <x:f>H55/(I55*G55)</x:f>
        <x:v>0.010416666666666666</x:v>
      </x:c>
      <x:c r="K55" s="60" t="n">
        <x:f>J55*'Summary'!$B$5</x:f>
        <x:v>2.083333333333333</x:v>
      </x:c>
    </x:row>
    <x:row r="56">
      <x:c r="A56" s="56" t="n">
        <x:v>44</x:v>
      </x:c>
      <x:c r="B56" s="54" t="str">
        <x:v>generic_mask</x:v>
      </x:c>
      <x:c r="C56" s="54" t="str">
        <x:v>white cup</x:v>
      </x:c>
      <x:c r="D56" s="54" t="str">
        <x:v>open</x:v>
      </x:c>
      <x:c r="E56" s="54" t="str">
        <x:v>upright</x:v>
      </x:c>
      <x:c r="F56" s="55" t="str">
        <x:v>generic_mask|white_cup|open|right_side_up</x:v>
      </x:c>
      <x:c r="G56" s="56" t="n">
        <x:v>9</x:v>
      </x:c>
      <x:c r="H56" s="58" t="n">
        <x:f>IF(B56=$A$5,$B$5,IF(B56=$A$6,$B$6,$B$7))</x:f>
        <x:v>0.5</x:v>
      </x:c>
      <x:c r="I56" s="56" t="n">
        <x:f>IF(B56=$A$5,$C$5,IF(B56=$A$6,$C$6,$C$7))</x:f>
        <x:v>16</x:v>
      </x:c>
      <x:c r="J56" s="59" t="n">
        <x:f>H56/(I56*G56)</x:f>
        <x:v>0.003472222222222222</x:v>
      </x:c>
      <x:c r="K56" s="60" t="n">
        <x:f>J56*'Summary'!$B$5</x:f>
        <x:v>0.6944444444444444</x:v>
      </x:c>
    </x:row>
    <x:row r="57">
      <x:c r="A57" s="56" t="n">
        <x:v>45</x:v>
      </x:c>
      <x:c r="B57" s="54" t="str">
        <x:v>generic_mask</x:v>
      </x:c>
      <x:c r="C57" s="54" t="str">
        <x:v>white cup</x:v>
      </x:c>
      <x:c r="D57" s="54" t="str">
        <x:v>closed</x:v>
      </x:c>
      <x:c r="E57" s="54" t="str">
        <x:v>upright</x:v>
      </x:c>
      <x:c r="F57" s="55" t="str">
        <x:v>generic_mask|white_cup|closed|right_side_up</x:v>
      </x:c>
      <x:c r="G57" s="56" t="n">
        <x:v>20</x:v>
      </x:c>
      <x:c r="H57" s="58" t="n">
        <x:f>IF(B57=$A$5,$B$5,IF(B57=$A$6,$B$6,$B$7))</x:f>
        <x:v>0.5</x:v>
      </x:c>
      <x:c r="I57" s="56" t="n">
        <x:f>IF(B57=$A$5,$C$5,IF(B57=$A$6,$C$6,$C$7))</x:f>
        <x:v>16</x:v>
      </x:c>
      <x:c r="J57" s="59" t="n">
        <x:f>H57/(I57*G57)</x:f>
        <x:v>0.0015625</x:v>
      </x:c>
      <x:c r="K57" s="60" t="n">
        <x:f>J57*'Summary'!$B$5</x:f>
        <x:v>0.3125</x:v>
      </x:c>
    </x:row>
    <x:row r="58">
      <x:c r="A58" s="56" t="n">
        <x:v>46</x:v>
      </x:c>
      <x:c r="B58" s="54" t="str">
        <x:v>generic_mask</x:v>
      </x:c>
      <x:c r="C58" s="54" t="str">
        <x:v>white cup</x:v>
      </x:c>
      <x:c r="D58" s="54" t="str">
        <x:v>open</x:v>
      </x:c>
      <x:c r="E58" s="54" t="str">
        <x:v>upside down</x:v>
      </x:c>
      <x:c r="F58" s="55" t="str">
        <x:v>generic_mask|white_cup|open|upside_down</x:v>
      </x:c>
      <x:c r="G58" s="56" t="n">
        <x:v>4</x:v>
      </x:c>
      <x:c r="H58" s="58" t="n">
        <x:f>IF(B58=$A$5,$B$5,IF(B58=$A$6,$B$6,$B$7))</x:f>
        <x:v>0.5</x:v>
      </x:c>
      <x:c r="I58" s="56" t="n">
        <x:f>IF(B58=$A$5,$C$5,IF(B58=$A$6,$C$6,$C$7))</x:f>
        <x:v>16</x:v>
      </x:c>
      <x:c r="J58" s="59" t="n">
        <x:f>H58/(I58*G58)</x:f>
        <x:v>0.0078125</x:v>
      </x:c>
      <x:c r="K58" s="60" t="n">
        <x:f>J58*'Summary'!$B$5</x:f>
        <x:v>1.5625</x:v>
      </x:c>
    </x:row>
    <x:row r="59">
      <x:c r="A59" s="56" t="n">
        <x:v>47</x:v>
      </x:c>
      <x:c r="B59" s="54" t="str">
        <x:v>generic_mask</x:v>
      </x:c>
      <x:c r="C59" s="54" t="str">
        <x:v>white cup</x:v>
      </x:c>
      <x:c r="D59" s="54" t="str">
        <x:v>closed</x:v>
      </x:c>
      <x:c r="E59" s="54" t="str">
        <x:v>upright</x:v>
      </x:c>
      <x:c r="F59" s="55" t="str">
        <x:v>generic_mask|white_cup|closed|right_side_up</x:v>
      </x:c>
      <x:c r="G59" s="56" t="n">
        <x:v>20</x:v>
      </x:c>
      <x:c r="H59" s="58" t="n">
        <x:f>IF(B59=$A$5,$B$5,IF(B59=$A$6,$B$6,$B$7))</x:f>
        <x:v>0.5</x:v>
      </x:c>
      <x:c r="I59" s="56" t="n">
        <x:f>IF(B59=$A$5,$C$5,IF(B59=$A$6,$C$6,$C$7))</x:f>
        <x:v>16</x:v>
      </x:c>
      <x:c r="J59" s="59" t="n">
        <x:f>H59/(I59*G59)</x:f>
        <x:v>0.0015625</x:v>
      </x:c>
      <x:c r="K59" s="60" t="n">
        <x:f>J59*'Summary'!$B$5</x:f>
        <x:v>0.3125</x:v>
      </x:c>
    </x:row>
    <x:row r="60">
      <x:c r="A60" s="56" t="n">
        <x:v>48</x:v>
      </x:c>
      <x:c r="B60" s="54" t="str">
        <x:v>explicit_seen_open</x:v>
      </x:c>
      <x:c r="C60" s="54" t="str">
        <x:v>white cup</x:v>
      </x:c>
      <x:c r="D60" s="54" t="str">
        <x:v>open</x:v>
      </x:c>
      <x:c r="E60" s="54" t="str">
        <x:v>upright</x:v>
      </x:c>
      <x:c r="F60" s="55" t="str">
        <x:v>explicit_seen_open|white_cup|right_side_up</x:v>
      </x:c>
      <x:c r="G60" s="56" t="n">
        <x:v>9</x:v>
      </x:c>
      <x:c r="H60" s="58" t="n">
        <x:f>IF(B60=$A$5,$B$5,IF(B60=$A$6,$B$6,$B$7))</x:f>
        <x:v>0.25</x:v>
      </x:c>
      <x:c r="I60" s="56" t="n">
        <x:f>IF(B60=$A$5,$C$5,IF(B60=$A$6,$C$6,$C$7))</x:f>
        <x:v>8</x:v>
      </x:c>
      <x:c r="J60" s="59" t="n">
        <x:f>H60/(I60*G60)</x:f>
        <x:v>0.003472222222222222</x:v>
      </x:c>
      <x:c r="K60" s="60" t="n">
        <x:f>J60*'Summary'!$B$5</x:f>
        <x:v>0.6944444444444444</x:v>
      </x:c>
    </x:row>
    <x:row r="61">
      <x:c r="A61" s="56" t="n">
        <x:v>49</x:v>
      </x:c>
      <x:c r="B61" s="54" t="str">
        <x:v>generic_mask</x:v>
      </x:c>
      <x:c r="C61" s="54" t="str">
        <x:v>white cup</x:v>
      </x:c>
      <x:c r="D61" s="54" t="str">
        <x:v>closed</x:v>
      </x:c>
      <x:c r="E61" s="54" t="str">
        <x:v>upright</x:v>
      </x:c>
      <x:c r="F61" s="55" t="str">
        <x:v>generic_mask|white_cup|closed|right_side_up</x:v>
      </x:c>
      <x:c r="G61" s="56" t="n">
        <x:v>20</x:v>
      </x:c>
      <x:c r="H61" s="58" t="n">
        <x:f>IF(B61=$A$5,$B$5,IF(B61=$A$6,$B$6,$B$7))</x:f>
        <x:v>0.5</x:v>
      </x:c>
      <x:c r="I61" s="56" t="n">
        <x:f>IF(B61=$A$5,$C$5,IF(B61=$A$6,$C$6,$C$7))</x:f>
        <x:v>16</x:v>
      </x:c>
      <x:c r="J61" s="59" t="n">
        <x:f>H61/(I61*G61)</x:f>
        <x:v>0.0015625</x:v>
      </x:c>
      <x:c r="K61" s="60" t="n">
        <x:f>J61*'Summary'!$B$5</x:f>
        <x:v>0.3125</x:v>
      </x:c>
    </x:row>
    <x:row r="62">
      <x:c r="A62" s="56" t="n">
        <x:v>50</x:v>
      </x:c>
      <x:c r="B62" s="54" t="str">
        <x:v>generic_mask</x:v>
      </x:c>
      <x:c r="C62" s="54" t="str">
        <x:v>yellow-white striped cup</x:v>
      </x:c>
      <x:c r="D62" s="54" t="str">
        <x:v>open</x:v>
      </x:c>
      <x:c r="E62" s="54" t="str">
        <x:v>upright</x:v>
      </x:c>
      <x:c r="F62" s="55" t="str">
        <x:v>generic_mask|yellow_white_striped_cup|open|right_side_up</x:v>
      </x:c>
      <x:c r="G62" s="56" t="n">
        <x:v>10</x:v>
      </x:c>
      <x:c r="H62" s="58" t="n">
        <x:f>IF(B62=$A$5,$B$5,IF(B62=$A$6,$B$6,$B$7))</x:f>
        <x:v>0.5</x:v>
      </x:c>
      <x:c r="I62" s="56" t="n">
        <x:f>IF(B62=$A$5,$C$5,IF(B62=$A$6,$C$6,$C$7))</x:f>
        <x:v>16</x:v>
      </x:c>
      <x:c r="J62" s="59" t="n">
        <x:f>H62/(I62*G62)</x:f>
        <x:v>0.003125</x:v>
      </x:c>
      <x:c r="K62" s="60" t="n">
        <x:f>J62*'Summary'!$B$5</x:f>
        <x:v>0.625</x:v>
      </x:c>
    </x:row>
    <x:row r="63">
      <x:c r="A63" s="56" t="n">
        <x:v>51</x:v>
      </x:c>
      <x:c r="B63" s="54" t="str">
        <x:v>generic_mask</x:v>
      </x:c>
      <x:c r="C63" s="54" t="str">
        <x:v>yellow-white striped cup</x:v>
      </x:c>
      <x:c r="D63" s="54" t="str">
        <x:v>closed</x:v>
      </x:c>
      <x:c r="E63" s="54" t="str">
        <x:v>upright</x:v>
      </x:c>
      <x:c r="F63" s="55" t="str">
        <x:v>generic_mask|yellow_white_striped_cup|closed|right_side_up</x:v>
      </x:c>
      <x:c r="G63" s="56" t="n">
        <x:v>18</x:v>
      </x:c>
      <x:c r="H63" s="58" t="n">
        <x:f>IF(B63=$A$5,$B$5,IF(B63=$A$6,$B$6,$B$7))</x:f>
        <x:v>0.5</x:v>
      </x:c>
      <x:c r="I63" s="56" t="n">
        <x:f>IF(B63=$A$5,$C$5,IF(B63=$A$6,$C$6,$C$7))</x:f>
        <x:v>16</x:v>
      </x:c>
      <x:c r="J63" s="59" t="n">
        <x:f>H63/(I63*G63)</x:f>
        <x:v>0.001736111111111111</x:v>
      </x:c>
      <x:c r="K63" s="60" t="n">
        <x:f>J63*'Summary'!$B$5</x:f>
        <x:v>0.3472222222222222</x:v>
      </x:c>
    </x:row>
    <x:row r="64">
      <x:c r="A64" s="56" t="n">
        <x:v>52</x:v>
      </x:c>
      <x:c r="B64" s="54" t="str">
        <x:v>explicit_seen_open</x:v>
      </x:c>
      <x:c r="C64" s="54" t="str">
        <x:v>yellow-white striped cup</x:v>
      </x:c>
      <x:c r="D64" s="54" t="str">
        <x:v>open</x:v>
      </x:c>
      <x:c r="E64" s="54" t="str">
        <x:v>upright</x:v>
      </x:c>
      <x:c r="F64" s="55" t="str">
        <x:v>explicit_seen_open|yellow_white_striped_cup|right_side_up</x:v>
      </x:c>
      <x:c r="G64" s="56" t="n">
        <x:v>9</x:v>
      </x:c>
      <x:c r="H64" s="58" t="n">
        <x:f>IF(B64=$A$5,$B$5,IF(B64=$A$6,$B$6,$B$7))</x:f>
        <x:v>0.25</x:v>
      </x:c>
      <x:c r="I64" s="56" t="n">
        <x:f>IF(B64=$A$5,$C$5,IF(B64=$A$6,$C$6,$C$7))</x:f>
        <x:v>8</x:v>
      </x:c>
      <x:c r="J64" s="59" t="n">
        <x:f>H64/(I64*G64)</x:f>
        <x:v>0.003472222222222222</x:v>
      </x:c>
      <x:c r="K64" s="60" t="n">
        <x:f>J64*'Summary'!$B$5</x:f>
        <x:v>0.6944444444444444</x:v>
      </x:c>
    </x:row>
    <x:row r="65">
      <x:c r="A65" s="56" t="n">
        <x:v>53</x:v>
      </x:c>
      <x:c r="B65" s="54" t="str">
        <x:v>generic_mask</x:v>
      </x:c>
      <x:c r="C65" s="54" t="str">
        <x:v>yellow-white striped cup</x:v>
      </x:c>
      <x:c r="D65" s="54" t="str">
        <x:v>open</x:v>
      </x:c>
      <x:c r="E65" s="54" t="str">
        <x:v>upright</x:v>
      </x:c>
      <x:c r="F65" s="55" t="str">
        <x:v>generic_mask|yellow_white_striped_cup|open|right_side_up</x:v>
      </x:c>
      <x:c r="G65" s="56" t="n">
        <x:v>10</x:v>
      </x:c>
      <x:c r="H65" s="58" t="n">
        <x:f>IF(B65=$A$5,$B$5,IF(B65=$A$6,$B$6,$B$7))</x:f>
        <x:v>0.5</x:v>
      </x:c>
      <x:c r="I65" s="56" t="n">
        <x:f>IF(B65=$A$5,$C$5,IF(B65=$A$6,$C$6,$C$7))</x:f>
        <x:v>16</x:v>
      </x:c>
      <x:c r="J65" s="59" t="n">
        <x:f>H65/(I65*G65)</x:f>
        <x:v>0.003125</x:v>
      </x:c>
      <x:c r="K65" s="60" t="n">
        <x:f>J65*'Summary'!$B$5</x:f>
        <x:v>0.625</x:v>
      </x:c>
    </x:row>
    <x:row r="66">
      <x:c r="A66" s="56" t="n">
        <x:v>54</x:v>
      </x:c>
      <x:c r="B66" s="54" t="str">
        <x:v>explicit_seen_open</x:v>
      </x:c>
      <x:c r="C66" s="54" t="str">
        <x:v>yellow-white striped cup</x:v>
      </x:c>
      <x:c r="D66" s="54" t="str">
        <x:v>open</x:v>
      </x:c>
      <x:c r="E66" s="54" t="str">
        <x:v>upright</x:v>
      </x:c>
      <x:c r="F66" s="55" t="str">
        <x:v>explicit_seen_open|yellow_white_striped_cup|right_side_up</x:v>
      </x:c>
      <x:c r="G66" s="56" t="n">
        <x:v>9</x:v>
      </x:c>
      <x:c r="H66" s="58" t="n">
        <x:f>IF(B66=$A$5,$B$5,IF(B66=$A$6,$B$6,$B$7))</x:f>
        <x:v>0.25</x:v>
      </x:c>
      <x:c r="I66" s="56" t="n">
        <x:f>IF(B66=$A$5,$C$5,IF(B66=$A$6,$C$6,$C$7))</x:f>
        <x:v>8</x:v>
      </x:c>
      <x:c r="J66" s="59" t="n">
        <x:f>H66/(I66*G66)</x:f>
        <x:v>0.003472222222222222</x:v>
      </x:c>
      <x:c r="K66" s="60" t="n">
        <x:f>J66*'Summary'!$B$5</x:f>
        <x:v>0.6944444444444444</x:v>
      </x:c>
    </x:row>
    <x:row r="67">
      <x:c r="A67" s="56" t="n">
        <x:v>55</x:v>
      </x:c>
      <x:c r="B67" s="54" t="str">
        <x:v>generic_mask</x:v>
      </x:c>
      <x:c r="C67" s="54" t="str">
        <x:v>yellow-white striped cup</x:v>
      </x:c>
      <x:c r="D67" s="54" t="str">
        <x:v>closed</x:v>
      </x:c>
      <x:c r="E67" s="54" t="str">
        <x:v>upright</x:v>
      </x:c>
      <x:c r="F67" s="55" t="str">
        <x:v>generic_mask|yellow_white_striped_cup|closed|right_side_up</x:v>
      </x:c>
      <x:c r="G67" s="56" t="n">
        <x:v>18</x:v>
      </x:c>
      <x:c r="H67" s="58" t="n">
        <x:f>IF(B67=$A$5,$B$5,IF(B67=$A$6,$B$6,$B$7))</x:f>
        <x:v>0.5</x:v>
      </x:c>
      <x:c r="I67" s="56" t="n">
        <x:f>IF(B67=$A$5,$C$5,IF(B67=$A$6,$C$6,$C$7))</x:f>
        <x:v>16</x:v>
      </x:c>
      <x:c r="J67" s="59" t="n">
        <x:f>H67/(I67*G67)</x:f>
        <x:v>0.001736111111111111</x:v>
      </x:c>
      <x:c r="K67" s="60" t="n">
        <x:f>J67*'Summary'!$B$5</x:f>
        <x:v>0.3472222222222222</x:v>
      </x:c>
    </x:row>
    <x:row r="68">
      <x:c r="A68" s="56" t="n">
        <x:v>56</x:v>
      </x:c>
      <x:c r="B68" s="54" t="str">
        <x:v>generic_mask</x:v>
      </x:c>
      <x:c r="C68" s="54" t="str">
        <x:v>yellow-white striped cup</x:v>
      </x:c>
      <x:c r="D68" s="54" t="str">
        <x:v>closed</x:v>
      </x:c>
      <x:c r="E68" s="54" t="str">
        <x:v>upright</x:v>
      </x:c>
      <x:c r="F68" s="55" t="str">
        <x:v>generic_mask|yellow_white_striped_cup|closed|right_side_up</x:v>
      </x:c>
      <x:c r="G68" s="56" t="n">
        <x:v>18</x:v>
      </x:c>
      <x:c r="H68" s="58" t="n">
        <x:f>IF(B68=$A$5,$B$5,IF(B68=$A$6,$B$6,$B$7))</x:f>
        <x:v>0.5</x:v>
      </x:c>
      <x:c r="I68" s="56" t="n">
        <x:f>IF(B68=$A$5,$C$5,IF(B68=$A$6,$C$6,$C$7))</x:f>
        <x:v>16</x:v>
      </x:c>
      <x:c r="J68" s="59" t="n">
        <x:f>H68/(I68*G68)</x:f>
        <x:v>0.001736111111111111</x:v>
      </x:c>
      <x:c r="K68" s="60" t="n">
        <x:f>J68*'Summary'!$B$5</x:f>
        <x:v>0.3472222222222222</x:v>
      </x:c>
    </x:row>
    <x:row r="69">
      <x:c r="A69" s="56" t="n">
        <x:v>57</x:v>
      </x:c>
      <x:c r="B69" s="54" t="str">
        <x:v>generic_mask</x:v>
      </x:c>
      <x:c r="C69" s="54" t="str">
        <x:v>yellow-white striped cup</x:v>
      </x:c>
      <x:c r="D69" s="54" t="str">
        <x:v>open</x:v>
      </x:c>
      <x:c r="E69" s="54" t="str">
        <x:v>upright</x:v>
      </x:c>
      <x:c r="F69" s="55" t="str">
        <x:v>generic_mask|yellow_white_striped_cup|open|right_side_up</x:v>
      </x:c>
      <x:c r="G69" s="56" t="n">
        <x:v>10</x:v>
      </x:c>
      <x:c r="H69" s="58" t="n">
        <x:f>IF(B69=$A$5,$B$5,IF(B69=$A$6,$B$6,$B$7))</x:f>
        <x:v>0.5</x:v>
      </x:c>
      <x:c r="I69" s="56" t="n">
        <x:f>IF(B69=$A$5,$C$5,IF(B69=$A$6,$C$6,$C$7))</x:f>
        <x:v>16</x:v>
      </x:c>
      <x:c r="J69" s="59" t="n">
        <x:f>H69/(I69*G69)</x:f>
        <x:v>0.003125</x:v>
      </x:c>
      <x:c r="K69" s="60" t="n">
        <x:f>J69*'Summary'!$B$5</x:f>
        <x:v>0.625</x:v>
      </x:c>
    </x:row>
    <x:row r="70">
      <x:c r="A70" s="56" t="n">
        <x:v>58</x:v>
      </x:c>
      <x:c r="B70" s="54" t="str">
        <x:v>generic_mask</x:v>
      </x:c>
      <x:c r="C70" s="54" t="str">
        <x:v>yellow-white striped cup</x:v>
      </x:c>
      <x:c r="D70" s="54" t="str">
        <x:v>closed</x:v>
      </x:c>
      <x:c r="E70" s="54" t="str">
        <x:v>upright</x:v>
      </x:c>
      <x:c r="F70" s="55" t="str">
        <x:v>generic_mask|yellow_white_striped_cup|closed|right_side_up</x:v>
      </x:c>
      <x:c r="G70" s="56" t="n">
        <x:v>18</x:v>
      </x:c>
      <x:c r="H70" s="58" t="n">
        <x:f>IF(B70=$A$5,$B$5,IF(B70=$A$6,$B$6,$B$7))</x:f>
        <x:v>0.5</x:v>
      </x:c>
      <x:c r="I70" s="56" t="n">
        <x:f>IF(B70=$A$5,$C$5,IF(B70=$A$6,$C$6,$C$7))</x:f>
        <x:v>16</x:v>
      </x:c>
      <x:c r="J70" s="59" t="n">
        <x:f>H70/(I70*G70)</x:f>
        <x:v>0.001736111111111111</x:v>
      </x:c>
      <x:c r="K70" s="60" t="n">
        <x:f>J70*'Summary'!$B$5</x:f>
        <x:v>0.3472222222222222</x:v>
      </x:c>
    </x:row>
    <x:row r="71">
      <x:c r="A71" s="56" t="n">
        <x:v>59</x:v>
      </x:c>
      <x:c r="B71" s="54" t="str">
        <x:v>explicit_seen_open</x:v>
      </x:c>
      <x:c r="C71" s="54" t="str">
        <x:v>yellow-white striped cup</x:v>
      </x:c>
      <x:c r="D71" s="54" t="str">
        <x:v>open</x:v>
      </x:c>
      <x:c r="E71" s="54" t="str">
        <x:v>upright</x:v>
      </x:c>
      <x:c r="F71" s="55" t="str">
        <x:v>explicit_seen_open|yellow_white_striped_cup|right_side_up</x:v>
      </x:c>
      <x:c r="G71" s="56" t="n">
        <x:v>9</x:v>
      </x:c>
      <x:c r="H71" s="58" t="n">
        <x:f>IF(B71=$A$5,$B$5,IF(B71=$A$6,$B$6,$B$7))</x:f>
        <x:v>0.25</x:v>
      </x:c>
      <x:c r="I71" s="56" t="n">
        <x:f>IF(B71=$A$5,$C$5,IF(B71=$A$6,$C$6,$C$7))</x:f>
        <x:v>8</x:v>
      </x:c>
      <x:c r="J71" s="59" t="n">
        <x:f>H71/(I71*G71)</x:f>
        <x:v>0.003472222222222222</x:v>
      </x:c>
      <x:c r="K71" s="60" t="n">
        <x:f>J71*'Summary'!$B$5</x:f>
        <x:v>0.6944444444444444</x:v>
      </x:c>
    </x:row>
    <x:row r="72">
      <x:c r="A72" s="56" t="n">
        <x:v>60</x:v>
      </x:c>
      <x:c r="B72" s="54" t="str">
        <x:v>generic_mask</x:v>
      </x:c>
      <x:c r="C72" s="54" t="str">
        <x:v>yellow-white striped cup</x:v>
      </x:c>
      <x:c r="D72" s="54" t="str">
        <x:v>closed</x:v>
      </x:c>
      <x:c r="E72" s="54" t="str">
        <x:v>upright</x:v>
      </x:c>
      <x:c r="F72" s="55" t="str">
        <x:v>generic_mask|yellow_white_striped_cup|closed|right_side_up</x:v>
      </x:c>
      <x:c r="G72" s="56" t="n">
        <x:v>18</x:v>
      </x:c>
      <x:c r="H72" s="58" t="n">
        <x:f>IF(B72=$A$5,$B$5,IF(B72=$A$6,$B$6,$B$7))</x:f>
        <x:v>0.5</x:v>
      </x:c>
      <x:c r="I72" s="56" t="n">
        <x:f>IF(B72=$A$5,$C$5,IF(B72=$A$6,$C$6,$C$7))</x:f>
        <x:v>16</x:v>
      </x:c>
      <x:c r="J72" s="59" t="n">
        <x:f>H72/(I72*G72)</x:f>
        <x:v>0.001736111111111111</x:v>
      </x:c>
      <x:c r="K72" s="60" t="n">
        <x:f>J72*'Summary'!$B$5</x:f>
        <x:v>0.3472222222222222</x:v>
      </x:c>
    </x:row>
    <x:row r="73">
      <x:c r="A73" s="56" t="n">
        <x:v>61</x:v>
      </x:c>
      <x:c r="B73" s="54" t="str">
        <x:v>generic_mask</x:v>
      </x:c>
      <x:c r="C73" s="54" t="str">
        <x:v>yellow-white striped cup</x:v>
      </x:c>
      <x:c r="D73" s="54" t="str">
        <x:v>closed</x:v>
      </x:c>
      <x:c r="E73" s="54" t="str">
        <x:v>upright</x:v>
      </x:c>
      <x:c r="F73" s="55" t="str">
        <x:v>generic_mask|yellow_white_striped_cup|closed|right_side_up</x:v>
      </x:c>
      <x:c r="G73" s="56" t="n">
        <x:v>18</x:v>
      </x:c>
      <x:c r="H73" s="58" t="n">
        <x:f>IF(B73=$A$5,$B$5,IF(B73=$A$6,$B$6,$B$7))</x:f>
        <x:v>0.5</x:v>
      </x:c>
      <x:c r="I73" s="56" t="n">
        <x:f>IF(B73=$A$5,$C$5,IF(B73=$A$6,$C$6,$C$7))</x:f>
        <x:v>16</x:v>
      </x:c>
      <x:c r="J73" s="59" t="n">
        <x:f>H73/(I73*G73)</x:f>
        <x:v>0.001736111111111111</x:v>
      </x:c>
      <x:c r="K73" s="60" t="n">
        <x:f>J73*'Summary'!$B$5</x:f>
        <x:v>0.3472222222222222</x:v>
      </x:c>
    </x:row>
    <x:row r="74">
      <x:c r="A74" s="56" t="n">
        <x:v>62</x:v>
      </x:c>
      <x:c r="B74" s="54" t="str">
        <x:v>generic_mask</x:v>
      </x:c>
      <x:c r="C74" s="54" t="str">
        <x:v>yellow-white striped cup</x:v>
      </x:c>
      <x:c r="D74" s="54" t="str">
        <x:v>closed</x:v>
      </x:c>
      <x:c r="E74" s="54" t="str">
        <x:v>upright</x:v>
      </x:c>
      <x:c r="F74" s="55" t="str">
        <x:v>generic_mask|yellow_white_striped_cup|closed|right_side_up</x:v>
      </x:c>
      <x:c r="G74" s="56" t="n">
        <x:v>18</x:v>
      </x:c>
      <x:c r="H74" s="58" t="n">
        <x:f>IF(B74=$A$5,$B$5,IF(B74=$A$6,$B$6,$B$7))</x:f>
        <x:v>0.5</x:v>
      </x:c>
      <x:c r="I74" s="56" t="n">
        <x:f>IF(B74=$A$5,$C$5,IF(B74=$A$6,$C$6,$C$7))</x:f>
        <x:v>16</x:v>
      </x:c>
      <x:c r="J74" s="59" t="n">
        <x:f>H74/(I74*G74)</x:f>
        <x:v>0.001736111111111111</x:v>
      </x:c>
      <x:c r="K74" s="60" t="n">
        <x:f>J74*'Summary'!$B$5</x:f>
        <x:v>0.3472222222222222</x:v>
      </x:c>
    </x:row>
    <x:row r="75">
      <x:c r="A75" s="56" t="n">
        <x:v>63</x:v>
      </x:c>
      <x:c r="B75" s="54" t="str">
        <x:v>generic_mask</x:v>
      </x:c>
      <x:c r="C75" s="54" t="str">
        <x:v>yellow-white striped cup</x:v>
      </x:c>
      <x:c r="D75" s="54" t="str">
        <x:v>open</x:v>
      </x:c>
      <x:c r="E75" s="54" t="str">
        <x:v>upright</x:v>
      </x:c>
      <x:c r="F75" s="55" t="str">
        <x:v>generic_mask|yellow_white_striped_cup|open|right_side_up</x:v>
      </x:c>
      <x:c r="G75" s="56" t="n">
        <x:v>10</x:v>
      </x:c>
      <x:c r="H75" s="58" t="n">
        <x:f>IF(B75=$A$5,$B$5,IF(B75=$A$6,$B$6,$B$7))</x:f>
        <x:v>0.5</x:v>
      </x:c>
      <x:c r="I75" s="56" t="n">
        <x:f>IF(B75=$A$5,$C$5,IF(B75=$A$6,$C$6,$C$7))</x:f>
        <x:v>16</x:v>
      </x:c>
      <x:c r="J75" s="59" t="n">
        <x:f>H75/(I75*G75)</x:f>
        <x:v>0.003125</x:v>
      </x:c>
      <x:c r="K75" s="60" t="n">
        <x:f>J75*'Summary'!$B$5</x:f>
        <x:v>0.625</x:v>
      </x:c>
    </x:row>
    <x:row r="76">
      <x:c r="A76" s="56" t="n">
        <x:v>64</x:v>
      </x:c>
      <x:c r="B76" s="54" t="str">
        <x:v>explicit_seen_open</x:v>
      </x:c>
      <x:c r="C76" s="54" t="str">
        <x:v>yellow-white striped cup</x:v>
      </x:c>
      <x:c r="D76" s="54" t="str">
        <x:v>open</x:v>
      </x:c>
      <x:c r="E76" s="54" t="str">
        <x:v>upright</x:v>
      </x:c>
      <x:c r="F76" s="55" t="str">
        <x:v>explicit_seen_open|yellow_white_striped_cup|right_side_up</x:v>
      </x:c>
      <x:c r="G76" s="56" t="n">
        <x:v>9</x:v>
      </x:c>
      <x:c r="H76" s="58" t="n">
        <x:f>IF(B76=$A$5,$B$5,IF(B76=$A$6,$B$6,$B$7))</x:f>
        <x:v>0.25</x:v>
      </x:c>
      <x:c r="I76" s="56" t="n">
        <x:f>IF(B76=$A$5,$C$5,IF(B76=$A$6,$C$6,$C$7))</x:f>
        <x:v>8</x:v>
      </x:c>
      <x:c r="J76" s="59" t="n">
        <x:f>H76/(I76*G76)</x:f>
        <x:v>0.003472222222222222</x:v>
      </x:c>
      <x:c r="K76" s="60" t="n">
        <x:f>J76*'Summary'!$B$5</x:f>
        <x:v>0.6944444444444444</x:v>
      </x:c>
    </x:row>
    <x:row r="77">
      <x:c r="A77" s="56" t="n">
        <x:v>65</x:v>
      </x:c>
      <x:c r="B77" s="54" t="str">
        <x:v>generic_mask</x:v>
      </x:c>
      <x:c r="C77" s="54" t="str">
        <x:v>yellow-white striped cup</x:v>
      </x:c>
      <x:c r="D77" s="54" t="str">
        <x:v>closed</x:v>
      </x:c>
      <x:c r="E77" s="54" t="str">
        <x:v>upright</x:v>
      </x:c>
      <x:c r="F77" s="55" t="str">
        <x:v>generic_mask|yellow_white_striped_cup|closed|right_side_up</x:v>
      </x:c>
      <x:c r="G77" s="56" t="n">
        <x:v>18</x:v>
      </x:c>
      <x:c r="H77" s="58" t="n">
        <x:f>IF(B77=$A$5,$B$5,IF(B77=$A$6,$B$6,$B$7))</x:f>
        <x:v>0.5</x:v>
      </x:c>
      <x:c r="I77" s="56" t="n">
        <x:f>IF(B77=$A$5,$C$5,IF(B77=$A$6,$C$6,$C$7))</x:f>
        <x:v>16</x:v>
      </x:c>
      <x:c r="J77" s="59" t="n">
        <x:f>H77/(I77*G77)</x:f>
        <x:v>0.001736111111111111</x:v>
      </x:c>
      <x:c r="K77" s="60" t="n">
        <x:f>J77*'Summary'!$B$5</x:f>
        <x:v>0.3472222222222222</x:v>
      </x:c>
    </x:row>
    <x:row r="78">
      <x:c r="A78" s="56" t="n">
        <x:v>66</x:v>
      </x:c>
      <x:c r="B78" s="54" t="str">
        <x:v>generic_mask</x:v>
      </x:c>
      <x:c r="C78" s="54" t="str">
        <x:v>yellow-white striped cup</x:v>
      </x:c>
      <x:c r="D78" s="54" t="str">
        <x:v>open</x:v>
      </x:c>
      <x:c r="E78" s="54" t="str">
        <x:v>upright</x:v>
      </x:c>
      <x:c r="F78" s="55" t="str">
        <x:v>generic_mask|yellow_white_striped_cup|open|right_side_up</x:v>
      </x:c>
      <x:c r="G78" s="56" t="n">
        <x:v>10</x:v>
      </x:c>
      <x:c r="H78" s="58" t="n">
        <x:f>IF(B78=$A$5,$B$5,IF(B78=$A$6,$B$6,$B$7))</x:f>
        <x:v>0.5</x:v>
      </x:c>
      <x:c r="I78" s="56" t="n">
        <x:f>IF(B78=$A$5,$C$5,IF(B78=$A$6,$C$6,$C$7))</x:f>
        <x:v>16</x:v>
      </x:c>
      <x:c r="J78" s="59" t="n">
        <x:f>H78/(I78*G78)</x:f>
        <x:v>0.003125</x:v>
      </x:c>
      <x:c r="K78" s="60" t="n">
        <x:f>J78*'Summary'!$B$5</x:f>
        <x:v>0.625</x:v>
      </x:c>
    </x:row>
    <x:row r="79">
      <x:c r="A79" s="56" t="n">
        <x:v>67</x:v>
      </x:c>
      <x:c r="B79" s="54" t="str">
        <x:v>generic_mask</x:v>
      </x:c>
      <x:c r="C79" s="54" t="str">
        <x:v>yellow-white striped cup</x:v>
      </x:c>
      <x:c r="D79" s="54" t="str">
        <x:v>closed</x:v>
      </x:c>
      <x:c r="E79" s="54" t="str">
        <x:v>upright</x:v>
      </x:c>
      <x:c r="F79" s="55" t="str">
        <x:v>generic_mask|yellow_white_striped_cup|closed|right_side_up</x:v>
      </x:c>
      <x:c r="G79" s="56" t="n">
        <x:v>18</x:v>
      </x:c>
      <x:c r="H79" s="58" t="n">
        <x:f>IF(B79=$A$5,$B$5,IF(B79=$A$6,$B$6,$B$7))</x:f>
        <x:v>0.5</x:v>
      </x:c>
      <x:c r="I79" s="56" t="n">
        <x:f>IF(B79=$A$5,$C$5,IF(B79=$A$6,$C$6,$C$7))</x:f>
        <x:v>16</x:v>
      </x:c>
      <x:c r="J79" s="59" t="n">
        <x:f>H79/(I79*G79)</x:f>
        <x:v>0.001736111111111111</x:v>
      </x:c>
      <x:c r="K79" s="60" t="n">
        <x:f>J79*'Summary'!$B$5</x:f>
        <x:v>0.3472222222222222</x:v>
      </x:c>
    </x:row>
    <x:row r="80">
      <x:c r="A80" s="56" t="n">
        <x:v>68</x:v>
      </x:c>
      <x:c r="B80" s="54" t="str">
        <x:v>generic_mask</x:v>
      </x:c>
      <x:c r="C80" s="54" t="str">
        <x:v>yellow-white striped cup</x:v>
      </x:c>
      <x:c r="D80" s="54" t="str">
        <x:v>closed</x:v>
      </x:c>
      <x:c r="E80" s="54" t="str">
        <x:v>upright</x:v>
      </x:c>
      <x:c r="F80" s="55" t="str">
        <x:v>generic_mask|yellow_white_striped_cup|closed|right_side_up</x:v>
      </x:c>
      <x:c r="G80" s="56" t="n">
        <x:v>18</x:v>
      </x:c>
      <x:c r="H80" s="58" t="n">
        <x:f>IF(B80=$A$5,$B$5,IF(B80=$A$6,$B$6,$B$7))</x:f>
        <x:v>0.5</x:v>
      </x:c>
      <x:c r="I80" s="56" t="n">
        <x:f>IF(B80=$A$5,$C$5,IF(B80=$A$6,$C$6,$C$7))</x:f>
        <x:v>16</x:v>
      </x:c>
      <x:c r="J80" s="59" t="n">
        <x:f>H80/(I80*G80)</x:f>
        <x:v>0.001736111111111111</x:v>
      </x:c>
      <x:c r="K80" s="60" t="n">
        <x:f>J80*'Summary'!$B$5</x:f>
        <x:v>0.3472222222222222</x:v>
      </x:c>
    </x:row>
    <x:row r="81">
      <x:c r="A81" s="56" t="n">
        <x:v>69</x:v>
      </x:c>
      <x:c r="B81" s="54" t="str">
        <x:v>explicit_seen_open</x:v>
      </x:c>
      <x:c r="C81" s="54" t="str">
        <x:v>yellow-white striped cup</x:v>
      </x:c>
      <x:c r="D81" s="54" t="str">
        <x:v>open</x:v>
      </x:c>
      <x:c r="E81" s="54" t="str">
        <x:v>upright</x:v>
      </x:c>
      <x:c r="F81" s="55" t="str">
        <x:v>explicit_seen_open|yellow_white_striped_cup|right_side_up</x:v>
      </x:c>
      <x:c r="G81" s="56" t="n">
        <x:v>9</x:v>
      </x:c>
      <x:c r="H81" s="58" t="n">
        <x:f>IF(B81=$A$5,$B$5,IF(B81=$A$6,$B$6,$B$7))</x:f>
        <x:v>0.25</x:v>
      </x:c>
      <x:c r="I81" s="56" t="n">
        <x:f>IF(B81=$A$5,$C$5,IF(B81=$A$6,$C$6,$C$7))</x:f>
        <x:v>8</x:v>
      </x:c>
      <x:c r="J81" s="59" t="n">
        <x:f>H81/(I81*G81)</x:f>
        <x:v>0.003472222222222222</x:v>
      </x:c>
      <x:c r="K81" s="60" t="n">
        <x:f>J81*'Summary'!$B$5</x:f>
        <x:v>0.6944444444444444</x:v>
      </x:c>
    </x:row>
    <x:row r="82">
      <x:c r="A82" s="56" t="n">
        <x:v>70</x:v>
      </x:c>
      <x:c r="B82" s="54" t="str">
        <x:v>generic_mask</x:v>
      </x:c>
      <x:c r="C82" s="54" t="str">
        <x:v>yellow-white striped cup</x:v>
      </x:c>
      <x:c r="D82" s="54" t="str">
        <x:v>closed</x:v>
      </x:c>
      <x:c r="E82" s="54" t="str">
        <x:v>upright</x:v>
      </x:c>
      <x:c r="F82" s="55" t="str">
        <x:v>generic_mask|yellow_white_striped_cup|closed|right_side_up</x:v>
      </x:c>
      <x:c r="G82" s="56" t="n">
        <x:v>18</x:v>
      </x:c>
      <x:c r="H82" s="58" t="n">
        <x:f>IF(B82=$A$5,$B$5,IF(B82=$A$6,$B$6,$B$7))</x:f>
        <x:v>0.5</x:v>
      </x:c>
      <x:c r="I82" s="56" t="n">
        <x:f>IF(B82=$A$5,$C$5,IF(B82=$A$6,$C$6,$C$7))</x:f>
        <x:v>16</x:v>
      </x:c>
      <x:c r="J82" s="59" t="n">
        <x:f>H82/(I82*G82)</x:f>
        <x:v>0.001736111111111111</x:v>
      </x:c>
      <x:c r="K82" s="60" t="n">
        <x:f>J82*'Summary'!$B$5</x:f>
        <x:v>0.3472222222222222</x:v>
      </x:c>
    </x:row>
    <x:row r="83">
      <x:c r="A83" s="56" t="n">
        <x:v>71</x:v>
      </x:c>
      <x:c r="B83" s="54" t="str">
        <x:v>generic_mask</x:v>
      </x:c>
      <x:c r="C83" s="54" t="str">
        <x:v>yellow-white striped cup</x:v>
      </x:c>
      <x:c r="D83" s="54" t="str">
        <x:v>open</x:v>
      </x:c>
      <x:c r="E83" s="54" t="str">
        <x:v>upright</x:v>
      </x:c>
      <x:c r="F83" s="55" t="str">
        <x:v>generic_mask|yellow_white_striped_cup|open|right_side_up</x:v>
      </x:c>
      <x:c r="G83" s="56" t="n">
        <x:v>10</x:v>
      </x:c>
      <x:c r="H83" s="58" t="n">
        <x:f>IF(B83=$A$5,$B$5,IF(B83=$A$6,$B$6,$B$7))</x:f>
        <x:v>0.5</x:v>
      </x:c>
      <x:c r="I83" s="56" t="n">
        <x:f>IF(B83=$A$5,$C$5,IF(B83=$A$6,$C$6,$C$7))</x:f>
        <x:v>16</x:v>
      </x:c>
      <x:c r="J83" s="59" t="n">
        <x:f>H83/(I83*G83)</x:f>
        <x:v>0.003125</x:v>
      </x:c>
      <x:c r="K83" s="60" t="n">
        <x:f>J83*'Summary'!$B$5</x:f>
        <x:v>0.625</x:v>
      </x:c>
    </x:row>
    <x:row r="84">
      <x:c r="A84" s="56" t="n">
        <x:v>72</x:v>
      </x:c>
      <x:c r="B84" s="54" t="str">
        <x:v>explicit_seen_open</x:v>
      </x:c>
      <x:c r="C84" s="54" t="str">
        <x:v>yellow-white striped cup</x:v>
      </x:c>
      <x:c r="D84" s="54" t="str">
        <x:v>open</x:v>
      </x:c>
      <x:c r="E84" s="54" t="str">
        <x:v>upright</x:v>
      </x:c>
      <x:c r="F84" s="55" t="str">
        <x:v>explicit_seen_open|yellow_white_striped_cup|right_side_up</x:v>
      </x:c>
      <x:c r="G84" s="56" t="n">
        <x:v>9</x:v>
      </x:c>
      <x:c r="H84" s="58" t="n">
        <x:f>IF(B84=$A$5,$B$5,IF(B84=$A$6,$B$6,$B$7))</x:f>
        <x:v>0.25</x:v>
      </x:c>
      <x:c r="I84" s="56" t="n">
        <x:f>IF(B84=$A$5,$C$5,IF(B84=$A$6,$C$6,$C$7))</x:f>
        <x:v>8</x:v>
      </x:c>
      <x:c r="J84" s="59" t="n">
        <x:f>H84/(I84*G84)</x:f>
        <x:v>0.003472222222222222</x:v>
      </x:c>
      <x:c r="K84" s="60" t="n">
        <x:f>J84*'Summary'!$B$5</x:f>
        <x:v>0.6944444444444444</x:v>
      </x:c>
    </x:row>
    <x:row r="85">
      <x:c r="A85" s="56" t="n">
        <x:v>73</x:v>
      </x:c>
      <x:c r="B85" s="54" t="str">
        <x:v>generic_mask</x:v>
      </x:c>
      <x:c r="C85" s="54" t="str">
        <x:v>yellow-white striped cup</x:v>
      </x:c>
      <x:c r="D85" s="54" t="str">
        <x:v>closed</x:v>
      </x:c>
      <x:c r="E85" s="54" t="str">
        <x:v>upright</x:v>
      </x:c>
      <x:c r="F85" s="55" t="str">
        <x:v>generic_mask|yellow_white_striped_cup|closed|right_side_up</x:v>
      </x:c>
      <x:c r="G85" s="56" t="n">
        <x:v>18</x:v>
      </x:c>
      <x:c r="H85" s="58" t="n">
        <x:f>IF(B85=$A$5,$B$5,IF(B85=$A$6,$B$6,$B$7))</x:f>
        <x:v>0.5</x:v>
      </x:c>
      <x:c r="I85" s="56" t="n">
        <x:f>IF(B85=$A$5,$C$5,IF(B85=$A$6,$C$6,$C$7))</x:f>
        <x:v>16</x:v>
      </x:c>
      <x:c r="J85" s="59" t="n">
        <x:f>H85/(I85*G85)</x:f>
        <x:v>0.001736111111111111</x:v>
      </x:c>
      <x:c r="K85" s="60" t="n">
        <x:f>J85*'Summary'!$B$5</x:f>
        <x:v>0.3472222222222222</x:v>
      </x:c>
    </x:row>
    <x:row r="86">
      <x:c r="A86" s="56" t="n">
        <x:v>74</x:v>
      </x:c>
      <x:c r="B86" s="54" t="str">
        <x:v>generic_mask</x:v>
      </x:c>
      <x:c r="C86" s="54" t="str">
        <x:v>yellow-white striped cup</x:v>
      </x:c>
      <x:c r="D86" s="54" t="str">
        <x:v>closed</x:v>
      </x:c>
      <x:c r="E86" s="54" t="str">
        <x:v>upright</x:v>
      </x:c>
      <x:c r="F86" s="55" t="str">
        <x:v>generic_mask|yellow_white_striped_cup|closed|right_side_up</x:v>
      </x:c>
      <x:c r="G86" s="56" t="n">
        <x:v>18</x:v>
      </x:c>
      <x:c r="H86" s="58" t="n">
        <x:f>IF(B86=$A$5,$B$5,IF(B86=$A$6,$B$6,$B$7))</x:f>
        <x:v>0.5</x:v>
      </x:c>
      <x:c r="I86" s="56" t="n">
        <x:f>IF(B86=$A$5,$C$5,IF(B86=$A$6,$C$6,$C$7))</x:f>
        <x:v>16</x:v>
      </x:c>
      <x:c r="J86" s="59" t="n">
        <x:f>H86/(I86*G86)</x:f>
        <x:v>0.001736111111111111</x:v>
      </x:c>
      <x:c r="K86" s="60" t="n">
        <x:f>J86*'Summary'!$B$5</x:f>
        <x:v>0.3472222222222222</x:v>
      </x:c>
    </x:row>
    <x:row r="87">
      <x:c r="A87" s="56" t="n">
        <x:v>75</x:v>
      </x:c>
      <x:c r="B87" s="54" t="str">
        <x:v>generic_mask</x:v>
      </x:c>
      <x:c r="C87" s="54" t="str">
        <x:v>yellow-white striped cup</x:v>
      </x:c>
      <x:c r="D87" s="54" t="str">
        <x:v>closed</x:v>
      </x:c>
      <x:c r="E87" s="54" t="str">
        <x:v>upright</x:v>
      </x:c>
      <x:c r="F87" s="55" t="str">
        <x:v>generic_mask|yellow_white_striped_cup|closed|right_side_up</x:v>
      </x:c>
      <x:c r="G87" s="56" t="n">
        <x:v>18</x:v>
      </x:c>
      <x:c r="H87" s="58" t="n">
        <x:f>IF(B87=$A$5,$B$5,IF(B87=$A$6,$B$6,$B$7))</x:f>
        <x:v>0.5</x:v>
      </x:c>
      <x:c r="I87" s="56" t="n">
        <x:f>IF(B87=$A$5,$C$5,IF(B87=$A$6,$C$6,$C$7))</x:f>
        <x:v>16</x:v>
      </x:c>
      <x:c r="J87" s="59" t="n">
        <x:f>H87/(I87*G87)</x:f>
        <x:v>0.001736111111111111</x:v>
      </x:c>
      <x:c r="K87" s="60" t="n">
        <x:f>J87*'Summary'!$B$5</x:f>
        <x:v>0.3472222222222222</x:v>
      </x:c>
    </x:row>
    <x:row r="88">
      <x:c r="A88" s="56" t="n">
        <x:v>76</x:v>
      </x:c>
      <x:c r="B88" s="54" t="str">
        <x:v>generic_mask</x:v>
      </x:c>
      <x:c r="C88" s="54" t="str">
        <x:v>yellow-white striped cup</x:v>
      </x:c>
      <x:c r="D88" s="54" t="str">
        <x:v>open</x:v>
      </x:c>
      <x:c r="E88" s="54" t="str">
        <x:v>upright</x:v>
      </x:c>
      <x:c r="F88" s="55" t="str">
        <x:v>generic_mask|yellow_white_striped_cup|open|right_side_up</x:v>
      </x:c>
      <x:c r="G88" s="56" t="n">
        <x:v>10</x:v>
      </x:c>
      <x:c r="H88" s="58" t="n">
        <x:f>IF(B88=$A$5,$B$5,IF(B88=$A$6,$B$6,$B$7))</x:f>
        <x:v>0.5</x:v>
      </x:c>
      <x:c r="I88" s="56" t="n">
        <x:f>IF(B88=$A$5,$C$5,IF(B88=$A$6,$C$6,$C$7))</x:f>
        <x:v>16</x:v>
      </x:c>
      <x:c r="J88" s="59" t="n">
        <x:f>H88/(I88*G88)</x:f>
        <x:v>0.003125</x:v>
      </x:c>
      <x:c r="K88" s="60" t="n">
        <x:f>J88*'Summary'!$B$5</x:f>
        <x:v>0.625</x:v>
      </x:c>
    </x:row>
    <x:row r="89">
      <x:c r="A89" s="56" t="n">
        <x:v>77</x:v>
      </x:c>
      <x:c r="B89" s="54" t="str">
        <x:v>generic_mask</x:v>
      </x:c>
      <x:c r="C89" s="54" t="str">
        <x:v>yellow-white striped cup</x:v>
      </x:c>
      <x:c r="D89" s="54" t="str">
        <x:v>closed</x:v>
      </x:c>
      <x:c r="E89" s="54" t="str">
        <x:v>upside down</x:v>
      </x:c>
      <x:c r="F89" s="55" t="str">
        <x:v>generic_mask|yellow_white_striped_cup|closed|upside_down</x:v>
      </x:c>
      <x:c r="G89" s="56" t="n">
        <x:v>4</x:v>
      </x:c>
      <x:c r="H89" s="58" t="n">
        <x:f>IF(B89=$A$5,$B$5,IF(B89=$A$6,$B$6,$B$7))</x:f>
        <x:v>0.5</x:v>
      </x:c>
      <x:c r="I89" s="56" t="n">
        <x:f>IF(B89=$A$5,$C$5,IF(B89=$A$6,$C$6,$C$7))</x:f>
        <x:v>16</x:v>
      </x:c>
      <x:c r="J89" s="59" t="n">
        <x:f>H89/(I89*G89)</x:f>
        <x:v>0.0078125</x:v>
      </x:c>
      <x:c r="K89" s="60" t="n">
        <x:f>J89*'Summary'!$B$5</x:f>
        <x:v>1.5625</x:v>
      </x:c>
    </x:row>
    <x:row r="90">
      <x:c r="A90" s="56" t="n">
        <x:v>78</x:v>
      </x:c>
      <x:c r="B90" s="54" t="str">
        <x:v>generic_mask</x:v>
      </x:c>
      <x:c r="C90" s="54" t="str">
        <x:v>yellow-white striped cup</x:v>
      </x:c>
      <x:c r="D90" s="54" t="str">
        <x:v>open</x:v>
      </x:c>
      <x:c r="E90" s="54" t="str">
        <x:v>upside down</x:v>
      </x:c>
      <x:c r="F90" s="55" t="str">
        <x:v>generic_mask|yellow_white_striped_cup|open|upside_down</x:v>
      </x:c>
      <x:c r="G90" s="56" t="n">
        <x:v>3</x:v>
      </x:c>
      <x:c r="H90" s="58" t="n">
        <x:f>IF(B90=$A$5,$B$5,IF(B90=$A$6,$B$6,$B$7))</x:f>
        <x:v>0.5</x:v>
      </x:c>
      <x:c r="I90" s="56" t="n">
        <x:f>IF(B90=$A$5,$C$5,IF(B90=$A$6,$C$6,$C$7))</x:f>
        <x:v>16</x:v>
      </x:c>
      <x:c r="J90" s="59" t="n">
        <x:f>H90/(I90*G90)</x:f>
        <x:v>0.010416666666666666</x:v>
      </x:c>
      <x:c r="K90" s="60" t="n">
        <x:f>J90*'Summary'!$B$5</x:f>
        <x:v>2.083333333333333</x:v>
      </x:c>
    </x:row>
    <x:row r="91">
      <x:c r="A91" s="56" t="n">
        <x:v>79</x:v>
      </x:c>
      <x:c r="B91" s="54" t="str">
        <x:v>generic_mask</x:v>
      </x:c>
      <x:c r="C91" s="54" t="str">
        <x:v>yellow-white striped cup</x:v>
      </x:c>
      <x:c r="D91" s="54" t="str">
        <x:v>closed</x:v>
      </x:c>
      <x:c r="E91" s="54" t="str">
        <x:v>upright</x:v>
      </x:c>
      <x:c r="F91" s="55" t="str">
        <x:v>generic_mask|yellow_white_striped_cup|closed|right_side_up</x:v>
      </x:c>
      <x:c r="G91" s="56" t="n">
        <x:v>18</x:v>
      </x:c>
      <x:c r="H91" s="58" t="n">
        <x:f>IF(B91=$A$5,$B$5,IF(B91=$A$6,$B$6,$B$7))</x:f>
        <x:v>0.5</x:v>
      </x:c>
      <x:c r="I91" s="56" t="n">
        <x:f>IF(B91=$A$5,$C$5,IF(B91=$A$6,$C$6,$C$7))</x:f>
        <x:v>16</x:v>
      </x:c>
      <x:c r="J91" s="59" t="n">
        <x:f>H91/(I91*G91)</x:f>
        <x:v>0.001736111111111111</x:v>
      </x:c>
      <x:c r="K91" s="60" t="n">
        <x:f>J91*'Summary'!$B$5</x:f>
        <x:v>0.3472222222222222</x:v>
      </x:c>
    </x:row>
    <x:row r="92">
      <x:c r="A92" s="56" t="n">
        <x:v>80</x:v>
      </x:c>
      <x:c r="B92" s="54" t="str">
        <x:v>explicit_seen_open</x:v>
      </x:c>
      <x:c r="C92" s="54" t="str">
        <x:v>yellow-white striped cup</x:v>
      </x:c>
      <x:c r="D92" s="54" t="str">
        <x:v>open</x:v>
      </x:c>
      <x:c r="E92" s="54" t="str">
        <x:v>upright</x:v>
      </x:c>
      <x:c r="F92" s="55" t="str">
        <x:v>explicit_seen_open|yellow_white_striped_cup|right_side_up</x:v>
      </x:c>
      <x:c r="G92" s="56" t="n">
        <x:v>9</x:v>
      </x:c>
      <x:c r="H92" s="58" t="n">
        <x:f>IF(B92=$A$5,$B$5,IF(B92=$A$6,$B$6,$B$7))</x:f>
        <x:v>0.25</x:v>
      </x:c>
      <x:c r="I92" s="56" t="n">
        <x:f>IF(B92=$A$5,$C$5,IF(B92=$A$6,$C$6,$C$7))</x:f>
        <x:v>8</x:v>
      </x:c>
      <x:c r="J92" s="59" t="n">
        <x:f>H92/(I92*G92)</x:f>
        <x:v>0.003472222222222222</x:v>
      </x:c>
      <x:c r="K92" s="60" t="n">
        <x:f>J92*'Summary'!$B$5</x:f>
        <x:v>0.6944444444444444</x:v>
      </x:c>
    </x:row>
    <x:row r="93">
      <x:c r="A93" s="56" t="n">
        <x:v>81</x:v>
      </x:c>
      <x:c r="B93" s="54" t="str">
        <x:v>explicit_seen_upside_down</x:v>
      </x:c>
      <x:c r="C93" s="54" t="str">
        <x:v>yellow-white striped cup</x:v>
      </x:c>
      <x:c r="D93" s="54" t="str">
        <x:v>closed</x:v>
      </x:c>
      <x:c r="E93" s="54" t="str">
        <x:v>upside down</x:v>
      </x:c>
      <x:c r="F93" s="55" t="str">
        <x:v>explicit_seen_upside_down|yellow_white_striped_cup|closed</x:v>
      </x:c>
      <x:c r="G93" s="56" t="n">
        <x:v>4</x:v>
      </x:c>
      <x:c r="H93" s="58" t="n">
        <x:f>IF(B93=$A$5,$B$5,IF(B93=$A$6,$B$6,$B$7))</x:f>
        <x:v>0.25</x:v>
      </x:c>
      <x:c r="I93" s="56" t="n">
        <x:f>IF(B93=$A$5,$C$5,IF(B93=$A$6,$C$6,$C$7))</x:f>
        <x:v>8</x:v>
      </x:c>
      <x:c r="J93" s="59" t="n">
        <x:f>H93/(I93*G93)</x:f>
        <x:v>0.0078125</x:v>
      </x:c>
      <x:c r="K93" s="60" t="n">
        <x:f>J93*'Summary'!$B$5</x:f>
        <x:v>1.5625</x:v>
      </x:c>
    </x:row>
    <x:row r="94">
      <x:c r="A94" s="56" t="n">
        <x:v>82</x:v>
      </x:c>
      <x:c r="B94" s="54" t="str">
        <x:v>generic_mask</x:v>
      </x:c>
      <x:c r="C94" s="54" t="str">
        <x:v>yellow-white striped cup</x:v>
      </x:c>
      <x:c r="D94" s="54" t="str">
        <x:v>open</x:v>
      </x:c>
      <x:c r="E94" s="54" t="str">
        <x:v>upright</x:v>
      </x:c>
      <x:c r="F94" s="55" t="str">
        <x:v>generic_mask|yellow_white_striped_cup|open|right_side_up</x:v>
      </x:c>
      <x:c r="G94" s="56" t="n">
        <x:v>10</x:v>
      </x:c>
      <x:c r="H94" s="58" t="n">
        <x:f>IF(B94=$A$5,$B$5,IF(B94=$A$6,$B$6,$B$7))</x:f>
        <x:v>0.5</x:v>
      </x:c>
      <x:c r="I94" s="56" t="n">
        <x:f>IF(B94=$A$5,$C$5,IF(B94=$A$6,$C$6,$C$7))</x:f>
        <x:v>16</x:v>
      </x:c>
      <x:c r="J94" s="59" t="n">
        <x:f>H94/(I94*G94)</x:f>
        <x:v>0.003125</x:v>
      </x:c>
      <x:c r="K94" s="60" t="n">
        <x:f>J94*'Summary'!$B$5</x:f>
        <x:v>0.625</x:v>
      </x:c>
    </x:row>
    <x:row r="95">
      <x:c r="A95" s="56" t="n">
        <x:v>83</x:v>
      </x:c>
      <x:c r="B95" s="54" t="str">
        <x:v>generic_mask</x:v>
      </x:c>
      <x:c r="C95" s="54" t="str">
        <x:v>yellow-white striped cup</x:v>
      </x:c>
      <x:c r="D95" s="54" t="str">
        <x:v>closed</x:v>
      </x:c>
      <x:c r="E95" s="54" t="str">
        <x:v>upside down</x:v>
      </x:c>
      <x:c r="F95" s="55" t="str">
        <x:v>generic_mask|yellow_white_striped_cup|closed|upside_down</x:v>
      </x:c>
      <x:c r="G95" s="56" t="n">
        <x:v>4</x:v>
      </x:c>
      <x:c r="H95" s="58" t="n">
        <x:f>IF(B95=$A$5,$B$5,IF(B95=$A$6,$B$6,$B$7))</x:f>
        <x:v>0.5</x:v>
      </x:c>
      <x:c r="I95" s="56" t="n">
        <x:f>IF(B95=$A$5,$C$5,IF(B95=$A$6,$C$6,$C$7))</x:f>
        <x:v>16</x:v>
      </x:c>
      <x:c r="J95" s="59" t="n">
        <x:f>H95/(I95*G95)</x:f>
        <x:v>0.0078125</x:v>
      </x:c>
      <x:c r="K95" s="60" t="n">
        <x:f>J95*'Summary'!$B$5</x:f>
        <x:v>1.5625</x:v>
      </x:c>
    </x:row>
    <x:row r="96">
      <x:c r="A96" s="56" t="n">
        <x:v>84</x:v>
      </x:c>
      <x:c r="B96" s="54" t="str">
        <x:v>explicit_seen_open</x:v>
      </x:c>
      <x:c r="C96" s="54" t="str">
        <x:v>yellow-white striped cup</x:v>
      </x:c>
      <x:c r="D96" s="54" t="str">
        <x:v>open</x:v>
      </x:c>
      <x:c r="E96" s="54" t="str">
        <x:v>upright</x:v>
      </x:c>
      <x:c r="F96" s="55" t="str">
        <x:v>explicit_seen_open|yellow_white_striped_cup|right_side_up</x:v>
      </x:c>
      <x:c r="G96" s="56" t="n">
        <x:v>9</x:v>
      </x:c>
      <x:c r="H96" s="58" t="n">
        <x:f>IF(B96=$A$5,$B$5,IF(B96=$A$6,$B$6,$B$7))</x:f>
        <x:v>0.25</x:v>
      </x:c>
      <x:c r="I96" s="56" t="n">
        <x:f>IF(B96=$A$5,$C$5,IF(B96=$A$6,$C$6,$C$7))</x:f>
        <x:v>8</x:v>
      </x:c>
      <x:c r="J96" s="59" t="n">
        <x:f>H96/(I96*G96)</x:f>
        <x:v>0.003472222222222222</x:v>
      </x:c>
      <x:c r="K96" s="60" t="n">
        <x:f>J96*'Summary'!$B$5</x:f>
        <x:v>0.6944444444444444</x:v>
      </x:c>
    </x:row>
    <x:row r="97">
      <x:c r="A97" s="56" t="n">
        <x:v>85</x:v>
      </x:c>
      <x:c r="B97" s="54" t="str">
        <x:v>explicit_seen_upside_down</x:v>
      </x:c>
      <x:c r="C97" s="54" t="str">
        <x:v>yellow-white striped cup</x:v>
      </x:c>
      <x:c r="D97" s="54" t="str">
        <x:v>closed</x:v>
      </x:c>
      <x:c r="E97" s="54" t="str">
        <x:v>upside down</x:v>
      </x:c>
      <x:c r="F97" s="55" t="str">
        <x:v>explicit_seen_upside_down|yellow_white_striped_cup|closed</x:v>
      </x:c>
      <x:c r="G97" s="56" t="n">
        <x:v>4</x:v>
      </x:c>
      <x:c r="H97" s="58" t="n">
        <x:f>IF(B97=$A$5,$B$5,IF(B97=$A$6,$B$6,$B$7))</x:f>
        <x:v>0.25</x:v>
      </x:c>
      <x:c r="I97" s="56" t="n">
        <x:f>IF(B97=$A$5,$C$5,IF(B97=$A$6,$C$6,$C$7))</x:f>
        <x:v>8</x:v>
      </x:c>
      <x:c r="J97" s="59" t="n">
        <x:f>H97/(I97*G97)</x:f>
        <x:v>0.0078125</x:v>
      </x:c>
      <x:c r="K97" s="60" t="n">
        <x:f>J97*'Summary'!$B$5</x:f>
        <x:v>1.5625</x:v>
      </x:c>
    </x:row>
    <x:row r="98">
      <x:c r="A98" s="56" t="n">
        <x:v>86</x:v>
      </x:c>
      <x:c r="B98" s="54" t="str">
        <x:v>explicit_seen_open</x:v>
      </x:c>
      <x:c r="C98" s="54" t="str">
        <x:v>yellow-white striped cup</x:v>
      </x:c>
      <x:c r="D98" s="54" t="str">
        <x:v>open</x:v>
      </x:c>
      <x:c r="E98" s="54" t="str">
        <x:v>upside down</x:v>
      </x:c>
      <x:c r="F98" s="55" t="str">
        <x:v>explicit_seen_open|yellow_white_striped_cup|upside_down</x:v>
      </x:c>
      <x:c r="G98" s="56" t="n">
        <x:v>1</x:v>
      </x:c>
      <x:c r="H98" s="58" t="n">
        <x:f>IF(B98=$A$5,$B$5,IF(B98=$A$6,$B$6,$B$7))</x:f>
        <x:v>0.25</x:v>
      </x:c>
      <x:c r="I98" s="56" t="n">
        <x:f>IF(B98=$A$5,$C$5,IF(B98=$A$6,$C$6,$C$7))</x:f>
        <x:v>8</x:v>
      </x:c>
      <x:c r="J98" s="59" t="n">
        <x:f>H98/(I98*G98)</x:f>
        <x:v>0.03125</x:v>
      </x:c>
      <x:c r="K98" s="60" t="n">
        <x:f>J98*'Summary'!$B$5</x:f>
        <x:v>6.25</x:v>
      </x:c>
    </x:row>
    <x:row r="99">
      <x:c r="A99" s="56" t="n">
        <x:v>87</x:v>
      </x:c>
      <x:c r="B99" s="54" t="str">
        <x:v>generic_mask</x:v>
      </x:c>
      <x:c r="C99" s="54" t="str">
        <x:v>yellow-white striped cup</x:v>
      </x:c>
      <x:c r="D99" s="54" t="str">
        <x:v>closed</x:v>
      </x:c>
      <x:c r="E99" s="54" t="str">
        <x:v>upright</x:v>
      </x:c>
      <x:c r="F99" s="55" t="str">
        <x:v>generic_mask|yellow_white_striped_cup|closed|right_side_up</x:v>
      </x:c>
      <x:c r="G99" s="56" t="n">
        <x:v>18</x:v>
      </x:c>
      <x:c r="H99" s="58" t="n">
        <x:f>IF(B99=$A$5,$B$5,IF(B99=$A$6,$B$6,$B$7))</x:f>
        <x:v>0.5</x:v>
      </x:c>
      <x:c r="I99" s="56" t="n">
        <x:f>IF(B99=$A$5,$C$5,IF(B99=$A$6,$C$6,$C$7))</x:f>
        <x:v>16</x:v>
      </x:c>
      <x:c r="J99" s="59" t="n">
        <x:f>H99/(I99*G99)</x:f>
        <x:v>0.001736111111111111</x:v>
      </x:c>
      <x:c r="K99" s="60" t="n">
        <x:f>J99*'Summary'!$B$5</x:f>
        <x:v>0.3472222222222222</x:v>
      </x:c>
    </x:row>
    <x:row r="100">
      <x:c r="A100" s="56" t="n">
        <x:v>88</x:v>
      </x:c>
      <x:c r="B100" s="54" t="str">
        <x:v>generic_mask</x:v>
      </x:c>
      <x:c r="C100" s="54" t="str">
        <x:v>yellow-white striped cup</x:v>
      </x:c>
      <x:c r="D100" s="54" t="str">
        <x:v>open</x:v>
      </x:c>
      <x:c r="E100" s="54" t="str">
        <x:v>upside down</x:v>
      </x:c>
      <x:c r="F100" s="55" t="str">
        <x:v>generic_mask|yellow_white_striped_cup|open|upside_down</x:v>
      </x:c>
      <x:c r="G100" s="56" t="n">
        <x:v>3</x:v>
      </x:c>
      <x:c r="H100" s="58" t="n">
        <x:f>IF(B100=$A$5,$B$5,IF(B100=$A$6,$B$6,$B$7))</x:f>
        <x:v>0.5</x:v>
      </x:c>
      <x:c r="I100" s="56" t="n">
        <x:f>IF(B100=$A$5,$C$5,IF(B100=$A$6,$C$6,$C$7))</x:f>
        <x:v>16</x:v>
      </x:c>
      <x:c r="J100" s="59" t="n">
        <x:f>H100/(I100*G100)</x:f>
        <x:v>0.010416666666666666</x:v>
      </x:c>
      <x:c r="K100" s="60" t="n">
        <x:f>J100*'Summary'!$B$5</x:f>
        <x:v>2.083333333333333</x:v>
      </x:c>
    </x:row>
    <x:row r="101">
      <x:c r="A101" s="56" t="n">
        <x:v>89</x:v>
      </x:c>
      <x:c r="B101" s="54" t="str">
        <x:v>generic_mask</x:v>
      </x:c>
      <x:c r="C101" s="54" t="str">
        <x:v>yellow-white striped cup</x:v>
      </x:c>
      <x:c r="D101" s="54" t="str">
        <x:v>closed</x:v>
      </x:c>
      <x:c r="E101" s="54" t="str">
        <x:v>upside down</x:v>
      </x:c>
      <x:c r="F101" s="55" t="str">
        <x:v>generic_mask|yellow_white_striped_cup|closed|upside_down</x:v>
      </x:c>
      <x:c r="G101" s="56" t="n">
        <x:v>4</x:v>
      </x:c>
      <x:c r="H101" s="58" t="n">
        <x:f>IF(B101=$A$5,$B$5,IF(B101=$A$6,$B$6,$B$7))</x:f>
        <x:v>0.5</x:v>
      </x:c>
      <x:c r="I101" s="56" t="n">
        <x:f>IF(B101=$A$5,$C$5,IF(B101=$A$6,$C$6,$C$7))</x:f>
        <x:v>16</x:v>
      </x:c>
      <x:c r="J101" s="59" t="n">
        <x:f>H101/(I101*G101)</x:f>
        <x:v>0.0078125</x:v>
      </x:c>
      <x:c r="K101" s="60" t="n">
        <x:f>J101*'Summary'!$B$5</x:f>
        <x:v>1.5625</x:v>
      </x:c>
    </x:row>
    <x:row r="102">
      <x:c r="A102" s="56" t="n">
        <x:v>90</x:v>
      </x:c>
      <x:c r="B102" s="54" t="str">
        <x:v>generic_mask</x:v>
      </x:c>
      <x:c r="C102" s="54" t="str">
        <x:v>yellow-white striped cup</x:v>
      </x:c>
      <x:c r="D102" s="54" t="str">
        <x:v>open</x:v>
      </x:c>
      <x:c r="E102" s="54" t="str">
        <x:v>upright</x:v>
      </x:c>
      <x:c r="F102" s="55" t="str">
        <x:v>generic_mask|yellow_white_striped_cup|open|right_side_up</x:v>
      </x:c>
      <x:c r="G102" s="56" t="n">
        <x:v>10</x:v>
      </x:c>
      <x:c r="H102" s="58" t="n">
        <x:f>IF(B102=$A$5,$B$5,IF(B102=$A$6,$B$6,$B$7))</x:f>
        <x:v>0.5</x:v>
      </x:c>
      <x:c r="I102" s="56" t="n">
        <x:f>IF(B102=$A$5,$C$5,IF(B102=$A$6,$C$6,$C$7))</x:f>
        <x:v>16</x:v>
      </x:c>
      <x:c r="J102" s="59" t="n">
        <x:f>H102/(I102*G102)</x:f>
        <x:v>0.003125</x:v>
      </x:c>
      <x:c r="K102" s="60" t="n">
        <x:f>J102*'Summary'!$B$5</x:f>
        <x:v>0.625</x:v>
      </x:c>
    </x:row>
    <x:row r="103">
      <x:c r="A103" s="56" t="n">
        <x:v>91</x:v>
      </x:c>
      <x:c r="B103" s="54" t="str">
        <x:v>explicit_seen_upside_down</x:v>
      </x:c>
      <x:c r="C103" s="54" t="str">
        <x:v>yellow-white striped cup</x:v>
      </x:c>
      <x:c r="D103" s="54" t="str">
        <x:v>closed</x:v>
      </x:c>
      <x:c r="E103" s="54" t="str">
        <x:v>upside down</x:v>
      </x:c>
      <x:c r="F103" s="55" t="str">
        <x:v>explicit_seen_upside_down|yellow_white_striped_cup|closed</x:v>
      </x:c>
      <x:c r="G103" s="56" t="n">
        <x:v>4</x:v>
      </x:c>
      <x:c r="H103" s="58" t="n">
        <x:f>IF(B103=$A$5,$B$5,IF(B103=$A$6,$B$6,$B$7))</x:f>
        <x:v>0.25</x:v>
      </x:c>
      <x:c r="I103" s="56" t="n">
        <x:f>IF(B103=$A$5,$C$5,IF(B103=$A$6,$C$6,$C$7))</x:f>
        <x:v>8</x:v>
      </x:c>
      <x:c r="J103" s="59" t="n">
        <x:f>H103/(I103*G103)</x:f>
        <x:v>0.0078125</x:v>
      </x:c>
      <x:c r="K103" s="60" t="n">
        <x:f>J103*'Summary'!$B$5</x:f>
        <x:v>1.5625</x:v>
      </x:c>
    </x:row>
    <x:row r="104">
      <x:c r="A104" s="56" t="n">
        <x:v>92</x:v>
      </x:c>
      <x:c r="B104" s="54" t="str">
        <x:v>explicit_seen_open</x:v>
      </x:c>
      <x:c r="C104" s="54" t="str">
        <x:v>yellow-white striped cup</x:v>
      </x:c>
      <x:c r="D104" s="54" t="str">
        <x:v>open</x:v>
      </x:c>
      <x:c r="E104" s="54" t="str">
        <x:v>upright</x:v>
      </x:c>
      <x:c r="F104" s="55" t="str">
        <x:v>explicit_seen_open|yellow_white_striped_cup|right_side_up</x:v>
      </x:c>
      <x:c r="G104" s="56" t="n">
        <x:v>9</x:v>
      </x:c>
      <x:c r="H104" s="58" t="n">
        <x:f>IF(B104=$A$5,$B$5,IF(B104=$A$6,$B$6,$B$7))</x:f>
        <x:v>0.25</x:v>
      </x:c>
      <x:c r="I104" s="56" t="n">
        <x:f>IF(B104=$A$5,$C$5,IF(B104=$A$6,$C$6,$C$7))</x:f>
        <x:v>8</x:v>
      </x:c>
      <x:c r="J104" s="59" t="n">
        <x:f>H104/(I104*G104)</x:f>
        <x:v>0.003472222222222222</x:v>
      </x:c>
      <x:c r="K104" s="60" t="n">
        <x:f>J104*'Summary'!$B$5</x:f>
        <x:v>0.6944444444444444</x:v>
      </x:c>
    </x:row>
    <x:row r="105">
      <x:c r="A105" s="56" t="n">
        <x:v>93</x:v>
      </x:c>
      <x:c r="B105" s="54" t="str">
        <x:v>generic_mask</x:v>
      </x:c>
      <x:c r="C105" s="54" t="str">
        <x:v>yellow-white striped cup</x:v>
      </x:c>
      <x:c r="D105" s="54" t="str">
        <x:v>closed</x:v>
      </x:c>
      <x:c r="E105" s="54" t="str">
        <x:v>upright</x:v>
      </x:c>
      <x:c r="F105" s="55" t="str">
        <x:v>generic_mask|yellow_white_striped_cup|closed|right_side_up</x:v>
      </x:c>
      <x:c r="G105" s="56" t="n">
        <x:v>18</x:v>
      </x:c>
      <x:c r="H105" s="58" t="n">
        <x:f>IF(B105=$A$5,$B$5,IF(B105=$A$6,$B$6,$B$7))</x:f>
        <x:v>0.5</x:v>
      </x:c>
      <x:c r="I105" s="56" t="n">
        <x:f>IF(B105=$A$5,$C$5,IF(B105=$A$6,$C$6,$C$7))</x:f>
        <x:v>16</x:v>
      </x:c>
      <x:c r="J105" s="59" t="n">
        <x:f>H105/(I105*G105)</x:f>
        <x:v>0.001736111111111111</x:v>
      </x:c>
      <x:c r="K105" s="60" t="n">
        <x:f>J105*'Summary'!$B$5</x:f>
        <x:v>0.3472222222222222</x:v>
      </x:c>
    </x:row>
    <x:row r="106">
      <x:c r="A106" s="56" t="n">
        <x:v>94</x:v>
      </x:c>
      <x:c r="B106" s="54" t="str">
        <x:v>explicit_seen_upside_down</x:v>
      </x:c>
      <x:c r="C106" s="54" t="str">
        <x:v>yellow-white striped cup</x:v>
      </x:c>
      <x:c r="D106" s="54" t="str">
        <x:v>open</x:v>
      </x:c>
      <x:c r="E106" s="54" t="str">
        <x:v>upside down</x:v>
      </x:c>
      <x:c r="F106" s="55" t="str">
        <x:v>explicit_seen_upside_down|yellow_white_striped_cup|open</x:v>
      </x:c>
      <x:c r="G106" s="56" t="n">
        <x:v>1</x:v>
      </x:c>
      <x:c r="H106" s="58" t="n">
        <x:f>IF(B106=$A$5,$B$5,IF(B106=$A$6,$B$6,$B$7))</x:f>
        <x:v>0.25</x:v>
      </x:c>
      <x:c r="I106" s="56" t="n">
        <x:f>IF(B106=$A$5,$C$5,IF(B106=$A$6,$C$6,$C$7))</x:f>
        <x:v>8</x:v>
      </x:c>
      <x:c r="J106" s="59" t="n">
        <x:f>H106/(I106*G106)</x:f>
        <x:v>0.03125</x:v>
      </x:c>
      <x:c r="K106" s="60" t="n">
        <x:f>J106*'Summary'!$B$5</x:f>
        <x:v>6.25</x:v>
      </x:c>
    </x:row>
    <x:row r="107">
      <x:c r="A107" s="56" t="n">
        <x:v>95</x:v>
      </x:c>
      <x:c r="B107" s="54" t="str">
        <x:v>generic_mask</x:v>
      </x:c>
      <x:c r="C107" s="54" t="str">
        <x:v>yellow-white striped cup</x:v>
      </x:c>
      <x:c r="D107" s="54" t="str">
        <x:v>closed</x:v>
      </x:c>
      <x:c r="E107" s="54" t="str">
        <x:v>upside down</x:v>
      </x:c>
      <x:c r="F107" s="55" t="str">
        <x:v>generic_mask|yellow_white_striped_cup|closed|upside_down</x:v>
      </x:c>
      <x:c r="G107" s="56" t="n">
        <x:v>4</x:v>
      </x:c>
      <x:c r="H107" s="58" t="n">
        <x:f>IF(B107=$A$5,$B$5,IF(B107=$A$6,$B$6,$B$7))</x:f>
        <x:v>0.5</x:v>
      </x:c>
      <x:c r="I107" s="56" t="n">
        <x:f>IF(B107=$A$5,$C$5,IF(B107=$A$6,$C$6,$C$7))</x:f>
        <x:v>16</x:v>
      </x:c>
      <x:c r="J107" s="59" t="n">
        <x:f>H107/(I107*G107)</x:f>
        <x:v>0.0078125</x:v>
      </x:c>
      <x:c r="K107" s="60" t="n">
        <x:f>J107*'Summary'!$B$5</x:f>
        <x:v>1.5625</x:v>
      </x:c>
    </x:row>
    <x:row r="108">
      <x:c r="A108" s="56" t="n">
        <x:v>96</x:v>
      </x:c>
      <x:c r="B108" s="54" t="str">
        <x:v>generic_mask</x:v>
      </x:c>
      <x:c r="C108" s="54" t="str">
        <x:v>yellow-white striped cup</x:v>
      </x:c>
      <x:c r="D108" s="54" t="str">
        <x:v>open</x:v>
      </x:c>
      <x:c r="E108" s="54" t="str">
        <x:v>upright</x:v>
      </x:c>
      <x:c r="F108" s="55" t="str">
        <x:v>generic_mask|yellow_white_striped_cup|open|right_side_up</x:v>
      </x:c>
      <x:c r="G108" s="56" t="n">
        <x:v>10</x:v>
      </x:c>
      <x:c r="H108" s="58" t="n">
        <x:f>IF(B108=$A$5,$B$5,IF(B108=$A$6,$B$6,$B$7))</x:f>
        <x:v>0.5</x:v>
      </x:c>
      <x:c r="I108" s="56" t="n">
        <x:f>IF(B108=$A$5,$C$5,IF(B108=$A$6,$C$6,$C$7))</x:f>
        <x:v>16</x:v>
      </x:c>
      <x:c r="J108" s="59" t="n">
        <x:f>H108/(I108*G108)</x:f>
        <x:v>0.003125</x:v>
      </x:c>
      <x:c r="K108" s="60" t="n">
        <x:f>J108*'Summary'!$B$5</x:f>
        <x:v>0.625</x:v>
      </x:c>
    </x:row>
    <x:row r="109">
      <x:c r="A109" s="56" t="n">
        <x:v>97</x:v>
      </x:c>
      <x:c r="B109" s="54" t="str">
        <x:v>generic_mask</x:v>
      </x:c>
      <x:c r="C109" s="54" t="str">
        <x:v>yellow-white striped cup</x:v>
      </x:c>
      <x:c r="D109" s="54" t="str">
        <x:v>closed</x:v>
      </x:c>
      <x:c r="E109" s="54" t="str">
        <x:v>upright</x:v>
      </x:c>
      <x:c r="F109" s="55" t="str">
        <x:v>generic_mask|yellow_white_striped_cup|closed|right_side_up</x:v>
      </x:c>
      <x:c r="G109" s="56" t="n">
        <x:v>18</x:v>
      </x:c>
      <x:c r="H109" s="58" t="n">
        <x:f>IF(B109=$A$5,$B$5,IF(B109=$A$6,$B$6,$B$7))</x:f>
        <x:v>0.5</x:v>
      </x:c>
      <x:c r="I109" s="56" t="n">
        <x:f>IF(B109=$A$5,$C$5,IF(B109=$A$6,$C$6,$C$7))</x:f>
        <x:v>16</x:v>
      </x:c>
      <x:c r="J109" s="59" t="n">
        <x:f>H109/(I109*G109)</x:f>
        <x:v>0.001736111111111111</x:v>
      </x:c>
      <x:c r="K109" s="60" t="n">
        <x:f>J109*'Summary'!$B$5</x:f>
        <x:v>0.3472222222222222</x:v>
      </x:c>
    </x:row>
    <x:row r="110">
      <x:c r="A110" s="56" t="n">
        <x:v>98</x:v>
      </x:c>
      <x:c r="B110" s="54" t="str">
        <x:v>generic_mask</x:v>
      </x:c>
      <x:c r="C110" s="54" t="str">
        <x:v>yellow-white striped cup</x:v>
      </x:c>
      <x:c r="D110" s="54" t="str">
        <x:v>open</x:v>
      </x:c>
      <x:c r="E110" s="54" t="str">
        <x:v>upside down</x:v>
      </x:c>
      <x:c r="F110" s="55" t="str">
        <x:v>generic_mask|yellow_white_striped_cup|open|upside_down</x:v>
      </x:c>
      <x:c r="G110" s="56" t="n">
        <x:v>3</x:v>
      </x:c>
      <x:c r="H110" s="58" t="n">
        <x:f>IF(B110=$A$5,$B$5,IF(B110=$A$6,$B$6,$B$7))</x:f>
        <x:v>0.5</x:v>
      </x:c>
      <x:c r="I110" s="56" t="n">
        <x:f>IF(B110=$A$5,$C$5,IF(B110=$A$6,$C$6,$C$7))</x:f>
        <x:v>16</x:v>
      </x:c>
      <x:c r="J110" s="59" t="n">
        <x:f>H110/(I110*G110)</x:f>
        <x:v>0.010416666666666666</x:v>
      </x:c>
      <x:c r="K110" s="60" t="n">
        <x:f>J110*'Summary'!$B$5</x:f>
        <x:v>2.083333333333333</x:v>
      </x:c>
    </x:row>
    <x:row r="111">
      <x:c r="A111" s="56" t="n">
        <x:v>99</x:v>
      </x:c>
      <x:c r="B111" s="54" t="str">
        <x:v>explicit_seen_upside_down</x:v>
      </x:c>
      <x:c r="C111" s="54" t="str">
        <x:v>yellow-white striped cup</x:v>
      </x:c>
      <x:c r="D111" s="54" t="str">
        <x:v>closed</x:v>
      </x:c>
      <x:c r="E111" s="54" t="str">
        <x:v>upside down</x:v>
      </x:c>
      <x:c r="F111" s="55" t="str">
        <x:v>explicit_seen_upside_down|yellow_white_striped_cup|closed</x:v>
      </x:c>
      <x:c r="G111" s="56" t="n">
        <x:v>4</x:v>
      </x:c>
      <x:c r="H111" s="58" t="n">
        <x:f>IF(B111=$A$5,$B$5,IF(B111=$A$6,$B$6,$B$7))</x:f>
        <x:v>0.25</x:v>
      </x:c>
      <x:c r="I111" s="56" t="n">
        <x:f>IF(B111=$A$5,$C$5,IF(B111=$A$6,$C$6,$C$7))</x:f>
        <x:v>8</x:v>
      </x:c>
      <x:c r="J111" s="59" t="n">
        <x:f>H111/(I111*G111)</x:f>
        <x:v>0.0078125</x:v>
      </x:c>
      <x:c r="K111" s="60" t="n">
        <x:f>J111*'Summary'!$B$5</x:f>
        <x:v>1.5625</x:v>
      </x:c>
    </x:row>
    <x:row r="112">
      <x:c r="A112" s="56" t="n">
        <x:v>100</x:v>
      </x:c>
      <x:c r="B112" s="54" t="str">
        <x:v>generic_mask</x:v>
      </x:c>
      <x:c r="C112" s="54" t="str">
        <x:v>brown cup</x:v>
      </x:c>
      <x:c r="D112" s="54" t="str">
        <x:v>closed</x:v>
      </x:c>
      <x:c r="E112" s="54" t="str">
        <x:v>upright</x:v>
      </x:c>
      <x:c r="F112" s="55" t="str">
        <x:v>generic_mask|brown_cup|closed|right_side_up</x:v>
      </x:c>
      <x:c r="G112" s="56" t="n">
        <x:v>16</x:v>
      </x:c>
      <x:c r="H112" s="58" t="n">
        <x:f>IF(B112=$A$5,$B$5,IF(B112=$A$6,$B$6,$B$7))</x:f>
        <x:v>0.5</x:v>
      </x:c>
      <x:c r="I112" s="56" t="n">
        <x:f>IF(B112=$A$5,$C$5,IF(B112=$A$6,$C$6,$C$7))</x:f>
        <x:v>16</x:v>
      </x:c>
      <x:c r="J112" s="59" t="n">
        <x:f>H112/(I112*G112)</x:f>
        <x:v>0.001953125</x:v>
      </x:c>
      <x:c r="K112" s="60" t="n">
        <x:f>J112*'Summary'!$B$5</x:f>
        <x:v>0.390625</x:v>
      </x:c>
    </x:row>
    <x:row r="113">
      <x:c r="A113" s="56" t="n">
        <x:v>101</x:v>
      </x:c>
      <x:c r="B113" s="54" t="str">
        <x:v>generic_mask</x:v>
      </x:c>
      <x:c r="C113" s="54" t="str">
        <x:v>brown cup</x:v>
      </x:c>
      <x:c r="D113" s="54" t="str">
        <x:v>open</x:v>
      </x:c>
      <x:c r="E113" s="54" t="str">
        <x:v>upright</x:v>
      </x:c>
      <x:c r="F113" s="55" t="str">
        <x:v>generic_mask|brown_cup|open|right_side_up</x:v>
      </x:c>
      <x:c r="G113" s="56" t="n">
        <x:v>11</x:v>
      </x:c>
      <x:c r="H113" s="58" t="n">
        <x:f>IF(B113=$A$5,$B$5,IF(B113=$A$6,$B$6,$B$7))</x:f>
        <x:v>0.5</x:v>
      </x:c>
      <x:c r="I113" s="56" t="n">
        <x:f>IF(B113=$A$5,$C$5,IF(B113=$A$6,$C$6,$C$7))</x:f>
        <x:v>16</x:v>
      </x:c>
      <x:c r="J113" s="59" t="n">
        <x:f>H113/(I113*G113)</x:f>
        <x:v>0.002840909090909091</x:v>
      </x:c>
      <x:c r="K113" s="60" t="n">
        <x:f>J113*'Summary'!$B$5</x:f>
        <x:v>0.5681818181818182</x:v>
      </x:c>
    </x:row>
    <x:row r="114">
      <x:c r="A114" s="56" t="n">
        <x:v>102</x:v>
      </x:c>
      <x:c r="B114" s="54" t="str">
        <x:v>generic_mask</x:v>
      </x:c>
      <x:c r="C114" s="54" t="str">
        <x:v>brown cup</x:v>
      </x:c>
      <x:c r="D114" s="54" t="str">
        <x:v>closed</x:v>
      </x:c>
      <x:c r="E114" s="54" t="str">
        <x:v>upright</x:v>
      </x:c>
      <x:c r="F114" s="55" t="str">
        <x:v>generic_mask|brown_cup|closed|right_side_up</x:v>
      </x:c>
      <x:c r="G114" s="56" t="n">
        <x:v>16</x:v>
      </x:c>
      <x:c r="H114" s="58" t="n">
        <x:f>IF(B114=$A$5,$B$5,IF(B114=$A$6,$B$6,$B$7))</x:f>
        <x:v>0.5</x:v>
      </x:c>
      <x:c r="I114" s="56" t="n">
        <x:f>IF(B114=$A$5,$C$5,IF(B114=$A$6,$C$6,$C$7))</x:f>
        <x:v>16</x:v>
      </x:c>
      <x:c r="J114" s="59" t="n">
        <x:f>H114/(I114*G114)</x:f>
        <x:v>0.001953125</x:v>
      </x:c>
      <x:c r="K114" s="60" t="n">
        <x:f>J114*'Summary'!$B$5</x:f>
        <x:v>0.390625</x:v>
      </x:c>
    </x:row>
    <x:row r="115">
      <x:c r="A115" s="56" t="n">
        <x:v>103</x:v>
      </x:c>
      <x:c r="B115" s="54" t="str">
        <x:v>generic_mask</x:v>
      </x:c>
      <x:c r="C115" s="54" t="str">
        <x:v>brown cup</x:v>
      </x:c>
      <x:c r="D115" s="54" t="str">
        <x:v>closed</x:v>
      </x:c>
      <x:c r="E115" s="54" t="str">
        <x:v>upright</x:v>
      </x:c>
      <x:c r="F115" s="55" t="str">
        <x:v>generic_mask|brown_cup|closed|right_side_up</x:v>
      </x:c>
      <x:c r="G115" s="56" t="n">
        <x:v>16</x:v>
      </x:c>
      <x:c r="H115" s="58" t="n">
        <x:f>IF(B115=$A$5,$B$5,IF(B115=$A$6,$B$6,$B$7))</x:f>
        <x:v>0.5</x:v>
      </x:c>
      <x:c r="I115" s="56" t="n">
        <x:f>IF(B115=$A$5,$C$5,IF(B115=$A$6,$C$6,$C$7))</x:f>
        <x:v>16</x:v>
      </x:c>
      <x:c r="J115" s="59" t="n">
        <x:f>H115/(I115*G115)</x:f>
        <x:v>0.001953125</x:v>
      </x:c>
      <x:c r="K115" s="60" t="n">
        <x:f>J115*'Summary'!$B$5</x:f>
        <x:v>0.390625</x:v>
      </x:c>
    </x:row>
    <x:row r="116">
      <x:c r="A116" s="56" t="n">
        <x:v>104</x:v>
      </x:c>
      <x:c r="B116" s="54" t="str">
        <x:v>explicit_seen_open</x:v>
      </x:c>
      <x:c r="C116" s="54" t="str">
        <x:v>brown cup</x:v>
      </x:c>
      <x:c r="D116" s="54" t="str">
        <x:v>open</x:v>
      </x:c>
      <x:c r="E116" s="54" t="str">
        <x:v>upright</x:v>
      </x:c>
      <x:c r="F116" s="55" t="str">
        <x:v>explicit_seen_open|brown_cup|right_side_up</x:v>
      </x:c>
      <x:c r="G116" s="56" t="n">
        <x:v>10</x:v>
      </x:c>
      <x:c r="H116" s="58" t="n">
        <x:f>IF(B116=$A$5,$B$5,IF(B116=$A$6,$B$6,$B$7))</x:f>
        <x:v>0.25</x:v>
      </x:c>
      <x:c r="I116" s="56" t="n">
        <x:f>IF(B116=$A$5,$C$5,IF(B116=$A$6,$C$6,$C$7))</x:f>
        <x:v>8</x:v>
      </x:c>
      <x:c r="J116" s="59" t="n">
        <x:f>H116/(I116*G116)</x:f>
        <x:v>0.003125</x:v>
      </x:c>
      <x:c r="K116" s="60" t="n">
        <x:f>J116*'Summary'!$B$5</x:f>
        <x:v>0.625</x:v>
      </x:c>
    </x:row>
    <x:row r="117">
      <x:c r="A117" s="56" t="n">
        <x:v>105</x:v>
      </x:c>
      <x:c r="B117" s="54" t="str">
        <x:v>generic_mask</x:v>
      </x:c>
      <x:c r="C117" s="54" t="str">
        <x:v>brown cup</x:v>
      </x:c>
      <x:c r="D117" s="54" t="str">
        <x:v>closed</x:v>
      </x:c>
      <x:c r="E117" s="54" t="str">
        <x:v>upright</x:v>
      </x:c>
      <x:c r="F117" s="55" t="str">
        <x:v>generic_mask|brown_cup|closed|right_side_up</x:v>
      </x:c>
      <x:c r="G117" s="56" t="n">
        <x:v>16</x:v>
      </x:c>
      <x:c r="H117" s="58" t="n">
        <x:f>IF(B117=$A$5,$B$5,IF(B117=$A$6,$B$6,$B$7))</x:f>
        <x:v>0.5</x:v>
      </x:c>
      <x:c r="I117" s="56" t="n">
        <x:f>IF(B117=$A$5,$C$5,IF(B117=$A$6,$C$6,$C$7))</x:f>
        <x:v>16</x:v>
      </x:c>
      <x:c r="J117" s="59" t="n">
        <x:f>H117/(I117*G117)</x:f>
        <x:v>0.001953125</x:v>
      </x:c>
      <x:c r="K117" s="60" t="n">
        <x:f>J117*'Summary'!$B$5</x:f>
        <x:v>0.390625</x:v>
      </x:c>
    </x:row>
    <x:row r="118">
      <x:c r="A118" s="56" t="n">
        <x:v>106</x:v>
      </x:c>
      <x:c r="B118" s="54" t="str">
        <x:v>generic_mask</x:v>
      </x:c>
      <x:c r="C118" s="54" t="str">
        <x:v>brown cup</x:v>
      </x:c>
      <x:c r="D118" s="54" t="str">
        <x:v>open</x:v>
      </x:c>
      <x:c r="E118" s="54" t="str">
        <x:v>upright</x:v>
      </x:c>
      <x:c r="F118" s="55" t="str">
        <x:v>generic_mask|brown_cup|open|right_side_up</x:v>
      </x:c>
      <x:c r="G118" s="56" t="n">
        <x:v>11</x:v>
      </x:c>
      <x:c r="H118" s="58" t="n">
        <x:f>IF(B118=$A$5,$B$5,IF(B118=$A$6,$B$6,$B$7))</x:f>
        <x:v>0.5</x:v>
      </x:c>
      <x:c r="I118" s="56" t="n">
        <x:f>IF(B118=$A$5,$C$5,IF(B118=$A$6,$C$6,$C$7))</x:f>
        <x:v>16</x:v>
      </x:c>
      <x:c r="J118" s="59" t="n">
        <x:f>H118/(I118*G118)</x:f>
        <x:v>0.002840909090909091</x:v>
      </x:c>
      <x:c r="K118" s="60" t="n">
        <x:f>J118*'Summary'!$B$5</x:f>
        <x:v>0.5681818181818182</x:v>
      </x:c>
    </x:row>
    <x:row r="119">
      <x:c r="A119" s="56" t="n">
        <x:v>107</x:v>
      </x:c>
      <x:c r="B119" s="54" t="str">
        <x:v>generic_mask</x:v>
      </x:c>
      <x:c r="C119" s="54" t="str">
        <x:v>brown cup</x:v>
      </x:c>
      <x:c r="D119" s="54" t="str">
        <x:v>closed</x:v>
      </x:c>
      <x:c r="E119" s="54" t="str">
        <x:v>upright</x:v>
      </x:c>
      <x:c r="F119" s="55" t="str">
        <x:v>generic_mask|brown_cup|closed|right_side_up</x:v>
      </x:c>
      <x:c r="G119" s="56" t="n">
        <x:v>16</x:v>
      </x:c>
      <x:c r="H119" s="58" t="n">
        <x:f>IF(B119=$A$5,$B$5,IF(B119=$A$6,$B$6,$B$7))</x:f>
        <x:v>0.5</x:v>
      </x:c>
      <x:c r="I119" s="56" t="n">
        <x:f>IF(B119=$A$5,$C$5,IF(B119=$A$6,$C$6,$C$7))</x:f>
        <x:v>16</x:v>
      </x:c>
      <x:c r="J119" s="59" t="n">
        <x:f>H119/(I119*G119)</x:f>
        <x:v>0.001953125</x:v>
      </x:c>
      <x:c r="K119" s="60" t="n">
        <x:f>J119*'Summary'!$B$5</x:f>
        <x:v>0.390625</x:v>
      </x:c>
    </x:row>
    <x:row r="120">
      <x:c r="A120" s="56" t="n">
        <x:v>108</x:v>
      </x:c>
      <x:c r="B120" s="54" t="str">
        <x:v>explicit_seen_open</x:v>
      </x:c>
      <x:c r="C120" s="54" t="str">
        <x:v>brown cup</x:v>
      </x:c>
      <x:c r="D120" s="54" t="str">
        <x:v>open</x:v>
      </x:c>
      <x:c r="E120" s="54" t="str">
        <x:v>upright</x:v>
      </x:c>
      <x:c r="F120" s="55" t="str">
        <x:v>explicit_seen_open|brown_cup|right_side_up</x:v>
      </x:c>
      <x:c r="G120" s="56" t="n">
        <x:v>10</x:v>
      </x:c>
      <x:c r="H120" s="58" t="n">
        <x:f>IF(B120=$A$5,$B$5,IF(B120=$A$6,$B$6,$B$7))</x:f>
        <x:v>0.25</x:v>
      </x:c>
      <x:c r="I120" s="56" t="n">
        <x:f>IF(B120=$A$5,$C$5,IF(B120=$A$6,$C$6,$C$7))</x:f>
        <x:v>8</x:v>
      </x:c>
      <x:c r="J120" s="59" t="n">
        <x:f>H120/(I120*G120)</x:f>
        <x:v>0.003125</x:v>
      </x:c>
      <x:c r="K120" s="60" t="n">
        <x:f>J120*'Summary'!$B$5</x:f>
        <x:v>0.625</x:v>
      </x:c>
    </x:row>
    <x:row r="121">
      <x:c r="A121" s="56" t="n">
        <x:v>109</x:v>
      </x:c>
      <x:c r="B121" s="54" t="str">
        <x:v>generic_mask</x:v>
      </x:c>
      <x:c r="C121" s="54" t="str">
        <x:v>brown cup</x:v>
      </x:c>
      <x:c r="D121" s="54" t="str">
        <x:v>open</x:v>
      </x:c>
      <x:c r="E121" s="54" t="str">
        <x:v>upright</x:v>
      </x:c>
      <x:c r="F121" s="55" t="str">
        <x:v>generic_mask|brown_cup|open|right_side_up</x:v>
      </x:c>
      <x:c r="G121" s="56" t="n">
        <x:v>11</x:v>
      </x:c>
      <x:c r="H121" s="58" t="n">
        <x:f>IF(B121=$A$5,$B$5,IF(B121=$A$6,$B$6,$B$7))</x:f>
        <x:v>0.5</x:v>
      </x:c>
      <x:c r="I121" s="56" t="n">
        <x:f>IF(B121=$A$5,$C$5,IF(B121=$A$6,$C$6,$C$7))</x:f>
        <x:v>16</x:v>
      </x:c>
      <x:c r="J121" s="59" t="n">
        <x:f>H121/(I121*G121)</x:f>
        <x:v>0.002840909090909091</x:v>
      </x:c>
      <x:c r="K121" s="60" t="n">
        <x:f>J121*'Summary'!$B$5</x:f>
        <x:v>0.5681818181818182</x:v>
      </x:c>
    </x:row>
    <x:row r="122">
      <x:c r="A122" s="56" t="n">
        <x:v>110</x:v>
      </x:c>
      <x:c r="B122" s="54" t="str">
        <x:v>generic_mask</x:v>
      </x:c>
      <x:c r="C122" s="54" t="str">
        <x:v>brown cup</x:v>
      </x:c>
      <x:c r="D122" s="54" t="str">
        <x:v>closed</x:v>
      </x:c>
      <x:c r="E122" s="54" t="str">
        <x:v>upright</x:v>
      </x:c>
      <x:c r="F122" s="55" t="str">
        <x:v>generic_mask|brown_cup|closed|right_side_up</x:v>
      </x:c>
      <x:c r="G122" s="56" t="n">
        <x:v>16</x:v>
      </x:c>
      <x:c r="H122" s="58" t="n">
        <x:f>IF(B122=$A$5,$B$5,IF(B122=$A$6,$B$6,$B$7))</x:f>
        <x:v>0.5</x:v>
      </x:c>
      <x:c r="I122" s="56" t="n">
        <x:f>IF(B122=$A$5,$C$5,IF(B122=$A$6,$C$6,$C$7))</x:f>
        <x:v>16</x:v>
      </x:c>
      <x:c r="J122" s="59" t="n">
        <x:f>H122/(I122*G122)</x:f>
        <x:v>0.001953125</x:v>
      </x:c>
      <x:c r="K122" s="60" t="n">
        <x:f>J122*'Summary'!$B$5</x:f>
        <x:v>0.390625</x:v>
      </x:c>
    </x:row>
    <x:row r="123">
      <x:c r="A123" s="56" t="n">
        <x:v>111</x:v>
      </x:c>
      <x:c r="B123" s="54" t="str">
        <x:v>explicit_seen_open</x:v>
      </x:c>
      <x:c r="C123" s="54" t="str">
        <x:v>brown cup</x:v>
      </x:c>
      <x:c r="D123" s="54" t="str">
        <x:v>open</x:v>
      </x:c>
      <x:c r="E123" s="54" t="str">
        <x:v>upright</x:v>
      </x:c>
      <x:c r="F123" s="55" t="str">
        <x:v>explicit_seen_open|brown_cup|right_side_up</x:v>
      </x:c>
      <x:c r="G123" s="56" t="n">
        <x:v>10</x:v>
      </x:c>
      <x:c r="H123" s="58" t="n">
        <x:f>IF(B123=$A$5,$B$5,IF(B123=$A$6,$B$6,$B$7))</x:f>
        <x:v>0.25</x:v>
      </x:c>
      <x:c r="I123" s="56" t="n">
        <x:f>IF(B123=$A$5,$C$5,IF(B123=$A$6,$C$6,$C$7))</x:f>
        <x:v>8</x:v>
      </x:c>
      <x:c r="J123" s="59" t="n">
        <x:f>H123/(I123*G123)</x:f>
        <x:v>0.003125</x:v>
      </x:c>
      <x:c r="K123" s="60" t="n">
        <x:f>J123*'Summary'!$B$5</x:f>
        <x:v>0.625</x:v>
      </x:c>
    </x:row>
    <x:row r="124">
      <x:c r="A124" s="56" t="n">
        <x:v>112</x:v>
      </x:c>
      <x:c r="B124" s="54" t="str">
        <x:v>generic_mask</x:v>
      </x:c>
      <x:c r="C124" s="54" t="str">
        <x:v>brown cup</x:v>
      </x:c>
      <x:c r="D124" s="54" t="str">
        <x:v>open</x:v>
      </x:c>
      <x:c r="E124" s="54" t="str">
        <x:v>upright</x:v>
      </x:c>
      <x:c r="F124" s="55" t="str">
        <x:v>generic_mask|brown_cup|open|right_side_up</x:v>
      </x:c>
      <x:c r="G124" s="56" t="n">
        <x:v>11</x:v>
      </x:c>
      <x:c r="H124" s="58" t="n">
        <x:f>IF(B124=$A$5,$B$5,IF(B124=$A$6,$B$6,$B$7))</x:f>
        <x:v>0.5</x:v>
      </x:c>
      <x:c r="I124" s="56" t="n">
        <x:f>IF(B124=$A$5,$C$5,IF(B124=$A$6,$C$6,$C$7))</x:f>
        <x:v>16</x:v>
      </x:c>
      <x:c r="J124" s="59" t="n">
        <x:f>H124/(I124*G124)</x:f>
        <x:v>0.002840909090909091</x:v>
      </x:c>
      <x:c r="K124" s="60" t="n">
        <x:f>J124*'Summary'!$B$5</x:f>
        <x:v>0.5681818181818182</x:v>
      </x:c>
    </x:row>
    <x:row r="125">
      <x:c r="A125" s="56" t="n">
        <x:v>113</x:v>
      </x:c>
      <x:c r="B125" s="54" t="str">
        <x:v>generic_mask</x:v>
      </x:c>
      <x:c r="C125" s="54" t="str">
        <x:v>brown cup</x:v>
      </x:c>
      <x:c r="D125" s="54" t="str">
        <x:v>closed</x:v>
      </x:c>
      <x:c r="E125" s="54" t="str">
        <x:v>upright</x:v>
      </x:c>
      <x:c r="F125" s="55" t="str">
        <x:v>generic_mask|brown_cup|closed|right_side_up</x:v>
      </x:c>
      <x:c r="G125" s="56" t="n">
        <x:v>16</x:v>
      </x:c>
      <x:c r="H125" s="58" t="n">
        <x:f>IF(B125=$A$5,$B$5,IF(B125=$A$6,$B$6,$B$7))</x:f>
        <x:v>0.5</x:v>
      </x:c>
      <x:c r="I125" s="56" t="n">
        <x:f>IF(B125=$A$5,$C$5,IF(B125=$A$6,$C$6,$C$7))</x:f>
        <x:v>16</x:v>
      </x:c>
      <x:c r="J125" s="59" t="n">
        <x:f>H125/(I125*G125)</x:f>
        <x:v>0.001953125</x:v>
      </x:c>
      <x:c r="K125" s="60" t="n">
        <x:f>J125*'Summary'!$B$5</x:f>
        <x:v>0.390625</x:v>
      </x:c>
    </x:row>
    <x:row r="126">
      <x:c r="A126" s="56" t="n">
        <x:v>114</x:v>
      </x:c>
      <x:c r="B126" s="54" t="str">
        <x:v>explicit_seen_open</x:v>
      </x:c>
      <x:c r="C126" s="54" t="str">
        <x:v>brown cup</x:v>
      </x:c>
      <x:c r="D126" s="54" t="str">
        <x:v>open</x:v>
      </x:c>
      <x:c r="E126" s="54" t="str">
        <x:v>upright</x:v>
      </x:c>
      <x:c r="F126" s="55" t="str">
        <x:v>explicit_seen_open|brown_cup|right_side_up</x:v>
      </x:c>
      <x:c r="G126" s="56" t="n">
        <x:v>10</x:v>
      </x:c>
      <x:c r="H126" s="58" t="n">
        <x:f>IF(B126=$A$5,$B$5,IF(B126=$A$6,$B$6,$B$7))</x:f>
        <x:v>0.25</x:v>
      </x:c>
      <x:c r="I126" s="56" t="n">
        <x:f>IF(B126=$A$5,$C$5,IF(B126=$A$6,$C$6,$C$7))</x:f>
        <x:v>8</x:v>
      </x:c>
      <x:c r="J126" s="59" t="n">
        <x:f>H126/(I126*G126)</x:f>
        <x:v>0.003125</x:v>
      </x:c>
      <x:c r="K126" s="60" t="n">
        <x:f>J126*'Summary'!$B$5</x:f>
        <x:v>0.625</x:v>
      </x:c>
    </x:row>
    <x:row r="127">
      <x:c r="A127" s="56" t="n">
        <x:v>115</x:v>
      </x:c>
      <x:c r="B127" s="54" t="str">
        <x:v>generic_mask</x:v>
      </x:c>
      <x:c r="C127" s="54" t="str">
        <x:v>brown cup</x:v>
      </x:c>
      <x:c r="D127" s="54" t="str">
        <x:v>open</x:v>
      </x:c>
      <x:c r="E127" s="54" t="str">
        <x:v>upright</x:v>
      </x:c>
      <x:c r="F127" s="55" t="str">
        <x:v>generic_mask|brown_cup|open|right_side_up</x:v>
      </x:c>
      <x:c r="G127" s="56" t="n">
        <x:v>11</x:v>
      </x:c>
      <x:c r="H127" s="58" t="n">
        <x:f>IF(B127=$A$5,$B$5,IF(B127=$A$6,$B$6,$B$7))</x:f>
        <x:v>0.5</x:v>
      </x:c>
      <x:c r="I127" s="56" t="n">
        <x:f>IF(B127=$A$5,$C$5,IF(B127=$A$6,$C$6,$C$7))</x:f>
        <x:v>16</x:v>
      </x:c>
      <x:c r="J127" s="59" t="n">
        <x:f>H127/(I127*G127)</x:f>
        <x:v>0.002840909090909091</x:v>
      </x:c>
      <x:c r="K127" s="60" t="n">
        <x:f>J127*'Summary'!$B$5</x:f>
        <x:v>0.5681818181818182</x:v>
      </x:c>
    </x:row>
    <x:row r="128">
      <x:c r="A128" s="56" t="n">
        <x:v>116</x:v>
      </x:c>
      <x:c r="B128" s="54" t="str">
        <x:v>generic_mask</x:v>
      </x:c>
      <x:c r="C128" s="54" t="str">
        <x:v>brown cup</x:v>
      </x:c>
      <x:c r="D128" s="54" t="str">
        <x:v>closed</x:v>
      </x:c>
      <x:c r="E128" s="54" t="str">
        <x:v>upright</x:v>
      </x:c>
      <x:c r="F128" s="55" t="str">
        <x:v>generic_mask|brown_cup|closed|right_side_up</x:v>
      </x:c>
      <x:c r="G128" s="56" t="n">
        <x:v>16</x:v>
      </x:c>
      <x:c r="H128" s="58" t="n">
        <x:f>IF(B128=$A$5,$B$5,IF(B128=$A$6,$B$6,$B$7))</x:f>
        <x:v>0.5</x:v>
      </x:c>
      <x:c r="I128" s="56" t="n">
        <x:f>IF(B128=$A$5,$C$5,IF(B128=$A$6,$C$6,$C$7))</x:f>
        <x:v>16</x:v>
      </x:c>
      <x:c r="J128" s="59" t="n">
        <x:f>H128/(I128*G128)</x:f>
        <x:v>0.001953125</x:v>
      </x:c>
      <x:c r="K128" s="60" t="n">
        <x:f>J128*'Summary'!$B$5</x:f>
        <x:v>0.390625</x:v>
      </x:c>
    </x:row>
    <x:row r="129">
      <x:c r="A129" s="56" t="n">
        <x:v>117</x:v>
      </x:c>
      <x:c r="B129" s="54" t="str">
        <x:v>explicit_seen_open</x:v>
      </x:c>
      <x:c r="C129" s="54" t="str">
        <x:v>brown cup</x:v>
      </x:c>
      <x:c r="D129" s="54" t="str">
        <x:v>open</x:v>
      </x:c>
      <x:c r="E129" s="54" t="str">
        <x:v>upright</x:v>
      </x:c>
      <x:c r="F129" s="55" t="str">
        <x:v>explicit_seen_open|brown_cup|right_side_up</x:v>
      </x:c>
      <x:c r="G129" s="56" t="n">
        <x:v>10</x:v>
      </x:c>
      <x:c r="H129" s="58" t="n">
        <x:f>IF(B129=$A$5,$B$5,IF(B129=$A$6,$B$6,$B$7))</x:f>
        <x:v>0.25</x:v>
      </x:c>
      <x:c r="I129" s="56" t="n">
        <x:f>IF(B129=$A$5,$C$5,IF(B129=$A$6,$C$6,$C$7))</x:f>
        <x:v>8</x:v>
      </x:c>
      <x:c r="J129" s="59" t="n">
        <x:f>H129/(I129*G129)</x:f>
        <x:v>0.003125</x:v>
      </x:c>
      <x:c r="K129" s="60" t="n">
        <x:f>J129*'Summary'!$B$5</x:f>
        <x:v>0.625</x:v>
      </x:c>
    </x:row>
    <x:row r="130">
      <x:c r="A130" s="56" t="n">
        <x:v>118</x:v>
      </x:c>
      <x:c r="B130" s="54" t="str">
        <x:v>generic_mask</x:v>
      </x:c>
      <x:c r="C130" s="54" t="str">
        <x:v>brown cup</x:v>
      </x:c>
      <x:c r="D130" s="54" t="str">
        <x:v>open</x:v>
      </x:c>
      <x:c r="E130" s="54" t="str">
        <x:v>upright</x:v>
      </x:c>
      <x:c r="F130" s="55" t="str">
        <x:v>generic_mask|brown_cup|open|right_side_up</x:v>
      </x:c>
      <x:c r="G130" s="56" t="n">
        <x:v>11</x:v>
      </x:c>
      <x:c r="H130" s="58" t="n">
        <x:f>IF(B130=$A$5,$B$5,IF(B130=$A$6,$B$6,$B$7))</x:f>
        <x:v>0.5</x:v>
      </x:c>
      <x:c r="I130" s="56" t="n">
        <x:f>IF(B130=$A$5,$C$5,IF(B130=$A$6,$C$6,$C$7))</x:f>
        <x:v>16</x:v>
      </x:c>
      <x:c r="J130" s="59" t="n">
        <x:f>H130/(I130*G130)</x:f>
        <x:v>0.002840909090909091</x:v>
      </x:c>
      <x:c r="K130" s="60" t="n">
        <x:f>J130*'Summary'!$B$5</x:f>
        <x:v>0.5681818181818182</x:v>
      </x:c>
    </x:row>
    <x:row r="131">
      <x:c r="A131" s="56" t="n">
        <x:v>119</x:v>
      </x:c>
      <x:c r="B131" s="54" t="str">
        <x:v>generic_mask</x:v>
      </x:c>
      <x:c r="C131" s="54" t="str">
        <x:v>brown cup</x:v>
      </x:c>
      <x:c r="D131" s="54" t="str">
        <x:v>closed</x:v>
      </x:c>
      <x:c r="E131" s="54" t="str">
        <x:v>upright</x:v>
      </x:c>
      <x:c r="F131" s="55" t="str">
        <x:v>generic_mask|brown_cup|closed|right_side_up</x:v>
      </x:c>
      <x:c r="G131" s="56" t="n">
        <x:v>16</x:v>
      </x:c>
      <x:c r="H131" s="58" t="n">
        <x:f>IF(B131=$A$5,$B$5,IF(B131=$A$6,$B$6,$B$7))</x:f>
        <x:v>0.5</x:v>
      </x:c>
      <x:c r="I131" s="56" t="n">
        <x:f>IF(B131=$A$5,$C$5,IF(B131=$A$6,$C$6,$C$7))</x:f>
        <x:v>16</x:v>
      </x:c>
      <x:c r="J131" s="59" t="n">
        <x:f>H131/(I131*G131)</x:f>
        <x:v>0.001953125</x:v>
      </x:c>
      <x:c r="K131" s="60" t="n">
        <x:f>J131*'Summary'!$B$5</x:f>
        <x:v>0.390625</x:v>
      </x:c>
    </x:row>
    <x:row r="132">
      <x:c r="A132" s="56" t="n">
        <x:v>120</x:v>
      </x:c>
      <x:c r="B132" s="54" t="str">
        <x:v>generic_mask</x:v>
      </x:c>
      <x:c r="C132" s="54" t="str">
        <x:v>brown cup</x:v>
      </x:c>
      <x:c r="D132" s="54" t="str">
        <x:v>closed</x:v>
      </x:c>
      <x:c r="E132" s="54" t="str">
        <x:v>upright</x:v>
      </x:c>
      <x:c r="F132" s="55" t="str">
        <x:v>generic_mask|brown_cup|closed|right_side_up</x:v>
      </x:c>
      <x:c r="G132" s="56" t="n">
        <x:v>16</x:v>
      </x:c>
      <x:c r="H132" s="58" t="n">
        <x:f>IF(B132=$A$5,$B$5,IF(B132=$A$6,$B$6,$B$7))</x:f>
        <x:v>0.5</x:v>
      </x:c>
      <x:c r="I132" s="56" t="n">
        <x:f>IF(B132=$A$5,$C$5,IF(B132=$A$6,$C$6,$C$7))</x:f>
        <x:v>16</x:v>
      </x:c>
      <x:c r="J132" s="59" t="n">
        <x:f>H132/(I132*G132)</x:f>
        <x:v>0.001953125</x:v>
      </x:c>
      <x:c r="K132" s="60" t="n">
        <x:f>J132*'Summary'!$B$5</x:f>
        <x:v>0.390625</x:v>
      </x:c>
    </x:row>
    <x:row r="133">
      <x:c r="A133" s="56" t="n">
        <x:v>121</x:v>
      </x:c>
      <x:c r="B133" s="54" t="str">
        <x:v>explicit_seen_open</x:v>
      </x:c>
      <x:c r="C133" s="54" t="str">
        <x:v>brown cup</x:v>
      </x:c>
      <x:c r="D133" s="54" t="str">
        <x:v>open</x:v>
      </x:c>
      <x:c r="E133" s="54" t="str">
        <x:v>upright</x:v>
      </x:c>
      <x:c r="F133" s="55" t="str">
        <x:v>explicit_seen_open|brown_cup|right_side_up</x:v>
      </x:c>
      <x:c r="G133" s="56" t="n">
        <x:v>10</x:v>
      </x:c>
      <x:c r="H133" s="58" t="n">
        <x:f>IF(B133=$A$5,$B$5,IF(B133=$A$6,$B$6,$B$7))</x:f>
        <x:v>0.25</x:v>
      </x:c>
      <x:c r="I133" s="56" t="n">
        <x:f>IF(B133=$A$5,$C$5,IF(B133=$A$6,$C$6,$C$7))</x:f>
        <x:v>8</x:v>
      </x:c>
      <x:c r="J133" s="59" t="n">
        <x:f>H133/(I133*G133)</x:f>
        <x:v>0.003125</x:v>
      </x:c>
      <x:c r="K133" s="60" t="n">
        <x:f>J133*'Summary'!$B$5</x:f>
        <x:v>0.625</x:v>
      </x:c>
    </x:row>
    <x:row r="134">
      <x:c r="A134" s="56" t="n">
        <x:v>122</x:v>
      </x:c>
      <x:c r="B134" s="54" t="str">
        <x:v>generic_mask</x:v>
      </x:c>
      <x:c r="C134" s="54" t="str">
        <x:v>brown cup</x:v>
      </x:c>
      <x:c r="D134" s="54" t="str">
        <x:v>closed</x:v>
      </x:c>
      <x:c r="E134" s="54" t="str">
        <x:v>upside down</x:v>
      </x:c>
      <x:c r="F134" s="55" t="str">
        <x:v>generic_mask|brown_cup|closed|upside_down</x:v>
      </x:c>
      <x:c r="G134" s="56" t="n">
        <x:v>5</x:v>
      </x:c>
      <x:c r="H134" s="58" t="n">
        <x:f>IF(B134=$A$5,$B$5,IF(B134=$A$6,$B$6,$B$7))</x:f>
        <x:v>0.5</x:v>
      </x:c>
      <x:c r="I134" s="56" t="n">
        <x:f>IF(B134=$A$5,$C$5,IF(B134=$A$6,$C$6,$C$7))</x:f>
        <x:v>16</x:v>
      </x:c>
      <x:c r="J134" s="59" t="n">
        <x:f>H134/(I134*G134)</x:f>
        <x:v>0.00625</x:v>
      </x:c>
      <x:c r="K134" s="60" t="n">
        <x:f>J134*'Summary'!$B$5</x:f>
        <x:v>1.25</x:v>
      </x:c>
    </x:row>
    <x:row r="135">
      <x:c r="A135" s="56" t="n">
        <x:v>123</x:v>
      </x:c>
      <x:c r="B135" s="54" t="str">
        <x:v>generic_mask</x:v>
      </x:c>
      <x:c r="C135" s="54" t="str">
        <x:v>brown cup</x:v>
      </x:c>
      <x:c r="D135" s="54" t="str">
        <x:v>open</x:v>
      </x:c>
      <x:c r="E135" s="54" t="str">
        <x:v>upside down</x:v>
      </x:c>
      <x:c r="F135" s="55" t="str">
        <x:v>generic_mask|brown_cup|open|upside_down</x:v>
      </x:c>
      <x:c r="G135" s="56" t="n">
        <x:v>2</x:v>
      </x:c>
      <x:c r="H135" s="58" t="n">
        <x:f>IF(B135=$A$5,$B$5,IF(B135=$A$6,$B$6,$B$7))</x:f>
        <x:v>0.5</x:v>
      </x:c>
      <x:c r="I135" s="56" t="n">
        <x:f>IF(B135=$A$5,$C$5,IF(B135=$A$6,$C$6,$C$7))</x:f>
        <x:v>16</x:v>
      </x:c>
      <x:c r="J135" s="59" t="n">
        <x:f>H135/(I135*G135)</x:f>
        <x:v>0.015625</x:v>
      </x:c>
      <x:c r="K135" s="60" t="n">
        <x:f>J135*'Summary'!$B$5</x:f>
        <x:v>3.125</x:v>
      </x:c>
    </x:row>
    <x:row r="136">
      <x:c r="A136" s="56" t="n">
        <x:v>124</x:v>
      </x:c>
      <x:c r="B136" s="54" t="str">
        <x:v>explicit_seen_upside_down</x:v>
      </x:c>
      <x:c r="C136" s="54" t="str">
        <x:v>brown cup</x:v>
      </x:c>
      <x:c r="D136" s="54" t="str">
        <x:v>closed</x:v>
      </x:c>
      <x:c r="E136" s="54" t="str">
        <x:v>upside down</x:v>
      </x:c>
      <x:c r="F136" s="55" t="str">
        <x:v>explicit_seen_upside_down|brown_cup|closed</x:v>
      </x:c>
      <x:c r="G136" s="56" t="n">
        <x:v>4</x:v>
      </x:c>
      <x:c r="H136" s="58" t="n">
        <x:f>IF(B136=$A$5,$B$5,IF(B136=$A$6,$B$6,$B$7))</x:f>
        <x:v>0.25</x:v>
      </x:c>
      <x:c r="I136" s="56" t="n">
        <x:f>IF(B136=$A$5,$C$5,IF(B136=$A$6,$C$6,$C$7))</x:f>
        <x:v>8</x:v>
      </x:c>
      <x:c r="J136" s="59" t="n">
        <x:f>H136/(I136*G136)</x:f>
        <x:v>0.0078125</x:v>
      </x:c>
      <x:c r="K136" s="60" t="n">
        <x:f>J136*'Summary'!$B$5</x:f>
        <x:v>1.5625</x:v>
      </x:c>
    </x:row>
    <x:row r="137">
      <x:c r="A137" s="56" t="n">
        <x:v>125</x:v>
      </x:c>
      <x:c r="B137" s="54" t="str">
        <x:v>generic_mask</x:v>
      </x:c>
      <x:c r="C137" s="54" t="str">
        <x:v>brown cup</x:v>
      </x:c>
      <x:c r="D137" s="54" t="str">
        <x:v>closed</x:v>
      </x:c>
      <x:c r="E137" s="54" t="str">
        <x:v>upright</x:v>
      </x:c>
      <x:c r="F137" s="55" t="str">
        <x:v>generic_mask|brown_cup|closed|right_side_up</x:v>
      </x:c>
      <x:c r="G137" s="56" t="n">
        <x:v>16</x:v>
      </x:c>
      <x:c r="H137" s="58" t="n">
        <x:f>IF(B137=$A$5,$B$5,IF(B137=$A$6,$B$6,$B$7))</x:f>
        <x:v>0.5</x:v>
      </x:c>
      <x:c r="I137" s="56" t="n">
        <x:f>IF(B137=$A$5,$C$5,IF(B137=$A$6,$C$6,$C$7))</x:f>
        <x:v>16</x:v>
      </x:c>
      <x:c r="J137" s="59" t="n">
        <x:f>H137/(I137*G137)</x:f>
        <x:v>0.001953125</x:v>
      </x:c>
      <x:c r="K137" s="60" t="n">
        <x:f>J137*'Summary'!$B$5</x:f>
        <x:v>0.390625</x:v>
      </x:c>
    </x:row>
    <x:row r="138">
      <x:c r="A138" s="56" t="n">
        <x:v>126</x:v>
      </x:c>
      <x:c r="B138" s="54" t="str">
        <x:v>generic_mask</x:v>
      </x:c>
      <x:c r="C138" s="54" t="str">
        <x:v>brown cup</x:v>
      </x:c>
      <x:c r="D138" s="54" t="str">
        <x:v>open</x:v>
      </x:c>
      <x:c r="E138" s="54" t="str">
        <x:v>upright</x:v>
      </x:c>
      <x:c r="F138" s="55" t="str">
        <x:v>generic_mask|brown_cup|open|right_side_up</x:v>
      </x:c>
      <x:c r="G138" s="56" t="n">
        <x:v>11</x:v>
      </x:c>
      <x:c r="H138" s="58" t="n">
        <x:f>IF(B138=$A$5,$B$5,IF(B138=$A$6,$B$6,$B$7))</x:f>
        <x:v>0.5</x:v>
      </x:c>
      <x:c r="I138" s="56" t="n">
        <x:f>IF(B138=$A$5,$C$5,IF(B138=$A$6,$C$6,$C$7))</x:f>
        <x:v>16</x:v>
      </x:c>
      <x:c r="J138" s="59" t="n">
        <x:f>H138/(I138*G138)</x:f>
        <x:v>0.002840909090909091</x:v>
      </x:c>
      <x:c r="K138" s="60" t="n">
        <x:f>J138*'Summary'!$B$5</x:f>
        <x:v>0.5681818181818182</x:v>
      </x:c>
    </x:row>
    <x:row r="139">
      <x:c r="A139" s="56" t="n">
        <x:v>127</x:v>
      </x:c>
      <x:c r="B139" s="54" t="str">
        <x:v>generic_mask</x:v>
      </x:c>
      <x:c r="C139" s="54" t="str">
        <x:v>brown cup</x:v>
      </x:c>
      <x:c r="D139" s="54" t="str">
        <x:v>closed</x:v>
      </x:c>
      <x:c r="E139" s="54" t="str">
        <x:v>upright</x:v>
      </x:c>
      <x:c r="F139" s="55" t="str">
        <x:v>generic_mask|brown_cup|closed|right_side_up</x:v>
      </x:c>
      <x:c r="G139" s="56" t="n">
        <x:v>16</x:v>
      </x:c>
      <x:c r="H139" s="58" t="n">
        <x:f>IF(B139=$A$5,$B$5,IF(B139=$A$6,$B$6,$B$7))</x:f>
        <x:v>0.5</x:v>
      </x:c>
      <x:c r="I139" s="56" t="n">
        <x:f>IF(B139=$A$5,$C$5,IF(B139=$A$6,$C$6,$C$7))</x:f>
        <x:v>16</x:v>
      </x:c>
      <x:c r="J139" s="59" t="n">
        <x:f>H139/(I139*G139)</x:f>
        <x:v>0.001953125</x:v>
      </x:c>
      <x:c r="K139" s="60" t="n">
        <x:f>J139*'Summary'!$B$5</x:f>
        <x:v>0.390625</x:v>
      </x:c>
    </x:row>
    <x:row r="140">
      <x:c r="A140" s="56" t="n">
        <x:v>128</x:v>
      </x:c>
      <x:c r="B140" s="54" t="str">
        <x:v>explicit_seen_open</x:v>
      </x:c>
      <x:c r="C140" s="54" t="str">
        <x:v>brown cup</x:v>
      </x:c>
      <x:c r="D140" s="54" t="str">
        <x:v>open</x:v>
      </x:c>
      <x:c r="E140" s="54" t="str">
        <x:v>upright</x:v>
      </x:c>
      <x:c r="F140" s="55" t="str">
        <x:v>explicit_seen_open|brown_cup|right_side_up</x:v>
      </x:c>
      <x:c r="G140" s="56" t="n">
        <x:v>10</x:v>
      </x:c>
      <x:c r="H140" s="58" t="n">
        <x:f>IF(B140=$A$5,$B$5,IF(B140=$A$6,$B$6,$B$7))</x:f>
        <x:v>0.25</x:v>
      </x:c>
      <x:c r="I140" s="56" t="n">
        <x:f>IF(B140=$A$5,$C$5,IF(B140=$A$6,$C$6,$C$7))</x:f>
        <x:v>8</x:v>
      </x:c>
      <x:c r="J140" s="59" t="n">
        <x:f>H140/(I140*G140)</x:f>
        <x:v>0.003125</x:v>
      </x:c>
      <x:c r="K140" s="60" t="n">
        <x:f>J140*'Summary'!$B$5</x:f>
        <x:v>0.625</x:v>
      </x:c>
    </x:row>
    <x:row r="141">
      <x:c r="A141" s="56" t="n">
        <x:v>129</x:v>
      </x:c>
      <x:c r="B141" s="54" t="str">
        <x:v>generic_mask</x:v>
      </x:c>
      <x:c r="C141" s="54" t="str">
        <x:v>brown cup</x:v>
      </x:c>
      <x:c r="D141" s="54" t="str">
        <x:v>closed</x:v>
      </x:c>
      <x:c r="E141" s="54" t="str">
        <x:v>upside down</x:v>
      </x:c>
      <x:c r="F141" s="55" t="str">
        <x:v>generic_mask|brown_cup|closed|upside_down</x:v>
      </x:c>
      <x:c r="G141" s="56" t="n">
        <x:v>5</x:v>
      </x:c>
      <x:c r="H141" s="58" t="n">
        <x:f>IF(B141=$A$5,$B$5,IF(B141=$A$6,$B$6,$B$7))</x:f>
        <x:v>0.5</x:v>
      </x:c>
      <x:c r="I141" s="56" t="n">
        <x:f>IF(B141=$A$5,$C$5,IF(B141=$A$6,$C$6,$C$7))</x:f>
        <x:v>16</x:v>
      </x:c>
      <x:c r="J141" s="59" t="n">
        <x:f>H141/(I141*G141)</x:f>
        <x:v>0.00625</x:v>
      </x:c>
      <x:c r="K141" s="60" t="n">
        <x:f>J141*'Summary'!$B$5</x:f>
        <x:v>1.25</x:v>
      </x:c>
    </x:row>
    <x:row r="142">
      <x:c r="A142" s="56" t="n">
        <x:v>130</x:v>
      </x:c>
      <x:c r="B142" s="54" t="str">
        <x:v>generic_mask</x:v>
      </x:c>
      <x:c r="C142" s="54" t="str">
        <x:v>brown cup</x:v>
      </x:c>
      <x:c r="D142" s="54" t="str">
        <x:v>open</x:v>
      </x:c>
      <x:c r="E142" s="54" t="str">
        <x:v>upright</x:v>
      </x:c>
      <x:c r="F142" s="55" t="str">
        <x:v>generic_mask|brown_cup|open|right_side_up</x:v>
      </x:c>
      <x:c r="G142" s="56" t="n">
        <x:v>11</x:v>
      </x:c>
      <x:c r="H142" s="58" t="n">
        <x:f>IF(B142=$A$5,$B$5,IF(B142=$A$6,$B$6,$B$7))</x:f>
        <x:v>0.5</x:v>
      </x:c>
      <x:c r="I142" s="56" t="n">
        <x:f>IF(B142=$A$5,$C$5,IF(B142=$A$6,$C$6,$C$7))</x:f>
        <x:v>16</x:v>
      </x:c>
      <x:c r="J142" s="59" t="n">
        <x:f>H142/(I142*G142)</x:f>
        <x:v>0.002840909090909091</x:v>
      </x:c>
      <x:c r="K142" s="60" t="n">
        <x:f>J142*'Summary'!$B$5</x:f>
        <x:v>0.5681818181818182</x:v>
      </x:c>
    </x:row>
    <x:row r="143">
      <x:c r="A143" s="56" t="n">
        <x:v>131</x:v>
      </x:c>
      <x:c r="B143" s="54" t="str">
        <x:v>generic_mask</x:v>
      </x:c>
      <x:c r="C143" s="54" t="str">
        <x:v>brown cup</x:v>
      </x:c>
      <x:c r="D143" s="54" t="str">
        <x:v>closed</x:v>
      </x:c>
      <x:c r="E143" s="54" t="str">
        <x:v>upright</x:v>
      </x:c>
      <x:c r="F143" s="55" t="str">
        <x:v>generic_mask|brown_cup|closed|right_side_up</x:v>
      </x:c>
      <x:c r="G143" s="56" t="n">
        <x:v>16</x:v>
      </x:c>
      <x:c r="H143" s="58" t="n">
        <x:f>IF(B143=$A$5,$B$5,IF(B143=$A$6,$B$6,$B$7))</x:f>
        <x:v>0.5</x:v>
      </x:c>
      <x:c r="I143" s="56" t="n">
        <x:f>IF(B143=$A$5,$C$5,IF(B143=$A$6,$C$6,$C$7))</x:f>
        <x:v>16</x:v>
      </x:c>
      <x:c r="J143" s="59" t="n">
        <x:f>H143/(I143*G143)</x:f>
        <x:v>0.001953125</x:v>
      </x:c>
      <x:c r="K143" s="60" t="n">
        <x:f>J143*'Summary'!$B$5</x:f>
        <x:v>0.390625</x:v>
      </x:c>
    </x:row>
    <x:row r="144">
      <x:c r="A144" s="56" t="n">
        <x:v>132</x:v>
      </x:c>
      <x:c r="B144" s="54" t="str">
        <x:v>explicit_seen_open</x:v>
      </x:c>
      <x:c r="C144" s="54" t="str">
        <x:v>brown cup</x:v>
      </x:c>
      <x:c r="D144" s="54" t="str">
        <x:v>open</x:v>
      </x:c>
      <x:c r="E144" s="54" t="str">
        <x:v>upside down</x:v>
      </x:c>
      <x:c r="F144" s="55" t="str">
        <x:v>explicit_seen_open|brown_cup|upside_down</x:v>
      </x:c>
      <x:c r="G144" s="56" t="n">
        <x:v>1</x:v>
      </x:c>
      <x:c r="H144" s="58" t="n">
        <x:f>IF(B144=$A$5,$B$5,IF(B144=$A$6,$B$6,$B$7))</x:f>
        <x:v>0.25</x:v>
      </x:c>
      <x:c r="I144" s="56" t="n">
        <x:f>IF(B144=$A$5,$C$5,IF(B144=$A$6,$C$6,$C$7))</x:f>
        <x:v>8</x:v>
      </x:c>
      <x:c r="J144" s="59" t="n">
        <x:f>H144/(I144*G144)</x:f>
        <x:v>0.03125</x:v>
      </x:c>
      <x:c r="K144" s="60" t="n">
        <x:f>J144*'Summary'!$B$5</x:f>
        <x:v>6.25</x:v>
      </x:c>
    </x:row>
    <x:row r="145">
      <x:c r="A145" s="56" t="n">
        <x:v>133</x:v>
      </x:c>
      <x:c r="B145" s="54" t="str">
        <x:v>explicit_seen_upside_down</x:v>
      </x:c>
      <x:c r="C145" s="54" t="str">
        <x:v>brown cup</x:v>
      </x:c>
      <x:c r="D145" s="54" t="str">
        <x:v>closed</x:v>
      </x:c>
      <x:c r="E145" s="54" t="str">
        <x:v>upside down</x:v>
      </x:c>
      <x:c r="F145" s="55" t="str">
        <x:v>explicit_seen_upside_down|brown_cup|closed</x:v>
      </x:c>
      <x:c r="G145" s="56" t="n">
        <x:v>4</x:v>
      </x:c>
      <x:c r="H145" s="58" t="n">
        <x:f>IF(B145=$A$5,$B$5,IF(B145=$A$6,$B$6,$B$7))</x:f>
        <x:v>0.25</x:v>
      </x:c>
      <x:c r="I145" s="56" t="n">
        <x:f>IF(B145=$A$5,$C$5,IF(B145=$A$6,$C$6,$C$7))</x:f>
        <x:v>8</x:v>
      </x:c>
      <x:c r="J145" s="59" t="n">
        <x:f>H145/(I145*G145)</x:f>
        <x:v>0.0078125</x:v>
      </x:c>
      <x:c r="K145" s="60" t="n">
        <x:f>J145*'Summary'!$B$5</x:f>
        <x:v>1.5625</x:v>
      </x:c>
    </x:row>
    <x:row r="146">
      <x:c r="A146" s="56" t="n">
        <x:v>134</x:v>
      </x:c>
      <x:c r="B146" s="54" t="str">
        <x:v>explicit_seen_open</x:v>
      </x:c>
      <x:c r="C146" s="54" t="str">
        <x:v>brown cup</x:v>
      </x:c>
      <x:c r="D146" s="54" t="str">
        <x:v>open</x:v>
      </x:c>
      <x:c r="E146" s="54" t="str">
        <x:v>upright</x:v>
      </x:c>
      <x:c r="F146" s="55" t="str">
        <x:v>explicit_seen_open|brown_cup|right_side_up</x:v>
      </x:c>
      <x:c r="G146" s="56" t="n">
        <x:v>10</x:v>
      </x:c>
      <x:c r="H146" s="58" t="n">
        <x:f>IF(B146=$A$5,$B$5,IF(B146=$A$6,$B$6,$B$7))</x:f>
        <x:v>0.25</x:v>
      </x:c>
      <x:c r="I146" s="56" t="n">
        <x:f>IF(B146=$A$5,$C$5,IF(B146=$A$6,$C$6,$C$7))</x:f>
        <x:v>8</x:v>
      </x:c>
      <x:c r="J146" s="59" t="n">
        <x:f>H146/(I146*G146)</x:f>
        <x:v>0.003125</x:v>
      </x:c>
      <x:c r="K146" s="60" t="n">
        <x:f>J146*'Summary'!$B$5</x:f>
        <x:v>0.625</x:v>
      </x:c>
    </x:row>
    <x:row r="147">
      <x:c r="A147" s="56" t="n">
        <x:v>135</x:v>
      </x:c>
      <x:c r="B147" s="54" t="str">
        <x:v>generic_mask</x:v>
      </x:c>
      <x:c r="C147" s="54" t="str">
        <x:v>brown cup</x:v>
      </x:c>
      <x:c r="D147" s="54" t="str">
        <x:v>closed</x:v>
      </x:c>
      <x:c r="E147" s="54" t="str">
        <x:v>upside down</x:v>
      </x:c>
      <x:c r="F147" s="55" t="str">
        <x:v>generic_mask|brown_cup|closed|upside_down</x:v>
      </x:c>
      <x:c r="G147" s="56" t="n">
        <x:v>5</x:v>
      </x:c>
      <x:c r="H147" s="58" t="n">
        <x:f>IF(B147=$A$5,$B$5,IF(B147=$A$6,$B$6,$B$7))</x:f>
        <x:v>0.5</x:v>
      </x:c>
      <x:c r="I147" s="56" t="n">
        <x:f>IF(B147=$A$5,$C$5,IF(B147=$A$6,$C$6,$C$7))</x:f>
        <x:v>16</x:v>
      </x:c>
      <x:c r="J147" s="59" t="n">
        <x:f>H147/(I147*G147)</x:f>
        <x:v>0.00625</x:v>
      </x:c>
      <x:c r="K147" s="60" t="n">
        <x:f>J147*'Summary'!$B$5</x:f>
        <x:v>1.25</x:v>
      </x:c>
    </x:row>
    <x:row r="148">
      <x:c r="A148" s="56" t="n">
        <x:v>136</x:v>
      </x:c>
      <x:c r="B148" s="54" t="str">
        <x:v>generic_mask</x:v>
      </x:c>
      <x:c r="C148" s="54" t="str">
        <x:v>brown cup</x:v>
      </x:c>
      <x:c r="D148" s="54" t="str">
        <x:v>open</x:v>
      </x:c>
      <x:c r="E148" s="54" t="str">
        <x:v>upright</x:v>
      </x:c>
      <x:c r="F148" s="55" t="str">
        <x:v>generic_mask|brown_cup|open|right_side_up</x:v>
      </x:c>
      <x:c r="G148" s="56" t="n">
        <x:v>11</x:v>
      </x:c>
      <x:c r="H148" s="58" t="n">
        <x:f>IF(B148=$A$5,$B$5,IF(B148=$A$6,$B$6,$B$7))</x:f>
        <x:v>0.5</x:v>
      </x:c>
      <x:c r="I148" s="56" t="n">
        <x:f>IF(B148=$A$5,$C$5,IF(B148=$A$6,$C$6,$C$7))</x:f>
        <x:v>16</x:v>
      </x:c>
      <x:c r="J148" s="59" t="n">
        <x:f>H148/(I148*G148)</x:f>
        <x:v>0.002840909090909091</x:v>
      </x:c>
      <x:c r="K148" s="60" t="n">
        <x:f>J148*'Summary'!$B$5</x:f>
        <x:v>0.5681818181818182</x:v>
      </x:c>
    </x:row>
    <x:row r="149">
      <x:c r="A149" s="56" t="n">
        <x:v>137</x:v>
      </x:c>
      <x:c r="B149" s="54" t="str">
        <x:v>explicit_seen_upside_down</x:v>
      </x:c>
      <x:c r="C149" s="54" t="str">
        <x:v>brown cup</x:v>
      </x:c>
      <x:c r="D149" s="54" t="str">
        <x:v>closed</x:v>
      </x:c>
      <x:c r="E149" s="54" t="str">
        <x:v>upside down</x:v>
      </x:c>
      <x:c r="F149" s="55" t="str">
        <x:v>explicit_seen_upside_down|brown_cup|closed</x:v>
      </x:c>
      <x:c r="G149" s="56" t="n">
        <x:v>4</x:v>
      </x:c>
      <x:c r="H149" s="58" t="n">
        <x:f>IF(B149=$A$5,$B$5,IF(B149=$A$6,$B$6,$B$7))</x:f>
        <x:v>0.25</x:v>
      </x:c>
      <x:c r="I149" s="56" t="n">
        <x:f>IF(B149=$A$5,$C$5,IF(B149=$A$6,$C$6,$C$7))</x:f>
        <x:v>8</x:v>
      </x:c>
      <x:c r="J149" s="59" t="n">
        <x:f>H149/(I149*G149)</x:f>
        <x:v>0.0078125</x:v>
      </x:c>
      <x:c r="K149" s="60" t="n">
        <x:f>J149*'Summary'!$B$5</x:f>
        <x:v>1.5625</x:v>
      </x:c>
    </x:row>
    <x:row r="150">
      <x:c r="A150" s="56" t="n">
        <x:v>138</x:v>
      </x:c>
      <x:c r="B150" s="54" t="str">
        <x:v>explicit_seen_open</x:v>
      </x:c>
      <x:c r="C150" s="54" t="str">
        <x:v>brown cup</x:v>
      </x:c>
      <x:c r="D150" s="54" t="str">
        <x:v>open</x:v>
      </x:c>
      <x:c r="E150" s="54" t="str">
        <x:v>upright</x:v>
      </x:c>
      <x:c r="F150" s="55" t="str">
        <x:v>explicit_seen_open|brown_cup|right_side_up</x:v>
      </x:c>
      <x:c r="G150" s="56" t="n">
        <x:v>10</x:v>
      </x:c>
      <x:c r="H150" s="58" t="n">
        <x:f>IF(B150=$A$5,$B$5,IF(B150=$A$6,$B$6,$B$7))</x:f>
        <x:v>0.25</x:v>
      </x:c>
      <x:c r="I150" s="56" t="n">
        <x:f>IF(B150=$A$5,$C$5,IF(B150=$A$6,$C$6,$C$7))</x:f>
        <x:v>8</x:v>
      </x:c>
      <x:c r="J150" s="59" t="n">
        <x:f>H150/(I150*G150)</x:f>
        <x:v>0.003125</x:v>
      </x:c>
      <x:c r="K150" s="60" t="n">
        <x:f>J150*'Summary'!$B$5</x:f>
        <x:v>0.625</x:v>
      </x:c>
    </x:row>
    <x:row r="151">
      <x:c r="A151" s="56" t="n">
        <x:v>139</x:v>
      </x:c>
      <x:c r="B151" s="54" t="str">
        <x:v>generic_mask</x:v>
      </x:c>
      <x:c r="C151" s="54" t="str">
        <x:v>brown cup</x:v>
      </x:c>
      <x:c r="D151" s="54" t="str">
        <x:v>closed</x:v>
      </x:c>
      <x:c r="E151" s="54" t="str">
        <x:v>upright</x:v>
      </x:c>
      <x:c r="F151" s="55" t="str">
        <x:v>generic_mask|brown_cup|closed|right_side_up</x:v>
      </x:c>
      <x:c r="G151" s="56" t="n">
        <x:v>16</x:v>
      </x:c>
      <x:c r="H151" s="58" t="n">
        <x:f>IF(B151=$A$5,$B$5,IF(B151=$A$6,$B$6,$B$7))</x:f>
        <x:v>0.5</x:v>
      </x:c>
      <x:c r="I151" s="56" t="n">
        <x:f>IF(B151=$A$5,$C$5,IF(B151=$A$6,$C$6,$C$7))</x:f>
        <x:v>16</x:v>
      </x:c>
      <x:c r="J151" s="59" t="n">
        <x:f>H151/(I151*G151)</x:f>
        <x:v>0.001953125</x:v>
      </x:c>
      <x:c r="K151" s="60" t="n">
        <x:f>J151*'Summary'!$B$5</x:f>
        <x:v>0.390625</x:v>
      </x:c>
    </x:row>
    <x:row r="152">
      <x:c r="A152" s="56" t="n">
        <x:v>140</x:v>
      </x:c>
      <x:c r="B152" s="54" t="str">
        <x:v>generic_mask</x:v>
      </x:c>
      <x:c r="C152" s="54" t="str">
        <x:v>brown cup</x:v>
      </x:c>
      <x:c r="D152" s="54" t="str">
        <x:v>open</x:v>
      </x:c>
      <x:c r="E152" s="54" t="str">
        <x:v>upright</x:v>
      </x:c>
      <x:c r="F152" s="55" t="str">
        <x:v>generic_mask|brown_cup|open|right_side_up</x:v>
      </x:c>
      <x:c r="G152" s="56" t="n">
        <x:v>11</x:v>
      </x:c>
      <x:c r="H152" s="58" t="n">
        <x:f>IF(B152=$A$5,$B$5,IF(B152=$A$6,$B$6,$B$7))</x:f>
        <x:v>0.5</x:v>
      </x:c>
      <x:c r="I152" s="56" t="n">
        <x:f>IF(B152=$A$5,$C$5,IF(B152=$A$6,$C$6,$C$7))</x:f>
        <x:v>16</x:v>
      </x:c>
      <x:c r="J152" s="59" t="n">
        <x:f>H152/(I152*G152)</x:f>
        <x:v>0.002840909090909091</x:v>
      </x:c>
      <x:c r="K152" s="60" t="n">
        <x:f>J152*'Summary'!$B$5</x:f>
        <x:v>0.5681818181818182</x:v>
      </x:c>
    </x:row>
    <x:row r="153">
      <x:c r="A153" s="56" t="n">
        <x:v>141</x:v>
      </x:c>
      <x:c r="B153" s="54" t="str">
        <x:v>generic_mask</x:v>
      </x:c>
      <x:c r="C153" s="54" t="str">
        <x:v>brown cup</x:v>
      </x:c>
      <x:c r="D153" s="54" t="str">
        <x:v>closed</x:v>
      </x:c>
      <x:c r="E153" s="54" t="str">
        <x:v>upside down</x:v>
      </x:c>
      <x:c r="F153" s="55" t="str">
        <x:v>generic_mask|brown_cup|closed|upside_down</x:v>
      </x:c>
      <x:c r="G153" s="56" t="n">
        <x:v>5</x:v>
      </x:c>
      <x:c r="H153" s="58" t="n">
        <x:f>IF(B153=$A$5,$B$5,IF(B153=$A$6,$B$6,$B$7))</x:f>
        <x:v>0.5</x:v>
      </x:c>
      <x:c r="I153" s="56" t="n">
        <x:f>IF(B153=$A$5,$C$5,IF(B153=$A$6,$C$6,$C$7))</x:f>
        <x:v>16</x:v>
      </x:c>
      <x:c r="J153" s="59" t="n">
        <x:f>H153/(I153*G153)</x:f>
        <x:v>0.00625</x:v>
      </x:c>
      <x:c r="K153" s="60" t="n">
        <x:f>J153*'Summary'!$B$5</x:f>
        <x:v>1.25</x:v>
      </x:c>
    </x:row>
    <x:row r="154">
      <x:c r="A154" s="56" t="n">
        <x:v>142</x:v>
      </x:c>
      <x:c r="B154" s="54" t="str">
        <x:v>explicit_seen_open</x:v>
      </x:c>
      <x:c r="C154" s="54" t="str">
        <x:v>brown cup</x:v>
      </x:c>
      <x:c r="D154" s="54" t="str">
        <x:v>open</x:v>
      </x:c>
      <x:c r="E154" s="54" t="str">
        <x:v>upright</x:v>
      </x:c>
      <x:c r="F154" s="55" t="str">
        <x:v>explicit_seen_open|brown_cup|right_side_up</x:v>
      </x:c>
      <x:c r="G154" s="56" t="n">
        <x:v>10</x:v>
      </x:c>
      <x:c r="H154" s="58" t="n">
        <x:f>IF(B154=$A$5,$B$5,IF(B154=$A$6,$B$6,$B$7))</x:f>
        <x:v>0.25</x:v>
      </x:c>
      <x:c r="I154" s="56" t="n">
        <x:f>IF(B154=$A$5,$C$5,IF(B154=$A$6,$C$6,$C$7))</x:f>
        <x:v>8</x:v>
      </x:c>
      <x:c r="J154" s="59" t="n">
        <x:f>H154/(I154*G154)</x:f>
        <x:v>0.003125</x:v>
      </x:c>
      <x:c r="K154" s="60" t="n">
        <x:f>J154*'Summary'!$B$5</x:f>
        <x:v>0.625</x:v>
      </x:c>
    </x:row>
    <x:row r="155">
      <x:c r="A155" s="56" t="n">
        <x:v>143</x:v>
      </x:c>
      <x:c r="B155" s="54" t="str">
        <x:v>generic_mask</x:v>
      </x:c>
      <x:c r="C155" s="54" t="str">
        <x:v>brown cup</x:v>
      </x:c>
      <x:c r="D155" s="54" t="str">
        <x:v>closed</x:v>
      </x:c>
      <x:c r="E155" s="54" t="str">
        <x:v>upright</x:v>
      </x:c>
      <x:c r="F155" s="55" t="str">
        <x:v>generic_mask|brown_cup|closed|right_side_up</x:v>
      </x:c>
      <x:c r="G155" s="56" t="n">
        <x:v>16</x:v>
      </x:c>
      <x:c r="H155" s="58" t="n">
        <x:f>IF(B155=$A$5,$B$5,IF(B155=$A$6,$B$6,$B$7))</x:f>
        <x:v>0.5</x:v>
      </x:c>
      <x:c r="I155" s="56" t="n">
        <x:f>IF(B155=$A$5,$C$5,IF(B155=$A$6,$C$6,$C$7))</x:f>
        <x:v>16</x:v>
      </x:c>
      <x:c r="J155" s="59" t="n">
        <x:f>H155/(I155*G155)</x:f>
        <x:v>0.001953125</x:v>
      </x:c>
      <x:c r="K155" s="60" t="n">
        <x:f>J155*'Summary'!$B$5</x:f>
        <x:v>0.390625</x:v>
      </x:c>
    </x:row>
    <x:row r="156">
      <x:c r="A156" s="56" t="n">
        <x:v>144</x:v>
      </x:c>
      <x:c r="B156" s="54" t="str">
        <x:v>generic_mask</x:v>
      </x:c>
      <x:c r="C156" s="54" t="str">
        <x:v>brown cup</x:v>
      </x:c>
      <x:c r="D156" s="54" t="str">
        <x:v>open</x:v>
      </x:c>
      <x:c r="E156" s="54" t="str">
        <x:v>upside down</x:v>
      </x:c>
      <x:c r="F156" s="55" t="str">
        <x:v>generic_mask|brown_cup|open|upside_down</x:v>
      </x:c>
      <x:c r="G156" s="56" t="n">
        <x:v>2</x:v>
      </x:c>
      <x:c r="H156" s="58" t="n">
        <x:f>IF(B156=$A$5,$B$5,IF(B156=$A$6,$B$6,$B$7))</x:f>
        <x:v>0.5</x:v>
      </x:c>
      <x:c r="I156" s="56" t="n">
        <x:f>IF(B156=$A$5,$C$5,IF(B156=$A$6,$C$6,$C$7))</x:f>
        <x:v>16</x:v>
      </x:c>
      <x:c r="J156" s="59" t="n">
        <x:f>H156/(I156*G156)</x:f>
        <x:v>0.015625</x:v>
      </x:c>
      <x:c r="K156" s="60" t="n">
        <x:f>J156*'Summary'!$B$5</x:f>
        <x:v>3.125</x:v>
      </x:c>
    </x:row>
    <x:row r="157">
      <x:c r="A157" s="56" t="n">
        <x:v>145</x:v>
      </x:c>
      <x:c r="B157" s="54" t="str">
        <x:v>generic_mask</x:v>
      </x:c>
      <x:c r="C157" s="54" t="str">
        <x:v>brown cup</x:v>
      </x:c>
      <x:c r="D157" s="54" t="str">
        <x:v>closed</x:v>
      </x:c>
      <x:c r="E157" s="54" t="str">
        <x:v>upright</x:v>
      </x:c>
      <x:c r="F157" s="55" t="str">
        <x:v>generic_mask|brown_cup|closed|right_side_up</x:v>
      </x:c>
      <x:c r="G157" s="56" t="n">
        <x:v>16</x:v>
      </x:c>
      <x:c r="H157" s="58" t="n">
        <x:f>IF(B157=$A$5,$B$5,IF(B157=$A$6,$B$6,$B$7))</x:f>
        <x:v>0.5</x:v>
      </x:c>
      <x:c r="I157" s="56" t="n">
        <x:f>IF(B157=$A$5,$C$5,IF(B157=$A$6,$C$6,$C$7))</x:f>
        <x:v>16</x:v>
      </x:c>
      <x:c r="J157" s="59" t="n">
        <x:f>H157/(I157*G157)</x:f>
        <x:v>0.001953125</x:v>
      </x:c>
      <x:c r="K157" s="60" t="n">
        <x:f>J157*'Summary'!$B$5</x:f>
        <x:v>0.390625</x:v>
      </x:c>
    </x:row>
    <x:row r="158">
      <x:c r="A158" s="56" t="n">
        <x:v>146</x:v>
      </x:c>
      <x:c r="B158" s="54" t="str">
        <x:v>explicit_seen_upside_down</x:v>
      </x:c>
      <x:c r="C158" s="54" t="str">
        <x:v>brown cup</x:v>
      </x:c>
      <x:c r="D158" s="54" t="str">
        <x:v>open</x:v>
      </x:c>
      <x:c r="E158" s="54" t="str">
        <x:v>upside down</x:v>
      </x:c>
      <x:c r="F158" s="55" t="str">
        <x:v>explicit_seen_upside_down|brown_cup|open</x:v>
      </x:c>
      <x:c r="G158" s="56" t="n">
        <x:v>1</x:v>
      </x:c>
      <x:c r="H158" s="58" t="n">
        <x:f>IF(B158=$A$5,$B$5,IF(B158=$A$6,$B$6,$B$7))</x:f>
        <x:v>0.25</x:v>
      </x:c>
      <x:c r="I158" s="56" t="n">
        <x:f>IF(B158=$A$5,$C$5,IF(B158=$A$6,$C$6,$C$7))</x:f>
        <x:v>8</x:v>
      </x:c>
      <x:c r="J158" s="59" t="n">
        <x:f>H158/(I158*G158)</x:f>
        <x:v>0.03125</x:v>
      </x:c>
      <x:c r="K158" s="60" t="n">
        <x:f>J158*'Summary'!$B$5</x:f>
        <x:v>6.25</x:v>
      </x:c>
    </x:row>
    <x:row r="159">
      <x:c r="A159" s="56" t="n">
        <x:v>147</x:v>
      </x:c>
      <x:c r="B159" s="54" t="str">
        <x:v>explicit_seen_upside_down</x:v>
      </x:c>
      <x:c r="C159" s="54" t="str">
        <x:v>brown cup</x:v>
      </x:c>
      <x:c r="D159" s="54" t="str">
        <x:v>closed</x:v>
      </x:c>
      <x:c r="E159" s="54" t="str">
        <x:v>upside down</x:v>
      </x:c>
      <x:c r="F159" s="55" t="str">
        <x:v>explicit_seen_upside_down|brown_cup|closed</x:v>
      </x:c>
      <x:c r="G159" s="56" t="n">
        <x:v>4</x:v>
      </x:c>
      <x:c r="H159" s="58" t="n">
        <x:f>IF(B159=$A$5,$B$5,IF(B159=$A$6,$B$6,$B$7))</x:f>
        <x:v>0.25</x:v>
      </x:c>
      <x:c r="I159" s="56" t="n">
        <x:f>IF(B159=$A$5,$C$5,IF(B159=$A$6,$C$6,$C$7))</x:f>
        <x:v>8</x:v>
      </x:c>
      <x:c r="J159" s="59" t="n">
        <x:f>H159/(I159*G159)</x:f>
        <x:v>0.0078125</x:v>
      </x:c>
      <x:c r="K159" s="60" t="n">
        <x:f>J159*'Summary'!$B$5</x:f>
        <x:v>1.5625</x:v>
      </x:c>
    </x:row>
    <x:row r="160">
      <x:c r="A160" s="56" t="n">
        <x:v>148</x:v>
      </x:c>
      <x:c r="B160" s="54" t="str">
        <x:v>generic_mask</x:v>
      </x:c>
      <x:c r="C160" s="54" t="str">
        <x:v>brown cup</x:v>
      </x:c>
      <x:c r="D160" s="54" t="str">
        <x:v>open</x:v>
      </x:c>
      <x:c r="E160" s="54" t="str">
        <x:v>upright</x:v>
      </x:c>
      <x:c r="F160" s="55" t="str">
        <x:v>generic_mask|brown_cup|open|right_side_up</x:v>
      </x:c>
      <x:c r="G160" s="56" t="n">
        <x:v>11</x:v>
      </x:c>
      <x:c r="H160" s="58" t="n">
        <x:f>IF(B160=$A$5,$B$5,IF(B160=$A$6,$B$6,$B$7))</x:f>
        <x:v>0.5</x:v>
      </x:c>
      <x:c r="I160" s="56" t="n">
        <x:f>IF(B160=$A$5,$C$5,IF(B160=$A$6,$C$6,$C$7))</x:f>
        <x:v>16</x:v>
      </x:c>
      <x:c r="J160" s="59" t="n">
        <x:f>H160/(I160*G160)</x:f>
        <x:v>0.002840909090909091</x:v>
      </x:c>
      <x:c r="K160" s="60" t="n">
        <x:f>J160*'Summary'!$B$5</x:f>
        <x:v>0.5681818181818182</x:v>
      </x:c>
    </x:row>
    <x:row r="161">
      <x:c r="A161" s="56" t="n">
        <x:v>149</x:v>
      </x:c>
      <x:c r="B161" s="54" t="str">
        <x:v>generic_mask</x:v>
      </x:c>
      <x:c r="C161" s="54" t="str">
        <x:v>brown cup</x:v>
      </x:c>
      <x:c r="D161" s="54" t="str">
        <x:v>closed</x:v>
      </x:c>
      <x:c r="E161" s="54" t="str">
        <x:v>upside down</x:v>
      </x:c>
      <x:c r="F161" s="55" t="str">
        <x:v>generic_mask|brown_cup|closed|upside_down</x:v>
      </x:c>
      <x:c r="G161" s="56" t="n">
        <x:v>5</x:v>
      </x:c>
      <x:c r="H161" s="58" t="n">
        <x:f>IF(B161=$A$5,$B$5,IF(B161=$A$6,$B$6,$B$7))</x:f>
        <x:v>0.5</x:v>
      </x:c>
      <x:c r="I161" s="56" t="n">
        <x:f>IF(B161=$A$5,$C$5,IF(B161=$A$6,$C$6,$C$7))</x:f>
        <x:v>16</x:v>
      </x:c>
      <x:c r="J161" s="59" t="n">
        <x:f>H161/(I161*G161)</x:f>
        <x:v>0.00625</x:v>
      </x:c>
      <x:c r="K161" s="60" t="n">
        <x:f>J161*'Summary'!$B$5</x:f>
        <x:v>1.25</x:v>
      </x:c>
    </x:row>
    <x:row r="162">
      <x:c r="A162" s="56" t="n">
        <x:v>150</x:v>
      </x:c>
      <x:c r="B162" s="54" t="str">
        <x:v>generic_mask</x:v>
      </x:c>
      <x:c r="C162" s="54" t="str">
        <x:v>glass spice container</x:v>
      </x:c>
      <x:c r="D162" s="54" t="str">
        <x:v>open</x:v>
      </x:c>
      <x:c r="E162" s="54" t="str">
        <x:v>upright</x:v>
      </x:c>
      <x:c r="F162" s="55" t="str">
        <x:v>generic_mask|glass_spice_container|open|right_side_up</x:v>
      </x:c>
      <x:c r="G162" s="56" t="n">
        <x:v>9</x:v>
      </x:c>
      <x:c r="H162" s="58" t="n">
        <x:f>IF(B162=$A$5,$B$5,IF(B162=$A$6,$B$6,$B$7))</x:f>
        <x:v>0.5</x:v>
      </x:c>
      <x:c r="I162" s="56" t="n">
        <x:f>IF(B162=$A$5,$C$5,IF(B162=$A$6,$C$6,$C$7))</x:f>
        <x:v>16</x:v>
      </x:c>
      <x:c r="J162" s="59" t="n">
        <x:f>H162/(I162*G162)</x:f>
        <x:v>0.003472222222222222</x:v>
      </x:c>
      <x:c r="K162" s="60" t="n">
        <x:f>J162*'Summary'!$B$5</x:f>
        <x:v>0.6944444444444444</x:v>
      </x:c>
    </x:row>
    <x:row r="163">
      <x:c r="A163" s="56" t="n">
        <x:v>151</x:v>
      </x:c>
      <x:c r="B163" s="54" t="str">
        <x:v>generic_mask</x:v>
      </x:c>
      <x:c r="C163" s="54" t="str">
        <x:v>glass spice container</x:v>
      </x:c>
      <x:c r="D163" s="54" t="str">
        <x:v>closed</x:v>
      </x:c>
      <x:c r="E163" s="54" t="str">
        <x:v>upright</x:v>
      </x:c>
      <x:c r="F163" s="55" t="str">
        <x:v>generic_mask|glass_spice_container|closed|right_side_up</x:v>
      </x:c>
      <x:c r="G163" s="56" t="n">
        <x:v>20</x:v>
      </x:c>
      <x:c r="H163" s="58" t="n">
        <x:f>IF(B163=$A$5,$B$5,IF(B163=$A$6,$B$6,$B$7))</x:f>
        <x:v>0.5</x:v>
      </x:c>
      <x:c r="I163" s="56" t="n">
        <x:f>IF(B163=$A$5,$C$5,IF(B163=$A$6,$C$6,$C$7))</x:f>
        <x:v>16</x:v>
      </x:c>
      <x:c r="J163" s="59" t="n">
        <x:f>H163/(I163*G163)</x:f>
        <x:v>0.0015625</x:v>
      </x:c>
      <x:c r="K163" s="60" t="n">
        <x:f>J163*'Summary'!$B$5</x:f>
        <x:v>0.3125</x:v>
      </x:c>
    </x:row>
    <x:row r="164">
      <x:c r="A164" s="56" t="n">
        <x:v>152</x:v>
      </x:c>
      <x:c r="B164" s="54" t="str">
        <x:v>generic_mask</x:v>
      </x:c>
      <x:c r="C164" s="54" t="str">
        <x:v>glass spice container</x:v>
      </x:c>
      <x:c r="D164" s="54" t="str">
        <x:v>closed</x:v>
      </x:c>
      <x:c r="E164" s="54" t="str">
        <x:v>upright</x:v>
      </x:c>
      <x:c r="F164" s="55" t="str">
        <x:v>generic_mask|glass_spice_container|closed|right_side_up</x:v>
      </x:c>
      <x:c r="G164" s="56" t="n">
        <x:v>20</x:v>
      </x:c>
      <x:c r="H164" s="58" t="n">
        <x:f>IF(B164=$A$5,$B$5,IF(B164=$A$6,$B$6,$B$7))</x:f>
        <x:v>0.5</x:v>
      </x:c>
      <x:c r="I164" s="56" t="n">
        <x:f>IF(B164=$A$5,$C$5,IF(B164=$A$6,$C$6,$C$7))</x:f>
        <x:v>16</x:v>
      </x:c>
      <x:c r="J164" s="59" t="n">
        <x:f>H164/(I164*G164)</x:f>
        <x:v>0.0015625</x:v>
      </x:c>
      <x:c r="K164" s="60" t="n">
        <x:f>J164*'Summary'!$B$5</x:f>
        <x:v>0.3125</x:v>
      </x:c>
    </x:row>
    <x:row r="165">
      <x:c r="A165" s="56" t="n">
        <x:v>153</x:v>
      </x:c>
      <x:c r="B165" s="54" t="str">
        <x:v>explicit_seen_open</x:v>
      </x:c>
      <x:c r="C165" s="54" t="str">
        <x:v>glass spice container</x:v>
      </x:c>
      <x:c r="D165" s="54" t="str">
        <x:v>open</x:v>
      </x:c>
      <x:c r="E165" s="54" t="str">
        <x:v>upright</x:v>
      </x:c>
      <x:c r="F165" s="55" t="str">
        <x:v>explicit_seen_open|glass_spice_container|right_side_up</x:v>
      </x:c>
      <x:c r="G165" s="56" t="n">
        <x:v>9</x:v>
      </x:c>
      <x:c r="H165" s="58" t="n">
        <x:f>IF(B165=$A$5,$B$5,IF(B165=$A$6,$B$6,$B$7))</x:f>
        <x:v>0.25</x:v>
      </x:c>
      <x:c r="I165" s="56" t="n">
        <x:f>IF(B165=$A$5,$C$5,IF(B165=$A$6,$C$6,$C$7))</x:f>
        <x:v>8</x:v>
      </x:c>
      <x:c r="J165" s="59" t="n">
        <x:f>H165/(I165*G165)</x:f>
        <x:v>0.003472222222222222</x:v>
      </x:c>
      <x:c r="K165" s="60" t="n">
        <x:f>J165*'Summary'!$B$5</x:f>
        <x:v>0.6944444444444444</x:v>
      </x:c>
    </x:row>
    <x:row r="166">
      <x:c r="A166" s="56" t="n">
        <x:v>154</x:v>
      </x:c>
      <x:c r="B166" s="54" t="str">
        <x:v>generic_mask</x:v>
      </x:c>
      <x:c r="C166" s="54" t="str">
        <x:v>glass spice container</x:v>
      </x:c>
      <x:c r="D166" s="54" t="str">
        <x:v>open</x:v>
      </x:c>
      <x:c r="E166" s="54" t="str">
        <x:v>upright</x:v>
      </x:c>
      <x:c r="F166" s="55" t="str">
        <x:v>generic_mask|glass_spice_container|open|right_side_up</x:v>
      </x:c>
      <x:c r="G166" s="56" t="n">
        <x:v>9</x:v>
      </x:c>
      <x:c r="H166" s="58" t="n">
        <x:f>IF(B166=$A$5,$B$5,IF(B166=$A$6,$B$6,$B$7))</x:f>
        <x:v>0.5</x:v>
      </x:c>
      <x:c r="I166" s="56" t="n">
        <x:f>IF(B166=$A$5,$C$5,IF(B166=$A$6,$C$6,$C$7))</x:f>
        <x:v>16</x:v>
      </x:c>
      <x:c r="J166" s="59" t="n">
        <x:f>H166/(I166*G166)</x:f>
        <x:v>0.003472222222222222</x:v>
      </x:c>
      <x:c r="K166" s="60" t="n">
        <x:f>J166*'Summary'!$B$5</x:f>
        <x:v>0.6944444444444444</x:v>
      </x:c>
    </x:row>
    <x:row r="167">
      <x:c r="A167" s="56" t="n">
        <x:v>155</x:v>
      </x:c>
      <x:c r="B167" s="54" t="str">
        <x:v>generic_mask</x:v>
      </x:c>
      <x:c r="C167" s="54" t="str">
        <x:v>glass spice container</x:v>
      </x:c>
      <x:c r="D167" s="54" t="str">
        <x:v>closed</x:v>
      </x:c>
      <x:c r="E167" s="54" t="str">
        <x:v>upright</x:v>
      </x:c>
      <x:c r="F167" s="55" t="str">
        <x:v>generic_mask|glass_spice_container|closed|right_side_up</x:v>
      </x:c>
      <x:c r="G167" s="56" t="n">
        <x:v>20</x:v>
      </x:c>
      <x:c r="H167" s="58" t="n">
        <x:f>IF(B167=$A$5,$B$5,IF(B167=$A$6,$B$6,$B$7))</x:f>
        <x:v>0.5</x:v>
      </x:c>
      <x:c r="I167" s="56" t="n">
        <x:f>IF(B167=$A$5,$C$5,IF(B167=$A$6,$C$6,$C$7))</x:f>
        <x:v>16</x:v>
      </x:c>
      <x:c r="J167" s="59" t="n">
        <x:f>H167/(I167*G167)</x:f>
        <x:v>0.0015625</x:v>
      </x:c>
      <x:c r="K167" s="60" t="n">
        <x:f>J167*'Summary'!$B$5</x:f>
        <x:v>0.3125</x:v>
      </x:c>
    </x:row>
    <x:row r="168">
      <x:c r="A168" s="56" t="n">
        <x:v>156</x:v>
      </x:c>
      <x:c r="B168" s="54" t="str">
        <x:v>explicit_seen_open</x:v>
      </x:c>
      <x:c r="C168" s="54" t="str">
        <x:v>glass spice container</x:v>
      </x:c>
      <x:c r="D168" s="54" t="str">
        <x:v>open</x:v>
      </x:c>
      <x:c r="E168" s="54" t="str">
        <x:v>upright</x:v>
      </x:c>
      <x:c r="F168" s="55" t="str">
        <x:v>explicit_seen_open|glass_spice_container|right_side_up</x:v>
      </x:c>
      <x:c r="G168" s="56" t="n">
        <x:v>9</x:v>
      </x:c>
      <x:c r="H168" s="58" t="n">
        <x:f>IF(B168=$A$5,$B$5,IF(B168=$A$6,$B$6,$B$7))</x:f>
        <x:v>0.25</x:v>
      </x:c>
      <x:c r="I168" s="56" t="n">
        <x:f>IF(B168=$A$5,$C$5,IF(B168=$A$6,$C$6,$C$7))</x:f>
        <x:v>8</x:v>
      </x:c>
      <x:c r="J168" s="59" t="n">
        <x:f>H168/(I168*G168)</x:f>
        <x:v>0.003472222222222222</x:v>
      </x:c>
      <x:c r="K168" s="60" t="n">
        <x:f>J168*'Summary'!$B$5</x:f>
        <x:v>0.6944444444444444</x:v>
      </x:c>
    </x:row>
    <x:row r="169">
      <x:c r="A169" s="56" t="n">
        <x:v>157</x:v>
      </x:c>
      <x:c r="B169" s="54" t="str">
        <x:v>generic_mask</x:v>
      </x:c>
      <x:c r="C169" s="54" t="str">
        <x:v>glass spice container</x:v>
      </x:c>
      <x:c r="D169" s="54" t="str">
        <x:v>open</x:v>
      </x:c>
      <x:c r="E169" s="54" t="str">
        <x:v>upright</x:v>
      </x:c>
      <x:c r="F169" s="55" t="str">
        <x:v>generic_mask|glass_spice_container|open|right_side_up</x:v>
      </x:c>
      <x:c r="G169" s="56" t="n">
        <x:v>9</x:v>
      </x:c>
      <x:c r="H169" s="58" t="n">
        <x:f>IF(B169=$A$5,$B$5,IF(B169=$A$6,$B$6,$B$7))</x:f>
        <x:v>0.5</x:v>
      </x:c>
      <x:c r="I169" s="56" t="n">
        <x:f>IF(B169=$A$5,$C$5,IF(B169=$A$6,$C$6,$C$7))</x:f>
        <x:v>16</x:v>
      </x:c>
      <x:c r="J169" s="59" t="n">
        <x:f>H169/(I169*G169)</x:f>
        <x:v>0.003472222222222222</x:v>
      </x:c>
      <x:c r="K169" s="60" t="n">
        <x:f>J169*'Summary'!$B$5</x:f>
        <x:v>0.6944444444444444</x:v>
      </x:c>
    </x:row>
    <x:row r="170">
      <x:c r="A170" s="56" t="n">
        <x:v>158</x:v>
      </x:c>
      <x:c r="B170" s="54" t="str">
        <x:v>generic_mask</x:v>
      </x:c>
      <x:c r="C170" s="54" t="str">
        <x:v>glass spice container</x:v>
      </x:c>
      <x:c r="D170" s="54" t="str">
        <x:v>closed</x:v>
      </x:c>
      <x:c r="E170" s="54" t="str">
        <x:v>upright</x:v>
      </x:c>
      <x:c r="F170" s="55" t="str">
        <x:v>generic_mask|glass_spice_container|closed|right_side_up</x:v>
      </x:c>
      <x:c r="G170" s="56" t="n">
        <x:v>20</x:v>
      </x:c>
      <x:c r="H170" s="58" t="n">
        <x:f>IF(B170=$A$5,$B$5,IF(B170=$A$6,$B$6,$B$7))</x:f>
        <x:v>0.5</x:v>
      </x:c>
      <x:c r="I170" s="56" t="n">
        <x:f>IF(B170=$A$5,$C$5,IF(B170=$A$6,$C$6,$C$7))</x:f>
        <x:v>16</x:v>
      </x:c>
      <x:c r="J170" s="59" t="n">
        <x:f>H170/(I170*G170)</x:f>
        <x:v>0.0015625</x:v>
      </x:c>
      <x:c r="K170" s="60" t="n">
        <x:f>J170*'Summary'!$B$5</x:f>
        <x:v>0.3125</x:v>
      </x:c>
    </x:row>
    <x:row r="171">
      <x:c r="A171" s="56" t="n">
        <x:v>159</x:v>
      </x:c>
      <x:c r="B171" s="54" t="str">
        <x:v>generic_mask</x:v>
      </x:c>
      <x:c r="C171" s="54" t="str">
        <x:v>glass spice container</x:v>
      </x:c>
      <x:c r="D171" s="54" t="str">
        <x:v>closed</x:v>
      </x:c>
      <x:c r="E171" s="54" t="str">
        <x:v>upright</x:v>
      </x:c>
      <x:c r="F171" s="55" t="str">
        <x:v>generic_mask|glass_spice_container|closed|right_side_up</x:v>
      </x:c>
      <x:c r="G171" s="56" t="n">
        <x:v>20</x:v>
      </x:c>
      <x:c r="H171" s="58" t="n">
        <x:f>IF(B171=$A$5,$B$5,IF(B171=$A$6,$B$6,$B$7))</x:f>
        <x:v>0.5</x:v>
      </x:c>
      <x:c r="I171" s="56" t="n">
        <x:f>IF(B171=$A$5,$C$5,IF(B171=$A$6,$C$6,$C$7))</x:f>
        <x:v>16</x:v>
      </x:c>
      <x:c r="J171" s="59" t="n">
        <x:f>H171/(I171*G171)</x:f>
        <x:v>0.0015625</x:v>
      </x:c>
      <x:c r="K171" s="60" t="n">
        <x:f>J171*'Summary'!$B$5</x:f>
        <x:v>0.3125</x:v>
      </x:c>
    </x:row>
    <x:row r="172">
      <x:c r="A172" s="56" t="n">
        <x:v>160</x:v>
      </x:c>
      <x:c r="B172" s="54" t="str">
        <x:v>explicit_seen_open</x:v>
      </x:c>
      <x:c r="C172" s="54" t="str">
        <x:v>glass spice container</x:v>
      </x:c>
      <x:c r="D172" s="54" t="str">
        <x:v>open</x:v>
      </x:c>
      <x:c r="E172" s="54" t="str">
        <x:v>upright</x:v>
      </x:c>
      <x:c r="F172" s="55" t="str">
        <x:v>explicit_seen_open|glass_spice_container|right_side_up</x:v>
      </x:c>
      <x:c r="G172" s="56" t="n">
        <x:v>9</x:v>
      </x:c>
      <x:c r="H172" s="58" t="n">
        <x:f>IF(B172=$A$5,$B$5,IF(B172=$A$6,$B$6,$B$7))</x:f>
        <x:v>0.25</x:v>
      </x:c>
      <x:c r="I172" s="56" t="n">
        <x:f>IF(B172=$A$5,$C$5,IF(B172=$A$6,$C$6,$C$7))</x:f>
        <x:v>8</x:v>
      </x:c>
      <x:c r="J172" s="59" t="n">
        <x:f>H172/(I172*G172)</x:f>
        <x:v>0.003472222222222222</x:v>
      </x:c>
      <x:c r="K172" s="60" t="n">
        <x:f>J172*'Summary'!$B$5</x:f>
        <x:v>0.6944444444444444</x:v>
      </x:c>
    </x:row>
    <x:row r="173">
      <x:c r="A173" s="56" t="n">
        <x:v>161</x:v>
      </x:c>
      <x:c r="B173" s="54" t="str">
        <x:v>generic_mask</x:v>
      </x:c>
      <x:c r="C173" s="54" t="str">
        <x:v>glass spice container</x:v>
      </x:c>
      <x:c r="D173" s="54" t="str">
        <x:v>closed</x:v>
      </x:c>
      <x:c r="E173" s="54" t="str">
        <x:v>upright</x:v>
      </x:c>
      <x:c r="F173" s="55" t="str">
        <x:v>generic_mask|glass_spice_container|closed|right_side_up</x:v>
      </x:c>
      <x:c r="G173" s="56" t="n">
        <x:v>20</x:v>
      </x:c>
      <x:c r="H173" s="58" t="n">
        <x:f>IF(B173=$A$5,$B$5,IF(B173=$A$6,$B$6,$B$7))</x:f>
        <x:v>0.5</x:v>
      </x:c>
      <x:c r="I173" s="56" t="n">
        <x:f>IF(B173=$A$5,$C$5,IF(B173=$A$6,$C$6,$C$7))</x:f>
        <x:v>16</x:v>
      </x:c>
      <x:c r="J173" s="59" t="n">
        <x:f>H173/(I173*G173)</x:f>
        <x:v>0.0015625</x:v>
      </x:c>
      <x:c r="K173" s="60" t="n">
        <x:f>J173*'Summary'!$B$5</x:f>
        <x:v>0.3125</x:v>
      </x:c>
    </x:row>
    <x:row r="174">
      <x:c r="A174" s="56" t="n">
        <x:v>162</x:v>
      </x:c>
      <x:c r="B174" s="54" t="str">
        <x:v>generic_mask</x:v>
      </x:c>
      <x:c r="C174" s="54" t="str">
        <x:v>glass spice container</x:v>
      </x:c>
      <x:c r="D174" s="54" t="str">
        <x:v>open</x:v>
      </x:c>
      <x:c r="E174" s="54" t="str">
        <x:v>upright</x:v>
      </x:c>
      <x:c r="F174" s="55" t="str">
        <x:v>generic_mask|glass_spice_container|open|right_side_up</x:v>
      </x:c>
      <x:c r="G174" s="56" t="n">
        <x:v>9</x:v>
      </x:c>
      <x:c r="H174" s="58" t="n">
        <x:f>IF(B174=$A$5,$B$5,IF(B174=$A$6,$B$6,$B$7))</x:f>
        <x:v>0.5</x:v>
      </x:c>
      <x:c r="I174" s="56" t="n">
        <x:f>IF(B174=$A$5,$C$5,IF(B174=$A$6,$C$6,$C$7))</x:f>
        <x:v>16</x:v>
      </x:c>
      <x:c r="J174" s="59" t="n">
        <x:f>H174/(I174*G174)</x:f>
        <x:v>0.003472222222222222</x:v>
      </x:c>
      <x:c r="K174" s="60" t="n">
        <x:f>J174*'Summary'!$B$5</x:f>
        <x:v>0.6944444444444444</x:v>
      </x:c>
    </x:row>
    <x:row r="175">
      <x:c r="A175" s="56" t="n">
        <x:v>163</x:v>
      </x:c>
      <x:c r="B175" s="54" t="str">
        <x:v>generic_mask</x:v>
      </x:c>
      <x:c r="C175" s="54" t="str">
        <x:v>glass spice container</x:v>
      </x:c>
      <x:c r="D175" s="54" t="str">
        <x:v>closed</x:v>
      </x:c>
      <x:c r="E175" s="54" t="str">
        <x:v>upright</x:v>
      </x:c>
      <x:c r="F175" s="55" t="str">
        <x:v>generic_mask|glass_spice_container|closed|right_side_up</x:v>
      </x:c>
      <x:c r="G175" s="56" t="n">
        <x:v>20</x:v>
      </x:c>
      <x:c r="H175" s="58" t="n">
        <x:f>IF(B175=$A$5,$B$5,IF(B175=$A$6,$B$6,$B$7))</x:f>
        <x:v>0.5</x:v>
      </x:c>
      <x:c r="I175" s="56" t="n">
        <x:f>IF(B175=$A$5,$C$5,IF(B175=$A$6,$C$6,$C$7))</x:f>
        <x:v>16</x:v>
      </x:c>
      <x:c r="J175" s="59" t="n">
        <x:f>H175/(I175*G175)</x:f>
        <x:v>0.0015625</x:v>
      </x:c>
      <x:c r="K175" s="60" t="n">
        <x:f>J175*'Summary'!$B$5</x:f>
        <x:v>0.3125</x:v>
      </x:c>
    </x:row>
    <x:row r="176">
      <x:c r="A176" s="56" t="n">
        <x:v>164</x:v>
      </x:c>
      <x:c r="B176" s="54" t="str">
        <x:v>explicit_seen_open</x:v>
      </x:c>
      <x:c r="C176" s="54" t="str">
        <x:v>glass spice container</x:v>
      </x:c>
      <x:c r="D176" s="54" t="str">
        <x:v>open</x:v>
      </x:c>
      <x:c r="E176" s="54" t="str">
        <x:v>upright</x:v>
      </x:c>
      <x:c r="F176" s="55" t="str">
        <x:v>explicit_seen_open|glass_spice_container|right_side_up</x:v>
      </x:c>
      <x:c r="G176" s="56" t="n">
        <x:v>9</x:v>
      </x:c>
      <x:c r="H176" s="58" t="n">
        <x:f>IF(B176=$A$5,$B$5,IF(B176=$A$6,$B$6,$B$7))</x:f>
        <x:v>0.25</x:v>
      </x:c>
      <x:c r="I176" s="56" t="n">
        <x:f>IF(B176=$A$5,$C$5,IF(B176=$A$6,$C$6,$C$7))</x:f>
        <x:v>8</x:v>
      </x:c>
      <x:c r="J176" s="59" t="n">
        <x:f>H176/(I176*G176)</x:f>
        <x:v>0.003472222222222222</x:v>
      </x:c>
      <x:c r="K176" s="60" t="n">
        <x:f>J176*'Summary'!$B$5</x:f>
        <x:v>0.6944444444444444</x:v>
      </x:c>
    </x:row>
    <x:row r="177">
      <x:c r="A177" s="56" t="n">
        <x:v>165</x:v>
      </x:c>
      <x:c r="B177" s="54" t="str">
        <x:v>generic_mask</x:v>
      </x:c>
      <x:c r="C177" s="54" t="str">
        <x:v>glass spice container</x:v>
      </x:c>
      <x:c r="D177" s="54" t="str">
        <x:v>open</x:v>
      </x:c>
      <x:c r="E177" s="54" t="str">
        <x:v>upright</x:v>
      </x:c>
      <x:c r="F177" s="55" t="str">
        <x:v>generic_mask|glass_spice_container|open|right_side_up</x:v>
      </x:c>
      <x:c r="G177" s="56" t="n">
        <x:v>9</x:v>
      </x:c>
      <x:c r="H177" s="58" t="n">
        <x:f>IF(B177=$A$5,$B$5,IF(B177=$A$6,$B$6,$B$7))</x:f>
        <x:v>0.5</x:v>
      </x:c>
      <x:c r="I177" s="56" t="n">
        <x:f>IF(B177=$A$5,$C$5,IF(B177=$A$6,$C$6,$C$7))</x:f>
        <x:v>16</x:v>
      </x:c>
      <x:c r="J177" s="59" t="n">
        <x:f>H177/(I177*G177)</x:f>
        <x:v>0.003472222222222222</x:v>
      </x:c>
      <x:c r="K177" s="60" t="n">
        <x:f>J177*'Summary'!$B$5</x:f>
        <x:v>0.6944444444444444</x:v>
      </x:c>
    </x:row>
    <x:row r="178">
      <x:c r="A178" s="56" t="n">
        <x:v>166</x:v>
      </x:c>
      <x:c r="B178" s="54" t="str">
        <x:v>generic_mask</x:v>
      </x:c>
      <x:c r="C178" s="54" t="str">
        <x:v>glass spice container</x:v>
      </x:c>
      <x:c r="D178" s="54" t="str">
        <x:v>closed</x:v>
      </x:c>
      <x:c r="E178" s="54" t="str">
        <x:v>upright</x:v>
      </x:c>
      <x:c r="F178" s="55" t="str">
        <x:v>generic_mask|glass_spice_container|closed|right_side_up</x:v>
      </x:c>
      <x:c r="G178" s="56" t="n">
        <x:v>20</x:v>
      </x:c>
      <x:c r="H178" s="58" t="n">
        <x:f>IF(B178=$A$5,$B$5,IF(B178=$A$6,$B$6,$B$7))</x:f>
        <x:v>0.5</x:v>
      </x:c>
      <x:c r="I178" s="56" t="n">
        <x:f>IF(B178=$A$5,$C$5,IF(B178=$A$6,$C$6,$C$7))</x:f>
        <x:v>16</x:v>
      </x:c>
      <x:c r="J178" s="59" t="n">
        <x:f>H178/(I178*G178)</x:f>
        <x:v>0.0015625</x:v>
      </x:c>
      <x:c r="K178" s="60" t="n">
        <x:f>J178*'Summary'!$B$5</x:f>
        <x:v>0.3125</x:v>
      </x:c>
    </x:row>
    <x:row r="179">
      <x:c r="A179" s="56" t="n">
        <x:v>167</x:v>
      </x:c>
      <x:c r="B179" s="54" t="str">
        <x:v>generic_mask</x:v>
      </x:c>
      <x:c r="C179" s="54" t="str">
        <x:v>glass spice container</x:v>
      </x:c>
      <x:c r="D179" s="54" t="str">
        <x:v>closed</x:v>
      </x:c>
      <x:c r="E179" s="54" t="str">
        <x:v>upright</x:v>
      </x:c>
      <x:c r="F179" s="55" t="str">
        <x:v>generic_mask|glass_spice_container|closed|right_side_up</x:v>
      </x:c>
      <x:c r="G179" s="56" t="n">
        <x:v>20</x:v>
      </x:c>
      <x:c r="H179" s="58" t="n">
        <x:f>IF(B179=$A$5,$B$5,IF(B179=$A$6,$B$6,$B$7))</x:f>
        <x:v>0.5</x:v>
      </x:c>
      <x:c r="I179" s="56" t="n">
        <x:f>IF(B179=$A$5,$C$5,IF(B179=$A$6,$C$6,$C$7))</x:f>
        <x:v>16</x:v>
      </x:c>
      <x:c r="J179" s="59" t="n">
        <x:f>H179/(I179*G179)</x:f>
        <x:v>0.0015625</x:v>
      </x:c>
      <x:c r="K179" s="60" t="n">
        <x:f>J179*'Summary'!$B$5</x:f>
        <x:v>0.3125</x:v>
      </x:c>
    </x:row>
    <x:row r="180">
      <x:c r="A180" s="56" t="n">
        <x:v>168</x:v>
      </x:c>
      <x:c r="B180" s="54" t="str">
        <x:v>explicit_seen_open</x:v>
      </x:c>
      <x:c r="C180" s="54" t="str">
        <x:v>glass spice container</x:v>
      </x:c>
      <x:c r="D180" s="54" t="str">
        <x:v>open</x:v>
      </x:c>
      <x:c r="E180" s="54" t="str">
        <x:v>upright</x:v>
      </x:c>
      <x:c r="F180" s="55" t="str">
        <x:v>explicit_seen_open|glass_spice_container|right_side_up</x:v>
      </x:c>
      <x:c r="G180" s="56" t="n">
        <x:v>9</x:v>
      </x:c>
      <x:c r="H180" s="58" t="n">
        <x:f>IF(B180=$A$5,$B$5,IF(B180=$A$6,$B$6,$B$7))</x:f>
        <x:v>0.25</x:v>
      </x:c>
      <x:c r="I180" s="56" t="n">
        <x:f>IF(B180=$A$5,$C$5,IF(B180=$A$6,$C$6,$C$7))</x:f>
        <x:v>8</x:v>
      </x:c>
      <x:c r="J180" s="59" t="n">
        <x:f>H180/(I180*G180)</x:f>
        <x:v>0.003472222222222222</x:v>
      </x:c>
      <x:c r="K180" s="60" t="n">
        <x:f>J180*'Summary'!$B$5</x:f>
        <x:v>0.6944444444444444</x:v>
      </x:c>
    </x:row>
    <x:row r="181">
      <x:c r="A181" s="56" t="n">
        <x:v>169</x:v>
      </x:c>
      <x:c r="B181" s="54" t="str">
        <x:v>generic_mask</x:v>
      </x:c>
      <x:c r="C181" s="54" t="str">
        <x:v>glass spice container</x:v>
      </x:c>
      <x:c r="D181" s="54" t="str">
        <x:v>closed</x:v>
      </x:c>
      <x:c r="E181" s="54" t="str">
        <x:v>upright</x:v>
      </x:c>
      <x:c r="F181" s="55" t="str">
        <x:v>generic_mask|glass_spice_container|closed|right_side_up</x:v>
      </x:c>
      <x:c r="G181" s="56" t="n">
        <x:v>20</x:v>
      </x:c>
      <x:c r="H181" s="58" t="n">
        <x:f>IF(B181=$A$5,$B$5,IF(B181=$A$6,$B$6,$B$7))</x:f>
        <x:v>0.5</x:v>
      </x:c>
      <x:c r="I181" s="56" t="n">
        <x:f>IF(B181=$A$5,$C$5,IF(B181=$A$6,$C$6,$C$7))</x:f>
        <x:v>16</x:v>
      </x:c>
      <x:c r="J181" s="59" t="n">
        <x:f>H181/(I181*G181)</x:f>
        <x:v>0.0015625</x:v>
      </x:c>
      <x:c r="K181" s="60" t="n">
        <x:f>J181*'Summary'!$B$5</x:f>
        <x:v>0.3125</x:v>
      </x:c>
    </x:row>
    <x:row r="182">
      <x:c r="A182" s="56" t="n">
        <x:v>170</x:v>
      </x:c>
      <x:c r="B182" s="54" t="str">
        <x:v>generic_mask</x:v>
      </x:c>
      <x:c r="C182" s="54" t="str">
        <x:v>glass spice container</x:v>
      </x:c>
      <x:c r="D182" s="54" t="str">
        <x:v>open</x:v>
      </x:c>
      <x:c r="E182" s="54" t="str">
        <x:v>upright</x:v>
      </x:c>
      <x:c r="F182" s="55" t="str">
        <x:v>generic_mask|glass_spice_container|open|right_side_up</x:v>
      </x:c>
      <x:c r="G182" s="56" t="n">
        <x:v>9</x:v>
      </x:c>
      <x:c r="H182" s="58" t="n">
        <x:f>IF(B182=$A$5,$B$5,IF(B182=$A$6,$B$6,$B$7))</x:f>
        <x:v>0.5</x:v>
      </x:c>
      <x:c r="I182" s="56" t="n">
        <x:f>IF(B182=$A$5,$C$5,IF(B182=$A$6,$C$6,$C$7))</x:f>
        <x:v>16</x:v>
      </x:c>
      <x:c r="J182" s="59" t="n">
        <x:f>H182/(I182*G182)</x:f>
        <x:v>0.003472222222222222</x:v>
      </x:c>
      <x:c r="K182" s="60" t="n">
        <x:f>J182*'Summary'!$B$5</x:f>
        <x:v>0.6944444444444444</x:v>
      </x:c>
    </x:row>
    <x:row r="183">
      <x:c r="A183" s="56" t="n">
        <x:v>171</x:v>
      </x:c>
      <x:c r="B183" s="54" t="str">
        <x:v>generic_mask</x:v>
      </x:c>
      <x:c r="C183" s="54" t="str">
        <x:v>glass spice container</x:v>
      </x:c>
      <x:c r="D183" s="54" t="str">
        <x:v>closed</x:v>
      </x:c>
      <x:c r="E183" s="54" t="str">
        <x:v>upright</x:v>
      </x:c>
      <x:c r="F183" s="55" t="str">
        <x:v>generic_mask|glass_spice_container|closed|right_side_up</x:v>
      </x:c>
      <x:c r="G183" s="56" t="n">
        <x:v>20</x:v>
      </x:c>
      <x:c r="H183" s="58" t="n">
        <x:f>IF(B183=$A$5,$B$5,IF(B183=$A$6,$B$6,$B$7))</x:f>
        <x:v>0.5</x:v>
      </x:c>
      <x:c r="I183" s="56" t="n">
        <x:f>IF(B183=$A$5,$C$5,IF(B183=$A$6,$C$6,$C$7))</x:f>
        <x:v>16</x:v>
      </x:c>
      <x:c r="J183" s="59" t="n">
        <x:f>H183/(I183*G183)</x:f>
        <x:v>0.0015625</x:v>
      </x:c>
      <x:c r="K183" s="60" t="n">
        <x:f>J183*'Summary'!$B$5</x:f>
        <x:v>0.3125</x:v>
      </x:c>
    </x:row>
    <x:row r="184">
      <x:c r="A184" s="56" t="n">
        <x:v>172</x:v>
      </x:c>
      <x:c r="B184" s="54" t="str">
        <x:v>generic_mask</x:v>
      </x:c>
      <x:c r="C184" s="54" t="str">
        <x:v>glass spice container</x:v>
      </x:c>
      <x:c r="D184" s="54" t="str">
        <x:v>closed</x:v>
      </x:c>
      <x:c r="E184" s="54" t="str">
        <x:v>upright</x:v>
      </x:c>
      <x:c r="F184" s="55" t="str">
        <x:v>generic_mask|glass_spice_container|closed|right_side_up</x:v>
      </x:c>
      <x:c r="G184" s="56" t="n">
        <x:v>20</x:v>
      </x:c>
      <x:c r="H184" s="58" t="n">
        <x:f>IF(B184=$A$5,$B$5,IF(B184=$A$6,$B$6,$B$7))</x:f>
        <x:v>0.5</x:v>
      </x:c>
      <x:c r="I184" s="56" t="n">
        <x:f>IF(B184=$A$5,$C$5,IF(B184=$A$6,$C$6,$C$7))</x:f>
        <x:v>16</x:v>
      </x:c>
      <x:c r="J184" s="59" t="n">
        <x:f>H184/(I184*G184)</x:f>
        <x:v>0.0015625</x:v>
      </x:c>
      <x:c r="K184" s="60" t="n">
        <x:f>J184*'Summary'!$B$5</x:f>
        <x:v>0.3125</x:v>
      </x:c>
    </x:row>
    <x:row r="185">
      <x:c r="A185" s="56" t="n">
        <x:v>173</x:v>
      </x:c>
      <x:c r="B185" s="54" t="str">
        <x:v>explicit_seen_open</x:v>
      </x:c>
      <x:c r="C185" s="54" t="str">
        <x:v>glass spice container</x:v>
      </x:c>
      <x:c r="D185" s="54" t="str">
        <x:v>open</x:v>
      </x:c>
      <x:c r="E185" s="54" t="str">
        <x:v>upright</x:v>
      </x:c>
      <x:c r="F185" s="55" t="str">
        <x:v>explicit_seen_open|glass_spice_container|right_side_up</x:v>
      </x:c>
      <x:c r="G185" s="56" t="n">
        <x:v>9</x:v>
      </x:c>
      <x:c r="H185" s="58" t="n">
        <x:f>IF(B185=$A$5,$B$5,IF(B185=$A$6,$B$6,$B$7))</x:f>
        <x:v>0.25</x:v>
      </x:c>
      <x:c r="I185" s="56" t="n">
        <x:f>IF(B185=$A$5,$C$5,IF(B185=$A$6,$C$6,$C$7))</x:f>
        <x:v>8</x:v>
      </x:c>
      <x:c r="J185" s="59" t="n">
        <x:f>H185/(I185*G185)</x:f>
        <x:v>0.003472222222222222</x:v>
      </x:c>
      <x:c r="K185" s="60" t="n">
        <x:f>J185*'Summary'!$B$5</x:f>
        <x:v>0.6944444444444444</x:v>
      </x:c>
    </x:row>
    <x:row r="186">
      <x:c r="A186" s="56" t="n">
        <x:v>174</x:v>
      </x:c>
      <x:c r="B186" s="54" t="str">
        <x:v>generic_mask</x:v>
      </x:c>
      <x:c r="C186" s="54" t="str">
        <x:v>glass spice container</x:v>
      </x:c>
      <x:c r="D186" s="54" t="str">
        <x:v>closed</x:v>
      </x:c>
      <x:c r="E186" s="54" t="str">
        <x:v>upright</x:v>
      </x:c>
      <x:c r="F186" s="55" t="str">
        <x:v>generic_mask|glass_spice_container|closed|right_side_up</x:v>
      </x:c>
      <x:c r="G186" s="56" t="n">
        <x:v>20</x:v>
      </x:c>
      <x:c r="H186" s="58" t="n">
        <x:f>IF(B186=$A$5,$B$5,IF(B186=$A$6,$B$6,$B$7))</x:f>
        <x:v>0.5</x:v>
      </x:c>
      <x:c r="I186" s="56" t="n">
        <x:f>IF(B186=$A$5,$C$5,IF(B186=$A$6,$C$6,$C$7))</x:f>
        <x:v>16</x:v>
      </x:c>
      <x:c r="J186" s="59" t="n">
        <x:f>H186/(I186*G186)</x:f>
        <x:v>0.0015625</x:v>
      </x:c>
      <x:c r="K186" s="60" t="n">
        <x:f>J186*'Summary'!$B$5</x:f>
        <x:v>0.3125</x:v>
      </x:c>
    </x:row>
    <x:row r="187">
      <x:c r="A187" s="56" t="n">
        <x:v>175</x:v>
      </x:c>
      <x:c r="B187" s="54" t="str">
        <x:v>generic_mask</x:v>
      </x:c>
      <x:c r="C187" s="54" t="str">
        <x:v>glass spice container</x:v>
      </x:c>
      <x:c r="D187" s="54" t="str">
        <x:v>closed</x:v>
      </x:c>
      <x:c r="E187" s="54" t="str">
        <x:v>upside down</x:v>
      </x:c>
      <x:c r="F187" s="55" t="str">
        <x:v>generic_mask|glass_spice_container|closed|upside_down</x:v>
      </x:c>
      <x:c r="G187" s="56" t="n">
        <x:v>3</x:v>
      </x:c>
      <x:c r="H187" s="58" t="n">
        <x:f>IF(B187=$A$5,$B$5,IF(B187=$A$6,$B$6,$B$7))</x:f>
        <x:v>0.5</x:v>
      </x:c>
      <x:c r="I187" s="56" t="n">
        <x:f>IF(B187=$A$5,$C$5,IF(B187=$A$6,$C$6,$C$7))</x:f>
        <x:v>16</x:v>
      </x:c>
      <x:c r="J187" s="59" t="n">
        <x:f>H187/(I187*G187)</x:f>
        <x:v>0.010416666666666666</x:v>
      </x:c>
      <x:c r="K187" s="60" t="n">
        <x:f>J187*'Summary'!$B$5</x:f>
        <x:v>2.083333333333333</x:v>
      </x:c>
    </x:row>
    <x:row r="188">
      <x:c r="A188" s="56" t="n">
        <x:v>176</x:v>
      </x:c>
      <x:c r="B188" s="54" t="str">
        <x:v>generic_mask</x:v>
      </x:c>
      <x:c r="C188" s="54" t="str">
        <x:v>glass spice container</x:v>
      </x:c>
      <x:c r="D188" s="54" t="str">
        <x:v>open</x:v>
      </x:c>
      <x:c r="E188" s="54" t="str">
        <x:v>upside down</x:v>
      </x:c>
      <x:c r="F188" s="55" t="str">
        <x:v>generic_mask|glass_spice_container|open|upside_down</x:v>
      </x:c>
      <x:c r="G188" s="56" t="n">
        <x:v>3</x:v>
      </x:c>
      <x:c r="H188" s="58" t="n">
        <x:f>IF(B188=$A$5,$B$5,IF(B188=$A$6,$B$6,$B$7))</x:f>
        <x:v>0.5</x:v>
      </x:c>
      <x:c r="I188" s="56" t="n">
        <x:f>IF(B188=$A$5,$C$5,IF(B188=$A$6,$C$6,$C$7))</x:f>
        <x:v>16</x:v>
      </x:c>
      <x:c r="J188" s="59" t="n">
        <x:f>H188/(I188*G188)</x:f>
        <x:v>0.010416666666666666</x:v>
      </x:c>
      <x:c r="K188" s="60" t="n">
        <x:f>J188*'Summary'!$B$5</x:f>
        <x:v>2.083333333333333</x:v>
      </x:c>
    </x:row>
    <x:row r="189">
      <x:c r="A189" s="56" t="n">
        <x:v>177</x:v>
      </x:c>
      <x:c r="B189" s="54" t="str">
        <x:v>explicit_seen_upside_down</x:v>
      </x:c>
      <x:c r="C189" s="54" t="str">
        <x:v>glass spice container</x:v>
      </x:c>
      <x:c r="D189" s="54" t="str">
        <x:v>closed</x:v>
      </x:c>
      <x:c r="E189" s="54" t="str">
        <x:v>upside down</x:v>
      </x:c>
      <x:c r="F189" s="55" t="str">
        <x:v>explicit_seen_upside_down|glass_spice_container|closed</x:v>
      </x:c>
      <x:c r="G189" s="56" t="n">
        <x:v>3</x:v>
      </x:c>
      <x:c r="H189" s="58" t="n">
        <x:f>IF(B189=$A$5,$B$5,IF(B189=$A$6,$B$6,$B$7))</x:f>
        <x:v>0.25</x:v>
      </x:c>
      <x:c r="I189" s="56" t="n">
        <x:f>IF(B189=$A$5,$C$5,IF(B189=$A$6,$C$6,$C$7))</x:f>
        <x:v>8</x:v>
      </x:c>
      <x:c r="J189" s="59" t="n">
        <x:f>H189/(I189*G189)</x:f>
        <x:v>0.010416666666666666</x:v>
      </x:c>
      <x:c r="K189" s="60" t="n">
        <x:f>J189*'Summary'!$B$5</x:f>
        <x:v>2.083333333333333</x:v>
      </x:c>
    </x:row>
    <x:row r="190">
      <x:c r="A190" s="56" t="n">
        <x:v>178</x:v>
      </x:c>
      <x:c r="B190" s="54" t="str">
        <x:v>generic_mask</x:v>
      </x:c>
      <x:c r="C190" s="54" t="str">
        <x:v>glass spice container</x:v>
      </x:c>
      <x:c r="D190" s="54" t="str">
        <x:v>open</x:v>
      </x:c>
      <x:c r="E190" s="54" t="str">
        <x:v>upright</x:v>
      </x:c>
      <x:c r="F190" s="55" t="str">
        <x:v>generic_mask|glass_spice_container|open|right_side_up</x:v>
      </x:c>
      <x:c r="G190" s="56" t="n">
        <x:v>9</x:v>
      </x:c>
      <x:c r="H190" s="58" t="n">
        <x:f>IF(B190=$A$5,$B$5,IF(B190=$A$6,$B$6,$B$7))</x:f>
        <x:v>0.5</x:v>
      </x:c>
      <x:c r="I190" s="56" t="n">
        <x:f>IF(B190=$A$5,$C$5,IF(B190=$A$6,$C$6,$C$7))</x:f>
        <x:v>16</x:v>
      </x:c>
      <x:c r="J190" s="59" t="n">
        <x:f>H190/(I190*G190)</x:f>
        <x:v>0.003472222222222222</x:v>
      </x:c>
      <x:c r="K190" s="60" t="n">
        <x:f>J190*'Summary'!$B$5</x:f>
        <x:v>0.6944444444444444</x:v>
      </x:c>
    </x:row>
    <x:row r="191">
      <x:c r="A191" s="56" t="n">
        <x:v>179</x:v>
      </x:c>
      <x:c r="B191" s="54" t="str">
        <x:v>generic_mask</x:v>
      </x:c>
      <x:c r="C191" s="54" t="str">
        <x:v>glass spice container</x:v>
      </x:c>
      <x:c r="D191" s="54" t="str">
        <x:v>closed</x:v>
      </x:c>
      <x:c r="E191" s="54" t="str">
        <x:v>upright</x:v>
      </x:c>
      <x:c r="F191" s="55" t="str">
        <x:v>generic_mask|glass_spice_container|closed|right_side_up</x:v>
      </x:c>
      <x:c r="G191" s="56" t="n">
        <x:v>20</x:v>
      </x:c>
      <x:c r="H191" s="58" t="n">
        <x:f>IF(B191=$A$5,$B$5,IF(B191=$A$6,$B$6,$B$7))</x:f>
        <x:v>0.5</x:v>
      </x:c>
      <x:c r="I191" s="56" t="n">
        <x:f>IF(B191=$A$5,$C$5,IF(B191=$A$6,$C$6,$C$7))</x:f>
        <x:v>16</x:v>
      </x:c>
      <x:c r="J191" s="59" t="n">
        <x:f>H191/(I191*G191)</x:f>
        <x:v>0.0015625</x:v>
      </x:c>
      <x:c r="K191" s="60" t="n">
        <x:f>J191*'Summary'!$B$5</x:f>
        <x:v>0.3125</x:v>
      </x:c>
    </x:row>
    <x:row r="192">
      <x:c r="A192" s="56" t="n">
        <x:v>180</x:v>
      </x:c>
      <x:c r="B192" s="54" t="str">
        <x:v>explicit_seen_open</x:v>
      </x:c>
      <x:c r="C192" s="54" t="str">
        <x:v>glass spice container</x:v>
      </x:c>
      <x:c r="D192" s="54" t="str">
        <x:v>open</x:v>
      </x:c>
      <x:c r="E192" s="54" t="str">
        <x:v>upright</x:v>
      </x:c>
      <x:c r="F192" s="55" t="str">
        <x:v>explicit_seen_open|glass_spice_container|right_side_up</x:v>
      </x:c>
      <x:c r="G192" s="56" t="n">
        <x:v>9</x:v>
      </x:c>
      <x:c r="H192" s="58" t="n">
        <x:f>IF(B192=$A$5,$B$5,IF(B192=$A$6,$B$6,$B$7))</x:f>
        <x:v>0.25</x:v>
      </x:c>
      <x:c r="I192" s="56" t="n">
        <x:f>IF(B192=$A$5,$C$5,IF(B192=$A$6,$C$6,$C$7))</x:f>
        <x:v>8</x:v>
      </x:c>
      <x:c r="J192" s="59" t="n">
        <x:f>H192/(I192*G192)</x:f>
        <x:v>0.003472222222222222</x:v>
      </x:c>
      <x:c r="K192" s="60" t="n">
        <x:f>J192*'Summary'!$B$5</x:f>
        <x:v>0.6944444444444444</x:v>
      </x:c>
    </x:row>
    <x:row r="193">
      <x:c r="A193" s="56" t="n">
        <x:v>181</x:v>
      </x:c>
      <x:c r="B193" s="54" t="str">
        <x:v>generic_mask</x:v>
      </x:c>
      <x:c r="C193" s="54" t="str">
        <x:v>glass spice container</x:v>
      </x:c>
      <x:c r="D193" s="54" t="str">
        <x:v>closed</x:v>
      </x:c>
      <x:c r="E193" s="54" t="str">
        <x:v>upside down</x:v>
      </x:c>
      <x:c r="F193" s="55" t="str">
        <x:v>generic_mask|glass_spice_container|closed|upside_down</x:v>
      </x:c>
      <x:c r="G193" s="56" t="n">
        <x:v>3</x:v>
      </x:c>
      <x:c r="H193" s="58" t="n">
        <x:f>IF(B193=$A$5,$B$5,IF(B193=$A$6,$B$6,$B$7))</x:f>
        <x:v>0.5</x:v>
      </x:c>
      <x:c r="I193" s="56" t="n">
        <x:f>IF(B193=$A$5,$C$5,IF(B193=$A$6,$C$6,$C$7))</x:f>
        <x:v>16</x:v>
      </x:c>
      <x:c r="J193" s="59" t="n">
        <x:f>H193/(I193*G193)</x:f>
        <x:v>0.010416666666666666</x:v>
      </x:c>
      <x:c r="K193" s="60" t="n">
        <x:f>J193*'Summary'!$B$5</x:f>
        <x:v>2.083333333333333</x:v>
      </x:c>
    </x:row>
    <x:row r="194">
      <x:c r="A194" s="56" t="n">
        <x:v>182</x:v>
      </x:c>
      <x:c r="B194" s="54" t="str">
        <x:v>generic_mask</x:v>
      </x:c>
      <x:c r="C194" s="54" t="str">
        <x:v>glass spice container</x:v>
      </x:c>
      <x:c r="D194" s="54" t="str">
        <x:v>open</x:v>
      </x:c>
      <x:c r="E194" s="54" t="str">
        <x:v>upright</x:v>
      </x:c>
      <x:c r="F194" s="55" t="str">
        <x:v>generic_mask|glass_spice_container|open|right_side_up</x:v>
      </x:c>
      <x:c r="G194" s="56" t="n">
        <x:v>9</x:v>
      </x:c>
      <x:c r="H194" s="58" t="n">
        <x:f>IF(B194=$A$5,$B$5,IF(B194=$A$6,$B$6,$B$7))</x:f>
        <x:v>0.5</x:v>
      </x:c>
      <x:c r="I194" s="56" t="n">
        <x:f>IF(B194=$A$5,$C$5,IF(B194=$A$6,$C$6,$C$7))</x:f>
        <x:v>16</x:v>
      </x:c>
      <x:c r="J194" s="59" t="n">
        <x:f>H194/(I194*G194)</x:f>
        <x:v>0.003472222222222222</x:v>
      </x:c>
      <x:c r="K194" s="60" t="n">
        <x:f>J194*'Summary'!$B$5</x:f>
        <x:v>0.6944444444444444</x:v>
      </x:c>
    </x:row>
    <x:row r="195">
      <x:c r="A195" s="56" t="n">
        <x:v>183</x:v>
      </x:c>
      <x:c r="B195" s="54" t="str">
        <x:v>generic_mask</x:v>
      </x:c>
      <x:c r="C195" s="54" t="str">
        <x:v>glass spice container</x:v>
      </x:c>
      <x:c r="D195" s="54" t="str">
        <x:v>closed</x:v>
      </x:c>
      <x:c r="E195" s="54" t="str">
        <x:v>upright</x:v>
      </x:c>
      <x:c r="F195" s="55" t="str">
        <x:v>generic_mask|glass_spice_container|closed|right_side_up</x:v>
      </x:c>
      <x:c r="G195" s="56" t="n">
        <x:v>20</x:v>
      </x:c>
      <x:c r="H195" s="58" t="n">
        <x:f>IF(B195=$A$5,$B$5,IF(B195=$A$6,$B$6,$B$7))</x:f>
        <x:v>0.5</x:v>
      </x:c>
      <x:c r="I195" s="56" t="n">
        <x:f>IF(B195=$A$5,$C$5,IF(B195=$A$6,$C$6,$C$7))</x:f>
        <x:v>16</x:v>
      </x:c>
      <x:c r="J195" s="59" t="n">
        <x:f>H195/(I195*G195)</x:f>
        <x:v>0.0015625</x:v>
      </x:c>
      <x:c r="K195" s="60" t="n">
        <x:f>J195*'Summary'!$B$5</x:f>
        <x:v>0.3125</x:v>
      </x:c>
    </x:row>
    <x:row r="196">
      <x:c r="A196" s="56" t="n">
        <x:v>184</x:v>
      </x:c>
      <x:c r="B196" s="54" t="str">
        <x:v>explicit_seen_open</x:v>
      </x:c>
      <x:c r="C196" s="54" t="str">
        <x:v>glass spice container</x:v>
      </x:c>
      <x:c r="D196" s="54" t="str">
        <x:v>open</x:v>
      </x:c>
      <x:c r="E196" s="54" t="str">
        <x:v>upside down</x:v>
      </x:c>
      <x:c r="F196" s="55" t="str">
        <x:v>explicit_seen_open|glass_spice_container|upside_down</x:v>
      </x:c>
      <x:c r="G196" s="56" t="n">
        <x:v>2</x:v>
      </x:c>
      <x:c r="H196" s="58" t="n">
        <x:f>IF(B196=$A$5,$B$5,IF(B196=$A$6,$B$6,$B$7))</x:f>
        <x:v>0.25</x:v>
      </x:c>
      <x:c r="I196" s="56" t="n">
        <x:f>IF(B196=$A$5,$C$5,IF(B196=$A$6,$C$6,$C$7))</x:f>
        <x:v>8</x:v>
      </x:c>
      <x:c r="J196" s="59" t="n">
        <x:f>H196/(I196*G196)</x:f>
        <x:v>0.015625</x:v>
      </x:c>
      <x:c r="K196" s="60" t="n">
        <x:f>J196*'Summary'!$B$5</x:f>
        <x:v>3.125</x:v>
      </x:c>
    </x:row>
    <x:row r="197">
      <x:c r="A197" s="56" t="n">
        <x:v>185</x:v>
      </x:c>
      <x:c r="B197" s="54" t="str">
        <x:v>generic_mask</x:v>
      </x:c>
      <x:c r="C197" s="54" t="str">
        <x:v>glass spice container</x:v>
      </x:c>
      <x:c r="D197" s="54" t="str">
        <x:v>closed</x:v>
      </x:c>
      <x:c r="E197" s="54" t="str">
        <x:v>upright</x:v>
      </x:c>
      <x:c r="F197" s="55" t="str">
        <x:v>generic_mask|glass_spice_container|closed|right_side_up</x:v>
      </x:c>
      <x:c r="G197" s="56" t="n">
        <x:v>20</x:v>
      </x:c>
      <x:c r="H197" s="58" t="n">
        <x:f>IF(B197=$A$5,$B$5,IF(B197=$A$6,$B$6,$B$7))</x:f>
        <x:v>0.5</x:v>
      </x:c>
      <x:c r="I197" s="56" t="n">
        <x:f>IF(B197=$A$5,$C$5,IF(B197=$A$6,$C$6,$C$7))</x:f>
        <x:v>16</x:v>
      </x:c>
      <x:c r="J197" s="59" t="n">
        <x:f>H197/(I197*G197)</x:f>
        <x:v>0.0015625</x:v>
      </x:c>
      <x:c r="K197" s="60" t="n">
        <x:f>J197*'Summary'!$B$5</x:f>
        <x:v>0.3125</x:v>
      </x:c>
    </x:row>
    <x:row r="198">
      <x:c r="A198" s="56" t="n">
        <x:v>186</x:v>
      </x:c>
      <x:c r="B198" s="54" t="str">
        <x:v>generic_mask</x:v>
      </x:c>
      <x:c r="C198" s="54" t="str">
        <x:v>glass spice container</x:v>
      </x:c>
      <x:c r="D198" s="54" t="str">
        <x:v>open</x:v>
      </x:c>
      <x:c r="E198" s="54" t="str">
        <x:v>upside down</x:v>
      </x:c>
      <x:c r="F198" s="55" t="str">
        <x:v>generic_mask|glass_spice_container|open|upside_down</x:v>
      </x:c>
      <x:c r="G198" s="56" t="n">
        <x:v>3</x:v>
      </x:c>
      <x:c r="H198" s="58" t="n">
        <x:f>IF(B198=$A$5,$B$5,IF(B198=$A$6,$B$6,$B$7))</x:f>
        <x:v>0.5</x:v>
      </x:c>
      <x:c r="I198" s="56" t="n">
        <x:f>IF(B198=$A$5,$C$5,IF(B198=$A$6,$C$6,$C$7))</x:f>
        <x:v>16</x:v>
      </x:c>
      <x:c r="J198" s="59" t="n">
        <x:f>H198/(I198*G198)</x:f>
        <x:v>0.010416666666666666</x:v>
      </x:c>
      <x:c r="K198" s="60" t="n">
        <x:f>J198*'Summary'!$B$5</x:f>
        <x:v>2.083333333333333</x:v>
      </x:c>
    </x:row>
    <x:row r="199">
      <x:c r="A199" s="56" t="n">
        <x:v>187</x:v>
      </x:c>
      <x:c r="B199" s="54" t="str">
        <x:v>explicit_seen_upside_down</x:v>
      </x:c>
      <x:c r="C199" s="54" t="str">
        <x:v>glass spice container</x:v>
      </x:c>
      <x:c r="D199" s="54" t="str">
        <x:v>closed</x:v>
      </x:c>
      <x:c r="E199" s="54" t="str">
        <x:v>upside down</x:v>
      </x:c>
      <x:c r="F199" s="55" t="str">
        <x:v>explicit_seen_upside_down|glass_spice_container|closed</x:v>
      </x:c>
      <x:c r="G199" s="56" t="n">
        <x:v>3</x:v>
      </x:c>
      <x:c r="H199" s="58" t="n">
        <x:f>IF(B199=$A$5,$B$5,IF(B199=$A$6,$B$6,$B$7))</x:f>
        <x:v>0.25</x:v>
      </x:c>
      <x:c r="I199" s="56" t="n">
        <x:f>IF(B199=$A$5,$C$5,IF(B199=$A$6,$C$6,$C$7))</x:f>
        <x:v>8</x:v>
      </x:c>
      <x:c r="J199" s="59" t="n">
        <x:f>H199/(I199*G199)</x:f>
        <x:v>0.010416666666666666</x:v>
      </x:c>
      <x:c r="K199" s="60" t="n">
        <x:f>J199*'Summary'!$B$5</x:f>
        <x:v>2.083333333333333</x:v>
      </x:c>
    </x:row>
    <x:row r="200">
      <x:c r="A200" s="56" t="n">
        <x:v>188</x:v>
      </x:c>
      <x:c r="B200" s="54" t="str">
        <x:v>explicit_seen_open</x:v>
      </x:c>
      <x:c r="C200" s="54" t="str">
        <x:v>glass spice container</x:v>
      </x:c>
      <x:c r="D200" s="54" t="str">
        <x:v>open</x:v>
      </x:c>
      <x:c r="E200" s="54" t="str">
        <x:v>upright</x:v>
      </x:c>
      <x:c r="F200" s="55" t="str">
        <x:v>explicit_seen_open|glass_spice_container|right_side_up</x:v>
      </x:c>
      <x:c r="G200" s="56" t="n">
        <x:v>9</x:v>
      </x:c>
      <x:c r="H200" s="58" t="n">
        <x:f>IF(B200=$A$5,$B$5,IF(B200=$A$6,$B$6,$B$7))</x:f>
        <x:v>0.25</x:v>
      </x:c>
      <x:c r="I200" s="56" t="n">
        <x:f>IF(B200=$A$5,$C$5,IF(B200=$A$6,$C$6,$C$7))</x:f>
        <x:v>8</x:v>
      </x:c>
      <x:c r="J200" s="59" t="n">
        <x:f>H200/(I200*G200)</x:f>
        <x:v>0.003472222222222222</x:v>
      </x:c>
      <x:c r="K200" s="60" t="n">
        <x:f>J200*'Summary'!$B$5</x:f>
        <x:v>0.6944444444444444</x:v>
      </x:c>
    </x:row>
    <x:row r="201">
      <x:c r="A201" s="56" t="n">
        <x:v>189</x:v>
      </x:c>
      <x:c r="B201" s="54" t="str">
        <x:v>generic_mask</x:v>
      </x:c>
      <x:c r="C201" s="54" t="str">
        <x:v>glass spice container</x:v>
      </x:c>
      <x:c r="D201" s="54" t="str">
        <x:v>closed</x:v>
      </x:c>
      <x:c r="E201" s="54" t="str">
        <x:v>upside down</x:v>
      </x:c>
      <x:c r="F201" s="55" t="str">
        <x:v>generic_mask|glass_spice_container|closed|upside_down</x:v>
      </x:c>
      <x:c r="G201" s="56" t="n">
        <x:v>3</x:v>
      </x:c>
      <x:c r="H201" s="58" t="n">
        <x:f>IF(B201=$A$5,$B$5,IF(B201=$A$6,$B$6,$B$7))</x:f>
        <x:v>0.5</x:v>
      </x:c>
      <x:c r="I201" s="56" t="n">
        <x:f>IF(B201=$A$5,$C$5,IF(B201=$A$6,$C$6,$C$7))</x:f>
        <x:v>16</x:v>
      </x:c>
      <x:c r="J201" s="59" t="n">
        <x:f>H201/(I201*G201)</x:f>
        <x:v>0.010416666666666666</x:v>
      </x:c>
      <x:c r="K201" s="60" t="n">
        <x:f>J201*'Summary'!$B$5</x:f>
        <x:v>2.083333333333333</x:v>
      </x:c>
    </x:row>
    <x:row r="202">
      <x:c r="A202" s="56" t="n">
        <x:v>190</x:v>
      </x:c>
      <x:c r="B202" s="54" t="str">
        <x:v>explicit_seen_upside_down</x:v>
      </x:c>
      <x:c r="C202" s="54" t="str">
        <x:v>glass spice container</x:v>
      </x:c>
      <x:c r="D202" s="54" t="str">
        <x:v>open</x:v>
      </x:c>
      <x:c r="E202" s="54" t="str">
        <x:v>upside down</x:v>
      </x:c>
      <x:c r="F202" s="55" t="str">
        <x:v>explicit_seen_upside_down|glass_spice_container|open</x:v>
      </x:c>
      <x:c r="G202" s="56" t="n">
        <x:v>1</x:v>
      </x:c>
      <x:c r="H202" s="58" t="n">
        <x:f>IF(B202=$A$5,$B$5,IF(B202=$A$6,$B$6,$B$7))</x:f>
        <x:v>0.25</x:v>
      </x:c>
      <x:c r="I202" s="56" t="n">
        <x:f>IF(B202=$A$5,$C$5,IF(B202=$A$6,$C$6,$C$7))</x:f>
        <x:v>8</x:v>
      </x:c>
      <x:c r="J202" s="59" t="n">
        <x:f>H202/(I202*G202)</x:f>
        <x:v>0.03125</x:v>
      </x:c>
      <x:c r="K202" s="60" t="n">
        <x:f>J202*'Summary'!$B$5</x:f>
        <x:v>6.25</x:v>
      </x:c>
    </x:row>
    <x:row r="203">
      <x:c r="A203" s="56" t="n">
        <x:v>191</x:v>
      </x:c>
      <x:c r="B203" s="54" t="str">
        <x:v>generic_mask</x:v>
      </x:c>
      <x:c r="C203" s="54" t="str">
        <x:v>glass spice container</x:v>
      </x:c>
      <x:c r="D203" s="54" t="str">
        <x:v>closed</x:v>
      </x:c>
      <x:c r="E203" s="54" t="str">
        <x:v>upright</x:v>
      </x:c>
      <x:c r="F203" s="55" t="str">
        <x:v>generic_mask|glass_spice_container|closed|right_side_up</x:v>
      </x:c>
      <x:c r="G203" s="56" t="n">
        <x:v>20</x:v>
      </x:c>
      <x:c r="H203" s="58" t="n">
        <x:f>IF(B203=$A$5,$B$5,IF(B203=$A$6,$B$6,$B$7))</x:f>
        <x:v>0.5</x:v>
      </x:c>
      <x:c r="I203" s="56" t="n">
        <x:f>IF(B203=$A$5,$C$5,IF(B203=$A$6,$C$6,$C$7))</x:f>
        <x:v>16</x:v>
      </x:c>
      <x:c r="J203" s="59" t="n">
        <x:f>H203/(I203*G203)</x:f>
        <x:v>0.0015625</x:v>
      </x:c>
      <x:c r="K203" s="60" t="n">
        <x:f>J203*'Summary'!$B$5</x:f>
        <x:v>0.3125</x:v>
      </x:c>
    </x:row>
    <x:row r="204">
      <x:c r="A204" s="56" t="n">
        <x:v>192</x:v>
      </x:c>
      <x:c r="B204" s="54" t="str">
        <x:v>generic_mask</x:v>
      </x:c>
      <x:c r="C204" s="54" t="str">
        <x:v>glass spice container</x:v>
      </x:c>
      <x:c r="D204" s="54" t="str">
        <x:v>open</x:v>
      </x:c>
      <x:c r="E204" s="54" t="str">
        <x:v>upside down</x:v>
      </x:c>
      <x:c r="F204" s="55" t="str">
        <x:v>generic_mask|glass_spice_container|open|upside_down</x:v>
      </x:c>
      <x:c r="G204" s="56" t="n">
        <x:v>3</x:v>
      </x:c>
      <x:c r="H204" s="58" t="n">
        <x:f>IF(B204=$A$5,$B$5,IF(B204=$A$6,$B$6,$B$7))</x:f>
        <x:v>0.5</x:v>
      </x:c>
      <x:c r="I204" s="56" t="n">
        <x:f>IF(B204=$A$5,$C$5,IF(B204=$A$6,$C$6,$C$7))</x:f>
        <x:v>16</x:v>
      </x:c>
      <x:c r="J204" s="59" t="n">
        <x:f>H204/(I204*G204)</x:f>
        <x:v>0.010416666666666666</x:v>
      </x:c>
      <x:c r="K204" s="60" t="n">
        <x:f>J204*'Summary'!$B$5</x:f>
        <x:v>2.083333333333333</x:v>
      </x:c>
    </x:row>
    <x:row r="205">
      <x:c r="A205" s="56" t="n">
        <x:v>193</x:v>
      </x:c>
      <x:c r="B205" s="54" t="str">
        <x:v>generic_mask</x:v>
      </x:c>
      <x:c r="C205" s="54" t="str">
        <x:v>glass spice container</x:v>
      </x:c>
      <x:c r="D205" s="54" t="str">
        <x:v>closed</x:v>
      </x:c>
      <x:c r="E205" s="54" t="str">
        <x:v>upright</x:v>
      </x:c>
      <x:c r="F205" s="55" t="str">
        <x:v>generic_mask|glass_spice_container|closed|right_side_up</x:v>
      </x:c>
      <x:c r="G205" s="56" t="n">
        <x:v>20</x:v>
      </x:c>
      <x:c r="H205" s="58" t="n">
        <x:f>IF(B205=$A$5,$B$5,IF(B205=$A$6,$B$6,$B$7))</x:f>
        <x:v>0.5</x:v>
      </x:c>
      <x:c r="I205" s="56" t="n">
        <x:f>IF(B205=$A$5,$C$5,IF(B205=$A$6,$C$6,$C$7))</x:f>
        <x:v>16</x:v>
      </x:c>
      <x:c r="J205" s="59" t="n">
        <x:f>H205/(I205*G205)</x:f>
        <x:v>0.0015625</x:v>
      </x:c>
      <x:c r="K205" s="60" t="n">
        <x:f>J205*'Summary'!$B$5</x:f>
        <x:v>0.3125</x:v>
      </x:c>
    </x:row>
    <x:row r="206">
      <x:c r="A206" s="56" t="n">
        <x:v>194</x:v>
      </x:c>
      <x:c r="B206" s="54" t="str">
        <x:v>generic_mask</x:v>
      </x:c>
      <x:c r="C206" s="54" t="str">
        <x:v>glass spice container</x:v>
      </x:c>
      <x:c r="D206" s="54" t="str">
        <x:v>open</x:v>
      </x:c>
      <x:c r="E206" s="54" t="str">
        <x:v>upright</x:v>
      </x:c>
      <x:c r="F206" s="55" t="str">
        <x:v>generic_mask|glass_spice_container|open|right_side_up</x:v>
      </x:c>
      <x:c r="G206" s="56" t="n">
        <x:v>9</x:v>
      </x:c>
      <x:c r="H206" s="58" t="n">
        <x:f>IF(B206=$A$5,$B$5,IF(B206=$A$6,$B$6,$B$7))</x:f>
        <x:v>0.5</x:v>
      </x:c>
      <x:c r="I206" s="56" t="n">
        <x:f>IF(B206=$A$5,$C$5,IF(B206=$A$6,$C$6,$C$7))</x:f>
        <x:v>16</x:v>
      </x:c>
      <x:c r="J206" s="59" t="n">
        <x:f>H206/(I206*G206)</x:f>
        <x:v>0.003472222222222222</x:v>
      </x:c>
      <x:c r="K206" s="60" t="n">
        <x:f>J206*'Summary'!$B$5</x:f>
        <x:v>0.6944444444444444</x:v>
      </x:c>
    </x:row>
    <x:row r="207">
      <x:c r="A207" s="56" t="n">
        <x:v>195</x:v>
      </x:c>
      <x:c r="B207" s="54" t="str">
        <x:v>generic_mask</x:v>
      </x:c>
      <x:c r="C207" s="54" t="str">
        <x:v>glass spice container</x:v>
      </x:c>
      <x:c r="D207" s="54" t="str">
        <x:v>closed</x:v>
      </x:c>
      <x:c r="E207" s="54" t="str">
        <x:v>upright</x:v>
      </x:c>
      <x:c r="F207" s="55" t="str">
        <x:v>generic_mask|glass_spice_container|closed|right_side_up</x:v>
      </x:c>
      <x:c r="G207" s="56" t="n">
        <x:v>20</x:v>
      </x:c>
      <x:c r="H207" s="58" t="n">
        <x:f>IF(B207=$A$5,$B$5,IF(B207=$A$6,$B$6,$B$7))</x:f>
        <x:v>0.5</x:v>
      </x:c>
      <x:c r="I207" s="56" t="n">
        <x:f>IF(B207=$A$5,$C$5,IF(B207=$A$6,$C$6,$C$7))</x:f>
        <x:v>16</x:v>
      </x:c>
      <x:c r="J207" s="59" t="n">
        <x:f>H207/(I207*G207)</x:f>
        <x:v>0.0015625</x:v>
      </x:c>
      <x:c r="K207" s="60" t="n">
        <x:f>J207*'Summary'!$B$5</x:f>
        <x:v>0.3125</x:v>
      </x:c>
    </x:row>
    <x:row r="208">
      <x:c r="A208" s="56" t="n">
        <x:v>196</x:v>
      </x:c>
      <x:c r="B208" s="54" t="str">
        <x:v>explicit_seen_open</x:v>
      </x:c>
      <x:c r="C208" s="54" t="str">
        <x:v>glass spice container</x:v>
      </x:c>
      <x:c r="D208" s="54" t="str">
        <x:v>open</x:v>
      </x:c>
      <x:c r="E208" s="54" t="str">
        <x:v>upside down</x:v>
      </x:c>
      <x:c r="F208" s="55" t="str">
        <x:v>explicit_seen_open|glass_spice_container|upside_down</x:v>
      </x:c>
      <x:c r="G208" s="56" t="n">
        <x:v>2</x:v>
      </x:c>
      <x:c r="H208" s="58" t="n">
        <x:f>IF(B208=$A$5,$B$5,IF(B208=$A$6,$B$6,$B$7))</x:f>
        <x:v>0.25</x:v>
      </x:c>
      <x:c r="I208" s="56" t="n">
        <x:f>IF(B208=$A$5,$C$5,IF(B208=$A$6,$C$6,$C$7))</x:f>
        <x:v>8</x:v>
      </x:c>
      <x:c r="J208" s="59" t="n">
        <x:f>H208/(I208*G208)</x:f>
        <x:v>0.015625</x:v>
      </x:c>
      <x:c r="K208" s="60" t="n">
        <x:f>J208*'Summary'!$B$5</x:f>
        <x:v>3.125</x:v>
      </x:c>
    </x:row>
    <x:row r="209">
      <x:c r="A209" s="56" t="n">
        <x:v>197</x:v>
      </x:c>
      <x:c r="B209" s="54" t="str">
        <x:v>generic_mask</x:v>
      </x:c>
      <x:c r="C209" s="54" t="str">
        <x:v>glass spice container</x:v>
      </x:c>
      <x:c r="D209" s="54" t="str">
        <x:v>closed</x:v>
      </x:c>
      <x:c r="E209" s="54" t="str">
        <x:v>upright</x:v>
      </x:c>
      <x:c r="F209" s="55" t="str">
        <x:v>generic_mask|glass_spice_container|closed|right_side_up</x:v>
      </x:c>
      <x:c r="G209" s="56" t="n">
        <x:v>20</x:v>
      </x:c>
      <x:c r="H209" s="58" t="n">
        <x:f>IF(B209=$A$5,$B$5,IF(B209=$A$6,$B$6,$B$7))</x:f>
        <x:v>0.5</x:v>
      </x:c>
      <x:c r="I209" s="56" t="n">
        <x:f>IF(B209=$A$5,$C$5,IF(B209=$A$6,$C$6,$C$7))</x:f>
        <x:v>16</x:v>
      </x:c>
      <x:c r="J209" s="59" t="n">
        <x:f>H209/(I209*G209)</x:f>
        <x:v>0.0015625</x:v>
      </x:c>
      <x:c r="K209" s="60" t="n">
        <x:f>J209*'Summary'!$B$5</x:f>
        <x:v>0.3125</x:v>
      </x:c>
    </x:row>
    <x:row r="210">
      <x:c r="A210" s="56" t="n">
        <x:v>198</x:v>
      </x:c>
      <x:c r="B210" s="54" t="str">
        <x:v>explicit_seen_open</x:v>
      </x:c>
      <x:c r="C210" s="54" t="str">
        <x:v>glass spice container</x:v>
      </x:c>
      <x:c r="D210" s="54" t="str">
        <x:v>open</x:v>
      </x:c>
      <x:c r="E210" s="54" t="str">
        <x:v>upright</x:v>
      </x:c>
      <x:c r="F210" s="55" t="str">
        <x:v>explicit_seen_open|glass_spice_container|right_side_up</x:v>
      </x:c>
      <x:c r="G210" s="56" t="n">
        <x:v>9</x:v>
      </x:c>
      <x:c r="H210" s="58" t="n">
        <x:f>IF(B210=$A$5,$B$5,IF(B210=$A$6,$B$6,$B$7))</x:f>
        <x:v>0.25</x:v>
      </x:c>
      <x:c r="I210" s="56" t="n">
        <x:f>IF(B210=$A$5,$C$5,IF(B210=$A$6,$C$6,$C$7))</x:f>
        <x:v>8</x:v>
      </x:c>
      <x:c r="J210" s="59" t="n">
        <x:f>H210/(I210*G210)</x:f>
        <x:v>0.003472222222222222</x:v>
      </x:c>
      <x:c r="K210" s="60" t="n">
        <x:f>J210*'Summary'!$B$5</x:f>
        <x:v>0.6944444444444444</x:v>
      </x:c>
    </x:row>
    <x:row r="211">
      <x:c r="A211" s="56" t="n">
        <x:v>199</x:v>
      </x:c>
      <x:c r="B211" s="54" t="str">
        <x:v>explicit_seen_upside_down</x:v>
      </x:c>
      <x:c r="C211" s="54" t="str">
        <x:v>glass spice container</x:v>
      </x:c>
      <x:c r="D211" s="54" t="str">
        <x:v>closed</x:v>
      </x:c>
      <x:c r="E211" s="54" t="str">
        <x:v>upside down</x:v>
      </x:c>
      <x:c r="F211" s="55" t="str">
        <x:v>explicit_seen_upside_down|glass_spice_container|closed</x:v>
      </x:c>
      <x:c r="G211" s="56" t="n">
        <x:v>3</x:v>
      </x:c>
      <x:c r="H211" s="58" t="n">
        <x:f>IF(B211=$A$5,$B$5,IF(B211=$A$6,$B$6,$B$7))</x:f>
        <x:v>0.25</x:v>
      </x:c>
      <x:c r="I211" s="56" t="n">
        <x:f>IF(B211=$A$5,$C$5,IF(B211=$A$6,$C$6,$C$7))</x:f>
        <x:v>8</x:v>
      </x:c>
      <x:c r="J211" s="59" t="n">
        <x:f>H211/(I211*G211)</x:f>
        <x:v>0.010416666666666666</x:v>
      </x:c>
      <x:c r="K211" s="60" t="n">
        <x:f>J211*'Summary'!$B$5</x:f>
        <x:v>2.083333333333333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46a817d9f9046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5" hidden="0" customWidth="1"/>
    <x:col min="3" max="3" width="58" hidden="0" customWidth="1"/>
    <x:col min="4" max="4" width="34" hidden="0" customWidth="1"/>
    <x:col min="5" max="5" width="28" hidden="0" customWidth="1"/>
    <x:col min="6" max="6" width="14" hidden="0" customWidth="1"/>
    <x:col min="7" max="7" width="18" hidden="0" customWidth="1"/>
    <x:col min="8" max="8" width="105" hidden="0" customWidth="1"/>
    <x:col min="9" max="9" width="44" hidden="0" customWidth="1"/>
    <x:col min="10" max="10" width="38" hidden="0" customWidth="1"/>
  </x:cols>
  <x:sheetData>
    <x:row r="1" ht="30" customHeight="1">
      <x:c r="A1" s="3" t="str">
        <x:v>Source annotations and audit trail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34" customHeight="1">
      <x:c r="A2" s="7" t="str">
        <x:v>Processed copy only. The original manifest and Hugging Face datasets were not modified. Previous prompts may contain held-out words and are not training inputs in this design.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4" ht="30" customHeight="1">
      <x:c r="A4" s="16" t="str">
        <x:v>Episode</x:v>
      </x:c>
      <x:c r="B4" s="29" t="str">
        <x:v>Source task</x:v>
      </x:c>
      <x:c r="C4" s="29" t="str">
        <x:v>Previous assigned prompt</x:v>
      </x:c>
      <x:c r="D4" s="29" t="str">
        <x:v>Target ID</x:v>
      </x:c>
      <x:c r="E4" s="29" t="str">
        <x:v>Target category</x:v>
      </x:c>
      <x:c r="F4" s="29" t="str">
        <x:v>State</x:v>
      </x:c>
      <x:c r="G4" s="29" t="str">
        <x:v>Orientation</x:v>
      </x:c>
      <x:c r="H4" s="29" t="str">
        <x:v>Scene summary</x:v>
      </x:c>
      <x:c r="I4" s="29" t="str">
        <x:v>Source revision</x:v>
      </x:c>
      <x:c r="J4" s="17" t="str">
        <x:v>Previous file warning</x:v>
      </x:c>
    </x:row>
    <x:row r="5">
      <x:c r="A5" s="56" t="n">
        <x:v>0</x:v>
      </x:c>
      <x:c r="B5" s="55" t="str">
        <x:v>Put a white cup in the bowl.</x:v>
      </x:c>
      <x:c r="C5" s="55" t="str">
        <x:v>Pick up the white cup that is closed and right-side-up, then place it in the bowl.</x:v>
      </x:c>
      <x:c r="D5" s="54" t="str">
        <x:v>white_cup_b</x:v>
      </x:c>
      <x:c r="E5" s="54" t="str">
        <x:v>white cup</x:v>
      </x:c>
      <x:c r="F5" s="54" t="str">
        <x:v>closed</x:v>
      </x:c>
      <x:c r="G5" s="54" t="str">
        <x:v>upright</x:v>
      </x:c>
      <x:c r="H5" s="55" t="str">
        <x:v>white cup B: closed, upright | white cup A: open, upright | yellow-white striped cup A: closed, upright | brown cup B: closed, upright</x:v>
      </x:c>
      <x:c r="I5" s="55" t="str">
        <x:v>168e12e735da9ad62716dca89cff660b53082cc3</x:v>
      </x:c>
      <x:c r="J5" s="55" t="str">
        <x:v>Audit only — do not pass previous prompt to the model.</x:v>
      </x:c>
    </x:row>
    <x:row r="6">
      <x:c r="A6" s="56" t="n">
        <x:v>1</x:v>
      </x:c>
      <x:c r="B6" s="55" t="str">
        <x:v>Put a white cup in the bowl.</x:v>
      </x:c>
      <x:c r="C6" s="55" t="str">
        <x:v>Pick up the white cup that is open and right-side-up, then place it in the bowl.</x:v>
      </x:c>
      <x:c r="D6" s="54" t="str">
        <x:v>white_cup_b</x:v>
      </x:c>
      <x:c r="E6" s="54" t="str">
        <x:v>white cup</x:v>
      </x:c>
      <x:c r="F6" s="54" t="str">
        <x:v>open</x:v>
      </x:c>
      <x:c r="G6" s="54" t="str">
        <x:v>upright</x:v>
      </x:c>
      <x:c r="H6" s="55" t="str">
        <x:v>white cup B: open, upright | white cup A: closed, upright | brown cup B: open, upright</x:v>
      </x:c>
      <x:c r="I6" s="55" t="str">
        <x:v>168e12e735da9ad62716dca89cff660b53082cc3</x:v>
      </x:c>
      <x:c r="J6" s="55" t="str">
        <x:v>Audit only — do not pass previous prompt to the model.</x:v>
      </x:c>
    </x:row>
    <x:row r="7">
      <x:c r="A7" s="56" t="n">
        <x:v>2</x:v>
      </x:c>
      <x:c r="B7" s="55" t="str">
        <x:v>Put a white cup in the bowl.</x:v>
      </x:c>
      <x:c r="C7" s="55" t="str">
        <x:v>Move the open white cup that is right-side-up into the bowl.</x:v>
      </x:c>
      <x:c r="D7" s="54" t="str">
        <x:v>white_cup_a</x:v>
      </x:c>
      <x:c r="E7" s="54" t="str">
        <x:v>white cup</x:v>
      </x:c>
      <x:c r="F7" s="54" t="str">
        <x:v>open</x:v>
      </x:c>
      <x:c r="G7" s="54" t="str">
        <x:v>upright</x:v>
      </x:c>
      <x:c r="H7" s="55" t="str">
        <x:v>white cup A: open, upright | white cup B: closed, upright | glass spice container A: open, upright | yellow-white striped cup B: open, upright</x:v>
      </x:c>
      <x:c r="I7" s="55" t="str">
        <x:v>168e12e735da9ad62716dca89cff660b53082cc3</x:v>
      </x:c>
      <x:c r="J7" s="55" t="str">
        <x:v>Audit only — do not pass previous prompt to the model.</x:v>
      </x:c>
    </x:row>
    <x:row r="8">
      <x:c r="A8" s="56" t="n">
        <x:v>3</x:v>
      </x:c>
      <x:c r="B8" s="55" t="str">
        <x:v>Put a white cup in the bowl.</x:v>
      </x:c>
      <x:c r="C8" s="55" t="str">
        <x:v>Pick up the white cup that is closed and right-side-up, then place it in the bowl.</x:v>
      </x:c>
      <x:c r="D8" s="54" t="str">
        <x:v>white_cup_a</x:v>
      </x:c>
      <x:c r="E8" s="54" t="str">
        <x:v>white cup</x:v>
      </x:c>
      <x:c r="F8" s="54" t="str">
        <x:v>closed</x:v>
      </x:c>
      <x:c r="G8" s="54" t="str">
        <x:v>upright</x:v>
      </x:c>
      <x:c r="H8" s="55" t="str">
        <x:v>white cup A: closed, upright | white cup B: open, upright | yellow-white striped cup B: open, upright | brown cup A: open, upright</x:v>
      </x:c>
      <x:c r="I8" s="55" t="str">
        <x:v>168e12e735da9ad62716dca89cff660b53082cc3</x:v>
      </x:c>
      <x:c r="J8" s="55" t="str">
        <x:v>Audit only — do not pass previous prompt to the model.</x:v>
      </x:c>
    </x:row>
    <x:row r="9">
      <x:c r="A9" s="56" t="n">
        <x:v>4</x:v>
      </x:c>
      <x:c r="B9" s="55" t="str">
        <x:v>Put a white cup in the bowl.</x:v>
      </x:c>
      <x:c r="C9" s="55" t="str">
        <x:v>Put the closed, right-side-up white cup in the bowl.</x:v>
      </x:c>
      <x:c r="D9" s="54" t="str">
        <x:v>white_cup_b</x:v>
      </x:c>
      <x:c r="E9" s="54" t="str">
        <x:v>white cup</x:v>
      </x:c>
      <x:c r="F9" s="54" t="str">
        <x:v>closed</x:v>
      </x:c>
      <x:c r="G9" s="54" t="str">
        <x:v>upright</x:v>
      </x:c>
      <x:c r="H9" s="55" t="str">
        <x:v>white cup B: closed, upright | yellow-white striped cup A: open, upright | brown cup A: open, upright</x:v>
      </x:c>
      <x:c r="I9" s="55" t="str">
        <x:v>168e12e735da9ad62716dca89cff660b53082cc3</x:v>
      </x:c>
      <x:c r="J9" s="55" t="str">
        <x:v>Audit only — do not pass previous prompt to the model.</x:v>
      </x:c>
    </x:row>
    <x:row r="10">
      <x:c r="A10" s="56" t="n">
        <x:v>5</x:v>
      </x:c>
      <x:c r="B10" s="55" t="str">
        <x:v>Put a white cup in the bowl.</x:v>
      </x:c>
      <x:c r="C10" s="55" t="str">
        <x:v>Pick up the white cup that is open and right-side-up, then place it in the bowl.</x:v>
      </x:c>
      <x:c r="D10" s="54" t="str">
        <x:v>white_cup_b</x:v>
      </x:c>
      <x:c r="E10" s="54" t="str">
        <x:v>white cup</x:v>
      </x:c>
      <x:c r="F10" s="54" t="str">
        <x:v>open</x:v>
      </x:c>
      <x:c r="G10" s="54" t="str">
        <x:v>upright</x:v>
      </x:c>
      <x:c r="H10" s="55" t="str">
        <x:v>white cup B: open, upright | brown cup A: closed, upright | glass spice container A: closed, upright</x:v>
      </x:c>
      <x:c r="I10" s="55" t="str">
        <x:v>168e12e735da9ad62716dca89cff660b53082cc3</x:v>
      </x:c>
      <x:c r="J10" s="55" t="str">
        <x:v>Audit only — do not pass previous prompt to the model.</x:v>
      </x:c>
    </x:row>
    <x:row r="11">
      <x:c r="A11" s="56" t="n">
        <x:v>6</x:v>
      </x:c>
      <x:c r="B11" s="55" t="str">
        <x:v>Put a white cup in the bowl.</x:v>
      </x:c>
      <x:c r="C11" s="55" t="str">
        <x:v>Move the closed white cup that is right-side-up into the bowl.</x:v>
      </x:c>
      <x:c r="D11" s="54" t="str">
        <x:v>white_cup_b</x:v>
      </x:c>
      <x:c r="E11" s="54" t="str">
        <x:v>white cup</x:v>
      </x:c>
      <x:c r="F11" s="54" t="str">
        <x:v>closed</x:v>
      </x:c>
      <x:c r="G11" s="54" t="str">
        <x:v>upright</x:v>
      </x:c>
      <x:c r="H11" s="55" t="str">
        <x:v>white cup B: closed, upright | white cup A: open, upright | yellow-white striped cup A: closed, upright | brown cup B: closed, upright</x:v>
      </x:c>
      <x:c r="I11" s="55" t="str">
        <x:v>168e12e735da9ad62716dca89cff660b53082cc3</x:v>
      </x:c>
      <x:c r="J11" s="55" t="str">
        <x:v>Audit only — do not pass previous prompt to the model.</x:v>
      </x:c>
    </x:row>
    <x:row r="12">
      <x:c r="A12" s="56" t="n">
        <x:v>7</x:v>
      </x:c>
      <x:c r="B12" s="55" t="str">
        <x:v>Put a white cup in the bowl.</x:v>
      </x:c>
      <x:c r="C12" s="55" t="str">
        <x:v>Pick up the white cup that is closed and right-side-up, then place it in the bowl.</x:v>
      </x:c>
      <x:c r="D12" s="54" t="str">
        <x:v>white_cup_a</x:v>
      </x:c>
      <x:c r="E12" s="54" t="str">
        <x:v>white cup</x:v>
      </x:c>
      <x:c r="F12" s="54" t="str">
        <x:v>closed</x:v>
      </x:c>
      <x:c r="G12" s="54" t="str">
        <x:v>upright</x:v>
      </x:c>
      <x:c r="H12" s="55" t="str">
        <x:v>white cup A: closed, upright | white cup B: open, upright | brown cup B: open, upright</x:v>
      </x:c>
      <x:c r="I12" s="55" t="str">
        <x:v>168e12e735da9ad62716dca89cff660b53082cc3</x:v>
      </x:c>
      <x:c r="J12" s="55" t="str">
        <x:v>Audit only — do not pass previous prompt to the model.</x:v>
      </x:c>
    </x:row>
    <x:row r="13">
      <x:c r="A13" s="56" t="n">
        <x:v>8</x:v>
      </x:c>
      <x:c r="B13" s="55" t="str">
        <x:v>Put a white cup in the bowl.</x:v>
      </x:c>
      <x:c r="C13" s="55" t="str">
        <x:v>Pick up the white cup that is open and right-side-up, then place it in the bowl.</x:v>
      </x:c>
      <x:c r="D13" s="54" t="str">
        <x:v>white_cup_a</x:v>
      </x:c>
      <x:c r="E13" s="54" t="str">
        <x:v>white cup</x:v>
      </x:c>
      <x:c r="F13" s="54" t="str">
        <x:v>open</x:v>
      </x:c>
      <x:c r="G13" s="54" t="str">
        <x:v>upright</x:v>
      </x:c>
      <x:c r="H13" s="55" t="str">
        <x:v>white cup A: open, upright | glass spice container A: closed, upright | yellow-white striped cup B: closed, upright | brown cup B: closed, upright</x:v>
      </x:c>
      <x:c r="I13" s="55" t="str">
        <x:v>168e12e735da9ad62716dca89cff660b53082cc3</x:v>
      </x:c>
      <x:c r="J13" s="55" t="str">
        <x:v>Audit only — do not pass previous prompt to the model.</x:v>
      </x:c>
    </x:row>
    <x:row r="14">
      <x:c r="A14" s="56" t="n">
        <x:v>9</x:v>
      </x:c>
      <x:c r="B14" s="55" t="str">
        <x:v>Put a white cup in the bowl.</x:v>
      </x:c>
      <x:c r="C14" s="55" t="str">
        <x:v>Pick up the white cup that is open and right-side-up, then place it in the bowl.</x:v>
      </x:c>
      <x:c r="D14" s="54" t="str">
        <x:v>white_cup_b</x:v>
      </x:c>
      <x:c r="E14" s="54" t="str">
        <x:v>white cup</x:v>
      </x:c>
      <x:c r="F14" s="54" t="str">
        <x:v>open</x:v>
      </x:c>
      <x:c r="G14" s="54" t="str">
        <x:v>upright</x:v>
      </x:c>
      <x:c r="H14" s="55" t="str">
        <x:v>white cup B: open, upright | white cup A: closed, upright | yellow-white striped cup B: open, upright | brown cup A: closed, upright</x:v>
      </x:c>
      <x:c r="I14" s="55" t="str">
        <x:v>168e12e735da9ad62716dca89cff660b53082cc3</x:v>
      </x:c>
      <x:c r="J14" s="55" t="str">
        <x:v>Audit only — do not pass previous prompt to the model.</x:v>
      </x:c>
    </x:row>
    <x:row r="15">
      <x:c r="A15" s="56" t="n">
        <x:v>10</x:v>
      </x:c>
      <x:c r="B15" s="55" t="str">
        <x:v>Put a white cup in the bowl.</x:v>
      </x:c>
      <x:c r="C15" s="55" t="str">
        <x:v>Pick up the white cup that is closed and right-side-up, then place it in the bowl.</x:v>
      </x:c>
      <x:c r="D15" s="54" t="str">
        <x:v>white_cup_a</x:v>
      </x:c>
      <x:c r="E15" s="54" t="str">
        <x:v>white cup</x:v>
      </x:c>
      <x:c r="F15" s="54" t="str">
        <x:v>closed</x:v>
      </x:c>
      <x:c r="G15" s="54" t="str">
        <x:v>upright</x:v>
      </x:c>
      <x:c r="H15" s="55" t="str">
        <x:v>white cup A: closed, upright | white cup B: open, upright | brown cup A: closed, upright | glass spice container B: closed, upright</x:v>
      </x:c>
      <x:c r="I15" s="55" t="str">
        <x:v>168e12e735da9ad62716dca89cff660b53082cc3</x:v>
      </x:c>
      <x:c r="J15" s="55" t="str">
        <x:v>Audit only — do not pass previous prompt to the model.</x:v>
      </x:c>
    </x:row>
    <x:row r="16">
      <x:c r="A16" s="56" t="n">
        <x:v>11</x:v>
      </x:c>
      <x:c r="B16" s="55" t="str">
        <x:v>Put a white cup in the bowl.</x:v>
      </x:c>
      <x:c r="C16" s="55" t="str">
        <x:v>Put the open, right-side-up white cup in the bowl.</x:v>
      </x:c>
      <x:c r="D16" s="54" t="str">
        <x:v>white_cup_a</x:v>
      </x:c>
      <x:c r="E16" s="54" t="str">
        <x:v>white cup</x:v>
      </x:c>
      <x:c r="F16" s="54" t="str">
        <x:v>open</x:v>
      </x:c>
      <x:c r="G16" s="54" t="str">
        <x:v>upright</x:v>
      </x:c>
      <x:c r="H16" s="55" t="str">
        <x:v>white cup A: open, upright | white cup B: closed, upright | glass spice container B: closed, upright</x:v>
      </x:c>
      <x:c r="I16" s="55" t="str">
        <x:v>168e12e735da9ad62716dca89cff660b53082cc3</x:v>
      </x:c>
      <x:c r="J16" s="55" t="str">
        <x:v>Audit only — do not pass previous prompt to the model.</x:v>
      </x:c>
    </x:row>
    <x:row r="17">
      <x:c r="A17" s="56" t="n">
        <x:v>12</x:v>
      </x:c>
      <x:c r="B17" s="55" t="str">
        <x:v>Put a white cup in the bowl.</x:v>
      </x:c>
      <x:c r="C17" s="55" t="str">
        <x:v>Pick up the white cup that is open and right-side-up, then place it in the bowl.</x:v>
      </x:c>
      <x:c r="D17" s="54" t="str">
        <x:v>white_cup_a</x:v>
      </x:c>
      <x:c r="E17" s="54" t="str">
        <x:v>white cup</x:v>
      </x:c>
      <x:c r="F17" s="54" t="str">
        <x:v>open</x:v>
      </x:c>
      <x:c r="G17" s="54" t="str">
        <x:v>upright</x:v>
      </x:c>
      <x:c r="H17" s="55" t="str">
        <x:v>white cup A: open, upright | white cup B: closed, upright | yellow-white striped cup A: open, upright | brown cup B: open, upright</x:v>
      </x:c>
      <x:c r="I17" s="55" t="str">
        <x:v>168e12e735da9ad62716dca89cff660b53082cc3</x:v>
      </x:c>
      <x:c r="J17" s="55" t="str">
        <x:v>Audit only — do not pass previous prompt to the model.</x:v>
      </x:c>
    </x:row>
    <x:row r="18">
      <x:c r="A18" s="56" t="n">
        <x:v>13</x:v>
      </x:c>
      <x:c r="B18" s="55" t="str">
        <x:v>Put a white cup in the bowl.</x:v>
      </x:c>
      <x:c r="C18" s="55" t="str">
        <x:v>Put the closed, right-side-up white cup in the bowl.</x:v>
      </x:c>
      <x:c r="D18" s="54" t="str">
        <x:v>white_cup_b</x:v>
      </x:c>
      <x:c r="E18" s="54" t="str">
        <x:v>white cup</x:v>
      </x:c>
      <x:c r="F18" s="54" t="str">
        <x:v>closed</x:v>
      </x:c>
      <x:c r="G18" s="54" t="str">
        <x:v>upright</x:v>
      </x:c>
      <x:c r="H18" s="55" t="str">
        <x:v>white cup B: closed, upright | yellow-white striped cup B: open, upright | brown cup B: open, upright</x:v>
      </x:c>
      <x:c r="I18" s="55" t="str">
        <x:v>168e12e735da9ad62716dca89cff660b53082cc3</x:v>
      </x:c>
      <x:c r="J18" s="55" t="str">
        <x:v>Audit only — do not pass previous prompt to the model.</x:v>
      </x:c>
    </x:row>
    <x:row r="19">
      <x:c r="A19" s="56" t="n">
        <x:v>14</x:v>
      </x:c>
      <x:c r="B19" s="55" t="str">
        <x:v>Put a white cup in the bowl.</x:v>
      </x:c>
      <x:c r="C19" s="55" t="str">
        <x:v>Move the open white cup that is right-side-up into the bowl.</x:v>
      </x:c>
      <x:c r="D19" s="54" t="str">
        <x:v>white_cup_b</x:v>
      </x:c>
      <x:c r="E19" s="54" t="str">
        <x:v>white cup</x:v>
      </x:c>
      <x:c r="F19" s="54" t="str">
        <x:v>open</x:v>
      </x:c>
      <x:c r="G19" s="54" t="str">
        <x:v>upright</x:v>
      </x:c>
      <x:c r="H19" s="55" t="str">
        <x:v>white cup B: open, upright | white cup A: closed, upright | glass spice container A: closed, upright | yellow-white striped cup B: closed, upright</x:v>
      </x:c>
      <x:c r="I19" s="55" t="str">
        <x:v>168e12e735da9ad62716dca89cff660b53082cc3</x:v>
      </x:c>
      <x:c r="J19" s="55" t="str">
        <x:v>Audit only — do not pass previous prompt to the model.</x:v>
      </x:c>
    </x:row>
    <x:row r="20">
      <x:c r="A20" s="56" t="n">
        <x:v>15</x:v>
      </x:c>
      <x:c r="B20" s="55" t="str">
        <x:v>Put a white cup in the bowl.</x:v>
      </x:c>
      <x:c r="C20" s="55" t="str">
        <x:v>Pick up the white cup that is closed and right-side-up, then place it in the bowl.</x:v>
      </x:c>
      <x:c r="D20" s="54" t="str">
        <x:v>white_cup_a</x:v>
      </x:c>
      <x:c r="E20" s="54" t="str">
        <x:v>white cup</x:v>
      </x:c>
      <x:c r="F20" s="54" t="str">
        <x:v>closed</x:v>
      </x:c>
      <x:c r="G20" s="54" t="str">
        <x:v>upright</x:v>
      </x:c>
      <x:c r="H20" s="55" t="str">
        <x:v>white cup A: closed, upright | white cup B: open, upright | yellow-white striped cup B: open, upright</x:v>
      </x:c>
      <x:c r="I20" s="55" t="str">
        <x:v>168e12e735da9ad62716dca89cff660b53082cc3</x:v>
      </x:c>
      <x:c r="J20" s="55" t="str">
        <x:v>Audit only — do not pass previous prompt to the model.</x:v>
      </x:c>
    </x:row>
    <x:row r="21">
      <x:c r="A21" s="56" t="n">
        <x:v>16</x:v>
      </x:c>
      <x:c r="B21" s="55" t="str">
        <x:v>Put a white cup in the bowl.</x:v>
      </x:c>
      <x:c r="C21" s="55" t="str">
        <x:v>Pick up the white cup that is closed and right-side-up, then place it in the bowl.</x:v>
      </x:c>
      <x:c r="D21" s="54" t="str">
        <x:v>white_cup_a</x:v>
      </x:c>
      <x:c r="E21" s="54" t="str">
        <x:v>white cup</x:v>
      </x:c>
      <x:c r="F21" s="54" t="str">
        <x:v>closed</x:v>
      </x:c>
      <x:c r="G21" s="54" t="str">
        <x:v>upright</x:v>
      </x:c>
      <x:c r="H21" s="55" t="str">
        <x:v>white cup A: closed, upright | white cup B: open, upright | brown cup A: closed, upright | glass spice container B: closed, upright</x:v>
      </x:c>
      <x:c r="I21" s="55" t="str">
        <x:v>168e12e735da9ad62716dca89cff660b53082cc3</x:v>
      </x:c>
      <x:c r="J21" s="55" t="str">
        <x:v>Audit only — do not pass previous prompt to the model.</x:v>
      </x:c>
    </x:row>
    <x:row r="22">
      <x:c r="A22" s="56" t="n">
        <x:v>17</x:v>
      </x:c>
      <x:c r="B22" s="55" t="str">
        <x:v>Put a white cup in the bowl.</x:v>
      </x:c>
      <x:c r="C22" s="55" t="str">
        <x:v>Pick up the white cup that is open and right-side-up, then place it in the bowl.</x:v>
      </x:c>
      <x:c r="D22" s="54" t="str">
        <x:v>white_cup_b</x:v>
      </x:c>
      <x:c r="E22" s="54" t="str">
        <x:v>white cup</x:v>
      </x:c>
      <x:c r="F22" s="54" t="str">
        <x:v>open</x:v>
      </x:c>
      <x:c r="G22" s="54" t="str">
        <x:v>upright</x:v>
      </x:c>
      <x:c r="H22" s="55" t="str">
        <x:v>white cup B: open, upright | white cup A: closed, upright | glass spice container B: open, upright</x:v>
      </x:c>
      <x:c r="I22" s="55" t="str">
        <x:v>168e12e735da9ad62716dca89cff660b53082cc3</x:v>
      </x:c>
      <x:c r="J22" s="55" t="str">
        <x:v>Audit only — do not pass previous prompt to the model.</x:v>
      </x:c>
    </x:row>
    <x:row r="23">
      <x:c r="A23" s="56" t="n">
        <x:v>18</x:v>
      </x:c>
      <x:c r="B23" s="55" t="str">
        <x:v>Put a white cup in the bowl.</x:v>
      </x:c>
      <x:c r="C23" s="55" t="str">
        <x:v>Move the closed white cup that is right-side-up into the bowl.</x:v>
      </x:c>
      <x:c r="D23" s="54" t="str">
        <x:v>white_cup_a</x:v>
      </x:c>
      <x:c r="E23" s="54" t="str">
        <x:v>white cup</x:v>
      </x:c>
      <x:c r="F23" s="54" t="str">
        <x:v>closed</x:v>
      </x:c>
      <x:c r="G23" s="54" t="str">
        <x:v>upright</x:v>
      </x:c>
      <x:c r="H23" s="55" t="str">
        <x:v>white cup A: closed, upright | brown cup B: open, upright | glass spice container B: open, upright</x:v>
      </x:c>
      <x:c r="I23" s="55" t="str">
        <x:v>168e12e735da9ad62716dca89cff660b53082cc3</x:v>
      </x:c>
      <x:c r="J23" s="55" t="str">
        <x:v>Audit only — do not pass previous prompt to the model.</x:v>
      </x:c>
    </x:row>
    <x:row r="24">
      <x:c r="A24" s="56" t="n">
        <x:v>19</x:v>
      </x:c>
      <x:c r="B24" s="55" t="str">
        <x:v>Put a white cup in the bowl.</x:v>
      </x:c>
      <x:c r="C24" s="55" t="str">
        <x:v>Put the open, right-side-up white cup in the bowl.</x:v>
      </x:c>
      <x:c r="D24" s="54" t="str">
        <x:v>white_cup_b</x:v>
      </x:c>
      <x:c r="E24" s="54" t="str">
        <x:v>white cup</x:v>
      </x:c>
      <x:c r="F24" s="54" t="str">
        <x:v>open</x:v>
      </x:c>
      <x:c r="G24" s="54" t="str">
        <x:v>upright</x:v>
      </x:c>
      <x:c r="H24" s="55" t="str">
        <x:v>white cup B: open, upright | white cup A: closed, upright | brown cup B: open, upright</x:v>
      </x:c>
      <x:c r="I24" s="55" t="str">
        <x:v>168e12e735da9ad62716dca89cff660b53082cc3</x:v>
      </x:c>
      <x:c r="J24" s="55" t="str">
        <x:v>Audit only — do not pass previous prompt to the model.</x:v>
      </x:c>
    </x:row>
    <x:row r="25">
      <x:c r="A25" s="56" t="n">
        <x:v>20</x:v>
      </x:c>
      <x:c r="B25" s="55" t="str">
        <x:v>Put a white cup in the bowl.</x:v>
      </x:c>
      <x:c r="C25" s="55" t="str">
        <x:v>Move the open white cup that is right-side-up into the bowl.</x:v>
      </x:c>
      <x:c r="D25" s="54" t="str">
        <x:v>white_cup_a</x:v>
      </x:c>
      <x:c r="E25" s="54" t="str">
        <x:v>white cup</x:v>
      </x:c>
      <x:c r="F25" s="54" t="str">
        <x:v>open</x:v>
      </x:c>
      <x:c r="G25" s="54" t="str">
        <x:v>upright</x:v>
      </x:c>
      <x:c r="H25" s="55" t="str">
        <x:v>white cup A: open, upright | glass spice container B: closed, upright | yellow-white striped cup A: closed, upright | brown cup A: closed, upright</x:v>
      </x:c>
      <x:c r="I25" s="55" t="str">
        <x:v>168e12e735da9ad62716dca89cff660b53082cc3</x:v>
      </x:c>
      <x:c r="J25" s="55" t="str">
        <x:v>Audit only — do not pass previous prompt to the model.</x:v>
      </x:c>
    </x:row>
    <x:row r="26">
      <x:c r="A26" s="56" t="n">
        <x:v>21</x:v>
      </x:c>
      <x:c r="B26" s="55" t="str">
        <x:v>Put a white cup in the bowl.</x:v>
      </x:c>
      <x:c r="C26" s="55" t="str">
        <x:v>Move the closed white cup that is right-side-up into the bowl.</x:v>
      </x:c>
      <x:c r="D26" s="54" t="str">
        <x:v>white_cup_b</x:v>
      </x:c>
      <x:c r="E26" s="54" t="str">
        <x:v>white cup</x:v>
      </x:c>
      <x:c r="F26" s="54" t="str">
        <x:v>closed</x:v>
      </x:c>
      <x:c r="G26" s="54" t="str">
        <x:v>upright</x:v>
      </x:c>
      <x:c r="H26" s="55" t="str">
        <x:v>white cup B: closed, upright | white cup A: open, upright | yellow-white striped cup B: open, upright | brown cup A: open, upright</x:v>
      </x:c>
      <x:c r="I26" s="55" t="str">
        <x:v>168e12e735da9ad62716dca89cff660b53082cc3</x:v>
      </x:c>
      <x:c r="J26" s="55" t="str">
        <x:v>Audit only — do not pass previous prompt to the model.</x:v>
      </x:c>
    </x:row>
    <x:row r="27">
      <x:c r="A27" s="56" t="n">
        <x:v>22</x:v>
      </x:c>
      <x:c r="B27" s="55" t="str">
        <x:v>Put a white cup in the bowl.</x:v>
      </x:c>
      <x:c r="C27" s="55" t="str">
        <x:v>Move the open white cup that is right-side-up into the bowl.</x:v>
      </x:c>
      <x:c r="D27" s="54" t="str">
        <x:v>white_cup_b</x:v>
      </x:c>
      <x:c r="E27" s="54" t="str">
        <x:v>white cup</x:v>
      </x:c>
      <x:c r="F27" s="54" t="str">
        <x:v>open</x:v>
      </x:c>
      <x:c r="G27" s="54" t="str">
        <x:v>upright</x:v>
      </x:c>
      <x:c r="H27" s="55" t="str">
        <x:v>white cup B: open, upright | white cup A: closed, upright | brown cup A: open, upright | glass spice container B: open, upright</x:v>
      </x:c>
      <x:c r="I27" s="55" t="str">
        <x:v>168e12e735da9ad62716dca89cff660b53082cc3</x:v>
      </x:c>
      <x:c r="J27" s="55" t="str">
        <x:v>Audit only — do not pass previous prompt to the model.</x:v>
      </x:c>
    </x:row>
    <x:row r="28">
      <x:c r="A28" s="56" t="n">
        <x:v>23</x:v>
      </x:c>
      <x:c r="B28" s="55" t="str">
        <x:v>Put a white cup in the bowl.</x:v>
      </x:c>
      <x:c r="C28" s="55" t="str">
        <x:v>Pick up the white cup that is closed and right-side-up, then place it in the bowl.</x:v>
      </x:c>
      <x:c r="D28" s="54" t="str">
        <x:v>white_cup_a</x:v>
      </x:c>
      <x:c r="E28" s="54" t="str">
        <x:v>white cup</x:v>
      </x:c>
      <x:c r="F28" s="54" t="str">
        <x:v>closed</x:v>
      </x:c>
      <x:c r="G28" s="54" t="str">
        <x:v>upright</x:v>
      </x:c>
      <x:c r="H28" s="55" t="str">
        <x:v>white cup A: closed, upright | white cup B: open, upright | glass spice container B: closed, upright</x:v>
      </x:c>
      <x:c r="I28" s="55" t="str">
        <x:v>168e12e735da9ad62716dca89cff660b53082cc3</x:v>
      </x:c>
      <x:c r="J28" s="55" t="str">
        <x:v>Audit only — do not pass previous prompt to the model.</x:v>
      </x:c>
    </x:row>
    <x:row r="29">
      <x:c r="A29" s="56" t="n">
        <x:v>24</x:v>
      </x:c>
      <x:c r="B29" s="55" t="str">
        <x:v>Put a white cup in the bowl.</x:v>
      </x:c>
      <x:c r="C29" s="55" t="str">
        <x:v>Pick up the white cup that is open and right-side-up, then place it in the bowl.</x:v>
      </x:c>
      <x:c r="D29" s="54" t="str">
        <x:v>white_cup_a</x:v>
      </x:c>
      <x:c r="E29" s="54" t="str">
        <x:v>white cup</x:v>
      </x:c>
      <x:c r="F29" s="54" t="str">
        <x:v>open</x:v>
      </x:c>
      <x:c r="G29" s="54" t="str">
        <x:v>upright</x:v>
      </x:c>
      <x:c r="H29" s="55" t="str">
        <x:v>white cup A: open, upright | white cup B: closed, upright | yellow-white striped cup A: open, upright</x:v>
      </x:c>
      <x:c r="I29" s="55" t="str">
        <x:v>168e12e735da9ad62716dca89cff660b53082cc3</x:v>
      </x:c>
      <x:c r="J29" s="55" t="str">
        <x:v>Audit only — do not pass previous prompt to the model.</x:v>
      </x:c>
    </x:row>
    <x:row r="30">
      <x:c r="A30" s="56" t="n">
        <x:v>25</x:v>
      </x:c>
      <x:c r="B30" s="55" t="str">
        <x:v>Put a white cup in the bowl.</x:v>
      </x:c>
      <x:c r="C30" s="55" t="str">
        <x:v>Put the upside-down white cup in the bowl.</x:v>
      </x:c>
      <x:c r="D30" s="54" t="str">
        <x:v>white_cup_b</x:v>
      </x:c>
      <x:c r="E30" s="54" t="str">
        <x:v>white cup</x:v>
      </x:c>
      <x:c r="F30" s="54" t="str">
        <x:v>closed</x:v>
      </x:c>
      <x:c r="G30" s="54" t="str">
        <x:v>upside down</x:v>
      </x:c>
      <x:c r="H30" s="55" t="str">
        <x:v>white cup B: closed, upside down | brown cup B: open, upright | glass spice container B: closed, upright | yellow-white striped cup A: open, upright</x:v>
      </x:c>
      <x:c r="I30" s="55" t="str">
        <x:v>168e12e735da9ad62716dca89cff660b53082cc3</x:v>
      </x:c>
      <x:c r="J30" s="55" t="str">
        <x:v>Audit only — do not pass previous prompt to the model.</x:v>
      </x:c>
    </x:row>
    <x:row r="31">
      <x:c r="A31" s="56" t="n">
        <x:v>26</x:v>
      </x:c>
      <x:c r="B31" s="55" t="str">
        <x:v>Put a white cup in the bowl.</x:v>
      </x:c>
      <x:c r="C31" s="55" t="str">
        <x:v>Move the open white cup that is right-side-up into the bowl.</x:v>
      </x:c>
      <x:c r="D31" s="54" t="str">
        <x:v>white_cup_a</x:v>
      </x:c>
      <x:c r="E31" s="54" t="str">
        <x:v>white cup</x:v>
      </x:c>
      <x:c r="F31" s="54" t="str">
        <x:v>open</x:v>
      </x:c>
      <x:c r="G31" s="54" t="str">
        <x:v>upright</x:v>
      </x:c>
      <x:c r="H31" s="55" t="str">
        <x:v>white cup A: open, upright | white cup B: closed, upside down | yellow-white striped cup A: open, upright | brown cup B: closed, upright</x:v>
      </x:c>
      <x:c r="I31" s="55" t="str">
        <x:v>168e12e735da9ad62716dca89cff660b53082cc3</x:v>
      </x:c>
      <x:c r="J31" s="55" t="str">
        <x:v>Audit only — do not pass previous prompt to the model.</x:v>
      </x:c>
    </x:row>
    <x:row r="32">
      <x:c r="A32" s="56" t="n">
        <x:v>27</x:v>
      </x:c>
      <x:c r="B32" s="55" t="str">
        <x:v>Put a white cup in the bowl.</x:v>
      </x:c>
      <x:c r="C32" s="55" t="str">
        <x:v>Move the closed white cup that is right-side-up into the bowl.</x:v>
      </x:c>
      <x:c r="D32" s="54" t="str">
        <x:v>white_cup_b</x:v>
      </x:c>
      <x:c r="E32" s="54" t="str">
        <x:v>white cup</x:v>
      </x:c>
      <x:c r="F32" s="54" t="str">
        <x:v>closed</x:v>
      </x:c>
      <x:c r="G32" s="54" t="str">
        <x:v>upright</x:v>
      </x:c>
      <x:c r="H32" s="55" t="str">
        <x:v>white cup B: closed, upright | white cup A: closed, upside down | brown cup B: closed, upside down | glass spice container A: open, upside down</x:v>
      </x:c>
      <x:c r="I32" s="55" t="str">
        <x:v>168e12e735da9ad62716dca89cff660b53082cc3</x:v>
      </x:c>
      <x:c r="J32" s="55" t="str">
        <x:v>Audit only — do not pass previous prompt to the model.</x:v>
      </x:c>
    </x:row>
    <x:row r="33">
      <x:c r="A33" s="56" t="n">
        <x:v>28</x:v>
      </x:c>
      <x:c r="B33" s="55" t="str">
        <x:v>Put a white cup in the bowl.</x:v>
      </x:c>
      <x:c r="C33" s="55" t="str">
        <x:v>Put the open, upside-down white cup in the bowl.</x:v>
      </x:c>
      <x:c r="D33" s="54" t="str">
        <x:v>white_cup_b</x:v>
      </x:c>
      <x:c r="E33" s="54" t="str">
        <x:v>white cup</x:v>
      </x:c>
      <x:c r="F33" s="54" t="str">
        <x:v>open</x:v>
      </x:c>
      <x:c r="G33" s="54" t="str">
        <x:v>upside down</x:v>
      </x:c>
      <x:c r="H33" s="55" t="str">
        <x:v>white cup B: open, upside down | white cup A: open, upright | glass spice container A: closed, upside down</x:v>
      </x:c>
      <x:c r="I33" s="55" t="str">
        <x:v>168e12e735da9ad62716dca89cff660b53082cc3</x:v>
      </x:c>
      <x:c r="J33" s="55" t="str">
        <x:v>Audit only — do not pass previous prompt to the model.</x:v>
      </x:c>
    </x:row>
    <x:row r="34">
      <x:c r="A34" s="56" t="n">
        <x:v>29</x:v>
      </x:c>
      <x:c r="B34" s="55" t="str">
        <x:v>Put a white cup in the bowl.</x:v>
      </x:c>
      <x:c r="C34" s="55" t="str">
        <x:v>Pick up the white cup that is closed and place it in the bowl.</x:v>
      </x:c>
      <x:c r="D34" s="54" t="str">
        <x:v>white_cup_a</x:v>
      </x:c>
      <x:c r="E34" s="54" t="str">
        <x:v>white cup</x:v>
      </x:c>
      <x:c r="F34" s="54" t="str">
        <x:v>closed</x:v>
      </x:c>
      <x:c r="G34" s="54" t="str">
        <x:v>upside down</x:v>
      </x:c>
      <x:c r="H34" s="55" t="str">
        <x:v>white cup A: closed, upside down | white cup B: open, upright | yellow-white striped cup B: open, upright</x:v>
      </x:c>
      <x:c r="I34" s="55" t="str">
        <x:v>168e12e735da9ad62716dca89cff660b53082cc3</x:v>
      </x:c>
      <x:c r="J34" s="55" t="str">
        <x:v>Audit only — do not pass previous prompt to the model.</x:v>
      </x:c>
    </x:row>
    <x:row r="35">
      <x:c r="A35" s="56" t="n">
        <x:v>30</x:v>
      </x:c>
      <x:c r="B35" s="55" t="str">
        <x:v>Put a white cup in the bowl.</x:v>
      </x:c>
      <x:c r="C35" s="55" t="str">
        <x:v>Move the open white cup that is upside-down into the bowl.</x:v>
      </x:c>
      <x:c r="D35" s="54" t="str">
        <x:v>white_cup_a</x:v>
      </x:c>
      <x:c r="E35" s="54" t="str">
        <x:v>white cup</x:v>
      </x:c>
      <x:c r="F35" s="54" t="str">
        <x:v>open</x:v>
      </x:c>
      <x:c r="G35" s="54" t="str">
        <x:v>upside down</x:v>
      </x:c>
      <x:c r="H35" s="55" t="str">
        <x:v>white cup A: open, upside down | glass spice container B: open, upright | yellow-white striped cup A: closed, upright | brown cup A: open, upright</x:v>
      </x:c>
      <x:c r="I35" s="55" t="str">
        <x:v>168e12e735da9ad62716dca89cff660b53082cc3</x:v>
      </x:c>
      <x:c r="J35" s="55" t="str">
        <x:v>Audit only — do not pass previous prompt to the model.</x:v>
      </x:c>
    </x:row>
    <x:row r="36">
      <x:c r="A36" s="56" t="n">
        <x:v>31</x:v>
      </x:c>
      <x:c r="B36" s="55" t="str">
        <x:v>Put a white cup in the bowl.</x:v>
      </x:c>
      <x:c r="C36" s="55" t="str">
        <x:v>Move the closed white cup that is right-side-up into the bowl.</x:v>
      </x:c>
      <x:c r="D36" s="54" t="str">
        <x:v>white_cup_b</x:v>
      </x:c>
      <x:c r="E36" s="54" t="str">
        <x:v>white cup</x:v>
      </x:c>
      <x:c r="F36" s="54" t="str">
        <x:v>closed</x:v>
      </x:c>
      <x:c r="G36" s="54" t="str">
        <x:v>upright</x:v>
      </x:c>
      <x:c r="H36" s="55" t="str">
        <x:v>white cup B: closed, upright | white cup A: closed, upside down | glass spice container B: closed, upright</x:v>
      </x:c>
      <x:c r="I36" s="55" t="str">
        <x:v>168e12e735da9ad62716dca89cff660b53082cc3</x:v>
      </x:c>
      <x:c r="J36" s="55" t="str">
        <x:v>Audit only — do not pass previous prompt to the model.</x:v>
      </x:c>
    </x:row>
    <x:row r="37">
      <x:c r="A37" s="56" t="n">
        <x:v>32</x:v>
      </x:c>
      <x:c r="B37" s="55" t="str">
        <x:v>Put a white cup in the bowl.</x:v>
      </x:c>
      <x:c r="C37" s="55" t="str">
        <x:v>Put the open, upside-down white cup in the bowl.</x:v>
      </x:c>
      <x:c r="D37" s="54" t="str">
        <x:v>white_cup_a</x:v>
      </x:c>
      <x:c r="E37" s="54" t="str">
        <x:v>white cup</x:v>
      </x:c>
      <x:c r="F37" s="54" t="str">
        <x:v>open</x:v>
      </x:c>
      <x:c r="G37" s="54" t="str">
        <x:v>upside down</x:v>
      </x:c>
      <x:c r="H37" s="55" t="str">
        <x:v>white cup A: open, upside down | white cup B: open, upright | yellow-white striped cup A: closed, upright</x:v>
      </x:c>
      <x:c r="I37" s="55" t="str">
        <x:v>168e12e735da9ad62716dca89cff660b53082cc3</x:v>
      </x:c>
      <x:c r="J37" s="55" t="str">
        <x:v>Audit only — do not pass previous prompt to the model.</x:v>
      </x:c>
    </x:row>
    <x:row r="38">
      <x:c r="A38" s="56" t="n">
        <x:v>33</x:v>
      </x:c>
      <x:c r="B38" s="55" t="str">
        <x:v>Put a white cup in the bowl.</x:v>
      </x:c>
      <x:c r="C38" s="55" t="str">
        <x:v>Put the closed, right-side-up white cup in the bowl.</x:v>
      </x:c>
      <x:c r="D38" s="54" t="str">
        <x:v>white_cup_a</x:v>
      </x:c>
      <x:c r="E38" s="54" t="str">
        <x:v>white cup</x:v>
      </x:c>
      <x:c r="F38" s="54" t="str">
        <x:v>closed</x:v>
      </x:c>
      <x:c r="G38" s="54" t="str">
        <x:v>upright</x:v>
      </x:c>
      <x:c r="H38" s="55" t="str">
        <x:v>white cup A: closed, upright | white cup B: open, upside down | brown cup B: open, upright | glass spice container A: closed, upside down</x:v>
      </x:c>
      <x:c r="I38" s="55" t="str">
        <x:v>168e12e735da9ad62716dca89cff660b53082cc3</x:v>
      </x:c>
      <x:c r="J38" s="55" t="str">
        <x:v>Audit only — do not pass previous prompt to the model.</x:v>
      </x:c>
    </x:row>
    <x:row r="39">
      <x:c r="A39" s="56" t="n">
        <x:v>34</x:v>
      </x:c>
      <x:c r="B39" s="55" t="str">
        <x:v>Put a white cup in the bowl.</x:v>
      </x:c>
      <x:c r="C39" s="55" t="str">
        <x:v>Put the open, upside-down white cup in the bowl.</x:v>
      </x:c>
      <x:c r="D39" s="54" t="str">
        <x:v>white_cup_b</x:v>
      </x:c>
      <x:c r="E39" s="54" t="str">
        <x:v>white cup</x:v>
      </x:c>
      <x:c r="F39" s="54" t="str">
        <x:v>open</x:v>
      </x:c>
      <x:c r="G39" s="54" t="str">
        <x:v>upside down</x:v>
      </x:c>
      <x:c r="H39" s="55" t="str">
        <x:v>white cup B: open, upside down | white cup A: closed, upright | glass spice container A: open, upside down</x:v>
      </x:c>
      <x:c r="I39" s="55" t="str">
        <x:v>168e12e735da9ad62716dca89cff660b53082cc3</x:v>
      </x:c>
      <x:c r="J39" s="55" t="str">
        <x:v>Audit only — do not pass previous prompt to the model.</x:v>
      </x:c>
    </x:row>
    <x:row r="40">
      <x:c r="A40" s="56" t="n">
        <x:v>35</x:v>
      </x:c>
      <x:c r="B40" s="55" t="str">
        <x:v>Put a white cup in the bowl.</x:v>
      </x:c>
      <x:c r="C40" s="55" t="str">
        <x:v>Pick up the white cup that is upside-down and place it in the bowl.</x:v>
      </x:c>
      <x:c r="D40" s="54" t="str">
        <x:v>white_cup_a</x:v>
      </x:c>
      <x:c r="E40" s="54" t="str">
        <x:v>white cup</x:v>
      </x:c>
      <x:c r="F40" s="54" t="str">
        <x:v>closed</x:v>
      </x:c>
      <x:c r="G40" s="54" t="str">
        <x:v>upside down</x:v>
      </x:c>
      <x:c r="H40" s="55" t="str">
        <x:v>white cup A: closed, upside down | white cup B: closed, upright | yellow-white striped cup B: closed, upside down | brown cup A: open, upright</x:v>
      </x:c>
      <x:c r="I40" s="55" t="str">
        <x:v>168e12e735da9ad62716dca89cff660b53082cc3</x:v>
      </x:c>
      <x:c r="J40" s="55" t="str">
        <x:v>Audit only — do not pass previous prompt to the model.</x:v>
      </x:c>
    </x:row>
    <x:row r="41">
      <x:c r="A41" s="56" t="n">
        <x:v>36</x:v>
      </x:c>
      <x:c r="B41" s="55" t="str">
        <x:v>Put a white cup in the bowl.</x:v>
      </x:c>
      <x:c r="C41" s="55" t="str">
        <x:v>Pick up the white cup that is open and right-side-up, then place it in the bowl.</x:v>
      </x:c>
      <x:c r="D41" s="54" t="str">
        <x:v>white_cup_b</x:v>
      </x:c>
      <x:c r="E41" s="54" t="str">
        <x:v>white cup</x:v>
      </x:c>
      <x:c r="F41" s="54" t="str">
        <x:v>open</x:v>
      </x:c>
      <x:c r="G41" s="54" t="str">
        <x:v>upright</x:v>
      </x:c>
      <x:c r="H41" s="55" t="str">
        <x:v>white cup B: open, upright | yellow-white striped cup A: closed, upside down | brown cup A: open, upside down</x:v>
      </x:c>
      <x:c r="I41" s="55" t="str">
        <x:v>168e12e735da9ad62716dca89cff660b53082cc3</x:v>
      </x:c>
      <x:c r="J41" s="55" t="str">
        <x:v>Audit only — do not pass previous prompt to the model.</x:v>
      </x:c>
    </x:row>
    <x:row r="42">
      <x:c r="A42" s="56" t="n">
        <x:v>37</x:v>
      </x:c>
      <x:c r="B42" s="55" t="str">
        <x:v>Put a white cup in the bowl.</x:v>
      </x:c>
      <x:c r="C42" s="55" t="str">
        <x:v>Move the closed white cup that is right-side-up into the bowl.</x:v>
      </x:c>
      <x:c r="D42" s="54" t="str">
        <x:v>white_cup_a</x:v>
      </x:c>
      <x:c r="E42" s="54" t="str">
        <x:v>white cup</x:v>
      </x:c>
      <x:c r="F42" s="54" t="str">
        <x:v>closed</x:v>
      </x:c>
      <x:c r="G42" s="54" t="str">
        <x:v>upright</x:v>
      </x:c>
      <x:c r="H42" s="55" t="str">
        <x:v>white cup A: closed, upright | brown cup A: closed, upside down | glass spice container A: open, upside down | yellow-white striped cup B: closed, upside down</x:v>
      </x:c>
      <x:c r="I42" s="55" t="str">
        <x:v>168e12e735da9ad62716dca89cff660b53082cc3</x:v>
      </x:c>
      <x:c r="J42" s="55" t="str">
        <x:v>Audit only — do not pass previous prompt to the model.</x:v>
      </x:c>
    </x:row>
    <x:row r="43">
      <x:c r="A43" s="56" t="n">
        <x:v>38</x:v>
      </x:c>
      <x:c r="B43" s="55" t="str">
        <x:v>Put a white cup in the bowl.</x:v>
      </x:c>
      <x:c r="C43" s="55" t="str">
        <x:v>Move the open white cup that is upside-down into the bowl.</x:v>
      </x:c>
      <x:c r="D43" s="54" t="str">
        <x:v>white_cup_b</x:v>
      </x:c>
      <x:c r="E43" s="54" t="str">
        <x:v>white cup</x:v>
      </x:c>
      <x:c r="F43" s="54" t="str">
        <x:v>open</x:v>
      </x:c>
      <x:c r="G43" s="54" t="str">
        <x:v>upside down</x:v>
      </x:c>
      <x:c r="H43" s="55" t="str">
        <x:v>white cup B: open, upside down | white cup A: closed, upright | yellow-white striped cup A: open, upside down</x:v>
      </x:c>
      <x:c r="I43" s="55" t="str">
        <x:v>168e12e735da9ad62716dca89cff660b53082cc3</x:v>
      </x:c>
      <x:c r="J43" s="55" t="str">
        <x:v>Audit only — do not pass previous prompt to the model.</x:v>
      </x:c>
    </x:row>
    <x:row r="44">
      <x:c r="A44" s="56" t="n">
        <x:v>39</x:v>
      </x:c>
      <x:c r="B44" s="55" t="str">
        <x:v>Put a white cup in the bowl.</x:v>
      </x:c>
      <x:c r="C44" s="55" t="str">
        <x:v>Move the inverted white cup into the bowl.</x:v>
      </x:c>
      <x:c r="D44" s="54" t="str">
        <x:v>white_cup_a</x:v>
      </x:c>
      <x:c r="E44" s="54" t="str">
        <x:v>white cup</x:v>
      </x:c>
      <x:c r="F44" s="54" t="str">
        <x:v>closed</x:v>
      </x:c>
      <x:c r="G44" s="54" t="str">
        <x:v>upside down</x:v>
      </x:c>
      <x:c r="H44" s="55" t="str">
        <x:v>white cup A: closed, upside down | white cup B: closed, upright | brown cup B: closed, upside down | glass spice container A: open, upright</x:v>
      </x:c>
      <x:c r="I44" s="55" t="str">
        <x:v>168e12e735da9ad62716dca89cff660b53082cc3</x:v>
      </x:c>
      <x:c r="J44" s="55" t="str">
        <x:v>Audit only — do not pass previous prompt to the model.</x:v>
      </x:c>
    </x:row>
    <x:row r="45">
      <x:c r="A45" s="56" t="n">
        <x:v>40</x:v>
      </x:c>
      <x:c r="B45" s="55" t="str">
        <x:v>Put a white cup in the bowl.</x:v>
      </x:c>
      <x:c r="C45" s="55" t="str">
        <x:v>Pick up the white cup that is open and right-side-up, then place it in the bowl.</x:v>
      </x:c>
      <x:c r="D45" s="54" t="str">
        <x:v>white_cup_a</x:v>
      </x:c>
      <x:c r="E45" s="54" t="str">
        <x:v>white cup</x:v>
      </x:c>
      <x:c r="F45" s="54" t="str">
        <x:v>open</x:v>
      </x:c>
      <x:c r="G45" s="54" t="str">
        <x:v>upright</x:v>
      </x:c>
      <x:c r="H45" s="55" t="str">
        <x:v>white cup A: open, upright | white cup B: open, upside down | glass spice container A: closed, upside down | yellow-white striped cup B: open, upside down</x:v>
      </x:c>
      <x:c r="I45" s="55" t="str">
        <x:v>168e12e735da9ad62716dca89cff660b53082cc3</x:v>
      </x:c>
      <x:c r="J45" s="55" t="str">
        <x:v>Audit only — do not pass previous prompt to the model.</x:v>
      </x:c>
    </x:row>
    <x:row r="46">
      <x:c r="A46" s="56" t="n">
        <x:v>41</x:v>
      </x:c>
      <x:c r="B46" s="55" t="str">
        <x:v>Put a white cup in the bowl.</x:v>
      </x:c>
      <x:c r="C46" s="55" t="str">
        <x:v>Pick up the white cup that is closed and right-side-up, then place it in the bowl.</x:v>
      </x:c>
      <x:c r="D46" s="54" t="str">
        <x:v>white_cup_b</x:v>
      </x:c>
      <x:c r="E46" s="54" t="str">
        <x:v>white cup</x:v>
      </x:c>
      <x:c r="F46" s="54" t="str">
        <x:v>closed</x:v>
      </x:c>
      <x:c r="G46" s="54" t="str">
        <x:v>upright</x:v>
      </x:c>
      <x:c r="H46" s="55" t="str">
        <x:v>white cup B: closed, upright | white cup A: open, upside down | yellow-white striped cup B: open, upside down</x:v>
      </x:c>
      <x:c r="I46" s="55" t="str">
        <x:v>168e12e735da9ad62716dca89cff660b53082cc3</x:v>
      </x:c>
      <x:c r="J46" s="55" t="str">
        <x:v>Audit only — do not pass previous prompt to the model.</x:v>
      </x:c>
    </x:row>
    <x:row r="47">
      <x:c r="A47" s="56" t="n">
        <x:v>42</x:v>
      </x:c>
      <x:c r="B47" s="55" t="str">
        <x:v>Put a white cup in the bowl.</x:v>
      </x:c>
      <x:c r="C47" s="55" t="str">
        <x:v>Pick up the white cup that is open and upside-down, then place it in the bowl.</x:v>
      </x:c>
      <x:c r="D47" s="54" t="str">
        <x:v>white_cup_b</x:v>
      </x:c>
      <x:c r="E47" s="54" t="str">
        <x:v>white cup</x:v>
      </x:c>
      <x:c r="F47" s="54" t="str">
        <x:v>open</x:v>
      </x:c>
      <x:c r="G47" s="54" t="str">
        <x:v>upside down</x:v>
      </x:c>
      <x:c r="H47" s="55" t="str">
        <x:v>white cup B: open, upside down | glass spice container A: closed, upright | yellow-white striped cup B: open, upright</x:v>
      </x:c>
      <x:c r="I47" s="55" t="str">
        <x:v>168e12e735da9ad62716dca89cff660b53082cc3</x:v>
      </x:c>
      <x:c r="J47" s="55" t="str">
        <x:v>Audit only — do not pass previous prompt to the model.</x:v>
      </x:c>
    </x:row>
    <x:row r="48">
      <x:c r="A48" s="56" t="n">
        <x:v>43</x:v>
      </x:c>
      <x:c r="B48" s="55" t="str">
        <x:v>Put a white cup in the bowl.</x:v>
      </x:c>
      <x:c r="C48" s="55" t="str">
        <x:v>Pick up the white cup that is upside-down and place it in the bowl.</x:v>
      </x:c>
      <x:c r="D48" s="54" t="str">
        <x:v>white_cup_a</x:v>
      </x:c>
      <x:c r="E48" s="54" t="str">
        <x:v>white cup</x:v>
      </x:c>
      <x:c r="F48" s="54" t="str">
        <x:v>closed</x:v>
      </x:c>
      <x:c r="G48" s="54" t="str">
        <x:v>upside down</x:v>
      </x:c>
      <x:c r="H48" s="55" t="str">
        <x:v>white cup A: closed, upside down | white cup B: closed, upright | glass spice container B: closed, upside down</x:v>
      </x:c>
      <x:c r="I48" s="55" t="str">
        <x:v>168e12e735da9ad62716dca89cff660b53082cc3</x:v>
      </x:c>
      <x:c r="J48" s="55" t="str">
        <x:v>Audit only — do not pass previous prompt to the model.</x:v>
      </x:c>
    </x:row>
    <x:row r="49">
      <x:c r="A49" s="56" t="n">
        <x:v>44</x:v>
      </x:c>
      <x:c r="B49" s="55" t="str">
        <x:v>Put a white cup in the bowl.</x:v>
      </x:c>
      <x:c r="C49" s="55" t="str">
        <x:v>Put the open, right-side-up white cup in the bowl.</x:v>
      </x:c>
      <x:c r="D49" s="54" t="str">
        <x:v>white_cup_b</x:v>
      </x:c>
      <x:c r="E49" s="54" t="str">
        <x:v>white cup</x:v>
      </x:c>
      <x:c r="F49" s="54" t="str">
        <x:v>open</x:v>
      </x:c>
      <x:c r="G49" s="54" t="str">
        <x:v>upright</x:v>
      </x:c>
      <x:c r="H49" s="55" t="str">
        <x:v>white cup B: open, upright | white cup A: open, upside down | yellow-white striped cup A: closed, upright | brown cup B: open, upright</x:v>
      </x:c>
      <x:c r="I49" s="55" t="str">
        <x:v>168e12e735da9ad62716dca89cff660b53082cc3</x:v>
      </x:c>
      <x:c r="J49" s="55" t="str">
        <x:v>Audit only — do not pass previous prompt to the model.</x:v>
      </x:c>
    </x:row>
    <x:row r="50">
      <x:c r="A50" s="56" t="n">
        <x:v>45</x:v>
      </x:c>
      <x:c r="B50" s="55" t="str">
        <x:v>Put a white cup in the bowl.</x:v>
      </x:c>
      <x:c r="C50" s="55" t="str">
        <x:v>Pick up the white cup that is closed and right-side-up, then place it in the bowl.</x:v>
      </x:c>
      <x:c r="D50" s="54" t="str">
        <x:v>white_cup_a</x:v>
      </x:c>
      <x:c r="E50" s="54" t="str">
        <x:v>white cup</x:v>
      </x:c>
      <x:c r="F50" s="54" t="str">
        <x:v>closed</x:v>
      </x:c>
      <x:c r="G50" s="54" t="str">
        <x:v>upright</x:v>
      </x:c>
      <x:c r="H50" s="55" t="str">
        <x:v>white cup A: closed, upright | yellow-white striped cup B: closed, upside down | brown cup B: open, upside down</x:v>
      </x:c>
      <x:c r="I50" s="55" t="str">
        <x:v>168e12e735da9ad62716dca89cff660b53082cc3</x:v>
      </x:c>
      <x:c r="J50" s="55" t="str">
        <x:v>Audit only — do not pass previous prompt to the model.</x:v>
      </x:c>
    </x:row>
    <x:row r="51">
      <x:c r="A51" s="56" t="n">
        <x:v>46</x:v>
      </x:c>
      <x:c r="B51" s="55" t="str">
        <x:v>Put a white cup in the bowl.</x:v>
      </x:c>
      <x:c r="C51" s="55" t="str">
        <x:v>Put the open, upside-down white cup in the bowl.</x:v>
      </x:c>
      <x:c r="D51" s="54" t="str">
        <x:v>white_cup_b</x:v>
      </x:c>
      <x:c r="E51" s="54" t="str">
        <x:v>white cup</x:v>
      </x:c>
      <x:c r="F51" s="54" t="str">
        <x:v>open</x:v>
      </x:c>
      <x:c r="G51" s="54" t="str">
        <x:v>upside down</x:v>
      </x:c>
      <x:c r="H51" s="55" t="str">
        <x:v>white cup B: open, upside down | white cup A: closed, upright | glass spice container A: open, upright</x:v>
      </x:c>
      <x:c r="I51" s="55" t="str">
        <x:v>168e12e735da9ad62716dca89cff660b53082cc3</x:v>
      </x:c>
      <x:c r="J51" s="55" t="str">
        <x:v>Audit only — do not pass previous prompt to the model.</x:v>
      </x:c>
    </x:row>
    <x:row r="52">
      <x:c r="A52" s="56" t="n">
        <x:v>47</x:v>
      </x:c>
      <x:c r="B52" s="55" t="str">
        <x:v>Put a white cup in the bowl.</x:v>
      </x:c>
      <x:c r="C52" s="55" t="str">
        <x:v>Put the closed, right-side-up white cup in the bowl.</x:v>
      </x:c>
      <x:c r="D52" s="54" t="str">
        <x:v>white_cup_a</x:v>
      </x:c>
      <x:c r="E52" s="54" t="str">
        <x:v>white cup</x:v>
      </x:c>
      <x:c r="F52" s="54" t="str">
        <x:v>closed</x:v>
      </x:c>
      <x:c r="G52" s="54" t="str">
        <x:v>upright</x:v>
      </x:c>
      <x:c r="H52" s="55" t="str">
        <x:v>white cup A: closed, upright | white cup B: closed, upside down | yellow-white striped cup B: closed, upright | brown cup A: open, upside down</x:v>
      </x:c>
      <x:c r="I52" s="55" t="str">
        <x:v>168e12e735da9ad62716dca89cff660b53082cc3</x:v>
      </x:c>
      <x:c r="J52" s="55" t="str">
        <x:v>Audit only — do not pass previous prompt to the model.</x:v>
      </x:c>
    </x:row>
    <x:row r="53">
      <x:c r="A53" s="56" t="n">
        <x:v>48</x:v>
      </x:c>
      <x:c r="B53" s="55" t="str">
        <x:v>Put a white cup in the bowl.</x:v>
      </x:c>
      <x:c r="C53" s="55" t="str">
        <x:v>Move the open white cup that is right-side-up into the bowl.</x:v>
      </x:c>
      <x:c r="D53" s="54" t="str">
        <x:v>white_cup_b</x:v>
      </x:c>
      <x:c r="E53" s="54" t="str">
        <x:v>white cup</x:v>
      </x:c>
      <x:c r="F53" s="54" t="str">
        <x:v>open</x:v>
      </x:c>
      <x:c r="G53" s="54" t="str">
        <x:v>upright</x:v>
      </x:c>
      <x:c r="H53" s="55" t="str">
        <x:v>white cup B: open, upright | white cup A: open, upside down | brown cup A: closed, upside down | glass spice container B: open, upside down</x:v>
      </x:c>
      <x:c r="I53" s="55" t="str">
        <x:v>168e12e735da9ad62716dca89cff660b53082cc3</x:v>
      </x:c>
      <x:c r="J53" s="55" t="str">
        <x:v>Audit only — do not pass previous prompt to the model.</x:v>
      </x:c>
    </x:row>
    <x:row r="54">
      <x:c r="A54" s="56" t="n">
        <x:v>49</x:v>
      </x:c>
      <x:c r="B54" s="55" t="str">
        <x:v>Put a white cup in the bowl.</x:v>
      </x:c>
      <x:c r="C54" s="55" t="str">
        <x:v>Put the closed, right-side-up white cup in the bowl.</x:v>
      </x:c>
      <x:c r="D54" s="54" t="str">
        <x:v>white_cup_b</x:v>
      </x:c>
      <x:c r="E54" s="54" t="str">
        <x:v>white cup</x:v>
      </x:c>
      <x:c r="F54" s="54" t="str">
        <x:v>closed</x:v>
      </x:c>
      <x:c r="G54" s="54" t="str">
        <x:v>upright</x:v>
      </x:c>
      <x:c r="H54" s="55" t="str">
        <x:v>white cup B: closed, upright | white cup A: open, upside down | glass spice container B: open, upright</x:v>
      </x:c>
      <x:c r="I54" s="55" t="str">
        <x:v>168e12e735da9ad62716dca89cff660b53082cc3</x:v>
      </x:c>
      <x:c r="J54" s="55" t="str">
        <x:v>Audit only — do not pass previous prompt to the model.</x:v>
      </x:c>
    </x:row>
    <x:row r="55">
      <x:c r="A55" s="56" t="n">
        <x:v>50</x:v>
      </x:c>
      <x:c r="B55" s="55" t="str">
        <x:v>Put a yellow-white striped cup in the bowl.</x:v>
      </x:c>
      <x:c r="C55" s="55" t="str">
        <x:v>Put the open, right-side-up yellow-white striped cup in the bowl.</x:v>
      </x:c>
      <x:c r="D55" s="54" t="str">
        <x:v>yellow_white_striped_cup_b</x:v>
      </x:c>
      <x:c r="E55" s="54" t="str">
        <x:v>yellow-white striped cup</x:v>
      </x:c>
      <x:c r="F55" s="54" t="str">
        <x:v>open</x:v>
      </x:c>
      <x:c r="G55" s="54" t="str">
        <x:v>upright</x:v>
      </x:c>
      <x:c r="H55" s="55" t="str">
        <x:v>yellow-white striped cup B: open, upright | yellow-white striped cup A: closed, upright | glass spice container B: open, upright | white cup A: open, upright</x:v>
      </x:c>
      <x:c r="I55" s="55" t="str">
        <x:v>168e12e735da9ad62716dca89cff660b53082cc3</x:v>
      </x:c>
      <x:c r="J55" s="55" t="str">
        <x:v>Audit only — do not pass previous prompt to the model.</x:v>
      </x:c>
    </x:row>
    <x:row r="56">
      <x:c r="A56" s="56" t="n">
        <x:v>51</x:v>
      </x:c>
      <x:c r="B56" s="55" t="str">
        <x:v>Put a yellow-white striped cup in the bowl.</x:v>
      </x:c>
      <x:c r="C56" s="55" t="str">
        <x:v>Put the closed, right-side-up yellow-white striped cup in the bowl.</x:v>
      </x:c>
      <x:c r="D56" s="54" t="str">
        <x:v>yellow_white_striped_cup_b</x:v>
      </x:c>
      <x:c r="E56" s="54" t="str">
        <x:v>yellow-white striped cup</x:v>
      </x:c>
      <x:c r="F56" s="54" t="str">
        <x:v>closed</x:v>
      </x:c>
      <x:c r="G56" s="54" t="str">
        <x:v>upright</x:v>
      </x:c>
      <x:c r="H56" s="55" t="str">
        <x:v>yellow-white striped cup B: closed, upright | yellow-white striped cup A: open, upright | white cup A: closed, upright</x:v>
      </x:c>
      <x:c r="I56" s="55" t="str">
        <x:v>168e12e735da9ad62716dca89cff660b53082cc3</x:v>
      </x:c>
      <x:c r="J56" s="55" t="str">
        <x:v>Audit only — do not pass previous prompt to the model.</x:v>
      </x:c>
    </x:row>
    <x:row r="57">
      <x:c r="A57" s="56" t="n">
        <x:v>52</x:v>
      </x:c>
      <x:c r="B57" s="55" t="str">
        <x:v>Put a yellow-white striped cup in the bowl.</x:v>
      </x:c>
      <x:c r="C57" s="55" t="str">
        <x:v>Put the open, right-side-up yellow-white striped cup in the bowl.</x:v>
      </x:c>
      <x:c r="D57" s="54" t="str">
        <x:v>yellow_white_striped_cup_a</x:v>
      </x:c>
      <x:c r="E57" s="54" t="str">
        <x:v>yellow-white striped cup</x:v>
      </x:c>
      <x:c r="F57" s="54" t="str">
        <x:v>open</x:v>
      </x:c>
      <x:c r="G57" s="54" t="str">
        <x:v>upright</x:v>
      </x:c>
      <x:c r="H57" s="55" t="str">
        <x:v>yellow-white striped cup A: open, upright | white cup A: closed, upright | brown cup B: closed, upright</x:v>
      </x:c>
      <x:c r="I57" s="55" t="str">
        <x:v>168e12e735da9ad62716dca89cff660b53082cc3</x:v>
      </x:c>
      <x:c r="J57" s="55" t="str">
        <x:v>Audit only — do not pass previous prompt to the model.</x:v>
      </x:c>
    </x:row>
    <x:row r="58">
      <x:c r="A58" s="56" t="n">
        <x:v>53</x:v>
      </x:c>
      <x:c r="B58" s="55" t="str">
        <x:v>Put a yellow-white striped cup in the bowl.</x:v>
      </x:c>
      <x:c r="C58" s="55" t="str">
        <x:v>Move the open yellow-white striped cup that is right-side-up into the bowl.</x:v>
      </x:c>
      <x:c r="D58" s="54" t="str">
        <x:v>yellow_white_striped_cup_b</x:v>
      </x:c>
      <x:c r="E58" s="54" t="str">
        <x:v>yellow-white striped cup</x:v>
      </x:c>
      <x:c r="F58" s="54" t="str">
        <x:v>open</x:v>
      </x:c>
      <x:c r="G58" s="54" t="str">
        <x:v>upright</x:v>
      </x:c>
      <x:c r="H58" s="55" t="str">
        <x:v>yellow-white striped cup B: open, upright | yellow-white striped cup A: closed, upright | glass spice container A: closed, upright | white cup B: closed, upright</x:v>
      </x:c>
      <x:c r="I58" s="55" t="str">
        <x:v>168e12e735da9ad62716dca89cff660b53082cc3</x:v>
      </x:c>
      <x:c r="J58" s="55" t="str">
        <x:v>Audit only — do not pass previous prompt to the model.</x:v>
      </x:c>
    </x:row>
    <x:row r="59">
      <x:c r="A59" s="56" t="n">
        <x:v>54</x:v>
      </x:c>
      <x:c r="B59" s="55" t="str">
        <x:v>Put a yellow-white striped cup in the bowl.</x:v>
      </x:c>
      <x:c r="C59" s="55" t="str">
        <x:v>Move the open yellow-white striped cup that is right-side-up into the bowl.</x:v>
      </x:c>
      <x:c r="D59" s="54" t="str">
        <x:v>yellow_white_striped_cup_b</x:v>
      </x:c>
      <x:c r="E59" s="54" t="str">
        <x:v>yellow-white striped cup</x:v>
      </x:c>
      <x:c r="F59" s="54" t="str">
        <x:v>open</x:v>
      </x:c>
      <x:c r="G59" s="54" t="str">
        <x:v>upright</x:v>
      </x:c>
      <x:c r="H59" s="55" t="str">
        <x:v>yellow-white striped cup B: open, upright | yellow-white striped cup A: closed, upright | white cup B: open, upright</x:v>
      </x:c>
      <x:c r="I59" s="55" t="str">
        <x:v>168e12e735da9ad62716dca89cff660b53082cc3</x:v>
      </x:c>
      <x:c r="J59" s="55" t="str">
        <x:v>Audit only — do not pass previous prompt to the model.</x:v>
      </x:c>
    </x:row>
    <x:row r="60">
      <x:c r="A60" s="56" t="n">
        <x:v>55</x:v>
      </x:c>
      <x:c r="B60" s="55" t="str">
        <x:v>Put a yellow-white striped cup in the bowl.</x:v>
      </x:c>
      <x:c r="C60" s="55" t="str">
        <x:v>Put the closed, right-side-up yellow-white striped cup in the bowl.</x:v>
      </x:c>
      <x:c r="D60" s="54" t="str">
        <x:v>yellow_white_striped_cup_a</x:v>
      </x:c>
      <x:c r="E60" s="54" t="str">
        <x:v>yellow-white striped cup</x:v>
      </x:c>
      <x:c r="F60" s="54" t="str">
        <x:v>closed</x:v>
      </x:c>
      <x:c r="G60" s="54" t="str">
        <x:v>upright</x:v>
      </x:c>
      <x:c r="H60" s="55" t="str">
        <x:v>yellow-white striped cup A: closed, upright | yellow-white striped cup B: open, upright | brown cup A: closed, upright</x:v>
      </x:c>
      <x:c r="I60" s="55" t="str">
        <x:v>168e12e735da9ad62716dca89cff660b53082cc3</x:v>
      </x:c>
      <x:c r="J60" s="55" t="str">
        <x:v>Audit only — do not pass previous prompt to the model.</x:v>
      </x:c>
    </x:row>
    <x:row r="61">
      <x:c r="A61" s="56" t="n">
        <x:v>56</x:v>
      </x:c>
      <x:c r="B61" s="55" t="str">
        <x:v>Put a yellow-white striped cup in the bowl.</x:v>
      </x:c>
      <x:c r="C61" s="55" t="str">
        <x:v>Move the closed yellow-white striped cup that is right-side-up into the bowl.</x:v>
      </x:c>
      <x:c r="D61" s="54" t="str">
        <x:v>yellow_white_striped_cup_b</x:v>
      </x:c>
      <x:c r="E61" s="54" t="str">
        <x:v>yellow-white striped cup</x:v>
      </x:c>
      <x:c r="F61" s="54" t="str">
        <x:v>closed</x:v>
      </x:c>
      <x:c r="G61" s="54" t="str">
        <x:v>upright</x:v>
      </x:c>
      <x:c r="H61" s="55" t="str">
        <x:v>yellow-white striped cup B: closed, upright | yellow-white striped cup A: open, upright | glass spice container B: closed, upright</x:v>
      </x:c>
      <x:c r="I61" s="55" t="str">
        <x:v>168e12e735da9ad62716dca89cff660b53082cc3</x:v>
      </x:c>
      <x:c r="J61" s="55" t="str">
        <x:v>Audit only — do not pass previous prompt to the model.</x:v>
      </x:c>
    </x:row>
    <x:row r="62">
      <x:c r="A62" s="56" t="n">
        <x:v>57</x:v>
      </x:c>
      <x:c r="B62" s="55" t="str">
        <x:v>Put a yellow-white striped cup in the bowl.</x:v>
      </x:c>
      <x:c r="C62" s="55" t="str">
        <x:v>Move the open yellow-white striped cup that is right-side-up into the bowl.</x:v>
      </x:c>
      <x:c r="D62" s="54" t="str">
        <x:v>yellow_white_striped_cup_a</x:v>
      </x:c>
      <x:c r="E62" s="54" t="str">
        <x:v>yellow-white striped cup</x:v>
      </x:c>
      <x:c r="F62" s="54" t="str">
        <x:v>open</x:v>
      </x:c>
      <x:c r="G62" s="54" t="str">
        <x:v>upright</x:v>
      </x:c>
      <x:c r="H62" s="55" t="str">
        <x:v>yellow-white striped cup A: open, upright | brown cup B: closed, upright | glass spice container B: closed, upright</x:v>
      </x:c>
      <x:c r="I62" s="55" t="str">
        <x:v>168e12e735da9ad62716dca89cff660b53082cc3</x:v>
      </x:c>
      <x:c r="J62" s="55" t="str">
        <x:v>Audit only — do not pass previous prompt to the model.</x:v>
      </x:c>
    </x:row>
    <x:row r="63">
      <x:c r="A63" s="56" t="n">
        <x:v>58</x:v>
      </x:c>
      <x:c r="B63" s="55" t="str">
        <x:v>Put a yellow-white striped cup in the bowl.</x:v>
      </x:c>
      <x:c r="C63" s="55" t="str">
        <x:v>Put the closed, right-side-up yellow-white striped cup in the bowl.</x:v>
      </x:c>
      <x:c r="D63" s="54" t="str">
        <x:v>yellow_white_striped_cup_b</x:v>
      </x:c>
      <x:c r="E63" s="54" t="str">
        <x:v>yellow-white striped cup</x:v>
      </x:c>
      <x:c r="F63" s="54" t="str">
        <x:v>closed</x:v>
      </x:c>
      <x:c r="G63" s="54" t="str">
        <x:v>upright</x:v>
      </x:c>
      <x:c r="H63" s="55" t="str">
        <x:v>yellow-white striped cup B: closed, upright | glass spice container B: open, upright | white cup B: open, upright | brown cup A: open, upright</x:v>
      </x:c>
      <x:c r="I63" s="55" t="str">
        <x:v>168e12e735da9ad62716dca89cff660b53082cc3</x:v>
      </x:c>
      <x:c r="J63" s="55" t="str">
        <x:v>Audit only — do not pass previous prompt to the model.</x:v>
      </x:c>
    </x:row>
    <x:row r="64">
      <x:c r="A64" s="56" t="n">
        <x:v>59</x:v>
      </x:c>
      <x:c r="B64" s="55" t="str">
        <x:v>Put a yellow-white striped cup in the bowl.</x:v>
      </x:c>
      <x:c r="C64" s="55" t="str">
        <x:v>Put the open, right-side-up yellow-white striped cup in the bowl.</x:v>
      </x:c>
      <x:c r="D64" s="54" t="str">
        <x:v>yellow_white_striped_cup_a</x:v>
      </x:c>
      <x:c r="E64" s="54" t="str">
        <x:v>yellow-white striped cup</x:v>
      </x:c>
      <x:c r="F64" s="54" t="str">
        <x:v>open</x:v>
      </x:c>
      <x:c r="G64" s="54" t="str">
        <x:v>upright</x:v>
      </x:c>
      <x:c r="H64" s="55" t="str">
        <x:v>yellow-white striped cup A: open, upright | yellow-white striped cup B: closed, upright | glass spice container A: open, upright</x:v>
      </x:c>
      <x:c r="I64" s="55" t="str">
        <x:v>168e12e735da9ad62716dca89cff660b53082cc3</x:v>
      </x:c>
      <x:c r="J64" s="55" t="str">
        <x:v>Audit only — do not pass previous prompt to the model.</x:v>
      </x:c>
    </x:row>
    <x:row r="65">
      <x:c r="A65" s="56" t="n">
        <x:v>60</x:v>
      </x:c>
      <x:c r="B65" s="55" t="str">
        <x:v>Put a yellow-white striped cup in the bowl.</x:v>
      </x:c>
      <x:c r="C65" s="55" t="str">
        <x:v>Put the closed, right-side-up yellow-white striped cup in the bowl.</x:v>
      </x:c>
      <x:c r="D65" s="54" t="str">
        <x:v>yellow_white_striped_cup_b</x:v>
      </x:c>
      <x:c r="E65" s="54" t="str">
        <x:v>yellow-white striped cup</x:v>
      </x:c>
      <x:c r="F65" s="54" t="str">
        <x:v>closed</x:v>
      </x:c>
      <x:c r="G65" s="54" t="str">
        <x:v>upright</x:v>
      </x:c>
      <x:c r="H65" s="55" t="str">
        <x:v>yellow-white striped cup B: closed, upright | yellow-white striped cup A: open, upright | white cup B: open, upright</x:v>
      </x:c>
      <x:c r="I65" s="55" t="str">
        <x:v>168e12e735da9ad62716dca89cff660b53082cc3</x:v>
      </x:c>
      <x:c r="J65" s="55" t="str">
        <x:v>Audit only — do not pass previous prompt to the model.</x:v>
      </x:c>
    </x:row>
    <x:row r="66">
      <x:c r="A66" s="56" t="n">
        <x:v>61</x:v>
      </x:c>
      <x:c r="B66" s="55" t="str">
        <x:v>Put a yellow-white striped cup in the bowl.</x:v>
      </x:c>
      <x:c r="C66" s="55" t="str">
        <x:v>Pick up the yellow-white striped cup that is closed and right-side-up, then place it in the bowl.</x:v>
      </x:c>
      <x:c r="D66" s="54" t="str">
        <x:v>yellow_white_striped_cup_a</x:v>
      </x:c>
      <x:c r="E66" s="54" t="str">
        <x:v>yellow-white striped cup</x:v>
      </x:c>
      <x:c r="F66" s="54" t="str">
        <x:v>closed</x:v>
      </x:c>
      <x:c r="G66" s="54" t="str">
        <x:v>upright</x:v>
      </x:c>
      <x:c r="H66" s="55" t="str">
        <x:v>yellow-white striped cup A: closed, upright | yellow-white striped cup B: open, upright | brown cup A: closed, upright | glass spice container B: open, upright</x:v>
      </x:c>
      <x:c r="I66" s="55" t="str">
        <x:v>168e12e735da9ad62716dca89cff660b53082cc3</x:v>
      </x:c>
      <x:c r="J66" s="55" t="str">
        <x:v>Audit only — do not pass previous prompt to the model.</x:v>
      </x:c>
    </x:row>
    <x:row r="67">
      <x:c r="A67" s="56" t="n">
        <x:v>62</x:v>
      </x:c>
      <x:c r="B67" s="55" t="str">
        <x:v>Put a yellow-white striped cup in the bowl.</x:v>
      </x:c>
      <x:c r="C67" s="55" t="str">
        <x:v>Move the closed yellow-white striped cup that is right-side-up into the bowl.</x:v>
      </x:c>
      <x:c r="D67" s="54" t="str">
        <x:v>yellow_white_striped_cup_b</x:v>
      </x:c>
      <x:c r="E67" s="54" t="str">
        <x:v>yellow-white striped cup</x:v>
      </x:c>
      <x:c r="F67" s="54" t="str">
        <x:v>closed</x:v>
      </x:c>
      <x:c r="G67" s="54" t="str">
        <x:v>upright</x:v>
      </x:c>
      <x:c r="H67" s="55" t="str">
        <x:v>yellow-white striped cup B: closed, upright | white cup B: open, upright | brown cup A: open, upright</x:v>
      </x:c>
      <x:c r="I67" s="55" t="str">
        <x:v>168e12e735da9ad62716dca89cff660b53082cc3</x:v>
      </x:c>
      <x:c r="J67" s="55" t="str">
        <x:v>Audit only — do not pass previous prompt to the model.</x:v>
      </x:c>
    </x:row>
    <x:row r="68">
      <x:c r="A68" s="56" t="n">
        <x:v>63</x:v>
      </x:c>
      <x:c r="B68" s="55" t="str">
        <x:v>Put a yellow-white striped cup in the bowl.</x:v>
      </x:c>
      <x:c r="C68" s="55" t="str">
        <x:v>Put the open, right-side-up yellow-white striped cup in the bowl.</x:v>
      </x:c>
      <x:c r="D68" s="54" t="str">
        <x:v>yellow_white_striped_cup_b</x:v>
      </x:c>
      <x:c r="E68" s="54" t="str">
        <x:v>yellow-white striped cup</x:v>
      </x:c>
      <x:c r="F68" s="54" t="str">
        <x:v>open</x:v>
      </x:c>
      <x:c r="G68" s="54" t="str">
        <x:v>upright</x:v>
      </x:c>
      <x:c r="H68" s="55" t="str">
        <x:v>yellow-white striped cup B: open, upright | yellow-white striped cup A: closed, upright | white cup A: closed, upright</x:v>
      </x:c>
      <x:c r="I68" s="55" t="str">
        <x:v>168e12e735da9ad62716dca89cff660b53082cc3</x:v>
      </x:c>
      <x:c r="J68" s="55" t="str">
        <x:v>Audit only — do not pass previous prompt to the model.</x:v>
      </x:c>
    </x:row>
    <x:row r="69">
      <x:c r="A69" s="56" t="n">
        <x:v>64</x:v>
      </x:c>
      <x:c r="B69" s="55" t="str">
        <x:v>Put a yellow-white striped cup in the bowl.</x:v>
      </x:c>
      <x:c r="C69" s="55" t="str">
        <x:v>Pick up the yellow-white striped cup that is open and right-side-up, then place it in the bowl.</x:v>
      </x:c>
      <x:c r="D69" s="54" t="str">
        <x:v>yellow_white_striped_cup_a</x:v>
      </x:c>
      <x:c r="E69" s="54" t="str">
        <x:v>yellow-white striped cup</x:v>
      </x:c>
      <x:c r="F69" s="54" t="str">
        <x:v>open</x:v>
      </x:c>
      <x:c r="G69" s="54" t="str">
        <x:v>upright</x:v>
      </x:c>
      <x:c r="H69" s="55" t="str">
        <x:v>yellow-white striped cup A: open, upright | yellow-white striped cup B: closed, upright | brown cup B: open, upright | glass spice container A: open, upright</x:v>
      </x:c>
      <x:c r="I69" s="55" t="str">
        <x:v>168e12e735da9ad62716dca89cff660b53082cc3</x:v>
      </x:c>
      <x:c r="J69" s="55" t="str">
        <x:v>Audit only — do not pass previous prompt to the model.</x:v>
      </x:c>
    </x:row>
    <x:row r="70">
      <x:c r="A70" s="56" t="n">
        <x:v>65</x:v>
      </x:c>
      <x:c r="B70" s="55" t="str">
        <x:v>Put a yellow-white striped cup in the bowl.</x:v>
      </x:c>
      <x:c r="C70" s="55" t="str">
        <x:v>Pick up the yellow-white striped cup that is closed and right-side-up, then place it in the bowl.</x:v>
      </x:c>
      <x:c r="D70" s="54" t="str">
        <x:v>yellow_white_striped_cup_b</x:v>
      </x:c>
      <x:c r="E70" s="54" t="str">
        <x:v>yellow-white striped cup</x:v>
      </x:c>
      <x:c r="F70" s="54" t="str">
        <x:v>closed</x:v>
      </x:c>
      <x:c r="G70" s="54" t="str">
        <x:v>upright</x:v>
      </x:c>
      <x:c r="H70" s="55" t="str">
        <x:v>yellow-white striped cup B: closed, upright | yellow-white striped cup A: open, upright | glass spice container A: closed, upright</x:v>
      </x:c>
      <x:c r="I70" s="55" t="str">
        <x:v>168e12e735da9ad62716dca89cff660b53082cc3</x:v>
      </x:c>
      <x:c r="J70" s="55" t="str">
        <x:v>Audit only — do not pass previous prompt to the model.</x:v>
      </x:c>
    </x:row>
    <x:row r="71">
      <x:c r="A71" s="56" t="n">
        <x:v>66</x:v>
      </x:c>
      <x:c r="B71" s="55" t="str">
        <x:v>Put a yellow-white striped cup in the bowl.</x:v>
      </x:c>
      <x:c r="C71" s="55" t="str">
        <x:v>Pick up the yellow-white striped cup that is open and right-side-up, then place it in the bowl.</x:v>
      </x:c>
      <x:c r="D71" s="54" t="str">
        <x:v>yellow_white_striped_cup_a</x:v>
      </x:c>
      <x:c r="E71" s="54" t="str">
        <x:v>yellow-white striped cup</x:v>
      </x:c>
      <x:c r="F71" s="54" t="str">
        <x:v>open</x:v>
      </x:c>
      <x:c r="G71" s="54" t="str">
        <x:v>upright</x:v>
      </x:c>
      <x:c r="H71" s="55" t="str">
        <x:v>yellow-white striped cup A: open, upright | brown cup A: closed, upright | glass spice container A: closed, upright | white cup A: closed, upright</x:v>
      </x:c>
      <x:c r="I71" s="55" t="str">
        <x:v>168e12e735da9ad62716dca89cff660b53082cc3</x:v>
      </x:c>
      <x:c r="J71" s="55" t="str">
        <x:v>Audit only — do not pass previous prompt to the model.</x:v>
      </x:c>
    </x:row>
    <x:row r="72">
      <x:c r="A72" s="56" t="n">
        <x:v>67</x:v>
      </x:c>
      <x:c r="B72" s="55" t="str">
        <x:v>Put a yellow-white striped cup in the bowl.</x:v>
      </x:c>
      <x:c r="C72" s="55" t="str">
        <x:v>Pick up the yellow-white striped cup that is closed and right-side-up, then place it in the bowl.</x:v>
      </x:c>
      <x:c r="D72" s="54" t="str">
        <x:v>yellow_white_striped_cup_a</x:v>
      </x:c>
      <x:c r="E72" s="54" t="str">
        <x:v>yellow-white striped cup</x:v>
      </x:c>
      <x:c r="F72" s="54" t="str">
        <x:v>closed</x:v>
      </x:c>
      <x:c r="G72" s="54" t="str">
        <x:v>upright</x:v>
      </x:c>
      <x:c r="H72" s="55" t="str">
        <x:v>yellow-white striped cup A: closed, upright | yellow-white striped cup B: open, upright | brown cup A: closed, upright</x:v>
      </x:c>
      <x:c r="I72" s="55" t="str">
        <x:v>168e12e735da9ad62716dca89cff660b53082cc3</x:v>
      </x:c>
      <x:c r="J72" s="55" t="str">
        <x:v>Audit only — do not pass previous prompt to the model.</x:v>
      </x:c>
    </x:row>
    <x:row r="73">
      <x:c r="A73" s="56" t="n">
        <x:v>68</x:v>
      </x:c>
      <x:c r="B73" s="55" t="str">
        <x:v>Put a yellow-white striped cup in the bowl.</x:v>
      </x:c>
      <x:c r="C73" s="55" t="str">
        <x:v>Pick up the yellow-white striped cup that is closed and right-side-up, then place it in the bowl.</x:v>
      </x:c>
      <x:c r="D73" s="54" t="str">
        <x:v>yellow_white_striped_cup_b</x:v>
      </x:c>
      <x:c r="E73" s="54" t="str">
        <x:v>yellow-white striped cup</x:v>
      </x:c>
      <x:c r="F73" s="54" t="str">
        <x:v>closed</x:v>
      </x:c>
      <x:c r="G73" s="54" t="str">
        <x:v>upright</x:v>
      </x:c>
      <x:c r="H73" s="55" t="str">
        <x:v>yellow-white striped cup B: closed, upright | yellow-white striped cup A: open, upright | glass spice container B: open, upright | white cup A: open, upright</x:v>
      </x:c>
      <x:c r="I73" s="55" t="str">
        <x:v>168e12e735da9ad62716dca89cff660b53082cc3</x:v>
      </x:c>
      <x:c r="J73" s="55" t="str">
        <x:v>Audit only — do not pass previous prompt to the model.</x:v>
      </x:c>
    </x:row>
    <x:row r="74">
      <x:c r="A74" s="56" t="n">
        <x:v>69</x:v>
      </x:c>
      <x:c r="B74" s="55" t="str">
        <x:v>Put a yellow-white striped cup in the bowl.</x:v>
      </x:c>
      <x:c r="C74" s="55" t="str">
        <x:v>Pick up the yellow-white striped cup that is open and right-side-up, then place it in the bowl.</x:v>
      </x:c>
      <x:c r="D74" s="54" t="str">
        <x:v>yellow_white_striped_cup_a</x:v>
      </x:c>
      <x:c r="E74" s="54" t="str">
        <x:v>yellow-white striped cup</x:v>
      </x:c>
      <x:c r="F74" s="54" t="str">
        <x:v>open</x:v>
      </x:c>
      <x:c r="G74" s="54" t="str">
        <x:v>upright</x:v>
      </x:c>
      <x:c r="H74" s="55" t="str">
        <x:v>yellow-white striped cup A: open, upright | yellow-white striped cup B: closed, upright | white cup A: closed, upright | brown cup B: closed, upright</x:v>
      </x:c>
      <x:c r="I74" s="55" t="str">
        <x:v>168e12e735da9ad62716dca89cff660b53082cc3</x:v>
      </x:c>
      <x:c r="J74" s="55" t="str">
        <x:v>Audit only — do not pass previous prompt to the model.</x:v>
      </x:c>
    </x:row>
    <x:row r="75">
      <x:c r="A75" s="56" t="n">
        <x:v>70</x:v>
      </x:c>
      <x:c r="B75" s="55" t="str">
        <x:v>Put a yellow-white striped cup in the bowl.</x:v>
      </x:c>
      <x:c r="C75" s="55" t="str">
        <x:v>Move the closed yellow-white striped cup that is right-side-up into the bowl.</x:v>
      </x:c>
      <x:c r="D75" s="54" t="str">
        <x:v>yellow_white_striped_cup_a</x:v>
      </x:c>
      <x:c r="E75" s="54" t="str">
        <x:v>yellow-white striped cup</x:v>
      </x:c>
      <x:c r="F75" s="54" t="str">
        <x:v>closed</x:v>
      </x:c>
      <x:c r="G75" s="54" t="str">
        <x:v>upright</x:v>
      </x:c>
      <x:c r="H75" s="55" t="str">
        <x:v>yellow-white striped cup A: closed, upright | glass spice container A: open, upright | white cup A: open, upright</x:v>
      </x:c>
      <x:c r="I75" s="55" t="str">
        <x:v>168e12e735da9ad62716dca89cff660b53082cc3</x:v>
      </x:c>
      <x:c r="J75" s="55" t="str">
        <x:v>Audit only — do not pass previous prompt to the model.</x:v>
      </x:c>
    </x:row>
    <x:row r="76">
      <x:c r="A76" s="56" t="n">
        <x:v>71</x:v>
      </x:c>
      <x:c r="B76" s="55" t="str">
        <x:v>Put a yellow-white striped cup in the bowl.</x:v>
      </x:c>
      <x:c r="C76" s="55" t="str">
        <x:v>Move the open yellow-white striped cup that is right-side-up into the bowl.</x:v>
      </x:c>
      <x:c r="D76" s="54" t="str">
        <x:v>yellow_white_striped_cup_b</x:v>
      </x:c>
      <x:c r="E76" s="54" t="str">
        <x:v>yellow-white striped cup</x:v>
      </x:c>
      <x:c r="F76" s="54" t="str">
        <x:v>open</x:v>
      </x:c>
      <x:c r="G76" s="54" t="str">
        <x:v>upright</x:v>
      </x:c>
      <x:c r="H76" s="55" t="str">
        <x:v>yellow-white striped cup B: open, upright | yellow-white striped cup A: closed, upright | glass spice container A: open, upright | white cup B: closed, upright</x:v>
      </x:c>
      <x:c r="I76" s="55" t="str">
        <x:v>168e12e735da9ad62716dca89cff660b53082cc3</x:v>
      </x:c>
      <x:c r="J76" s="55" t="str">
        <x:v>Audit only — do not pass previous prompt to the model.</x:v>
      </x:c>
    </x:row>
    <x:row r="77">
      <x:c r="A77" s="56" t="n">
        <x:v>72</x:v>
      </x:c>
      <x:c r="B77" s="55" t="str">
        <x:v>Put a yellow-white striped cup in the bowl.</x:v>
      </x:c>
      <x:c r="C77" s="55" t="str">
        <x:v>Move the open yellow-white striped cup that is right-side-up into the bowl.</x:v>
      </x:c>
      <x:c r="D77" s="54" t="str">
        <x:v>yellow_white_striped_cup_b</x:v>
      </x:c>
      <x:c r="E77" s="54" t="str">
        <x:v>yellow-white striped cup</x:v>
      </x:c>
      <x:c r="F77" s="54" t="str">
        <x:v>open</x:v>
      </x:c>
      <x:c r="G77" s="54" t="str">
        <x:v>upright</x:v>
      </x:c>
      <x:c r="H77" s="55" t="str">
        <x:v>yellow-white striped cup B: open, upright | white cup A: closed, upright | brown cup B: closed, upright | glass spice container B: closed, upright</x:v>
      </x:c>
      <x:c r="I77" s="55" t="str">
        <x:v>168e12e735da9ad62716dca89cff660b53082cc3</x:v>
      </x:c>
      <x:c r="J77" s="55" t="str">
        <x:v>Audit only — do not pass previous prompt to the model.</x:v>
      </x:c>
    </x:row>
    <x:row r="78">
      <x:c r="A78" s="56" t="n">
        <x:v>73</x:v>
      </x:c>
      <x:c r="B78" s="55" t="str">
        <x:v>Put a yellow-white striped cup in the bowl.</x:v>
      </x:c>
      <x:c r="C78" s="55" t="str">
        <x:v>Put the closed, right-side-up yellow-white striped cup in the bowl.</x:v>
      </x:c>
      <x:c r="D78" s="54" t="str">
        <x:v>yellow_white_striped_cup_a</x:v>
      </x:c>
      <x:c r="E78" s="54" t="str">
        <x:v>yellow-white striped cup</x:v>
      </x:c>
      <x:c r="F78" s="54" t="str">
        <x:v>closed</x:v>
      </x:c>
      <x:c r="G78" s="54" t="str">
        <x:v>upright</x:v>
      </x:c>
      <x:c r="H78" s="55" t="str">
        <x:v>yellow-white striped cup A: closed, upright | yellow-white striped cup B: open, upright | brown cup A: open, upright | glass spice container B: open, upright</x:v>
      </x:c>
      <x:c r="I78" s="55" t="str">
        <x:v>168e12e735da9ad62716dca89cff660b53082cc3</x:v>
      </x:c>
      <x:c r="J78" s="55" t="str">
        <x:v>Audit only — do not pass previous prompt to the model.</x:v>
      </x:c>
    </x:row>
    <x:row r="79">
      <x:c r="A79" s="56" t="n">
        <x:v>74</x:v>
      </x:c>
      <x:c r="B79" s="55" t="str">
        <x:v>Put a yellow-white striped cup in the bowl.</x:v>
      </x:c>
      <x:c r="C79" s="55" t="str">
        <x:v>Put the closed, right-side-up yellow-white striped cup in the bowl.</x:v>
      </x:c>
      <x:c r="D79" s="54" t="str">
        <x:v>yellow_white_striped_cup_a</x:v>
      </x:c>
      <x:c r="E79" s="54" t="str">
        <x:v>yellow-white striped cup</x:v>
      </x:c>
      <x:c r="F79" s="54" t="str">
        <x:v>closed</x:v>
      </x:c>
      <x:c r="G79" s="54" t="str">
        <x:v>upright</x:v>
      </x:c>
      <x:c r="H79" s="55" t="str">
        <x:v>yellow-white striped cup A: closed, upright | yellow-white striped cup B: open, upright | glass spice container B: closed, upright | white cup A: closed, upright</x:v>
      </x:c>
      <x:c r="I79" s="55" t="str">
        <x:v>168e12e735da9ad62716dca89cff660b53082cc3</x:v>
      </x:c>
      <x:c r="J79" s="55" t="str">
        <x:v>Audit only — do not pass previous prompt to the model.</x:v>
      </x:c>
    </x:row>
    <x:row r="80">
      <x:c r="A80" s="56" t="n">
        <x:v>75</x:v>
      </x:c>
      <x:c r="B80" s="55" t="str">
        <x:v>Put a yellow-white striped cup in the bowl.</x:v>
      </x:c>
      <x:c r="C80" s="55" t="str">
        <x:v>Pick up the yellow-white striped cup that is closed and right-side-up, then place it in the bowl.</x:v>
      </x:c>
      <x:c r="D80" s="54" t="str">
        <x:v>yellow_white_striped_cup_b</x:v>
      </x:c>
      <x:c r="E80" s="54" t="str">
        <x:v>yellow-white striped cup</x:v>
      </x:c>
      <x:c r="F80" s="54" t="str">
        <x:v>closed</x:v>
      </x:c>
      <x:c r="G80" s="54" t="str">
        <x:v>upright</x:v>
      </x:c>
      <x:c r="H80" s="55" t="str">
        <x:v>yellow-white striped cup B: closed, upright | yellow-white striped cup A: open, upside down | brown cup A: open, upright | glass spice container B: closed, upside down</x:v>
      </x:c>
      <x:c r="I80" s="55" t="str">
        <x:v>168e12e735da9ad62716dca89cff660b53082cc3</x:v>
      </x:c>
      <x:c r="J80" s="55" t="str">
        <x:v>Audit only — do not pass previous prompt to the model.</x:v>
      </x:c>
    </x:row>
    <x:row r="81">
      <x:c r="A81" s="56" t="n">
        <x:v>76</x:v>
      </x:c>
      <x:c r="B81" s="55" t="str">
        <x:v>Put a yellow-white striped cup in the bowl.</x:v>
      </x:c>
      <x:c r="C81" s="55" t="str">
        <x:v>Put the open, right-side-up yellow-white striped cup in the bowl.</x:v>
      </x:c>
      <x:c r="D81" s="54" t="str">
        <x:v>yellow_white_striped_cup_b</x:v>
      </x:c>
      <x:c r="E81" s="54" t="str">
        <x:v>yellow-white striped cup</x:v>
      </x:c>
      <x:c r="F81" s="54" t="str">
        <x:v>open</x:v>
      </x:c>
      <x:c r="G81" s="54" t="str">
        <x:v>upright</x:v>
      </x:c>
      <x:c r="H81" s="55" t="str">
        <x:v>yellow-white striped cup B: open, upright | yellow-white striped cup A: closed, upside down | glass spice container B: open, upright | white cup A: closed, upright</x:v>
      </x:c>
      <x:c r="I81" s="55" t="str">
        <x:v>168e12e735da9ad62716dca89cff660b53082cc3</x:v>
      </x:c>
      <x:c r="J81" s="55" t="str">
        <x:v>Audit only — do not pass previous prompt to the model.</x:v>
      </x:c>
    </x:row>
    <x:row r="82">
      <x:c r="A82" s="56" t="n">
        <x:v>77</x:v>
      </x:c>
      <x:c r="B82" s="55" t="str">
        <x:v>Put a yellow-white striped cup in the bowl.</x:v>
      </x:c>
      <x:c r="C82" s="55" t="str">
        <x:v>Put the upside-down yellow-white striped cup in the bowl.</x:v>
      </x:c>
      <x:c r="D82" s="54" t="str">
        <x:v>yellow_white_striped_cup_a</x:v>
      </x:c>
      <x:c r="E82" s="54" t="str">
        <x:v>yellow-white striped cup</x:v>
      </x:c>
      <x:c r="F82" s="54" t="str">
        <x:v>closed</x:v>
      </x:c>
      <x:c r="G82" s="54" t="str">
        <x:v>upside down</x:v>
      </x:c>
      <x:c r="H82" s="55" t="str">
        <x:v>yellow-white striped cup A: closed, upside down | glass spice container A: closed, upright | white cup A: open, upright</x:v>
      </x:c>
      <x:c r="I82" s="55" t="str">
        <x:v>168e12e735da9ad62716dca89cff660b53082cc3</x:v>
      </x:c>
      <x:c r="J82" s="55" t="str">
        <x:v>Audit only — do not pass previous prompt to the model.</x:v>
      </x:c>
    </x:row>
    <x:row r="83">
      <x:c r="A83" s="56" t="n">
        <x:v>78</x:v>
      </x:c>
      <x:c r="B83" s="55" t="str">
        <x:v>Put a yellow-white striped cup in the bowl.</x:v>
      </x:c>
      <x:c r="C83" s="55" t="str">
        <x:v>Put the open, upside-down yellow-white striped cup in the bowl.</x:v>
      </x:c>
      <x:c r="D83" s="54" t="str">
        <x:v>yellow_white_striped_cup_b</x:v>
      </x:c>
      <x:c r="E83" s="54" t="str">
        <x:v>yellow-white striped cup</x:v>
      </x:c>
      <x:c r="F83" s="54" t="str">
        <x:v>open</x:v>
      </x:c>
      <x:c r="G83" s="54" t="str">
        <x:v>upside down</x:v>
      </x:c>
      <x:c r="H83" s="55" t="str">
        <x:v>yellow-white striped cup B: open, upside down | yellow-white striped cup A: open, upright | brown cup B: closed, upright | glass spice container A: open, upright</x:v>
      </x:c>
      <x:c r="I83" s="55" t="str">
        <x:v>168e12e735da9ad62716dca89cff660b53082cc3</x:v>
      </x:c>
      <x:c r="J83" s="55" t="str">
        <x:v>Audit only — do not pass previous prompt to the model.</x:v>
      </x:c>
    </x:row>
    <x:row r="84">
      <x:c r="A84" s="56" t="n">
        <x:v>79</x:v>
      </x:c>
      <x:c r="B84" s="55" t="str">
        <x:v>Put a yellow-white striped cup in the bowl.</x:v>
      </x:c>
      <x:c r="C84" s="55" t="str">
        <x:v>Move the closed yellow-white striped cup that is right-side-up into the bowl.</x:v>
      </x:c>
      <x:c r="D84" s="54" t="str">
        <x:v>yellow_white_striped_cup_a</x:v>
      </x:c>
      <x:c r="E84" s="54" t="str">
        <x:v>yellow-white striped cup</x:v>
      </x:c>
      <x:c r="F84" s="54" t="str">
        <x:v>closed</x:v>
      </x:c>
      <x:c r="G84" s="54" t="str">
        <x:v>upright</x:v>
      </x:c>
      <x:c r="H84" s="55" t="str">
        <x:v>yellow-white striped cup A: closed, upright | yellow-white striped cup B: open, upside down | glass spice container A: open, upright</x:v>
      </x:c>
      <x:c r="I84" s="55" t="str">
        <x:v>168e12e735da9ad62716dca89cff660b53082cc3</x:v>
      </x:c>
      <x:c r="J84" s="55" t="str">
        <x:v>Audit only — do not pass previous prompt to the model.</x:v>
      </x:c>
    </x:row>
    <x:row r="85">
      <x:c r="A85" s="56" t="n">
        <x:v>80</x:v>
      </x:c>
      <x:c r="B85" s="55" t="str">
        <x:v>Put a yellow-white striped cup in the bowl.</x:v>
      </x:c>
      <x:c r="C85" s="55" t="str">
        <x:v>Pick up the yellow-white striped cup that is open and right-side-up, then place it in the bowl.</x:v>
      </x:c>
      <x:c r="D85" s="54" t="str">
        <x:v>yellow_white_striped_cup_a</x:v>
      </x:c>
      <x:c r="E85" s="54" t="str">
        <x:v>yellow-white striped cup</x:v>
      </x:c>
      <x:c r="F85" s="54" t="str">
        <x:v>open</x:v>
      </x:c>
      <x:c r="G85" s="54" t="str">
        <x:v>upright</x:v>
      </x:c>
      <x:c r="H85" s="55" t="str">
        <x:v>yellow-white striped cup A: open, upright | yellow-white striped cup B: closed, upside down | white cup B: open, upside down | brown cup A: closed, upside down</x:v>
      </x:c>
      <x:c r="I85" s="55" t="str">
        <x:v>168e12e735da9ad62716dca89cff660b53082cc3</x:v>
      </x:c>
      <x:c r="J85" s="55" t="str">
        <x:v>Audit only — do not pass previous prompt to the model.</x:v>
      </x:c>
    </x:row>
    <x:row r="86">
      <x:c r="A86" s="56" t="n">
        <x:v>81</x:v>
      </x:c>
      <x:c r="B86" s="55" t="str">
        <x:v>Put a yellow-white striped cup in the bowl.</x:v>
      </x:c>
      <x:c r="C86" s="55" t="str">
        <x:v>Put the upside-down yellow-white striped cup in the bowl.</x:v>
      </x:c>
      <x:c r="D86" s="54" t="str">
        <x:v>yellow_white_striped_cup_b</x:v>
      </x:c>
      <x:c r="E86" s="54" t="str">
        <x:v>yellow-white striped cup</x:v>
      </x:c>
      <x:c r="F86" s="54" t="str">
        <x:v>closed</x:v>
      </x:c>
      <x:c r="G86" s="54" t="str">
        <x:v>upside down</x:v>
      </x:c>
      <x:c r="H86" s="55" t="str">
        <x:v>yellow-white striped cup B: closed, upside down | white cup A: open, upright | brown cup B: closed, upright | glass spice container B: open, upright</x:v>
      </x:c>
      <x:c r="I86" s="55" t="str">
        <x:v>168e12e735da9ad62716dca89cff660b53082cc3</x:v>
      </x:c>
      <x:c r="J86" s="55" t="str">
        <x:v>Audit only — do not pass previous prompt to the model.</x:v>
      </x:c>
    </x:row>
    <x:row r="87">
      <x:c r="A87" s="56" t="n">
        <x:v>82</x:v>
      </x:c>
      <x:c r="B87" s="55" t="str">
        <x:v>Put a yellow-white striped cup in the bowl.</x:v>
      </x:c>
      <x:c r="C87" s="55" t="str">
        <x:v>Move the open yellow-white striped cup that is right-side-up into the bowl.</x:v>
      </x:c>
      <x:c r="D87" s="54" t="str">
        <x:v>yellow_white_striped_cup_b</x:v>
      </x:c>
      <x:c r="E87" s="54" t="str">
        <x:v>yellow-white striped cup</x:v>
      </x:c>
      <x:c r="F87" s="54" t="str">
        <x:v>open</x:v>
      </x:c>
      <x:c r="G87" s="54" t="str">
        <x:v>upright</x:v>
      </x:c>
      <x:c r="H87" s="55" t="str">
        <x:v>yellow-white striped cup B: open, upright | yellow-white striped cup A: open, upside down | glass spice container B: closed, upright</x:v>
      </x:c>
      <x:c r="I87" s="55" t="str">
        <x:v>168e12e735da9ad62716dca89cff660b53082cc3</x:v>
      </x:c>
      <x:c r="J87" s="55" t="str">
        <x:v>Audit only — do not pass previous prompt to the model.</x:v>
      </x:c>
    </x:row>
    <x:row r="88">
      <x:c r="A88" s="56" t="n">
        <x:v>83</x:v>
      </x:c>
      <x:c r="B88" s="55" t="str">
        <x:v>Put a yellow-white striped cup in the bowl.</x:v>
      </x:c>
      <x:c r="C88" s="55" t="str">
        <x:v>Put the closed yellow-white striped cup in the bowl.</x:v>
      </x:c>
      <x:c r="D88" s="54" t="str">
        <x:v>yellow_white_striped_cup_a</x:v>
      </x:c>
      <x:c r="E88" s="54" t="str">
        <x:v>yellow-white striped cup</x:v>
      </x:c>
      <x:c r="F88" s="54" t="str">
        <x:v>closed</x:v>
      </x:c>
      <x:c r="G88" s="54" t="str">
        <x:v>upside down</x:v>
      </x:c>
      <x:c r="H88" s="55" t="str">
        <x:v>yellow-white striped cup A: closed, upside down | yellow-white striped cup B: open, upright | white cup A: open, upright</x:v>
      </x:c>
      <x:c r="I88" s="55" t="str">
        <x:v>168e12e735da9ad62716dca89cff660b53082cc3</x:v>
      </x:c>
      <x:c r="J88" s="55" t="str">
        <x:v>Audit only — do not pass previous prompt to the model.</x:v>
      </x:c>
    </x:row>
    <x:row r="89">
      <x:c r="A89" s="56" t="n">
        <x:v>84</x:v>
      </x:c>
      <x:c r="B89" s="55" t="str">
        <x:v>Put a yellow-white striped cup in the bowl.</x:v>
      </x:c>
      <x:c r="C89" s="55" t="str">
        <x:v>Pick up the yellow-white striped cup that is open and right-side-up, then place it in the bowl.</x:v>
      </x:c>
      <x:c r="D89" s="54" t="str">
        <x:v>yellow_white_striped_cup_a</x:v>
      </x:c>
      <x:c r="E89" s="54" t="str">
        <x:v>yellow-white striped cup</x:v>
      </x:c>
      <x:c r="F89" s="54" t="str">
        <x:v>open</x:v>
      </x:c>
      <x:c r="G89" s="54" t="str">
        <x:v>upright</x:v>
      </x:c>
      <x:c r="H89" s="55" t="str">
        <x:v>yellow-white striped cup A: open, upright | yellow-white striped cup B: closed, upside down | brown cup B: open, upright</x:v>
      </x:c>
      <x:c r="I89" s="55" t="str">
        <x:v>168e12e735da9ad62716dca89cff660b53082cc3</x:v>
      </x:c>
      <x:c r="J89" s="55" t="str">
        <x:v>Audit only — do not pass previous prompt to the model.</x:v>
      </x:c>
    </x:row>
    <x:row r="90">
      <x:c r="A90" s="56" t="n">
        <x:v>85</x:v>
      </x:c>
      <x:c r="B90" s="55" t="str">
        <x:v>Put a yellow-white striped cup in the bowl.</x:v>
      </x:c>
      <x:c r="C90" s="55" t="str">
        <x:v>Move the inverted yellow-white striped cup into the bowl.</x:v>
      </x:c>
      <x:c r="D90" s="54" t="str">
        <x:v>yellow_white_striped_cup_b</x:v>
      </x:c>
      <x:c r="E90" s="54" t="str">
        <x:v>yellow-white striped cup</x:v>
      </x:c>
      <x:c r="F90" s="54" t="str">
        <x:v>closed</x:v>
      </x:c>
      <x:c r="G90" s="54" t="str">
        <x:v>upside down</x:v>
      </x:c>
      <x:c r="H90" s="55" t="str">
        <x:v>yellow-white striped cup B: closed, upside down | yellow-white striped cup A: closed, upright | glass spice container A: closed, upside down | white cup B: open, upright</x:v>
      </x:c>
      <x:c r="I90" s="55" t="str">
        <x:v>168e12e735da9ad62716dca89cff660b53082cc3</x:v>
      </x:c>
      <x:c r="J90" s="55" t="str">
        <x:v>Audit only — do not pass previous prompt to the model.</x:v>
      </x:c>
    </x:row>
    <x:row r="91">
      <x:c r="A91" s="56" t="n">
        <x:v>86</x:v>
      </x:c>
      <x:c r="B91" s="55" t="str">
        <x:v>Put a yellow-white striped cup in the bowl.</x:v>
      </x:c>
      <x:c r="C91" s="55" t="str">
        <x:v>Move the open yellow-white striped cup that is upside-down into the bowl.</x:v>
      </x:c>
      <x:c r="D91" s="54" t="str">
        <x:v>yellow_white_striped_cup_b</x:v>
      </x:c>
      <x:c r="E91" s="54" t="str">
        <x:v>yellow-white striped cup</x:v>
      </x:c>
      <x:c r="F91" s="54" t="str">
        <x:v>open</x:v>
      </x:c>
      <x:c r="G91" s="54" t="str">
        <x:v>upside down</x:v>
      </x:c>
      <x:c r="H91" s="55" t="str">
        <x:v>yellow-white striped cup B: open, upside down | yellow-white striped cup A: open, upright | white cup B: closed, upright | brown cup A: open, upright</x:v>
      </x:c>
      <x:c r="I91" s="55" t="str">
        <x:v>168e12e735da9ad62716dca89cff660b53082cc3</x:v>
      </x:c>
      <x:c r="J91" s="55" t="str">
        <x:v>Audit only — do not pass previous prompt to the model.</x:v>
      </x:c>
    </x:row>
    <x:row r="92">
      <x:c r="A92" s="56" t="n">
        <x:v>87</x:v>
      </x:c>
      <x:c r="B92" s="55" t="str">
        <x:v>Put a yellow-white striped cup in the bowl.</x:v>
      </x:c>
      <x:c r="C92" s="55" t="str">
        <x:v>Pick up the yellow-white striped cup that is closed and right-side-up, then place it in the bowl.</x:v>
      </x:c>
      <x:c r="D92" s="54" t="str">
        <x:v>yellow_white_striped_cup_a</x:v>
      </x:c>
      <x:c r="E92" s="54" t="str">
        <x:v>yellow-white striped cup</x:v>
      </x:c>
      <x:c r="F92" s="54" t="str">
        <x:v>closed</x:v>
      </x:c>
      <x:c r="G92" s="54" t="str">
        <x:v>upright</x:v>
      </x:c>
      <x:c r="H92" s="55" t="str">
        <x:v>yellow-white striped cup A: closed, upright | brown cup B: closed, upside down | glass spice container B: open, upside down | white cup B: closed, upside down</x:v>
      </x:c>
      <x:c r="I92" s="55" t="str">
        <x:v>168e12e735da9ad62716dca89cff660b53082cc3</x:v>
      </x:c>
      <x:c r="J92" s="55" t="str">
        <x:v>Audit only — do not pass previous prompt to the model.</x:v>
      </x:c>
    </x:row>
    <x:row r="93">
      <x:c r="A93" s="56" t="n">
        <x:v>88</x:v>
      </x:c>
      <x:c r="B93" s="55" t="str">
        <x:v>Put a yellow-white striped cup in the bowl.</x:v>
      </x:c>
      <x:c r="C93" s="55" t="str">
        <x:v>Pick up the yellow-white striped cup that is open and upside-down, then place it in the bowl.</x:v>
      </x:c>
      <x:c r="D93" s="54" t="str">
        <x:v>yellow_white_striped_cup_a</x:v>
      </x:c>
      <x:c r="E93" s="54" t="str">
        <x:v>yellow-white striped cup</x:v>
      </x:c>
      <x:c r="F93" s="54" t="str">
        <x:v>open</x:v>
      </x:c>
      <x:c r="G93" s="54" t="str">
        <x:v>upside down</x:v>
      </x:c>
      <x:c r="H93" s="55" t="str">
        <x:v>yellow-white striped cup A: open, upside down | yellow-white striped cup B: closed, upright | glass spice container B: open, upside down | white cup A: closed, upside down</x:v>
      </x:c>
      <x:c r="I93" s="55" t="str">
        <x:v>168e12e735da9ad62716dca89cff660b53082cc3</x:v>
      </x:c>
      <x:c r="J93" s="55" t="str">
        <x:v>Audit only — do not pass previous prompt to the model.</x:v>
      </x:c>
    </x:row>
    <x:row r="94">
      <x:c r="A94" s="56" t="n">
        <x:v>89</x:v>
      </x:c>
      <x:c r="B94" s="55" t="str">
        <x:v>Put a yellow-white striped cup in the bowl.</x:v>
      </x:c>
      <x:c r="C94" s="55" t="str">
        <x:v>Move the inverted yellow-white striped cup into the bowl.</x:v>
      </x:c>
      <x:c r="D94" s="54" t="str">
        <x:v>yellow_white_striped_cup_b</x:v>
      </x:c>
      <x:c r="E94" s="54" t="str">
        <x:v>yellow-white striped cup</x:v>
      </x:c>
      <x:c r="F94" s="54" t="str">
        <x:v>closed</x:v>
      </x:c>
      <x:c r="G94" s="54" t="str">
        <x:v>upside down</x:v>
      </x:c>
      <x:c r="H94" s="55" t="str">
        <x:v>yellow-white striped cup B: closed, upside down | yellow-white striped cup A: closed, upright | white cup A: closed, upside down</x:v>
      </x:c>
      <x:c r="I94" s="55" t="str">
        <x:v>168e12e735da9ad62716dca89cff660b53082cc3</x:v>
      </x:c>
      <x:c r="J94" s="55" t="str">
        <x:v>Audit only — do not pass previous prompt to the model.</x:v>
      </x:c>
    </x:row>
    <x:row r="95">
      <x:c r="A95" s="56" t="n">
        <x:v>90</x:v>
      </x:c>
      <x:c r="B95" s="55" t="str">
        <x:v>Put a yellow-white striped cup in the bowl.</x:v>
      </x:c>
      <x:c r="C95" s="55" t="str">
        <x:v>Move the open yellow-white striped cup that is right-side-up into the bowl.</x:v>
      </x:c>
      <x:c r="D95" s="54" t="str">
        <x:v>yellow_white_striped_cup_a</x:v>
      </x:c>
      <x:c r="E95" s="54" t="str">
        <x:v>yellow-white striped cup</x:v>
      </x:c>
      <x:c r="F95" s="54" t="str">
        <x:v>open</x:v>
      </x:c>
      <x:c r="G95" s="54" t="str">
        <x:v>upright</x:v>
      </x:c>
      <x:c r="H95" s="55" t="str">
        <x:v>yellow-white striped cup A: open, upright | yellow-white striped cup B: open, upside down | brown cup B: closed, upside down</x:v>
      </x:c>
      <x:c r="I95" s="55" t="str">
        <x:v>168e12e735da9ad62716dca89cff660b53082cc3</x:v>
      </x:c>
      <x:c r="J95" s="55" t="str">
        <x:v>Audit only — do not pass previous prompt to the model.</x:v>
      </x:c>
    </x:row>
    <x:row r="96">
      <x:c r="A96" s="56" t="n">
        <x:v>91</x:v>
      </x:c>
      <x:c r="B96" s="55" t="str">
        <x:v>Put a yellow-white striped cup in the bowl.</x:v>
      </x:c>
      <x:c r="C96" s="55" t="str">
        <x:v>Move the closed yellow-white striped cup into the bowl.</x:v>
      </x:c>
      <x:c r="D96" s="54" t="str">
        <x:v>yellow_white_striped_cup_a</x:v>
      </x:c>
      <x:c r="E96" s="54" t="str">
        <x:v>yellow-white striped cup</x:v>
      </x:c>
      <x:c r="F96" s="54" t="str">
        <x:v>closed</x:v>
      </x:c>
      <x:c r="G96" s="54" t="str">
        <x:v>upside down</x:v>
      </x:c>
      <x:c r="H96" s="55" t="str">
        <x:v>yellow-white striped cup A: closed, upside down | yellow-white striped cup B: open, upright | glass spice container A: open, upside down</x:v>
      </x:c>
      <x:c r="I96" s="55" t="str">
        <x:v>168e12e735da9ad62716dca89cff660b53082cc3</x:v>
      </x:c>
      <x:c r="J96" s="55" t="str">
        <x:v>Audit only — do not pass previous prompt to the model.</x:v>
      </x:c>
    </x:row>
    <x:row r="97">
      <x:c r="A97" s="56" t="n">
        <x:v>92</x:v>
      </x:c>
      <x:c r="B97" s="55" t="str">
        <x:v>Put a yellow-white striped cup in the bowl.</x:v>
      </x:c>
      <x:c r="C97" s="55" t="str">
        <x:v>Move the open yellow-white striped cup that is right-side-up into the bowl.</x:v>
      </x:c>
      <x:c r="D97" s="54" t="str">
        <x:v>yellow_white_striped_cup_a</x:v>
      </x:c>
      <x:c r="E97" s="54" t="str">
        <x:v>yellow-white striped cup</x:v>
      </x:c>
      <x:c r="F97" s="54" t="str">
        <x:v>open</x:v>
      </x:c>
      <x:c r="G97" s="54" t="str">
        <x:v>upright</x:v>
      </x:c>
      <x:c r="H97" s="55" t="str">
        <x:v>yellow-white striped cup A: open, upright | yellow-white striped cup B: closed, upside down | white cup B: open, upright | brown cup A: closed, upright</x:v>
      </x:c>
      <x:c r="I97" s="55" t="str">
        <x:v>168e12e735da9ad62716dca89cff660b53082cc3</x:v>
      </x:c>
      <x:c r="J97" s="55" t="str">
        <x:v>Audit only — do not pass previous prompt to the model.</x:v>
      </x:c>
    </x:row>
    <x:row r="98">
      <x:c r="A98" s="56" t="n">
        <x:v>93</x:v>
      </x:c>
      <x:c r="B98" s="55" t="str">
        <x:v>Put a yellow-white striped cup in the bowl.</x:v>
      </x:c>
      <x:c r="C98" s="55" t="str">
        <x:v>Put the closed, right-side-up yellow-white striped cup in the bowl.</x:v>
      </x:c>
      <x:c r="D98" s="54" t="str">
        <x:v>yellow_white_striped_cup_b</x:v>
      </x:c>
      <x:c r="E98" s="54" t="str">
        <x:v>yellow-white striped cup</x:v>
      </x:c>
      <x:c r="F98" s="54" t="str">
        <x:v>closed</x:v>
      </x:c>
      <x:c r="G98" s="54" t="str">
        <x:v>upright</x:v>
      </x:c>
      <x:c r="H98" s="55" t="str">
        <x:v>yellow-white striped cup B: closed, upright | glass spice container B: open, upside down | white cup B: closed, upside down | brown cup A: open, upside down</x:v>
      </x:c>
      <x:c r="I98" s="55" t="str">
        <x:v>168e12e735da9ad62716dca89cff660b53082cc3</x:v>
      </x:c>
      <x:c r="J98" s="55" t="str">
        <x:v>Audit only — do not pass previous prompt to the model.</x:v>
      </x:c>
    </x:row>
    <x:row r="99">
      <x:c r="A99" s="56" t="n">
        <x:v>94</x:v>
      </x:c>
      <x:c r="B99" s="55" t="str">
        <x:v>Put a yellow-white striped cup in the bowl.</x:v>
      </x:c>
      <x:c r="C99" s="55" t="str">
        <x:v>Pick up the yellow-white striped cup that is open and upside-down, then place it in the bowl.</x:v>
      </x:c>
      <x:c r="D99" s="54" t="str">
        <x:v>yellow_white_striped_cup_a</x:v>
      </x:c>
      <x:c r="E99" s="54" t="str">
        <x:v>yellow-white striped cup</x:v>
      </x:c>
      <x:c r="F99" s="54" t="str">
        <x:v>open</x:v>
      </x:c>
      <x:c r="G99" s="54" t="str">
        <x:v>upside down</x:v>
      </x:c>
      <x:c r="H99" s="55" t="str">
        <x:v>yellow-white striped cup A: open, upside down | yellow-white striped cup B: open, upright | glass spice container B: closed, upside down</x:v>
      </x:c>
      <x:c r="I99" s="55" t="str">
        <x:v>168e12e735da9ad62716dca89cff660b53082cc3</x:v>
      </x:c>
      <x:c r="J99" s="55" t="str">
        <x:v>Audit only — do not pass previous prompt to the model.</x:v>
      </x:c>
    </x:row>
    <x:row r="100">
      <x:c r="A100" s="56" t="n">
        <x:v>95</x:v>
      </x:c>
      <x:c r="B100" s="55" t="str">
        <x:v>Put a yellow-white striped cup in the bowl.</x:v>
      </x:c>
      <x:c r="C100" s="55" t="str">
        <x:v>Put the upside-down yellow-white striped cup in the bowl.</x:v>
      </x:c>
      <x:c r="D100" s="54" t="str">
        <x:v>yellow_white_striped_cup_b</x:v>
      </x:c>
      <x:c r="E100" s="54" t="str">
        <x:v>yellow-white striped cup</x:v>
      </x:c>
      <x:c r="F100" s="54" t="str">
        <x:v>closed</x:v>
      </x:c>
      <x:c r="G100" s="54" t="str">
        <x:v>upside down</x:v>
      </x:c>
      <x:c r="H100" s="55" t="str">
        <x:v>yellow-white striped cup B: closed, upside down | white cup B: closed, upright | brown cup A: open, upright | glass spice container A: closed, upright</x:v>
      </x:c>
      <x:c r="I100" s="55" t="str">
        <x:v>168e12e735da9ad62716dca89cff660b53082cc3</x:v>
      </x:c>
      <x:c r="J100" s="55" t="str">
        <x:v>Audit only — do not pass previous prompt to the model.</x:v>
      </x:c>
    </x:row>
    <x:row r="101">
      <x:c r="A101" s="56" t="n">
        <x:v>96</x:v>
      </x:c>
      <x:c r="B101" s="55" t="str">
        <x:v>Put a yellow-white striped cup in the bowl.</x:v>
      </x:c>
      <x:c r="C101" s="55" t="str">
        <x:v>Move the open yellow-white striped cup that is right-side-up into the bowl.</x:v>
      </x:c>
      <x:c r="D101" s="54" t="str">
        <x:v>yellow_white_striped_cup_a</x:v>
      </x:c>
      <x:c r="E101" s="54" t="str">
        <x:v>yellow-white striped cup</x:v>
      </x:c>
      <x:c r="F101" s="54" t="str">
        <x:v>open</x:v>
      </x:c>
      <x:c r="G101" s="54" t="str">
        <x:v>upright</x:v>
      </x:c>
      <x:c r="H101" s="55" t="str">
        <x:v>yellow-white striped cup A: open, upright | yellow-white striped cup B: closed, upside down | brown cup B: open, upside down</x:v>
      </x:c>
      <x:c r="I101" s="55" t="str">
        <x:v>168e12e735da9ad62716dca89cff660b53082cc3</x:v>
      </x:c>
      <x:c r="J101" s="55" t="str">
        <x:v>Audit only — do not pass previous prompt to the model.</x:v>
      </x:c>
    </x:row>
    <x:row r="102">
      <x:c r="A102" s="56" t="n">
        <x:v>97</x:v>
      </x:c>
      <x:c r="B102" s="55" t="str">
        <x:v>Put a yellow-white striped cup in the bowl.</x:v>
      </x:c>
      <x:c r="C102" s="55" t="str">
        <x:v>Move the closed yellow-white striped cup that is right-side-up into the bowl.</x:v>
      </x:c>
      <x:c r="D102" s="54" t="str">
        <x:v>yellow_white_striped_cup_b</x:v>
      </x:c>
      <x:c r="E102" s="54" t="str">
        <x:v>yellow-white striped cup</x:v>
      </x:c>
      <x:c r="F102" s="54" t="str">
        <x:v>closed</x:v>
      </x:c>
      <x:c r="G102" s="54" t="str">
        <x:v>upright</x:v>
      </x:c>
      <x:c r="H102" s="55" t="str">
        <x:v>yellow-white striped cup B: closed, upright | yellow-white striped cup A: closed, upside down | glass spice container A: closed, upright</x:v>
      </x:c>
      <x:c r="I102" s="55" t="str">
        <x:v>168e12e735da9ad62716dca89cff660b53082cc3</x:v>
      </x:c>
      <x:c r="J102" s="55" t="str">
        <x:v>Audit only — do not pass previous prompt to the model.</x:v>
      </x:c>
    </x:row>
    <x:row r="103">
      <x:c r="A103" s="56" t="n">
        <x:v>98</x:v>
      </x:c>
      <x:c r="B103" s="55" t="str">
        <x:v>Put a yellow-white striped cup in the bowl.</x:v>
      </x:c>
      <x:c r="C103" s="55" t="str">
        <x:v>Put the open, upside-down yellow-white striped cup in the bowl.</x:v>
      </x:c>
      <x:c r="D103" s="54" t="str">
        <x:v>yellow_white_striped_cup_a</x:v>
      </x:c>
      <x:c r="E103" s="54" t="str">
        <x:v>yellow-white striped cup</x:v>
      </x:c>
      <x:c r="F103" s="54" t="str">
        <x:v>open</x:v>
      </x:c>
      <x:c r="G103" s="54" t="str">
        <x:v>upside down</x:v>
      </x:c>
      <x:c r="H103" s="55" t="str">
        <x:v>yellow-white striped cup A: open, upside down | brown cup A: closed, upright | glass spice container A: open, upright | white cup A: closed, upright</x:v>
      </x:c>
      <x:c r="I103" s="55" t="str">
        <x:v>168e12e735da9ad62716dca89cff660b53082cc3</x:v>
      </x:c>
      <x:c r="J103" s="55" t="str">
        <x:v>Audit only — do not pass previous prompt to the model.</x:v>
      </x:c>
    </x:row>
    <x:row r="104">
      <x:c r="A104" s="56" t="n">
        <x:v>99</x:v>
      </x:c>
      <x:c r="B104" s="55" t="str">
        <x:v>Put a yellow-white striped cup in the bowl.</x:v>
      </x:c>
      <x:c r="C104" s="55" t="str">
        <x:v>Pick up the yellow-white striped cup that is closed and place it in the bowl.</x:v>
      </x:c>
      <x:c r="D104" s="54" t="str">
        <x:v>yellow_white_striped_cup_b</x:v>
      </x:c>
      <x:c r="E104" s="54" t="str">
        <x:v>yellow-white striped cup</x:v>
      </x:c>
      <x:c r="F104" s="54" t="str">
        <x:v>closed</x:v>
      </x:c>
      <x:c r="G104" s="54" t="str">
        <x:v>upside down</x:v>
      </x:c>
      <x:c r="H104" s="55" t="str">
        <x:v>yellow-white striped cup B: closed, upside down | yellow-white striped cup A: open, upright | brown cup A: open, upside down</x:v>
      </x:c>
      <x:c r="I104" s="55" t="str">
        <x:v>168e12e735da9ad62716dca89cff660b53082cc3</x:v>
      </x:c>
      <x:c r="J104" s="55" t="str">
        <x:v>Audit only — do not pass previous prompt to the model.</x:v>
      </x:c>
    </x:row>
    <x:row r="105">
      <x:c r="A105" s="56" t="n">
        <x:v>100</x:v>
      </x:c>
      <x:c r="B105" s="55" t="str">
        <x:v>Put a brown cup in the bowl.</x:v>
      </x:c>
      <x:c r="C105" s="55" t="str">
        <x:v>Pick up the brown cup that is closed and right-side-up, then place it in the bowl.</x:v>
      </x:c>
      <x:c r="D105" s="54" t="str">
        <x:v>brown_cup_b</x:v>
      </x:c>
      <x:c r="E105" s="54" t="str">
        <x:v>brown cup</x:v>
      </x:c>
      <x:c r="F105" s="54" t="str">
        <x:v>closed</x:v>
      </x:c>
      <x:c r="G105" s="54" t="str">
        <x:v>upright</x:v>
      </x:c>
      <x:c r="H105" s="55" t="str">
        <x:v>brown cup B: closed, upright | brown cup A: open, upright | yellow-white striped cup A: closed, upright</x:v>
      </x:c>
      <x:c r="I105" s="55" t="str">
        <x:v>168e12e735da9ad62716dca89cff660b53082cc3</x:v>
      </x:c>
      <x:c r="J105" s="55" t="str">
        <x:v>Audit only — do not pass previous prompt to the model.</x:v>
      </x:c>
    </x:row>
    <x:row r="106">
      <x:c r="A106" s="56" t="n">
        <x:v>101</x:v>
      </x:c>
      <x:c r="B106" s="55" t="str">
        <x:v>Put a brown cup in the bowl.</x:v>
      </x:c>
      <x:c r="C106" s="55" t="str">
        <x:v>Move the open brown cup that is right-side-up into the bowl.</x:v>
      </x:c>
      <x:c r="D106" s="54" t="str">
        <x:v>brown_cup_a</x:v>
      </x:c>
      <x:c r="E106" s="54" t="str">
        <x:v>brown cup</x:v>
      </x:c>
      <x:c r="F106" s="54" t="str">
        <x:v>open</x:v>
      </x:c>
      <x:c r="G106" s="54" t="str">
        <x:v>upright</x:v>
      </x:c>
      <x:c r="H106" s="55" t="str">
        <x:v>brown cup A: open, upright | brown cup B: closed, upright | glass spice container B: open, upright | white cup A: closed, upright</x:v>
      </x:c>
      <x:c r="I106" s="55" t="str">
        <x:v>168e12e735da9ad62716dca89cff660b53082cc3</x:v>
      </x:c>
      <x:c r="J106" s="55" t="str">
        <x:v>Audit only — do not pass previous prompt to the model.</x:v>
      </x:c>
    </x:row>
    <x:row r="107">
      <x:c r="A107" s="56" t="n">
        <x:v>102</x:v>
      </x:c>
      <x:c r="B107" s="55" t="str">
        <x:v>Put a brown cup in the bowl.</x:v>
      </x:c>
      <x:c r="C107" s="55" t="str">
        <x:v>Pick up the brown cup that is closed and right-side-up, then place it in the bowl.</x:v>
      </x:c>
      <x:c r="D107" s="54" t="str">
        <x:v>brown_cup_a</x:v>
      </x:c>
      <x:c r="E107" s="54" t="str">
        <x:v>brown cup</x:v>
      </x:c>
      <x:c r="F107" s="54" t="str">
        <x:v>closed</x:v>
      </x:c>
      <x:c r="G107" s="54" t="str">
        <x:v>upright</x:v>
      </x:c>
      <x:c r="H107" s="55" t="str">
        <x:v>brown cup A: closed, upright | white cup B: open, upright | yellow-white striped cup B: open, upright</x:v>
      </x:c>
      <x:c r="I107" s="55" t="str">
        <x:v>168e12e735da9ad62716dca89cff660b53082cc3</x:v>
      </x:c>
      <x:c r="J107" s="55" t="str">
        <x:v>Audit only — do not pass previous prompt to the model.</x:v>
      </x:c>
    </x:row>
    <x:row r="108">
      <x:c r="A108" s="56" t="n">
        <x:v>103</x:v>
      </x:c>
      <x:c r="B108" s="55" t="str">
        <x:v>Put a brown cup in the bowl.</x:v>
      </x:c>
      <x:c r="C108" s="55" t="str">
        <x:v>Pick up the brown cup that is closed and right-side-up, then place it in the bowl.</x:v>
      </x:c>
      <x:c r="D108" s="54" t="str">
        <x:v>brown_cup_b</x:v>
      </x:c>
      <x:c r="E108" s="54" t="str">
        <x:v>brown cup</x:v>
      </x:c>
      <x:c r="F108" s="54" t="str">
        <x:v>closed</x:v>
      </x:c>
      <x:c r="G108" s="54" t="str">
        <x:v>upright</x:v>
      </x:c>
      <x:c r="H108" s="55" t="str">
        <x:v>brown cup B: closed, upright | brown cup A: open, upright | yellow-white striped cup B: closed, upright | glass spice container A: open, upright</x:v>
      </x:c>
      <x:c r="I108" s="55" t="str">
        <x:v>168e12e735da9ad62716dca89cff660b53082cc3</x:v>
      </x:c>
      <x:c r="J108" s="55" t="str">
        <x:v>Audit only — do not pass previous prompt to the model.</x:v>
      </x:c>
    </x:row>
    <x:row r="109">
      <x:c r="A109" s="56" t="n">
        <x:v>104</x:v>
      </x:c>
      <x:c r="B109" s="55" t="str">
        <x:v>Put a brown cup in the bowl.</x:v>
      </x:c>
      <x:c r="C109" s="55" t="str">
        <x:v>Put the open, right-side-up brown cup in the bowl.</x:v>
      </x:c>
      <x:c r="D109" s="54" t="str">
        <x:v>brown_cup_b</x:v>
      </x:c>
      <x:c r="E109" s="54" t="str">
        <x:v>brown cup</x:v>
      </x:c>
      <x:c r="F109" s="54" t="str">
        <x:v>open</x:v>
      </x:c>
      <x:c r="G109" s="54" t="str">
        <x:v>upright</x:v>
      </x:c>
      <x:c r="H109" s="55" t="str">
        <x:v>brown cup B: open, upright | brown cup A: closed, upright | glass spice container A: open, upright</x:v>
      </x:c>
      <x:c r="I109" s="55" t="str">
        <x:v>168e12e735da9ad62716dca89cff660b53082cc3</x:v>
      </x:c>
      <x:c r="J109" s="55" t="str">
        <x:v>Audit only — do not pass previous prompt to the model.</x:v>
      </x:c>
    </x:row>
    <x:row r="110">
      <x:c r="A110" s="56" t="n">
        <x:v>105</x:v>
      </x:c>
      <x:c r="B110" s="55" t="str">
        <x:v>Put a brown cup in the bowl.</x:v>
      </x:c>
      <x:c r="C110" s="55" t="str">
        <x:v>Move the closed brown cup that is right-side-up into the bowl.</x:v>
      </x:c>
      <x:c r="D110" s="54" t="str">
        <x:v>brown_cup_a</x:v>
      </x:c>
      <x:c r="E110" s="54" t="str">
        <x:v>brown cup</x:v>
      </x:c>
      <x:c r="F110" s="54" t="str">
        <x:v>closed</x:v>
      </x:c>
      <x:c r="G110" s="54" t="str">
        <x:v>upright</x:v>
      </x:c>
      <x:c r="H110" s="55" t="str">
        <x:v>brown cup A: closed, upright | yellow-white striped cup B: open, upright | glass spice container A: open, upright | white cup A: open, upright</x:v>
      </x:c>
      <x:c r="I110" s="55" t="str">
        <x:v>168e12e735da9ad62716dca89cff660b53082cc3</x:v>
      </x:c>
      <x:c r="J110" s="55" t="str">
        <x:v>Audit only — do not pass previous prompt to the model.</x:v>
      </x:c>
    </x:row>
    <x:row r="111">
      <x:c r="A111" s="56" t="n">
        <x:v>106</x:v>
      </x:c>
      <x:c r="B111" s="55" t="str">
        <x:v>Put a brown cup in the bowl.</x:v>
      </x:c>
      <x:c r="C111" s="55" t="str">
        <x:v>Put the open, right-side-up brown cup in the bowl.</x:v>
      </x:c>
      <x:c r="D111" s="54" t="str">
        <x:v>brown_cup_b</x:v>
      </x:c>
      <x:c r="E111" s="54" t="str">
        <x:v>brown cup</x:v>
      </x:c>
      <x:c r="F111" s="54" t="str">
        <x:v>open</x:v>
      </x:c>
      <x:c r="G111" s="54" t="str">
        <x:v>upright</x:v>
      </x:c>
      <x:c r="H111" s="55" t="str">
        <x:v>brown cup B: open, upright | brown cup A: closed, upright | yellow-white striped cup A: open, upright</x:v>
      </x:c>
      <x:c r="I111" s="55" t="str">
        <x:v>168e12e735da9ad62716dca89cff660b53082cc3</x:v>
      </x:c>
      <x:c r="J111" s="55" t="str">
        <x:v>Audit only — do not pass previous prompt to the model.</x:v>
      </x:c>
    </x:row>
    <x:row r="112">
      <x:c r="A112" s="56" t="n">
        <x:v>107</x:v>
      </x:c>
      <x:c r="B112" s="55" t="str">
        <x:v>Put a brown cup in the bowl.</x:v>
      </x:c>
      <x:c r="C112" s="55" t="str">
        <x:v>Pick up the brown cup that is closed and right-side-up, then place it in the bowl.</x:v>
      </x:c>
      <x:c r="D112" s="54" t="str">
        <x:v>brown_cup_a</x:v>
      </x:c>
      <x:c r="E112" s="54" t="str">
        <x:v>brown cup</x:v>
      </x:c>
      <x:c r="F112" s="54" t="str">
        <x:v>closed</x:v>
      </x:c>
      <x:c r="G112" s="54" t="str">
        <x:v>upright</x:v>
      </x:c>
      <x:c r="H112" s="55" t="str">
        <x:v>brown cup A: closed, upright | brown cup B: open, upright | glass spice container B: open, upright</x:v>
      </x:c>
      <x:c r="I112" s="55" t="str">
        <x:v>168e12e735da9ad62716dca89cff660b53082cc3</x:v>
      </x:c>
      <x:c r="J112" s="55" t="str">
        <x:v>Audit only — do not pass previous prompt to the model.</x:v>
      </x:c>
    </x:row>
    <x:row r="113">
      <x:c r="A113" s="56" t="n">
        <x:v>108</x:v>
      </x:c>
      <x:c r="B113" s="55" t="str">
        <x:v>Put a brown cup in the bowl.</x:v>
      </x:c>
      <x:c r="C113" s="55" t="str">
        <x:v>Put the open, right-side-up brown cup in the bowl.</x:v>
      </x:c>
      <x:c r="D113" s="54" t="str">
        <x:v>brown_cup_b</x:v>
      </x:c>
      <x:c r="E113" s="54" t="str">
        <x:v>brown cup</x:v>
      </x:c>
      <x:c r="F113" s="54" t="str">
        <x:v>open</x:v>
      </x:c>
      <x:c r="G113" s="54" t="str">
        <x:v>upright</x:v>
      </x:c>
      <x:c r="H113" s="55" t="str">
        <x:v>brown cup B: open, upright | glass spice container A: closed, upright | white cup A: closed, upright | yellow-white striped cup A: closed, upright</x:v>
      </x:c>
      <x:c r="I113" s="55" t="str">
        <x:v>168e12e735da9ad62716dca89cff660b53082cc3</x:v>
      </x:c>
      <x:c r="J113" s="55" t="str">
        <x:v>Audit only — do not pass previous prompt to the model.</x:v>
      </x:c>
    </x:row>
    <x:row r="114">
      <x:c r="A114" s="56" t="n">
        <x:v>109</x:v>
      </x:c>
      <x:c r="B114" s="55" t="str">
        <x:v>Pick up the brown cup and place it into the bowl.</x:v>
      </x:c>
      <x:c r="C114" s="55" t="str">
        <x:v>Move the open brown cup that is right-side-up into the bowl.</x:v>
      </x:c>
      <x:c r="D114" s="54" t="str">
        <x:v>brown_cup_b</x:v>
      </x:c>
      <x:c r="E114" s="54" t="str">
        <x:v>brown cup</x:v>
      </x:c>
      <x:c r="F114" s="54" t="str">
        <x:v>open</x:v>
      </x:c>
      <x:c r="G114" s="54" t="str">
        <x:v>upright</x:v>
      </x:c>
      <x:c r="H114" s="55" t="str">
        <x:v>brown cup B: open, upright | brown cup A: closed, upright | yellow-white striped cup A: open, upright</x:v>
      </x:c>
      <x:c r="I114" s="55" t="str">
        <x:v>168e12e735da9ad62716dca89cff660b53082cc3</x:v>
      </x:c>
      <x:c r="J114" s="55" t="str">
        <x:v>Audit only — do not pass previous prompt to the model.</x:v>
      </x:c>
    </x:row>
    <x:row r="115">
      <x:c r="A115" s="56" t="n">
        <x:v>110</x:v>
      </x:c>
      <x:c r="B115" s="55" t="str">
        <x:v>Pick up the brown cup and place it into the bowl.</x:v>
      </x:c>
      <x:c r="C115" s="55" t="str">
        <x:v>Put the closed, right-side-up brown cup in the bowl.</x:v>
      </x:c>
      <x:c r="D115" s="54" t="str">
        <x:v>brown_cup_a</x:v>
      </x:c>
      <x:c r="E115" s="54" t="str">
        <x:v>brown cup</x:v>
      </x:c>
      <x:c r="F115" s="54" t="str">
        <x:v>closed</x:v>
      </x:c>
      <x:c r="G115" s="54" t="str">
        <x:v>upright</x:v>
      </x:c>
      <x:c r="H115" s="55" t="str">
        <x:v>brown cup A: closed, upright | brown cup B: open, upright | glass spice container B: open, upright | white cup A: open, upright</x:v>
      </x:c>
      <x:c r="I115" s="55" t="str">
        <x:v>168e12e735da9ad62716dca89cff660b53082cc3</x:v>
      </x:c>
      <x:c r="J115" s="55" t="str">
        <x:v>Audit only — do not pass previous prompt to the model.</x:v>
      </x:c>
    </x:row>
    <x:row r="116">
      <x:c r="A116" s="56" t="n">
        <x:v>111</x:v>
      </x:c>
      <x:c r="B116" s="55" t="str">
        <x:v>Pick up the brown cup and place it into the bowl.</x:v>
      </x:c>
      <x:c r="C116" s="55" t="str">
        <x:v>Move the open brown cup that is right-side-up into the bowl.</x:v>
      </x:c>
      <x:c r="D116" s="54" t="str">
        <x:v>brown_cup_a</x:v>
      </x:c>
      <x:c r="E116" s="54" t="str">
        <x:v>brown cup</x:v>
      </x:c>
      <x:c r="F116" s="54" t="str">
        <x:v>open</x:v>
      </x:c>
      <x:c r="G116" s="54" t="str">
        <x:v>upright</x:v>
      </x:c>
      <x:c r="H116" s="55" t="str">
        <x:v>brown cup A: open, upright | brown cup B: closed, upright | white cup A: open, upright</x:v>
      </x:c>
      <x:c r="I116" s="55" t="str">
        <x:v>168e12e735da9ad62716dca89cff660b53082cc3</x:v>
      </x:c>
      <x:c r="J116" s="55" t="str">
        <x:v>Audit only — do not pass previous prompt to the model.</x:v>
      </x:c>
    </x:row>
    <x:row r="117">
      <x:c r="A117" s="56" t="n">
        <x:v>112</x:v>
      </x:c>
      <x:c r="B117" s="55" t="str">
        <x:v>Pick up the brown cup and place it into the bowl.</x:v>
      </x:c>
      <x:c r="C117" s="55" t="str">
        <x:v>Pick up the brown cup that is open and right-side-up, then place it in the bowl.</x:v>
      </x:c>
      <x:c r="D117" s="54" t="str">
        <x:v>brown_cup_b</x:v>
      </x:c>
      <x:c r="E117" s="54" t="str">
        <x:v>brown cup</x:v>
      </x:c>
      <x:c r="F117" s="54" t="str">
        <x:v>open</x:v>
      </x:c>
      <x:c r="G117" s="54" t="str">
        <x:v>upright</x:v>
      </x:c>
      <x:c r="H117" s="55" t="str">
        <x:v>brown cup B: open, upright | white cup A: closed, upright | yellow-white striped cup A: closed, upright | glass spice container B: closed, upright</x:v>
      </x:c>
      <x:c r="I117" s="55" t="str">
        <x:v>168e12e735da9ad62716dca89cff660b53082cc3</x:v>
      </x:c>
      <x:c r="J117" s="55" t="str">
        <x:v>Audit only — do not pass previous prompt to the model.</x:v>
      </x:c>
    </x:row>
    <x:row r="118">
      <x:c r="A118" s="56" t="n">
        <x:v>113</x:v>
      </x:c>
      <x:c r="B118" s="55" t="str">
        <x:v>Pick up the brown cup and place it into the bowl.</x:v>
      </x:c>
      <x:c r="C118" s="55" t="str">
        <x:v>Pick up the brown cup that is closed and right-side-up, then place it in the bowl.</x:v>
      </x:c>
      <x:c r="D118" s="54" t="str">
        <x:v>brown_cup_a</x:v>
      </x:c>
      <x:c r="E118" s="54" t="str">
        <x:v>brown cup</x:v>
      </x:c>
      <x:c r="F118" s="54" t="str">
        <x:v>closed</x:v>
      </x:c>
      <x:c r="G118" s="54" t="str">
        <x:v>upright</x:v>
      </x:c>
      <x:c r="H118" s="55" t="str">
        <x:v>brown cup A: closed, upright | brown cup B: open, upright | glass spice container A: closed, upright</x:v>
      </x:c>
      <x:c r="I118" s="55" t="str">
        <x:v>168e12e735da9ad62716dca89cff660b53082cc3</x:v>
      </x:c>
      <x:c r="J118" s="55" t="str">
        <x:v>Audit only — do not pass previous prompt to the model.</x:v>
      </x:c>
    </x:row>
    <x:row r="119">
      <x:c r="A119" s="56" t="n">
        <x:v>114</x:v>
      </x:c>
      <x:c r="B119" s="55" t="str">
        <x:v>Pick up the brown cup and place it into the bowl.</x:v>
      </x:c>
      <x:c r="C119" s="55" t="str">
        <x:v>Move the open brown cup that is right-side-up into the bowl.</x:v>
      </x:c>
      <x:c r="D119" s="54" t="str">
        <x:v>brown_cup_b</x:v>
      </x:c>
      <x:c r="E119" s="54" t="str">
        <x:v>brown cup</x:v>
      </x:c>
      <x:c r="F119" s="54" t="str">
        <x:v>open</x:v>
      </x:c>
      <x:c r="G119" s="54" t="str">
        <x:v>upright</x:v>
      </x:c>
      <x:c r="H119" s="55" t="str">
        <x:v>brown cup B: open, upright | yellow-white striped cup A: closed, upright | glass spice container B: closed, upright</x:v>
      </x:c>
      <x:c r="I119" s="55" t="str">
        <x:v>168e12e735da9ad62716dca89cff660b53082cc3</x:v>
      </x:c>
      <x:c r="J119" s="55" t="str">
        <x:v>Audit only — do not pass previous prompt to the model.</x:v>
      </x:c>
    </x:row>
    <x:row r="120">
      <x:c r="A120" s="56" t="n">
        <x:v>115</x:v>
      </x:c>
      <x:c r="B120" s="55" t="str">
        <x:v>Pick up the brown cup and place it into the bowl.</x:v>
      </x:c>
      <x:c r="C120" s="55" t="str">
        <x:v>Pick up the brown cup that is open and right-side-up, then place it in the bowl.</x:v>
      </x:c>
      <x:c r="D120" s="54" t="str">
        <x:v>brown_cup_a</x:v>
      </x:c>
      <x:c r="E120" s="54" t="str">
        <x:v>brown cup</x:v>
      </x:c>
      <x:c r="F120" s="54" t="str">
        <x:v>open</x:v>
      </x:c>
      <x:c r="G120" s="54" t="str">
        <x:v>upright</x:v>
      </x:c>
      <x:c r="H120" s="55" t="str">
        <x:v>brown cup A: open, upright | brown cup B: closed, upright | yellow-white striped cup A: closed, upright | glass spice container B: closed, upright</x:v>
      </x:c>
      <x:c r="I120" s="55" t="str">
        <x:v>168e12e735da9ad62716dca89cff660b53082cc3</x:v>
      </x:c>
      <x:c r="J120" s="55" t="str">
        <x:v>Audit only — do not pass previous prompt to the model.</x:v>
      </x:c>
    </x:row>
    <x:row r="121">
      <x:c r="A121" s="56" t="n">
        <x:v>116</x:v>
      </x:c>
      <x:c r="B121" s="55" t="str">
        <x:v>Pick up the brown cup and place it into the bowl.</x:v>
      </x:c>
      <x:c r="C121" s="55" t="str">
        <x:v>Put the closed, right-side-up brown cup in the bowl.</x:v>
      </x:c>
      <x:c r="D121" s="54" t="str">
        <x:v>brown_cup_a</x:v>
      </x:c>
      <x:c r="E121" s="54" t="str">
        <x:v>brown cup</x:v>
      </x:c>
      <x:c r="F121" s="54" t="str">
        <x:v>closed</x:v>
      </x:c>
      <x:c r="G121" s="54" t="str">
        <x:v>upright</x:v>
      </x:c>
      <x:c r="H121" s="55" t="str">
        <x:v>brown cup A: closed, upright | brown cup B: open, upright | glass spice container B: closed, upright | white cup A: open, upright</x:v>
      </x:c>
      <x:c r="I121" s="55" t="str">
        <x:v>168e12e735da9ad62716dca89cff660b53082cc3</x:v>
      </x:c>
      <x:c r="J121" s="55" t="str">
        <x:v>Audit only — do not pass previous prompt to the model.</x:v>
      </x:c>
    </x:row>
    <x:row r="122">
      <x:c r="A122" s="56" t="n">
        <x:v>117</x:v>
      </x:c>
      <x:c r="B122" s="55" t="str">
        <x:v>Pick up the brown cup and place it into the bowl.</x:v>
      </x:c>
      <x:c r="C122" s="55" t="str">
        <x:v>Put the open, right-side-up brown cup in the bowl.</x:v>
      </x:c>
      <x:c r="D122" s="54" t="str">
        <x:v>brown_cup_a</x:v>
      </x:c>
      <x:c r="E122" s="54" t="str">
        <x:v>brown cup</x:v>
      </x:c>
      <x:c r="F122" s="54" t="str">
        <x:v>open</x:v>
      </x:c>
      <x:c r="G122" s="54" t="str">
        <x:v>upright</x:v>
      </x:c>
      <x:c r="H122" s="55" t="str">
        <x:v>brown cup A: open, upright | brown cup B: closed, upright | white cup A: closed, upright | yellow-white striped cup B: closed, upright</x:v>
      </x:c>
      <x:c r="I122" s="55" t="str">
        <x:v>168e12e735da9ad62716dca89cff660b53082cc3</x:v>
      </x:c>
      <x:c r="J122" s="55" t="str">
        <x:v>Audit only — do not pass previous prompt to the model.</x:v>
      </x:c>
    </x:row>
    <x:row r="123">
      <x:c r="A123" s="56" t="n">
        <x:v>118</x:v>
      </x:c>
      <x:c r="B123" s="55" t="str">
        <x:v>Pick up the brown cup and place it into the bowl.</x:v>
      </x:c>
      <x:c r="C123" s="55" t="str">
        <x:v>Pick up the brown cup that is open and right-side-up, then place it in the bowl.</x:v>
      </x:c>
      <x:c r="D123" s="54" t="str">
        <x:v>brown_cup_b</x:v>
      </x:c>
      <x:c r="E123" s="54" t="str">
        <x:v>brown cup</x:v>
      </x:c>
      <x:c r="F123" s="54" t="str">
        <x:v>open</x:v>
      </x:c>
      <x:c r="G123" s="54" t="str">
        <x:v>upright</x:v>
      </x:c>
      <x:c r="H123" s="55" t="str">
        <x:v>brown cup B: open, upright | brown cup A: closed, upright | yellow-white striped cup B: open, upright</x:v>
      </x:c>
      <x:c r="I123" s="55" t="str">
        <x:v>168e12e735da9ad62716dca89cff660b53082cc3</x:v>
      </x:c>
      <x:c r="J123" s="55" t="str">
        <x:v>Audit only — do not pass previous prompt to the model.</x:v>
      </x:c>
    </x:row>
    <x:row r="124">
      <x:c r="A124" s="56" t="n">
        <x:v>119</x:v>
      </x:c>
      <x:c r="B124" s="55" t="str">
        <x:v>Pick up the brown cup and place it into the bowl.</x:v>
      </x:c>
      <x:c r="C124" s="55" t="str">
        <x:v>Move the closed brown cup that is right-side-up into the bowl.</x:v>
      </x:c>
      <x:c r="D124" s="54" t="str">
        <x:v>brown_cup_b</x:v>
      </x:c>
      <x:c r="E124" s="54" t="str">
        <x:v>brown cup</x:v>
      </x:c>
      <x:c r="F124" s="54" t="str">
        <x:v>closed</x:v>
      </x:c>
      <x:c r="G124" s="54" t="str">
        <x:v>upright</x:v>
      </x:c>
      <x:c r="H124" s="55" t="str">
        <x:v>brown cup B: closed, upright | glass spice container B: open, upright | white cup B: open, upright | yellow-white striped cup B: open, upright</x:v>
      </x:c>
      <x:c r="I124" s="55" t="str">
        <x:v>168e12e735da9ad62716dca89cff660b53082cc3</x:v>
      </x:c>
      <x:c r="J124" s="55" t="str">
        <x:v>Audit only — do not pass previous prompt to the model.</x:v>
      </x:c>
    </x:row>
    <x:row r="125">
      <x:c r="A125" s="56" t="n">
        <x:v>120</x:v>
      </x:c>
      <x:c r="B125" s="55" t="str">
        <x:v>Pick up the brown cup and place it into the bowl.</x:v>
      </x:c>
      <x:c r="C125" s="55" t="str">
        <x:v>Put the closed, right-side-up brown cup in the bowl.</x:v>
      </x:c>
      <x:c r="D125" s="54" t="str">
        <x:v>brown_cup_a</x:v>
      </x:c>
      <x:c r="E125" s="54" t="str">
        <x:v>brown cup</x:v>
      </x:c>
      <x:c r="F125" s="54" t="str">
        <x:v>closed</x:v>
      </x:c>
      <x:c r="G125" s="54" t="str">
        <x:v>upright</x:v>
      </x:c>
      <x:c r="H125" s="55" t="str">
        <x:v>brown cup A: closed, upright | brown cup B: open, upright | white cup B: closed, upright | yellow-white striped cup A: open, upright</x:v>
      </x:c>
      <x:c r="I125" s="55" t="str">
        <x:v>168e12e735da9ad62716dca89cff660b53082cc3</x:v>
      </x:c>
      <x:c r="J125" s="55" t="str">
        <x:v>Audit only — do not pass previous prompt to the model.</x:v>
      </x:c>
    </x:row>
    <x:row r="126">
      <x:c r="A126" s="56" t="n">
        <x:v>121</x:v>
      </x:c>
      <x:c r="B126" s="55" t="str">
        <x:v>Pick up the brown cup and place it into the bowl.</x:v>
      </x:c>
      <x:c r="C126" s="55" t="str">
        <x:v>Put the open, right-side-up brown cup in the bowl.</x:v>
      </x:c>
      <x:c r="D126" s="54" t="str">
        <x:v>brown_cup_b</x:v>
      </x:c>
      <x:c r="E126" s="54" t="str">
        <x:v>brown cup</x:v>
      </x:c>
      <x:c r="F126" s="54" t="str">
        <x:v>open</x:v>
      </x:c>
      <x:c r="G126" s="54" t="str">
        <x:v>upright</x:v>
      </x:c>
      <x:c r="H126" s="55" t="str">
        <x:v>brown cup B: open, upright | brown cup A: closed, upright | yellow-white striped cup A: closed, upright | glass spice container B: closed, upright</x:v>
      </x:c>
      <x:c r="I126" s="55" t="str">
        <x:v>168e12e735da9ad62716dca89cff660b53082cc3</x:v>
      </x:c>
      <x:c r="J126" s="55" t="str">
        <x:v>Audit only — do not pass previous prompt to the model.</x:v>
      </x:c>
    </x:row>
    <x:row r="127">
      <x:c r="A127" s="56" t="n">
        <x:v>122</x:v>
      </x:c>
      <x:c r="B127" s="55" t="str">
        <x:v>Pick up the brown cup and place it into the bowl.</x:v>
      </x:c>
      <x:c r="C127" s="55" t="str">
        <x:v>Put the closed brown cup in the bowl.</x:v>
      </x:c>
      <x:c r="D127" s="54" t="str">
        <x:v>brown_cup_a</x:v>
      </x:c>
      <x:c r="E127" s="54" t="str">
        <x:v>brown cup</x:v>
      </x:c>
      <x:c r="F127" s="54" t="str">
        <x:v>closed</x:v>
      </x:c>
      <x:c r="G127" s="54" t="str">
        <x:v>upside down</x:v>
      </x:c>
      <x:c r="H127" s="55" t="str">
        <x:v>brown cup A: closed, upside down | brown cup B: open, upright | white cup B: open, upside down</x:v>
      </x:c>
      <x:c r="I127" s="55" t="str">
        <x:v>168e12e735da9ad62716dca89cff660b53082cc3</x:v>
      </x:c>
      <x:c r="J127" s="55" t="str">
        <x:v>Audit only — do not pass previous prompt to the model.</x:v>
      </x:c>
    </x:row>
    <x:row r="128">
      <x:c r="A128" s="56" t="n">
        <x:v>123</x:v>
      </x:c>
      <x:c r="B128" s="55" t="str">
        <x:v>Pick up the brown cup and place it into the bowl.</x:v>
      </x:c>
      <x:c r="C128" s="55" t="str">
        <x:v>Put the open, upside-down brown cup in the bowl.</x:v>
      </x:c>
      <x:c r="D128" s="54" t="str">
        <x:v>brown_cup_b</x:v>
      </x:c>
      <x:c r="E128" s="54" t="str">
        <x:v>brown cup</x:v>
      </x:c>
      <x:c r="F128" s="54" t="str">
        <x:v>open</x:v>
      </x:c>
      <x:c r="G128" s="54" t="str">
        <x:v>upside down</x:v>
      </x:c>
      <x:c r="H128" s="55" t="str">
        <x:v>brown cup B: open, upside down | yellow-white striped cup A: closed, upright | glass spice container B: open, upright</x:v>
      </x:c>
      <x:c r="I128" s="55" t="str">
        <x:v>168e12e735da9ad62716dca89cff660b53082cc3</x:v>
      </x:c>
      <x:c r="J128" s="55" t="str">
        <x:v>Audit only — do not pass previous prompt to the model.</x:v>
      </x:c>
    </x:row>
    <x:row r="129">
      <x:c r="A129" s="56" t="n">
        <x:v>124</x:v>
      </x:c>
      <x:c r="B129" s="55" t="str">
        <x:v>Pick up the brown cup and place it into the bowl.</x:v>
      </x:c>
      <x:c r="C129" s="55" t="str">
        <x:v>Pick up the brown cup that is upside-down and place it in the bowl.</x:v>
      </x:c>
      <x:c r="D129" s="54" t="str">
        <x:v>brown_cup_b</x:v>
      </x:c>
      <x:c r="E129" s="54" t="str">
        <x:v>brown cup</x:v>
      </x:c>
      <x:c r="F129" s="54" t="str">
        <x:v>closed</x:v>
      </x:c>
      <x:c r="G129" s="54" t="str">
        <x:v>upside down</x:v>
      </x:c>
      <x:c r="H129" s="55" t="str">
        <x:v>brown cup B: closed, upside down | brown cup A: closed, upright | glass spice container B: closed, upright</x:v>
      </x:c>
      <x:c r="I129" s="55" t="str">
        <x:v>168e12e735da9ad62716dca89cff660b53082cc3</x:v>
      </x:c>
      <x:c r="J129" s="55" t="str">
        <x:v>Audit only — do not pass previous prompt to the model.</x:v>
      </x:c>
    </x:row>
    <x:row r="130">
      <x:c r="A130" s="56" t="n">
        <x:v>125</x:v>
      </x:c>
      <x:c r="B130" s="55" t="str">
        <x:v>Pick up the brown cup and place it into the bowl.</x:v>
      </x:c>
      <x:c r="C130" s="55" t="str">
        <x:v>Move the closed brown cup that is right-side-up into the bowl.</x:v>
      </x:c>
      <x:c r="D130" s="54" t="str">
        <x:v>brown_cup_b</x:v>
      </x:c>
      <x:c r="E130" s="54" t="str">
        <x:v>brown cup</x:v>
      </x:c>
      <x:c r="F130" s="54" t="str">
        <x:v>closed</x:v>
      </x:c>
      <x:c r="G130" s="54" t="str">
        <x:v>upright</x:v>
      </x:c>
      <x:c r="H130" s="55" t="str">
        <x:v>brown cup B: closed, upright | brown cup A: open, upright | yellow-white striped cup B: closed, upright | glass spice container A: open, upright</x:v>
      </x:c>
      <x:c r="I130" s="55" t="str">
        <x:v>168e12e735da9ad62716dca89cff660b53082cc3</x:v>
      </x:c>
      <x:c r="J130" s="55" t="str">
        <x:v>Audit only — do not pass previous prompt to the model.</x:v>
      </x:c>
    </x:row>
    <x:row r="131">
      <x:c r="A131" s="56" t="n">
        <x:v>126</x:v>
      </x:c>
      <x:c r="B131" s="55" t="str">
        <x:v>Pick up the brown cup and place it into the bowl.</x:v>
      </x:c>
      <x:c r="C131" s="55" t="str">
        <x:v>Put the open, right-side-up brown cup in the bowl.</x:v>
      </x:c>
      <x:c r="D131" s="54" t="str">
        <x:v>brown_cup_b</x:v>
      </x:c>
      <x:c r="E131" s="54" t="str">
        <x:v>brown cup</x:v>
      </x:c>
      <x:c r="F131" s="54" t="str">
        <x:v>open</x:v>
      </x:c>
      <x:c r="G131" s="54" t="str">
        <x:v>upright</x:v>
      </x:c>
      <x:c r="H131" s="55" t="str">
        <x:v>brown cup B: open, upright | brown cup A: closed, upright | glass spice container A: closed, upright</x:v>
      </x:c>
      <x:c r="I131" s="55" t="str">
        <x:v>168e12e735da9ad62716dca89cff660b53082cc3</x:v>
      </x:c>
      <x:c r="J131" s="55" t="str">
        <x:v>Audit only — do not pass previous prompt to the model.</x:v>
      </x:c>
    </x:row>
    <x:row r="132">
      <x:c r="A132" s="56" t="n">
        <x:v>127</x:v>
      </x:c>
      <x:c r="B132" s="55" t="str">
        <x:v>Pick up the brown cup and place it into the bowl.</x:v>
      </x:c>
      <x:c r="C132" s="55" t="str">
        <x:v>Move the closed brown cup that is right-side-up into the bowl.</x:v>
      </x:c>
      <x:c r="D132" s="54" t="str">
        <x:v>brown_cup_a</x:v>
      </x:c>
      <x:c r="E132" s="54" t="str">
        <x:v>brown cup</x:v>
      </x:c>
      <x:c r="F132" s="54" t="str">
        <x:v>closed</x:v>
      </x:c>
      <x:c r="G132" s="54" t="str">
        <x:v>upright</x:v>
      </x:c>
      <x:c r="H132" s="55" t="str">
        <x:v>brown cup A: closed, upright | brown cup B: open, upright | white cup B: closed, upright</x:v>
      </x:c>
      <x:c r="I132" s="55" t="str">
        <x:v>168e12e735da9ad62716dca89cff660b53082cc3</x:v>
      </x:c>
      <x:c r="J132" s="55" t="str">
        <x:v>Audit only — do not pass previous prompt to the model.</x:v>
      </x:c>
    </x:row>
    <x:row r="133">
      <x:c r="A133" s="56" t="n">
        <x:v>128</x:v>
      </x:c>
      <x:c r="B133" s="55" t="str">
        <x:v>Pick up the brown cup and place it into the bowl.</x:v>
      </x:c>
      <x:c r="C133" s="55" t="str">
        <x:v>Pick up the brown cup that is open and right-side-up, then place it in the bowl.</x:v>
      </x:c>
      <x:c r="D133" s="54" t="str">
        <x:v>brown_cup_a</x:v>
      </x:c>
      <x:c r="E133" s="54" t="str">
        <x:v>brown cup</x:v>
      </x:c>
      <x:c r="F133" s="54" t="str">
        <x:v>open</x:v>
      </x:c>
      <x:c r="G133" s="54" t="str">
        <x:v>upright</x:v>
      </x:c>
      <x:c r="H133" s="55" t="str">
        <x:v>brown cup A: open, upright | brown cup B: open, upside down | white cup A: closed, upright | yellow-white striped cup B: open, upright</x:v>
      </x:c>
      <x:c r="I133" s="55" t="str">
        <x:v>168e12e735da9ad62716dca89cff660b53082cc3</x:v>
      </x:c>
      <x:c r="J133" s="55" t="str">
        <x:v>Audit only — do not pass previous prompt to the model.</x:v>
      </x:c>
    </x:row>
    <x:row r="134">
      <x:c r="A134" s="56" t="n">
        <x:v>129</x:v>
      </x:c>
      <x:c r="B134" s="55" t="str">
        <x:v>Pick up the brown cup and place it into the bowl.</x:v>
      </x:c>
      <x:c r="C134" s="55" t="str">
        <x:v>Move the inverted brown cup into the bowl.</x:v>
      </x:c>
      <x:c r="D134" s="54" t="str">
        <x:v>brown_cup_a</x:v>
      </x:c>
      <x:c r="E134" s="54" t="str">
        <x:v>brown cup</x:v>
      </x:c>
      <x:c r="F134" s="54" t="str">
        <x:v>closed</x:v>
      </x:c>
      <x:c r="G134" s="54" t="str">
        <x:v>upside down</x:v>
      </x:c>
      <x:c r="H134" s="55" t="str">
        <x:v>brown cup A: closed, upside down | glass spice container B: closed, upright | white cup B: open, upright | yellow-white striped cup B: closed, upright</x:v>
      </x:c>
      <x:c r="I134" s="55" t="str">
        <x:v>168e12e735da9ad62716dca89cff660b53082cc3</x:v>
      </x:c>
      <x:c r="J134" s="55" t="str">
        <x:v>Audit only — do not pass previous prompt to the model.</x:v>
      </x:c>
    </x:row>
    <x:row r="135">
      <x:c r="A135" s="56" t="n">
        <x:v>130</x:v>
      </x:c>
      <x:c r="B135" s="55" t="str">
        <x:v>Pick up the brown cup and place it into the bowl.</x:v>
      </x:c>
      <x:c r="C135" s="55" t="str">
        <x:v>Move the open brown cup that is right-side-up into the bowl.</x:v>
      </x:c>
      <x:c r="D135" s="54" t="str">
        <x:v>brown_cup_b</x:v>
      </x:c>
      <x:c r="E135" s="54" t="str">
        <x:v>brown cup</x:v>
      </x:c>
      <x:c r="F135" s="54" t="str">
        <x:v>open</x:v>
      </x:c>
      <x:c r="G135" s="54" t="str">
        <x:v>upright</x:v>
      </x:c>
      <x:c r="H135" s="55" t="str">
        <x:v>brown cup B: open, upright | brown cup A: closed, upside down | glass spice container A: open, upside down</x:v>
      </x:c>
      <x:c r="I135" s="55" t="str">
        <x:v>168e12e735da9ad62716dca89cff660b53082cc3</x:v>
      </x:c>
      <x:c r="J135" s="55" t="str">
        <x:v>Audit only — do not pass previous prompt to the model.</x:v>
      </x:c>
    </x:row>
    <x:row r="136">
      <x:c r="A136" s="56" t="n">
        <x:v>131</x:v>
      </x:c>
      <x:c r="B136" s="55" t="str">
        <x:v>Pick up the brown cup and place it into the bowl.</x:v>
      </x:c>
      <x:c r="C136" s="55" t="str">
        <x:v>Put the closed, right-side-up brown cup in the bowl.</x:v>
      </x:c>
      <x:c r="D136" s="54" t="str">
        <x:v>brown_cup_a</x:v>
      </x:c>
      <x:c r="E136" s="54" t="str">
        <x:v>brown cup</x:v>
      </x:c>
      <x:c r="F136" s="54" t="str">
        <x:v>closed</x:v>
      </x:c>
      <x:c r="G136" s="54" t="str">
        <x:v>upright</x:v>
      </x:c>
      <x:c r="H136" s="55" t="str">
        <x:v>brown cup A: closed, upright | brown cup B: closed, upside down | white cup B: closed, upright | yellow-white striped cup A: open, upside down</x:v>
      </x:c>
      <x:c r="I136" s="55" t="str">
        <x:v>168e12e735da9ad62716dca89cff660b53082cc3</x:v>
      </x:c>
      <x:c r="J136" s="55" t="str">
        <x:v>Audit only — do not pass previous prompt to the model.</x:v>
      </x:c>
    </x:row>
    <x:row r="137">
      <x:c r="A137" s="56" t="n">
        <x:v>132</x:v>
      </x:c>
      <x:c r="B137" s="55" t="str">
        <x:v>Pick up the brown cup and place it into the bowl.</x:v>
      </x:c>
      <x:c r="C137" s="55" t="str">
        <x:v>Move the open brown cup that is upside-down into the bowl.</x:v>
      </x:c>
      <x:c r="D137" s="54" t="str">
        <x:v>brown_cup_a</x:v>
      </x:c>
      <x:c r="E137" s="54" t="str">
        <x:v>brown cup</x:v>
      </x:c>
      <x:c r="F137" s="54" t="str">
        <x:v>open</x:v>
      </x:c>
      <x:c r="G137" s="54" t="str">
        <x:v>upside down</x:v>
      </x:c>
      <x:c r="H137" s="55" t="str">
        <x:v>brown cup A: open, upside down | brown cup B: open, upright | yellow-white striped cup A: closed, upright</x:v>
      </x:c>
      <x:c r="I137" s="55" t="str">
        <x:v>168e12e735da9ad62716dca89cff660b53082cc3</x:v>
      </x:c>
      <x:c r="J137" s="55" t="str">
        <x:v>Audit only — do not pass previous prompt to the model.</x:v>
      </x:c>
    </x:row>
    <x:row r="138">
      <x:c r="A138" s="56" t="n">
        <x:v>133</x:v>
      </x:c>
      <x:c r="B138" s="55" t="str">
        <x:v>Pick up the brown cup and place it into the bowl.</x:v>
      </x:c>
      <x:c r="C138" s="55" t="str">
        <x:v>Move the inverted brown cup into the bowl.</x:v>
      </x:c>
      <x:c r="D138" s="54" t="str">
        <x:v>brown_cup_b</x:v>
      </x:c>
      <x:c r="E138" s="54" t="str">
        <x:v>brown cup</x:v>
      </x:c>
      <x:c r="F138" s="54" t="str">
        <x:v>closed</x:v>
      </x:c>
      <x:c r="G138" s="54" t="str">
        <x:v>upside down</x:v>
      </x:c>
      <x:c r="H138" s="55" t="str">
        <x:v>brown cup B: closed, upside down | brown cup A: open, upright | glass spice container B: open, upside down</x:v>
      </x:c>
      <x:c r="I138" s="55" t="str">
        <x:v>168e12e735da9ad62716dca89cff660b53082cc3</x:v>
      </x:c>
      <x:c r="J138" s="55" t="str">
        <x:v>Audit only — do not pass previous prompt to the model.</x:v>
      </x:c>
    </x:row>
    <x:row r="139">
      <x:c r="A139" s="56" t="n">
        <x:v>134</x:v>
      </x:c>
      <x:c r="B139" s="55" t="str">
        <x:v>Pick up the brown cup and place it into the bowl.</x:v>
      </x:c>
      <x:c r="C139" s="55" t="str">
        <x:v>Move the open brown cup that is right-side-up into the bowl.</x:v>
      </x:c>
      <x:c r="D139" s="54" t="str">
        <x:v>brown_cup_b</x:v>
      </x:c>
      <x:c r="E139" s="54" t="str">
        <x:v>brown cup</x:v>
      </x:c>
      <x:c r="F139" s="54" t="str">
        <x:v>open</x:v>
      </x:c>
      <x:c r="G139" s="54" t="str">
        <x:v>upright</x:v>
      </x:c>
      <x:c r="H139" s="55" t="str">
        <x:v>brown cup B: open, upright | brown cup A: closed, upside down | white cup A: open, upside down | yellow-white striped cup B: closed, upside down</x:v>
      </x:c>
      <x:c r="I139" s="55" t="str">
        <x:v>168e12e735da9ad62716dca89cff660b53082cc3</x:v>
      </x:c>
      <x:c r="J139" s="55" t="str">
        <x:v>Audit only — do not pass previous prompt to the model.</x:v>
      </x:c>
    </x:row>
    <x:row r="140">
      <x:c r="A140" s="56" t="n">
        <x:v>135</x:v>
      </x:c>
      <x:c r="B140" s="55" t="str">
        <x:v>Pick up the brown cup and place it into the bowl.</x:v>
      </x:c>
      <x:c r="C140" s="55" t="str">
        <x:v>Pick up the brown cup that is upside-down and place it in the bowl.</x:v>
      </x:c>
      <x:c r="D140" s="54" t="str">
        <x:v>brown_cup_a</x:v>
      </x:c>
      <x:c r="E140" s="54" t="str">
        <x:v>brown cup</x:v>
      </x:c>
      <x:c r="F140" s="54" t="str">
        <x:v>closed</x:v>
      </x:c>
      <x:c r="G140" s="54" t="str">
        <x:v>upside down</x:v>
      </x:c>
      <x:c r="H140" s="55" t="str">
        <x:v>brown cup A: closed, upside down | brown cup B: closed, upright | yellow-white striped cup B: closed, upside down | glass spice container A: open, upright</x:v>
      </x:c>
      <x:c r="I140" s="55" t="str">
        <x:v>168e12e735da9ad62716dca89cff660b53082cc3</x:v>
      </x:c>
      <x:c r="J140" s="55" t="str">
        <x:v>Audit only — do not pass previous prompt to the model.</x:v>
      </x:c>
    </x:row>
    <x:row r="141">
      <x:c r="A141" s="56" t="n">
        <x:v>136</x:v>
      </x:c>
      <x:c r="B141" s="55" t="str">
        <x:v>Pick up the brown cup and place it into the bowl.</x:v>
      </x:c>
      <x:c r="C141" s="55" t="str">
        <x:v>Pick up the brown cup that is open and right-side-up, then place it in the bowl.</x:v>
      </x:c>
      <x:c r="D141" s="54" t="str">
        <x:v>brown_cup_a</x:v>
      </x:c>
      <x:c r="E141" s="54" t="str">
        <x:v>brown cup</x:v>
      </x:c>
      <x:c r="F141" s="54" t="str">
        <x:v>open</x:v>
      </x:c>
      <x:c r="G141" s="54" t="str">
        <x:v>upright</x:v>
      </x:c>
      <x:c r="H141" s="55" t="str">
        <x:v>brown cup A: open, upright | white cup B: closed, upside down | yellow-white striped cup B: open, upside down</x:v>
      </x:c>
      <x:c r="I141" s="55" t="str">
        <x:v>168e12e735da9ad62716dca89cff660b53082cc3</x:v>
      </x:c>
      <x:c r="J141" s="55" t="str">
        <x:v>Audit only — do not pass previous prompt to the model.</x:v>
      </x:c>
    </x:row>
    <x:row r="142">
      <x:c r="A142" s="56" t="n">
        <x:v>137</x:v>
      </x:c>
      <x:c r="B142" s="55" t="str">
        <x:v>Pick up the brown cup and place it into the bowl.</x:v>
      </x:c>
      <x:c r="C142" s="55" t="str">
        <x:v>Move the closed brown cup into the bowl.</x:v>
      </x:c>
      <x:c r="D142" s="54" t="str">
        <x:v>brown_cup_b</x:v>
      </x:c>
      <x:c r="E142" s="54" t="str">
        <x:v>brown cup</x:v>
      </x:c>
      <x:c r="F142" s="54" t="str">
        <x:v>closed</x:v>
      </x:c>
      <x:c r="G142" s="54" t="str">
        <x:v>upside down</x:v>
      </x:c>
      <x:c r="H142" s="55" t="str">
        <x:v>brown cup B: closed, upside down | brown cup A: open, upright | white cup B: open, upside down</x:v>
      </x:c>
      <x:c r="I142" s="55" t="str">
        <x:v>168e12e735da9ad62716dca89cff660b53082cc3</x:v>
      </x:c>
      <x:c r="J142" s="55" t="str">
        <x:v>Audit only — do not pass previous prompt to the model.</x:v>
      </x:c>
    </x:row>
    <x:row r="143">
      <x:c r="A143" s="56" t="n">
        <x:v>138</x:v>
      </x:c>
      <x:c r="B143" s="55" t="str">
        <x:v>Pick up the brown cup and place it into the bowl.</x:v>
      </x:c>
      <x:c r="C143" s="55" t="str">
        <x:v>Move the open brown cup that is right-side-up into the bowl.</x:v>
      </x:c>
      <x:c r="D143" s="54" t="str">
        <x:v>brown_cup_b</x:v>
      </x:c>
      <x:c r="E143" s="54" t="str">
        <x:v>brown cup</x:v>
      </x:c>
      <x:c r="F143" s="54" t="str">
        <x:v>open</x:v>
      </x:c>
      <x:c r="G143" s="54" t="str">
        <x:v>upright</x:v>
      </x:c>
      <x:c r="H143" s="55" t="str">
        <x:v>brown cup B: open, upright | brown cup A: closed, upside down | yellow-white striped cup A: open, upside down | glass spice container B: closed, upside down</x:v>
      </x:c>
      <x:c r="I143" s="55" t="str">
        <x:v>168e12e735da9ad62716dca89cff660b53082cc3</x:v>
      </x:c>
      <x:c r="J143" s="55" t="str">
        <x:v>Audit only — do not pass previous prompt to the model.</x:v>
      </x:c>
    </x:row>
    <x:row r="144">
      <x:c r="A144" s="56" t="n">
        <x:v>139</x:v>
      </x:c>
      <x:c r="B144" s="55" t="str">
        <x:v>Pick up the brown cup and place it into the bowl.</x:v>
      </x:c>
      <x:c r="C144" s="55" t="str">
        <x:v>Put the closed, right-side-up brown cup in the bowl.</x:v>
      </x:c>
      <x:c r="D144" s="54" t="str">
        <x:v>brown_cup_a</x:v>
      </x:c>
      <x:c r="E144" s="54" t="str">
        <x:v>brown cup</x:v>
      </x:c>
      <x:c r="F144" s="54" t="str">
        <x:v>closed</x:v>
      </x:c>
      <x:c r="G144" s="54" t="str">
        <x:v>upright</x:v>
      </x:c>
      <x:c r="H144" s="55" t="str">
        <x:v>brown cup A: closed, upright | brown cup B: closed, upside down | glass spice container B: closed, upside down</x:v>
      </x:c>
      <x:c r="I144" s="55" t="str">
        <x:v>168e12e735da9ad62716dca89cff660b53082cc3</x:v>
      </x:c>
      <x:c r="J144" s="55" t="str">
        <x:v>Audit only — do not pass previous prompt to the model.</x:v>
      </x:c>
    </x:row>
    <x:row r="145">
      <x:c r="A145" s="56" t="n">
        <x:v>140</x:v>
      </x:c>
      <x:c r="B145" s="55" t="str">
        <x:v>Pick up the brown cup and place it into the bowl.</x:v>
      </x:c>
      <x:c r="C145" s="55" t="str">
        <x:v>Pick up the brown cup that is open and right-side-up, then place it in the bowl.</x:v>
      </x:c>
      <x:c r="D145" s="54" t="str">
        <x:v>brown_cup_a</x:v>
      </x:c>
      <x:c r="E145" s="54" t="str">
        <x:v>brown cup</x:v>
      </x:c>
      <x:c r="F145" s="54" t="str">
        <x:v>open</x:v>
      </x:c>
      <x:c r="G145" s="54" t="str">
        <x:v>upright</x:v>
      </x:c>
      <x:c r="H145" s="55" t="str">
        <x:v>brown cup A: open, upright | brown cup B: open, upside down | white cup A: closed, upright | yellow-white striped cup B: open, upright</x:v>
      </x:c>
      <x:c r="I145" s="55" t="str">
        <x:v>168e12e735da9ad62716dca89cff660b53082cc3</x:v>
      </x:c>
      <x:c r="J145" s="55" t="str">
        <x:v>Audit only — do not pass previous prompt to the model.</x:v>
      </x:c>
    </x:row>
    <x:row r="146">
      <x:c r="A146" s="56" t="n">
        <x:v>141</x:v>
      </x:c>
      <x:c r="B146" s="55" t="str">
        <x:v>Pick up the brown cup and place it into the bowl.</x:v>
      </x:c>
      <x:c r="C146" s="55" t="str">
        <x:v>Put the closed brown cup in the bowl.</x:v>
      </x:c>
      <x:c r="D146" s="54" t="str">
        <x:v>brown_cup_b</x:v>
      </x:c>
      <x:c r="E146" s="54" t="str">
        <x:v>brown cup</x:v>
      </x:c>
      <x:c r="F146" s="54" t="str">
        <x:v>closed</x:v>
      </x:c>
      <x:c r="G146" s="54" t="str">
        <x:v>upside down</x:v>
      </x:c>
      <x:c r="H146" s="55" t="str">
        <x:v>brown cup B: closed, upside down | yellow-white striped cup B: closed, upright | glass spice container A: open, upright</x:v>
      </x:c>
      <x:c r="I146" s="55" t="str">
        <x:v>168e12e735da9ad62716dca89cff660b53082cc3</x:v>
      </x:c>
      <x:c r="J146" s="55" t="str">
        <x:v>Audit only — do not pass previous prompt to the model.</x:v>
      </x:c>
    </x:row>
    <x:row r="147">
      <x:c r="A147" s="56" t="n">
        <x:v>142</x:v>
      </x:c>
      <x:c r="B147" s="55" t="str">
        <x:v>Pick up the brown cup and place it into the bowl.</x:v>
      </x:c>
      <x:c r="C147" s="55" t="str">
        <x:v>Put the open, right-side-up brown cup in the bowl.</x:v>
      </x:c>
      <x:c r="D147" s="54" t="str">
        <x:v>brown_cup_b</x:v>
      </x:c>
      <x:c r="E147" s="54" t="str">
        <x:v>brown cup</x:v>
      </x:c>
      <x:c r="F147" s="54" t="str">
        <x:v>open</x:v>
      </x:c>
      <x:c r="G147" s="54" t="str">
        <x:v>upright</x:v>
      </x:c>
      <x:c r="H147" s="55" t="str">
        <x:v>brown cup B: open, upright | brown cup A: closed, upside down | glass spice container A: open, upright</x:v>
      </x:c>
      <x:c r="I147" s="55" t="str">
        <x:v>168e12e735da9ad62716dca89cff660b53082cc3</x:v>
      </x:c>
      <x:c r="J147" s="55" t="str">
        <x:v>Audit only — do not pass previous prompt to the model.</x:v>
      </x:c>
    </x:row>
    <x:row r="148">
      <x:c r="A148" s="56" t="n">
        <x:v>143</x:v>
      </x:c>
      <x:c r="B148" s="55" t="str">
        <x:v>Pick up the brown cup and place it into the bowl.</x:v>
      </x:c>
      <x:c r="C148" s="55" t="str">
        <x:v>Put the closed, right-side-up brown cup in the bowl.</x:v>
      </x:c>
      <x:c r="D148" s="54" t="str">
        <x:v>brown_cup_a</x:v>
      </x:c>
      <x:c r="E148" s="54" t="str">
        <x:v>brown cup</x:v>
      </x:c>
      <x:c r="F148" s="54" t="str">
        <x:v>closed</x:v>
      </x:c>
      <x:c r="G148" s="54" t="str">
        <x:v>upright</x:v>
      </x:c>
      <x:c r="H148" s="55" t="str">
        <x:v>brown cup A: closed, upright | glass spice container A: open, upside down | white cup A: closed, upside down | yellow-white striped cup A: open, upside down</x:v>
      </x:c>
      <x:c r="I148" s="55" t="str">
        <x:v>168e12e735da9ad62716dca89cff660b53082cc3</x:v>
      </x:c>
      <x:c r="J148" s="55" t="str">
        <x:v>Audit only — do not pass previous prompt to the model.</x:v>
      </x:c>
    </x:row>
    <x:row r="149">
      <x:c r="A149" s="56" t="n">
        <x:v>144</x:v>
      </x:c>
      <x:c r="B149" s="55" t="str">
        <x:v>Pick up the brown cup and place it into the bowl.</x:v>
      </x:c>
      <x:c r="C149" s="55" t="str">
        <x:v>Move the open brown cup that is upside-down into the bowl.</x:v>
      </x:c>
      <x:c r="D149" s="54" t="str">
        <x:v>brown_cup_b</x:v>
      </x:c>
      <x:c r="E149" s="54" t="str">
        <x:v>brown cup</x:v>
      </x:c>
      <x:c r="F149" s="54" t="str">
        <x:v>open</x:v>
      </x:c>
      <x:c r="G149" s="54" t="str">
        <x:v>upside down</x:v>
      </x:c>
      <x:c r="H149" s="55" t="str">
        <x:v>brown cup B: open, upside down | brown cup A: open, upright | yellow-white striped cup A: closed, upside down | glass spice container B: open, upside down</x:v>
      </x:c>
      <x:c r="I149" s="55" t="str">
        <x:v>168e12e735da9ad62716dca89cff660b53082cc3</x:v>
      </x:c>
      <x:c r="J149" s="55" t="str">
        <x:v>Audit only — do not pass previous prompt to the model.</x:v>
      </x:c>
    </x:row>
    <x:row r="150">
      <x:c r="A150" s="56" t="n">
        <x:v>145</x:v>
      </x:c>
      <x:c r="B150" s="55" t="str">
        <x:v>Pick up the brown cup and place it into the bowl.</x:v>
      </x:c>
      <x:c r="C150" s="55" t="str">
        <x:v>Put the closed, right-side-up brown cup in the bowl.</x:v>
      </x:c>
      <x:c r="D150" s="54" t="str">
        <x:v>brown_cup_a</x:v>
      </x:c>
      <x:c r="E150" s="54" t="str">
        <x:v>brown cup</x:v>
      </x:c>
      <x:c r="F150" s="54" t="str">
        <x:v>closed</x:v>
      </x:c>
      <x:c r="G150" s="54" t="str">
        <x:v>upright</x:v>
      </x:c>
      <x:c r="H150" s="55" t="str">
        <x:v>brown cup A: closed, upright | brown cup B: open, upside down | glass spice container B: open, upright</x:v>
      </x:c>
      <x:c r="I150" s="55" t="str">
        <x:v>168e12e735da9ad62716dca89cff660b53082cc3</x:v>
      </x:c>
      <x:c r="J150" s="55" t="str">
        <x:v>Audit only — do not pass previous prompt to the model.</x:v>
      </x:c>
    </x:row>
    <x:row r="151">
      <x:c r="A151" s="56" t="n">
        <x:v>146</x:v>
      </x:c>
      <x:c r="B151" s="55" t="str">
        <x:v>Pick up the brown cup and place it into the bowl.</x:v>
      </x:c>
      <x:c r="C151" s="55" t="str">
        <x:v>Move the open brown cup that is upside-down into the bowl.</x:v>
      </x:c>
      <x:c r="D151" s="54" t="str">
        <x:v>brown_cup_b</x:v>
      </x:c>
      <x:c r="E151" s="54" t="str">
        <x:v>brown cup</x:v>
      </x:c>
      <x:c r="F151" s="54" t="str">
        <x:v>open</x:v>
      </x:c>
      <x:c r="G151" s="54" t="str">
        <x:v>upside down</x:v>
      </x:c>
      <x:c r="H151" s="55" t="str">
        <x:v>brown cup B: open, upside down | brown cup A: closed, upright | white cup A: open, upright | yellow-white striped cup B: closed, upright</x:v>
      </x:c>
      <x:c r="I151" s="55" t="str">
        <x:v>168e12e735da9ad62716dca89cff660b53082cc3</x:v>
      </x:c>
      <x:c r="J151" s="55" t="str">
        <x:v>Audit only — do not pass previous prompt to the model.</x:v>
      </x:c>
    </x:row>
    <x:row r="152">
      <x:c r="A152" s="56" t="n">
        <x:v>147</x:v>
      </x:c>
      <x:c r="B152" s="55" t="str">
        <x:v>Pick up the brown cup and place it into the bowl.</x:v>
      </x:c>
      <x:c r="C152" s="55" t="str">
        <x:v>Put the upside-down brown cup in the bowl.</x:v>
      </x:c>
      <x:c r="D152" s="54" t="str">
        <x:v>brown_cup_a</x:v>
      </x:c>
      <x:c r="E152" s="54" t="str">
        <x:v>brown cup</x:v>
      </x:c>
      <x:c r="F152" s="54" t="str">
        <x:v>closed</x:v>
      </x:c>
      <x:c r="G152" s="54" t="str">
        <x:v>upside down</x:v>
      </x:c>
      <x:c r="H152" s="55" t="str">
        <x:v>brown cup A: closed, upside down | brown cup B: closed, upright | yellow-white striped cup B: closed, upside down | glass spice container A: open, upright</x:v>
      </x:c>
      <x:c r="I152" s="55" t="str">
        <x:v>168e12e735da9ad62716dca89cff660b53082cc3</x:v>
      </x:c>
      <x:c r="J152" s="55" t="str">
        <x:v>Audit only — do not pass previous prompt to the model.</x:v>
      </x:c>
    </x:row>
    <x:row r="153">
      <x:c r="A153" s="56" t="n">
        <x:v>148</x:v>
      </x:c>
      <x:c r="B153" s="55" t="str">
        <x:v>Pick up the brown cup and place it into the bowl.</x:v>
      </x:c>
      <x:c r="C153" s="55" t="str">
        <x:v>Put the open, right-side-up brown cup in the bowl.</x:v>
      </x:c>
      <x:c r="D153" s="54" t="str">
        <x:v>brown_cup_a</x:v>
      </x:c>
      <x:c r="E153" s="54" t="str">
        <x:v>brown cup</x:v>
      </x:c>
      <x:c r="F153" s="54" t="str">
        <x:v>open</x:v>
      </x:c>
      <x:c r="G153" s="54" t="str">
        <x:v>upright</x:v>
      </x:c>
      <x:c r="H153" s="55" t="str">
        <x:v>brown cup A: open, upright | white cup A: open, upside down | yellow-white striped cup A: closed, upside down</x:v>
      </x:c>
      <x:c r="I153" s="55" t="str">
        <x:v>168e12e735da9ad62716dca89cff660b53082cc3</x:v>
      </x:c>
      <x:c r="J153" s="55" t="str">
        <x:v>Audit only — do not pass previous prompt to the model.</x:v>
      </x:c>
    </x:row>
    <x:row r="154">
      <x:c r="A154" s="56" t="n">
        <x:v>149</x:v>
      </x:c>
      <x:c r="B154" s="55" t="str">
        <x:v>Pick up the brown cup and place it into the bowl.</x:v>
      </x:c>
      <x:c r="C154" s="55" t="str">
        <x:v>Pick up the brown cup that is closed and place it in the bowl.</x:v>
      </x:c>
      <x:c r="D154" s="54" t="str">
        <x:v>brown_cup_b</x:v>
      </x:c>
      <x:c r="E154" s="54" t="str">
        <x:v>brown cup</x:v>
      </x:c>
      <x:c r="F154" s="54" t="str">
        <x:v>closed</x:v>
      </x:c>
      <x:c r="G154" s="54" t="str">
        <x:v>upside down</x:v>
      </x:c>
      <x:c r="H154" s="55" t="str">
        <x:v>brown cup B: closed, upside down | brown cup A: open, upright | white cup B: open, upside down | yellow-white striped cup A: closed, upright</x:v>
      </x:c>
      <x:c r="I154" s="55" t="str">
        <x:v>168e12e735da9ad62716dca89cff660b53082cc3</x:v>
      </x:c>
      <x:c r="J154" s="55" t="str">
        <x:v>Audit only — do not pass previous prompt to the model.</x:v>
      </x:c>
    </x:row>
    <x:row r="155">
      <x:c r="A155" s="56" t="n">
        <x:v>150</x:v>
      </x:c>
      <x:c r="B155" s="55" t="str">
        <x:v>Pick up a glass spice container and place it into the bowl.</x:v>
      </x:c>
      <x:c r="C155" s="55" t="str">
        <x:v>Pick up the glass spice container that is open and right-side-up, then place it in the bowl.</x:v>
      </x:c>
      <x:c r="D155" s="54" t="str">
        <x:v>glass_spice_container_a</x:v>
      </x:c>
      <x:c r="E155" s="54" t="str">
        <x:v>glass spice container</x:v>
      </x:c>
      <x:c r="F155" s="54" t="str">
        <x:v>open</x:v>
      </x:c>
      <x:c r="G155" s="54" t="str">
        <x:v>upright</x:v>
      </x:c>
      <x:c r="H155" s="55" t="str">
        <x:v>glass spice container A: open, upright | glass spice container B: closed, upright | white cup B: closed, upright | yellow-white striped cup A: closed, upright</x:v>
      </x:c>
      <x:c r="I155" s="55" t="str">
        <x:v>168e12e735da9ad62716dca89cff660b53082cc3</x:v>
      </x:c>
      <x:c r="J155" s="55" t="str">
        <x:v>Audit only — do not pass previous prompt to the model.</x:v>
      </x:c>
    </x:row>
    <x:row r="156">
      <x:c r="A156" s="56" t="n">
        <x:v>151</x:v>
      </x:c>
      <x:c r="B156" s="55" t="str">
        <x:v>Pick up a glass spice container and place it into the bowl.</x:v>
      </x:c>
      <x:c r="C156" s="55" t="str">
        <x:v>Move the closed glass spice container that is right-side-up into the bowl.</x:v>
      </x:c>
      <x:c r="D156" s="54" t="str">
        <x:v>glass_spice_container_a</x:v>
      </x:c>
      <x:c r="E156" s="54" t="str">
        <x:v>glass spice container</x:v>
      </x:c>
      <x:c r="F156" s="54" t="str">
        <x:v>closed</x:v>
      </x:c>
      <x:c r="G156" s="54" t="str">
        <x:v>upright</x:v>
      </x:c>
      <x:c r="H156" s="55" t="str">
        <x:v>glass spice container A: closed, upright | glass spice container B: open, upright | yellow-white striped cup A: closed, upright</x:v>
      </x:c>
      <x:c r="I156" s="55" t="str">
        <x:v>168e12e735da9ad62716dca89cff660b53082cc3</x:v>
      </x:c>
      <x:c r="J156" s="55" t="str">
        <x:v>Audit only — do not pass previous prompt to the model.</x:v>
      </x:c>
    </x:row>
    <x:row r="157">
      <x:c r="A157" s="56" t="n">
        <x:v>152</x:v>
      </x:c>
      <x:c r="B157" s="55" t="str">
        <x:v>Pick up a glass spice container and place it into the bowl.</x:v>
      </x:c>
      <x:c r="C157" s="55" t="str">
        <x:v>Pick up the glass spice container that is closed and right-side-up, then place it in the bowl.</x:v>
      </x:c>
      <x:c r="D157" s="54" t="str">
        <x:v>glass_spice_container_b</x:v>
      </x:c>
      <x:c r="E157" s="54" t="str">
        <x:v>glass spice container</x:v>
      </x:c>
      <x:c r="F157" s="54" t="str">
        <x:v>closed</x:v>
      </x:c>
      <x:c r="G157" s="54" t="str">
        <x:v>upright</x:v>
      </x:c>
      <x:c r="H157" s="55" t="str">
        <x:v>glass spice container B: closed, upright | glass spice container A: open, upright | brown cup B: closed, upright</x:v>
      </x:c>
      <x:c r="I157" s="55" t="str">
        <x:v>168e12e735da9ad62716dca89cff660b53082cc3</x:v>
      </x:c>
      <x:c r="J157" s="55" t="str">
        <x:v>Audit only — do not pass previous prompt to the model.</x:v>
      </x:c>
    </x:row>
    <x:row r="158">
      <x:c r="A158" s="56" t="n">
        <x:v>153</x:v>
      </x:c>
      <x:c r="B158" s="55" t="str">
        <x:v>Pick up a glass spice container and place it into the bowl.</x:v>
      </x:c>
      <x:c r="C158" s="55" t="str">
        <x:v>Put the open, right-side-up glass spice container in the bowl.</x:v>
      </x:c>
      <x:c r="D158" s="54" t="str">
        <x:v>glass_spice_container_b</x:v>
      </x:c>
      <x:c r="E158" s="54" t="str">
        <x:v>glass spice container</x:v>
      </x:c>
      <x:c r="F158" s="54" t="str">
        <x:v>open</x:v>
      </x:c>
      <x:c r="G158" s="54" t="str">
        <x:v>upright</x:v>
      </x:c>
      <x:c r="H158" s="55" t="str">
        <x:v>glass spice container B: open, upright | white cup A: closed, upright | yellow-white striped cup A: closed, upright</x:v>
      </x:c>
      <x:c r="I158" s="55" t="str">
        <x:v>168e12e735da9ad62716dca89cff660b53082cc3</x:v>
      </x:c>
      <x:c r="J158" s="55" t="str">
        <x:v>Audit only — do not pass previous prompt to the model.</x:v>
      </x:c>
    </x:row>
    <x:row r="159">
      <x:c r="A159" s="56" t="n">
        <x:v>154</x:v>
      </x:c>
      <x:c r="B159" s="55" t="str">
        <x:v>Pick up a glass spice container and place it into the bowl.</x:v>
      </x:c>
      <x:c r="C159" s="55" t="str">
        <x:v>Put the open, right-side-up glass spice container in the bowl.</x:v>
      </x:c>
      <x:c r="D159" s="54" t="str">
        <x:v>glass_spice_container_a</x:v>
      </x:c>
      <x:c r="E159" s="54" t="str">
        <x:v>glass spice container</x:v>
      </x:c>
      <x:c r="F159" s="54" t="str">
        <x:v>open</x:v>
      </x:c>
      <x:c r="G159" s="54" t="str">
        <x:v>upright</x:v>
      </x:c>
      <x:c r="H159" s="55" t="str">
        <x:v>glass spice container A: open, upright | glass spice container B: closed, upright | yellow-white striped cup B: closed, upright | brown cup A: closed, upright</x:v>
      </x:c>
      <x:c r="I159" s="55" t="str">
        <x:v>168e12e735da9ad62716dca89cff660b53082cc3</x:v>
      </x:c>
      <x:c r="J159" s="55" t="str">
        <x:v>Audit only — do not pass previous prompt to the model.</x:v>
      </x:c>
    </x:row>
    <x:row r="160">
      <x:c r="A160" s="56" t="n">
        <x:v>155</x:v>
      </x:c>
      <x:c r="B160" s="55" t="str">
        <x:v>Pick up a glass spice container and place it into the bowl.</x:v>
      </x:c>
      <x:c r="C160" s="55" t="str">
        <x:v>Move the closed glass spice container that is right-side-up into the bowl.</x:v>
      </x:c>
      <x:c r="D160" s="54" t="str">
        <x:v>glass_spice_container_a</x:v>
      </x:c>
      <x:c r="E160" s="54" t="str">
        <x:v>glass spice container</x:v>
      </x:c>
      <x:c r="F160" s="54" t="str">
        <x:v>closed</x:v>
      </x:c>
      <x:c r="G160" s="54" t="str">
        <x:v>upright</x:v>
      </x:c>
      <x:c r="H160" s="55" t="str">
        <x:v>glass spice container A: closed, upright | glass spice container B: open, upright | brown cup A: closed, upright | white cup B: open, upright</x:v>
      </x:c>
      <x:c r="I160" s="55" t="str">
        <x:v>168e12e735da9ad62716dca89cff660b53082cc3</x:v>
      </x:c>
      <x:c r="J160" s="55" t="str">
        <x:v>Audit only — do not pass previous prompt to the model.</x:v>
      </x:c>
    </x:row>
    <x:row r="161">
      <x:c r="A161" s="56" t="n">
        <x:v>156</x:v>
      </x:c>
      <x:c r="B161" s="55" t="str">
        <x:v>Pick up a glass spice container and place it into the bowl.</x:v>
      </x:c>
      <x:c r="C161" s="55" t="str">
        <x:v>Put the open, right-side-up glass spice container in the bowl.</x:v>
      </x:c>
      <x:c r="D161" s="54" t="str">
        <x:v>glass_spice_container_b</x:v>
      </x:c>
      <x:c r="E161" s="54" t="str">
        <x:v>glass spice container</x:v>
      </x:c>
      <x:c r="F161" s="54" t="str">
        <x:v>open</x:v>
      </x:c>
      <x:c r="G161" s="54" t="str">
        <x:v>upright</x:v>
      </x:c>
      <x:c r="H161" s="55" t="str">
        <x:v>glass spice container B: open, upright | glass spice container A: closed, upright | white cup B: open, upright</x:v>
      </x:c>
      <x:c r="I161" s="55" t="str">
        <x:v>168e12e735da9ad62716dca89cff660b53082cc3</x:v>
      </x:c>
      <x:c r="J161" s="55" t="str">
        <x:v>Audit only — do not pass previous prompt to the model.</x:v>
      </x:c>
    </x:row>
    <x:row r="162">
      <x:c r="A162" s="56" t="n">
        <x:v>157</x:v>
      </x:c>
      <x:c r="B162" s="55" t="str">
        <x:v>Pick up a glass spice container and place it into the bowl.</x:v>
      </x:c>
      <x:c r="C162" s="55" t="str">
        <x:v>Put the open, right-side-up glass spice container in the bowl.</x:v>
      </x:c>
      <x:c r="D162" s="54" t="str">
        <x:v>glass_spice_container_b</x:v>
      </x:c>
      <x:c r="E162" s="54" t="str">
        <x:v>glass spice container</x:v>
      </x:c>
      <x:c r="F162" s="54" t="str">
        <x:v>open</x:v>
      </x:c>
      <x:c r="G162" s="54" t="str">
        <x:v>upright</x:v>
      </x:c>
      <x:c r="H162" s="55" t="str">
        <x:v>glass spice container B: open, upright | yellow-white striped cup A: closed, upright | brown cup A: closed, upright | white cup B: closed, upright</x:v>
      </x:c>
      <x:c r="I162" s="55" t="str">
        <x:v>168e12e735da9ad62716dca89cff660b53082cc3</x:v>
      </x:c>
      <x:c r="J162" s="55" t="str">
        <x:v>Audit only — do not pass previous prompt to the model.</x:v>
      </x:c>
    </x:row>
    <x:row r="163">
      <x:c r="A163" s="56" t="n">
        <x:v>158</x:v>
      </x:c>
      <x:c r="B163" s="55" t="str">
        <x:v>Pick up a glass spice container and place it into the bowl.</x:v>
      </x:c>
      <x:c r="C163" s="55" t="str">
        <x:v>Move the closed glass spice container that is right-side-up into the bowl.</x:v>
      </x:c>
      <x:c r="D163" s="54" t="str">
        <x:v>glass_spice_container_b</x:v>
      </x:c>
      <x:c r="E163" s="54" t="str">
        <x:v>glass spice container</x:v>
      </x:c>
      <x:c r="F163" s="54" t="str">
        <x:v>closed</x:v>
      </x:c>
      <x:c r="G163" s="54" t="str">
        <x:v>upright</x:v>
      </x:c>
      <x:c r="H163" s="55" t="str">
        <x:v>glass spice container B: closed, upright | glass spice container A: open, upright | brown cup B: closed, upright</x:v>
      </x:c>
      <x:c r="I163" s="55" t="str">
        <x:v>168e12e735da9ad62716dca89cff660b53082cc3</x:v>
      </x:c>
      <x:c r="J163" s="55" t="str">
        <x:v>Audit only — do not pass previous prompt to the model.</x:v>
      </x:c>
    </x:row>
    <x:row r="164">
      <x:c r="A164" s="56" t="n">
        <x:v>159</x:v>
      </x:c>
      <x:c r="B164" s="55" t="str">
        <x:v>Pick up a glass spice container and place it into the bowl.</x:v>
      </x:c>
      <x:c r="C164" s="55" t="str">
        <x:v>Put the closed, right-side-up glass spice container in the bowl.</x:v>
      </x:c>
      <x:c r="D164" s="54" t="str">
        <x:v>glass_spice_container_a</x:v>
      </x:c>
      <x:c r="E164" s="54" t="str">
        <x:v>glass spice container</x:v>
      </x:c>
      <x:c r="F164" s="54" t="str">
        <x:v>closed</x:v>
      </x:c>
      <x:c r="G164" s="54" t="str">
        <x:v>upright</x:v>
      </x:c>
      <x:c r="H164" s="55" t="str">
        <x:v>glass spice container A: closed, upright | glass spice container B: open, upright | white cup A: open, upright</x:v>
      </x:c>
      <x:c r="I164" s="55" t="str">
        <x:v>168e12e735da9ad62716dca89cff660b53082cc3</x:v>
      </x:c>
      <x:c r="J164" s="55" t="str">
        <x:v>Audit only — do not pass previous prompt to the model.</x:v>
      </x:c>
    </x:row>
    <x:row r="165">
      <x:c r="A165" s="56" t="n">
        <x:v>160</x:v>
      </x:c>
      <x:c r="B165" s="55" t="str">
        <x:v>Pick up a glass spice container and place it into the bowl.</x:v>
      </x:c>
      <x:c r="C165" s="55" t="str">
        <x:v>Pick up the glass spice container that is open and right-side-up, then place it in the bowl.</x:v>
      </x:c>
      <x:c r="D165" s="54" t="str">
        <x:v>glass_spice_container_b</x:v>
      </x:c>
      <x:c r="E165" s="54" t="str">
        <x:v>glass spice container</x:v>
      </x:c>
      <x:c r="F165" s="54" t="str">
        <x:v>open</x:v>
      </x:c>
      <x:c r="G165" s="54" t="str">
        <x:v>upright</x:v>
      </x:c>
      <x:c r="H165" s="55" t="str">
        <x:v>glass spice container B: open, upright | glass spice container A: closed, upright | yellow-white striped cup B: open, upright</x:v>
      </x:c>
      <x:c r="I165" s="55" t="str">
        <x:v>168e12e735da9ad62716dca89cff660b53082cc3</x:v>
      </x:c>
      <x:c r="J165" s="55" t="str">
        <x:v>Audit only — do not pass previous prompt to the model.</x:v>
      </x:c>
    </x:row>
    <x:row r="166">
      <x:c r="A166" s="56" t="n">
        <x:v>161</x:v>
      </x:c>
      <x:c r="B166" s="55" t="str">
        <x:v>Pick up a glass spice container and place it into the bowl.</x:v>
      </x:c>
      <x:c r="C166" s="55" t="str">
        <x:v>Put the closed, right-side-up glass spice container in the bowl.</x:v>
      </x:c>
      <x:c r="D166" s="54" t="str">
        <x:v>glass_spice_container_a</x:v>
      </x:c>
      <x:c r="E166" s="54" t="str">
        <x:v>glass spice container</x:v>
      </x:c>
      <x:c r="F166" s="54" t="str">
        <x:v>closed</x:v>
      </x:c>
      <x:c r="G166" s="54" t="str">
        <x:v>upright</x:v>
      </x:c>
      <x:c r="H166" s="55" t="str">
        <x:v>glass spice container A: closed, upright | brown cup A: open, upright | white cup B: open, upright | yellow-white striped cup B: open, upright</x:v>
      </x:c>
      <x:c r="I166" s="55" t="str">
        <x:v>168e12e735da9ad62716dca89cff660b53082cc3</x:v>
      </x:c>
      <x:c r="J166" s="55" t="str">
        <x:v>Audit only — do not pass previous prompt to the model.</x:v>
      </x:c>
    </x:row>
    <x:row r="167">
      <x:c r="A167" s="56" t="n">
        <x:v>162</x:v>
      </x:c>
      <x:c r="B167" s="55" t="str">
        <x:v>Pick up a glass spice container and place it into the bowl.</x:v>
      </x:c>
      <x:c r="C167" s="55" t="str">
        <x:v>Put the open, right-side-up glass spice container in the bowl.</x:v>
      </x:c>
      <x:c r="D167" s="54" t="str">
        <x:v>glass_spice_container_b</x:v>
      </x:c>
      <x:c r="E167" s="54" t="str">
        <x:v>glass spice container</x:v>
      </x:c>
      <x:c r="F167" s="54" t="str">
        <x:v>open</x:v>
      </x:c>
      <x:c r="G167" s="54" t="str">
        <x:v>upright</x:v>
      </x:c>
      <x:c r="H167" s="55" t="str">
        <x:v>glass spice container B: open, upright | glass spice container A: closed, upright | white cup B: open, upright | yellow-white striped cup A: open, upright</x:v>
      </x:c>
      <x:c r="I167" s="55" t="str">
        <x:v>168e12e735da9ad62716dca89cff660b53082cc3</x:v>
      </x:c>
      <x:c r="J167" s="55" t="str">
        <x:v>Audit only — do not pass previous prompt to the model.</x:v>
      </x:c>
    </x:row>
    <x:row r="168">
      <x:c r="A168" s="56" t="n">
        <x:v>163</x:v>
      </x:c>
      <x:c r="B168" s="55" t="str">
        <x:v>Pick up a glass spice container and place it into the bowl.</x:v>
      </x:c>
      <x:c r="C168" s="55" t="str">
        <x:v>Pick up the glass spice container that is closed and right-side-up, then place it in the bowl.</x:v>
      </x:c>
      <x:c r="D168" s="54" t="str">
        <x:v>glass_spice_container_a</x:v>
      </x:c>
      <x:c r="E168" s="54" t="str">
        <x:v>glass spice container</x:v>
      </x:c>
      <x:c r="F168" s="54" t="str">
        <x:v>closed</x:v>
      </x:c>
      <x:c r="G168" s="54" t="str">
        <x:v>upright</x:v>
      </x:c>
      <x:c r="H168" s="55" t="str">
        <x:v>glass spice container A: closed, upright | glass spice container B: open, upright | yellow-white striped cup A: open, upright | brown cup B: open, upright</x:v>
      </x:c>
      <x:c r="I168" s="55" t="str">
        <x:v>168e12e735da9ad62716dca89cff660b53082cc3</x:v>
      </x:c>
      <x:c r="J168" s="55" t="str">
        <x:v>Audit only — do not pass previous prompt to the model.</x:v>
      </x:c>
    </x:row>
    <x:row r="169">
      <x:c r="A169" s="56" t="n">
        <x:v>164</x:v>
      </x:c>
      <x:c r="B169" s="55" t="str">
        <x:v>Pick up a glass spice container and place it into the bowl.</x:v>
      </x:c>
      <x:c r="C169" s="55" t="str">
        <x:v>Pick up the glass spice container that is open and right-side-up, then place it in the bowl.</x:v>
      </x:c>
      <x:c r="D169" s="54" t="str">
        <x:v>glass_spice_container_a</x:v>
      </x:c>
      <x:c r="E169" s="54" t="str">
        <x:v>glass spice container</x:v>
      </x:c>
      <x:c r="F169" s="54" t="str">
        <x:v>open</x:v>
      </x:c>
      <x:c r="G169" s="54" t="str">
        <x:v>upright</x:v>
      </x:c>
      <x:c r="H169" s="55" t="str">
        <x:v>glass spice container A: open, upright | white cup B: closed, upright | yellow-white striped cup B: closed, upright</x:v>
      </x:c>
      <x:c r="I169" s="55" t="str">
        <x:v>168e12e735da9ad62716dca89cff660b53082cc3</x:v>
      </x:c>
      <x:c r="J169" s="55" t="str">
        <x:v>Audit only — do not pass previous prompt to the model.</x:v>
      </x:c>
    </x:row>
    <x:row r="170">
      <x:c r="A170" s="56" t="n">
        <x:v>165</x:v>
      </x:c>
      <x:c r="B170" s="55" t="str">
        <x:v>Pick up a glass spice container and place it into the bowl.</x:v>
      </x:c>
      <x:c r="C170" s="55" t="str">
        <x:v>Put the open, right-side-up glass spice container in the bowl.</x:v>
      </x:c>
      <x:c r="D170" s="54" t="str">
        <x:v>glass_spice_container_b</x:v>
      </x:c>
      <x:c r="E170" s="54" t="str">
        <x:v>glass spice container</x:v>
      </x:c>
      <x:c r="F170" s="54" t="str">
        <x:v>open</x:v>
      </x:c>
      <x:c r="G170" s="54" t="str">
        <x:v>upright</x:v>
      </x:c>
      <x:c r="H170" s="55" t="str">
        <x:v>glass spice container B: open, upright | glass spice container A: closed, upright | white cup A: open, upright | yellow-white striped cup B: closed, upright</x:v>
      </x:c>
      <x:c r="I170" s="55" t="str">
        <x:v>168e12e735da9ad62716dca89cff660b53082cc3</x:v>
      </x:c>
      <x:c r="J170" s="55" t="str">
        <x:v>Audit only — do not pass previous prompt to the model.</x:v>
      </x:c>
    </x:row>
    <x:row r="171">
      <x:c r="A171" s="56" t="n">
        <x:v>166</x:v>
      </x:c>
      <x:c r="B171" s="55" t="str">
        <x:v>Pick up a glass spice container and place it into the bowl.</x:v>
      </x:c>
      <x:c r="C171" s="55" t="str">
        <x:v>Move the closed glass spice container that is right-side-up into the bowl.</x:v>
      </x:c>
      <x:c r="D171" s="54" t="str">
        <x:v>glass_spice_container_a</x:v>
      </x:c>
      <x:c r="E171" s="54" t="str">
        <x:v>glass spice container</x:v>
      </x:c>
      <x:c r="F171" s="54" t="str">
        <x:v>closed</x:v>
      </x:c>
      <x:c r="G171" s="54" t="str">
        <x:v>upright</x:v>
      </x:c>
      <x:c r="H171" s="55" t="str">
        <x:v>glass spice container A: closed, upright | yellow-white striped cup B: open, upright | brown cup B: open, upright | white cup A: open, upright</x:v>
      </x:c>
      <x:c r="I171" s="55" t="str">
        <x:v>168e12e735da9ad62716dca89cff660b53082cc3</x:v>
      </x:c>
      <x:c r="J171" s="55" t="str">
        <x:v>Audit only — do not pass previous prompt to the model.</x:v>
      </x:c>
    </x:row>
    <x:row r="172">
      <x:c r="A172" s="56" t="n">
        <x:v>167</x:v>
      </x:c>
      <x:c r="B172" s="55" t="str">
        <x:v>Pick up a glass spice container and place it into the bowl.</x:v>
      </x:c>
      <x:c r="C172" s="55" t="str">
        <x:v>Pick up the glass spice container that is closed and right-side-up, then place it in the bowl.</x:v>
      </x:c>
      <x:c r="D172" s="54" t="str">
        <x:v>glass_spice_container_a</x:v>
      </x:c>
      <x:c r="E172" s="54" t="str">
        <x:v>glass spice container</x:v>
      </x:c>
      <x:c r="F172" s="54" t="str">
        <x:v>closed</x:v>
      </x:c>
      <x:c r="G172" s="54" t="str">
        <x:v>upright</x:v>
      </x:c>
      <x:c r="H172" s="55" t="str">
        <x:v>glass spice container A: closed, upright | glass spice container B: open, upright | brown cup A: closed, upright</x:v>
      </x:c>
      <x:c r="I172" s="55" t="str">
        <x:v>168e12e735da9ad62716dca89cff660b53082cc3</x:v>
      </x:c>
      <x:c r="J172" s="55" t="str">
        <x:v>Audit only — do not pass previous prompt to the model.</x:v>
      </x:c>
    </x:row>
    <x:row r="173">
      <x:c r="A173" s="56" t="n">
        <x:v>168</x:v>
      </x:c>
      <x:c r="B173" s="55" t="str">
        <x:v>Pick up a glass spice container and place it into the bowl.</x:v>
      </x:c>
      <x:c r="C173" s="55" t="str">
        <x:v>Pick up the glass spice container that is open and right-side-up, then place it in the bowl.</x:v>
      </x:c>
      <x:c r="D173" s="54" t="str">
        <x:v>glass_spice_container_b</x:v>
      </x:c>
      <x:c r="E173" s="54" t="str">
        <x:v>glass spice container</x:v>
      </x:c>
      <x:c r="F173" s="54" t="str">
        <x:v>open</x:v>
      </x:c>
      <x:c r="G173" s="54" t="str">
        <x:v>upright</x:v>
      </x:c>
      <x:c r="H173" s="55" t="str">
        <x:v>glass spice container B: open, upright | glass spice container A: closed, upright | white cup B: closed, upright</x:v>
      </x:c>
      <x:c r="I173" s="55" t="str">
        <x:v>168e12e735da9ad62716dca89cff660b53082cc3</x:v>
      </x:c>
      <x:c r="J173" s="55" t="str">
        <x:v>Audit only — do not pass previous prompt to the model.</x:v>
      </x:c>
    </x:row>
    <x:row r="174">
      <x:c r="A174" s="56" t="n">
        <x:v>169</x:v>
      </x:c>
      <x:c r="B174" s="55" t="str">
        <x:v>Pick up a glass spice container and place it into the bowl.</x:v>
      </x:c>
      <x:c r="C174" s="55" t="str">
        <x:v>Move the closed glass spice container that is right-side-up into the bowl.</x:v>
      </x:c>
      <x:c r="D174" s="54" t="str">
        <x:v>glass_spice_container_b</x:v>
      </x:c>
      <x:c r="E174" s="54" t="str">
        <x:v>glass spice container</x:v>
      </x:c>
      <x:c r="F174" s="54" t="str">
        <x:v>closed</x:v>
      </x:c>
      <x:c r="G174" s="54" t="str">
        <x:v>upright</x:v>
      </x:c>
      <x:c r="H174" s="55" t="str">
        <x:v>glass spice container B: closed, upright | brown cup B: open, upright | white cup A: open, upright</x:v>
      </x:c>
      <x:c r="I174" s="55" t="str">
        <x:v>168e12e735da9ad62716dca89cff660b53082cc3</x:v>
      </x:c>
      <x:c r="J174" s="55" t="str">
        <x:v>Audit only — do not pass previous prompt to the model.</x:v>
      </x:c>
    </x:row>
    <x:row r="175">
      <x:c r="A175" s="56" t="n">
        <x:v>170</x:v>
      </x:c>
      <x:c r="B175" s="55" t="str">
        <x:v>Pick up a glass spice container and place it into the bowl.</x:v>
      </x:c>
      <x:c r="C175" s="55" t="str">
        <x:v>Pick up the glass spice container that is open and right-side-up, then place it in the bowl.</x:v>
      </x:c>
      <x:c r="D175" s="54" t="str">
        <x:v>glass_spice_container_a</x:v>
      </x:c>
      <x:c r="E175" s="54" t="str">
        <x:v>glass spice container</x:v>
      </x:c>
      <x:c r="F175" s="54" t="str">
        <x:v>open</x:v>
      </x:c>
      <x:c r="G175" s="54" t="str">
        <x:v>upright</x:v>
      </x:c>
      <x:c r="H175" s="55" t="str">
        <x:v>glass spice container A: open, upright | glass spice container B: closed, upright | brown cup B: open, upright | white cup A: open, upright</x:v>
      </x:c>
      <x:c r="I175" s="55" t="str">
        <x:v>168e12e735da9ad62716dca89cff660b53082cc3</x:v>
      </x:c>
      <x:c r="J175" s="55" t="str">
        <x:v>Audit only — do not pass previous prompt to the model.</x:v>
      </x:c>
    </x:row>
    <x:row r="176">
      <x:c r="A176" s="56" t="n">
        <x:v>171</x:v>
      </x:c>
      <x:c r="B176" s="55" t="str">
        <x:v>Pick up a glass spice container and place it into the bowl.</x:v>
      </x:c>
      <x:c r="C176" s="55" t="str">
        <x:v>Move the closed glass spice container that is right-side-up into the bowl.</x:v>
      </x:c>
      <x:c r="D176" s="54" t="str">
        <x:v>glass_spice_container_a</x:v>
      </x:c>
      <x:c r="E176" s="54" t="str">
        <x:v>glass spice container</x:v>
      </x:c>
      <x:c r="F176" s="54" t="str">
        <x:v>closed</x:v>
      </x:c>
      <x:c r="G176" s="54" t="str">
        <x:v>upright</x:v>
      </x:c>
      <x:c r="H176" s="55" t="str">
        <x:v>glass spice container A: closed, upright | glass spice container B: open, upright | white cup A: open, upright | yellow-white striped cup B: open, upright</x:v>
      </x:c>
      <x:c r="I176" s="55" t="str">
        <x:v>168e12e735da9ad62716dca89cff660b53082cc3</x:v>
      </x:c>
      <x:c r="J176" s="55" t="str">
        <x:v>Audit only — do not pass previous prompt to the model.</x:v>
      </x:c>
    </x:row>
    <x:row r="177">
      <x:c r="A177" s="56" t="n">
        <x:v>172</x:v>
      </x:c>
      <x:c r="B177" s="55" t="str">
        <x:v>Pick up a glass spice container and place it into the bowl.</x:v>
      </x:c>
      <x:c r="C177" s="55" t="str">
        <x:v>Put the closed, right-side-up glass spice container in the bowl.</x:v>
      </x:c>
      <x:c r="D177" s="54" t="str">
        <x:v>glass_spice_container_b</x:v>
      </x:c>
      <x:c r="E177" s="54" t="str">
        <x:v>glass spice container</x:v>
      </x:c>
      <x:c r="F177" s="54" t="str">
        <x:v>closed</x:v>
      </x:c>
      <x:c r="G177" s="54" t="str">
        <x:v>upright</x:v>
      </x:c>
      <x:c r="H177" s="55" t="str">
        <x:v>glass spice container B: closed, upright | white cup A: open, upright | yellow-white striped cup A: open, upright | brown cup A: open, upright</x:v>
      </x:c>
      <x:c r="I177" s="55" t="str">
        <x:v>168e12e735da9ad62716dca89cff660b53082cc3</x:v>
      </x:c>
      <x:c r="J177" s="55" t="str">
        <x:v>Audit only — do not pass previous prompt to the model.</x:v>
      </x:c>
    </x:row>
    <x:row r="178">
      <x:c r="A178" s="56" t="n">
        <x:v>173</x:v>
      </x:c>
      <x:c r="B178" s="55" t="str">
        <x:v>Pick up a glass spice container and place it into the bowl.</x:v>
      </x:c>
      <x:c r="C178" s="55" t="str">
        <x:v>Move the open glass spice container that is right-side-up into the bowl.</x:v>
      </x:c>
      <x:c r="D178" s="54" t="str">
        <x:v>glass_spice_container_a</x:v>
      </x:c>
      <x:c r="E178" s="54" t="str">
        <x:v>glass spice container</x:v>
      </x:c>
      <x:c r="F178" s="54" t="str">
        <x:v>open</x:v>
      </x:c>
      <x:c r="G178" s="54" t="str">
        <x:v>upright</x:v>
      </x:c>
      <x:c r="H178" s="55" t="str">
        <x:v>glass spice container A: open, upright | glass spice container B: closed, upright | brown cup A: open, upright</x:v>
      </x:c>
      <x:c r="I178" s="55" t="str">
        <x:v>168e12e735da9ad62716dca89cff660b53082cc3</x:v>
      </x:c>
      <x:c r="J178" s="55" t="str">
        <x:v>Audit only — do not pass previous prompt to the model.</x:v>
      </x:c>
    </x:row>
    <x:row r="179">
      <x:c r="A179" s="56" t="n">
        <x:v>174</x:v>
      </x:c>
      <x:c r="B179" s="55" t="str">
        <x:v>Pick up a glass spice container and place it into the bowl.</x:v>
      </x:c>
      <x:c r="C179" s="55" t="str">
        <x:v>Move the closed glass spice container that is right-side-up into the bowl.</x:v>
      </x:c>
      <x:c r="D179" s="54" t="str">
        <x:v>glass_spice_container_b</x:v>
      </x:c>
      <x:c r="E179" s="54" t="str">
        <x:v>glass spice container</x:v>
      </x:c>
      <x:c r="F179" s="54" t="str">
        <x:v>closed</x:v>
      </x:c>
      <x:c r="G179" s="54" t="str">
        <x:v>upright</x:v>
      </x:c>
      <x:c r="H179" s="55" t="str">
        <x:v>glass spice container B: closed, upright | glass spice container A: open, upright | white cup B: closed, upright</x:v>
      </x:c>
      <x:c r="I179" s="55" t="str">
        <x:v>168e12e735da9ad62716dca89cff660b53082cc3</x:v>
      </x:c>
      <x:c r="J179" s="55" t="str">
        <x:v>Audit only — do not pass previous prompt to the model.</x:v>
      </x:c>
    </x:row>
    <x:row r="180">
      <x:c r="A180" s="56" t="n">
        <x:v>175</x:v>
      </x:c>
      <x:c r="B180" s="55" t="str">
        <x:v>Pick up a glass spice container and place it into the bowl.</x:v>
      </x:c>
      <x:c r="C180" s="55" t="str">
        <x:v>Pick up the glass spice container that is upside-down and place it in the bowl.</x:v>
      </x:c>
      <x:c r="D180" s="54" t="str">
        <x:v>glass_spice_container_b</x:v>
      </x:c>
      <x:c r="E180" s="54" t="str">
        <x:v>glass spice container</x:v>
      </x:c>
      <x:c r="F180" s="54" t="str">
        <x:v>closed</x:v>
      </x:c>
      <x:c r="G180" s="54" t="str">
        <x:v>upside down</x:v>
      </x:c>
      <x:c r="H180" s="55" t="str">
        <x:v>glass spice container B: closed, upside down | brown cup B: closed, upright | white cup A: open, upright | yellow-white striped cup A: closed, upright</x:v>
      </x:c>
      <x:c r="I180" s="55" t="str">
        <x:v>168e12e735da9ad62716dca89cff660b53082cc3</x:v>
      </x:c>
      <x:c r="J180" s="55" t="str">
        <x:v>Audit only — do not pass previous prompt to the model.</x:v>
      </x:c>
    </x:row>
    <x:row r="181">
      <x:c r="A181" s="56" t="n">
        <x:v>176</x:v>
      </x:c>
      <x:c r="B181" s="55" t="str">
        <x:v>Pick up a glass spice container and place it into the bowl.</x:v>
      </x:c>
      <x:c r="C181" s="55" t="str">
        <x:v>Pick up the glass spice container that is open and upside-down, then place it in the bowl.</x:v>
      </x:c>
      <x:c r="D181" s="54" t="str">
        <x:v>glass_spice_container_b</x:v>
      </x:c>
      <x:c r="E181" s="54" t="str">
        <x:v>glass spice container</x:v>
      </x:c>
      <x:c r="F181" s="54" t="str">
        <x:v>open</x:v>
      </x:c>
      <x:c r="G181" s="54" t="str">
        <x:v>upside down</x:v>
      </x:c>
      <x:c r="H181" s="55" t="str">
        <x:v>glass spice container B: open, upside down | glass spice container A: closed, upright | white cup B: open, upright</x:v>
      </x:c>
      <x:c r="I181" s="55" t="str">
        <x:v>168e12e735da9ad62716dca89cff660b53082cc3</x:v>
      </x:c>
      <x:c r="J181" s="55" t="str">
        <x:v>Audit only — do not pass previous prompt to the model.</x:v>
      </x:c>
    </x:row>
    <x:row r="182">
      <x:c r="A182" s="56" t="n">
        <x:v>177</x:v>
      </x:c>
      <x:c r="B182" s="55" t="str">
        <x:v>Pick up a glass spice container and place it into the bowl.</x:v>
      </x:c>
      <x:c r="C182" s="55" t="str">
        <x:v>Move the inverted glass spice container into the bowl.</x:v>
      </x:c>
      <x:c r="D182" s="54" t="str">
        <x:v>glass_spice_container_a</x:v>
      </x:c>
      <x:c r="E182" s="54" t="str">
        <x:v>glass spice container</x:v>
      </x:c>
      <x:c r="F182" s="54" t="str">
        <x:v>closed</x:v>
      </x:c>
      <x:c r="G182" s="54" t="str">
        <x:v>upside down</x:v>
      </x:c>
      <x:c r="H182" s="55" t="str">
        <x:v>glass spice container A: closed, upside down | glass spice container B: closed, upright | yellow-white striped cup A: closed, upside down | brown cup B: open, upright</x:v>
      </x:c>
      <x:c r="I182" s="55" t="str">
        <x:v>168e12e735da9ad62716dca89cff660b53082cc3</x:v>
      </x:c>
      <x:c r="J182" s="55" t="str">
        <x:v>Audit only — do not pass previous prompt to the model.</x:v>
      </x:c>
    </x:row>
    <x:row r="183">
      <x:c r="A183" s="56" t="n">
        <x:v>178</x:v>
      </x:c>
      <x:c r="B183" s="55" t="str">
        <x:v>Pick up a glass spice container and place it into the bowl.</x:v>
      </x:c>
      <x:c r="C183" s="55" t="str">
        <x:v>Put the open, right-side-up glass spice container in the bowl.</x:v>
      </x:c>
      <x:c r="D183" s="54" t="str">
        <x:v>glass_spice_container_a</x:v>
      </x:c>
      <x:c r="E183" s="54" t="str">
        <x:v>glass spice container</x:v>
      </x:c>
      <x:c r="F183" s="54" t="str">
        <x:v>open</x:v>
      </x:c>
      <x:c r="G183" s="54" t="str">
        <x:v>upright</x:v>
      </x:c>
      <x:c r="H183" s="55" t="str">
        <x:v>glass spice container A: open, upright | white cup A: closed, upside down | yellow-white striped cup A: open, upside down | brown cup A: closed, upside down</x:v>
      </x:c>
      <x:c r="I183" s="55" t="str">
        <x:v>168e12e735da9ad62716dca89cff660b53082cc3</x:v>
      </x:c>
      <x:c r="J183" s="55" t="str">
        <x:v>Audit only — do not pass previous prompt to the model.</x:v>
      </x:c>
    </x:row>
    <x:row r="184">
      <x:c r="A184" s="56" t="n">
        <x:v>179</x:v>
      </x:c>
      <x:c r="B184" s="55" t="str">
        <x:v>Pick up a glass spice container and place it into the bowl.</x:v>
      </x:c>
      <x:c r="C184" s="55" t="str">
        <x:v>Put the closed, right-side-up glass spice container in the bowl.</x:v>
      </x:c>
      <x:c r="D184" s="54" t="str">
        <x:v>glass_spice_container_b</x:v>
      </x:c>
      <x:c r="E184" s="54" t="str">
        <x:v>glass spice container</x:v>
      </x:c>
      <x:c r="F184" s="54" t="str">
        <x:v>closed</x:v>
      </x:c>
      <x:c r="G184" s="54" t="str">
        <x:v>upright</x:v>
      </x:c>
      <x:c r="H184" s="55" t="str">
        <x:v>glass spice container B: closed, upright | yellow-white striped cup A: closed, upside down | brown cup A: open, upside down | white cup B: closed, upside down</x:v>
      </x:c>
      <x:c r="I184" s="55" t="str">
        <x:v>168e12e735da9ad62716dca89cff660b53082cc3</x:v>
      </x:c>
      <x:c r="J184" s="55" t="str">
        <x:v>Audit only — do not pass previous prompt to the model.</x:v>
      </x:c>
    </x:row>
    <x:row r="185">
      <x:c r="A185" s="56" t="n">
        <x:v>180</x:v>
      </x:c>
      <x:c r="B185" s="55" t="str">
        <x:v>Pick up a glass spice container and place it into the bowl.</x:v>
      </x:c>
      <x:c r="C185" s="55" t="str">
        <x:v>Put the open, right-side-up glass spice container in the bowl.</x:v>
      </x:c>
      <x:c r="D185" s="54" t="str">
        <x:v>glass_spice_container_b</x:v>
      </x:c>
      <x:c r="E185" s="54" t="str">
        <x:v>glass spice container</x:v>
      </x:c>
      <x:c r="F185" s="54" t="str">
        <x:v>open</x:v>
      </x:c>
      <x:c r="G185" s="54" t="str">
        <x:v>upright</x:v>
      </x:c>
      <x:c r="H185" s="55" t="str">
        <x:v>glass spice container B: open, upright | glass spice container A: closed, upside down | yellow-white striped cup B: open, upright</x:v>
      </x:c>
      <x:c r="I185" s="55" t="str">
        <x:v>168e12e735da9ad62716dca89cff660b53082cc3</x:v>
      </x:c>
      <x:c r="J185" s="55" t="str">
        <x:v>Audit only — do not pass previous prompt to the model.</x:v>
      </x:c>
    </x:row>
    <x:row r="186">
      <x:c r="A186" s="56" t="n">
        <x:v>181</x:v>
      </x:c>
      <x:c r="B186" s="55" t="str">
        <x:v>Pick up a glass spice container and place it into the bowl.</x:v>
      </x:c>
      <x:c r="C186" s="55" t="str">
        <x:v>Pick up the glass spice container that is upside-down and place it in the bowl.</x:v>
      </x:c>
      <x:c r="D186" s="54" t="str">
        <x:v>glass_spice_container_a</x:v>
      </x:c>
      <x:c r="E186" s="54" t="str">
        <x:v>glass spice container</x:v>
      </x:c>
      <x:c r="F186" s="54" t="str">
        <x:v>closed</x:v>
      </x:c>
      <x:c r="G186" s="54" t="str">
        <x:v>upside down</x:v>
      </x:c>
      <x:c r="H186" s="55" t="str">
        <x:v>glass spice container A: closed, upside down | glass spice container B: closed, upright | brown cup A: closed, upside down | white cup B: open, upright</x:v>
      </x:c>
      <x:c r="I186" s="55" t="str">
        <x:v>168e12e735da9ad62716dca89cff660b53082cc3</x:v>
      </x:c>
      <x:c r="J186" s="55" t="str">
        <x:v>Audit only — do not pass previous prompt to the model.</x:v>
      </x:c>
    </x:row>
    <x:row r="187">
      <x:c r="A187" s="56" t="n">
        <x:v>182</x:v>
      </x:c>
      <x:c r="B187" s="55" t="str">
        <x:v>Pick up a glass spice container and place it into the bowl.</x:v>
      </x:c>
      <x:c r="C187" s="55" t="str">
        <x:v>Move the open glass spice container that is right-side-up into the bowl.</x:v>
      </x:c>
      <x:c r="D187" s="54" t="str">
        <x:v>glass_spice_container_b</x:v>
      </x:c>
      <x:c r="E187" s="54" t="str">
        <x:v>glass spice container</x:v>
      </x:c>
      <x:c r="F187" s="54" t="str">
        <x:v>open</x:v>
      </x:c>
      <x:c r="G187" s="54" t="str">
        <x:v>upright</x:v>
      </x:c>
      <x:c r="H187" s="55" t="str">
        <x:v>glass spice container B: open, upright | glass spice container A: open, upside down | white cup B: closed, upside down</x:v>
      </x:c>
      <x:c r="I187" s="55" t="str">
        <x:v>168e12e735da9ad62716dca89cff660b53082cc3</x:v>
      </x:c>
      <x:c r="J187" s="55" t="str">
        <x:v>Audit only — do not pass previous prompt to the model.</x:v>
      </x:c>
    </x:row>
    <x:row r="188">
      <x:c r="A188" s="56" t="n">
        <x:v>183</x:v>
      </x:c>
      <x:c r="B188" s="55" t="str">
        <x:v>Pick up a glass spice container and place it into the bowl.</x:v>
      </x:c>
      <x:c r="C188" s="55" t="str">
        <x:v>Move the closed glass spice container that is right-side-up into the bowl.</x:v>
      </x:c>
      <x:c r="D188" s="54" t="str">
        <x:v>glass_spice_container_a</x:v>
      </x:c>
      <x:c r="E188" s="54" t="str">
        <x:v>glass spice container</x:v>
      </x:c>
      <x:c r="F188" s="54" t="str">
        <x:v>closed</x:v>
      </x:c>
      <x:c r="G188" s="54" t="str">
        <x:v>upright</x:v>
      </x:c>
      <x:c r="H188" s="55" t="str">
        <x:v>glass spice container A: closed, upright | glass spice container B: open, upside down | yellow-white striped cup A: open, upside down | brown cup B: closed, upside down</x:v>
      </x:c>
      <x:c r="I188" s="55" t="str">
        <x:v>168e12e735da9ad62716dca89cff660b53082cc3</x:v>
      </x:c>
      <x:c r="J188" s="55" t="str">
        <x:v>Audit only — do not pass previous prompt to the model.</x:v>
      </x:c>
    </x:row>
    <x:row r="189">
      <x:c r="A189" s="56" t="n">
        <x:v>184</x:v>
      </x:c>
      <x:c r="B189" s="55" t="str">
        <x:v>Pick up a glass spice container and place it into the bowl.</x:v>
      </x:c>
      <x:c r="C189" s="55" t="str">
        <x:v>Pick up the glass spice container that is open and upside-down, then place it in the bowl.</x:v>
      </x:c>
      <x:c r="D189" s="54" t="str">
        <x:v>glass_spice_container_b</x:v>
      </x:c>
      <x:c r="E189" s="54" t="str">
        <x:v>glass spice container</x:v>
      </x:c>
      <x:c r="F189" s="54" t="str">
        <x:v>open</x:v>
      </x:c>
      <x:c r="G189" s="54" t="str">
        <x:v>upside down</x:v>
      </x:c>
      <x:c r="H189" s="55" t="str">
        <x:v>glass spice container B: open, upside down | glass spice container A: closed, upright | brown cup B: open, upright</x:v>
      </x:c>
      <x:c r="I189" s="55" t="str">
        <x:v>168e12e735da9ad62716dca89cff660b53082cc3</x:v>
      </x:c>
      <x:c r="J189" s="55" t="str">
        <x:v>Audit only — do not pass previous prompt to the model.</x:v>
      </x:c>
    </x:row>
    <x:row r="190">
      <x:c r="A190" s="56" t="n">
        <x:v>185</x:v>
      </x:c>
      <x:c r="B190" s="55" t="str">
        <x:v>Pick up a glass spice container and place it into the bowl.</x:v>
      </x:c>
      <x:c r="C190" s="55" t="str">
        <x:v>Move the closed glass spice container that is right-side-up into the bowl.</x:v>
      </x:c>
      <x:c r="D190" s="54" t="str">
        <x:v>glass_spice_container_a</x:v>
      </x:c>
      <x:c r="E190" s="54" t="str">
        <x:v>glass spice container</x:v>
      </x:c>
      <x:c r="F190" s="54" t="str">
        <x:v>closed</x:v>
      </x:c>
      <x:c r="G190" s="54" t="str">
        <x:v>upright</x:v>
      </x:c>
      <x:c r="H190" s="55" t="str">
        <x:v>glass spice container A: closed, upright | glass spice container B: closed, upside down | white cup A: closed, upright</x:v>
      </x:c>
      <x:c r="I190" s="55" t="str">
        <x:v>168e12e735da9ad62716dca89cff660b53082cc3</x:v>
      </x:c>
      <x:c r="J190" s="55" t="str">
        <x:v>Audit only — do not pass previous prompt to the model.</x:v>
      </x:c>
    </x:row>
    <x:row r="191">
      <x:c r="A191" s="56" t="n">
        <x:v>186</x:v>
      </x:c>
      <x:c r="B191" s="55" t="str">
        <x:v>Pick up a glass spice container and place it into the bowl.</x:v>
      </x:c>
      <x:c r="C191" s="55" t="str">
        <x:v>Put the open, upside-down glass spice container in the bowl.</x:v>
      </x:c>
      <x:c r="D191" s="54" t="str">
        <x:v>glass_spice_container_a</x:v>
      </x:c>
      <x:c r="E191" s="54" t="str">
        <x:v>glass spice container</x:v>
      </x:c>
      <x:c r="F191" s="54" t="str">
        <x:v>open</x:v>
      </x:c>
      <x:c r="G191" s="54" t="str">
        <x:v>upside down</x:v>
      </x:c>
      <x:c r="H191" s="55" t="str">
        <x:v>glass spice container A: open, upside down | glass spice container B: open, upright | yellow-white striped cup B: closed, upside down | brown cup A: open, upside down</x:v>
      </x:c>
      <x:c r="I191" s="55" t="str">
        <x:v>168e12e735da9ad62716dca89cff660b53082cc3</x:v>
      </x:c>
      <x:c r="J191" s="55" t="str">
        <x:v>Audit only — do not pass previous prompt to the model.</x:v>
      </x:c>
    </x:row>
    <x:row r="192">
      <x:c r="A192" s="56" t="n">
        <x:v>187</x:v>
      </x:c>
      <x:c r="B192" s="55" t="str">
        <x:v>Pick up a glass spice container and place it into the bowl.</x:v>
      </x:c>
      <x:c r="C192" s="55" t="str">
        <x:v>Move the closed glass spice container into the bowl.</x:v>
      </x:c>
      <x:c r="D192" s="54" t="str">
        <x:v>glass_spice_container_a</x:v>
      </x:c>
      <x:c r="E192" s="54" t="str">
        <x:v>glass spice container</x:v>
      </x:c>
      <x:c r="F192" s="54" t="str">
        <x:v>closed</x:v>
      </x:c>
      <x:c r="G192" s="54" t="str">
        <x:v>upside down</x:v>
      </x:c>
      <x:c r="H192" s="55" t="str">
        <x:v>glass spice container A: closed, upside down | glass spice container B: open, upright | brown cup A: open, upright | white cup B: closed, upright</x:v>
      </x:c>
      <x:c r="I192" s="55" t="str">
        <x:v>168e12e735da9ad62716dca89cff660b53082cc3</x:v>
      </x:c>
      <x:c r="J192" s="55" t="str">
        <x:v>Audit only — do not pass previous prompt to the model.</x:v>
      </x:c>
    </x:row>
    <x:row r="193">
      <x:c r="A193" s="56" t="n">
        <x:v>188</x:v>
      </x:c>
      <x:c r="B193" s="55" t="str">
        <x:v>Pick up a glass spice container and place it into the bowl.</x:v>
      </x:c>
      <x:c r="C193" s="55" t="str">
        <x:v>Move the open glass spice container that is right-side-up into the bowl.</x:v>
      </x:c>
      <x:c r="D193" s="54" t="str">
        <x:v>glass_spice_container_b</x:v>
      </x:c>
      <x:c r="E193" s="54" t="str">
        <x:v>glass spice container</x:v>
      </x:c>
      <x:c r="F193" s="54" t="str">
        <x:v>open</x:v>
      </x:c>
      <x:c r="G193" s="54" t="str">
        <x:v>upright</x:v>
      </x:c>
      <x:c r="H193" s="55" t="str">
        <x:v>glass spice container B: open, upright | glass spice container A: closed, upside down | white cup B: open, upright</x:v>
      </x:c>
      <x:c r="I193" s="55" t="str">
        <x:v>168e12e735da9ad62716dca89cff660b53082cc3</x:v>
      </x:c>
      <x:c r="J193" s="55" t="str">
        <x:v>Audit only — do not pass previous prompt to the model.</x:v>
      </x:c>
    </x:row>
    <x:row r="194">
      <x:c r="A194" s="56" t="n">
        <x:v>189</x:v>
      </x:c>
      <x:c r="B194" s="55" t="str">
        <x:v>Pick up a glass spice container and place it into the bowl.</x:v>
      </x:c>
      <x:c r="C194" s="55" t="str">
        <x:v>Put the upside-down glass spice container in the bowl.</x:v>
      </x:c>
      <x:c r="D194" s="54" t="str">
        <x:v>glass_spice_container_a</x:v>
      </x:c>
      <x:c r="E194" s="54" t="str">
        <x:v>glass spice container</x:v>
      </x:c>
      <x:c r="F194" s="54" t="str">
        <x:v>closed</x:v>
      </x:c>
      <x:c r="G194" s="54" t="str">
        <x:v>upside down</x:v>
      </x:c>
      <x:c r="H194" s="55" t="str">
        <x:v>glass spice container A: closed, upside down | glass spice container B: closed, upright | yellow-white striped cup A: closed, upside down</x:v>
      </x:c>
      <x:c r="I194" s="55" t="str">
        <x:v>168e12e735da9ad62716dca89cff660b53082cc3</x:v>
      </x:c>
      <x:c r="J194" s="55" t="str">
        <x:v>Audit only — do not pass previous prompt to the model.</x:v>
      </x:c>
    </x:row>
    <x:row r="195">
      <x:c r="A195" s="56" t="n">
        <x:v>190</x:v>
      </x:c>
      <x:c r="B195" s="55" t="str">
        <x:v>Pick up a glass spice container and place it into the bowl.</x:v>
      </x:c>
      <x:c r="C195" s="55" t="str">
        <x:v>Pick up the glass spice container that is open and upside-down, then place it in the bowl.</x:v>
      </x:c>
      <x:c r="D195" s="54" t="str">
        <x:v>glass_spice_container_b</x:v>
      </x:c>
      <x:c r="E195" s="54" t="str">
        <x:v>glass spice container</x:v>
      </x:c>
      <x:c r="F195" s="54" t="str">
        <x:v>open</x:v>
      </x:c>
      <x:c r="G195" s="54" t="str">
        <x:v>upside down</x:v>
      </x:c>
      <x:c r="H195" s="55" t="str">
        <x:v>glass spice container B: open, upside down | glass spice container A: open, upright | brown cup B: closed, upside down | white cup A: open, upside down</x:v>
      </x:c>
      <x:c r="I195" s="55" t="str">
        <x:v>168e12e735da9ad62716dca89cff660b53082cc3</x:v>
      </x:c>
      <x:c r="J195" s="55" t="str">
        <x:v>Audit only — do not pass previous prompt to the model.</x:v>
      </x:c>
    </x:row>
    <x:row r="196">
      <x:c r="A196" s="56" t="n">
        <x:v>191</x:v>
      </x:c>
      <x:c r="B196" s="55" t="str">
        <x:v>Pick up a glass spice container and place it into the bowl.</x:v>
      </x:c>
      <x:c r="C196" s="55" t="str">
        <x:v>Pick up the glass spice container that is closed and right-side-up, then place it in the bowl.</x:v>
      </x:c>
      <x:c r="D196" s="54" t="str">
        <x:v>glass_spice_container_a</x:v>
      </x:c>
      <x:c r="E196" s="54" t="str">
        <x:v>glass spice container</x:v>
      </x:c>
      <x:c r="F196" s="54" t="str">
        <x:v>closed</x:v>
      </x:c>
      <x:c r="G196" s="54" t="str">
        <x:v>upright</x:v>
      </x:c>
      <x:c r="H196" s="55" t="str">
        <x:v>glass spice container A: closed, upright | brown cup A: open, upside down | white cup B: closed, upside down</x:v>
      </x:c>
      <x:c r="I196" s="55" t="str">
        <x:v>168e12e735da9ad62716dca89cff660b53082cc3</x:v>
      </x:c>
      <x:c r="J196" s="55" t="str">
        <x:v>Audit only — do not pass previous prompt to the model.</x:v>
      </x:c>
    </x:row>
    <x:row r="197">
      <x:c r="A197" s="56" t="n">
        <x:v>192</x:v>
      </x:c>
      <x:c r="B197" s="55" t="str">
        <x:v>Pick up a glass spice container and place it into the bowl.</x:v>
      </x:c>
      <x:c r="C197" s="55" t="str">
        <x:v>Move the open glass spice container that is upside-down into the bowl.</x:v>
      </x:c>
      <x:c r="D197" s="54" t="str">
        <x:v>glass_spice_container_b</x:v>
      </x:c>
      <x:c r="E197" s="54" t="str">
        <x:v>glass spice container</x:v>
      </x:c>
      <x:c r="F197" s="54" t="str">
        <x:v>open</x:v>
      </x:c>
      <x:c r="G197" s="54" t="str">
        <x:v>upside down</x:v>
      </x:c>
      <x:c r="H197" s="55" t="str">
        <x:v>glass spice container B: open, upside down | glass spice container A: closed, upright | yellow-white striped cup B: open, upside down</x:v>
      </x:c>
      <x:c r="I197" s="55" t="str">
        <x:v>168e12e735da9ad62716dca89cff660b53082cc3</x:v>
      </x:c>
      <x:c r="J197" s="55" t="str">
        <x:v>Audit only — do not pass previous prompt to the model.</x:v>
      </x:c>
    </x:row>
    <x:row r="198">
      <x:c r="A198" s="56" t="n">
        <x:v>193</x:v>
      </x:c>
      <x:c r="B198" s="55" t="str">
        <x:v>Pick up a glass spice container and place it into the bowl.</x:v>
      </x:c>
      <x:c r="C198" s="55" t="str">
        <x:v>Put the closed, right-side-up glass spice container in the bowl.</x:v>
      </x:c>
      <x:c r="D198" s="54" t="str">
        <x:v>glass_spice_container_a</x:v>
      </x:c>
      <x:c r="E198" s="54" t="str">
        <x:v>glass spice container</x:v>
      </x:c>
      <x:c r="F198" s="54" t="str">
        <x:v>closed</x:v>
      </x:c>
      <x:c r="G198" s="54" t="str">
        <x:v>upright</x:v>
      </x:c>
      <x:c r="H198" s="55" t="str">
        <x:v>glass spice container A: closed, upright | white cup B: closed, upside down | yellow-white striped cup B: open, upside down</x:v>
      </x:c>
      <x:c r="I198" s="55" t="str">
        <x:v>168e12e735da9ad62716dca89cff660b53082cc3</x:v>
      </x:c>
      <x:c r="J198" s="55" t="str">
        <x:v>Audit only — do not pass previous prompt to the model.</x:v>
      </x:c>
    </x:row>
    <x:row r="199">
      <x:c r="A199" s="56" t="n">
        <x:v>194</x:v>
      </x:c>
      <x:c r="B199" s="55" t="str">
        <x:v>Pick up a glass spice container and place it into the bowl.</x:v>
      </x:c>
      <x:c r="C199" s="55" t="str">
        <x:v>Put the open, right-side-up glass spice container in the bowl.</x:v>
      </x:c>
      <x:c r="D199" s="54" t="str">
        <x:v>glass_spice_container_b</x:v>
      </x:c>
      <x:c r="E199" s="54" t="str">
        <x:v>glass spice container</x:v>
      </x:c>
      <x:c r="F199" s="54" t="str">
        <x:v>open</x:v>
      </x:c>
      <x:c r="G199" s="54" t="str">
        <x:v>upright</x:v>
      </x:c>
      <x:c r="H199" s="55" t="str">
        <x:v>glass spice container B: open, upright | glass spice container A: open, upside down | white cup B: closed, upside down | yellow-white striped cup A: open, upside down</x:v>
      </x:c>
      <x:c r="I199" s="55" t="str">
        <x:v>168e12e735da9ad62716dca89cff660b53082cc3</x:v>
      </x:c>
      <x:c r="J199" s="55" t="str">
        <x:v>Audit only — do not pass previous prompt to the model.</x:v>
      </x:c>
    </x:row>
    <x:row r="200">
      <x:c r="A200" s="56" t="n">
        <x:v>195</x:v>
      </x:c>
      <x:c r="B200" s="55" t="str">
        <x:v>Pick up a glass spice container and place it into the bowl.</x:v>
      </x:c>
      <x:c r="C200" s="55" t="str">
        <x:v>Put the closed, right-side-up glass spice container in the bowl.</x:v>
      </x:c>
      <x:c r="D200" s="54" t="str">
        <x:v>glass_spice_container_a</x:v>
      </x:c>
      <x:c r="E200" s="54" t="str">
        <x:v>glass spice container</x:v>
      </x:c>
      <x:c r="F200" s="54" t="str">
        <x:v>closed</x:v>
      </x:c>
      <x:c r="G200" s="54" t="str">
        <x:v>upright</x:v>
      </x:c>
      <x:c r="H200" s="55" t="str">
        <x:v>glass spice container A: closed, upright | glass spice container B: open, upside down | yellow-white striped cup A: open, upright</x:v>
      </x:c>
      <x:c r="I200" s="55" t="str">
        <x:v>168e12e735da9ad62716dca89cff660b53082cc3</x:v>
      </x:c>
      <x:c r="J200" s="55" t="str">
        <x:v>Audit only — do not pass previous prompt to the model.</x:v>
      </x:c>
    </x:row>
    <x:row r="201">
      <x:c r="A201" s="56" t="n">
        <x:v>196</x:v>
      </x:c>
      <x:c r="B201" s="55" t="str">
        <x:v>Pick up a glass spice container and place it into the bowl.</x:v>
      </x:c>
      <x:c r="C201" s="55" t="str">
        <x:v>Pick up the glass spice container that is open and upside-down, then place it in the bowl.</x:v>
      </x:c>
      <x:c r="D201" s="54" t="str">
        <x:v>glass_spice_container_a</x:v>
      </x:c>
      <x:c r="E201" s="54" t="str">
        <x:v>glass spice container</x:v>
      </x:c>
      <x:c r="F201" s="54" t="str">
        <x:v>open</x:v>
      </x:c>
      <x:c r="G201" s="54" t="str">
        <x:v>upside down</x:v>
      </x:c>
      <x:c r="H201" s="55" t="str">
        <x:v>glass spice container A: open, upside down | yellow-white striped cup B: closed, upright | brown cup B: open, upright</x:v>
      </x:c>
      <x:c r="I201" s="55" t="str">
        <x:v>168e12e735da9ad62716dca89cff660b53082cc3</x:v>
      </x:c>
      <x:c r="J201" s="55" t="str">
        <x:v>Audit only — do not pass previous prompt to the model.</x:v>
      </x:c>
    </x:row>
    <x:row r="202">
      <x:c r="A202" s="56" t="n">
        <x:v>197</x:v>
      </x:c>
      <x:c r="B202" s="55" t="str">
        <x:v>Pick up a glass spice container and place it into the bowl.</x:v>
      </x:c>
      <x:c r="C202" s="55" t="str">
        <x:v>Pick up the glass spice container that is closed and right-side-up, then place it in the bowl.</x:v>
      </x:c>
      <x:c r="D202" s="54" t="str">
        <x:v>glass_spice_container_b</x:v>
      </x:c>
      <x:c r="E202" s="54" t="str">
        <x:v>glass spice container</x:v>
      </x:c>
      <x:c r="F202" s="54" t="str">
        <x:v>closed</x:v>
      </x:c>
      <x:c r="G202" s="54" t="str">
        <x:v>upright</x:v>
      </x:c>
      <x:c r="H202" s="55" t="str">
        <x:v>glass spice container B: closed, upright | glass spice container A: closed, upside down | white cup A: closed, upright | yellow-white striped cup B: open, upside down</x:v>
      </x:c>
      <x:c r="I202" s="55" t="str">
        <x:v>168e12e735da9ad62716dca89cff660b53082cc3</x:v>
      </x:c>
      <x:c r="J202" s="55" t="str">
        <x:v>Audit only — do not pass previous prompt to the model.</x:v>
      </x:c>
    </x:row>
    <x:row r="203">
      <x:c r="A203" s="56" t="n">
        <x:v>198</x:v>
      </x:c>
      <x:c r="B203" s="55" t="str">
        <x:v>Pick up a glass spice container and place it into the bowl.</x:v>
      </x:c>
      <x:c r="C203" s="55" t="str">
        <x:v>Put the open, right-side-up glass spice container in the bowl.</x:v>
      </x:c>
      <x:c r="D203" s="54" t="str">
        <x:v>glass_spice_container_b</x:v>
      </x:c>
      <x:c r="E203" s="54" t="str">
        <x:v>glass spice container</x:v>
      </x:c>
      <x:c r="F203" s="54" t="str">
        <x:v>open</x:v>
      </x:c>
      <x:c r="G203" s="54" t="str">
        <x:v>upright</x:v>
      </x:c>
      <x:c r="H203" s="55" t="str">
        <x:v>glass spice container B: open, upright | glass spice container A: open, upside down | yellow-white striped cup B: closed, upright | brown cup A: open, upright</x:v>
      </x:c>
      <x:c r="I203" s="55" t="str">
        <x:v>168e12e735da9ad62716dca89cff660b53082cc3</x:v>
      </x:c>
      <x:c r="J203" s="55" t="str">
        <x:v>Audit only — do not pass previous prompt to the model.</x:v>
      </x:c>
    </x:row>
    <x:row r="204">
      <x:c r="A204" s="56" t="n">
        <x:v>199</x:v>
      </x:c>
      <x:c r="B204" s="55" t="str">
        <x:v>Pick up a glass spice container and place it into the bowl.</x:v>
      </x:c>
      <x:c r="C204" s="55" t="str">
        <x:v>Put the upside-down glass spice container in the bowl.</x:v>
      </x:c>
      <x:c r="D204" s="54" t="str">
        <x:v>glass_spice_container_b</x:v>
      </x:c>
      <x:c r="E204" s="54" t="str">
        <x:v>glass spice container</x:v>
      </x:c>
      <x:c r="F204" s="54" t="str">
        <x:v>closed</x:v>
      </x:c>
      <x:c r="G204" s="54" t="str">
        <x:v>upside down</x:v>
      </x:c>
      <x:c r="H204" s="55" t="str">
        <x:v>glass spice container B: closed, upside down | glass spice container A: open, upright | brown cup A: open, upside down | white cup B: closed, upright</x:v>
      </x:c>
      <x:c r="I204" s="55" t="str">
        <x:v>168e12e735da9ad62716dca89cff660b53082cc3</x:v>
      </x:c>
      <x:c r="J204" s="55" t="str">
        <x:v>Audit only — do not pass previous prompt to the model.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d4590d0ab424c90"/>
  </x:tableParts>
</x:worksheet>
</file>