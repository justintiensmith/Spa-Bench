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03cc1d6e37440f" /></Relationships>
</file>

<file path=xl/workbook.xml><?xml version="1.0" encoding="utf-8"?>
<x:workbook xmlns:x="http://schemas.openxmlformats.org/spreadsheetml/2006/main">
  <x:sheets>
    <x:sheet xmlns:r="http://schemas.openxmlformats.org/officeDocument/2006/relationships" name="Evaluation Plan" sheetId="1" r:id="R9f4337bd43fd413e"/>
    <x:sheet xmlns:r="http://schemas.openxmlformats.org/officeDocument/2006/relationships" name="Object Inventory" sheetId="2" r:id="Ra594c04af7d545f1"/>
    <x:sheet xmlns:r="http://schemas.openxmlformats.org/officeDocument/2006/relationships" name="Training Alignment" sheetId="3" r:id="R8cee1f2a77f64de3"/>
    <x:sheet xmlns:r="http://schemas.openxmlformats.org/officeDocument/2006/relationships" name="Protocol" sheetId="4" r:id="Raf8c042b135b4460"/>
    <x:sheet xmlns:r="http://schemas.openxmlformats.org/officeDocument/2006/relationships" name="Design QA" sheetId="5" r:id="R1db880f681b242b1"/>
    <x:sheet xmlns:r="http://schemas.openxmlformats.org/officeDocument/2006/relationships" name="pi0.5 Results" sheetId="6" r:id="R9a342786db414266"/>
    <x:sheet xmlns:r="http://schemas.openxmlformats.org/officeDocument/2006/relationships" name="VLA0 Results" sheetId="7" r:id="Rbfcf6dba5deb4673"/>
    <x:sheet xmlns:r="http://schemas.openxmlformats.org/officeDocument/2006/relationships" name="MolmoAct2 Results" sheetId="8" r:id="R217a451a503e434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9">
    <x:fill>
      <x:patternFill patternType="none"/>
    </x:fill>
    <x:fill>
      <x:patternFill patternType="gray125"/>
    </x:fill>
    <x:fill>
      <x:patternFill patternType="solid">
        <x:fgColor rgb="FF1F4E78"/>
      </x:patternFill>
    </x:fill>
    <x:fill>
      <x:patternFill patternType="solid">
        <x:fgColor rgb="FFE4DFEC"/>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s>
  <x:borders count="4">
    <x:border/>
    <x:border>
      <x:top style="medium">
        <x:color rgb="FF1F4E78"/>
      </x:top>
    </x:border>
    <x:border>
      <x:left style="thin">
        <x:color rgb="FFB7C9D6"/>
      </x:left>
      <x:right style="thin">
        <x:color rgb="FFB7C9D6"/>
      </x:right>
      <x:top style="thin">
        <x:color rgb="FFB7C9D6"/>
      </x:top>
      <x:bottom style="thin">
        <x:color rgb="FFB7C9D6"/>
      </x:bottom>
    </x:border>
    <x:border>
      <x:left style="thin">
        <x:color rgb="FF8EA9C1"/>
      </x:left>
      <x:right style="thin">
        <x:color rgb="FF8EA9C1"/>
      </x:right>
      <x:top style="thin">
        <x:color rgb="FF8EA9C1"/>
      </x:top>
      <x:bottom style="thin">
        <x:color rgb="FF8EA9C1"/>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1" fillId="5" borderId="0" xfId="0" applyNumberFormat="1" applyFont="1" applyFill="1" applyBorder="1" applyAlignment="1">
      <x:alignment horizontal="center" vertical="center" wrapText="1"/>
    </x:xf>
    <x:xf numFmtId="0" fontId="1" fillId="5" xfId="0" applyNumberFormat="1" applyFont="1" applyFill="1" applyBorder="0" applyAlignment="1">
      <x:alignment horizontal="center" vertical="center" wrapText="1"/>
    </x:xf>
    <x:xf numFmtId="0" fontId="0" fillId="0" xfId="0" applyNumberFormat="1" applyFont="1" applyFill="1" applyBorder="0" applyAlignment="1">
      <x:alignment horizontal="center" vertical="top" wrapText="1"/>
    </x:xf>
    <x:xf numFmtId="0" fontId="0" fillId="0" xfId="0" applyNumberFormat="1" applyFont="1" applyFill="1" applyBorder="0"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2" fillId="5" borderId="3" xfId="0" applyNumberFormat="1" applyFont="1" applyFill="1" applyBorder="1" applyAlignment="1">
      <x:alignment horizontal="center" vertical="center"/>
    </x:xf>
    <x:xf numFmtId="0" fontId="3" fillId="6" borderId="3"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 fillId="7" xfId="0" applyNumberFormat="1" applyFont="1" applyFill="1" applyBorder="0"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2" fillId="7" borderId="3" xfId="0" applyNumberFormat="1" applyFont="1" applyFill="1" applyBorder="1" applyAlignment="1">
      <x:alignment horizontal="center" vertical="center"/>
    </x:xf>
    <x:xf numFmtId="0" fontId="3" fillId="8" borderId="3" xfId="0" applyNumberFormat="1" applyFont="1" applyFill="1" applyBorder="1" applyAlignment="1">
      <x:alignment vertical="top" wrapText="1"/>
    </x:xf>
  </x:cellXfs>
  <x:cellStyles count="1">
    <x:cellStyle name="Normal" xfId="0"/>
  </x:cellStyles>
  <x:dxfs count="110">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b/>
      </x:font>
      <x:fill>
        <x:patternFill>
          <x:bgColor rgb="FFD9EAD3"/>
        </x:patternFill>
      </x:fill>
    </x:dxf>
    <x:dxf>
      <x:font>
        <x:b/>
      </x:font>
      <x:fill>
        <x:patternFill>
          <x:bgColor rgb="FFF4CCCC"/>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x:bgColor rgb="FF1F4E78"/>
        </x:patternFill>
      </x:fill>
    </x:dxf>
    <x:dxf>
      <x:font>
        <x:b/>
        <x:color rgb="FF7F0000"/>
      </x:font>
      <x:fill>
        <x:patternFill>
          <x:bgColor rgb="FFF4CCCC"/>
        </x:patternFill>
      </x:fill>
    </x:dxf>
    <x:dxf>
      <x:fill>
        <x:patternFill>
          <x:bgColor rgb="FFD9EAF7"/>
        </x:patternFill>
      </x:fill>
    </x:dxf>
    <x:dxf>
      <x:fill>
        <x:patternFill>
          <x:bgColor rgb="FFFFF2CC"/>
        </x:patternFill>
      </x:fill>
    </x:dxf>
    <x:dxf>
      <x:fill>
        <x:patternFill>
          <x:bgColor rgb="FFE2F0D9"/>
        </x:patternFill>
      </x:fill>
    </x:dxf>
    <x:dxf>
      <x:fill>
        <x:patternFill>
          <x:bgColor rgb="FFDDEBF7"/>
        </x:patternFill>
      </x:fill>
    </x:dxf>
    <x:dxf>
      <x:fill>
        <x:patternFill>
          <x:bgColor rgb="FFFCE4D6"/>
        </x:patternFill>
      </x:fill>
    </x:dxf>
    <x:dxf>
      <x:fill>
        <x:patternFill>
          <x:bgColor rgb="FFFCE4D6"/>
        </x:patternFill>
      </x:fill>
    </x:dxf>
    <x:dxf>
      <x:fill>
        <x:patternFill>
          <x:bgColor rgb="FFE4DFEC"/>
        </x:patternFill>
      </x:fill>
    </x:dxf>
    <x:dxf>
      <x:font>
        <x:b/>
      </x:font>
      <x:fill>
        <x:patternFill>
          <x:bgColor rgb="FFD9EAD3"/>
        </x:patternFill>
      </x:fill>
    </x:dxf>
    <x:dxf>
      <x:font>
        <x:b/>
      </x:font>
      <x:fill>
        <x:patternFill>
          <x:bgColor rgb="FFF4CCCC"/>
        </x:patternFill>
      </x:fill>
    </x:dxf>
    <x:dxf>
      <x:font>
        <x:color rgb="FFFFFFFF"/>
      </x:font>
      <x:fill>
        <x:patternFill>
          <x:bgColor rgb="FF1F4E78"/>
        </x:patternFill>
      </x:fill>
    </x:dxf>
    <x:dxf>
      <x:font>
        <x:b/>
        <x:color rgb="FF7F0000"/>
      </x:font>
      <x:fill>
        <x:patternFill>
          <x:bgColor rgb="FFF4CCCC"/>
        </x:patternFill>
      </x:fill>
    </x:dxf>
    <x:dxf>
      <x:fill>
        <x:patternFill>
          <x:bgColor rgb="FFD9EAF7"/>
        </x:patternFill>
      </x:fill>
    </x:dxf>
    <x:dxf>
      <x:fill>
        <x:patternFill>
          <x:bgColor rgb="FFFFF2CC"/>
        </x:patternFill>
      </x:fill>
    </x:dxf>
    <x:dxf>
      <x:fill>
        <x:patternFill>
          <x:bgColor rgb="FFE2F0D9"/>
        </x:patternFill>
      </x:fill>
    </x:dxf>
    <x:dxf>
      <x:fill>
        <x:patternFill>
          <x:bgColor rgb="FFDDEBF7"/>
        </x:patternFill>
      </x:fill>
    </x:dxf>
    <x:dxf>
      <x:fill>
        <x:patternFill>
          <x:bgColor rgb="FFFCE4D6"/>
        </x:patternFill>
      </x:fill>
    </x:dxf>
    <x:dxf>
      <x:fill>
        <x:patternFill>
          <x:bgColor rgb="FFFCE4D6"/>
        </x:patternFill>
      </x:fill>
    </x:dxf>
    <x:dxf>
      <x:fill>
        <x:patternFill>
          <x:bgColor rgb="FFE4DFEC"/>
        </x:patternFill>
      </x:fill>
    </x:dxf>
    <x:dxf>
      <x:font>
        <x:color rgb="FFFFFFFF"/>
      </x:font>
      <x:fill>
        <x:patternFill>
          <x:bgColor rgb="FF1F4E78"/>
        </x:patternFill>
      </x:fill>
    </x:dxf>
    <x:dxf>
      <x:font>
        <x:b/>
        <x:color rgb="FF7F0000"/>
      </x:font>
      <x:fill>
        <x:patternFill>
          <x:bgColor rgb="FFF4CCCC"/>
        </x:patternFill>
      </x:fill>
    </x:dxf>
    <x:dxf>
      <x:fill>
        <x:patternFill>
          <x:bgColor rgb="FFD9EAF7"/>
        </x:patternFill>
      </x:fill>
    </x:dxf>
    <x:dxf>
      <x:fill>
        <x:patternFill>
          <x:bgColor rgb="FFFFF2CC"/>
        </x:patternFill>
      </x:fill>
    </x:dxf>
    <x:dxf>
      <x:fill>
        <x:patternFill>
          <x:bgColor rgb="FFE2F0D9"/>
        </x:patternFill>
      </x:fill>
    </x:dxf>
    <x:dxf>
      <x:fill>
        <x:patternFill>
          <x:bgColor rgb="FFDDEBF7"/>
        </x:patternFill>
      </x:fill>
    </x:dxf>
    <x:dxf>
      <x:fill>
        <x:patternFill>
          <x:bgColor rgb="FFFCE4D6"/>
        </x:patternFill>
      </x:fill>
    </x:dxf>
    <x:dxf>
      <x:fill>
        <x:patternFill>
          <x:bgColor rgb="FFFCE4D6"/>
        </x:patternFill>
      </x:fill>
    </x:dxf>
    <x:dxf>
      <x:fill>
        <x:patternFill>
          <x:bgColor rgb="FFE4DFEC"/>
        </x:patternFill>
      </x:fill>
    </x:dxf>
    <x:dxf>
      <x:font>
        <x:color rgb="FFFFFFFF"/>
      </x:font>
      <x:fill>
        <x:patternFill>
          <x:bgColor rgb="FF1F4E78"/>
        </x:patternFill>
      </x:fill>
    </x:dxf>
    <x:dxf>
      <x:font>
        <x:b/>
        <x:color rgb="FF7F0000"/>
      </x:font>
      <x:fill>
        <x:patternFill>
          <x:bgColor rgb="FFF4CCCC"/>
        </x:patternFill>
      </x:fill>
    </x:dxf>
    <x:dxf>
      <x:fill>
        <x:patternFill>
          <x:bgColor rgb="FFD9EAF7"/>
        </x:patternFill>
      </x:fill>
    </x:dxf>
    <x:dxf>
      <x:fill>
        <x:patternFill>
          <x:bgColor rgb="FFFFF2CC"/>
        </x:patternFill>
      </x:fill>
    </x:dxf>
    <x:dxf>
      <x:fill>
        <x:patternFill>
          <x:bgColor rgb="FFE2F0D9"/>
        </x:patternFill>
      </x:fill>
    </x:dxf>
    <x:dxf>
      <x:fill>
        <x:patternFill>
          <x:bgColor rgb="FFDDEBF7"/>
        </x:patternFill>
      </x:fill>
    </x:dxf>
    <x:dxf>
      <x:fill>
        <x:patternFill>
          <x:bgColor rgb="FFFCE4D6"/>
        </x:patternFill>
      </x:fill>
    </x:dxf>
    <x:dxf>
      <x:fill>
        <x:patternFill>
          <x:bgColor rgb="FFFCE4D6"/>
        </x:patternFill>
      </x:fill>
    </x:dxf>
    <x:dxf>
      <x:fill>
        <x:patternFill>
          <x:bgColor rgb="FFE4DFE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b/>
      </x:font>
      <x:fill>
        <x:patternFill patternType="solid">
          <x:bgColor rgb="FFD9EAD3"/>
        </x:patternFill>
      </x:fill>
    </x:dxf>
    <x:dxf>
      <x:font>
        <x:b/>
      </x:font>
      <x:fill>
        <x:patternFill patternType="solid">
          <x:bgColor rgb="FFF4CCC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3d71d6fd93471e" /><Relationship Type="http://schemas.openxmlformats.org/officeDocument/2006/relationships/theme" Target="/xl/theme/theme1.xml" Id="Re69d59d934b448fc" /><Relationship Type="http://schemas.openxmlformats.org/officeDocument/2006/relationships/sharedStrings" Target="/xl/sharedStrings.xml" Id="R239cdce9eba54f61" /><Relationship Type="http://schemas.openxmlformats.org/officeDocument/2006/relationships/worksheet" Target="/xl/worksheets/sheet1.xml" Id="R9f4337bd43fd413e" /><Relationship Type="http://schemas.openxmlformats.org/officeDocument/2006/relationships/worksheet" Target="/xl/worksheets/sheet2.xml" Id="Ra594c04af7d545f1" /><Relationship Type="http://schemas.openxmlformats.org/officeDocument/2006/relationships/worksheet" Target="/xl/worksheets/sheet3.xml" Id="R8cee1f2a77f64de3" /><Relationship Type="http://schemas.openxmlformats.org/officeDocument/2006/relationships/worksheet" Target="/xl/worksheets/sheet4.xml" Id="Raf8c042b135b4460" /><Relationship Type="http://schemas.openxmlformats.org/officeDocument/2006/relationships/worksheet" Target="/xl/worksheets/sheet5.xml" Id="R1db880f681b242b1" /><Relationship Type="http://schemas.openxmlformats.org/officeDocument/2006/relationships/worksheet" Target="/xl/worksheets/sheet6.xml" Id="R9a342786db414266" /><Relationship Type="http://schemas.openxmlformats.org/officeDocument/2006/relationships/worksheet" Target="/xl/worksheets/sheet7.xml" Id="Rbfcf6dba5deb4673" /><Relationship Type="http://schemas.openxmlformats.org/officeDocument/2006/relationships/worksheet" Target="/xl/worksheets/sheet8.xml" Id="R217a451a503e4348" /></Relationships>
</file>

<file path=xl/tables/table1.xml><?xml version="1.0" encoding="utf-8"?>
<x:table xmlns:x="http://schemas.openxmlformats.org/spreadsheetml/2006/main" id="14" name="RelationalEvaluationPlan170" displayName="RelationalEvaluationPlan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2.xml><?xml version="1.0" encoding="utf-8"?>
<x:table xmlns:x="http://schemas.openxmlformats.org/spreadsheetml/2006/main" id="2" name="RelationalObjectInventory" displayName="RelationalObjectInventory" ref="A1:E6" headerRowCount="1" totalsRowCount="0" totalsRowShown="0">
  <x:tableColumns count="5">
    <x:tableColumn id="1" name="Object"/>
    <x:tableColumn id="2" name="Training Source"/>
    <x:tableColumn id="3" name="Manifest Evidence"/>
    <x:tableColumn id="4" name="Evaluation Role"/>
    <x:tableColumn id="5" name="Claim Boundary"/>
  </x:tableColumns>
  <x:tableStyleInfo name="TableStyleMedium2" showFirstColumn="0" showLastColumn="0" showRowStripes="1" showColumnStripes="0"/>
</x:table>
</file>

<file path=xl/tables/table3.xml><?xml version="1.0" encoding="utf-8"?>
<x:table xmlns:x="http://schemas.openxmlformats.org/spreadsheetml/2006/main" id="15" name="RelationalTrainingAlignment170" displayName="RelationalTrainingAlignment170" ref="A1:C18" headerRowCount="1" totalsRowCount="0" totalsRowShown="0">
  <x:tableColumns count="3">
    <x:tableColumn id="1" name="Training / Evaluation Feature"/>
    <x:tableColumn id="2" name="Manifest evidence"/>
    <x:tableColumn id="3" name="Evaluation consequence"/>
  </x:tableColumns>
  <x:tableStyleInfo name="TableStyleMedium2" showFirstColumn="0" showLastColumn="0" showRowStripes="1" showColumnStripes="0"/>
</x:table>
</file>

<file path=xl/tables/table4.xml><?xml version="1.0" encoding="utf-8"?>
<x:table xmlns:x="http://schemas.openxmlformats.org/spreadsheetml/2006/main" id="16" name="RelationalDesignQA170" displayName="RelationalDesignQA170" ref="A1:E72" headerRowCount="1" totalsRowCount="0" totalsRowShown="0">
  <x:tableColumns count="5">
    <x:tableColumn id="1" name="Check"/>
    <x:tableColumn id="2" name="Actual"/>
    <x:tableColumn id="3" name="Expected"/>
    <x:tableColumn id="4" name="Status"/>
    <x:tableColumn id="5" name="Notes"/>
  </x:tableColumns>
  <x:tableStyleInfo name="TableStyleMedium2" showFirstColumn="0" showLastColumn="0" showRowStripes="1" showColumnStripes="0"/>
</x:table>
</file>

<file path=xl/tables/table5.xml><?xml version="1.0" encoding="utf-8"?>
<x:table xmlns:x="http://schemas.openxmlformats.org/spreadsheetml/2006/main" id="17" name="Pi05RelationalResults170" displayName="Pi05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6.xml><?xml version="1.0" encoding="utf-8"?>
<x:table xmlns:x="http://schemas.openxmlformats.org/spreadsheetml/2006/main" id="18" name="VLA0RelationalResults170" displayName="VLA0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7.xml><?xml version="1.0" encoding="utf-8"?>
<x:table xmlns:x="http://schemas.openxmlformats.org/spreadsheetml/2006/main" id="19" name="MolmoAct2RelationalResults170" displayName="MolmoAct2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8166a8b939440e" /></Relationships>
</file>

<file path=xl/worksheets/_rels/sheet2.xml.rels>&#65279;<?xml version="1.0" encoding="utf-8"?><Relationships xmlns="http://schemas.openxmlformats.org/package/2006/relationships"><Relationship Type="http://schemas.openxmlformats.org/officeDocument/2006/relationships/table" Target="/xl/tables/table2.xml" Id="Rf3391ac4567e41b9" /></Relationships>
</file>

<file path=xl/worksheets/_rels/sheet3.xml.rels>&#65279;<?xml version="1.0" encoding="utf-8"?><Relationships xmlns="http://schemas.openxmlformats.org/package/2006/relationships"><Relationship Type="http://schemas.openxmlformats.org/officeDocument/2006/relationships/table" Target="/xl/tables/table3.xml" Id="R4576daa3648a4107" /></Relationships>
</file>

<file path=xl/worksheets/_rels/sheet5.xml.rels>&#65279;<?xml version="1.0" encoding="utf-8"?><Relationships xmlns="http://schemas.openxmlformats.org/package/2006/relationships"><Relationship Type="http://schemas.openxmlformats.org/officeDocument/2006/relationships/table" Target="/xl/tables/table4.xml" Id="R9b941484ed1f40ba" /></Relationships>
</file>

<file path=xl/worksheets/_rels/sheet6.xml.rels>&#65279;<?xml version="1.0" encoding="utf-8"?><Relationships xmlns="http://schemas.openxmlformats.org/package/2006/relationships"><Relationship Type="http://schemas.openxmlformats.org/officeDocument/2006/relationships/table" Target="/xl/tables/table5.xml" Id="R7b293a153ae54459" /></Relationships>
</file>

<file path=xl/worksheets/_rels/sheet7.xml.rels>&#65279;<?xml version="1.0" encoding="utf-8"?><Relationships xmlns="http://schemas.openxmlformats.org/package/2006/relationships"><Relationship Type="http://schemas.openxmlformats.org/officeDocument/2006/relationships/table" Target="/xl/tables/table6.xml" Id="Rd154b0aa516f4601" /></Relationships>
</file>

<file path=xl/worksheets/_rels/sheet8.xml.rels>&#65279;<?xml version="1.0" encoding="utf-8"?><Relationships xmlns="http://schemas.openxmlformats.org/package/2006/relationships"><Relationship Type="http://schemas.openxmlformats.org/officeDocument/2006/relationships/table" Target="/xl/tables/table7.xml" Id="R0f7dde0c6ece4511"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40" t="str">
        <x:v>Status</x:v>
      </x:c>
      <x:c r="B1" s="40" t="str">
        <x:v>Episode</x:v>
      </x:c>
      <x:c r="C1" s="40" t="str">
        <x:v>Prompt</x:v>
      </x:c>
      <x:c r="D1" s="40" t="str">
        <x:v>Scene Setup (P1-P4)</x:v>
      </x:c>
      <x:c r="E1" s="40" t="str">
        <x:v>Reference Episode</x:v>
      </x:c>
      <x:c r="F1" s="40" t="str">
        <x:v>Original Training Episode(s)</x:v>
      </x:c>
      <x:c r="G1" s="40" t="str">
        <x:v>Expected Target / Placement</x:v>
      </x:c>
      <x:c r="H1" s="40" t="str">
        <x:v>Observations</x:v>
      </x:c>
      <x:c r="I1" s="40" t="str">
        <x:v>Condition</x:v>
      </x:c>
      <x:c r="J1" s="40" t="str">
        <x:v>Scene Family</x:v>
      </x:c>
      <x:c r="K1" s="40" t="str">
        <x:v>Relation</x:v>
      </x:c>
      <x:c r="L1" s="40" t="str">
        <x:v>Comparison / Subtype</x:v>
      </x:c>
      <x:c r="M1" s="40" t="str">
        <x:v>Target Object</x:v>
      </x:c>
      <x:c r="N1" s="40" t="str">
        <x:v>Reference Object</x:v>
      </x:c>
      <x:c r="O1" s="40" t="str">
        <x:v>Juggling Ball Role</x:v>
      </x:c>
      <x:c r="P1" s="40" t="str">
        <x:v>Object Count</x:v>
      </x:c>
      <x:c r="Q1" s="40" t="str">
        <x:v>Setup Change from Previous</x:v>
      </x:c>
      <x:c r="R1" s="40" t="str">
        <x:v>Design Note</x:v>
      </x:c>
      <x:c r="S1" s="40" t="str">
        <x:v>Reference Media Filename</x:v>
      </x:c>
    </x:row>
    <x:row r="2" ht="72" customHeight="1">
      <x:c r="A2" s="9" t="str">
        <x:v>Not collected</x:v>
      </x:c>
      <x:c r="B2" s="9" t="n">
        <x:v>0</x:v>
      </x:c>
      <x:c r="C2" s="10" t="str">
        <x:v>Move the green pen to the front of the pink marker.</x:v>
      </x:c>
      <x:c r="D2" s="10"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x:c r="F2" s="9" t="str">
        <x:v>204</x:v>
      </x:c>
      <x:c r="G2" s="9" t="str">
        <x:v>green pen → 2–8 cm edge gap in front of pink marker; centroid direction within ±45°.</x:v>
      </x:c>
      <x:c r="H2" s="10"/>
      <x:c r="I2" s="9" t="str">
        <x:v>In-distribution concept baseline</x:v>
      </x:c>
      <x:c r="J2" s="9" t="str">
        <x:v>RP-ID-CF01</x:v>
      </x:c>
      <x:c r="K2" s="9" t="str">
        <x:v>front</x:v>
      </x:c>
      <x:c r="L2" s="9" t="str">
        <x:v>Four-way trained-cell counterfactual: front/behind polarity × target/reference role</x:v>
      </x:c>
      <x:c r="M2" s="9" t="str">
        <x:v>green pen</x:v>
      </x:c>
      <x:c r="N2" s="9" t="str">
        <x:v>pink marker</x:v>
      </x:c>
      <x:c r="O2" s="9" t="str">
        <x:v>None</x:v>
      </x:c>
      <x:c r="P2" s="9" t="n">
        <x:v>3</x:v>
      </x:c>
      <x:c r="Q2" s="9" t="str">
        <x:v>Build the listed neutral scene and save the first frame.</x:v>
      </x:c>
      <x:c r="R2" s="10" t="str">
        <x:v>Exact explicitly trained ordered relation-object cell from training episode 204. The four adjacent prompts share one initially unsatisfied scene.</x:v>
      </x:c>
      <x:c r="S2" s="10"/>
    </x:row>
    <x:row r="3" ht="72" customHeight="1">
      <x:c r="A3" s="24" t="str">
        <x:v>Not collected</x:v>
      </x:c>
      <x:c r="B3" s="24" t="n">
        <x:v>1</x:v>
      </x:c>
      <x:c r="C3" s="25" t="str">
        <x:v>Move the green pen to the back of the pink marker.</x:v>
      </x:c>
      <x:c r="D3" s="25"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v>0</x:v>
      </x:c>
      <x:c r="F3" s="24" t="str">
        <x:v>217</x:v>
      </x:c>
      <x:c r="G3" s="24" t="str">
        <x:v>green pen → 2–8 cm edge gap behind pink marker; centroid direction within ±45°.</x:v>
      </x:c>
      <x:c r="H3" s="25"/>
      <x:c r="I3" s="24" t="str">
        <x:v>In-distribution concept baseline</x:v>
      </x:c>
      <x:c r="J3" s="24" t="str">
        <x:v>RP-ID-CF01</x:v>
      </x:c>
      <x:c r="K3" s="24" t="str">
        <x:v>behind</x:v>
      </x:c>
      <x:c r="L3" s="24" t="str">
        <x:v>Four-way trained-cell counterfactual: front/behind polarity × target/reference role</x:v>
      </x:c>
      <x:c r="M3" s="24" t="str">
        <x:v>green pen</x:v>
      </x:c>
      <x:c r="N3" s="24" t="str">
        <x:v>pink marker</x:v>
      </x:c>
      <x:c r="O3" s="24" t="str">
        <x:v>None</x:v>
      </x:c>
      <x:c r="P3" s="24" t="n">
        <x:v>3</x:v>
      </x:c>
      <x:c r="Q3" s="24" t="str">
        <x:v>Reset the moved object to its marked pose; preserve the exact scene and change only the instruction.</x:v>
      </x:c>
      <x:c r="R3" s="25" t="str">
        <x:v>Exact explicitly trained ordered relation-object cell from training episode 217. The four adjacent prompts share one initially unsatisfied scene.</x:v>
      </x:c>
      <x:c r="S3" s="25"/>
    </x:row>
    <x:row r="4" ht="72" customHeight="1">
      <x:c r="A4" s="9" t="str">
        <x:v>Not collected</x:v>
      </x:c>
      <x:c r="B4" s="9" t="n">
        <x:v>2</x:v>
      </x:c>
      <x:c r="C4" s="10" t="str">
        <x:v>Move the pink marker to the front of the green pen.</x:v>
      </x:c>
      <x:c r="D4" s="10"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v>0</x:v>
      </x:c>
      <x:c r="F4" s="9" t="str">
        <x:v>305</x:v>
      </x:c>
      <x:c r="G4" s="9" t="str">
        <x:v>pink marker → 2–8 cm edge gap in front of green pen; centroid direction within ±45°.</x:v>
      </x:c>
      <x:c r="H4" s="10"/>
      <x:c r="I4" s="9" t="str">
        <x:v>In-distribution concept baseline</x:v>
      </x:c>
      <x:c r="J4" s="9" t="str">
        <x:v>RP-ID-CF01</x:v>
      </x:c>
      <x:c r="K4" s="9" t="str">
        <x:v>front</x:v>
      </x:c>
      <x:c r="L4" s="9" t="str">
        <x:v>Four-way trained-cell counterfactual: front/behind polarity × target/reference role</x:v>
      </x:c>
      <x:c r="M4" s="9" t="str">
        <x:v>pink marker</x:v>
      </x:c>
      <x:c r="N4" s="9" t="str">
        <x:v>green pen</x:v>
      </x:c>
      <x:c r="O4" s="9" t="str">
        <x:v>None</x:v>
      </x:c>
      <x:c r="P4" s="9" t="n">
        <x:v>3</x:v>
      </x:c>
      <x:c r="Q4" s="9" t="str">
        <x:v>Reset the moved object to its marked pose; preserve the exact scene and change only the instruction.</x:v>
      </x:c>
      <x:c r="R4" s="10" t="str">
        <x:v>Exact explicitly trained ordered relation-object cell from training episode 305. The four adjacent prompts share one initially unsatisfied scene.</x:v>
      </x:c>
      <x:c r="S4" s="10"/>
    </x:row>
    <x:row r="5" ht="72" customHeight="1">
      <x:c r="A5" s="24" t="str">
        <x:v>Not collected</x:v>
      </x:c>
      <x:c r="B5" s="24" t="n">
        <x:v>3</x:v>
      </x:c>
      <x:c r="C5" s="25" t="str">
        <x:v>Move the pink marker to the back of the green pen.</x:v>
      </x:c>
      <x:c r="D5" s="25"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v>0</x:v>
      </x:c>
      <x:c r="F5" s="24" t="str">
        <x:v>317</x:v>
      </x:c>
      <x:c r="G5" s="24" t="str">
        <x:v>pink marker → 2–8 cm edge gap behind green pen; centroid direction within ±45°.</x:v>
      </x:c>
      <x:c r="H5" s="25"/>
      <x:c r="I5" s="24" t="str">
        <x:v>In-distribution concept baseline</x:v>
      </x:c>
      <x:c r="J5" s="24" t="str">
        <x:v>RP-ID-CF01</x:v>
      </x:c>
      <x:c r="K5" s="24" t="str">
        <x:v>behind</x:v>
      </x:c>
      <x:c r="L5" s="24" t="str">
        <x:v>Four-way trained-cell counterfactual: front/behind polarity × target/reference role</x:v>
      </x:c>
      <x:c r="M5" s="24" t="str">
        <x:v>pink marker</x:v>
      </x:c>
      <x:c r="N5" s="24" t="str">
        <x:v>green pen</x:v>
      </x:c>
      <x:c r="O5" s="24" t="str">
        <x:v>None</x:v>
      </x:c>
      <x:c r="P5" s="24" t="n">
        <x:v>3</x:v>
      </x:c>
      <x:c r="Q5" s="24" t="str">
        <x:v>Reset the moved object to its marked pose; preserve the exact scene and change only the instruction.</x:v>
      </x:c>
      <x:c r="R5" s="25" t="str">
        <x:v>Exact explicitly trained ordered relation-object cell from training episode 317. The four adjacent prompts share one initially unsatisfied scene.</x:v>
      </x:c>
      <x:c r="S5" s="25"/>
    </x:row>
    <x:row r="6" ht="72" customHeight="1">
      <x:c r="A6" s="9" t="str">
        <x:v>Not collected</x:v>
      </x:c>
      <x:c r="B6" s="9" t="n">
        <x:v>4</x:v>
      </x:c>
      <x:c r="C6" s="10" t="str">
        <x:v>Move the green pen to the front of the blue block.</x:v>
      </x:c>
      <x:c r="D6" s="10"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x:c r="F6" s="9" t="str">
        <x:v>208</x:v>
      </x:c>
      <x:c r="G6" s="9" t="str">
        <x:v>green pen → 2–8 cm edge gap in front of blue block; centroid direction within ±45°.</x:v>
      </x:c>
      <x:c r="H6" s="10"/>
      <x:c r="I6" s="9" t="str">
        <x:v>In-distribution concept baseline</x:v>
      </x:c>
      <x:c r="J6" s="9" t="str">
        <x:v>RP-ID-CF02</x:v>
      </x:c>
      <x:c r="K6" s="9" t="str">
        <x:v>front</x:v>
      </x:c>
      <x:c r="L6" s="9" t="str">
        <x:v>Four-way trained-cell counterfactual: front/behind polarity × target/reference role</x:v>
      </x:c>
      <x:c r="M6" s="9" t="str">
        <x:v>green pen</x:v>
      </x:c>
      <x:c r="N6" s="9" t="str">
        <x:v>blue block</x:v>
      </x:c>
      <x:c r="O6" s="9" t="str">
        <x:v>None</x:v>
      </x:c>
      <x:c r="P6" s="9" t="n">
        <x:v>4</x:v>
      </x:c>
      <x:c r="Q6" s="9" t="str">
        <x:v>Build the listed neutral scene and save the first frame.</x:v>
      </x:c>
      <x:c r="R6" s="10" t="str">
        <x:v>Exact explicitly trained ordered relation-object cell from training episode 208. The four adjacent prompts share one initially unsatisfied scene.</x:v>
      </x:c>
      <x:c r="S6" s="10"/>
    </x:row>
    <x:row r="7" ht="72" customHeight="1">
      <x:c r="A7" s="24" t="str">
        <x:v>Not collected</x:v>
      </x:c>
      <x:c r="B7" s="24" t="n">
        <x:v>5</x:v>
      </x:c>
      <x:c r="C7" s="25" t="str">
        <x:v>Move the green pen to the back of the blue block.</x:v>
      </x:c>
      <x:c r="D7" s="25"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v>4</x:v>
      </x:c>
      <x:c r="F7" s="24" t="str">
        <x:v>221</x:v>
      </x:c>
      <x:c r="G7" s="24" t="str">
        <x:v>green pen → 2–8 cm edge gap behind blue block; centroid direction within ±45°.</x:v>
      </x:c>
      <x:c r="H7" s="25"/>
      <x:c r="I7" s="24" t="str">
        <x:v>In-distribution concept baseline</x:v>
      </x:c>
      <x:c r="J7" s="24" t="str">
        <x:v>RP-ID-CF02</x:v>
      </x:c>
      <x:c r="K7" s="24" t="str">
        <x:v>behind</x:v>
      </x:c>
      <x:c r="L7" s="24" t="str">
        <x:v>Four-way trained-cell counterfactual: front/behind polarity × target/reference role</x:v>
      </x:c>
      <x:c r="M7" s="24" t="str">
        <x:v>green pen</x:v>
      </x:c>
      <x:c r="N7" s="24" t="str">
        <x:v>blue block</x:v>
      </x:c>
      <x:c r="O7" s="24" t="str">
        <x:v>None</x:v>
      </x:c>
      <x:c r="P7" s="24" t="n">
        <x:v>4</x:v>
      </x:c>
      <x:c r="Q7" s="24" t="str">
        <x:v>Reset the moved object to its marked pose; preserve the exact scene and change only the instruction.</x:v>
      </x:c>
      <x:c r="R7" s="25" t="str">
        <x:v>Exact explicitly trained ordered relation-object cell from training episode 221. The four adjacent prompts share one initially unsatisfied scene.</x:v>
      </x:c>
      <x:c r="S7" s="25"/>
    </x:row>
    <x:row r="8" ht="72" customHeight="1">
      <x:c r="A8" s="9" t="str">
        <x:v>Not collected</x:v>
      </x:c>
      <x:c r="B8" s="9" t="n">
        <x:v>6</x:v>
      </x:c>
      <x:c r="C8" s="10" t="str">
        <x:v>Put the blue block on the table in front of the green pen.</x:v>
      </x:c>
      <x:c r="D8" s="10"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v>4</x:v>
      </x:c>
      <x:c r="F8" s="9" t="str">
        <x:v>350</x:v>
      </x:c>
      <x:c r="G8" s="9" t="str">
        <x:v>blue block → 2–8 cm edge gap in front of green pen; centroid direction within ±45°.</x:v>
      </x:c>
      <x:c r="H8" s="10"/>
      <x:c r="I8" s="9" t="str">
        <x:v>In-distribution concept baseline</x:v>
      </x:c>
      <x:c r="J8" s="9" t="str">
        <x:v>RP-ID-CF02</x:v>
      </x:c>
      <x:c r="K8" s="9" t="str">
        <x:v>front</x:v>
      </x:c>
      <x:c r="L8" s="9" t="str">
        <x:v>Four-way trained-cell counterfactual: front/behind polarity × target/reference role</x:v>
      </x:c>
      <x:c r="M8" s="9" t="str">
        <x:v>blue block</x:v>
      </x:c>
      <x:c r="N8" s="9" t="str">
        <x:v>green pen</x:v>
      </x:c>
      <x:c r="O8" s="9" t="str">
        <x:v>None</x:v>
      </x:c>
      <x:c r="P8" s="9" t="n">
        <x:v>4</x:v>
      </x:c>
      <x:c r="Q8" s="9" t="str">
        <x:v>Reset the moved object to its marked pose; preserve the exact scene and change only the instruction.</x:v>
      </x:c>
      <x:c r="R8" s="10" t="str">
        <x:v>Exact explicitly trained ordered relation-object cell from training episode 350. The four adjacent prompts share one initially unsatisfied scene.</x:v>
      </x:c>
      <x:c r="S8" s="10"/>
    </x:row>
    <x:row r="9" ht="72" customHeight="1">
      <x:c r="A9" s="24" t="str">
        <x:v>Not collected</x:v>
      </x:c>
      <x:c r="B9" s="24" t="n">
        <x:v>7</x:v>
      </x:c>
      <x:c r="C9" s="25" t="str">
        <x:v>Put the blue block on the table behind the green pen.</x:v>
      </x:c>
      <x:c r="D9" s="25"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v>4</x:v>
      </x:c>
      <x:c r="F9" s="24" t="str">
        <x:v>362</x:v>
      </x:c>
      <x:c r="G9" s="24" t="str">
        <x:v>blue block → 2–8 cm edge gap behind green pen; centroid direction within ±45°.</x:v>
      </x:c>
      <x:c r="H9" s="25"/>
      <x:c r="I9" s="24" t="str">
        <x:v>In-distribution concept baseline</x:v>
      </x:c>
      <x:c r="J9" s="24" t="str">
        <x:v>RP-ID-CF02</x:v>
      </x:c>
      <x:c r="K9" s="24" t="str">
        <x:v>behind</x:v>
      </x:c>
      <x:c r="L9" s="24" t="str">
        <x:v>Four-way trained-cell counterfactual: front/behind polarity × target/reference role</x:v>
      </x:c>
      <x:c r="M9" s="24" t="str">
        <x:v>blue block</x:v>
      </x:c>
      <x:c r="N9" s="24" t="str">
        <x:v>green pen</x:v>
      </x:c>
      <x:c r="O9" s="24" t="str">
        <x:v>None</x:v>
      </x:c>
      <x:c r="P9" s="24" t="n">
        <x:v>4</x:v>
      </x:c>
      <x:c r="Q9" s="24" t="str">
        <x:v>Reset the moved object to its marked pose; preserve the exact scene and change only the instruction.</x:v>
      </x:c>
      <x:c r="R9" s="25" t="str">
        <x:v>Exact explicitly trained ordered relation-object cell from training episode 362. The four adjacent prompts share one initially unsatisfied scene.</x:v>
      </x:c>
      <x:c r="S9" s="25"/>
    </x:row>
    <x:row r="10" ht="72" customHeight="1">
      <x:c r="A10" s="9" t="str">
        <x:v>Not collected</x:v>
      </x:c>
      <x:c r="B10" s="9" t="n">
        <x:v>8</x:v>
      </x:c>
      <x:c r="C10" s="10" t="str">
        <x:v>Place the red block to the left of the pink marker.</x:v>
      </x:c>
      <x:c r="D10" s="10"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x:c r="F10" s="9" t="str">
        <x:v>275</x:v>
      </x:c>
      <x:c r="G10" s="9" t="str">
        <x:v>red block → 2–8 cm edge gap to the left of pink marker; centroid direction within ±45°.</x:v>
      </x:c>
      <x:c r="H10" s="10"/>
      <x:c r="I10" s="9" t="str">
        <x:v>In-distribution concept baseline</x:v>
      </x:c>
      <x:c r="J10" s="9" t="str">
        <x:v>RP-ID-CF03</x:v>
      </x:c>
      <x:c r="K10" s="9" t="str">
        <x:v>left</x:v>
      </x:c>
      <x:c r="L10" s="9" t="str">
        <x:v>Four-way trained-cell counterfactual: left/right polarity × target/reference role</x:v>
      </x:c>
      <x:c r="M10" s="9" t="str">
        <x:v>red block</x:v>
      </x:c>
      <x:c r="N10" s="9" t="str">
        <x:v>pink marker</x:v>
      </x:c>
      <x:c r="O10" s="9" t="str">
        <x:v>None</x:v>
      </x:c>
      <x:c r="P10" s="9" t="n">
        <x:v>3</x:v>
      </x:c>
      <x:c r="Q10" s="9" t="str">
        <x:v>Build the listed neutral scene and save the first frame.</x:v>
      </x:c>
      <x:c r="R10" s="10" t="str">
        <x:v>Exact explicitly trained ordered relation-object cell from training episode 275. The four adjacent prompts share one initially unsatisfied scene.</x:v>
      </x:c>
      <x:c r="S10" s="10"/>
    </x:row>
    <x:row r="11" ht="72" customHeight="1">
      <x:c r="A11" s="24" t="str">
        <x:v>Not collected</x:v>
      </x:c>
      <x:c r="B11" s="24" t="n">
        <x:v>9</x:v>
      </x:c>
      <x:c r="C11" s="25" t="str">
        <x:v>Place the red block to the right of the pink marker.</x:v>
      </x:c>
      <x:c r="D11" s="25"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v>8</x:v>
      </x:c>
      <x:c r="F11" s="24" t="str">
        <x:v>287</x:v>
      </x:c>
      <x:c r="G11" s="24" t="str">
        <x:v>red block → 2–8 cm edge gap to the right of pink marker; centroid direction within ±45°.</x:v>
      </x:c>
      <x:c r="H11" s="25"/>
      <x:c r="I11" s="24" t="str">
        <x:v>In-distribution concept baseline</x:v>
      </x:c>
      <x:c r="J11" s="24" t="str">
        <x:v>RP-ID-CF03</x:v>
      </x:c>
      <x:c r="K11" s="24" t="str">
        <x:v>right</x:v>
      </x:c>
      <x:c r="L11" s="24" t="str">
        <x:v>Four-way trained-cell counterfactual: left/right polarity × target/reference role</x:v>
      </x:c>
      <x:c r="M11" s="24" t="str">
        <x:v>red block</x:v>
      </x:c>
      <x:c r="N11" s="24" t="str">
        <x:v>pink marker</x:v>
      </x:c>
      <x:c r="O11" s="24" t="str">
        <x:v>None</x:v>
      </x:c>
      <x:c r="P11" s="24" t="n">
        <x:v>3</x:v>
      </x:c>
      <x:c r="Q11" s="24" t="str">
        <x:v>Reset the moved object to its marked pose; preserve the exact scene and change only the instruction.</x:v>
      </x:c>
      <x:c r="R11" s="25" t="str">
        <x:v>Exact explicitly trained ordered relation-object cell from training episode 287. The four adjacent prompts share one initially unsatisfied scene.</x:v>
      </x:c>
      <x:c r="S11" s="25"/>
    </x:row>
    <x:row r="12" ht="72" customHeight="1">
      <x:c r="A12" s="9" t="str">
        <x:v>Not collected</x:v>
      </x:c>
      <x:c r="B12" s="9" t="n">
        <x:v>10</x:v>
      </x:c>
      <x:c r="C12" s="10" t="str">
        <x:v>Place the pink marker to the left of the red block.</x:v>
      </x:c>
      <x:c r="D12" s="10"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v>8</x:v>
      </x:c>
      <x:c r="F12" s="9" t="str">
        <x:v>333</x:v>
      </x:c>
      <x:c r="G12" s="9" t="str">
        <x:v>pink marker → 2–8 cm edge gap to the left of red block; centroid direction within ±45°.</x:v>
      </x:c>
      <x:c r="H12" s="10"/>
      <x:c r="I12" s="9" t="str">
        <x:v>In-distribution concept baseline</x:v>
      </x:c>
      <x:c r="J12" s="9" t="str">
        <x:v>RP-ID-CF03</x:v>
      </x:c>
      <x:c r="K12" s="9" t="str">
        <x:v>left</x:v>
      </x:c>
      <x:c r="L12" s="9" t="str">
        <x:v>Four-way trained-cell counterfactual: left/right polarity × target/reference role</x:v>
      </x:c>
      <x:c r="M12" s="9" t="str">
        <x:v>pink marker</x:v>
      </x:c>
      <x:c r="N12" s="9" t="str">
        <x:v>red block</x:v>
      </x:c>
      <x:c r="O12" s="9" t="str">
        <x:v>None</x:v>
      </x:c>
      <x:c r="P12" s="9" t="n">
        <x:v>3</x:v>
      </x:c>
      <x:c r="Q12" s="9" t="str">
        <x:v>Reset the moved object to its marked pose; preserve the exact scene and change only the instruction.</x:v>
      </x:c>
      <x:c r="R12" s="10" t="str">
        <x:v>Exact explicitly trained ordered relation-object cell from training episode 333. The four adjacent prompts share one initially unsatisfied scene.</x:v>
      </x:c>
      <x:c r="S12" s="10"/>
    </x:row>
    <x:row r="13" ht="72" customHeight="1">
      <x:c r="A13" s="24" t="str">
        <x:v>Not collected</x:v>
      </x:c>
      <x:c r="B13" s="24" t="n">
        <x:v>11</x:v>
      </x:c>
      <x:c r="C13" s="25" t="str">
        <x:v>Place the pink marker to the right of the red block.</x:v>
      </x:c>
      <x:c r="D13" s="25"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v>8</x:v>
      </x:c>
      <x:c r="F13" s="24" t="str">
        <x:v>346</x:v>
      </x:c>
      <x:c r="G13" s="24" t="str">
        <x:v>pink marker → 2–8 cm edge gap to the right of red block; centroid direction within ±45°.</x:v>
      </x:c>
      <x:c r="H13" s="25"/>
      <x:c r="I13" s="24" t="str">
        <x:v>In-distribution concept baseline</x:v>
      </x:c>
      <x:c r="J13" s="24" t="str">
        <x:v>RP-ID-CF03</x:v>
      </x:c>
      <x:c r="K13" s="24" t="str">
        <x:v>right</x:v>
      </x:c>
      <x:c r="L13" s="24" t="str">
        <x:v>Four-way trained-cell counterfactual: left/right polarity × target/reference role</x:v>
      </x:c>
      <x:c r="M13" s="24" t="str">
        <x:v>pink marker</x:v>
      </x:c>
      <x:c r="N13" s="24" t="str">
        <x:v>red block</x:v>
      </x:c>
      <x:c r="O13" s="24" t="str">
        <x:v>None</x:v>
      </x:c>
      <x:c r="P13" s="24" t="n">
        <x:v>3</x:v>
      </x:c>
      <x:c r="Q13" s="24" t="str">
        <x:v>Reset the moved object to its marked pose; preserve the exact scene and change only the instruction.</x:v>
      </x:c>
      <x:c r="R13" s="25" t="str">
        <x:v>Exact explicitly trained ordered relation-object cell from training episode 346. The four adjacent prompts share one initially unsatisfied scene.</x:v>
      </x:c>
      <x:c r="S13" s="25"/>
    </x:row>
    <x:row r="14" ht="72" customHeight="1">
      <x:c r="A14" s="9" t="str">
        <x:v>Not collected</x:v>
      </x:c>
      <x:c r="B14" s="9" t="n">
        <x:v>12</x:v>
      </x:c>
      <x:c r="C14" s="10" t="str">
        <x:v>Place the red block to the left of the blue block.</x:v>
      </x:c>
      <x:c r="D14" s="10"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x:c r="F14" s="9" t="str">
        <x:v>279</x:v>
      </x:c>
      <x:c r="G14" s="9" t="str">
        <x:v>red block → 2–8 cm edge gap to the left of blue block; centroid direction within ±45°.</x:v>
      </x:c>
      <x:c r="H14" s="10"/>
      <x:c r="I14" s="9" t="str">
        <x:v>In-distribution concept baseline</x:v>
      </x:c>
      <x:c r="J14" s="9" t="str">
        <x:v>RP-ID-CF04</x:v>
      </x:c>
      <x:c r="K14" s="9" t="str">
        <x:v>left</x:v>
      </x:c>
      <x:c r="L14" s="9" t="str">
        <x:v>Four-way trained-cell counterfactual: left/right polarity × target/reference role</x:v>
      </x:c>
      <x:c r="M14" s="9" t="str">
        <x:v>red block</x:v>
      </x:c>
      <x:c r="N14" s="9" t="str">
        <x:v>blue block</x:v>
      </x:c>
      <x:c r="O14" s="9" t="str">
        <x:v>None</x:v>
      </x:c>
      <x:c r="P14" s="9" t="n">
        <x:v>4</x:v>
      </x:c>
      <x:c r="Q14" s="9" t="str">
        <x:v>Build the listed neutral scene and save the first frame.</x:v>
      </x:c>
      <x:c r="R14" s="10" t="str">
        <x:v>Exact explicitly trained ordered relation-object cell from training episode 279. The four adjacent prompts share one initially unsatisfied scene.</x:v>
      </x:c>
      <x:c r="S14" s="10"/>
    </x:row>
    <x:row r="15" ht="72" customHeight="1">
      <x:c r="A15" s="24" t="str">
        <x:v>Not collected</x:v>
      </x:c>
      <x:c r="B15" s="24" t="n">
        <x:v>13</x:v>
      </x:c>
      <x:c r="C15" s="25" t="str">
        <x:v>Place the red block to the right of the blue block.</x:v>
      </x:c>
      <x:c r="D15" s="25"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v>12</x:v>
      </x:c>
      <x:c r="F15" s="24" t="str">
        <x:v>292</x:v>
      </x:c>
      <x:c r="G15" s="24" t="str">
        <x:v>red block → 2–8 cm edge gap to the right of blue block; centroid direction within ±45°.</x:v>
      </x:c>
      <x:c r="H15" s="25"/>
      <x:c r="I15" s="24" t="str">
        <x:v>In-distribution concept baseline</x:v>
      </x:c>
      <x:c r="J15" s="24" t="str">
        <x:v>RP-ID-CF04</x:v>
      </x:c>
      <x:c r="K15" s="24" t="str">
        <x:v>right</x:v>
      </x:c>
      <x:c r="L15" s="24" t="str">
        <x:v>Four-way trained-cell counterfactual: left/right polarity × target/reference role</x:v>
      </x:c>
      <x:c r="M15" s="24" t="str">
        <x:v>red block</x:v>
      </x:c>
      <x:c r="N15" s="24" t="str">
        <x:v>blue block</x:v>
      </x:c>
      <x:c r="O15" s="24" t="str">
        <x:v>None</x:v>
      </x:c>
      <x:c r="P15" s="24" t="n">
        <x:v>4</x:v>
      </x:c>
      <x:c r="Q15" s="24" t="str">
        <x:v>Reset the moved object to its marked pose; preserve the exact scene and change only the instruction.</x:v>
      </x:c>
      <x:c r="R15" s="25" t="str">
        <x:v>Exact explicitly trained ordered relation-object cell from training episode 292. The four adjacent prompts share one initially unsatisfied scene.</x:v>
      </x:c>
      <x:c r="S15" s="25"/>
    </x:row>
    <x:row r="16" ht="72" customHeight="1">
      <x:c r="A16" s="9" t="str">
        <x:v>Not collected</x:v>
      </x:c>
      <x:c r="B16" s="9" t="n">
        <x:v>14</x:v>
      </x:c>
      <x:c r="C16" s="10" t="str">
        <x:v>Place the blue block to the left of the red block.</x:v>
      </x:c>
      <x:c r="D16" s="10"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v>12</x:v>
      </x:c>
      <x:c r="F16" s="9" t="str">
        <x:v>379</x:v>
      </x:c>
      <x:c r="G16" s="9" t="str">
        <x:v>blue block → 2–8 cm edge gap to the left of red block; centroid direction within ±45°.</x:v>
      </x:c>
      <x:c r="H16" s="10"/>
      <x:c r="I16" s="9" t="str">
        <x:v>In-distribution concept baseline</x:v>
      </x:c>
      <x:c r="J16" s="9" t="str">
        <x:v>RP-ID-CF04</x:v>
      </x:c>
      <x:c r="K16" s="9" t="str">
        <x:v>left</x:v>
      </x:c>
      <x:c r="L16" s="9" t="str">
        <x:v>Four-way trained-cell counterfactual: left/right polarity × target/reference role</x:v>
      </x:c>
      <x:c r="M16" s="9" t="str">
        <x:v>blue block</x:v>
      </x:c>
      <x:c r="N16" s="9" t="str">
        <x:v>red block</x:v>
      </x:c>
      <x:c r="O16" s="9" t="str">
        <x:v>None</x:v>
      </x:c>
      <x:c r="P16" s="9" t="n">
        <x:v>4</x:v>
      </x:c>
      <x:c r="Q16" s="9" t="str">
        <x:v>Reset the moved object to its marked pose; preserve the exact scene and change only the instruction.</x:v>
      </x:c>
      <x:c r="R16" s="10" t="str">
        <x:v>Exact explicitly trained ordered relation-object cell from training episode 379. The four adjacent prompts share one initially unsatisfied scene.</x:v>
      </x:c>
      <x:c r="S16" s="10"/>
    </x:row>
    <x:row r="17" ht="72" customHeight="1">
      <x:c r="A17" s="24" t="str">
        <x:v>Not collected</x:v>
      </x:c>
      <x:c r="B17" s="24" t="n">
        <x:v>15</x:v>
      </x:c>
      <x:c r="C17" s="25" t="str">
        <x:v>Place the blue block to the right of the red block.</x:v>
      </x:c>
      <x:c r="D17" s="25"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v>12</x:v>
      </x:c>
      <x:c r="F17" s="24" t="str">
        <x:v>392</x:v>
      </x:c>
      <x:c r="G17" s="24" t="str">
        <x:v>blue block → 2–8 cm edge gap to the right of red block; centroid direction within ±45°.</x:v>
      </x:c>
      <x:c r="H17" s="25"/>
      <x:c r="I17" s="24" t="str">
        <x:v>In-distribution concept baseline</x:v>
      </x:c>
      <x:c r="J17" s="24" t="str">
        <x:v>RP-ID-CF04</x:v>
      </x:c>
      <x:c r="K17" s="24" t="str">
        <x:v>right</x:v>
      </x:c>
      <x:c r="L17" s="24" t="str">
        <x:v>Four-way trained-cell counterfactual: left/right polarity × target/reference role</x:v>
      </x:c>
      <x:c r="M17" s="24" t="str">
        <x:v>blue block</x:v>
      </x:c>
      <x:c r="N17" s="24" t="str">
        <x:v>red block</x:v>
      </x:c>
      <x:c r="O17" s="24" t="str">
        <x:v>None</x:v>
      </x:c>
      <x:c r="P17" s="24" t="n">
        <x:v>4</x:v>
      </x:c>
      <x:c r="Q17" s="24" t="str">
        <x:v>Reset the moved object to its marked pose; preserve the exact scene and change only the instruction.</x:v>
      </x:c>
      <x:c r="R17" s="25" t="str">
        <x:v>Exact explicitly trained ordered relation-object cell from training episode 392. The four adjacent prompts share one initially unsatisfied scene.</x:v>
      </x:c>
      <x:c r="S17" s="25"/>
    </x:row>
    <x:row r="18" ht="72" customHeight="1">
      <x:c r="A18" s="9" t="str">
        <x:v>Not collected</x:v>
      </x:c>
      <x:c r="B18" s="9" t="n">
        <x:v>16</x:v>
      </x:c>
      <x:c r="C18" s="10" t="str">
        <x:v>Place the green pen to the left of the pink marker.</x:v>
      </x:c>
      <x:c r="D18" s="10"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x:c r="F18" s="9" t="str">
        <x:v>229</x:v>
      </x:c>
      <x:c r="G18" s="9" t="str">
        <x:v>green pen → 2–8 cm edge gap to the left of pink marker; centroid direction within ±45°.</x:v>
      </x:c>
      <x:c r="H18" s="10"/>
      <x:c r="I18" s="9" t="str">
        <x:v>In-distribution concept baseline</x:v>
      </x:c>
      <x:c r="J18" s="9" t="str">
        <x:v>RP-ID-CF05</x:v>
      </x:c>
      <x:c r="K18" s="9" t="str">
        <x:v>left</x:v>
      </x:c>
      <x:c r="L18" s="9" t="str">
        <x:v>Four-prompt trained-cell mixed-axis counterfactual with all four target identities</x:v>
      </x:c>
      <x:c r="M18" s="9" t="str">
        <x:v>green pen</x:v>
      </x:c>
      <x:c r="N18" s="9" t="str">
        <x:v>pink marker</x:v>
      </x:c>
      <x:c r="O18" s="9" t="str">
        <x:v>None</x:v>
      </x:c>
      <x:c r="P18" s="9" t="n">
        <x:v>4</x:v>
      </x:c>
      <x:c r="Q18" s="9" t="str">
        <x:v>Build the listed neutral scene and save the first frame.</x:v>
      </x:c>
      <x:c r="R18" s="10" t="str">
        <x:v>Exact explicitly trained ordered relation-object cell from training episode 229. The four adjacent prompts share one initially unsatisfied scene.</x:v>
      </x:c>
      <x:c r="S18" s="10"/>
    </x:row>
    <x:row r="19" ht="72" customHeight="1">
      <x:c r="A19" s="24" t="str">
        <x:v>Not collected</x:v>
      </x:c>
      <x:c r="B19" s="24" t="n">
        <x:v>17</x:v>
      </x:c>
      <x:c r="C19" s="25" t="str">
        <x:v>Place the pink marker to the right of the green pen.</x:v>
      </x:c>
      <x:c r="D19" s="25"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v>16</x:v>
      </x:c>
      <x:c r="F19" s="24" t="str">
        <x:v>342</x:v>
      </x:c>
      <x:c r="G19" s="24" t="str">
        <x:v>pink marker → 2–8 cm edge gap to the right of green pen; centroid direction within ±45°.</x:v>
      </x:c>
      <x:c r="H19" s="25"/>
      <x:c r="I19" s="24" t="str">
        <x:v>In-distribution concept baseline</x:v>
      </x:c>
      <x:c r="J19" s="24" t="str">
        <x:v>RP-ID-CF05</x:v>
      </x:c>
      <x:c r="K19" s="24" t="str">
        <x:v>right</x:v>
      </x:c>
      <x:c r="L19" s="24" t="str">
        <x:v>Four-prompt trained-cell mixed-axis counterfactual with all four target identities</x:v>
      </x:c>
      <x:c r="M19" s="24" t="str">
        <x:v>pink marker</x:v>
      </x:c>
      <x:c r="N19" s="24" t="str">
        <x:v>green pen</x:v>
      </x:c>
      <x:c r="O19" s="24" t="str">
        <x:v>None</x:v>
      </x:c>
      <x:c r="P19" s="24" t="n">
        <x:v>4</x:v>
      </x:c>
      <x:c r="Q19" s="24" t="str">
        <x:v>Reset the moved object to its marked pose; preserve the exact scene and change only the instruction.</x:v>
      </x:c>
      <x:c r="R19" s="25" t="str">
        <x:v>Exact explicitly trained ordered relation-object cell from training episode 342. The four adjacent prompts share one initially unsatisfied scene.</x:v>
      </x:c>
      <x:c r="S19" s="25"/>
    </x:row>
    <x:row r="20" ht="72" customHeight="1">
      <x:c r="A20" s="9" t="str">
        <x:v>Not collected</x:v>
      </x:c>
      <x:c r="B20" s="9" t="n">
        <x:v>18</x:v>
      </x:c>
      <x:c r="C20" s="10" t="str">
        <x:v>Move the red block to the front of the blue block.</x:v>
      </x:c>
      <x:c r="D20" s="10"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v>16</x:v>
      </x:c>
      <x:c r="F20" s="9" t="str">
        <x:v>254</x:v>
      </x:c>
      <x:c r="G20" s="9" t="str">
        <x:v>red block → 2–8 cm edge gap in front of blue block; centroid direction within ±45°.</x:v>
      </x:c>
      <x:c r="H20" s="10"/>
      <x:c r="I20" s="9" t="str">
        <x:v>In-distribution concept baseline</x:v>
      </x:c>
      <x:c r="J20" s="9" t="str">
        <x:v>RP-ID-CF05</x:v>
      </x:c>
      <x:c r="K20" s="9" t="str">
        <x:v>front</x:v>
      </x:c>
      <x:c r="L20" s="9" t="str">
        <x:v>Four-prompt trained-cell mixed-axis counterfactual with all four target identities</x:v>
      </x:c>
      <x:c r="M20" s="9" t="str">
        <x:v>red block</x:v>
      </x:c>
      <x:c r="N20" s="9" t="str">
        <x:v>blue block</x:v>
      </x:c>
      <x:c r="O20" s="9" t="str">
        <x:v>None</x:v>
      </x:c>
      <x:c r="P20" s="9" t="n">
        <x:v>4</x:v>
      </x:c>
      <x:c r="Q20" s="9" t="str">
        <x:v>Reset the moved object to its marked pose; preserve the exact scene and change only the instruction.</x:v>
      </x:c>
      <x:c r="R20" s="10" t="str">
        <x:v>Exact explicitly trained ordered relation-object cell from training episode 254. The four adjacent prompts share one initially unsatisfied scene.</x:v>
      </x:c>
      <x:c r="S20" s="10"/>
    </x:row>
    <x:row r="21" ht="72" customHeight="1">
      <x:c r="A21" s="24" t="str">
        <x:v>Not collected</x:v>
      </x:c>
      <x:c r="B21" s="24" t="n">
        <x:v>19</x:v>
      </x:c>
      <x:c r="C21" s="25" t="str">
        <x:v>Place the blue block behind the red block.</x:v>
      </x:c>
      <x:c r="D21" s="25"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v>16</x:v>
      </x:c>
      <x:c r="F21" s="24" t="str">
        <x:v>367</x:v>
      </x:c>
      <x:c r="G21" s="24" t="str">
        <x:v>blue block → 2–8 cm edge gap behind red block; centroid direction within ±45°.</x:v>
      </x:c>
      <x:c r="H21" s="25"/>
      <x:c r="I21" s="24" t="str">
        <x:v>In-distribution concept baseline</x:v>
      </x:c>
      <x:c r="J21" s="24" t="str">
        <x:v>RP-ID-CF05</x:v>
      </x:c>
      <x:c r="K21" s="24" t="str">
        <x:v>behind</x:v>
      </x:c>
      <x:c r="L21" s="24" t="str">
        <x:v>Four-prompt trained-cell mixed-axis counterfactual with all four target identities</x:v>
      </x:c>
      <x:c r="M21" s="24" t="str">
        <x:v>blue block</x:v>
      </x:c>
      <x:c r="N21" s="24" t="str">
        <x:v>red block</x:v>
      </x:c>
      <x:c r="O21" s="24" t="str">
        <x:v>None</x:v>
      </x:c>
      <x:c r="P21" s="24" t="n">
        <x:v>4</x:v>
      </x:c>
      <x:c r="Q21" s="24" t="str">
        <x:v>Reset the moved object to its marked pose; preserve the exact scene and change only the instruction.</x:v>
      </x:c>
      <x:c r="R21" s="25" t="str">
        <x:v>Exact explicitly trained ordered relation-object cell from training episode 367. The four adjacent prompts share one initially unsatisfied scene.</x:v>
      </x:c>
      <x:c r="S21" s="25"/>
    </x:row>
    <x:row r="22" ht="72" customHeight="1">
      <x:c r="A22" s="9" t="str">
        <x:v>Not collected</x:v>
      </x:c>
      <x:c r="B22" s="9" t="n">
        <x:v>20</x:v>
      </x:c>
      <x:c r="C22" s="10" t="str">
        <x:v>Place the green pen in front of the red block.</x:v>
      </x:c>
      <x:c r="D22" s="10"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2" s="9"/>
      <x:c r="F22" s="9" t="str">
        <x:v>201</x:v>
      </x:c>
      <x:c r="G22" s="9" t="str">
        <x:v>green pen → 2–8 cm edge gap in front of red block; centroid direction within ±45°.</x:v>
      </x:c>
      <x:c r="H22" s="10"/>
      <x:c r="I22" s="9" t="str">
        <x:v>Concept/compositional transfer</x:v>
      </x:c>
      <x:c r="J22" s="9" t="str">
        <x:v>RP-CT-CF01</x:v>
      </x:c>
      <x:c r="K22" s="9" t="str">
        <x:v>front</x:v>
      </x:c>
      <x:c r="L22" s="9" t="str">
        <x:v>Four-way held-out counterfactual: relation polarity × target/reference role</x:v>
      </x:c>
      <x:c r="M22" s="9" t="str">
        <x:v>green pen</x:v>
      </x:c>
      <x:c r="N22" s="9" t="str">
        <x:v>red block</x:v>
      </x:c>
      <x:c r="O22" s="9" t="str">
        <x:v>None</x:v>
      </x:c>
      <x:c r="P22" s="9" t="n">
        <x:v>3</x:v>
      </x:c>
      <x:c r="Q22" s="9" t="str">
        <x:v>Build the listed neutral-axis scene and save the first frame.</x:v>
      </x:c>
      <x:c r="R22" s="10" t="str">
        <x:v>The directional word × ordered green-pen/red-block role is held out. Source episode 201 supplies the same target manipulation under a trained near/next-to/beside prompt. The orthogonal start prevents an inverse-start shortcut.</x:v>
      </x:c>
      <x:c r="S22" s="10"/>
    </x:row>
    <x:row r="23" ht="72" customHeight="1">
      <x:c r="A23" s="24" t="str">
        <x:v>Not collected</x:v>
      </x:c>
      <x:c r="B23" s="24" t="n">
        <x:v>21</x:v>
      </x:c>
      <x:c r="C23" s="25" t="str">
        <x:v>Place the green pen behind the red block.</x:v>
      </x:c>
      <x:c r="D23"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3" s="24" t="n">
        <x:v>20</x:v>
      </x:c>
      <x:c r="F23" s="24" t="str">
        <x:v>213</x:v>
      </x:c>
      <x:c r="G23" s="24" t="str">
        <x:v>green pen → 2–8 cm edge gap behind red block; centroid direction within ±45°.</x:v>
      </x:c>
      <x:c r="H23" s="25"/>
      <x:c r="I23" s="24" t="str">
        <x:v>Concept/compositional transfer</x:v>
      </x:c>
      <x:c r="J23" s="24" t="str">
        <x:v>RP-CT-CF01</x:v>
      </x:c>
      <x:c r="K23" s="24" t="str">
        <x:v>behind</x:v>
      </x:c>
      <x:c r="L23" s="24" t="str">
        <x:v>Four-way held-out counterfactual: relation polarity × target/reference role</x:v>
      </x:c>
      <x:c r="M23" s="24" t="str">
        <x:v>green pen</x:v>
      </x:c>
      <x:c r="N23" s="24" t="str">
        <x:v>red block</x:v>
      </x:c>
      <x:c r="O23" s="24" t="str">
        <x:v>None</x:v>
      </x:c>
      <x:c r="P23" s="24" t="n">
        <x:v>3</x:v>
      </x:c>
      <x:c r="Q23" s="24" t="str">
        <x:v>Reset both core objects to their marked poses; preserve distractors, camera, and robot start; change only the instruction.</x:v>
      </x:c>
      <x:c r="R23" s="25" t="str">
        <x:v>The directional word × ordered green-pen/red-block role is held out. Source episode 213 supplies the same target manipulation under a trained near/next-to/beside prompt. The orthogonal start prevents an inverse-start shortcut.</x:v>
      </x:c>
      <x:c r="S23" s="25"/>
    </x:row>
    <x:row r="24" ht="72" customHeight="1">
      <x:c r="A24" s="24" t="str">
        <x:v>Not collected</x:v>
      </x:c>
      <x:c r="B24" s="24" t="n">
        <x:v>22</x:v>
      </x:c>
      <x:c r="C24" s="25" t="str">
        <x:v>Place the red block in front of the green pen.</x:v>
      </x:c>
      <x:c r="D24"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4" s="24" t="n">
        <x:v>20</x:v>
      </x:c>
      <x:c r="F24" s="24" t="str">
        <x:v>259</x:v>
      </x:c>
      <x:c r="G24" s="24" t="str">
        <x:v>red block → 2–8 cm edge gap in front of green pen; centroid direction within ±45°.</x:v>
      </x:c>
      <x:c r="H24" s="25"/>
      <x:c r="I24" s="24" t="str">
        <x:v>Concept/compositional transfer</x:v>
      </x:c>
      <x:c r="J24" s="24" t="str">
        <x:v>RP-CT-CF01</x:v>
      </x:c>
      <x:c r="K24" s="24" t="str">
        <x:v>front</x:v>
      </x:c>
      <x:c r="L24" s="24" t="str">
        <x:v>Four-way held-out counterfactual: relation polarity × target/reference role</x:v>
      </x:c>
      <x:c r="M24" s="24" t="str">
        <x:v>red block</x:v>
      </x:c>
      <x:c r="N24" s="24" t="str">
        <x:v>green pen</x:v>
      </x:c>
      <x:c r="O24" s="24" t="str">
        <x:v>None</x:v>
      </x:c>
      <x:c r="P24" s="24" t="n">
        <x:v>3</x:v>
      </x:c>
      <x:c r="Q24" s="24" t="str">
        <x:v>Reset both core objects to their marked poses; preserve distractors, camera, and robot start; change only the instruction.</x:v>
      </x:c>
      <x:c r="R24" s="25" t="str">
        <x:v>The directional word × ordered green-pen/red-block role is held out. Source episode 259 supplies the same target manipulation under a trained near/next-to/beside prompt. The orthogonal start prevents an inverse-start shortcut.</x:v>
      </x:c>
      <x:c r="S24" s="25"/>
    </x:row>
    <x:row r="25" ht="72" customHeight="1">
      <x:c r="A25" s="24" t="str">
        <x:v>Not collected</x:v>
      </x:c>
      <x:c r="B25" s="24" t="n">
        <x:v>23</x:v>
      </x:c>
      <x:c r="C25" s="25" t="str">
        <x:v>Place the red block behind the green pen.</x:v>
      </x:c>
      <x:c r="D25"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5" s="24" t="n">
        <x:v>20</x:v>
      </x:c>
      <x:c r="F25" s="24" t="str">
        <x:v>272</x:v>
      </x:c>
      <x:c r="G25" s="24" t="str">
        <x:v>red block → 2–8 cm edge gap behind green pen; centroid direction within ±45°.</x:v>
      </x:c>
      <x:c r="H25" s="25"/>
      <x:c r="I25" s="24" t="str">
        <x:v>Concept/compositional transfer</x:v>
      </x:c>
      <x:c r="J25" s="24" t="str">
        <x:v>RP-CT-CF01</x:v>
      </x:c>
      <x:c r="K25" s="24" t="str">
        <x:v>behind</x:v>
      </x:c>
      <x:c r="L25" s="24" t="str">
        <x:v>Four-way held-out counterfactual: relation polarity × target/reference role</x:v>
      </x:c>
      <x:c r="M25" s="24" t="str">
        <x:v>red block</x:v>
      </x:c>
      <x:c r="N25" s="24" t="str">
        <x:v>green pen</x:v>
      </x:c>
      <x:c r="O25" s="24" t="str">
        <x:v>None</x:v>
      </x:c>
      <x:c r="P25" s="24" t="n">
        <x:v>3</x:v>
      </x:c>
      <x:c r="Q25" s="24" t="str">
        <x:v>Reset both core objects to their marked poses; preserve distractors, camera, and robot start; change only the instruction.</x:v>
      </x:c>
      <x:c r="R25" s="25" t="str">
        <x:v>The directional word × ordered green-pen/red-block role is held out. Source episode 272 supplies the same target manipulation under a trained near/next-to/beside prompt. The orthogonal start prevents an inverse-start shortcut.</x:v>
      </x:c>
      <x:c r="S25" s="25"/>
    </x:row>
    <x:row r="26" ht="72" customHeight="1">
      <x:c r="A26" s="9" t="str">
        <x:v>Not collected</x:v>
      </x:c>
      <x:c r="B26" s="9" t="n">
        <x:v>24</x:v>
      </x:c>
      <x:c r="C26" s="10" t="str">
        <x:v>Place the green pen in front of the red block.</x:v>
      </x:c>
      <x:c r="D26" s="10"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6" s="9"/>
      <x:c r="F26" s="9" t="str">
        <x:v>202</x:v>
      </x:c>
      <x:c r="G26" s="9" t="str">
        <x:v>green pen → 2–8 cm edge gap in front of red block; centroid direction within ±45°.</x:v>
      </x:c>
      <x:c r="H26" s="10"/>
      <x:c r="I26" s="9" t="str">
        <x:v>Concept/compositional transfer</x:v>
      </x:c>
      <x:c r="J26" s="9" t="str">
        <x:v>RP-CT-CF02</x:v>
      </x:c>
      <x:c r="K26" s="9" t="str">
        <x:v>front</x:v>
      </x:c>
      <x:c r="L26" s="9" t="str">
        <x:v>Four-way held-out counterfactual: relation polarity × target/reference role</x:v>
      </x:c>
      <x:c r="M26" s="9" t="str">
        <x:v>green pen</x:v>
      </x:c>
      <x:c r="N26" s="9" t="str">
        <x:v>red block</x:v>
      </x:c>
      <x:c r="O26" s="9" t="str">
        <x:v>None</x:v>
      </x:c>
      <x:c r="P26" s="9" t="n">
        <x:v>4</x:v>
      </x:c>
      <x:c r="Q26" s="9" t="str">
        <x:v>Build the listed neutral-axis scene and save the first frame.</x:v>
      </x:c>
      <x:c r="R26" s="10" t="str">
        <x:v>The directional word × ordered green-pen/red-block role is held out. Source episode 202 supplies the same target manipulation under a trained near/next-to/beside prompt. The orthogonal start prevents an inverse-start shortcut.</x:v>
      </x:c>
      <x:c r="S26" s="10"/>
    </x:row>
    <x:row r="27" ht="72" customHeight="1">
      <x:c r="A27" s="24" t="str">
        <x:v>Not collected</x:v>
      </x:c>
      <x:c r="B27" s="24" t="n">
        <x:v>25</x:v>
      </x:c>
      <x:c r="C27" s="25" t="str">
        <x:v>Place the green pen behind the red block.</x:v>
      </x:c>
      <x:c r="D27"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7" s="24" t="n">
        <x:v>24</x:v>
      </x:c>
      <x:c r="F27" s="24" t="str">
        <x:v>214</x:v>
      </x:c>
      <x:c r="G27" s="24" t="str">
        <x:v>green pen → 2–8 cm edge gap behind red block; centroid direction within ±45°.</x:v>
      </x:c>
      <x:c r="H27" s="25"/>
      <x:c r="I27" s="24" t="str">
        <x:v>Concept/compositional transfer</x:v>
      </x:c>
      <x:c r="J27" s="24" t="str">
        <x:v>RP-CT-CF02</x:v>
      </x:c>
      <x:c r="K27" s="24" t="str">
        <x:v>behind</x:v>
      </x:c>
      <x:c r="L27" s="24" t="str">
        <x:v>Four-way held-out counterfactual: relation polarity × target/reference role</x:v>
      </x:c>
      <x:c r="M27" s="24" t="str">
        <x:v>green pen</x:v>
      </x:c>
      <x:c r="N27" s="24" t="str">
        <x:v>red block</x:v>
      </x:c>
      <x:c r="O27" s="24" t="str">
        <x:v>None</x:v>
      </x:c>
      <x:c r="P27" s="24" t="n">
        <x:v>4</x:v>
      </x:c>
      <x:c r="Q27" s="24" t="str">
        <x:v>Reset both core objects to their marked poses; preserve distractors, camera, and robot start; change only the instruction.</x:v>
      </x:c>
      <x:c r="R27" s="25" t="str">
        <x:v>The directional word × ordered green-pen/red-block role is held out. Source episode 214 supplies the same target manipulation under a trained near/next-to/beside prompt. The orthogonal start prevents an inverse-start shortcut.</x:v>
      </x:c>
      <x:c r="S27" s="25"/>
    </x:row>
    <x:row r="28" ht="72" customHeight="1">
      <x:c r="A28" s="24" t="str">
        <x:v>Not collected</x:v>
      </x:c>
      <x:c r="B28" s="24" t="n">
        <x:v>26</x:v>
      </x:c>
      <x:c r="C28" s="25" t="str">
        <x:v>Place the red block in front of the green pen.</x:v>
      </x:c>
      <x:c r="D28"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8" s="24" t="n">
        <x:v>24</x:v>
      </x:c>
      <x:c r="F28" s="24" t="str">
        <x:v>260</x:v>
      </x:c>
      <x:c r="G28" s="24" t="str">
        <x:v>red block → 2–8 cm edge gap in front of green pen; centroid direction within ±45°.</x:v>
      </x:c>
      <x:c r="H28" s="25"/>
      <x:c r="I28" s="24" t="str">
        <x:v>Concept/compositional transfer</x:v>
      </x:c>
      <x:c r="J28" s="24" t="str">
        <x:v>RP-CT-CF02</x:v>
      </x:c>
      <x:c r="K28" s="24" t="str">
        <x:v>front</x:v>
      </x:c>
      <x:c r="L28" s="24" t="str">
        <x:v>Four-way held-out counterfactual: relation polarity × target/reference role</x:v>
      </x:c>
      <x:c r="M28" s="24" t="str">
        <x:v>red block</x:v>
      </x:c>
      <x:c r="N28" s="24" t="str">
        <x:v>green pen</x:v>
      </x:c>
      <x:c r="O28" s="24" t="str">
        <x:v>None</x:v>
      </x:c>
      <x:c r="P28" s="24" t="n">
        <x:v>4</x:v>
      </x:c>
      <x:c r="Q28" s="24" t="str">
        <x:v>Reset both core objects to their marked poses; preserve distractors, camera, and robot start; change only the instruction.</x:v>
      </x:c>
      <x:c r="R28" s="25" t="str">
        <x:v>The directional word × ordered green-pen/red-block role is held out. Source episode 260 supplies the same target manipulation under a trained near/next-to/beside prompt. The orthogonal start prevents an inverse-start shortcut.</x:v>
      </x:c>
      <x:c r="S28" s="25"/>
    </x:row>
    <x:row r="29" ht="72" customHeight="1">
      <x:c r="A29" s="24" t="str">
        <x:v>Not collected</x:v>
      </x:c>
      <x:c r="B29" s="24" t="n">
        <x:v>27</x:v>
      </x:c>
      <x:c r="C29" s="25" t="str">
        <x:v>Place the red block behind the green pen.</x:v>
      </x:c>
      <x:c r="D29"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9" s="24" t="n">
        <x:v>24</x:v>
      </x:c>
      <x:c r="F29" s="24" t="str">
        <x:v>273</x:v>
      </x:c>
      <x:c r="G29" s="24" t="str">
        <x:v>red block → 2–8 cm edge gap behind green pen; centroid direction within ±45°.</x:v>
      </x:c>
      <x:c r="H29" s="25"/>
      <x:c r="I29" s="24" t="str">
        <x:v>Concept/compositional transfer</x:v>
      </x:c>
      <x:c r="J29" s="24" t="str">
        <x:v>RP-CT-CF02</x:v>
      </x:c>
      <x:c r="K29" s="24" t="str">
        <x:v>behind</x:v>
      </x:c>
      <x:c r="L29" s="24" t="str">
        <x:v>Four-way held-out counterfactual: relation polarity × target/reference role</x:v>
      </x:c>
      <x:c r="M29" s="24" t="str">
        <x:v>red block</x:v>
      </x:c>
      <x:c r="N29" s="24" t="str">
        <x:v>green pen</x:v>
      </x:c>
      <x:c r="O29" s="24" t="str">
        <x:v>None</x:v>
      </x:c>
      <x:c r="P29" s="24" t="n">
        <x:v>4</x:v>
      </x:c>
      <x:c r="Q29" s="24" t="str">
        <x:v>Reset both core objects to their marked poses; preserve distractors, camera, and robot start; change only the instruction.</x:v>
      </x:c>
      <x:c r="R29" s="25" t="str">
        <x:v>The directional word × ordered green-pen/red-block role is held out. Source episode 273 supplies the same target manipulation under a trained near/next-to/beside prompt. The orthogonal start prevents an inverse-start shortcut.</x:v>
      </x:c>
      <x:c r="S29" s="25"/>
    </x:row>
    <x:row r="30" ht="72" customHeight="1">
      <x:c r="A30" s="9" t="str">
        <x:v>Not collected</x:v>
      </x:c>
      <x:c r="B30" s="9" t="n">
        <x:v>28</x:v>
      </x:c>
      <x:c r="C30" s="10" t="str">
        <x:v>Place the green pen in front of the red block.</x:v>
      </x:c>
      <x:c r="D30" s="10" t="str">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0" s="9"/>
      <x:c r="F30" s="9" t="str">
        <x:v>203</x:v>
      </x:c>
      <x:c r="G30" s="9" t="str">
        <x:v>green pen → 2–8 cm edge gap in front of red block; centroid direction within ±45°.</x:v>
      </x:c>
      <x:c r="H30" s="10"/>
      <x:c r="I30" s="9" t="str">
        <x:v>Concept/compositional transfer</x:v>
      </x:c>
      <x:c r="J30" s="9" t="str">
        <x:v>RP-CT-CF03</x:v>
      </x:c>
      <x:c r="K30" s="9" t="str">
        <x:v>front</x:v>
      </x:c>
      <x:c r="L30" s="9" t="str">
        <x:v>Four-way held-out counterfactual: relation polarity × target/reference role</x:v>
      </x:c>
      <x:c r="M30" s="9" t="str">
        <x:v>green pen</x:v>
      </x:c>
      <x:c r="N30" s="9" t="str">
        <x:v>red block</x:v>
      </x:c>
      <x:c r="O30" s="9" t="str">
        <x:v>None</x:v>
      </x:c>
      <x:c r="P30" s="9" t="n">
        <x:v>3</x:v>
      </x:c>
      <x:c r="Q30" s="9" t="str">
        <x:v>Build the listed neutral-axis scene and save the first frame.</x:v>
      </x:c>
      <x:c r="R30" s="10" t="str">
        <x:v>The directional word × ordered green-pen/red-block role is held out. Source episode 203 supplies the same target manipulation under a trained near/next-to/beside prompt. The orthogonal start prevents an inverse-start shortcut.</x:v>
      </x:c>
      <x:c r="S30" s="10"/>
    </x:row>
    <x:row r="31" ht="72" customHeight="1">
      <x:c r="A31" s="24" t="str">
        <x:v>Not collected</x:v>
      </x:c>
      <x:c r="B31" s="24" t="n">
        <x:v>29</x:v>
      </x:c>
      <x:c r="C31" s="25" t="str">
        <x:v>Place the green pen behind the red block.</x:v>
      </x:c>
      <x:c r="D31" s="25" t="str">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1" s="24" t="n">
        <x:v>28</x:v>
      </x:c>
      <x:c r="F31" s="24" t="str">
        <x:v>215</x:v>
      </x:c>
      <x:c r="G31" s="24" t="str">
        <x:v>green pen → 2–8 cm edge gap behind red block; centroid direction within ±45°.</x:v>
      </x:c>
      <x:c r="H31" s="25"/>
      <x:c r="I31" s="24" t="str">
        <x:v>Concept/compositional transfer</x:v>
      </x:c>
      <x:c r="J31" s="24" t="str">
        <x:v>RP-CT-CF03</x:v>
      </x:c>
      <x:c r="K31" s="24" t="str">
        <x:v>behind</x:v>
      </x:c>
      <x:c r="L31" s="24" t="str">
        <x:v>Four-way held-out counterfactual: relation polarity × target/reference role</x:v>
      </x:c>
      <x:c r="M31" s="24" t="str">
        <x:v>green pen</x:v>
      </x:c>
      <x:c r="N31" s="24" t="str">
        <x:v>red block</x:v>
      </x:c>
      <x:c r="O31" s="24" t="str">
        <x:v>None</x:v>
      </x:c>
      <x:c r="P31" s="24" t="n">
        <x:v>3</x:v>
      </x:c>
      <x:c r="Q31" s="24" t="str">
        <x:v>Reset both core objects to their marked poses; preserve distractors, camera, and robot start; change only the instruction.</x:v>
      </x:c>
      <x:c r="R31" s="25" t="str">
        <x:v>The directional word × ordered green-pen/red-block role is held out. Source episode 215 supplies the same target manipulation under a trained near/next-to/beside prompt. The orthogonal start prevents an inverse-start shortcut.</x:v>
      </x:c>
      <x:c r="S31" s="25"/>
    </x:row>
    <x:row r="32" ht="72" customHeight="1">
      <x:c r="A32" s="24" t="str">
        <x:v>Not collected</x:v>
      </x:c>
      <x:c r="B32" s="24" t="n">
        <x:v>30</x:v>
      </x:c>
      <x:c r="C32" s="25" t="str">
        <x:v>Place the red block in front of the green pen.</x:v>
      </x:c>
      <x:c r="D32" s="25" t="str">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2" s="24" t="n">
        <x:v>28</x:v>
      </x:c>
      <x:c r="F32" s="24" t="str">
        <x:v>261</x:v>
      </x:c>
      <x:c r="G32" s="24" t="str">
        <x:v>red block → 2–8 cm edge gap in front of green pen; centroid direction within ±45°.</x:v>
      </x:c>
      <x:c r="H32" s="25"/>
      <x:c r="I32" s="24" t="str">
        <x:v>Concept/compositional transfer</x:v>
      </x:c>
      <x:c r="J32" s="24" t="str">
        <x:v>RP-CT-CF03</x:v>
      </x:c>
      <x:c r="K32" s="24" t="str">
        <x:v>front</x:v>
      </x:c>
      <x:c r="L32" s="24" t="str">
        <x:v>Four-way held-out counterfactual: relation polarity × target/reference role</x:v>
      </x:c>
      <x:c r="M32" s="24" t="str">
        <x:v>red block</x:v>
      </x:c>
      <x:c r="N32" s="24" t="str">
        <x:v>green pen</x:v>
      </x:c>
      <x:c r="O32" s="24" t="str">
        <x:v>None</x:v>
      </x:c>
      <x:c r="P32" s="24" t="n">
        <x:v>3</x:v>
      </x:c>
      <x:c r="Q32" s="24" t="str">
        <x:v>Reset both core objects to their marked poses; preserve distractors, camera, and robot start; change only the instruction.</x:v>
      </x:c>
      <x:c r="R32" s="25" t="str">
        <x:v>The directional word × ordered green-pen/red-block role is held out. Source episode 261 supplies the same target manipulation under a trained near/next-to/beside prompt. The orthogonal start prevents an inverse-start shortcut.</x:v>
      </x:c>
      <x:c r="S32" s="25"/>
    </x:row>
    <x:row r="33" ht="72" customHeight="1">
      <x:c r="A33" s="24" t="str">
        <x:v>Not collected</x:v>
      </x:c>
      <x:c r="B33" s="24" t="n">
        <x:v>31</x:v>
      </x:c>
      <x:c r="C33" s="25" t="str">
        <x:v>Place the red block behind the green pen.</x:v>
      </x:c>
      <x:c r="D33" s="25" t="str">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3" s="24" t="n">
        <x:v>28</x:v>
      </x:c>
      <x:c r="F33" s="24" t="str">
        <x:v>274</x:v>
      </x:c>
      <x:c r="G33" s="24" t="str">
        <x:v>red block → 2–8 cm edge gap behind green pen; centroid direction within ±45°.</x:v>
      </x:c>
      <x:c r="H33" s="25"/>
      <x:c r="I33" s="24" t="str">
        <x:v>Concept/compositional transfer</x:v>
      </x:c>
      <x:c r="J33" s="24" t="str">
        <x:v>RP-CT-CF03</x:v>
      </x:c>
      <x:c r="K33" s="24" t="str">
        <x:v>behind</x:v>
      </x:c>
      <x:c r="L33" s="24" t="str">
        <x:v>Four-way held-out counterfactual: relation polarity × target/reference role</x:v>
      </x:c>
      <x:c r="M33" s="24" t="str">
        <x:v>red block</x:v>
      </x:c>
      <x:c r="N33" s="24" t="str">
        <x:v>green pen</x:v>
      </x:c>
      <x:c r="O33" s="24" t="str">
        <x:v>None</x:v>
      </x:c>
      <x:c r="P33" s="24" t="n">
        <x:v>3</x:v>
      </x:c>
      <x:c r="Q33" s="24" t="str">
        <x:v>Reset both core objects to their marked poses; preserve distractors, camera, and robot start; change only the instruction.</x:v>
      </x:c>
      <x:c r="R33" s="25" t="str">
        <x:v>The directional word × ordered green-pen/red-block role is held out. Source episode 274 supplies the same target manipulation under a trained near/next-to/beside prompt. The orthogonal start prevents an inverse-start shortcut.</x:v>
      </x:c>
      <x:c r="S33" s="25"/>
    </x:row>
    <x:row r="34" ht="72" customHeight="1">
      <x:c r="A34" s="9" t="str">
        <x:v>Not collected</x:v>
      </x:c>
      <x:c r="B34" s="9" t="n">
        <x:v>32</x:v>
      </x:c>
      <x:c r="C34" s="10" t="str">
        <x:v>Place the green pen to the left of the red block.</x:v>
      </x:c>
      <x:c r="D34" s="10" t="str">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4" s="9"/>
      <x:c r="F34" s="9" t="str">
        <x:v>227</x:v>
      </x:c>
      <x:c r="G34" s="9" t="str">
        <x:v>green pen → 2–8 cm edge gap to the left of red block; centroid direction within ±45°.</x:v>
      </x:c>
      <x:c r="H34" s="10"/>
      <x:c r="I34" s="9" t="str">
        <x:v>Concept/compositional transfer</x:v>
      </x:c>
      <x:c r="J34" s="9" t="str">
        <x:v>RP-CT-CF04</x:v>
      </x:c>
      <x:c r="K34" s="9" t="str">
        <x:v>left</x:v>
      </x:c>
      <x:c r="L34" s="9" t="str">
        <x:v>Four-way held-out counterfactual: relation polarity × target/reference role</x:v>
      </x:c>
      <x:c r="M34" s="9" t="str">
        <x:v>green pen</x:v>
      </x:c>
      <x:c r="N34" s="9" t="str">
        <x:v>red block</x:v>
      </x:c>
      <x:c r="O34" s="9" t="str">
        <x:v>None</x:v>
      </x:c>
      <x:c r="P34" s="9" t="n">
        <x:v>4</x:v>
      </x:c>
      <x:c r="Q34" s="9" t="str">
        <x:v>Build the listed neutral-axis scene and save the first frame.</x:v>
      </x:c>
      <x:c r="R34" s="10" t="str">
        <x:v>The directional word × ordered green-pen/red-block role is held out. Source episode 227 supplies the same target manipulation under a trained near/next-to/beside prompt. The orthogonal start prevents an inverse-start shortcut.</x:v>
      </x:c>
      <x:c r="S34" s="10"/>
    </x:row>
    <x:row r="35" ht="72" customHeight="1">
      <x:c r="A35" s="24" t="str">
        <x:v>Not collected</x:v>
      </x:c>
      <x:c r="B35" s="24" t="n">
        <x:v>33</x:v>
      </x:c>
      <x:c r="C35" s="25" t="str">
        <x:v>Place the green pen to the right of the red block.</x:v>
      </x:c>
      <x:c r="D35" s="25" t="str">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5" s="24" t="n">
        <x:v>32</x:v>
      </x:c>
      <x:c r="F35" s="24" t="str">
        <x:v>239</x:v>
      </x:c>
      <x:c r="G35" s="24" t="str">
        <x:v>green pen → 2–8 cm edge gap to the right of red block; centroid direction within ±45°.</x:v>
      </x:c>
      <x:c r="H35" s="25"/>
      <x:c r="I35" s="24" t="str">
        <x:v>Concept/compositional transfer</x:v>
      </x:c>
      <x:c r="J35" s="24" t="str">
        <x:v>RP-CT-CF04</x:v>
      </x:c>
      <x:c r="K35" s="24" t="str">
        <x:v>right</x:v>
      </x:c>
      <x:c r="L35" s="24" t="str">
        <x:v>Four-way held-out counterfactual: relation polarity × target/reference role</x:v>
      </x:c>
      <x:c r="M35" s="24" t="str">
        <x:v>green pen</x:v>
      </x:c>
      <x:c r="N35" s="24" t="str">
        <x:v>red block</x:v>
      </x:c>
      <x:c r="O35" s="24" t="str">
        <x:v>None</x:v>
      </x:c>
      <x:c r="P35" s="24" t="n">
        <x:v>4</x:v>
      </x:c>
      <x:c r="Q35" s="24" t="str">
        <x:v>Reset both core objects to their marked poses; preserve distractors, camera, and robot start; change only the instruction.</x:v>
      </x:c>
      <x:c r="R35" s="25" t="str">
        <x:v>The directional word × ordered green-pen/red-block role is held out. Source episode 239 supplies the same target manipulation under a trained near/next-to/beside prompt. The orthogonal start prevents an inverse-start shortcut.</x:v>
      </x:c>
      <x:c r="S35" s="25"/>
    </x:row>
    <x:row r="36" ht="72" customHeight="1">
      <x:c r="A36" s="24" t="str">
        <x:v>Not collected</x:v>
      </x:c>
      <x:c r="B36" s="24" t="n">
        <x:v>34</x:v>
      </x:c>
      <x:c r="C36" s="25" t="str">
        <x:v>Place the red block to the left of the green pen.</x:v>
      </x:c>
      <x:c r="D36" s="25" t="str">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6" s="24" t="n">
        <x:v>32</x:v>
      </x:c>
      <x:c r="F36" s="24" t="str">
        <x:v>285</x:v>
      </x:c>
      <x:c r="G36" s="24" t="str">
        <x:v>red block → 2–8 cm edge gap to the left of green pen; centroid direction within ±45°.</x:v>
      </x:c>
      <x:c r="H36" s="25"/>
      <x:c r="I36" s="24" t="str">
        <x:v>Concept/compositional transfer</x:v>
      </x:c>
      <x:c r="J36" s="24" t="str">
        <x:v>RP-CT-CF04</x:v>
      </x:c>
      <x:c r="K36" s="24" t="str">
        <x:v>left</x:v>
      </x:c>
      <x:c r="L36" s="24" t="str">
        <x:v>Four-way held-out counterfactual: relation polarity × target/reference role</x:v>
      </x:c>
      <x:c r="M36" s="24" t="str">
        <x:v>red block</x:v>
      </x:c>
      <x:c r="N36" s="24" t="str">
        <x:v>green pen</x:v>
      </x:c>
      <x:c r="O36" s="24" t="str">
        <x:v>None</x:v>
      </x:c>
      <x:c r="P36" s="24" t="n">
        <x:v>4</x:v>
      </x:c>
      <x:c r="Q36" s="24" t="str">
        <x:v>Reset both core objects to their marked poses; preserve distractors, camera, and robot start; change only the instruction.</x:v>
      </x:c>
      <x:c r="R36" s="25" t="str">
        <x:v>The directional word × ordered green-pen/red-block role is held out. Source episode 285 supplies the same target manipulation under a trained near/next-to/beside prompt. The orthogonal start prevents an inverse-start shortcut.</x:v>
      </x:c>
      <x:c r="S36" s="25"/>
    </x:row>
    <x:row r="37" ht="72" customHeight="1">
      <x:c r="A37" s="24" t="str">
        <x:v>Not collected</x:v>
      </x:c>
      <x:c r="B37" s="24" t="n">
        <x:v>35</x:v>
      </x:c>
      <x:c r="C37" s="25" t="str">
        <x:v>Place the red block to the right of the green pen.</x:v>
      </x:c>
      <x:c r="D37" s="25" t="str">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7" s="24" t="n">
        <x:v>32</x:v>
      </x:c>
      <x:c r="F37" s="24" t="str">
        <x:v>298</x:v>
      </x:c>
      <x:c r="G37" s="24" t="str">
        <x:v>red block → 2–8 cm edge gap to the right of green pen; centroid direction within ±45°.</x:v>
      </x:c>
      <x:c r="H37" s="25"/>
      <x:c r="I37" s="24" t="str">
        <x:v>Concept/compositional transfer</x:v>
      </x:c>
      <x:c r="J37" s="24" t="str">
        <x:v>RP-CT-CF04</x:v>
      </x:c>
      <x:c r="K37" s="24" t="str">
        <x:v>right</x:v>
      </x:c>
      <x:c r="L37" s="24" t="str">
        <x:v>Four-way held-out counterfactual: relation polarity × target/reference role</x:v>
      </x:c>
      <x:c r="M37" s="24" t="str">
        <x:v>red block</x:v>
      </x:c>
      <x:c r="N37" s="24" t="str">
        <x:v>green pen</x:v>
      </x:c>
      <x:c r="O37" s="24" t="str">
        <x:v>None</x:v>
      </x:c>
      <x:c r="P37" s="24" t="n">
        <x:v>4</x:v>
      </x:c>
      <x:c r="Q37" s="24" t="str">
        <x:v>Reset both core objects to their marked poses; preserve distractors, camera, and robot start; change only the instruction.</x:v>
      </x:c>
      <x:c r="R37" s="25" t="str">
        <x:v>The directional word × ordered green-pen/red-block role is held out. Source episode 298 supplies the same target manipulation under a trained near/next-to/beside prompt. The orthogonal start prevents an inverse-start shortcut.</x:v>
      </x:c>
      <x:c r="S37" s="25"/>
    </x:row>
    <x:row r="38" ht="72" customHeight="1">
      <x:c r="A38" s="9" t="str">
        <x:v>Not collected</x:v>
      </x:c>
      <x:c r="B38" s="9" t="n">
        <x:v>36</x:v>
      </x:c>
      <x:c r="C38" s="10" t="str">
        <x:v>Place the green pen to the left of the red block.</x:v>
      </x:c>
      <x:c r="D38" s="10" t="str">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8" s="9"/>
      <x:c r="F38" s="9" t="str">
        <x:v>226</x:v>
      </x:c>
      <x:c r="G38" s="9" t="str">
        <x:v>green pen → 2–8 cm edge gap to the left of red block; centroid direction within ±45°.</x:v>
      </x:c>
      <x:c r="H38" s="10"/>
      <x:c r="I38" s="9" t="str">
        <x:v>Concept/compositional transfer</x:v>
      </x:c>
      <x:c r="J38" s="9" t="str">
        <x:v>RP-CT-CF05</x:v>
      </x:c>
      <x:c r="K38" s="9" t="str">
        <x:v>left</x:v>
      </x:c>
      <x:c r="L38" s="9" t="str">
        <x:v>Four-way held-out counterfactual: relation polarity × target/reference role</x:v>
      </x:c>
      <x:c r="M38" s="9" t="str">
        <x:v>green pen</x:v>
      </x:c>
      <x:c r="N38" s="9" t="str">
        <x:v>red block</x:v>
      </x:c>
      <x:c r="O38" s="9" t="str">
        <x:v>None</x:v>
      </x:c>
      <x:c r="P38" s="9" t="n">
        <x:v>3</x:v>
      </x:c>
      <x:c r="Q38" s="9" t="str">
        <x:v>Build the listed neutral-axis scene and save the first frame.</x:v>
      </x:c>
      <x:c r="R38" s="10" t="str">
        <x:v>The directional word × ordered green-pen/red-block role is held out. Source episode 226 supplies the same target manipulation under a trained near/next-to/beside prompt. The orthogonal start prevents an inverse-start shortcut.</x:v>
      </x:c>
      <x:c r="S38" s="10"/>
    </x:row>
    <x:row r="39" ht="72" customHeight="1">
      <x:c r="A39" s="24" t="str">
        <x:v>Not collected</x:v>
      </x:c>
      <x:c r="B39" s="24" t="n">
        <x:v>37</x:v>
      </x:c>
      <x:c r="C39" s="25" t="str">
        <x:v>Place the green pen to the right of the red block.</x:v>
      </x:c>
      <x:c r="D39" s="25" t="str">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9" s="24" t="n">
        <x:v>36</x:v>
      </x:c>
      <x:c r="F39" s="24" t="str">
        <x:v>238</x:v>
      </x:c>
      <x:c r="G39" s="24" t="str">
        <x:v>green pen → 2–8 cm edge gap to the right of red block; centroid direction within ±45°.</x:v>
      </x:c>
      <x:c r="H39" s="25"/>
      <x:c r="I39" s="24" t="str">
        <x:v>Concept/compositional transfer</x:v>
      </x:c>
      <x:c r="J39" s="24" t="str">
        <x:v>RP-CT-CF05</x:v>
      </x:c>
      <x:c r="K39" s="24" t="str">
        <x:v>right</x:v>
      </x:c>
      <x:c r="L39" s="24" t="str">
        <x:v>Four-way held-out counterfactual: relation polarity × target/reference role</x:v>
      </x:c>
      <x:c r="M39" s="24" t="str">
        <x:v>green pen</x:v>
      </x:c>
      <x:c r="N39" s="24" t="str">
        <x:v>red block</x:v>
      </x:c>
      <x:c r="O39" s="24" t="str">
        <x:v>None</x:v>
      </x:c>
      <x:c r="P39" s="24" t="n">
        <x:v>3</x:v>
      </x:c>
      <x:c r="Q39" s="24" t="str">
        <x:v>Reset both core objects to their marked poses; preserve distractors, camera, and robot start; change only the instruction.</x:v>
      </x:c>
      <x:c r="R39" s="25" t="str">
        <x:v>The directional word × ordered green-pen/red-block role is held out. Source episode 238 supplies the same target manipulation under a trained near/next-to/beside prompt. The orthogonal start prevents an inverse-start shortcut.</x:v>
      </x:c>
      <x:c r="S39" s="25"/>
    </x:row>
    <x:row r="40" ht="72" customHeight="1">
      <x:c r="A40" s="24" t="str">
        <x:v>Not collected</x:v>
      </x:c>
      <x:c r="B40" s="24" t="n">
        <x:v>38</x:v>
      </x:c>
      <x:c r="C40" s="25" t="str">
        <x:v>Place the red block to the left of the green pen.</x:v>
      </x:c>
      <x:c r="D40" s="25" t="str">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0" s="24" t="n">
        <x:v>36</x:v>
      </x:c>
      <x:c r="F40" s="24" t="str">
        <x:v>284</x:v>
      </x:c>
      <x:c r="G40" s="24" t="str">
        <x:v>red block → 2–8 cm edge gap to the left of green pen; centroid direction within ±45°.</x:v>
      </x:c>
      <x:c r="H40" s="25"/>
      <x:c r="I40" s="24" t="str">
        <x:v>Concept/compositional transfer</x:v>
      </x:c>
      <x:c r="J40" s="24" t="str">
        <x:v>RP-CT-CF05</x:v>
      </x:c>
      <x:c r="K40" s="24" t="str">
        <x:v>left</x:v>
      </x:c>
      <x:c r="L40" s="24" t="str">
        <x:v>Four-way held-out counterfactual: relation polarity × target/reference role</x:v>
      </x:c>
      <x:c r="M40" s="24" t="str">
        <x:v>red block</x:v>
      </x:c>
      <x:c r="N40" s="24" t="str">
        <x:v>green pen</x:v>
      </x:c>
      <x:c r="O40" s="24" t="str">
        <x:v>None</x:v>
      </x:c>
      <x:c r="P40" s="24" t="n">
        <x:v>3</x:v>
      </x:c>
      <x:c r="Q40" s="24" t="str">
        <x:v>Reset both core objects to their marked poses; preserve distractors, camera, and robot start; change only the instruction.</x:v>
      </x:c>
      <x:c r="R40" s="25" t="str">
        <x:v>The directional word × ordered green-pen/red-block role is held out. Source episode 284 supplies the same target manipulation under a trained near/next-to/beside prompt. The orthogonal start prevents an inverse-start shortcut.</x:v>
      </x:c>
      <x:c r="S40" s="25"/>
    </x:row>
    <x:row r="41" ht="72" customHeight="1">
      <x:c r="A41" s="24" t="str">
        <x:v>Not collected</x:v>
      </x:c>
      <x:c r="B41" s="24" t="n">
        <x:v>39</x:v>
      </x:c>
      <x:c r="C41" s="25" t="str">
        <x:v>Place the red block to the right of the green pen.</x:v>
      </x:c>
      <x:c r="D41" s="25" t="str">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1" s="24" t="n">
        <x:v>36</x:v>
      </x:c>
      <x:c r="F41" s="24" t="str">
        <x:v>297</x:v>
      </x:c>
      <x:c r="G41" s="24" t="str">
        <x:v>red block → 2–8 cm edge gap to the right of green pen; centroid direction within ±45°.</x:v>
      </x:c>
      <x:c r="H41" s="25"/>
      <x:c r="I41" s="24" t="str">
        <x:v>Concept/compositional transfer</x:v>
      </x:c>
      <x:c r="J41" s="24" t="str">
        <x:v>RP-CT-CF05</x:v>
      </x:c>
      <x:c r="K41" s="24" t="str">
        <x:v>right</x:v>
      </x:c>
      <x:c r="L41" s="24" t="str">
        <x:v>Four-way held-out counterfactual: relation polarity × target/reference role</x:v>
      </x:c>
      <x:c r="M41" s="24" t="str">
        <x:v>red block</x:v>
      </x:c>
      <x:c r="N41" s="24" t="str">
        <x:v>green pen</x:v>
      </x:c>
      <x:c r="O41" s="24" t="str">
        <x:v>None</x:v>
      </x:c>
      <x:c r="P41" s="24" t="n">
        <x:v>3</x:v>
      </x:c>
      <x:c r="Q41" s="24" t="str">
        <x:v>Reset both core objects to their marked poses; preserve distractors, camera, and robot start; change only the instruction.</x:v>
      </x:c>
      <x:c r="R41" s="25" t="str">
        <x:v>The directional word × ordered green-pen/red-block role is held out. Source episode 297 supplies the same target manipulation under a trained near/next-to/beside prompt. The orthogonal start prevents an inverse-start shortcut.</x:v>
      </x:c>
      <x:c r="S41" s="25"/>
    </x:row>
    <x:row r="42" ht="72" customHeight="1">
      <x:c r="A42" s="9" t="str">
        <x:v>Not collected</x:v>
      </x:c>
      <x:c r="B42" s="9" t="n">
        <x:v>40</x:v>
      </x:c>
      <x:c r="C42" s="10" t="str">
        <x:v>Place the green pen to the left of the red block.</x:v>
      </x:c>
      <x:c r="D42" s="10" t="str">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2" s="9"/>
      <x:c r="F42" s="9" t="str">
        <x:v>227</x:v>
      </x:c>
      <x:c r="G42" s="9" t="str">
        <x:v>green pen → 2–8 cm edge gap to the left of red block; centroid direction within ±45°.</x:v>
      </x:c>
      <x:c r="H42" s="10"/>
      <x:c r="I42" s="9" t="str">
        <x:v>Concept/compositional transfer</x:v>
      </x:c>
      <x:c r="J42" s="9" t="str">
        <x:v>RP-CT-CF06</x:v>
      </x:c>
      <x:c r="K42" s="9" t="str">
        <x:v>left</x:v>
      </x:c>
      <x:c r="L42" s="9" t="str">
        <x:v>Four-way held-out counterfactual: relation polarity × target/reference role</x:v>
      </x:c>
      <x:c r="M42" s="9" t="str">
        <x:v>green pen</x:v>
      </x:c>
      <x:c r="N42" s="9" t="str">
        <x:v>red block</x:v>
      </x:c>
      <x:c r="O42" s="9" t="str">
        <x:v>None</x:v>
      </x:c>
      <x:c r="P42" s="9" t="n">
        <x:v>4</x:v>
      </x:c>
      <x:c r="Q42" s="9" t="str">
        <x:v>Build the listed neutral-axis scene and save the first frame.</x:v>
      </x:c>
      <x:c r="R42" s="10" t="str">
        <x:v>The directional word × ordered green-pen/red-block role is held out. Source episode 227 supplies the same target manipulation under a trained near/next-to/beside prompt. The orthogonal start prevents an inverse-start shortcut.</x:v>
      </x:c>
      <x:c r="S42" s="10"/>
    </x:row>
    <x:row r="43" ht="72" customHeight="1">
      <x:c r="A43" s="24" t="str">
        <x:v>Not collected</x:v>
      </x:c>
      <x:c r="B43" s="24" t="n">
        <x:v>41</x:v>
      </x:c>
      <x:c r="C43" s="25" t="str">
        <x:v>Place the green pen to the right of the red block.</x:v>
      </x:c>
      <x:c r="D43" s="25" t="str">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3" s="24" t="n">
        <x:v>40</x:v>
      </x:c>
      <x:c r="F43" s="24" t="str">
        <x:v>241</x:v>
      </x:c>
      <x:c r="G43" s="24" t="str">
        <x:v>green pen → 2–8 cm edge gap to the right of red block; centroid direction within ±45°.</x:v>
      </x:c>
      <x:c r="H43" s="25"/>
      <x:c r="I43" s="24" t="str">
        <x:v>Concept/compositional transfer</x:v>
      </x:c>
      <x:c r="J43" s="24" t="str">
        <x:v>RP-CT-CF06</x:v>
      </x:c>
      <x:c r="K43" s="24" t="str">
        <x:v>right</x:v>
      </x:c>
      <x:c r="L43" s="24" t="str">
        <x:v>Four-way held-out counterfactual: relation polarity × target/reference role</x:v>
      </x:c>
      <x:c r="M43" s="24" t="str">
        <x:v>green pen</x:v>
      </x:c>
      <x:c r="N43" s="24" t="str">
        <x:v>red block</x:v>
      </x:c>
      <x:c r="O43" s="24" t="str">
        <x:v>None</x:v>
      </x:c>
      <x:c r="P43" s="24" t="n">
        <x:v>4</x:v>
      </x:c>
      <x:c r="Q43" s="24" t="str">
        <x:v>Reset both core objects to their marked poses; preserve distractors, camera, and robot start; change only the instruction.</x:v>
      </x:c>
      <x:c r="R43" s="25" t="str">
        <x:v>The directional word × ordered green-pen/red-block role is held out. Source episode 241 supplies the same target manipulation under a trained near/next-to/beside prompt. The orthogonal start prevents an inverse-start shortcut.</x:v>
      </x:c>
      <x:c r="S43" s="25"/>
    </x:row>
    <x:row r="44" ht="72" customHeight="1">
      <x:c r="A44" s="24" t="str">
        <x:v>Not collected</x:v>
      </x:c>
      <x:c r="B44" s="24" t="n">
        <x:v>42</x:v>
      </x:c>
      <x:c r="C44" s="25" t="str">
        <x:v>Place the red block to the left of the green pen.</x:v>
      </x:c>
      <x:c r="D44" s="25" t="str">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4" s="24" t="n">
        <x:v>40</x:v>
      </x:c>
      <x:c r="F44" s="24" t="str">
        <x:v>285</x:v>
      </x:c>
      <x:c r="G44" s="24" t="str">
        <x:v>red block → 2–8 cm edge gap to the left of green pen; centroid direction within ±45°.</x:v>
      </x:c>
      <x:c r="H44" s="25"/>
      <x:c r="I44" s="24" t="str">
        <x:v>Concept/compositional transfer</x:v>
      </x:c>
      <x:c r="J44" s="24" t="str">
        <x:v>RP-CT-CF06</x:v>
      </x:c>
      <x:c r="K44" s="24" t="str">
        <x:v>left</x:v>
      </x:c>
      <x:c r="L44" s="24" t="str">
        <x:v>Four-way held-out counterfactual: relation polarity × target/reference role</x:v>
      </x:c>
      <x:c r="M44" s="24" t="str">
        <x:v>red block</x:v>
      </x:c>
      <x:c r="N44" s="24" t="str">
        <x:v>green pen</x:v>
      </x:c>
      <x:c r="O44" s="24" t="str">
        <x:v>None</x:v>
      </x:c>
      <x:c r="P44" s="24" t="n">
        <x:v>4</x:v>
      </x:c>
      <x:c r="Q44" s="24" t="str">
        <x:v>Reset both core objects to their marked poses; preserve distractors, camera, and robot start; change only the instruction.</x:v>
      </x:c>
      <x:c r="R44" s="25" t="str">
        <x:v>The directional word × ordered green-pen/red-block role is held out. Source episode 285 supplies the same target manipulation under a trained near/next-to/beside prompt. The orthogonal start prevents an inverse-start shortcut.</x:v>
      </x:c>
      <x:c r="S44" s="25"/>
    </x:row>
    <x:row r="45" ht="72" customHeight="1">
      <x:c r="A45" s="24" t="str">
        <x:v>Not collected</x:v>
      </x:c>
      <x:c r="B45" s="24" t="n">
        <x:v>43</x:v>
      </x:c>
      <x:c r="C45" s="25" t="str">
        <x:v>Place the red block to the right of the green pen.</x:v>
      </x:c>
      <x:c r="D45" s="25" t="str">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5" s="24" t="n">
        <x:v>40</x:v>
      </x:c>
      <x:c r="F45" s="24" t="str">
        <x:v>298</x:v>
      </x:c>
      <x:c r="G45" s="24" t="str">
        <x:v>red block → 2–8 cm edge gap to the right of green pen; centroid direction within ±45°.</x:v>
      </x:c>
      <x:c r="H45" s="25"/>
      <x:c r="I45" s="24" t="str">
        <x:v>Concept/compositional transfer</x:v>
      </x:c>
      <x:c r="J45" s="24" t="str">
        <x:v>RP-CT-CF06</x:v>
      </x:c>
      <x:c r="K45" s="24" t="str">
        <x:v>right</x:v>
      </x:c>
      <x:c r="L45" s="24" t="str">
        <x:v>Four-way held-out counterfactual: relation polarity × target/reference role</x:v>
      </x:c>
      <x:c r="M45" s="24" t="str">
        <x:v>red block</x:v>
      </x:c>
      <x:c r="N45" s="24" t="str">
        <x:v>green pen</x:v>
      </x:c>
      <x:c r="O45" s="24" t="str">
        <x:v>None</x:v>
      </x:c>
      <x:c r="P45" s="24" t="n">
        <x:v>4</x:v>
      </x:c>
      <x:c r="Q45" s="24" t="str">
        <x:v>Reset both core objects to their marked poses; preserve distractors, camera, and robot start; change only the instruction.</x:v>
      </x:c>
      <x:c r="R45" s="25" t="str">
        <x:v>The directional word × ordered green-pen/red-block role is held out. Source episode 298 supplies the same target manipulation under a trained near/next-to/beside prompt. The orthogonal start prevents an inverse-start shortcut.</x:v>
      </x:c>
      <x:c r="S45" s="25"/>
    </x:row>
    <x:row r="46" ht="72" customHeight="1">
      <x:c r="A46" s="9" t="str">
        <x:v>Not collected</x:v>
      </x:c>
      <x:c r="B46" s="9" t="n">
        <x:v>44</x:v>
      </x:c>
      <x:c r="C46" s="10" t="str">
        <x:v>Place the green pen in front of the red block.</x:v>
      </x:c>
      <x:c r="D46" s="10"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6" s="9"/>
      <x:c r="F46" s="9" t="str">
        <x:v>201</x:v>
      </x:c>
      <x:c r="G46" s="9" t="str">
        <x:v>green pen → 2–8 cm edge gap in front of red block; centroid direction within ±45°.</x:v>
      </x:c>
      <x:c r="H46" s="10"/>
      <x:c r="I46" s="9" t="str">
        <x:v>Concept/compositional transfer</x:v>
      </x:c>
      <x:c r="J46" s="9" t="str">
        <x:v>RP-CT-N01</x:v>
      </x:c>
      <x:c r="K46" s="9" t="str">
        <x:v>front</x:v>
      </x:c>
      <x:c r="L46" s="9" t="str">
        <x:v>Neutral-axis independent compositional-transfer scene</x:v>
      </x:c>
      <x:c r="M46" s="9" t="str">
        <x:v>green pen</x:v>
      </x:c>
      <x:c r="N46" s="9" t="str">
        <x:v>red block</x:v>
      </x:c>
      <x:c r="O46" s="9" t="str">
        <x:v>None</x:v>
      </x:c>
      <x:c r="P46" s="9" t="n">
        <x:v>3</x:v>
      </x:c>
      <x:c r="Q46" s="9" t="str">
        <x:v>Build the listed neutral-axis scene and save the first frame.</x:v>
      </x:c>
      <x:c r="R46" s="10" t="str">
        <x:v>Independent held-out-composition scene. Source episode 201 supplies target recognition/manipulation under the trained prompt “Place the green pen next to the red block.”. The orthogonal start removes the opposite-side shortcut.</x:v>
      </x:c>
      <x:c r="S46" s="10"/>
    </x:row>
    <x:row r="47" ht="72" customHeight="1">
      <x:c r="A47" s="24" t="str">
        <x:v>Not collected</x:v>
      </x:c>
      <x:c r="B47" s="24" t="n">
        <x:v>45</x:v>
      </x:c>
      <x:c r="C47" s="25" t="str">
        <x:v>Place the green pen next to the red block.</x:v>
      </x:c>
      <x:c r="D47"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7" s="24" t="n">
        <x:v>44</x:v>
      </x:c>
      <x:c r="F47" s="24" t="str">
        <x:v>201</x:v>
      </x:c>
      <x:c r="G47" s="24" t="str">
        <x:v>green pen → 2–8 cm edge gap near red block; no directional sector required.</x:v>
      </x:c>
      <x:c r="H47" s="25"/>
      <x:c r="I47" s="24" t="str">
        <x:v>Matched manipulation control</x:v>
      </x:c>
      <x:c r="J47" s="24" t="str">
        <x:v>RP-CT-N01</x:v>
      </x:c>
      <x:c r="K47" s="24" t="str">
        <x:v>front</x:v>
      </x:c>
      <x:c r="L47" s="24" t="str">
        <x:v>Exact-scene masked manipulation control</x:v>
      </x:c>
      <x:c r="M47" s="24" t="str">
        <x:v>green pen</x:v>
      </x:c>
      <x:c r="N47" s="24" t="str">
        <x:v>red block</x:v>
      </x:c>
      <x:c r="O47" s="24" t="str">
        <x:v>None</x:v>
      </x:c>
      <x:c r="P47" s="24" t="n">
        <x:v>3</x:v>
      </x:c>
      <x:c r="Q47" s="24" t="str">
        <x:v>Reset P1 to its marked pose; preserve the exact scene and use the trained control instruction.</x:v>
      </x:c>
      <x:c r="R47" s="25" t="str">
        <x:v>Exact-scene control using the final training prompt from episode 201. The target, reference, distractors, camera, and robot start match the paired transfer row.</x:v>
      </x:c>
      <x:c r="S47" s="25"/>
    </x:row>
    <x:row r="48" ht="72" customHeight="1">
      <x:c r="A48" s="24" t="str">
        <x:v>Not collected</x:v>
      </x:c>
      <x:c r="B48" s="24" t="n">
        <x:v>46</x:v>
      </x:c>
      <x:c r="C48" s="25" t="str">
        <x:v>Position the green pen on the robot-facing side of the red block.</x:v>
      </x:c>
      <x:c r="D48"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8" s="24" t="n">
        <x:v>44</x:v>
      </x:c>
      <x:c r="F48" s="24" t="str">
        <x:v>201</x:v>
      </x:c>
      <x:c r="G48" s="24" t="str">
        <x:v>green pen → 2–8 cm edge gap in front of red block; centroid direction within ±45°.</x:v>
      </x:c>
      <x:c r="H48" s="25"/>
      <x:c r="I48" s="24" t="str">
        <x:v>Language robustness</x:v>
      </x:c>
      <x:c r="J48" s="24" t="str">
        <x:v>RP-CT-N01</x:v>
      </x:c>
      <x:c r="K48" s="24" t="str">
        <x:v>front</x:v>
      </x:c>
      <x:c r="L48" s="24" t="str">
        <x:v>Transfer paraphrase of concept/compositional transfer</x:v>
      </x:c>
      <x:c r="M48" s="24" t="str">
        <x:v>green pen</x:v>
      </x:c>
      <x:c r="N48" s="24" t="str">
        <x:v>red block</x:v>
      </x:c>
      <x:c r="O48" s="24" t="str">
        <x:v>None</x:v>
      </x:c>
      <x:c r="P48" s="24" t="n">
        <x:v>3</x:v>
      </x:c>
      <x:c r="Q48" s="24" t="str">
        <x:v>Reset P1 to its marked pose; preserve the exact scene and change only the wording of the transfer instruction.</x:v>
      </x:c>
      <x:c r="R48" s="25" t="str">
        <x:v>Exact-scene paraphrase of the canonical compositional-transfer instruction.</x:v>
      </x:c>
      <x:c r="S48" s="25"/>
    </x:row>
    <x:row r="49" ht="72" customHeight="1">
      <x:c r="A49" s="24" t="str">
        <x:v>Not collected</x:v>
      </x:c>
      <x:c r="B49" s="24" t="n">
        <x:v>47</x:v>
      </x:c>
      <x:c r="C49" s="25" t="str">
        <x:v>Set the green pen down close to the red block.</x:v>
      </x:c>
      <x:c r="D49"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9" s="24" t="n">
        <x:v>45</x:v>
      </x:c>
      <x:c r="F49" s="24" t="str">
        <x:v>201</x:v>
      </x:c>
      <x:c r="G49" s="24" t="str">
        <x:v>green pen → 2–8 cm edge gap near red block; no directional sector required.</x:v>
      </x:c>
      <x:c r="H49" s="25"/>
      <x:c r="I49" s="24" t="str">
        <x:v>Language robustness</x:v>
      </x:c>
      <x:c r="J49" s="24" t="str">
        <x:v>RP-CT-N01</x:v>
      </x:c>
      <x:c r="K49" s="24" t="str">
        <x:v>front</x:v>
      </x:c>
      <x:c r="L49" s="24" t="str">
        <x:v>Matched-control paraphrase</x:v>
      </x:c>
      <x:c r="M49" s="24" t="str">
        <x:v>green pen</x:v>
      </x:c>
      <x:c r="N49" s="24" t="str">
        <x:v>red block</x:v>
      </x:c>
      <x:c r="O49" s="24" t="str">
        <x:v>None</x:v>
      </x:c>
      <x:c r="P49" s="24" t="n">
        <x:v>3</x:v>
      </x:c>
      <x:c r="Q49" s="24" t="str">
        <x:v>Reset P1 to its marked pose; preserve the exact scene and change only the wording of the matched-control instruction.</x:v>
      </x:c>
      <x:c r="R49" s="25" t="str">
        <x:v>Exact-scene paraphrase of the training-supported control from episode 201.</x:v>
      </x:c>
      <x:c r="S49" s="25"/>
    </x:row>
    <x:row r="50" ht="72" customHeight="1">
      <x:c r="A50" s="9" t="str">
        <x:v>Not collected</x:v>
      </x:c>
      <x:c r="B50" s="9" t="n">
        <x:v>48</x:v>
      </x:c>
      <x:c r="C50" s="10" t="str">
        <x:v>Place the green pen in front of the red block.</x:v>
      </x:c>
      <x:c r="D50" s="10"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0" s="9"/>
      <x:c r="F50" s="9" t="str">
        <x:v>202</x:v>
      </x:c>
      <x:c r="G50" s="9" t="str">
        <x:v>green pen → 2–8 cm edge gap in front of red block; centroid direction within ±45°.</x:v>
      </x:c>
      <x:c r="H50" s="10"/>
      <x:c r="I50" s="9" t="str">
        <x:v>Concept/compositional transfer</x:v>
      </x:c>
      <x:c r="J50" s="9" t="str">
        <x:v>RP-CT-N02</x:v>
      </x:c>
      <x:c r="K50" s="9" t="str">
        <x:v>front</x:v>
      </x:c>
      <x:c r="L50" s="9" t="str">
        <x:v>Neutral-axis independent compositional-transfer scene</x:v>
      </x:c>
      <x:c r="M50" s="9" t="str">
        <x:v>green pen</x:v>
      </x:c>
      <x:c r="N50" s="9" t="str">
        <x:v>red block</x:v>
      </x:c>
      <x:c r="O50" s="9" t="str">
        <x:v>None</x:v>
      </x:c>
      <x:c r="P50" s="9" t="n">
        <x:v>4</x:v>
      </x:c>
      <x:c r="Q50" s="9" t="str">
        <x:v>Build the listed neutral-axis scene and save the first frame.</x:v>
      </x:c>
      <x:c r="R50" s="10" t="str">
        <x:v>Independent held-out-composition scene. Source episode 202 supplies target recognition/manipulation under the trained prompt “Put the green pen beside the red block.”. The orthogonal start removes the opposite-side shortcut.</x:v>
      </x:c>
      <x:c r="S50" s="10"/>
    </x:row>
    <x:row r="51" ht="72" customHeight="1">
      <x:c r="A51" s="24" t="str">
        <x:v>Not collected</x:v>
      </x:c>
      <x:c r="B51" s="24" t="n">
        <x:v>49</x:v>
      </x:c>
      <x:c r="C51" s="25" t="str">
        <x:v>Put the green pen beside the red block.</x:v>
      </x:c>
      <x:c r="D51"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1" s="24" t="n">
        <x:v>48</x:v>
      </x:c>
      <x:c r="F51" s="24" t="str">
        <x:v>202</x:v>
      </x:c>
      <x:c r="G51" s="24" t="str">
        <x:v>green pen → 2–8 cm edge gap near red block; no directional sector required.</x:v>
      </x:c>
      <x:c r="H51" s="25"/>
      <x:c r="I51" s="24" t="str">
        <x:v>Matched manipulation control</x:v>
      </x:c>
      <x:c r="J51" s="24" t="str">
        <x:v>RP-CT-N02</x:v>
      </x:c>
      <x:c r="K51" s="24" t="str">
        <x:v>front</x:v>
      </x:c>
      <x:c r="L51" s="24" t="str">
        <x:v>Exact-scene masked manipulation control</x:v>
      </x:c>
      <x:c r="M51" s="24" t="str">
        <x:v>green pen</x:v>
      </x:c>
      <x:c r="N51" s="24" t="str">
        <x:v>red block</x:v>
      </x:c>
      <x:c r="O51" s="24" t="str">
        <x:v>None</x:v>
      </x:c>
      <x:c r="P51" s="24" t="n">
        <x:v>4</x:v>
      </x:c>
      <x:c r="Q51" s="24" t="str">
        <x:v>Reset P1 to its marked pose; preserve the exact scene and use the trained control instruction.</x:v>
      </x:c>
      <x:c r="R51" s="25" t="str">
        <x:v>Exact-scene control using the final training prompt from episode 202. The target, reference, distractors, camera, and robot start match the paired transfer row.</x:v>
      </x:c>
      <x:c r="S51" s="25"/>
    </x:row>
    <x:row r="52" ht="72" customHeight="1">
      <x:c r="A52" s="24" t="str">
        <x:v>Not collected</x:v>
      </x:c>
      <x:c r="B52" s="24" t="n">
        <x:v>50</x:v>
      </x:c>
      <x:c r="C52" s="25" t="str">
        <x:v>Position the green pen on the robot-facing side of the red block.</x:v>
      </x:c>
      <x:c r="D52"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2" s="24" t="n">
        <x:v>48</x:v>
      </x:c>
      <x:c r="F52" s="24" t="str">
        <x:v>202</x:v>
      </x:c>
      <x:c r="G52" s="24" t="str">
        <x:v>green pen → 2–8 cm edge gap in front of red block; centroid direction within ±45°.</x:v>
      </x:c>
      <x:c r="H52" s="25"/>
      <x:c r="I52" s="24" t="str">
        <x:v>Language robustness</x:v>
      </x:c>
      <x:c r="J52" s="24" t="str">
        <x:v>RP-CT-N02</x:v>
      </x:c>
      <x:c r="K52" s="24" t="str">
        <x:v>front</x:v>
      </x:c>
      <x:c r="L52" s="24" t="str">
        <x:v>Transfer paraphrase of concept/compositional transfer</x:v>
      </x:c>
      <x:c r="M52" s="24" t="str">
        <x:v>green pen</x:v>
      </x:c>
      <x:c r="N52" s="24" t="str">
        <x:v>red block</x:v>
      </x:c>
      <x:c r="O52" s="24" t="str">
        <x:v>None</x:v>
      </x:c>
      <x:c r="P52" s="24" t="n">
        <x:v>4</x:v>
      </x:c>
      <x:c r="Q52" s="24" t="str">
        <x:v>Reset P1 to its marked pose; preserve the exact scene and change only the wording of the transfer instruction.</x:v>
      </x:c>
      <x:c r="R52" s="25" t="str">
        <x:v>Exact-scene paraphrase of the canonical compositional-transfer instruction.</x:v>
      </x:c>
      <x:c r="S52" s="25"/>
    </x:row>
    <x:row r="53" ht="72" customHeight="1">
      <x:c r="A53" s="24" t="str">
        <x:v>Not collected</x:v>
      </x:c>
      <x:c r="B53" s="24" t="n">
        <x:v>51</x:v>
      </x:c>
      <x:c r="C53" s="25" t="str">
        <x:v>Set the green pen down close to the red block.</x:v>
      </x:c>
      <x:c r="D53"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3" s="24" t="n">
        <x:v>49</x:v>
      </x:c>
      <x:c r="F53" s="24" t="str">
        <x:v>202</x:v>
      </x:c>
      <x:c r="G53" s="24" t="str">
        <x:v>green pen → 2–8 cm edge gap near red block; no directional sector required.</x:v>
      </x:c>
      <x:c r="H53" s="25"/>
      <x:c r="I53" s="24" t="str">
        <x:v>Language robustness</x:v>
      </x:c>
      <x:c r="J53" s="24" t="str">
        <x:v>RP-CT-N02</x:v>
      </x:c>
      <x:c r="K53" s="24" t="str">
        <x:v>front</x:v>
      </x:c>
      <x:c r="L53" s="24" t="str">
        <x:v>Matched-control paraphrase</x:v>
      </x:c>
      <x:c r="M53" s="24" t="str">
        <x:v>green pen</x:v>
      </x:c>
      <x:c r="N53" s="24" t="str">
        <x:v>red block</x:v>
      </x:c>
      <x:c r="O53" s="24" t="str">
        <x:v>None</x:v>
      </x:c>
      <x:c r="P53" s="24" t="n">
        <x:v>4</x:v>
      </x:c>
      <x:c r="Q53" s="24" t="str">
        <x:v>Reset P1 to its marked pose; preserve the exact scene and change only the wording of the matched-control instruction.</x:v>
      </x:c>
      <x:c r="R53" s="25" t="str">
        <x:v>Exact-scene paraphrase of the training-supported control from episode 202.</x:v>
      </x:c>
      <x:c r="S53" s="25"/>
    </x:row>
    <x:row r="54" ht="72" customHeight="1">
      <x:c r="A54" s="9" t="str">
        <x:v>Not collected</x:v>
      </x:c>
      <x:c r="B54" s="9" t="n">
        <x:v>52</x:v>
      </x:c>
      <x:c r="C54" s="10" t="str">
        <x:v>Place the red block in front of the green pen.</x:v>
      </x:c>
      <x:c r="D54" s="10" t="str">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4" s="9"/>
      <x:c r="F54" s="9" t="str">
        <x:v>259</x:v>
      </x:c>
      <x:c r="G54" s="9" t="str">
        <x:v>red block → 2–8 cm edge gap in front of green pen; centroid direction within ±45°.</x:v>
      </x:c>
      <x:c r="H54" s="10"/>
      <x:c r="I54" s="9" t="str">
        <x:v>Concept/compositional transfer</x:v>
      </x:c>
      <x:c r="J54" s="9" t="str">
        <x:v>RP-CT-N03</x:v>
      </x:c>
      <x:c r="K54" s="9" t="str">
        <x:v>front</x:v>
      </x:c>
      <x:c r="L54" s="9" t="str">
        <x:v>Neutral-axis independent compositional-transfer scene</x:v>
      </x:c>
      <x:c r="M54" s="9" t="str">
        <x:v>red block</x:v>
      </x:c>
      <x:c r="N54" s="9" t="str">
        <x:v>green pen</x:v>
      </x:c>
      <x:c r="O54" s="9" t="str">
        <x:v>None</x:v>
      </x:c>
      <x:c r="P54" s="9" t="n">
        <x:v>3</x:v>
      </x:c>
      <x:c r="Q54" s="9" t="str">
        <x:v>Build the listed neutral-axis scene and save the first frame.</x:v>
      </x:c>
      <x:c r="R54" s="10" t="str">
        <x:v>Independent held-out-composition scene. Source episode 259 supplies target recognition/manipulation under the trained prompt “Put the red block beside the green pen.”. The orthogonal start removes the opposite-side shortcut.</x:v>
      </x:c>
      <x:c r="S54" s="10"/>
    </x:row>
    <x:row r="55" ht="72" customHeight="1">
      <x:c r="A55" s="24" t="str">
        <x:v>Not collected</x:v>
      </x:c>
      <x:c r="B55" s="24" t="n">
        <x:v>53</x:v>
      </x:c>
      <x:c r="C55" s="25" t="str">
        <x:v>Put the red block beside the green pen.</x:v>
      </x:c>
      <x:c r="D55" s="25" t="str">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5" s="24" t="n">
        <x:v>52</x:v>
      </x:c>
      <x:c r="F55" s="24" t="str">
        <x:v>259</x:v>
      </x:c>
      <x:c r="G55" s="24" t="str">
        <x:v>red block → 2–8 cm edge gap near green pen; no directional sector required.</x:v>
      </x:c>
      <x:c r="H55" s="25"/>
      <x:c r="I55" s="24" t="str">
        <x:v>Matched manipulation control</x:v>
      </x:c>
      <x:c r="J55" s="24" t="str">
        <x:v>RP-CT-N03</x:v>
      </x:c>
      <x:c r="K55" s="24" t="str">
        <x:v>front</x:v>
      </x:c>
      <x:c r="L55" s="24" t="str">
        <x:v>Exact-scene masked manipulation control</x:v>
      </x:c>
      <x:c r="M55" s="24" t="str">
        <x:v>red block</x:v>
      </x:c>
      <x:c r="N55" s="24" t="str">
        <x:v>green pen</x:v>
      </x:c>
      <x:c r="O55" s="24" t="str">
        <x:v>None</x:v>
      </x:c>
      <x:c r="P55" s="24" t="n">
        <x:v>3</x:v>
      </x:c>
      <x:c r="Q55" s="24" t="str">
        <x:v>Reset P1 to its marked pose; preserve the exact scene and use the trained control instruction.</x:v>
      </x:c>
      <x:c r="R55" s="25" t="str">
        <x:v>Exact-scene control using the final training prompt from episode 259. The target, reference, distractors, camera, and robot start match the paired transfer row.</x:v>
      </x:c>
      <x:c r="S55" s="25"/>
    </x:row>
    <x:row r="56" ht="72" customHeight="1">
      <x:c r="A56" s="24" t="str">
        <x:v>Not collected</x:v>
      </x:c>
      <x:c r="B56" s="24" t="n">
        <x:v>54</x:v>
      </x:c>
      <x:c r="C56" s="25" t="str">
        <x:v>Position the red block on the robot-facing side of the green pen.</x:v>
      </x:c>
      <x:c r="D56" s="25" t="str">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6" s="24" t="n">
        <x:v>52</x:v>
      </x:c>
      <x:c r="F56" s="24" t="str">
        <x:v>259</x:v>
      </x:c>
      <x:c r="G56" s="24" t="str">
        <x:v>red block → 2–8 cm edge gap in front of green pen; centroid direction within ±45°.</x:v>
      </x:c>
      <x:c r="H56" s="25"/>
      <x:c r="I56" s="24" t="str">
        <x:v>Language robustness</x:v>
      </x:c>
      <x:c r="J56" s="24" t="str">
        <x:v>RP-CT-N03</x:v>
      </x:c>
      <x:c r="K56" s="24" t="str">
        <x:v>front</x:v>
      </x:c>
      <x:c r="L56" s="24" t="str">
        <x:v>Transfer paraphrase of concept/compositional transfer</x:v>
      </x:c>
      <x:c r="M56" s="24" t="str">
        <x:v>red block</x:v>
      </x:c>
      <x:c r="N56" s="24" t="str">
        <x:v>green pen</x:v>
      </x:c>
      <x:c r="O56" s="24" t="str">
        <x:v>None</x:v>
      </x:c>
      <x:c r="P56" s="24" t="n">
        <x:v>3</x:v>
      </x:c>
      <x:c r="Q56" s="24" t="str">
        <x:v>Reset P1 to its marked pose; preserve the exact scene and change only the wording of the transfer instruction.</x:v>
      </x:c>
      <x:c r="R56" s="25" t="str">
        <x:v>Exact-scene paraphrase of the canonical compositional-transfer instruction.</x:v>
      </x:c>
      <x:c r="S56" s="25"/>
    </x:row>
    <x:row r="57" ht="72" customHeight="1">
      <x:c r="A57" s="24" t="str">
        <x:v>Not collected</x:v>
      </x:c>
      <x:c r="B57" s="24" t="n">
        <x:v>55</x:v>
      </x:c>
      <x:c r="C57" s="25" t="str">
        <x:v>Set the red block down close to the green pen.</x:v>
      </x:c>
      <x:c r="D57" s="25" t="str">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7" s="24" t="n">
        <x:v>53</x:v>
      </x:c>
      <x:c r="F57" s="24" t="str">
        <x:v>259</x:v>
      </x:c>
      <x:c r="G57" s="24" t="str">
        <x:v>red block → 2–8 cm edge gap near green pen; no directional sector required.</x:v>
      </x:c>
      <x:c r="H57" s="25"/>
      <x:c r="I57" s="24" t="str">
        <x:v>Language robustness</x:v>
      </x:c>
      <x:c r="J57" s="24" t="str">
        <x:v>RP-CT-N03</x:v>
      </x:c>
      <x:c r="K57" s="24" t="str">
        <x:v>front</x:v>
      </x:c>
      <x:c r="L57" s="24" t="str">
        <x:v>Matched-control paraphrase</x:v>
      </x:c>
      <x:c r="M57" s="24" t="str">
        <x:v>red block</x:v>
      </x:c>
      <x:c r="N57" s="24" t="str">
        <x:v>green pen</x:v>
      </x:c>
      <x:c r="O57" s="24" t="str">
        <x:v>None</x:v>
      </x:c>
      <x:c r="P57" s="24" t="n">
        <x:v>3</x:v>
      </x:c>
      <x:c r="Q57" s="24" t="str">
        <x:v>Reset P1 to its marked pose; preserve the exact scene and change only the wording of the matched-control instruction.</x:v>
      </x:c>
      <x:c r="R57" s="25" t="str">
        <x:v>Exact-scene paraphrase of the training-supported control from episode 259.</x:v>
      </x:c>
      <x:c r="S57" s="25"/>
    </x:row>
    <x:row r="58" ht="72" customHeight="1">
      <x:c r="A58" s="9" t="str">
        <x:v>Not collected</x:v>
      </x:c>
      <x:c r="B58" s="9" t="n">
        <x:v>56</x:v>
      </x:c>
      <x:c r="C58" s="10" t="str">
        <x:v>Place the green pen behind the red block.</x:v>
      </x:c>
      <x:c r="D58" s="10" t="str">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8" s="9"/>
      <x:c r="F58" s="9" t="str">
        <x:v>216</x:v>
      </x:c>
      <x:c r="G58" s="9" t="str">
        <x:v>green pen → 2–8 cm edge gap behind red block; centroid direction within ±45°.</x:v>
      </x:c>
      <x:c r="H58" s="10"/>
      <x:c r="I58" s="9" t="str">
        <x:v>Concept/compositional transfer</x:v>
      </x:c>
      <x:c r="J58" s="9" t="str">
        <x:v>RP-CT-N04</x:v>
      </x:c>
      <x:c r="K58" s="9" t="str">
        <x:v>behind</x:v>
      </x:c>
      <x:c r="L58" s="9" t="str">
        <x:v>Neutral-axis independent compositional-transfer scene</x:v>
      </x:c>
      <x:c r="M58" s="9" t="str">
        <x:v>green pen</x:v>
      </x:c>
      <x:c r="N58" s="9" t="str">
        <x:v>red block</x:v>
      </x:c>
      <x:c r="O58" s="9" t="str">
        <x:v>None</x:v>
      </x:c>
      <x:c r="P58" s="9" t="n">
        <x:v>4</x:v>
      </x:c>
      <x:c r="Q58" s="9" t="str">
        <x:v>Build the listed neutral-axis scene and save the first frame.</x:v>
      </x:c>
      <x:c r="R58" s="10" t="str">
        <x:v>Independent held-out-composition scene. Source episode 216 supplies target recognition/manipulation under the trained prompt “Place the green pen next to the red block.”. The orthogonal start removes the opposite-side shortcut.</x:v>
      </x:c>
      <x:c r="S58" s="10"/>
    </x:row>
    <x:row r="59" ht="72" customHeight="1">
      <x:c r="A59" s="24" t="str">
        <x:v>Not collected</x:v>
      </x:c>
      <x:c r="B59" s="24" t="n">
        <x:v>57</x:v>
      </x:c>
      <x:c r="C59" s="25" t="str">
        <x:v>Place the green pen next to the red block.</x:v>
      </x:c>
      <x:c r="D59" s="25" t="str">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9" s="24" t="n">
        <x:v>56</x:v>
      </x:c>
      <x:c r="F59" s="24" t="str">
        <x:v>216</x:v>
      </x:c>
      <x:c r="G59" s="24" t="str">
        <x:v>green pen → 2–8 cm edge gap near red block; no directional sector required.</x:v>
      </x:c>
      <x:c r="H59" s="25"/>
      <x:c r="I59" s="24" t="str">
        <x:v>Matched manipulation control</x:v>
      </x:c>
      <x:c r="J59" s="24" t="str">
        <x:v>RP-CT-N04</x:v>
      </x:c>
      <x:c r="K59" s="24" t="str">
        <x:v>behind</x:v>
      </x:c>
      <x:c r="L59" s="24" t="str">
        <x:v>Exact-scene masked manipulation control</x:v>
      </x:c>
      <x:c r="M59" s="24" t="str">
        <x:v>green pen</x:v>
      </x:c>
      <x:c r="N59" s="24" t="str">
        <x:v>red block</x:v>
      </x:c>
      <x:c r="O59" s="24" t="str">
        <x:v>None</x:v>
      </x:c>
      <x:c r="P59" s="24" t="n">
        <x:v>4</x:v>
      </x:c>
      <x:c r="Q59" s="24" t="str">
        <x:v>Reset P1 to its marked pose; preserve the exact scene and use the trained control instruction.</x:v>
      </x:c>
      <x:c r="R59" s="25" t="str">
        <x:v>Exact-scene control using the final training prompt from episode 216. The target, reference, distractors, camera, and robot start match the paired transfer row.</x:v>
      </x:c>
      <x:c r="S59" s="25"/>
    </x:row>
    <x:row r="60" ht="72" customHeight="1">
      <x:c r="A60" s="24" t="str">
        <x:v>Not collected</x:v>
      </x:c>
      <x:c r="B60" s="24" t="n">
        <x:v>58</x:v>
      </x:c>
      <x:c r="C60" s="25" t="str">
        <x:v>Position the green pen on the far side of the red block, away from the robot.</x:v>
      </x:c>
      <x:c r="D60" s="25" t="str">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0" s="24" t="n">
        <x:v>56</x:v>
      </x:c>
      <x:c r="F60" s="24" t="str">
        <x:v>216</x:v>
      </x:c>
      <x:c r="G60" s="24" t="str">
        <x:v>green pen → 2–8 cm edge gap behind red block; centroid direction within ±45°.</x:v>
      </x:c>
      <x:c r="H60" s="25"/>
      <x:c r="I60" s="24" t="str">
        <x:v>Language robustness</x:v>
      </x:c>
      <x:c r="J60" s="24" t="str">
        <x:v>RP-CT-N04</x:v>
      </x:c>
      <x:c r="K60" s="24" t="str">
        <x:v>behind</x:v>
      </x:c>
      <x:c r="L60" s="24" t="str">
        <x:v>Transfer paraphrase of concept/compositional transfer</x:v>
      </x:c>
      <x:c r="M60" s="24" t="str">
        <x:v>green pen</x:v>
      </x:c>
      <x:c r="N60" s="24" t="str">
        <x:v>red block</x:v>
      </x:c>
      <x:c r="O60" s="24" t="str">
        <x:v>None</x:v>
      </x:c>
      <x:c r="P60" s="24" t="n">
        <x:v>4</x:v>
      </x:c>
      <x:c r="Q60" s="24" t="str">
        <x:v>Reset P1 to its marked pose; preserve the exact scene and change only the wording of the transfer instruction.</x:v>
      </x:c>
      <x:c r="R60" s="25" t="str">
        <x:v>Exact-scene paraphrase of the canonical compositional-transfer instruction.</x:v>
      </x:c>
      <x:c r="S60" s="25"/>
    </x:row>
    <x:row r="61" ht="72" customHeight="1">
      <x:c r="A61" s="24" t="str">
        <x:v>Not collected</x:v>
      </x:c>
      <x:c r="B61" s="24" t="n">
        <x:v>59</x:v>
      </x:c>
      <x:c r="C61" s="25" t="str">
        <x:v>Set the green pen down close to the red block.</x:v>
      </x:c>
      <x:c r="D61" s="25" t="str">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1" s="24" t="n">
        <x:v>57</x:v>
      </x:c>
      <x:c r="F61" s="24" t="str">
        <x:v>216</x:v>
      </x:c>
      <x:c r="G61" s="24" t="str">
        <x:v>green pen → 2–8 cm edge gap near red block; no directional sector required.</x:v>
      </x:c>
      <x:c r="H61" s="25"/>
      <x:c r="I61" s="24" t="str">
        <x:v>Language robustness</x:v>
      </x:c>
      <x:c r="J61" s="24" t="str">
        <x:v>RP-CT-N04</x:v>
      </x:c>
      <x:c r="K61" s="24" t="str">
        <x:v>behind</x:v>
      </x:c>
      <x:c r="L61" s="24" t="str">
        <x:v>Matched-control paraphrase</x:v>
      </x:c>
      <x:c r="M61" s="24" t="str">
        <x:v>green pen</x:v>
      </x:c>
      <x:c r="N61" s="24" t="str">
        <x:v>red block</x:v>
      </x:c>
      <x:c r="O61" s="24" t="str">
        <x:v>None</x:v>
      </x:c>
      <x:c r="P61" s="24" t="n">
        <x:v>4</x:v>
      </x:c>
      <x:c r="Q61" s="24" t="str">
        <x:v>Reset P1 to its marked pose; preserve the exact scene and change only the wording of the matched-control instruction.</x:v>
      </x:c>
      <x:c r="R61" s="25" t="str">
        <x:v>Exact-scene paraphrase of the training-supported control from episode 216.</x:v>
      </x:c>
      <x:c r="S61" s="25"/>
    </x:row>
    <x:row r="62" ht="72" customHeight="1">
      <x:c r="A62" s="9" t="str">
        <x:v>Not collected</x:v>
      </x:c>
      <x:c r="B62" s="9" t="n">
        <x:v>60</x:v>
      </x:c>
      <x:c r="C62" s="10" t="str">
        <x:v>Place the red block behind the green pen.</x:v>
      </x:c>
      <x:c r="D62" s="10" t="str">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2" s="9"/>
      <x:c r="F62" s="9" t="str">
        <x:v>272</x:v>
      </x:c>
      <x:c r="G62" s="9" t="str">
        <x:v>red block → 2–8 cm edge gap behind green pen; centroid direction within ±45°.</x:v>
      </x:c>
      <x:c r="H62" s="10"/>
      <x:c r="I62" s="9" t="str">
        <x:v>Concept/compositional transfer</x:v>
      </x:c>
      <x:c r="J62" s="9" t="str">
        <x:v>RP-CT-N05</x:v>
      </x:c>
      <x:c r="K62" s="9" t="str">
        <x:v>behind</x:v>
      </x:c>
      <x:c r="L62" s="9" t="str">
        <x:v>Neutral-axis independent compositional-transfer scene</x:v>
      </x:c>
      <x:c r="M62" s="9" t="str">
        <x:v>red block</x:v>
      </x:c>
      <x:c r="N62" s="9" t="str">
        <x:v>green pen</x:v>
      </x:c>
      <x:c r="O62" s="9" t="str">
        <x:v>None</x:v>
      </x:c>
      <x:c r="P62" s="9" t="n">
        <x:v>3</x:v>
      </x:c>
      <x:c r="Q62" s="9" t="str">
        <x:v>Build the listed neutral-axis scene and save the first frame.</x:v>
      </x:c>
      <x:c r="R62" s="10" t="str">
        <x:v>Independent held-out-composition scene. Source episode 272 supplies target recognition/manipulation under the trained prompt “Move the red block near the green pen.”. The orthogonal start removes the opposite-side shortcut.</x:v>
      </x:c>
      <x:c r="S62" s="10"/>
    </x:row>
    <x:row r="63" ht="72" customHeight="1">
      <x:c r="A63" s="24" t="str">
        <x:v>Not collected</x:v>
      </x:c>
      <x:c r="B63" s="24" t="n">
        <x:v>61</x:v>
      </x:c>
      <x:c r="C63" s="25" t="str">
        <x:v>Move the red block near the green pen.</x:v>
      </x:c>
      <x:c r="D63" s="25" t="str">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3" s="24" t="n">
        <x:v>60</x:v>
      </x:c>
      <x:c r="F63" s="24" t="str">
        <x:v>272</x:v>
      </x:c>
      <x:c r="G63" s="24" t="str">
        <x:v>red block → 2–8 cm edge gap near green pen; no directional sector required.</x:v>
      </x:c>
      <x:c r="H63" s="25"/>
      <x:c r="I63" s="24" t="str">
        <x:v>Matched manipulation control</x:v>
      </x:c>
      <x:c r="J63" s="24" t="str">
        <x:v>RP-CT-N05</x:v>
      </x:c>
      <x:c r="K63" s="24" t="str">
        <x:v>behind</x:v>
      </x:c>
      <x:c r="L63" s="24" t="str">
        <x:v>Exact-scene masked manipulation control</x:v>
      </x:c>
      <x:c r="M63" s="24" t="str">
        <x:v>red block</x:v>
      </x:c>
      <x:c r="N63" s="24" t="str">
        <x:v>green pen</x:v>
      </x:c>
      <x:c r="O63" s="24" t="str">
        <x:v>None</x:v>
      </x:c>
      <x:c r="P63" s="24" t="n">
        <x:v>3</x:v>
      </x:c>
      <x:c r="Q63" s="24" t="str">
        <x:v>Reset P1 to its marked pose; preserve the exact scene and use the trained control instruction.</x:v>
      </x:c>
      <x:c r="R63" s="25" t="str">
        <x:v>Exact-scene control using the final training prompt from episode 272. The target, reference, distractors, camera, and robot start match the paired transfer row.</x:v>
      </x:c>
      <x:c r="S63" s="25"/>
    </x:row>
    <x:row r="64" ht="72" customHeight="1">
      <x:c r="A64" s="9" t="str">
        <x:v>Not collected</x:v>
      </x:c>
      <x:c r="B64" s="9" t="n">
        <x:v>62</x:v>
      </x:c>
      <x:c r="C64" s="10" t="str">
        <x:v>Position the red block on the far side of the green pen, away from the robot.</x:v>
      </x:c>
      <x:c r="D64" s="10" t="str">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4" s="9" t="n">
        <x:v>60</x:v>
      </x:c>
      <x:c r="F64" s="9" t="str">
        <x:v>272</x:v>
      </x:c>
      <x:c r="G64" s="9" t="str">
        <x:v>red block → 2–8 cm edge gap behind green pen; centroid direction within ±45°.</x:v>
      </x:c>
      <x:c r="H64" s="10"/>
      <x:c r="I64" s="9" t="str">
        <x:v>Language robustness</x:v>
      </x:c>
      <x:c r="J64" s="9" t="str">
        <x:v>RP-CT-N05</x:v>
      </x:c>
      <x:c r="K64" s="9" t="str">
        <x:v>behind</x:v>
      </x:c>
      <x:c r="L64" s="9" t="str">
        <x:v>Transfer paraphrase of concept/compositional transfer</x:v>
      </x:c>
      <x:c r="M64" s="9" t="str">
        <x:v>red block</x:v>
      </x:c>
      <x:c r="N64" s="9" t="str">
        <x:v>green pen</x:v>
      </x:c>
      <x:c r="O64" s="9" t="str">
        <x:v>None</x:v>
      </x:c>
      <x:c r="P64" s="9" t="n">
        <x:v>3</x:v>
      </x:c>
      <x:c r="Q64" s="9" t="str">
        <x:v>Reset P1 to its marked pose; preserve the exact scene and change only the wording of the transfer instruction.</x:v>
      </x:c>
      <x:c r="R64" s="10" t="str">
        <x:v>Exact-scene paraphrase of the canonical compositional-transfer instruction.</x:v>
      </x:c>
      <x:c r="S64" s="10"/>
    </x:row>
    <x:row r="65" ht="72" customHeight="1">
      <x:c r="A65" s="24" t="str">
        <x:v>Not collected</x:v>
      </x:c>
      <x:c r="B65" s="24" t="n">
        <x:v>63</x:v>
      </x:c>
      <x:c r="C65" s="25" t="str">
        <x:v>Set the red block down close to the green pen.</x:v>
      </x:c>
      <x:c r="D65" s="25" t="str">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5" s="24" t="n">
        <x:v>61</x:v>
      </x:c>
      <x:c r="F65" s="24" t="str">
        <x:v>272</x:v>
      </x:c>
      <x:c r="G65" s="24" t="str">
        <x:v>red block → 2–8 cm edge gap near green pen; no directional sector required.</x:v>
      </x:c>
      <x:c r="H65" s="25"/>
      <x:c r="I65" s="24" t="str">
        <x:v>Language robustness</x:v>
      </x:c>
      <x:c r="J65" s="24" t="str">
        <x:v>RP-CT-N05</x:v>
      </x:c>
      <x:c r="K65" s="24" t="str">
        <x:v>behind</x:v>
      </x:c>
      <x:c r="L65" s="24" t="str">
        <x:v>Matched-control paraphrase</x:v>
      </x:c>
      <x:c r="M65" s="24" t="str">
        <x:v>red block</x:v>
      </x:c>
      <x:c r="N65" s="24" t="str">
        <x:v>green pen</x:v>
      </x:c>
      <x:c r="O65" s="24" t="str">
        <x:v>None</x:v>
      </x:c>
      <x:c r="P65" s="24" t="n">
        <x:v>3</x:v>
      </x:c>
      <x:c r="Q65" s="24" t="str">
        <x:v>Reset P1 to its marked pose; preserve the exact scene and change only the wording of the matched-control instruction.</x:v>
      </x:c>
      <x:c r="R65" s="25" t="str">
        <x:v>Exact-scene paraphrase of the training-supported control from episode 272.</x:v>
      </x:c>
      <x:c r="S65" s="25"/>
    </x:row>
    <x:row r="66" ht="72" customHeight="1">
      <x:c r="A66" s="9" t="str">
        <x:v>Not collected</x:v>
      </x:c>
      <x:c r="B66" s="9" t="n">
        <x:v>64</x:v>
      </x:c>
      <x:c r="C66" s="10" t="str">
        <x:v>Place the red block behind the green pen.</x:v>
      </x:c>
      <x:c r="D66" s="10" t="str">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6" s="9"/>
      <x:c r="F66" s="9" t="str">
        <x:v>273</x:v>
      </x:c>
      <x:c r="G66" s="9" t="str">
        <x:v>red block → 2–8 cm edge gap behind green pen; centroid direction within ±45°.</x:v>
      </x:c>
      <x:c r="H66" s="10"/>
      <x:c r="I66" s="9" t="str">
        <x:v>Concept/compositional transfer</x:v>
      </x:c>
      <x:c r="J66" s="9" t="str">
        <x:v>RP-CT-N06</x:v>
      </x:c>
      <x:c r="K66" s="9" t="str">
        <x:v>behind</x:v>
      </x:c>
      <x:c r="L66" s="9" t="str">
        <x:v>Neutral-axis independent compositional-transfer scene</x:v>
      </x:c>
      <x:c r="M66" s="9" t="str">
        <x:v>red block</x:v>
      </x:c>
      <x:c r="N66" s="9" t="str">
        <x:v>green pen</x:v>
      </x:c>
      <x:c r="O66" s="9" t="str">
        <x:v>None</x:v>
      </x:c>
      <x:c r="P66" s="9" t="n">
        <x:v>4</x:v>
      </x:c>
      <x:c r="Q66" s="9" t="str">
        <x:v>Build the listed neutral-axis scene and save the first frame.</x:v>
      </x:c>
      <x:c r="R66" s="10" t="str">
        <x:v>Independent held-out-composition scene. Source episode 273 supplies target recognition/manipulation under the trained prompt “Place the red block next to the green pen.”. The orthogonal start removes the opposite-side shortcut.</x:v>
      </x:c>
      <x:c r="S66" s="10"/>
    </x:row>
    <x:row r="67" ht="72" customHeight="1">
      <x:c r="A67" s="24" t="str">
        <x:v>Not collected</x:v>
      </x:c>
      <x:c r="B67" s="24" t="n">
        <x:v>65</x:v>
      </x:c>
      <x:c r="C67" s="25" t="str">
        <x:v>Place the red block next to the green pen.</x:v>
      </x:c>
      <x:c r="D67" s="25" t="str">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7" s="24" t="n">
        <x:v>64</x:v>
      </x:c>
      <x:c r="F67" s="24" t="str">
        <x:v>273</x:v>
      </x:c>
      <x:c r="G67" s="24" t="str">
        <x:v>red block → 2–8 cm edge gap near green pen; no directional sector required.</x:v>
      </x:c>
      <x:c r="H67" s="25"/>
      <x:c r="I67" s="24" t="str">
        <x:v>Matched manipulation control</x:v>
      </x:c>
      <x:c r="J67" s="24" t="str">
        <x:v>RP-CT-N06</x:v>
      </x:c>
      <x:c r="K67" s="24" t="str">
        <x:v>behind</x:v>
      </x:c>
      <x:c r="L67" s="24" t="str">
        <x:v>Exact-scene masked manipulation control</x:v>
      </x:c>
      <x:c r="M67" s="24" t="str">
        <x:v>red block</x:v>
      </x:c>
      <x:c r="N67" s="24" t="str">
        <x:v>green pen</x:v>
      </x:c>
      <x:c r="O67" s="24" t="str">
        <x:v>None</x:v>
      </x:c>
      <x:c r="P67" s="24" t="n">
        <x:v>4</x:v>
      </x:c>
      <x:c r="Q67" s="24" t="str">
        <x:v>Reset P1 to its marked pose; preserve the exact scene and use the trained control instruction.</x:v>
      </x:c>
      <x:c r="R67" s="25" t="str">
        <x:v>Exact-scene control using the final training prompt from episode 273. The target, reference, distractors, camera, and robot start match the paired transfer row.</x:v>
      </x:c>
      <x:c r="S67" s="25"/>
    </x:row>
    <x:row r="68" ht="72" customHeight="1">
      <x:c r="A68" s="9" t="str">
        <x:v>Not collected</x:v>
      </x:c>
      <x:c r="B68" s="9" t="n">
        <x:v>66</x:v>
      </x:c>
      <x:c r="C68" s="10" t="str">
        <x:v>Position the red block on the far side of the green pen, away from the robot.</x:v>
      </x:c>
      <x:c r="D68" s="10" t="str">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8" s="9" t="n">
        <x:v>64</x:v>
      </x:c>
      <x:c r="F68" s="9" t="str">
        <x:v>273</x:v>
      </x:c>
      <x:c r="G68" s="9" t="str">
        <x:v>red block → 2–8 cm edge gap behind green pen; centroid direction within ±45°.</x:v>
      </x:c>
      <x:c r="H68" s="10"/>
      <x:c r="I68" s="9" t="str">
        <x:v>Language robustness</x:v>
      </x:c>
      <x:c r="J68" s="9" t="str">
        <x:v>RP-CT-N06</x:v>
      </x:c>
      <x:c r="K68" s="9" t="str">
        <x:v>behind</x:v>
      </x:c>
      <x:c r="L68" s="9" t="str">
        <x:v>Transfer paraphrase of concept/compositional transfer</x:v>
      </x:c>
      <x:c r="M68" s="9" t="str">
        <x:v>red block</x:v>
      </x:c>
      <x:c r="N68" s="9" t="str">
        <x:v>green pen</x:v>
      </x:c>
      <x:c r="O68" s="9" t="str">
        <x:v>None</x:v>
      </x:c>
      <x:c r="P68" s="9" t="n">
        <x:v>4</x:v>
      </x:c>
      <x:c r="Q68" s="9" t="str">
        <x:v>Reset P1 to its marked pose; preserve the exact scene and change only the wording of the transfer instruction.</x:v>
      </x:c>
      <x:c r="R68" s="10" t="str">
        <x:v>Exact-scene paraphrase of the canonical compositional-transfer instruction.</x:v>
      </x:c>
      <x:c r="S68" s="10"/>
    </x:row>
    <x:row r="69" ht="72" customHeight="1">
      <x:c r="A69" s="24" t="str">
        <x:v>Not collected</x:v>
      </x:c>
      <x:c r="B69" s="24" t="n">
        <x:v>67</x:v>
      </x:c>
      <x:c r="C69" s="25" t="str">
        <x:v>Set the red block down close to the green pen.</x:v>
      </x:c>
      <x:c r="D69" s="25" t="str">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9" s="24" t="n">
        <x:v>65</x:v>
      </x:c>
      <x:c r="F69" s="24" t="str">
        <x:v>273</x:v>
      </x:c>
      <x:c r="G69" s="24" t="str">
        <x:v>red block → 2–8 cm edge gap near green pen; no directional sector required.</x:v>
      </x:c>
      <x:c r="H69" s="25"/>
      <x:c r="I69" s="24" t="str">
        <x:v>Language robustness</x:v>
      </x:c>
      <x:c r="J69" s="24" t="str">
        <x:v>RP-CT-N06</x:v>
      </x:c>
      <x:c r="K69" s="24" t="str">
        <x:v>behind</x:v>
      </x:c>
      <x:c r="L69" s="24" t="str">
        <x:v>Matched-control paraphrase</x:v>
      </x:c>
      <x:c r="M69" s="24" t="str">
        <x:v>red block</x:v>
      </x:c>
      <x:c r="N69" s="24" t="str">
        <x:v>green pen</x:v>
      </x:c>
      <x:c r="O69" s="24" t="str">
        <x:v>None</x:v>
      </x:c>
      <x:c r="P69" s="24" t="n">
        <x:v>4</x:v>
      </x:c>
      <x:c r="Q69" s="24" t="str">
        <x:v>Reset P1 to its marked pose; preserve the exact scene and change only the wording of the matched-control instruction.</x:v>
      </x:c>
      <x:c r="R69" s="25" t="str">
        <x:v>Exact-scene paraphrase of the training-supported control from episode 273.</x:v>
      </x:c>
      <x:c r="S69" s="25"/>
    </x:row>
    <x:row r="70" ht="72" customHeight="1">
      <x:c r="A70" s="9" t="str">
        <x:v>Not collected</x:v>
      </x:c>
      <x:c r="B70" s="9" t="n">
        <x:v>68</x:v>
      </x:c>
      <x:c r="C70" s="10" t="str">
        <x:v>Place the green pen to the left of the red block.</x:v>
      </x:c>
      <x:c r="D70" s="10" t="str">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0" s="9"/>
      <x:c r="F70" s="9" t="str">
        <x:v>228</x:v>
      </x:c>
      <x:c r="G70" s="9" t="str">
        <x:v>green pen → 2–8 cm edge gap to the left of red block; centroid direction within ±45°.</x:v>
      </x:c>
      <x:c r="H70" s="10"/>
      <x:c r="I70" s="9" t="str">
        <x:v>Concept/compositional transfer</x:v>
      </x:c>
      <x:c r="J70" s="9" t="str">
        <x:v>RP-CT-N07</x:v>
      </x:c>
      <x:c r="K70" s="9" t="str">
        <x:v>left</x:v>
      </x:c>
      <x:c r="L70" s="9" t="str">
        <x:v>Neutral-axis independent compositional-transfer scene</x:v>
      </x:c>
      <x:c r="M70" s="9" t="str">
        <x:v>green pen</x:v>
      </x:c>
      <x:c r="N70" s="9" t="str">
        <x:v>red block</x:v>
      </x:c>
      <x:c r="O70" s="9" t="str">
        <x:v>None</x:v>
      </x:c>
      <x:c r="P70" s="9" t="n">
        <x:v>3</x:v>
      </x:c>
      <x:c r="Q70" s="9" t="str">
        <x:v>Build the listed neutral-axis scene and save the first frame.</x:v>
      </x:c>
      <x:c r="R70" s="10" t="str">
        <x:v>Independent held-out-composition scene. Source episode 228 supplies target recognition/manipulation under the trained prompt “Place the green pen next to the red block.”. The orthogonal start removes the opposite-side shortcut.</x:v>
      </x:c>
      <x:c r="S70" s="10"/>
    </x:row>
    <x:row r="71" ht="72" customHeight="1">
      <x:c r="A71" s="24" t="str">
        <x:v>Not collected</x:v>
      </x:c>
      <x:c r="B71" s="24" t="n">
        <x:v>69</x:v>
      </x:c>
      <x:c r="C71" s="25" t="str">
        <x:v>Place the green pen next to the red block.</x:v>
      </x:c>
      <x:c r="D71" s="25" t="str">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1" s="24" t="n">
        <x:v>68</x:v>
      </x:c>
      <x:c r="F71" s="24" t="str">
        <x:v>228</x:v>
      </x:c>
      <x:c r="G71" s="24" t="str">
        <x:v>green pen → 2–8 cm edge gap near red block; no directional sector required.</x:v>
      </x:c>
      <x:c r="H71" s="25"/>
      <x:c r="I71" s="24" t="str">
        <x:v>Matched manipulation control</x:v>
      </x:c>
      <x:c r="J71" s="24" t="str">
        <x:v>RP-CT-N07</x:v>
      </x:c>
      <x:c r="K71" s="24" t="str">
        <x:v>left</x:v>
      </x:c>
      <x:c r="L71" s="24" t="str">
        <x:v>Exact-scene masked manipulation control</x:v>
      </x:c>
      <x:c r="M71" s="24" t="str">
        <x:v>green pen</x:v>
      </x:c>
      <x:c r="N71" s="24" t="str">
        <x:v>red block</x:v>
      </x:c>
      <x:c r="O71" s="24" t="str">
        <x:v>None</x:v>
      </x:c>
      <x:c r="P71" s="24" t="n">
        <x:v>3</x:v>
      </x:c>
      <x:c r="Q71" s="24" t="str">
        <x:v>Reset P1 to its marked pose; preserve the exact scene and use the trained control instruction.</x:v>
      </x:c>
      <x:c r="R71" s="25" t="str">
        <x:v>Exact-scene control using the final training prompt from episode 228. The target, reference, distractors, camera, and robot start match the paired transfer row.</x:v>
      </x:c>
      <x:c r="S71" s="25"/>
    </x:row>
    <x:row r="72" ht="72" customHeight="1">
      <x:c r="A72" s="9" t="str">
        <x:v>Not collected</x:v>
      </x:c>
      <x:c r="B72" s="9" t="n">
        <x:v>70</x:v>
      </x:c>
      <x:c r="C72" s="10" t="str">
        <x:v>Position the green pen on the robot's left-hand side of the red block.</x:v>
      </x:c>
      <x:c r="D72" s="10" t="str">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2" s="9" t="n">
        <x:v>68</x:v>
      </x:c>
      <x:c r="F72" s="9" t="str">
        <x:v>228</x:v>
      </x:c>
      <x:c r="G72" s="9" t="str">
        <x:v>green pen → 2–8 cm edge gap to the left of red block; centroid direction within ±45°.</x:v>
      </x:c>
      <x:c r="H72" s="10"/>
      <x:c r="I72" s="9" t="str">
        <x:v>Language robustness</x:v>
      </x:c>
      <x:c r="J72" s="9" t="str">
        <x:v>RP-CT-N07</x:v>
      </x:c>
      <x:c r="K72" s="9" t="str">
        <x:v>left</x:v>
      </x:c>
      <x:c r="L72" s="9" t="str">
        <x:v>Transfer paraphrase of concept/compositional transfer</x:v>
      </x:c>
      <x:c r="M72" s="9" t="str">
        <x:v>green pen</x:v>
      </x:c>
      <x:c r="N72" s="9" t="str">
        <x:v>red block</x:v>
      </x:c>
      <x:c r="O72" s="9" t="str">
        <x:v>None</x:v>
      </x:c>
      <x:c r="P72" s="9" t="n">
        <x:v>3</x:v>
      </x:c>
      <x:c r="Q72" s="9" t="str">
        <x:v>Reset P1 to its marked pose; preserve the exact scene and change only the wording of the transfer instruction.</x:v>
      </x:c>
      <x:c r="R72" s="10" t="str">
        <x:v>Exact-scene paraphrase of the canonical compositional-transfer instruction.</x:v>
      </x:c>
      <x:c r="S72" s="10"/>
    </x:row>
    <x:row r="73" ht="72" customHeight="1">
      <x:c r="A73" s="24" t="str">
        <x:v>Not collected</x:v>
      </x:c>
      <x:c r="B73" s="24" t="n">
        <x:v>71</x:v>
      </x:c>
      <x:c r="C73" s="25" t="str">
        <x:v>Set the green pen down close to the red block.</x:v>
      </x:c>
      <x:c r="D73" s="25" t="str">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3" s="24" t="n">
        <x:v>69</x:v>
      </x:c>
      <x:c r="F73" s="24" t="str">
        <x:v>228</x:v>
      </x:c>
      <x:c r="G73" s="24" t="str">
        <x:v>green pen → 2–8 cm edge gap near red block; no directional sector required.</x:v>
      </x:c>
      <x:c r="H73" s="25"/>
      <x:c r="I73" s="24" t="str">
        <x:v>Language robustness</x:v>
      </x:c>
      <x:c r="J73" s="24" t="str">
        <x:v>RP-CT-N07</x:v>
      </x:c>
      <x:c r="K73" s="24" t="str">
        <x:v>left</x:v>
      </x:c>
      <x:c r="L73" s="24" t="str">
        <x:v>Matched-control paraphrase</x:v>
      </x:c>
      <x:c r="M73" s="24" t="str">
        <x:v>green pen</x:v>
      </x:c>
      <x:c r="N73" s="24" t="str">
        <x:v>red block</x:v>
      </x:c>
      <x:c r="O73" s="24" t="str">
        <x:v>None</x:v>
      </x:c>
      <x:c r="P73" s="24" t="n">
        <x:v>3</x:v>
      </x:c>
      <x:c r="Q73" s="24" t="str">
        <x:v>Reset P1 to its marked pose; preserve the exact scene and change only the wording of the matched-control instruction.</x:v>
      </x:c>
      <x:c r="R73" s="25" t="str">
        <x:v>Exact-scene paraphrase of the training-supported control from episode 228.</x:v>
      </x:c>
      <x:c r="S73" s="25"/>
    </x:row>
    <x:row r="74" ht="72" customHeight="1">
      <x:c r="A74" s="9" t="str">
        <x:v>Not collected</x:v>
      </x:c>
      <x:c r="B74" s="9" t="n">
        <x:v>72</x:v>
      </x:c>
      <x:c r="C74" s="10" t="str">
        <x:v>Place the red block to the left of the green pen.</x:v>
      </x:c>
      <x:c r="D74" s="10" t="str">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4" s="9"/>
      <x:c r="F74" s="9" t="str">
        <x:v>285</x:v>
      </x:c>
      <x:c r="G74" s="9" t="str">
        <x:v>red block → 2–8 cm edge gap to the left of green pen; centroid direction within ±45°.</x:v>
      </x:c>
      <x:c r="H74" s="10"/>
      <x:c r="I74" s="9" t="str">
        <x:v>Concept/compositional transfer</x:v>
      </x:c>
      <x:c r="J74" s="9" t="str">
        <x:v>RP-CT-N08</x:v>
      </x:c>
      <x:c r="K74" s="9" t="str">
        <x:v>left</x:v>
      </x:c>
      <x:c r="L74" s="9" t="str">
        <x:v>Neutral-axis independent compositional-transfer scene</x:v>
      </x:c>
      <x:c r="M74" s="9" t="str">
        <x:v>red block</x:v>
      </x:c>
      <x:c r="N74" s="9" t="str">
        <x:v>green pen</x:v>
      </x:c>
      <x:c r="O74" s="9" t="str">
        <x:v>None</x:v>
      </x:c>
      <x:c r="P74" s="9" t="n">
        <x:v>4</x:v>
      </x:c>
      <x:c r="Q74" s="9" t="str">
        <x:v>Build the listed neutral-axis scene and save the first frame.</x:v>
      </x:c>
      <x:c r="R74" s="10" t="str">
        <x:v>Independent held-out-composition scene. Source episode 285 supplies target recognition/manipulation under the trained prompt “Place the red block next to the green pen.”. The orthogonal start removes the opposite-side shortcut.</x:v>
      </x:c>
      <x:c r="S74" s="10"/>
    </x:row>
    <x:row r="75" ht="72" customHeight="1">
      <x:c r="A75" s="24" t="str">
        <x:v>Not collected</x:v>
      </x:c>
      <x:c r="B75" s="24" t="n">
        <x:v>73</x:v>
      </x:c>
      <x:c r="C75" s="25" t="str">
        <x:v>Place the red block next to the green pen.</x:v>
      </x:c>
      <x:c r="D75" s="25" t="str">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5" s="24" t="n">
        <x:v>72</x:v>
      </x:c>
      <x:c r="F75" s="24" t="str">
        <x:v>285</x:v>
      </x:c>
      <x:c r="G75" s="24" t="str">
        <x:v>red block → 2–8 cm edge gap near green pen; no directional sector required.</x:v>
      </x:c>
      <x:c r="H75" s="25"/>
      <x:c r="I75" s="24" t="str">
        <x:v>Matched manipulation control</x:v>
      </x:c>
      <x:c r="J75" s="24" t="str">
        <x:v>RP-CT-N08</x:v>
      </x:c>
      <x:c r="K75" s="24" t="str">
        <x:v>left</x:v>
      </x:c>
      <x:c r="L75" s="24" t="str">
        <x:v>Exact-scene masked manipulation control</x:v>
      </x:c>
      <x:c r="M75" s="24" t="str">
        <x:v>red block</x:v>
      </x:c>
      <x:c r="N75" s="24" t="str">
        <x:v>green pen</x:v>
      </x:c>
      <x:c r="O75" s="24" t="str">
        <x:v>None</x:v>
      </x:c>
      <x:c r="P75" s="24" t="n">
        <x:v>4</x:v>
      </x:c>
      <x:c r="Q75" s="24" t="str">
        <x:v>Reset P1 to its marked pose; preserve the exact scene and use the trained control instruction.</x:v>
      </x:c>
      <x:c r="R75" s="25" t="str">
        <x:v>Exact-scene control using the final training prompt from episode 285. The target, reference, distractors, camera, and robot start match the paired transfer row.</x:v>
      </x:c>
      <x:c r="S75" s="25"/>
    </x:row>
    <x:row r="76" ht="72" customHeight="1">
      <x:c r="A76" s="9" t="str">
        <x:v>Not collected</x:v>
      </x:c>
      <x:c r="B76" s="9" t="n">
        <x:v>74</x:v>
      </x:c>
      <x:c r="C76" s="10" t="str">
        <x:v>Position the red block on the robot's left-hand side of the green pen.</x:v>
      </x:c>
      <x:c r="D76" s="10" t="str">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6" s="9" t="n">
        <x:v>72</x:v>
      </x:c>
      <x:c r="F76" s="9" t="str">
        <x:v>285</x:v>
      </x:c>
      <x:c r="G76" s="9" t="str">
        <x:v>red block → 2–8 cm edge gap to the left of green pen; centroid direction within ±45°.</x:v>
      </x:c>
      <x:c r="H76" s="10"/>
      <x:c r="I76" s="9" t="str">
        <x:v>Language robustness</x:v>
      </x:c>
      <x:c r="J76" s="9" t="str">
        <x:v>RP-CT-N08</x:v>
      </x:c>
      <x:c r="K76" s="9" t="str">
        <x:v>left</x:v>
      </x:c>
      <x:c r="L76" s="9" t="str">
        <x:v>Transfer paraphrase of concept/compositional transfer</x:v>
      </x:c>
      <x:c r="M76" s="9" t="str">
        <x:v>red block</x:v>
      </x:c>
      <x:c r="N76" s="9" t="str">
        <x:v>green pen</x:v>
      </x:c>
      <x:c r="O76" s="9" t="str">
        <x:v>None</x:v>
      </x:c>
      <x:c r="P76" s="9" t="n">
        <x:v>4</x:v>
      </x:c>
      <x:c r="Q76" s="9" t="str">
        <x:v>Reset P1 to its marked pose; preserve the exact scene and change only the wording of the transfer instruction.</x:v>
      </x:c>
      <x:c r="R76" s="10" t="str">
        <x:v>Exact-scene paraphrase of the canonical compositional-transfer instruction.</x:v>
      </x:c>
      <x:c r="S76" s="10"/>
    </x:row>
    <x:row r="77" ht="72" customHeight="1">
      <x:c r="A77" s="24" t="str">
        <x:v>Not collected</x:v>
      </x:c>
      <x:c r="B77" s="24" t="n">
        <x:v>75</x:v>
      </x:c>
      <x:c r="C77" s="25" t="str">
        <x:v>Set the red block down close to the green pen.</x:v>
      </x:c>
      <x:c r="D77" s="25" t="str">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7" s="24" t="n">
        <x:v>73</x:v>
      </x:c>
      <x:c r="F77" s="24" t="str">
        <x:v>285</x:v>
      </x:c>
      <x:c r="G77" s="24" t="str">
        <x:v>red block → 2–8 cm edge gap near green pen; no directional sector required.</x:v>
      </x:c>
      <x:c r="H77" s="25"/>
      <x:c r="I77" s="24" t="str">
        <x:v>Language robustness</x:v>
      </x:c>
      <x:c r="J77" s="24" t="str">
        <x:v>RP-CT-N08</x:v>
      </x:c>
      <x:c r="K77" s="24" t="str">
        <x:v>left</x:v>
      </x:c>
      <x:c r="L77" s="24" t="str">
        <x:v>Matched-control paraphrase</x:v>
      </x:c>
      <x:c r="M77" s="24" t="str">
        <x:v>red block</x:v>
      </x:c>
      <x:c r="N77" s="24" t="str">
        <x:v>green pen</x:v>
      </x:c>
      <x:c r="O77" s="24" t="str">
        <x:v>None</x:v>
      </x:c>
      <x:c r="P77" s="24" t="n">
        <x:v>4</x:v>
      </x:c>
      <x:c r="Q77" s="24" t="str">
        <x:v>Reset P1 to its marked pose; preserve the exact scene and change only the wording of the matched-control instruction.</x:v>
      </x:c>
      <x:c r="R77" s="25" t="str">
        <x:v>Exact-scene paraphrase of the training-supported control from episode 285.</x:v>
      </x:c>
      <x:c r="S77" s="25"/>
    </x:row>
    <x:row r="78" ht="72" customHeight="1">
      <x:c r="A78" s="9" t="str">
        <x:v>Not collected</x:v>
      </x:c>
      <x:c r="B78" s="9" t="n">
        <x:v>76</x:v>
      </x:c>
      <x:c r="C78" s="10" t="str">
        <x:v>Place the green pen to the right of the red block.</x:v>
      </x:c>
      <x:c r="D78" s="10" t="str">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8" s="9"/>
      <x:c r="F78" s="9" t="str">
        <x:v>240</x:v>
      </x:c>
      <x:c r="G78" s="9" t="str">
        <x:v>green pen → 2–8 cm edge gap to the right of red block; centroid direction within ±45°.</x:v>
      </x:c>
      <x:c r="H78" s="10"/>
      <x:c r="I78" s="9" t="str">
        <x:v>Concept/compositional transfer</x:v>
      </x:c>
      <x:c r="J78" s="9" t="str">
        <x:v>RP-CT-N09</x:v>
      </x:c>
      <x:c r="K78" s="9" t="str">
        <x:v>right</x:v>
      </x:c>
      <x:c r="L78" s="9" t="str">
        <x:v>Neutral-axis independent compositional-transfer scene</x:v>
      </x:c>
      <x:c r="M78" s="9" t="str">
        <x:v>green pen</x:v>
      </x:c>
      <x:c r="N78" s="9" t="str">
        <x:v>red block</x:v>
      </x:c>
      <x:c r="O78" s="9" t="str">
        <x:v>None</x:v>
      </x:c>
      <x:c r="P78" s="9" t="n">
        <x:v>3</x:v>
      </x:c>
      <x:c r="Q78" s="9" t="str">
        <x:v>Build the listed neutral-axis scene and save the first frame.</x:v>
      </x:c>
      <x:c r="R78" s="10" t="str">
        <x:v>Independent held-out-composition scene. Source episode 240 supplies target recognition/manipulation under the trained prompt “Place the green pen next to the red block.”. The orthogonal start removes the opposite-side shortcut.</x:v>
      </x:c>
      <x:c r="S78" s="10"/>
    </x:row>
    <x:row r="79" ht="72" customHeight="1">
      <x:c r="A79" s="24" t="str">
        <x:v>Not collected</x:v>
      </x:c>
      <x:c r="B79" s="24" t="n">
        <x:v>77</x:v>
      </x:c>
      <x:c r="C79" s="25" t="str">
        <x:v>Place the green pen next to the red block.</x:v>
      </x:c>
      <x:c r="D79" s="25" t="str">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9" s="24" t="n">
        <x:v>76</x:v>
      </x:c>
      <x:c r="F79" s="24" t="str">
        <x:v>240</x:v>
      </x:c>
      <x:c r="G79" s="24" t="str">
        <x:v>green pen → 2–8 cm edge gap near red block; no directional sector required.</x:v>
      </x:c>
      <x:c r="H79" s="25"/>
      <x:c r="I79" s="24" t="str">
        <x:v>Matched manipulation control</x:v>
      </x:c>
      <x:c r="J79" s="24" t="str">
        <x:v>RP-CT-N09</x:v>
      </x:c>
      <x:c r="K79" s="24" t="str">
        <x:v>right</x:v>
      </x:c>
      <x:c r="L79" s="24" t="str">
        <x:v>Exact-scene masked manipulation control</x:v>
      </x:c>
      <x:c r="M79" s="24" t="str">
        <x:v>green pen</x:v>
      </x:c>
      <x:c r="N79" s="24" t="str">
        <x:v>red block</x:v>
      </x:c>
      <x:c r="O79" s="24" t="str">
        <x:v>None</x:v>
      </x:c>
      <x:c r="P79" s="24" t="n">
        <x:v>3</x:v>
      </x:c>
      <x:c r="Q79" s="24" t="str">
        <x:v>Reset P1 to its marked pose; preserve the exact scene and use the trained control instruction.</x:v>
      </x:c>
      <x:c r="R79" s="25" t="str">
        <x:v>Exact-scene control using the final training prompt from episode 240. The target, reference, distractors, camera, and robot start match the paired transfer row.</x:v>
      </x:c>
      <x:c r="S79" s="25"/>
    </x:row>
    <x:row r="80" ht="72" customHeight="1">
      <x:c r="A80" s="9" t="str">
        <x:v>Not collected</x:v>
      </x:c>
      <x:c r="B80" s="9" t="n">
        <x:v>78</x:v>
      </x:c>
      <x:c r="C80" s="10" t="str">
        <x:v>Position the green pen on the robot's right-hand side of the red block.</x:v>
      </x:c>
      <x:c r="D80" s="10" t="str">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0" s="9" t="n">
        <x:v>76</x:v>
      </x:c>
      <x:c r="F80" s="9" t="str">
        <x:v>240</x:v>
      </x:c>
      <x:c r="G80" s="9" t="str">
        <x:v>green pen → 2–8 cm edge gap to the right of red block; centroid direction within ±45°.</x:v>
      </x:c>
      <x:c r="H80" s="10"/>
      <x:c r="I80" s="9" t="str">
        <x:v>Language robustness</x:v>
      </x:c>
      <x:c r="J80" s="9" t="str">
        <x:v>RP-CT-N09</x:v>
      </x:c>
      <x:c r="K80" s="9" t="str">
        <x:v>right</x:v>
      </x:c>
      <x:c r="L80" s="9" t="str">
        <x:v>Transfer paraphrase of concept/compositional transfer</x:v>
      </x:c>
      <x:c r="M80" s="9" t="str">
        <x:v>green pen</x:v>
      </x:c>
      <x:c r="N80" s="9" t="str">
        <x:v>red block</x:v>
      </x:c>
      <x:c r="O80" s="9" t="str">
        <x:v>None</x:v>
      </x:c>
      <x:c r="P80" s="9" t="n">
        <x:v>3</x:v>
      </x:c>
      <x:c r="Q80" s="9" t="str">
        <x:v>Reset P1 to its marked pose; preserve the exact scene and change only the wording of the transfer instruction.</x:v>
      </x:c>
      <x:c r="R80" s="10" t="str">
        <x:v>Exact-scene paraphrase of the canonical compositional-transfer instruction.</x:v>
      </x:c>
      <x:c r="S80" s="10"/>
    </x:row>
    <x:row r="81" ht="72" customHeight="1">
      <x:c r="A81" s="24" t="str">
        <x:v>Not collected</x:v>
      </x:c>
      <x:c r="B81" s="24" t="n">
        <x:v>79</x:v>
      </x:c>
      <x:c r="C81" s="25" t="str">
        <x:v>Set the green pen down close to the red block.</x:v>
      </x:c>
      <x:c r="D81" s="25" t="str">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1" s="24" t="n">
        <x:v>77</x:v>
      </x:c>
      <x:c r="F81" s="24" t="str">
        <x:v>240</x:v>
      </x:c>
      <x:c r="G81" s="24" t="str">
        <x:v>green pen → 2–8 cm edge gap near red block; no directional sector required.</x:v>
      </x:c>
      <x:c r="H81" s="25"/>
      <x:c r="I81" s="24" t="str">
        <x:v>Language robustness</x:v>
      </x:c>
      <x:c r="J81" s="24" t="str">
        <x:v>RP-CT-N09</x:v>
      </x:c>
      <x:c r="K81" s="24" t="str">
        <x:v>right</x:v>
      </x:c>
      <x:c r="L81" s="24" t="str">
        <x:v>Matched-control paraphrase</x:v>
      </x:c>
      <x:c r="M81" s="24" t="str">
        <x:v>green pen</x:v>
      </x:c>
      <x:c r="N81" s="24" t="str">
        <x:v>red block</x:v>
      </x:c>
      <x:c r="O81" s="24" t="str">
        <x:v>None</x:v>
      </x:c>
      <x:c r="P81" s="24" t="n">
        <x:v>3</x:v>
      </x:c>
      <x:c r="Q81" s="24" t="str">
        <x:v>Reset P1 to its marked pose; preserve the exact scene and change only the wording of the matched-control instruction.</x:v>
      </x:c>
      <x:c r="R81" s="25" t="str">
        <x:v>Exact-scene paraphrase of the training-supported control from episode 240.</x:v>
      </x:c>
      <x:c r="S81" s="25"/>
    </x:row>
    <x:row r="82" ht="72" customHeight="1">
      <x:c r="A82" s="9" t="str">
        <x:v>Not collected</x:v>
      </x:c>
      <x:c r="B82" s="9" t="n">
        <x:v>80</x:v>
      </x:c>
      <x:c r="C82" s="10" t="str">
        <x:v>Place the red block to the right of the green pen.</x:v>
      </x:c>
      <x:c r="D82" s="10" t="str">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2" s="9"/>
      <x:c r="F82" s="9" t="str">
        <x:v>298</x:v>
      </x:c>
      <x:c r="G82" s="9" t="str">
        <x:v>red block → 2–8 cm edge gap to the right of green pen; centroid direction within ±45°.</x:v>
      </x:c>
      <x:c r="H82" s="10"/>
      <x:c r="I82" s="9" t="str">
        <x:v>Concept/compositional transfer</x:v>
      </x:c>
      <x:c r="J82" s="9" t="str">
        <x:v>RP-CT-N10</x:v>
      </x:c>
      <x:c r="K82" s="9" t="str">
        <x:v>right</x:v>
      </x:c>
      <x:c r="L82" s="9" t="str">
        <x:v>Neutral-axis independent compositional-transfer scene</x:v>
      </x:c>
      <x:c r="M82" s="9" t="str">
        <x:v>red block</x:v>
      </x:c>
      <x:c r="N82" s="9" t="str">
        <x:v>green pen</x:v>
      </x:c>
      <x:c r="O82" s="9" t="str">
        <x:v>None</x:v>
      </x:c>
      <x:c r="P82" s="9" t="n">
        <x:v>4</x:v>
      </x:c>
      <x:c r="Q82" s="9" t="str">
        <x:v>Build the listed neutral-axis scene and save the first frame.</x:v>
      </x:c>
      <x:c r="R82" s="10" t="str">
        <x:v>Independent held-out-composition scene. Source episode 298 supplies target recognition/manipulation under the trained prompt “Put the red block beside the green pen.”. The orthogonal start removes the opposite-side shortcut.</x:v>
      </x:c>
      <x:c r="S82" s="10"/>
    </x:row>
    <x:row r="83" ht="72" customHeight="1">
      <x:c r="A83" s="9" t="str">
        <x:v>Not collected</x:v>
      </x:c>
      <x:c r="B83" s="9" t="n">
        <x:v>81</x:v>
      </x:c>
      <x:c r="C83" s="10" t="str">
        <x:v>Put the red block beside the green pen.</x:v>
      </x:c>
      <x:c r="D83" s="10" t="str">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3" s="9" t="n">
        <x:v>80</x:v>
      </x:c>
      <x:c r="F83" s="9" t="str">
        <x:v>298</x:v>
      </x:c>
      <x:c r="G83" s="9" t="str">
        <x:v>red block → 2–8 cm edge gap near green pen; no directional sector required.</x:v>
      </x:c>
      <x:c r="H83" s="10"/>
      <x:c r="I83" s="9" t="str">
        <x:v>Matched manipulation control</x:v>
      </x:c>
      <x:c r="J83" s="9" t="str">
        <x:v>RP-CT-N10</x:v>
      </x:c>
      <x:c r="K83" s="9" t="str">
        <x:v>right</x:v>
      </x:c>
      <x:c r="L83" s="9" t="str">
        <x:v>Exact-scene masked manipulation control</x:v>
      </x:c>
      <x:c r="M83" s="9" t="str">
        <x:v>red block</x:v>
      </x:c>
      <x:c r="N83" s="9" t="str">
        <x:v>green pen</x:v>
      </x:c>
      <x:c r="O83" s="9" t="str">
        <x:v>None</x:v>
      </x:c>
      <x:c r="P83" s="9" t="n">
        <x:v>4</x:v>
      </x:c>
      <x:c r="Q83" s="9" t="str">
        <x:v>Reset P1 to its marked pose; preserve the exact scene and use the trained control instruction.</x:v>
      </x:c>
      <x:c r="R83" s="10" t="str">
        <x:v>Exact-scene control using the final training prompt from episode 298. The target, reference, distractors, camera, and robot start match the paired transfer row.</x:v>
      </x:c>
      <x:c r="S83" s="10"/>
    </x:row>
    <x:row r="84" ht="72" customHeight="1">
      <x:c r="A84" s="9" t="str">
        <x:v>Not collected</x:v>
      </x:c>
      <x:c r="B84" s="9" t="n">
        <x:v>82</x:v>
      </x:c>
      <x:c r="C84" s="10" t="str">
        <x:v>Position the red block on the robot's right-hand side of the green pen.</x:v>
      </x:c>
      <x:c r="D84" s="10" t="str">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4" s="9" t="n">
        <x:v>80</x:v>
      </x:c>
      <x:c r="F84" s="9" t="str">
        <x:v>298</x:v>
      </x:c>
      <x:c r="G84" s="9" t="str">
        <x:v>red block → 2–8 cm edge gap to the right of green pen; centroid direction within ±45°.</x:v>
      </x:c>
      <x:c r="H84" s="10"/>
      <x:c r="I84" s="9" t="str">
        <x:v>Language robustness</x:v>
      </x:c>
      <x:c r="J84" s="9" t="str">
        <x:v>RP-CT-N10</x:v>
      </x:c>
      <x:c r="K84" s="9" t="str">
        <x:v>right</x:v>
      </x:c>
      <x:c r="L84" s="9" t="str">
        <x:v>Transfer paraphrase of concept/compositional transfer</x:v>
      </x:c>
      <x:c r="M84" s="9" t="str">
        <x:v>red block</x:v>
      </x:c>
      <x:c r="N84" s="9" t="str">
        <x:v>green pen</x:v>
      </x:c>
      <x:c r="O84" s="9" t="str">
        <x:v>None</x:v>
      </x:c>
      <x:c r="P84" s="9" t="n">
        <x:v>4</x:v>
      </x:c>
      <x:c r="Q84" s="9" t="str">
        <x:v>Reset P1 to its marked pose; preserve the exact scene and change only the wording of the transfer instruction.</x:v>
      </x:c>
      <x:c r="R84" s="10" t="str">
        <x:v>Exact-scene paraphrase of the canonical compositional-transfer instruction.</x:v>
      </x:c>
      <x:c r="S84" s="10"/>
    </x:row>
    <x:row r="85" ht="72" customHeight="1">
      <x:c r="A85" s="9" t="str">
        <x:v>Not collected</x:v>
      </x:c>
      <x:c r="B85" s="9" t="n">
        <x:v>83</x:v>
      </x:c>
      <x:c r="C85" s="10" t="str">
        <x:v>Set the red block down close to the green pen.</x:v>
      </x:c>
      <x:c r="D85" s="10" t="str">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5" s="9" t="n">
        <x:v>81</x:v>
      </x:c>
      <x:c r="F85" s="9" t="str">
        <x:v>298</x:v>
      </x:c>
      <x:c r="G85" s="9" t="str">
        <x:v>red block → 2–8 cm edge gap near green pen; no directional sector required.</x:v>
      </x:c>
      <x:c r="H85" s="10"/>
      <x:c r="I85" s="9" t="str">
        <x:v>Language robustness</x:v>
      </x:c>
      <x:c r="J85" s="9" t="str">
        <x:v>RP-CT-N10</x:v>
      </x:c>
      <x:c r="K85" s="9" t="str">
        <x:v>right</x:v>
      </x:c>
      <x:c r="L85" s="9" t="str">
        <x:v>Matched-control paraphrase</x:v>
      </x:c>
      <x:c r="M85" s="9" t="str">
        <x:v>red block</x:v>
      </x:c>
      <x:c r="N85" s="9" t="str">
        <x:v>green pen</x:v>
      </x:c>
      <x:c r="O85" s="9" t="str">
        <x:v>None</x:v>
      </x:c>
      <x:c r="P85" s="9" t="n">
        <x:v>4</x:v>
      </x:c>
      <x:c r="Q85" s="9" t="str">
        <x:v>Reset P1 to its marked pose; preserve the exact scene and change only the wording of the matched-control instruction.</x:v>
      </x:c>
      <x:c r="R85" s="10" t="str">
        <x:v>Exact-scene paraphrase of the training-supported control from episode 298.</x:v>
      </x:c>
      <x:c r="S85" s="10"/>
    </x:row>
    <x:row r="86" ht="72" customHeight="1">
      <x:c r="A86" s="9" t="str">
        <x:v>Not collected</x:v>
      </x:c>
      <x:c r="B86" s="9" t="n">
        <x:v>84</x:v>
      </x:c>
      <x:c r="C86" s="10" t="str">
        <x:v>Place the green pen in front of the red block.</x:v>
      </x:c>
      <x:c r="D86" s="10" t="str">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6" s="9"/>
      <x:c r="F86" s="9" t="str">
        <x:v>202</x:v>
      </x:c>
      <x:c r="G86" s="9" t="str">
        <x:v>green pen → 2–8 cm edge gap in front of red block; centroid direction within ±45°.</x:v>
      </x:c>
      <x:c r="H86" s="10"/>
      <x:c r="I86" s="9" t="str">
        <x:v>Concept/compositional transfer</x:v>
      </x:c>
      <x:c r="J86" s="9" t="str">
        <x:v>RP-CT-N11</x:v>
      </x:c>
      <x:c r="K86" s="9" t="str">
        <x:v>front</x:v>
      </x:c>
      <x:c r="L86" s="9" t="str">
        <x:v>Neutral-axis independent compositional-transfer scene</x:v>
      </x:c>
      <x:c r="M86" s="9" t="str">
        <x:v>green pen</x:v>
      </x:c>
      <x:c r="N86" s="9" t="str">
        <x:v>red block</x:v>
      </x:c>
      <x:c r="O86" s="9" t="str">
        <x:v>None</x:v>
      </x:c>
      <x:c r="P86" s="9" t="n">
        <x:v>4</x:v>
      </x:c>
      <x:c r="Q86" s="9" t="str">
        <x:v>Build the listed neutral-axis scene and save the first frame.</x:v>
      </x:c>
      <x:c r="R86" s="10" t="str">
        <x:v>Independent held-out-composition scene. Source episode 202 supplies target recognition/manipulation under the trained prompt “Put the green pen beside the red block.”. The orthogonal start removes the opposite-side shortcut.</x:v>
      </x:c>
      <x:c r="S86" s="10"/>
    </x:row>
    <x:row r="87" ht="72" customHeight="1">
      <x:c r="A87" s="9" t="str">
        <x:v>Not collected</x:v>
      </x:c>
      <x:c r="B87" s="9" t="n">
        <x:v>85</x:v>
      </x:c>
      <x:c r="C87" s="10" t="str">
        <x:v>Put the green pen beside the red block.</x:v>
      </x:c>
      <x:c r="D87" s="10" t="str">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7" s="9" t="n">
        <x:v>84</x:v>
      </x:c>
      <x:c r="F87" s="9" t="str">
        <x:v>202</x:v>
      </x:c>
      <x:c r="G87" s="9" t="str">
        <x:v>green pen → 2–8 cm edge gap near red block; no directional sector required.</x:v>
      </x:c>
      <x:c r="H87" s="10"/>
      <x:c r="I87" s="9" t="str">
        <x:v>Matched manipulation control</x:v>
      </x:c>
      <x:c r="J87" s="9" t="str">
        <x:v>RP-CT-N11</x:v>
      </x:c>
      <x:c r="K87" s="9" t="str">
        <x:v>front</x:v>
      </x:c>
      <x:c r="L87" s="9" t="str">
        <x:v>Exact-scene masked manipulation control</x:v>
      </x:c>
      <x:c r="M87" s="9" t="str">
        <x:v>green pen</x:v>
      </x:c>
      <x:c r="N87" s="9" t="str">
        <x:v>red block</x:v>
      </x:c>
      <x:c r="O87" s="9" t="str">
        <x:v>None</x:v>
      </x:c>
      <x:c r="P87" s="9" t="n">
        <x:v>4</x:v>
      </x:c>
      <x:c r="Q87" s="9" t="str">
        <x:v>Reset P1 to its marked pose; preserve the exact scene and use the trained control instruction.</x:v>
      </x:c>
      <x:c r="R87" s="10" t="str">
        <x:v>Exact-scene control using the final training prompt from episode 202. The target, reference, distractors, camera, and robot start match the paired transfer row.</x:v>
      </x:c>
      <x:c r="S87" s="10"/>
    </x:row>
    <x:row r="88" ht="72" customHeight="1">
      <x:c r="A88" s="9" t="str">
        <x:v>Not collected</x:v>
      </x:c>
      <x:c r="B88" s="9" t="n">
        <x:v>86</x:v>
      </x:c>
      <x:c r="C88" s="10" t="str">
        <x:v>Place the red block in front of the green pen.</x:v>
      </x:c>
      <x:c r="D88" s="10" t="str">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8" s="9"/>
      <x:c r="F88" s="9" t="str">
        <x:v>261</x:v>
      </x:c>
      <x:c r="G88" s="9" t="str">
        <x:v>red block → 2–8 cm edge gap in front of green pen; centroid direction within ±45°.</x:v>
      </x:c>
      <x:c r="H88" s="10"/>
      <x:c r="I88" s="9" t="str">
        <x:v>Concept/compositional transfer</x:v>
      </x:c>
      <x:c r="J88" s="9" t="str">
        <x:v>RP-CT-N12</x:v>
      </x:c>
      <x:c r="K88" s="9" t="str">
        <x:v>front</x:v>
      </x:c>
      <x:c r="L88" s="9" t="str">
        <x:v>Neutral-axis independent compositional-transfer scene</x:v>
      </x:c>
      <x:c r="M88" s="9" t="str">
        <x:v>red block</x:v>
      </x:c>
      <x:c r="N88" s="9" t="str">
        <x:v>green pen</x:v>
      </x:c>
      <x:c r="O88" s="9" t="str">
        <x:v>None</x:v>
      </x:c>
      <x:c r="P88" s="9" t="n">
        <x:v>3</x:v>
      </x:c>
      <x:c r="Q88" s="9" t="str">
        <x:v>Build the listed neutral-axis scene and save the first frame.</x:v>
      </x:c>
      <x:c r="R88" s="10" t="str">
        <x:v>Independent held-out-composition scene. Source episode 261 supplies target recognition/manipulation under the trained prompt “Place the red block next to the green pen.”. The orthogonal start removes the opposite-side shortcut.</x:v>
      </x:c>
      <x:c r="S88" s="10"/>
    </x:row>
    <x:row r="89" ht="72" customHeight="1">
      <x:c r="A89" s="9" t="str">
        <x:v>Not collected</x:v>
      </x:c>
      <x:c r="B89" s="9" t="n">
        <x:v>87</x:v>
      </x:c>
      <x:c r="C89" s="10" t="str">
        <x:v>Place the red block next to the green pen.</x:v>
      </x:c>
      <x:c r="D89" s="10" t="str">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9" s="9" t="n">
        <x:v>86</x:v>
      </x:c>
      <x:c r="F89" s="9" t="str">
        <x:v>261</x:v>
      </x:c>
      <x:c r="G89" s="9" t="str">
        <x:v>red block → 2–8 cm edge gap near green pen; no directional sector required.</x:v>
      </x:c>
      <x:c r="H89" s="10"/>
      <x:c r="I89" s="9" t="str">
        <x:v>Matched manipulation control</x:v>
      </x:c>
      <x:c r="J89" s="9" t="str">
        <x:v>RP-CT-N12</x:v>
      </x:c>
      <x:c r="K89" s="9" t="str">
        <x:v>front</x:v>
      </x:c>
      <x:c r="L89" s="9" t="str">
        <x:v>Exact-scene masked manipulation control</x:v>
      </x:c>
      <x:c r="M89" s="9" t="str">
        <x:v>red block</x:v>
      </x:c>
      <x:c r="N89" s="9" t="str">
        <x:v>green pen</x:v>
      </x:c>
      <x:c r="O89" s="9" t="str">
        <x:v>None</x:v>
      </x:c>
      <x:c r="P89" s="9" t="n">
        <x:v>3</x:v>
      </x:c>
      <x:c r="Q89" s="9" t="str">
        <x:v>Reset P1 to its marked pose; preserve the exact scene and use the trained control instruction.</x:v>
      </x:c>
      <x:c r="R89" s="10" t="str">
        <x:v>Exact-scene control using the final training prompt from episode 261. The target, reference, distractors, camera, and robot start match the paired transfer row.</x:v>
      </x:c>
      <x:c r="S89" s="10"/>
    </x:row>
    <x:row r="90" ht="72" customHeight="1">
      <x:c r="A90" s="9" t="str">
        <x:v>Not collected</x:v>
      </x:c>
      <x:c r="B90" s="9" t="n">
        <x:v>88</x:v>
      </x:c>
      <x:c r="C90" s="10" t="str">
        <x:v>Place the green pen behind the red block.</x:v>
      </x:c>
      <x:c r="D90" s="10" t="str">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0" s="9"/>
      <x:c r="F90" s="9" t="str">
        <x:v>213</x:v>
      </x:c>
      <x:c r="G90" s="9" t="str">
        <x:v>green pen → 2–8 cm edge gap behind red block; centroid direction within ±45°.</x:v>
      </x:c>
      <x:c r="H90" s="10"/>
      <x:c r="I90" s="9" t="str">
        <x:v>Concept/compositional transfer</x:v>
      </x:c>
      <x:c r="J90" s="9" t="str">
        <x:v>RP-CT-N13</x:v>
      </x:c>
      <x:c r="K90" s="9" t="str">
        <x:v>behind</x:v>
      </x:c>
      <x:c r="L90" s="9" t="str">
        <x:v>Neutral-axis independent compositional-transfer scene</x:v>
      </x:c>
      <x:c r="M90" s="9" t="str">
        <x:v>green pen</x:v>
      </x:c>
      <x:c r="N90" s="9" t="str">
        <x:v>red block</x:v>
      </x:c>
      <x:c r="O90" s="9" t="str">
        <x:v>None</x:v>
      </x:c>
      <x:c r="P90" s="9" t="n">
        <x:v>3</x:v>
      </x:c>
      <x:c r="Q90" s="9" t="str">
        <x:v>Build the listed neutral-axis scene and save the first frame.</x:v>
      </x:c>
      <x:c r="R90" s="10" t="str">
        <x:v>Independent held-out-composition scene. Source episode 213 supplies target recognition/manipulation under the trained prompt “Place the green pen next to the red block.”. The orthogonal start removes the opposite-side shortcut.</x:v>
      </x:c>
      <x:c r="S90" s="10"/>
    </x:row>
    <x:row r="91" ht="72" customHeight="1">
      <x:c r="A91" s="9" t="str">
        <x:v>Not collected</x:v>
      </x:c>
      <x:c r="B91" s="9" t="n">
        <x:v>89</x:v>
      </x:c>
      <x:c r="C91" s="10" t="str">
        <x:v>Place the green pen next to the red block.</x:v>
      </x:c>
      <x:c r="D91" s="10" t="str">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1" s="9" t="n">
        <x:v>88</x:v>
      </x:c>
      <x:c r="F91" s="9" t="str">
        <x:v>213</x:v>
      </x:c>
      <x:c r="G91" s="9" t="str">
        <x:v>green pen → 2–8 cm edge gap near red block; no directional sector required.</x:v>
      </x:c>
      <x:c r="H91" s="10"/>
      <x:c r="I91" s="9" t="str">
        <x:v>Matched manipulation control</x:v>
      </x:c>
      <x:c r="J91" s="9" t="str">
        <x:v>RP-CT-N13</x:v>
      </x:c>
      <x:c r="K91" s="9" t="str">
        <x:v>behind</x:v>
      </x:c>
      <x:c r="L91" s="9" t="str">
        <x:v>Exact-scene masked manipulation control</x:v>
      </x:c>
      <x:c r="M91" s="9" t="str">
        <x:v>green pen</x:v>
      </x:c>
      <x:c r="N91" s="9" t="str">
        <x:v>red block</x:v>
      </x:c>
      <x:c r="O91" s="9" t="str">
        <x:v>None</x:v>
      </x:c>
      <x:c r="P91" s="9" t="n">
        <x:v>3</x:v>
      </x:c>
      <x:c r="Q91" s="9" t="str">
        <x:v>Reset P1 to its marked pose; preserve the exact scene and use the trained control instruction.</x:v>
      </x:c>
      <x:c r="R91" s="10" t="str">
        <x:v>Exact-scene control using the final training prompt from episode 213. The target, reference, distractors, camera, and robot start match the paired transfer row.</x:v>
      </x:c>
      <x:c r="S91" s="10"/>
    </x:row>
    <x:row r="92" ht="72" customHeight="1">
      <x:c r="A92" s="9" t="str">
        <x:v>Not collected</x:v>
      </x:c>
      <x:c r="B92" s="9" t="n">
        <x:v>90</x:v>
      </x:c>
      <x:c r="C92" s="10" t="str">
        <x:v>Place the red block behind the green pen.</x:v>
      </x:c>
      <x:c r="D92" s="10" t="str">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2" s="9"/>
      <x:c r="F92" s="9" t="str">
        <x:v>273</x:v>
      </x:c>
      <x:c r="G92" s="9" t="str">
        <x:v>red block → 2–8 cm edge gap behind green pen; centroid direction within ±45°.</x:v>
      </x:c>
      <x:c r="H92" s="10"/>
      <x:c r="I92" s="9" t="str">
        <x:v>Concept/compositional transfer</x:v>
      </x:c>
      <x:c r="J92" s="9" t="str">
        <x:v>RP-CT-N14</x:v>
      </x:c>
      <x:c r="K92" s="9" t="str">
        <x:v>behind</x:v>
      </x:c>
      <x:c r="L92" s="9" t="str">
        <x:v>Neutral-axis independent compositional-transfer scene</x:v>
      </x:c>
      <x:c r="M92" s="9" t="str">
        <x:v>red block</x:v>
      </x:c>
      <x:c r="N92" s="9" t="str">
        <x:v>green pen</x:v>
      </x:c>
      <x:c r="O92" s="9" t="str">
        <x:v>None</x:v>
      </x:c>
      <x:c r="P92" s="9" t="n">
        <x:v>4</x:v>
      </x:c>
      <x:c r="Q92" s="9" t="str">
        <x:v>Build the listed neutral-axis scene and save the first frame.</x:v>
      </x:c>
      <x:c r="R92" s="10" t="str">
        <x:v>Independent held-out-composition scene. Source episode 273 supplies target recognition/manipulation under the trained prompt “Place the red block next to the green pen.”. The orthogonal start removes the opposite-side shortcut.</x:v>
      </x:c>
      <x:c r="S92" s="10"/>
    </x:row>
    <x:row r="93" ht="72" customHeight="1">
      <x:c r="A93" s="9" t="str">
        <x:v>Not collected</x:v>
      </x:c>
      <x:c r="B93" s="9" t="n">
        <x:v>91</x:v>
      </x:c>
      <x:c r="C93" s="10" t="str">
        <x:v>Place the red block next to the green pen.</x:v>
      </x:c>
      <x:c r="D93" s="10" t="str">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3" s="9" t="n">
        <x:v>90</x:v>
      </x:c>
      <x:c r="F93" s="9" t="str">
        <x:v>273</x:v>
      </x:c>
      <x:c r="G93" s="9" t="str">
        <x:v>red block → 2–8 cm edge gap near green pen; no directional sector required.</x:v>
      </x:c>
      <x:c r="H93" s="10"/>
      <x:c r="I93" s="9" t="str">
        <x:v>Matched manipulation control</x:v>
      </x:c>
      <x:c r="J93" s="9" t="str">
        <x:v>RP-CT-N14</x:v>
      </x:c>
      <x:c r="K93" s="9" t="str">
        <x:v>behind</x:v>
      </x:c>
      <x:c r="L93" s="9" t="str">
        <x:v>Exact-scene masked manipulation control</x:v>
      </x:c>
      <x:c r="M93" s="9" t="str">
        <x:v>red block</x:v>
      </x:c>
      <x:c r="N93" s="9" t="str">
        <x:v>green pen</x:v>
      </x:c>
      <x:c r="O93" s="9" t="str">
        <x:v>None</x:v>
      </x:c>
      <x:c r="P93" s="9" t="n">
        <x:v>4</x:v>
      </x:c>
      <x:c r="Q93" s="9" t="str">
        <x:v>Reset P1 to its marked pose; preserve the exact scene and use the trained control instruction.</x:v>
      </x:c>
      <x:c r="R93" s="10" t="str">
        <x:v>Exact-scene control using the final training prompt from episode 273. The target, reference, distractors, camera, and robot start match the paired transfer row.</x:v>
      </x:c>
      <x:c r="S93" s="10"/>
    </x:row>
    <x:row r="94" ht="72" customHeight="1">
      <x:c r="A94" s="9" t="str">
        <x:v>Not collected</x:v>
      </x:c>
      <x:c r="B94" s="9" t="n">
        <x:v>92</x:v>
      </x:c>
      <x:c r="C94" s="10" t="str">
        <x:v>Place the green pen to the left of the red block.</x:v>
      </x:c>
      <x:c r="D94" s="10" t="str">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4" s="9"/>
      <x:c r="F94" s="9" t="str">
        <x:v>227</x:v>
      </x:c>
      <x:c r="G94" s="9" t="str">
        <x:v>green pen → 2–8 cm edge gap to the left of red block; centroid direction within ±45°.</x:v>
      </x:c>
      <x:c r="H94" s="10"/>
      <x:c r="I94" s="9" t="str">
        <x:v>Concept/compositional transfer</x:v>
      </x:c>
      <x:c r="J94" s="9" t="str">
        <x:v>RP-CT-N15</x:v>
      </x:c>
      <x:c r="K94" s="9" t="str">
        <x:v>left</x:v>
      </x:c>
      <x:c r="L94" s="9" t="str">
        <x:v>Neutral-axis independent compositional-transfer scene</x:v>
      </x:c>
      <x:c r="M94" s="9" t="str">
        <x:v>green pen</x:v>
      </x:c>
      <x:c r="N94" s="9" t="str">
        <x:v>red block</x:v>
      </x:c>
      <x:c r="O94" s="9" t="str">
        <x:v>None</x:v>
      </x:c>
      <x:c r="P94" s="9" t="n">
        <x:v>4</x:v>
      </x:c>
      <x:c r="Q94" s="9" t="str">
        <x:v>Build the listed neutral-axis scene and save the first frame.</x:v>
      </x:c>
      <x:c r="R94" s="10" t="str">
        <x:v>Independent held-out-composition scene. Source episode 227 supplies target recognition/manipulation under the trained prompt “Move the green pen near the red block.”. The orthogonal start removes the opposite-side shortcut.</x:v>
      </x:c>
      <x:c r="S94" s="10"/>
    </x:row>
    <x:row r="95" ht="72" customHeight="1">
      <x:c r="A95" s="9" t="str">
        <x:v>Not collected</x:v>
      </x:c>
      <x:c r="B95" s="9" t="n">
        <x:v>93</x:v>
      </x:c>
      <x:c r="C95" s="10" t="str">
        <x:v>Move the green pen near the red block.</x:v>
      </x:c>
      <x:c r="D95" s="10" t="str">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5" s="9" t="n">
        <x:v>92</x:v>
      </x:c>
      <x:c r="F95" s="9" t="str">
        <x:v>227</x:v>
      </x:c>
      <x:c r="G95" s="9" t="str">
        <x:v>green pen → 2–8 cm edge gap near red block; no directional sector required.</x:v>
      </x:c>
      <x:c r="H95" s="10"/>
      <x:c r="I95" s="9" t="str">
        <x:v>Matched manipulation control</x:v>
      </x:c>
      <x:c r="J95" s="9" t="str">
        <x:v>RP-CT-N15</x:v>
      </x:c>
      <x:c r="K95" s="9" t="str">
        <x:v>left</x:v>
      </x:c>
      <x:c r="L95" s="9" t="str">
        <x:v>Exact-scene masked manipulation control</x:v>
      </x:c>
      <x:c r="M95" s="9" t="str">
        <x:v>green pen</x:v>
      </x:c>
      <x:c r="N95" s="9" t="str">
        <x:v>red block</x:v>
      </x:c>
      <x:c r="O95" s="9" t="str">
        <x:v>None</x:v>
      </x:c>
      <x:c r="P95" s="9" t="n">
        <x:v>4</x:v>
      </x:c>
      <x:c r="Q95" s="9" t="str">
        <x:v>Reset P1 to its marked pose; preserve the exact scene and use the trained control instruction.</x:v>
      </x:c>
      <x:c r="R95" s="10" t="str">
        <x:v>Exact-scene control using the final training prompt from episode 227. The target, reference, distractors, camera, and robot start match the paired transfer row.</x:v>
      </x:c>
      <x:c r="S95" s="10"/>
    </x:row>
    <x:row r="96" ht="72" customHeight="1">
      <x:c r="A96" s="9" t="str">
        <x:v>Not collected</x:v>
      </x:c>
      <x:c r="B96" s="9" t="n">
        <x:v>94</x:v>
      </x:c>
      <x:c r="C96" s="10" t="str">
        <x:v>Place the red block to the left of the green pen.</x:v>
      </x:c>
      <x:c r="D96" s="10" t="str">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6" s="9"/>
      <x:c r="F96" s="9" t="str">
        <x:v>286</x:v>
      </x:c>
      <x:c r="G96" s="9" t="str">
        <x:v>red block → 2–8 cm edge gap to the left of green pen; centroid direction within ±45°.</x:v>
      </x:c>
      <x:c r="H96" s="10"/>
      <x:c r="I96" s="9" t="str">
        <x:v>Concept/compositional transfer</x:v>
      </x:c>
      <x:c r="J96" s="9" t="str">
        <x:v>RP-CT-N16</x:v>
      </x:c>
      <x:c r="K96" s="9" t="str">
        <x:v>left</x:v>
      </x:c>
      <x:c r="L96" s="9" t="str">
        <x:v>Neutral-axis independent compositional-transfer scene</x:v>
      </x:c>
      <x:c r="M96" s="9" t="str">
        <x:v>red block</x:v>
      </x:c>
      <x:c r="N96" s="9" t="str">
        <x:v>green pen</x:v>
      </x:c>
      <x:c r="O96" s="9" t="str">
        <x:v>None</x:v>
      </x:c>
      <x:c r="P96" s="9" t="n">
        <x:v>3</x:v>
      </x:c>
      <x:c r="Q96" s="9" t="str">
        <x:v>Build the listed neutral-axis scene and save the first frame.</x:v>
      </x:c>
      <x:c r="R96" s="10" t="str">
        <x:v>Independent held-out-composition scene. Source episode 286 supplies target recognition/manipulation under the trained prompt “Put the red block beside the green pen.”. The orthogonal start removes the opposite-side shortcut.</x:v>
      </x:c>
      <x:c r="S96" s="10"/>
    </x:row>
    <x:row r="97" ht="72" customHeight="1">
      <x:c r="A97" s="9" t="str">
        <x:v>Not collected</x:v>
      </x:c>
      <x:c r="B97" s="9" t="n">
        <x:v>95</x:v>
      </x:c>
      <x:c r="C97" s="10" t="str">
        <x:v>Put the red block beside the green pen.</x:v>
      </x:c>
      <x:c r="D97" s="10" t="str">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7" s="9" t="n">
        <x:v>94</x:v>
      </x:c>
      <x:c r="F97" s="9" t="str">
        <x:v>286</x:v>
      </x:c>
      <x:c r="G97" s="9" t="str">
        <x:v>red block → 2–8 cm edge gap near green pen; no directional sector required.</x:v>
      </x:c>
      <x:c r="H97" s="10"/>
      <x:c r="I97" s="9" t="str">
        <x:v>Matched manipulation control</x:v>
      </x:c>
      <x:c r="J97" s="9" t="str">
        <x:v>RP-CT-N16</x:v>
      </x:c>
      <x:c r="K97" s="9" t="str">
        <x:v>left</x:v>
      </x:c>
      <x:c r="L97" s="9" t="str">
        <x:v>Exact-scene masked manipulation control</x:v>
      </x:c>
      <x:c r="M97" s="9" t="str">
        <x:v>red block</x:v>
      </x:c>
      <x:c r="N97" s="9" t="str">
        <x:v>green pen</x:v>
      </x:c>
      <x:c r="O97" s="9" t="str">
        <x:v>None</x:v>
      </x:c>
      <x:c r="P97" s="9" t="n">
        <x:v>3</x:v>
      </x:c>
      <x:c r="Q97" s="9" t="str">
        <x:v>Reset P1 to its marked pose; preserve the exact scene and use the trained control instruction.</x:v>
      </x:c>
      <x:c r="R97" s="10" t="str">
        <x:v>Exact-scene control using the final training prompt from episode 286. The target, reference, distractors, camera, and robot start match the paired transfer row.</x:v>
      </x:c>
      <x:c r="S97" s="10"/>
    </x:row>
    <x:row r="98" ht="72" customHeight="1">
      <x:c r="A98" s="9" t="str">
        <x:v>Not collected</x:v>
      </x:c>
      <x:c r="B98" s="9" t="n">
        <x:v>96</x:v>
      </x:c>
      <x:c r="C98" s="10" t="str">
        <x:v>Place the red block to the left of the green pen.</x:v>
      </x:c>
      <x:c r="D98" s="10" t="str">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8" s="9"/>
      <x:c r="F98" s="9" t="str">
        <x:v>285</x:v>
      </x:c>
      <x:c r="G98" s="9" t="str">
        <x:v>red block → 2–8 cm edge gap to the left of green pen; centroid direction within ±45°.</x:v>
      </x:c>
      <x:c r="H98" s="10"/>
      <x:c r="I98" s="9" t="str">
        <x:v>Concept/compositional transfer</x:v>
      </x:c>
      <x:c r="J98" s="9" t="str">
        <x:v>RP-CT-N17</x:v>
      </x:c>
      <x:c r="K98" s="9" t="str">
        <x:v>left</x:v>
      </x:c>
      <x:c r="L98" s="9" t="str">
        <x:v>Neutral-axis independent compositional-transfer scene</x:v>
      </x:c>
      <x:c r="M98" s="9" t="str">
        <x:v>red block</x:v>
      </x:c>
      <x:c r="N98" s="9" t="str">
        <x:v>green pen</x:v>
      </x:c>
      <x:c r="O98" s="9" t="str">
        <x:v>None</x:v>
      </x:c>
      <x:c r="P98" s="9" t="n">
        <x:v>4</x:v>
      </x:c>
      <x:c r="Q98" s="9" t="str">
        <x:v>Build the listed neutral-axis scene and save the first frame.</x:v>
      </x:c>
      <x:c r="R98" s="10" t="str">
        <x:v>Independent held-out-composition scene. Source episode 285 supplies target recognition/manipulation under the trained prompt “Place the red block next to the green pen.”. The orthogonal start removes the opposite-side shortcut.</x:v>
      </x:c>
      <x:c r="S98" s="10"/>
    </x:row>
    <x:row r="99" ht="72" customHeight="1">
      <x:c r="A99" s="9" t="str">
        <x:v>Not collected</x:v>
      </x:c>
      <x:c r="B99" s="9" t="n">
        <x:v>97</x:v>
      </x:c>
      <x:c r="C99" s="10" t="str">
        <x:v>Place the red block next to the green pen.</x:v>
      </x:c>
      <x:c r="D99" s="10" t="str">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9" s="9" t="n">
        <x:v>96</x:v>
      </x:c>
      <x:c r="F99" s="9" t="str">
        <x:v>285</x:v>
      </x:c>
      <x:c r="G99" s="9" t="str">
        <x:v>red block → 2–8 cm edge gap near green pen; no directional sector required.</x:v>
      </x:c>
      <x:c r="H99" s="10"/>
      <x:c r="I99" s="9" t="str">
        <x:v>Matched manipulation control</x:v>
      </x:c>
      <x:c r="J99" s="9" t="str">
        <x:v>RP-CT-N17</x:v>
      </x:c>
      <x:c r="K99" s="9" t="str">
        <x:v>left</x:v>
      </x:c>
      <x:c r="L99" s="9" t="str">
        <x:v>Exact-scene masked manipulation control</x:v>
      </x:c>
      <x:c r="M99" s="9" t="str">
        <x:v>red block</x:v>
      </x:c>
      <x:c r="N99" s="9" t="str">
        <x:v>green pen</x:v>
      </x:c>
      <x:c r="O99" s="9" t="str">
        <x:v>None</x:v>
      </x:c>
      <x:c r="P99" s="9" t="n">
        <x:v>4</x:v>
      </x:c>
      <x:c r="Q99" s="9" t="str">
        <x:v>Reset P1 to its marked pose; preserve the exact scene and use the trained control instruction.</x:v>
      </x:c>
      <x:c r="R99" s="10" t="str">
        <x:v>Exact-scene control using the final training prompt from episode 285. The target, reference, distractors, camera, and robot start match the paired transfer row.</x:v>
      </x:c>
      <x:c r="S99" s="10"/>
    </x:row>
    <x:row r="100" ht="72" customHeight="1">
      <x:c r="A100" s="9" t="str">
        <x:v>Not collected</x:v>
      </x:c>
      <x:c r="B100" s="9" t="n">
        <x:v>98</x:v>
      </x:c>
      <x:c r="C100" s="10" t="str">
        <x:v>Place the green pen to the right of the red block.</x:v>
      </x:c>
      <x:c r="D100" s="10" t="str">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0" s="9"/>
      <x:c r="F100" s="9" t="str">
        <x:v>238</x:v>
      </x:c>
      <x:c r="G100" s="9" t="str">
        <x:v>green pen → 2–8 cm edge gap to the right of red block; centroid direction within ±45°.</x:v>
      </x:c>
      <x:c r="H100" s="10"/>
      <x:c r="I100" s="9" t="str">
        <x:v>Concept/compositional transfer</x:v>
      </x:c>
      <x:c r="J100" s="9" t="str">
        <x:v>RP-CT-N18</x:v>
      </x:c>
      <x:c r="K100" s="9" t="str">
        <x:v>right</x:v>
      </x:c>
      <x:c r="L100" s="9" t="str">
        <x:v>Neutral-axis independent compositional-transfer scene</x:v>
      </x:c>
      <x:c r="M100" s="9" t="str">
        <x:v>green pen</x:v>
      </x:c>
      <x:c r="N100" s="9" t="str">
        <x:v>red block</x:v>
      </x:c>
      <x:c r="O100" s="9" t="str">
        <x:v>None</x:v>
      </x:c>
      <x:c r="P100" s="9" t="n">
        <x:v>3</x:v>
      </x:c>
      <x:c r="Q100" s="9" t="str">
        <x:v>Build the listed neutral-axis scene and save the first frame.</x:v>
      </x:c>
      <x:c r="R100" s="10" t="str">
        <x:v>Independent held-out-composition scene. Source episode 238 supplies target recognition/manipulation under the trained prompt “Put the green pen beside the red block.”. The orthogonal start removes the opposite-side shortcut.</x:v>
      </x:c>
      <x:c r="S100" s="10"/>
    </x:row>
    <x:row r="101" ht="72" customHeight="1">
      <x:c r="A101" s="9" t="str">
        <x:v>Not collected</x:v>
      </x:c>
      <x:c r="B101" s="9" t="n">
        <x:v>99</x:v>
      </x:c>
      <x:c r="C101" s="10" t="str">
        <x:v>Put the green pen beside the red block.</x:v>
      </x:c>
      <x:c r="D101" s="10" t="str">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1" s="9" t="n">
        <x:v>98</x:v>
      </x:c>
      <x:c r="F101" s="9" t="str">
        <x:v>238</x:v>
      </x:c>
      <x:c r="G101" s="9" t="str">
        <x:v>green pen → 2–8 cm edge gap near red block; no directional sector required.</x:v>
      </x:c>
      <x:c r="H101" s="10"/>
      <x:c r="I101" s="9" t="str">
        <x:v>Matched manipulation control</x:v>
      </x:c>
      <x:c r="J101" s="9" t="str">
        <x:v>RP-CT-N18</x:v>
      </x:c>
      <x:c r="K101" s="9" t="str">
        <x:v>right</x:v>
      </x:c>
      <x:c r="L101" s="9" t="str">
        <x:v>Exact-scene masked manipulation control</x:v>
      </x:c>
      <x:c r="M101" s="9" t="str">
        <x:v>green pen</x:v>
      </x:c>
      <x:c r="N101" s="9" t="str">
        <x:v>red block</x:v>
      </x:c>
      <x:c r="O101" s="9" t="str">
        <x:v>None</x:v>
      </x:c>
      <x:c r="P101" s="9" t="n">
        <x:v>3</x:v>
      </x:c>
      <x:c r="Q101" s="9" t="str">
        <x:v>Reset P1 to its marked pose; preserve the exact scene and use the trained control instruction.</x:v>
      </x:c>
      <x:c r="R101" s="10" t="str">
        <x:v>Exact-scene control using the final training prompt from episode 238. The target, reference, distractors, camera, and robot start match the paired transfer row.</x:v>
      </x:c>
      <x:c r="S101" s="10"/>
    </x:row>
    <x:row r="102" ht="72" customHeight="1">
      <x:c r="A102" s="9" t="str">
        <x:v>Not collected</x:v>
      </x:c>
      <x:c r="B102" s="9" t="n">
        <x:v>100</x:v>
      </x:c>
      <x:c r="C102" s="10" t="str">
        <x:v>Place the green pen to the right of the red block.</x:v>
      </x:c>
      <x:c r="D102" s="10" t="str">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2" s="9"/>
      <x:c r="F102" s="9" t="str">
        <x:v>239</x:v>
      </x:c>
      <x:c r="G102" s="9" t="str">
        <x:v>green pen → 2–8 cm edge gap to the right of red block; centroid direction within ±45°.</x:v>
      </x:c>
      <x:c r="H102" s="10"/>
      <x:c r="I102" s="9" t="str">
        <x:v>Concept/compositional transfer</x:v>
      </x:c>
      <x:c r="J102" s="9" t="str">
        <x:v>RP-CT-N19</x:v>
      </x:c>
      <x:c r="K102" s="9" t="str">
        <x:v>right</x:v>
      </x:c>
      <x:c r="L102" s="9" t="str">
        <x:v>Neutral-axis independent compositional-transfer scene</x:v>
      </x:c>
      <x:c r="M102" s="9" t="str">
        <x:v>green pen</x:v>
      </x:c>
      <x:c r="N102" s="9" t="str">
        <x:v>red block</x:v>
      </x:c>
      <x:c r="O102" s="9" t="str">
        <x:v>None</x:v>
      </x:c>
      <x:c r="P102" s="9" t="n">
        <x:v>4</x:v>
      </x:c>
      <x:c r="Q102" s="9" t="str">
        <x:v>Build the listed neutral-axis scene and save the first frame.</x:v>
      </x:c>
      <x:c r="R102" s="10" t="str">
        <x:v>Independent held-out-composition scene. Source episode 239 supplies target recognition/manipulation under the trained prompt “Move the green pen near the red block.”. The orthogonal start removes the opposite-side shortcut.</x:v>
      </x:c>
      <x:c r="S102" s="10"/>
    </x:row>
    <x:row r="103" ht="72" customHeight="1">
      <x:c r="A103" s="9" t="str">
        <x:v>Not collected</x:v>
      </x:c>
      <x:c r="B103" s="9" t="n">
        <x:v>101</x:v>
      </x:c>
      <x:c r="C103" s="10" t="str">
        <x:v>Move the green pen near the red block.</x:v>
      </x:c>
      <x:c r="D103" s="10" t="str">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3" s="9" t="n">
        <x:v>100</x:v>
      </x:c>
      <x:c r="F103" s="9" t="str">
        <x:v>239</x:v>
      </x:c>
      <x:c r="G103" s="9" t="str">
        <x:v>green pen → 2–8 cm edge gap near red block; no directional sector required.</x:v>
      </x:c>
      <x:c r="H103" s="10"/>
      <x:c r="I103" s="9" t="str">
        <x:v>Matched manipulation control</x:v>
      </x:c>
      <x:c r="J103" s="9" t="str">
        <x:v>RP-CT-N19</x:v>
      </x:c>
      <x:c r="K103" s="9" t="str">
        <x:v>right</x:v>
      </x:c>
      <x:c r="L103" s="9" t="str">
        <x:v>Exact-scene masked manipulation control</x:v>
      </x:c>
      <x:c r="M103" s="9" t="str">
        <x:v>green pen</x:v>
      </x:c>
      <x:c r="N103" s="9" t="str">
        <x:v>red block</x:v>
      </x:c>
      <x:c r="O103" s="9" t="str">
        <x:v>None</x:v>
      </x:c>
      <x:c r="P103" s="9" t="n">
        <x:v>4</x:v>
      </x:c>
      <x:c r="Q103" s="9" t="str">
        <x:v>Reset P1 to its marked pose; preserve the exact scene and use the trained control instruction.</x:v>
      </x:c>
      <x:c r="R103" s="10" t="str">
        <x:v>Exact-scene control using the final training prompt from episode 239. The target, reference, distractors, camera, and robot start match the paired transfer row.</x:v>
      </x:c>
      <x:c r="S103" s="10"/>
    </x:row>
    <x:row r="104" ht="72" customHeight="1">
      <x:c r="A104" s="9" t="str">
        <x:v>Not collected</x:v>
      </x:c>
      <x:c r="B104" s="9" t="n">
        <x:v>102</x:v>
      </x:c>
      <x:c r="C104" s="10" t="str">
        <x:v>Place the red block to the right of the green pen.</x:v>
      </x:c>
      <x:c r="D104" s="10" t="str">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4" s="9"/>
      <x:c r="F104" s="9" t="str">
        <x:v>299</x:v>
      </x:c>
      <x:c r="G104" s="9" t="str">
        <x:v>red block → 2–8 cm edge gap to the right of green pen; centroid direction within ±45°.</x:v>
      </x:c>
      <x:c r="H104" s="10"/>
      <x:c r="I104" s="9" t="str">
        <x:v>Concept/compositional transfer</x:v>
      </x:c>
      <x:c r="J104" s="9" t="str">
        <x:v>RP-CT-N20</x:v>
      </x:c>
      <x:c r="K104" s="9" t="str">
        <x:v>right</x:v>
      </x:c>
      <x:c r="L104" s="9" t="str">
        <x:v>Neutral-axis independent compositional-transfer scene</x:v>
      </x:c>
      <x:c r="M104" s="9" t="str">
        <x:v>red block</x:v>
      </x:c>
      <x:c r="N104" s="9" t="str">
        <x:v>green pen</x:v>
      </x:c>
      <x:c r="O104" s="9" t="str">
        <x:v>None</x:v>
      </x:c>
      <x:c r="P104" s="9" t="n">
        <x:v>3</x:v>
      </x:c>
      <x:c r="Q104" s="9" t="str">
        <x:v>Build the listed neutral-axis scene and save the first frame.</x:v>
      </x:c>
      <x:c r="R104" s="10" t="str">
        <x:v>Independent held-out-composition scene. Source episode 299 supplies target recognition/manipulation under the trained prompt “Move the red block near the green pen.”. The orthogonal start removes the opposite-side shortcut.</x:v>
      </x:c>
      <x:c r="S104" s="10"/>
    </x:row>
    <x:row r="105" ht="72" customHeight="1">
      <x:c r="A105" s="9" t="str">
        <x:v>Not collected</x:v>
      </x:c>
      <x:c r="B105" s="9" t="n">
        <x:v>103</x:v>
      </x:c>
      <x:c r="C105" s="10" t="str">
        <x:v>Move the red block near the green pen.</x:v>
      </x:c>
      <x:c r="D105" s="10" t="str">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5" s="9" t="n">
        <x:v>102</x:v>
      </x:c>
      <x:c r="F105" s="9" t="str">
        <x:v>299</x:v>
      </x:c>
      <x:c r="G105" s="9" t="str">
        <x:v>red block → 2–8 cm edge gap near green pen; no directional sector required.</x:v>
      </x:c>
      <x:c r="H105" s="10"/>
      <x:c r="I105" s="9" t="str">
        <x:v>Matched manipulation control</x:v>
      </x:c>
      <x:c r="J105" s="9" t="str">
        <x:v>RP-CT-N20</x:v>
      </x:c>
      <x:c r="K105" s="9" t="str">
        <x:v>right</x:v>
      </x:c>
      <x:c r="L105" s="9" t="str">
        <x:v>Exact-scene masked manipulation control</x:v>
      </x:c>
      <x:c r="M105" s="9" t="str">
        <x:v>red block</x:v>
      </x:c>
      <x:c r="N105" s="9" t="str">
        <x:v>green pen</x:v>
      </x:c>
      <x:c r="O105" s="9" t="str">
        <x:v>None</x:v>
      </x:c>
      <x:c r="P105" s="9" t="n">
        <x:v>3</x:v>
      </x:c>
      <x:c r="Q105" s="9" t="str">
        <x:v>Reset P1 to its marked pose; preserve the exact scene and use the trained control instruction.</x:v>
      </x:c>
      <x:c r="R105" s="10" t="str">
        <x:v>Exact-scene control using the final training prompt from episode 299. The target, reference, distractors, camera, and robot start match the paired transfer row.</x:v>
      </x:c>
      <x:c r="S105" s="10"/>
    </x:row>
    <x:row r="106" ht="72" customHeight="1">
      <x:c r="A106" s="9" t="str">
        <x:v>Not collected</x:v>
      </x:c>
      <x:c r="B106" s="9" t="n">
        <x:v>104</x:v>
      </x:c>
      <x:c r="C106" s="10" t="str">
        <x:v>Place the green pen in front of the red block.</x:v>
      </x:c>
      <x:c r="D106" s="10" t="str">
        <x:v>P1 green pen 24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106" s="9"/>
      <x:c r="F106" s="9" t="str">
        <x:v>203</x:v>
      </x:c>
      <x:c r="G106" s="9" t="str">
        <x:v>green pen → 2–8 cm edge gap in front of red block; centroid direction within ±45°.</x:v>
      </x:c>
      <x:c r="H106" s="10"/>
      <x:c r="I106" s="9" t="str">
        <x:v>Concept/compositional transfer</x:v>
      </x:c>
      <x:c r="J106" s="9" t="str">
        <x:v>RP-CT-N21</x:v>
      </x:c>
      <x:c r="K106" s="9" t="str">
        <x:v>front</x:v>
      </x:c>
      <x:c r="L106" s="9" t="str">
        <x:v>Neutral-axis independent compositional-transfer scene</x:v>
      </x:c>
      <x:c r="M106" s="9" t="str">
        <x:v>green pen</x:v>
      </x:c>
      <x:c r="N106" s="9" t="str">
        <x:v>red block</x:v>
      </x:c>
      <x:c r="O106" s="9" t="str">
        <x:v>None</x:v>
      </x:c>
      <x:c r="P106" s="9" t="n">
        <x:v>3</x:v>
      </x:c>
      <x:c r="Q106" s="9" t="str">
        <x:v>Build the listed neutral-axis scene and save the first frame.</x:v>
      </x:c>
      <x:c r="R106" s="10" t="str">
        <x:v>Independent held-out-composition scene. Source episode 203 supplies target recognition/manipulation under the trained prompt “Move the green pen near the red block.”. The orthogonal start removes the opposite-side shortcut.</x:v>
      </x:c>
      <x:c r="S106" s="10"/>
    </x:row>
    <x:row r="107" ht="72" customHeight="1">
      <x:c r="A107" s="9" t="str">
        <x:v>Not collected</x:v>
      </x:c>
      <x:c r="B107" s="9" t="n">
        <x:v>105</x:v>
      </x:c>
      <x:c r="C107" s="10" t="str">
        <x:v>Place the red block in front of the green pen.</x:v>
      </x:c>
      <x:c r="D107" s="10" t="str">
        <x:v>P1 red block 18 cm to the robot-right of P2; P2 green pen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107" s="9"/>
      <x:c r="F107" s="9" t="str">
        <x:v>260</x:v>
      </x:c>
      <x:c r="G107" s="9" t="str">
        <x:v>red block → 2–8 cm edge gap in front of green pen; centroid direction within ±45°.</x:v>
      </x:c>
      <x:c r="H107" s="10"/>
      <x:c r="I107" s="9" t="str">
        <x:v>Concept/compositional transfer</x:v>
      </x:c>
      <x:c r="J107" s="9" t="str">
        <x:v>RP-CT-N22</x:v>
      </x:c>
      <x:c r="K107" s="9" t="str">
        <x:v>front</x:v>
      </x:c>
      <x:c r="L107" s="9" t="str">
        <x:v>Neutral-axis independent compositional-transfer scene</x:v>
      </x:c>
      <x:c r="M107" s="9" t="str">
        <x:v>red block</x:v>
      </x:c>
      <x:c r="N107" s="9" t="str">
        <x:v>green pen</x:v>
      </x:c>
      <x:c r="O107" s="9" t="str">
        <x:v>None</x:v>
      </x:c>
      <x:c r="P107" s="9" t="n">
        <x:v>4</x:v>
      </x:c>
      <x:c r="Q107" s="9" t="str">
        <x:v>Build the listed neutral-axis scene and save the first frame.</x:v>
      </x:c>
      <x:c r="R107" s="10" t="str">
        <x:v>Independent held-out-composition scene. Source episode 260 supplies target recognition/manipulation under the trained prompt “Move the red block near the green pen.”. The orthogonal start removes the opposite-side shortcut.</x:v>
      </x:c>
      <x:c r="S107" s="10"/>
    </x:row>
    <x:row r="108" ht="72" customHeight="1">
      <x:c r="A108" s="9" t="str">
        <x:v>Not collected</x:v>
      </x:c>
      <x:c r="B108" s="9" t="n">
        <x:v>106</x:v>
      </x:c>
      <x:c r="C108" s="10" t="str">
        <x:v>Place the green pen behind the red block.</x:v>
      </x:c>
      <x:c r="D108" s="10" t="str">
        <x:v>P1 green pen 21 cm to the robot-left of P2; P2 red block at R3 (5 cm robot-right of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108" s="9"/>
      <x:c r="F108" s="9" t="str">
        <x:v>214</x:v>
      </x:c>
      <x:c r="G108" s="9" t="str">
        <x:v>green pen → 2–8 cm edge gap behind red block; centroid direction within ±45°.</x:v>
      </x:c>
      <x:c r="H108" s="10"/>
      <x:c r="I108" s="9" t="str">
        <x:v>Concept/compositional transfer</x:v>
      </x:c>
      <x:c r="J108" s="9" t="str">
        <x:v>RP-CT-N23</x:v>
      </x:c>
      <x:c r="K108" s="9" t="str">
        <x:v>behind</x:v>
      </x:c>
      <x:c r="L108" s="9" t="str">
        <x:v>Neutral-axis independent compositional-transfer scene</x:v>
      </x:c>
      <x:c r="M108" s="9" t="str">
        <x:v>green pen</x:v>
      </x:c>
      <x:c r="N108" s="9" t="str">
        <x:v>red block</x:v>
      </x:c>
      <x:c r="O108" s="9" t="str">
        <x:v>None</x:v>
      </x:c>
      <x:c r="P108" s="9" t="n">
        <x:v>4</x:v>
      </x:c>
      <x:c r="Q108" s="9" t="str">
        <x:v>Build the listed neutral-axis scene and save the first frame.</x:v>
      </x:c>
      <x:c r="R108" s="10" t="str">
        <x:v>Independent held-out-composition scene. Source episode 214 supplies target recognition/manipulation under the trained prompt “Put the green pen beside the red block.”. The orthogonal start removes the opposite-side shortcut.</x:v>
      </x:c>
      <x:c r="S108" s="10"/>
    </x:row>
    <x:row r="109" ht="72" customHeight="1">
      <x:c r="A109" s="9" t="str">
        <x:v>Not collected</x:v>
      </x:c>
      <x:c r="B109" s="9" t="n">
        <x:v>107</x:v>
      </x:c>
      <x:c r="C109" s="10" t="str">
        <x:v>Place the red block behind the green pen.</x:v>
      </x:c>
      <x:c r="D109" s="10" t="str">
        <x:v>P1 red block 24 cm to the robot-right of P2; P2 green pen at R4 (5 cm toward the robot from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109" s="9"/>
      <x:c r="F109" s="9" t="str">
        <x:v>274</x:v>
      </x:c>
      <x:c r="G109" s="9" t="str">
        <x:v>red block → 2–8 cm edge gap behind green pen; centroid direction within ±45°.</x:v>
      </x:c>
      <x:c r="H109" s="10"/>
      <x:c r="I109" s="9" t="str">
        <x:v>Concept/compositional transfer</x:v>
      </x:c>
      <x:c r="J109" s="9" t="str">
        <x:v>RP-CT-N24</x:v>
      </x:c>
      <x:c r="K109" s="9" t="str">
        <x:v>behind</x:v>
      </x:c>
      <x:c r="L109" s="9" t="str">
        <x:v>Neutral-axis independent compositional-transfer scene</x:v>
      </x:c>
      <x:c r="M109" s="9" t="str">
        <x:v>red block</x:v>
      </x:c>
      <x:c r="N109" s="9" t="str">
        <x:v>green pen</x:v>
      </x:c>
      <x:c r="O109" s="9" t="str">
        <x:v>None</x:v>
      </x:c>
      <x:c r="P109" s="9" t="n">
        <x:v>3</x:v>
      </x:c>
      <x:c r="Q109" s="9" t="str">
        <x:v>Build the listed neutral-axis scene and save the first frame.</x:v>
      </x:c>
      <x:c r="R109" s="10" t="str">
        <x:v>Independent held-out-composition scene. Source episode 274 supplies target recognition/manipulation under the trained prompt “Put the red block beside the green pen.”. The orthogonal start removes the opposite-side shortcut.</x:v>
      </x:c>
      <x:c r="S109" s="10"/>
    </x:row>
    <x:row r="110" ht="72" customHeight="1">
      <x:c r="A110" s="9" t="str">
        <x:v>Not collected</x:v>
      </x:c>
      <x:c r="B110" s="9" t="n">
        <x:v>108</x:v>
      </x:c>
      <x:c r="C110" s="10" t="str">
        <x:v>Place the green pen to the left of the red block.</x:v>
      </x:c>
      <x:c r="D110" s="10" t="str">
        <x:v>P1 green pen 18 cm in front of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110" s="9"/>
      <x:c r="F110" s="9" t="str">
        <x:v>226</x:v>
      </x:c>
      <x:c r="G110" s="9" t="str">
        <x:v>green pen → 2–8 cm edge gap to the left of red block; centroid direction within ±45°.</x:v>
      </x:c>
      <x:c r="H110" s="10"/>
      <x:c r="I110" s="9" t="str">
        <x:v>Concept/compositional transfer</x:v>
      </x:c>
      <x:c r="J110" s="9" t="str">
        <x:v>RP-CT-N25</x:v>
      </x:c>
      <x:c r="K110" s="9" t="str">
        <x:v>left</x:v>
      </x:c>
      <x:c r="L110" s="9" t="str">
        <x:v>Neutral-axis independent compositional-transfer scene</x:v>
      </x:c>
      <x:c r="M110" s="9" t="str">
        <x:v>green pen</x:v>
      </x:c>
      <x:c r="N110" s="9" t="str">
        <x:v>red block</x:v>
      </x:c>
      <x:c r="O110" s="9" t="str">
        <x:v>None</x:v>
      </x:c>
      <x:c r="P110" s="9" t="n">
        <x:v>3</x:v>
      </x:c>
      <x:c r="Q110" s="9" t="str">
        <x:v>Build the listed neutral-axis scene and save the first frame.</x:v>
      </x:c>
      <x:c r="R110" s="10" t="str">
        <x:v>Independent held-out-composition scene. Source episode 226 supplies target recognition/manipulation under the trained prompt “Put the green pen beside the red block.”. The orthogonal start removes the opposite-side shortcut.</x:v>
      </x:c>
      <x:c r="S110" s="10"/>
    </x:row>
    <x:row r="111" ht="72" customHeight="1">
      <x:c r="A111" s="9" t="str">
        <x:v>Not collected</x:v>
      </x:c>
      <x:c r="B111" s="9" t="n">
        <x:v>109</x:v>
      </x:c>
      <x:c r="C111" s="10" t="str">
        <x:v>Place the red block to the right of the green pen.</x:v>
      </x:c>
      <x:c r="D111" s="10" t="str">
        <x:v>P1 red block 21 cm behind P2; P2 green pen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111" s="9"/>
      <x:c r="F111" s="9" t="str">
        <x:v>298</x:v>
      </x:c>
      <x:c r="G111" s="9" t="str">
        <x:v>red block → 2–8 cm edge gap to the right of green pen; centroid direction within ±45°.</x:v>
      </x:c>
      <x:c r="H111" s="10"/>
      <x:c r="I111" s="9" t="str">
        <x:v>Concept/compositional transfer</x:v>
      </x:c>
      <x:c r="J111" s="9" t="str">
        <x:v>RP-CT-N26</x:v>
      </x:c>
      <x:c r="K111" s="9" t="str">
        <x:v>right</x:v>
      </x:c>
      <x:c r="L111" s="9" t="str">
        <x:v>Neutral-axis independent compositional-transfer scene</x:v>
      </x:c>
      <x:c r="M111" s="9" t="str">
        <x:v>red block</x:v>
      </x:c>
      <x:c r="N111" s="9" t="str">
        <x:v>green pen</x:v>
      </x:c>
      <x:c r="O111" s="9" t="str">
        <x:v>None</x:v>
      </x:c>
      <x:c r="P111" s="9" t="n">
        <x:v>4</x:v>
      </x:c>
      <x:c r="Q111" s="9" t="str">
        <x:v>Build the listed neutral-axis scene and save the first frame.</x:v>
      </x:c>
      <x:c r="R111" s="10" t="str">
        <x:v>Independent held-out-composition scene. Source episode 298 supplies target recognition/manipulation under the trained prompt “Put the red block beside the green pen.”. The orthogonal start removes the opposite-side shortcut.</x:v>
      </x:c>
      <x:c r="S111" s="10"/>
    </x:row>
    <x:row r="112" ht="72" customHeight="1">
      <x:c r="A112" s="9" t="str">
        <x:v>Not collected</x:v>
      </x:c>
      <x:c r="B112" s="9" t="n">
        <x:v>110</x:v>
      </x:c>
      <x:c r="C112" s="10" t="str">
        <x:v>Place the juggling ball in front of the pink marker.</x:v>
      </x:c>
      <x:c r="D112" s="10" t="str">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2" s="9"/>
      <x:c r="F112" s="9" t="str">
        <x:v>1100 (juggling-ball exposure); 204 (front relation)</x:v>
      </x:c>
      <x:c r="G112" s="9" t="str">
        <x:v>juggling ball → 2–8 cm edge gap in front of pink marker; centroid direction within ±45°.</x:v>
      </x:c>
      <x:c r="H112" s="10"/>
      <x:c r="I112" s="9" t="str">
        <x:v>Cross-task-object directional reasoning</x:v>
      </x:c>
      <x:c r="J112" s="9" t="str">
        <x:v>RP-XT-CF01</x:v>
      </x:c>
      <x:c r="K112" s="9" t="str">
        <x:v>front</x:v>
      </x:c>
      <x:c r="L112" s="9" t="str">
        <x:v>Four-way cross-task counterfactual: front/behind polarity × juggling-ball target/reference role</x:v>
      </x:c>
      <x:c r="M112" s="9" t="str">
        <x:v>juggling ball</x:v>
      </x:c>
      <x:c r="N112" s="9" t="str">
        <x:v>pink marker</x:v>
      </x:c>
      <x:c r="O112" s="9" t="str">
        <x:v>Target</x:v>
      </x:c>
      <x:c r="P112" s="9" t="n">
        <x:v>3</x:v>
      </x:c>
      <x:c r="Q112" s="9" t="str">
        <x:v>Build the listed neutral-axis scene and save the first frame.</x:v>
      </x:c>
      <x:c r="R112" s="10" t="str">
        <x:v>The juggling ball is globally familiar but absent from Relational Placement training. This exact-scene family crosses direction with its target role and contains no direct-name control.</x:v>
      </x:c>
      <x:c r="S112" s="10"/>
    </x:row>
    <x:row r="113" ht="72" customHeight="1">
      <x:c r="A113" s="24" t="str">
        <x:v>Not collected</x:v>
      </x:c>
      <x:c r="B113" s="24" t="n">
        <x:v>111</x:v>
      </x:c>
      <x:c r="C113" s="25" t="str">
        <x:v>Place the juggling ball behind the pink marker.</x:v>
      </x:c>
      <x:c r="D113" s="25" t="str">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3" s="24" t="n">
        <x:v>110</x:v>
      </x:c>
      <x:c r="F113" s="24" t="str">
        <x:v>1100 (juggling-ball exposure); 217 (behind relation)</x:v>
      </x:c>
      <x:c r="G113" s="24" t="str">
        <x:v>juggling ball → 2–8 cm edge gap behind pink marker; centroid direction within ±45°.</x:v>
      </x:c>
      <x:c r="H113" s="25"/>
      <x:c r="I113" s="24" t="str">
        <x:v>Cross-task-object directional reasoning</x:v>
      </x:c>
      <x:c r="J113" s="24" t="str">
        <x:v>RP-XT-CF01</x:v>
      </x:c>
      <x:c r="K113" s="24" t="str">
        <x:v>behind</x:v>
      </x:c>
      <x:c r="L113" s="24" t="str">
        <x:v>Four-way cross-task counterfactual: front/behind polarity × juggling-ball target/reference role</x:v>
      </x:c>
      <x:c r="M113" s="24" t="str">
        <x:v>juggling ball</x:v>
      </x:c>
      <x:c r="N113" s="24" t="str">
        <x:v>pink marker</x:v>
      </x:c>
      <x:c r="O113" s="24" t="str">
        <x:v>Target</x:v>
      </x:c>
      <x:c r="P113" s="24" t="n">
        <x:v>3</x:v>
      </x:c>
      <x:c r="Q113" s="24" t="str">
        <x:v>Reset every manipulated core object to its marked pose; preserve the exact scene and change only the instruction.</x:v>
      </x:c>
      <x:c r="R113" s="25" t="str">
        <x:v>The juggling ball is globally familiar but absent from Relational Placement training. This exact-scene family crosses direction with its target role and contains no direct-name control.</x:v>
      </x:c>
      <x:c r="S113" s="25"/>
    </x:row>
    <x:row r="114" ht="72" customHeight="1">
      <x:c r="A114" s="9" t="str">
        <x:v>Not collected</x:v>
      </x:c>
      <x:c r="B114" s="9" t="n">
        <x:v>112</x:v>
      </x:c>
      <x:c r="C114" s="10" t="str">
        <x:v>Place the pink marker in front of the juggling ball.</x:v>
      </x:c>
      <x:c r="D114" s="10" t="str">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4" s="9" t="n">
        <x:v>110</x:v>
      </x:c>
      <x:c r="F114" s="9" t="str">
        <x:v>1100 (juggling-ball exposure); 305 (front relation with pink marker as target)</x:v>
      </x:c>
      <x:c r="G114" s="9" t="str">
        <x:v>pink marker → 2–8 cm edge gap in front of juggling ball; centroid direction within ±45°.</x:v>
      </x:c>
      <x:c r="H114" s="10"/>
      <x:c r="I114" s="9" t="str">
        <x:v>Cross-task-object directional reasoning</x:v>
      </x:c>
      <x:c r="J114" s="9" t="str">
        <x:v>RP-XT-CF01</x:v>
      </x:c>
      <x:c r="K114" s="9" t="str">
        <x:v>front</x:v>
      </x:c>
      <x:c r="L114" s="9" t="str">
        <x:v>Four-way cross-task counterfactual: front/behind polarity × juggling-ball target/reference role</x:v>
      </x:c>
      <x:c r="M114" s="9" t="str">
        <x:v>pink marker</x:v>
      </x:c>
      <x:c r="N114" s="9" t="str">
        <x:v>juggling ball</x:v>
      </x:c>
      <x:c r="O114" s="9" t="str">
        <x:v>Reference</x:v>
      </x:c>
      <x:c r="P114" s="9" t="n">
        <x:v>3</x:v>
      </x:c>
      <x:c r="Q114" s="9" t="str">
        <x:v>Reset every manipulated core object to its marked pose; preserve the exact scene and change only the instruction.</x:v>
      </x:c>
      <x:c r="R114" s="10" t="str">
        <x:v>The juggling ball is globally familiar but absent from Relational Placement training. This exact-scene family crosses direction with its reference role and contains no direct-name control.</x:v>
      </x:c>
      <x:c r="S114" s="10"/>
    </x:row>
    <x:row r="115" ht="72" customHeight="1">
      <x:c r="A115" s="24" t="str">
        <x:v>Not collected</x:v>
      </x:c>
      <x:c r="B115" s="24" t="n">
        <x:v>113</x:v>
      </x:c>
      <x:c r="C115" s="25" t="str">
        <x:v>Place the pink marker behind the juggling ball.</x:v>
      </x:c>
      <x:c r="D115" s="25" t="str">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5" s="24" t="n">
        <x:v>110</x:v>
      </x:c>
      <x:c r="F115" s="24" t="str">
        <x:v>1100 (juggling-ball exposure); 317 (behind relation with pink marker as target)</x:v>
      </x:c>
      <x:c r="G115" s="24" t="str">
        <x:v>pink marker → 2–8 cm edge gap behind juggling ball; centroid direction within ±45°.</x:v>
      </x:c>
      <x:c r="H115" s="25"/>
      <x:c r="I115" s="24" t="str">
        <x:v>Cross-task-object directional reasoning</x:v>
      </x:c>
      <x:c r="J115" s="24" t="str">
        <x:v>RP-XT-CF01</x:v>
      </x:c>
      <x:c r="K115" s="24" t="str">
        <x:v>behind</x:v>
      </x:c>
      <x:c r="L115" s="24" t="str">
        <x:v>Four-way cross-task counterfactual: front/behind polarity × juggling-ball target/reference role</x:v>
      </x:c>
      <x:c r="M115" s="24" t="str">
        <x:v>pink marker</x:v>
      </x:c>
      <x:c r="N115" s="24" t="str">
        <x:v>juggling ball</x:v>
      </x:c>
      <x:c r="O115" s="24" t="str">
        <x:v>Reference</x:v>
      </x:c>
      <x:c r="P115" s="24" t="n">
        <x:v>3</x:v>
      </x:c>
      <x:c r="Q115" s="24" t="str">
        <x:v>Reset every manipulated core object to its marked pose; preserve the exact scene and change only the instruction.</x:v>
      </x:c>
      <x:c r="R115" s="25" t="str">
        <x:v>The juggling ball is globally familiar but absent from Relational Placement training. This exact-scene family crosses direction with its reference role and contains no direct-name control.</x:v>
      </x:c>
      <x:c r="S115" s="25"/>
    </x:row>
    <x:row r="116" ht="72" customHeight="1">
      <x:c r="A116" s="9" t="str">
        <x:v>Not collected</x:v>
      </x:c>
      <x:c r="B116" s="9" t="n">
        <x:v>114</x:v>
      </x:c>
      <x:c r="C116" s="10" t="str">
        <x:v>Place the juggling ball in front of the blue block.</x:v>
      </x:c>
      <x:c r="D116" s="10" t="str">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6" s="9"/>
      <x:c r="F116" s="9" t="str">
        <x:v>1101 (juggling-ball exposure); 208 (front relation)</x:v>
      </x:c>
      <x:c r="G116" s="9" t="str">
        <x:v>juggling ball → 2–8 cm edge gap in front of blue block; centroid direction within ±45°.</x:v>
      </x:c>
      <x:c r="H116" s="10"/>
      <x:c r="I116" s="9" t="str">
        <x:v>Cross-task-object directional reasoning</x:v>
      </x:c>
      <x:c r="J116" s="9" t="str">
        <x:v>RP-XT-CF02</x:v>
      </x:c>
      <x:c r="K116" s="9" t="str">
        <x:v>front</x:v>
      </x:c>
      <x:c r="L116" s="9" t="str">
        <x:v>Four-way cross-task counterfactual: front/behind polarity × juggling-ball target/reference role</x:v>
      </x:c>
      <x:c r="M116" s="9" t="str">
        <x:v>juggling ball</x:v>
      </x:c>
      <x:c r="N116" s="9" t="str">
        <x:v>blue block</x:v>
      </x:c>
      <x:c r="O116" s="9" t="str">
        <x:v>Target</x:v>
      </x:c>
      <x:c r="P116" s="9" t="n">
        <x:v>4</x:v>
      </x:c>
      <x:c r="Q116" s="9" t="str">
        <x:v>Build the listed neutral-axis scene and save the first frame.</x:v>
      </x:c>
      <x:c r="R116" s="10" t="str">
        <x:v>The juggling ball is globally familiar but absent from Relational Placement training. This exact-scene family crosses direction with its target role and contains no direct-name control.</x:v>
      </x:c>
      <x:c r="S116" s="10"/>
    </x:row>
    <x:row r="117" ht="72" customHeight="1">
      <x:c r="A117" s="24" t="str">
        <x:v>Not collected</x:v>
      </x:c>
      <x:c r="B117" s="24" t="n">
        <x:v>115</x:v>
      </x:c>
      <x:c r="C117" s="25" t="str">
        <x:v>Place the juggling ball behind the blue block.</x:v>
      </x:c>
      <x:c r="D117" s="25" t="str">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7" s="24" t="n">
        <x:v>114</x:v>
      </x:c>
      <x:c r="F117" s="24" t="str">
        <x:v>1101 (juggling-ball exposure); 221 (behind relation)</x:v>
      </x:c>
      <x:c r="G117" s="24" t="str">
        <x:v>juggling ball → 2–8 cm edge gap behind blue block; centroid direction within ±45°.</x:v>
      </x:c>
      <x:c r="H117" s="25"/>
      <x:c r="I117" s="24" t="str">
        <x:v>Cross-task-object directional reasoning</x:v>
      </x:c>
      <x:c r="J117" s="24" t="str">
        <x:v>RP-XT-CF02</x:v>
      </x:c>
      <x:c r="K117" s="24" t="str">
        <x:v>behind</x:v>
      </x:c>
      <x:c r="L117" s="24" t="str">
        <x:v>Four-way cross-task counterfactual: front/behind polarity × juggling-ball target/reference role</x:v>
      </x:c>
      <x:c r="M117" s="24" t="str">
        <x:v>juggling ball</x:v>
      </x:c>
      <x:c r="N117" s="24" t="str">
        <x:v>blue block</x:v>
      </x:c>
      <x:c r="O117" s="24" t="str">
        <x:v>Target</x:v>
      </x:c>
      <x:c r="P117" s="24" t="n">
        <x:v>4</x:v>
      </x:c>
      <x:c r="Q117" s="24" t="str">
        <x:v>Reset every manipulated core object to its marked pose; preserve the exact scene and change only the instruction.</x:v>
      </x:c>
      <x:c r="R117" s="25" t="str">
        <x:v>The juggling ball is globally familiar but absent from Relational Placement training. This exact-scene family crosses direction with its target role and contains no direct-name control.</x:v>
      </x:c>
      <x:c r="S117" s="25"/>
    </x:row>
    <x:row r="118" ht="72" customHeight="1">
      <x:c r="A118" s="9" t="str">
        <x:v>Not collected</x:v>
      </x:c>
      <x:c r="B118" s="9" t="n">
        <x:v>116</x:v>
      </x:c>
      <x:c r="C118" s="10" t="str">
        <x:v>Place the blue block in front of the juggling ball.</x:v>
      </x:c>
      <x:c r="D118" s="10" t="str">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8" s="9" t="n">
        <x:v>114</x:v>
      </x:c>
      <x:c r="F118" s="9" t="str">
        <x:v>1101 (juggling-ball exposure); 350 (front relation with blue block as target)</x:v>
      </x:c>
      <x:c r="G118" s="9" t="str">
        <x:v>blue block → 2–8 cm edge gap in front of juggling ball; centroid direction within ±45°.</x:v>
      </x:c>
      <x:c r="H118" s="10"/>
      <x:c r="I118" s="9" t="str">
        <x:v>Cross-task-object directional reasoning</x:v>
      </x:c>
      <x:c r="J118" s="9" t="str">
        <x:v>RP-XT-CF02</x:v>
      </x:c>
      <x:c r="K118" s="9" t="str">
        <x:v>front</x:v>
      </x:c>
      <x:c r="L118" s="9" t="str">
        <x:v>Four-way cross-task counterfactual: front/behind polarity × juggling-ball target/reference role</x:v>
      </x:c>
      <x:c r="M118" s="9" t="str">
        <x:v>blue block</x:v>
      </x:c>
      <x:c r="N118" s="9" t="str">
        <x:v>juggling ball</x:v>
      </x:c>
      <x:c r="O118" s="9" t="str">
        <x:v>Reference</x:v>
      </x:c>
      <x:c r="P118" s="9" t="n">
        <x:v>4</x:v>
      </x:c>
      <x:c r="Q118" s="9" t="str">
        <x:v>Reset every manipulated core object to its marked pose; preserve the exact scene and change only the instruction.</x:v>
      </x:c>
      <x:c r="R118" s="10" t="str">
        <x:v>The juggling ball is globally familiar but absent from Relational Placement training. This exact-scene family crosses direction with its reference role and contains no direct-name control.</x:v>
      </x:c>
      <x:c r="S118" s="10"/>
    </x:row>
    <x:row r="119" ht="72" customHeight="1">
      <x:c r="A119" s="24" t="str">
        <x:v>Not collected</x:v>
      </x:c>
      <x:c r="B119" s="24" t="n">
        <x:v>117</x:v>
      </x:c>
      <x:c r="C119" s="25" t="str">
        <x:v>Place the blue block behind the juggling ball.</x:v>
      </x:c>
      <x:c r="D119" s="25" t="str">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9" s="24" t="n">
        <x:v>114</x:v>
      </x:c>
      <x:c r="F119" s="24" t="str">
        <x:v>1101 (juggling-ball exposure); 362 (behind relation with blue block as target)</x:v>
      </x:c>
      <x:c r="G119" s="24" t="str">
        <x:v>blue block → 2–8 cm edge gap behind juggling ball; centroid direction within ±45°.</x:v>
      </x:c>
      <x:c r="H119" s="25"/>
      <x:c r="I119" s="24" t="str">
        <x:v>Cross-task-object directional reasoning</x:v>
      </x:c>
      <x:c r="J119" s="24" t="str">
        <x:v>RP-XT-CF02</x:v>
      </x:c>
      <x:c r="K119" s="24" t="str">
        <x:v>behind</x:v>
      </x:c>
      <x:c r="L119" s="24" t="str">
        <x:v>Four-way cross-task counterfactual: front/behind polarity × juggling-ball target/reference role</x:v>
      </x:c>
      <x:c r="M119" s="24" t="str">
        <x:v>blue block</x:v>
      </x:c>
      <x:c r="N119" s="24" t="str">
        <x:v>juggling ball</x:v>
      </x:c>
      <x:c r="O119" s="24" t="str">
        <x:v>Reference</x:v>
      </x:c>
      <x:c r="P119" s="24" t="n">
        <x:v>4</x:v>
      </x:c>
      <x:c r="Q119" s="24" t="str">
        <x:v>Reset every manipulated core object to its marked pose; preserve the exact scene and change only the instruction.</x:v>
      </x:c>
      <x:c r="R119" s="25" t="str">
        <x:v>The juggling ball is globally familiar but absent from Relational Placement training. This exact-scene family crosses direction with its reference role and contains no direct-name control.</x:v>
      </x:c>
      <x:c r="S119" s="25"/>
    </x:row>
    <x:row r="120" ht="72" customHeight="1">
      <x:c r="A120" s="9" t="str">
        <x:v>Not collected</x:v>
      </x:c>
      <x:c r="B120" s="9" t="n">
        <x:v>118</x:v>
      </x:c>
      <x:c r="C120" s="10" t="str">
        <x:v>Place the juggling ball to the left of the green pen.</x:v>
      </x:c>
      <x:c r="D120" s="10" t="str">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0" s="9"/>
      <x:c r="F120" s="9" t="str">
        <x:v>1102 (juggling-ball exposure); 229 (left relation)</x:v>
      </x:c>
      <x:c r="G120" s="9" t="str">
        <x:v>juggling ball → 2–8 cm edge gap to the left of green pen; centroid direction within ±45°.</x:v>
      </x:c>
      <x:c r="H120" s="10"/>
      <x:c r="I120" s="9" t="str">
        <x:v>Cross-task-object directional reasoning</x:v>
      </x:c>
      <x:c r="J120" s="9" t="str">
        <x:v>RP-XT-CF03</x:v>
      </x:c>
      <x:c r="K120" s="9" t="str">
        <x:v>left</x:v>
      </x:c>
      <x:c r="L120" s="9" t="str">
        <x:v>Four-way cross-task counterfactual: left/right polarity × juggling-ball target/reference role</x:v>
      </x:c>
      <x:c r="M120" s="9" t="str">
        <x:v>juggling ball</x:v>
      </x:c>
      <x:c r="N120" s="9" t="str">
        <x:v>green pen</x:v>
      </x:c>
      <x:c r="O120" s="9" t="str">
        <x:v>Target</x:v>
      </x:c>
      <x:c r="P120" s="9" t="n">
        <x:v>3</x:v>
      </x:c>
      <x:c r="Q120" s="9" t="str">
        <x:v>Build the listed neutral-axis scene and save the first frame.</x:v>
      </x:c>
      <x:c r="R120" s="10" t="str">
        <x:v>The juggling ball is globally familiar but absent from Relational Placement training. This exact-scene family crosses direction with its target role and contains no direct-name control.</x:v>
      </x:c>
      <x:c r="S120" s="10"/>
    </x:row>
    <x:row r="121" ht="72" customHeight="1">
      <x:c r="A121" s="24" t="str">
        <x:v>Not collected</x:v>
      </x:c>
      <x:c r="B121" s="24" t="n">
        <x:v>119</x:v>
      </x:c>
      <x:c r="C121" s="25" t="str">
        <x:v>Place the juggling ball to the right of the green pen.</x:v>
      </x:c>
      <x:c r="D121" s="25" t="str">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1" s="24" t="n">
        <x:v>118</x:v>
      </x:c>
      <x:c r="F121" s="24" t="str">
        <x:v>1102 (juggling-ball exposure); 243 (right relation)</x:v>
      </x:c>
      <x:c r="G121" s="24" t="str">
        <x:v>juggling ball → 2–8 cm edge gap to the right of green pen; centroid direction within ±45°.</x:v>
      </x:c>
      <x:c r="H121" s="25"/>
      <x:c r="I121" s="24" t="str">
        <x:v>Cross-task-object directional reasoning</x:v>
      </x:c>
      <x:c r="J121" s="24" t="str">
        <x:v>RP-XT-CF03</x:v>
      </x:c>
      <x:c r="K121" s="24" t="str">
        <x:v>right</x:v>
      </x:c>
      <x:c r="L121" s="24" t="str">
        <x:v>Four-way cross-task counterfactual: left/right polarity × juggling-ball target/reference role</x:v>
      </x:c>
      <x:c r="M121" s="24" t="str">
        <x:v>juggling ball</x:v>
      </x:c>
      <x:c r="N121" s="24" t="str">
        <x:v>green pen</x:v>
      </x:c>
      <x:c r="O121" s="24" t="str">
        <x:v>Target</x:v>
      </x:c>
      <x:c r="P121" s="24" t="n">
        <x:v>3</x:v>
      </x:c>
      <x:c r="Q121" s="24" t="str">
        <x:v>Reset every manipulated core object to its marked pose; preserve the exact scene and change only the instruction.</x:v>
      </x:c>
      <x:c r="R121" s="25" t="str">
        <x:v>The juggling ball is globally familiar but absent from Relational Placement training. This exact-scene family crosses direction with its target role and contains no direct-name control.</x:v>
      </x:c>
      <x:c r="S121" s="25"/>
    </x:row>
    <x:row r="122" ht="72" customHeight="1">
      <x:c r="A122" s="9" t="str">
        <x:v>Not collected</x:v>
      </x:c>
      <x:c r="B122" s="9" t="n">
        <x:v>120</x:v>
      </x:c>
      <x:c r="C122" s="10" t="str">
        <x:v>Place the green pen to the left of the juggling ball.</x:v>
      </x:c>
      <x:c r="D122" s="10" t="str">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2" s="9" t="n">
        <x:v>118</x:v>
      </x:c>
      <x:c r="F122" s="9" t="str">
        <x:v>1102 (juggling-ball exposure); 229 (left relation with green pen as target)</x:v>
      </x:c>
      <x:c r="G122" s="9" t="str">
        <x:v>green pen → 2–8 cm edge gap to the left of juggling ball; centroid direction within ±45°.</x:v>
      </x:c>
      <x:c r="H122" s="10"/>
      <x:c r="I122" s="9" t="str">
        <x:v>Cross-task-object directional reasoning</x:v>
      </x:c>
      <x:c r="J122" s="9" t="str">
        <x:v>RP-XT-CF03</x:v>
      </x:c>
      <x:c r="K122" s="9" t="str">
        <x:v>left</x:v>
      </x:c>
      <x:c r="L122" s="9" t="str">
        <x:v>Four-way cross-task counterfactual: left/right polarity × juggling-ball target/reference role</x:v>
      </x:c>
      <x:c r="M122" s="9" t="str">
        <x:v>green pen</x:v>
      </x:c>
      <x:c r="N122" s="9" t="str">
        <x:v>juggling ball</x:v>
      </x:c>
      <x:c r="O122" s="9" t="str">
        <x:v>Reference</x:v>
      </x:c>
      <x:c r="P122" s="9" t="n">
        <x:v>3</x:v>
      </x:c>
      <x:c r="Q122" s="9" t="str">
        <x:v>Reset every manipulated core object to its marked pose; preserve the exact scene and change only the instruction.</x:v>
      </x:c>
      <x:c r="R122" s="10" t="str">
        <x:v>The juggling ball is globally familiar but absent from Relational Placement training. This exact-scene family crosses direction with its reference role and contains no direct-name control.</x:v>
      </x:c>
      <x:c r="S122" s="10"/>
    </x:row>
    <x:row r="123" ht="72" customHeight="1">
      <x:c r="A123" s="24" t="str">
        <x:v>Not collected</x:v>
      </x:c>
      <x:c r="B123" s="24" t="n">
        <x:v>121</x:v>
      </x:c>
      <x:c r="C123" s="25" t="str">
        <x:v>Place the green pen to the right of the juggling ball.</x:v>
      </x:c>
      <x:c r="D123" s="25" t="str">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3" s="24" t="n">
        <x:v>118</x:v>
      </x:c>
      <x:c r="F123" s="24" t="str">
        <x:v>1102 (juggling-ball exposure); 243 (right relation with green pen as target)</x:v>
      </x:c>
      <x:c r="G123" s="24" t="str">
        <x:v>green pen → 2–8 cm edge gap to the right of juggling ball; centroid direction within ±45°.</x:v>
      </x:c>
      <x:c r="H123" s="25"/>
      <x:c r="I123" s="24" t="str">
        <x:v>Cross-task-object directional reasoning</x:v>
      </x:c>
      <x:c r="J123" s="24" t="str">
        <x:v>RP-XT-CF03</x:v>
      </x:c>
      <x:c r="K123" s="24" t="str">
        <x:v>right</x:v>
      </x:c>
      <x:c r="L123" s="24" t="str">
        <x:v>Four-way cross-task counterfactual: left/right polarity × juggling-ball target/reference role</x:v>
      </x:c>
      <x:c r="M123" s="24" t="str">
        <x:v>green pen</x:v>
      </x:c>
      <x:c r="N123" s="24" t="str">
        <x:v>juggling ball</x:v>
      </x:c>
      <x:c r="O123" s="24" t="str">
        <x:v>Reference</x:v>
      </x:c>
      <x:c r="P123" s="24" t="n">
        <x:v>3</x:v>
      </x:c>
      <x:c r="Q123" s="24" t="str">
        <x:v>Reset every manipulated core object to its marked pose; preserve the exact scene and change only the instruction.</x:v>
      </x:c>
      <x:c r="R123" s="25" t="str">
        <x:v>The juggling ball is globally familiar but absent from Relational Placement training. This exact-scene family crosses direction with its reference role and contains no direct-name control.</x:v>
      </x:c>
      <x:c r="S123" s="25"/>
    </x:row>
    <x:row r="124" ht="72" customHeight="1">
      <x:c r="A124" s="9" t="str">
        <x:v>Not collected</x:v>
      </x:c>
      <x:c r="B124" s="9" t="n">
        <x:v>122</x:v>
      </x:c>
      <x:c r="C124" s="10" t="str">
        <x:v>Place the juggling ball to the left of the red block.</x:v>
      </x:c>
      <x:c r="D124" s="10" t="str">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4" s="9"/>
      <x:c r="F124" s="9" t="str">
        <x:v>1103 (juggling-ball exposure); 275 (left relation)</x:v>
      </x:c>
      <x:c r="G124" s="9" t="str">
        <x:v>juggling ball → 2–8 cm edge gap to the left of red block; centroid direction within ±45°.</x:v>
      </x:c>
      <x:c r="H124" s="10"/>
      <x:c r="I124" s="9" t="str">
        <x:v>Cross-task-object directional reasoning</x:v>
      </x:c>
      <x:c r="J124" s="9" t="str">
        <x:v>RP-XT-CF04</x:v>
      </x:c>
      <x:c r="K124" s="9" t="str">
        <x:v>left</x:v>
      </x:c>
      <x:c r="L124" s="9" t="str">
        <x:v>Four-way cross-task counterfactual: left/right polarity × juggling-ball target/reference role</x:v>
      </x:c>
      <x:c r="M124" s="9" t="str">
        <x:v>juggling ball</x:v>
      </x:c>
      <x:c r="N124" s="9" t="str">
        <x:v>red block</x:v>
      </x:c>
      <x:c r="O124" s="9" t="str">
        <x:v>Target</x:v>
      </x:c>
      <x:c r="P124" s="9" t="n">
        <x:v>4</x:v>
      </x:c>
      <x:c r="Q124" s="9" t="str">
        <x:v>Build the listed neutral-axis scene and save the first frame.</x:v>
      </x:c>
      <x:c r="R124" s="10" t="str">
        <x:v>The juggling ball is globally familiar but absent from Relational Placement training. This exact-scene family crosses direction with its target role and contains no direct-name control.</x:v>
      </x:c>
      <x:c r="S124" s="10"/>
    </x:row>
    <x:row r="125" ht="72" customHeight="1">
      <x:c r="A125" s="24" t="str">
        <x:v>Not collected</x:v>
      </x:c>
      <x:c r="B125" s="24" t="n">
        <x:v>123</x:v>
      </x:c>
      <x:c r="C125" s="25" t="str">
        <x:v>Place the juggling ball to the right of the red block.</x:v>
      </x:c>
      <x:c r="D125" s="25" t="str">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5" s="24" t="n">
        <x:v>122</x:v>
      </x:c>
      <x:c r="F125" s="24" t="str">
        <x:v>1103 (juggling-ball exposure); 287 (right relation)</x:v>
      </x:c>
      <x:c r="G125" s="24" t="str">
        <x:v>juggling ball → 2–8 cm edge gap to the right of red block; centroid direction within ±45°.</x:v>
      </x:c>
      <x:c r="H125" s="25"/>
      <x:c r="I125" s="24" t="str">
        <x:v>Cross-task-object directional reasoning</x:v>
      </x:c>
      <x:c r="J125" s="24" t="str">
        <x:v>RP-XT-CF04</x:v>
      </x:c>
      <x:c r="K125" s="24" t="str">
        <x:v>right</x:v>
      </x:c>
      <x:c r="L125" s="24" t="str">
        <x:v>Four-way cross-task counterfactual: left/right polarity × juggling-ball target/reference role</x:v>
      </x:c>
      <x:c r="M125" s="24" t="str">
        <x:v>juggling ball</x:v>
      </x:c>
      <x:c r="N125" s="24" t="str">
        <x:v>red block</x:v>
      </x:c>
      <x:c r="O125" s="24" t="str">
        <x:v>Target</x:v>
      </x:c>
      <x:c r="P125" s="24" t="n">
        <x:v>4</x:v>
      </x:c>
      <x:c r="Q125" s="24" t="str">
        <x:v>Reset every manipulated core object to its marked pose; preserve the exact scene and change only the instruction.</x:v>
      </x:c>
      <x:c r="R125" s="25" t="str">
        <x:v>The juggling ball is globally familiar but absent from Relational Placement training. This exact-scene family crosses direction with its target role and contains no direct-name control.</x:v>
      </x:c>
      <x:c r="S125" s="25"/>
    </x:row>
    <x:row r="126" ht="72" customHeight="1">
      <x:c r="A126" s="9" t="str">
        <x:v>Not collected</x:v>
      </x:c>
      <x:c r="B126" s="9" t="n">
        <x:v>124</x:v>
      </x:c>
      <x:c r="C126" s="10" t="str">
        <x:v>Place the red block to the left of the juggling ball.</x:v>
      </x:c>
      <x:c r="D126" s="10" t="str">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6" s="9" t="n">
        <x:v>122</x:v>
      </x:c>
      <x:c r="F126" s="9" t="str">
        <x:v>1103 (juggling-ball exposure); 275 (left relation with red block as target)</x:v>
      </x:c>
      <x:c r="G126" s="9" t="str">
        <x:v>red block → 2–8 cm edge gap to the left of juggling ball; centroid direction within ±45°.</x:v>
      </x:c>
      <x:c r="H126" s="10"/>
      <x:c r="I126" s="9" t="str">
        <x:v>Cross-task-object directional reasoning</x:v>
      </x:c>
      <x:c r="J126" s="9" t="str">
        <x:v>RP-XT-CF04</x:v>
      </x:c>
      <x:c r="K126" s="9" t="str">
        <x:v>left</x:v>
      </x:c>
      <x:c r="L126" s="9" t="str">
        <x:v>Four-way cross-task counterfactual: left/right polarity × juggling-ball target/reference role</x:v>
      </x:c>
      <x:c r="M126" s="9" t="str">
        <x:v>red block</x:v>
      </x:c>
      <x:c r="N126" s="9" t="str">
        <x:v>juggling ball</x:v>
      </x:c>
      <x:c r="O126" s="9" t="str">
        <x:v>Reference</x:v>
      </x:c>
      <x:c r="P126" s="9" t="n">
        <x:v>4</x:v>
      </x:c>
      <x:c r="Q126" s="9" t="str">
        <x:v>Reset every manipulated core object to its marked pose; preserve the exact scene and change only the instruction.</x:v>
      </x:c>
      <x:c r="R126" s="10" t="str">
        <x:v>The juggling ball is globally familiar but absent from Relational Placement training. This exact-scene family crosses direction with its reference role and contains no direct-name control.</x:v>
      </x:c>
      <x:c r="S126" s="10"/>
    </x:row>
    <x:row r="127" ht="72" customHeight="1">
      <x:c r="A127" s="24" t="str">
        <x:v>Not collected</x:v>
      </x:c>
      <x:c r="B127" s="24" t="n">
        <x:v>125</x:v>
      </x:c>
      <x:c r="C127" s="25" t="str">
        <x:v>Place the red block to the right of the juggling ball.</x:v>
      </x:c>
      <x:c r="D127" s="25" t="str">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7" s="24" t="n">
        <x:v>122</x:v>
      </x:c>
      <x:c r="F127" s="24" t="str">
        <x:v>1103 (juggling-ball exposure); 287 (right relation with red block as target)</x:v>
      </x:c>
      <x:c r="G127" s="24" t="str">
        <x:v>red block → 2–8 cm edge gap to the right of juggling ball; centroid direction within ±45°.</x:v>
      </x:c>
      <x:c r="H127" s="25"/>
      <x:c r="I127" s="24" t="str">
        <x:v>Cross-task-object directional reasoning</x:v>
      </x:c>
      <x:c r="J127" s="24" t="str">
        <x:v>RP-XT-CF04</x:v>
      </x:c>
      <x:c r="K127" s="24" t="str">
        <x:v>right</x:v>
      </x:c>
      <x:c r="L127" s="24" t="str">
        <x:v>Four-way cross-task counterfactual: left/right polarity × juggling-ball target/reference role</x:v>
      </x:c>
      <x:c r="M127" s="24" t="str">
        <x:v>red block</x:v>
      </x:c>
      <x:c r="N127" s="24" t="str">
        <x:v>juggling ball</x:v>
      </x:c>
      <x:c r="O127" s="24" t="str">
        <x:v>Reference</x:v>
      </x:c>
      <x:c r="P127" s="24" t="n">
        <x:v>4</x:v>
      </x:c>
      <x:c r="Q127" s="24" t="str">
        <x:v>Reset every manipulated core object to its marked pose; preserve the exact scene and change only the instruction.</x:v>
      </x:c>
      <x:c r="R127" s="25" t="str">
        <x:v>The juggling ball is globally familiar but absent from Relational Placement training. This exact-scene family crosses direction with its reference role and contains no direct-name control.</x:v>
      </x:c>
      <x:c r="S127" s="25"/>
    </x:row>
    <x:row r="128" ht="72" customHeight="1">
      <x:c r="A128" s="9" t="str">
        <x:v>Not collected</x:v>
      </x:c>
      <x:c r="B128" s="9" t="n">
        <x:v>126</x:v>
      </x:c>
      <x:c r="C128" s="10" t="str">
        <x:v>Place the juggling ball in front of the red block.</x:v>
      </x:c>
      <x:c r="D128" s="10" t="str">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28" s="9"/>
      <x:c r="F128" s="9" t="str">
        <x:v>1104 (juggling-ball exposure); 254 (front relation)</x:v>
      </x:c>
      <x:c r="G128" s="9" t="str">
        <x:v>juggling ball → 2–8 cm edge gap in front of red block; centroid direction within ±45°.</x:v>
      </x:c>
      <x:c r="H128" s="10"/>
      <x:c r="I128" s="9" t="str">
        <x:v>Cross-task-object directional reasoning</x:v>
      </x:c>
      <x:c r="J128" s="9" t="str">
        <x:v>RP-XT-CF05</x:v>
      </x:c>
      <x:c r="K128" s="9" t="str">
        <x:v>front</x:v>
      </x:c>
      <x:c r="L128" s="9" t="str">
        <x:v>Four-prompt mixed-axis cross-task counterfactual with two juggling-ball targets and two references</x:v>
      </x:c>
      <x:c r="M128" s="9" t="str">
        <x:v>juggling ball</x:v>
      </x:c>
      <x:c r="N128" s="9" t="str">
        <x:v>red block</x:v>
      </x:c>
      <x:c r="O128" s="9" t="str">
        <x:v>Target</x:v>
      </x:c>
      <x:c r="P128" s="9" t="n">
        <x:v>4</x:v>
      </x:c>
      <x:c r="Q128" s="9" t="str">
        <x:v>Build the listed neutral-axis scene and save the first frame.</x:v>
      </x:c>
      <x:c r="R128" s="10" t="str">
        <x:v>The juggling ball is globally familiar but absent from Relational Placement training. This exact-scene family crosses direction with its target role and contains no direct-name control.</x:v>
      </x:c>
      <x:c r="S128" s="10"/>
    </x:row>
    <x:row r="129" ht="72" customHeight="1">
      <x:c r="A129" s="24" t="str">
        <x:v>Not collected</x:v>
      </x:c>
      <x:c r="B129" s="24" t="n">
        <x:v>127</x:v>
      </x:c>
      <x:c r="C129" s="25" t="str">
        <x:v>Place the red block behind the juggling ball.</x:v>
      </x:c>
      <x:c r="D129" s="25" t="str">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29" s="24" t="n">
        <x:v>126</x:v>
      </x:c>
      <x:c r="F129" s="24" t="str">
        <x:v>1104 (juggling-ball exposure); 270 (behind relation with red block as target)</x:v>
      </x:c>
      <x:c r="G129" s="24" t="str">
        <x:v>red block → 2–8 cm edge gap behind juggling ball; centroid direction within ±45°.</x:v>
      </x:c>
      <x:c r="H129" s="25"/>
      <x:c r="I129" s="24" t="str">
        <x:v>Cross-task-object directional reasoning</x:v>
      </x:c>
      <x:c r="J129" s="24" t="str">
        <x:v>RP-XT-CF05</x:v>
      </x:c>
      <x:c r="K129" s="24" t="str">
        <x:v>behind</x:v>
      </x:c>
      <x:c r="L129" s="24" t="str">
        <x:v>Four-prompt mixed-axis cross-task counterfactual with two juggling-ball targets and two references</x:v>
      </x:c>
      <x:c r="M129" s="24" t="str">
        <x:v>red block</x:v>
      </x:c>
      <x:c r="N129" s="24" t="str">
        <x:v>juggling ball</x:v>
      </x:c>
      <x:c r="O129" s="24" t="str">
        <x:v>Reference</x:v>
      </x:c>
      <x:c r="P129" s="24" t="n">
        <x:v>4</x:v>
      </x:c>
      <x:c r="Q129" s="24" t="str">
        <x:v>Reset every manipulated core object to its marked pose; preserve the exact scene and change only the instruction.</x:v>
      </x:c>
      <x:c r="R129" s="25" t="str">
        <x:v>The juggling ball is globally familiar but absent from Relational Placement training. This exact-scene family crosses direction with its reference role and contains no direct-name control.</x:v>
      </x:c>
      <x:c r="S129" s="25"/>
    </x:row>
    <x:row r="130" ht="72" customHeight="1">
      <x:c r="A130" s="9" t="str">
        <x:v>Not collected</x:v>
      </x:c>
      <x:c r="B130" s="9" t="n">
        <x:v>128</x:v>
      </x:c>
      <x:c r="C130" s="10" t="str">
        <x:v>Place the juggling ball to the left of the green pen.</x:v>
      </x:c>
      <x:c r="D130" s="10" t="str">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30" s="9" t="n">
        <x:v>126</x:v>
      </x:c>
      <x:c r="F130" s="9" t="str">
        <x:v>1104 (juggling-ball exposure); 229 (left relation)</x:v>
      </x:c>
      <x:c r="G130" s="9" t="str">
        <x:v>juggling ball → 2–8 cm edge gap to the left of green pen; centroid direction within ±45°.</x:v>
      </x:c>
      <x:c r="H130" s="10"/>
      <x:c r="I130" s="9" t="str">
        <x:v>Cross-task-object directional reasoning</x:v>
      </x:c>
      <x:c r="J130" s="9" t="str">
        <x:v>RP-XT-CF05</x:v>
      </x:c>
      <x:c r="K130" s="9" t="str">
        <x:v>left</x:v>
      </x:c>
      <x:c r="L130" s="9" t="str">
        <x:v>Four-prompt mixed-axis cross-task counterfactual with two juggling-ball targets and two references</x:v>
      </x:c>
      <x:c r="M130" s="9" t="str">
        <x:v>juggling ball</x:v>
      </x:c>
      <x:c r="N130" s="9" t="str">
        <x:v>green pen</x:v>
      </x:c>
      <x:c r="O130" s="9" t="str">
        <x:v>Target</x:v>
      </x:c>
      <x:c r="P130" s="9" t="n">
        <x:v>4</x:v>
      </x:c>
      <x:c r="Q130" s="9" t="str">
        <x:v>Reset every manipulated core object to its marked pose; preserve the exact scene and change only the instruction.</x:v>
      </x:c>
      <x:c r="R130" s="10" t="str">
        <x:v>The juggling ball is globally familiar but absent from Relational Placement training. This exact-scene family crosses direction with its target role and contains no direct-name control.</x:v>
      </x:c>
      <x:c r="S130" s="10"/>
    </x:row>
    <x:row r="131" ht="72" customHeight="1">
      <x:c r="A131" s="24" t="str">
        <x:v>Not collected</x:v>
      </x:c>
      <x:c r="B131" s="24" t="n">
        <x:v>129</x:v>
      </x:c>
      <x:c r="C131" s="25" t="str">
        <x:v>Place the green pen to the right of the juggling ball.</x:v>
      </x:c>
      <x:c r="D131" s="25" t="str">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31" s="24" t="n">
        <x:v>126</x:v>
      </x:c>
      <x:c r="F131" s="24" t="str">
        <x:v>1104 (juggling-ball exposure); 243 (right relation with green pen as target)</x:v>
      </x:c>
      <x:c r="G131" s="24" t="str">
        <x:v>green pen → 2–8 cm edge gap to the right of juggling ball; centroid direction within ±45°.</x:v>
      </x:c>
      <x:c r="H131" s="25"/>
      <x:c r="I131" s="24" t="str">
        <x:v>Cross-task-object directional reasoning</x:v>
      </x:c>
      <x:c r="J131" s="24" t="str">
        <x:v>RP-XT-CF05</x:v>
      </x:c>
      <x:c r="K131" s="24" t="str">
        <x:v>right</x:v>
      </x:c>
      <x:c r="L131" s="24" t="str">
        <x:v>Four-prompt mixed-axis cross-task counterfactual with two juggling-ball targets and two references</x:v>
      </x:c>
      <x:c r="M131" s="24" t="str">
        <x:v>green pen</x:v>
      </x:c>
      <x:c r="N131" s="24" t="str">
        <x:v>juggling ball</x:v>
      </x:c>
      <x:c r="O131" s="24" t="str">
        <x:v>Reference</x:v>
      </x:c>
      <x:c r="P131" s="24" t="n">
        <x:v>4</x:v>
      </x:c>
      <x:c r="Q131" s="24" t="str">
        <x:v>Reset every manipulated core object to its marked pose; preserve the exact scene and change only the instruction.</x:v>
      </x:c>
      <x:c r="R131" s="25" t="str">
        <x:v>The juggling ball is globally familiar but absent from Relational Placement training. This exact-scene family crosses direction with its reference role and contains no direct-name control.</x:v>
      </x:c>
      <x:c r="S131" s="25"/>
    </x:row>
    <x:row r="132" ht="72" customHeight="1">
      <x:c r="A132" s="9" t="str">
        <x:v>Not collected</x:v>
      </x:c>
      <x:c r="B132" s="9" t="n">
        <x:v>130</x:v>
      </x:c>
      <x:c r="C132" s="10" t="str">
        <x:v>Place the green pen to the left of the pink marker.</x:v>
      </x:c>
      <x:c r="D132" s="10" t="str">
        <x:v>P1 green pen with a 5 cm edge gap to the left of P2; P2 pink marker at R1 (table center); P3 blue block 15 cm in front of P2. All coordinates are from the robot's perspective. Both ordinary reciprocal prompts in this scene are already satisfied at the start.</x:v>
      </x:c>
      <x:c r="E132" s="9"/>
      <x:c r="F132" s="9" t="str">
        <x:v>232</x:v>
      </x:c>
      <x:c r="G132" s="9" t="str">
        <x:v>NO MOVEMENT — requested relation is already satisfied at the start: green pen → 2–8 cm edge gap to the left of pink marker; centroid direction within ±45°.</x:v>
      </x:c>
      <x:c r="H132" s="10"/>
      <x:c r="I132" s="9" t="str">
        <x:v>Goal already satisfied / no movement</x:v>
      </x:c>
      <x:c r="J132" s="9" t="str">
        <x:v>RP-AG01</x:v>
      </x:c>
      <x:c r="K132" s="9" t="str">
        <x:v>left</x:v>
      </x:c>
      <x:c r="L132" s="9" t="str">
        <x:v>In-distribution satisfied-state action-gating diagnostic</x:v>
      </x:c>
      <x:c r="M132" s="9" t="str">
        <x:v>green pen</x:v>
      </x:c>
      <x:c r="N132" s="9" t="str">
        <x:v>pink marker</x:v>
      </x:c>
      <x:c r="O132" s="9" t="str">
        <x:v>None</x:v>
      </x:c>
      <x:c r="P132" s="9" t="n">
        <x:v>3</x:v>
      </x:c>
      <x:c r="Q132" s="9" t="str">
        <x:v>Build the listed already-satisfied scene and save the first frame.</x:v>
      </x:c>
      <x:c r="R132" s="10" t="str">
        <x:v>Uses the ordinary explicitly trained prompt from episode 232. Its prompt-matched movement-required counterpart is in the same four-row family.</x:v>
      </x:c>
      <x:c r="S132" s="10"/>
    </x:row>
    <x:row r="133" ht="72" customHeight="1">
      <x:c r="A133" s="24" t="str">
        <x:v>Not collected</x:v>
      </x:c>
      <x:c r="B133" s="24" t="n">
        <x:v>131</x:v>
      </x:c>
      <x:c r="C133" s="25" t="str">
        <x:v>Place the pink marker to the right of the green pen.</x:v>
      </x:c>
      <x:c r="D133" s="25" t="str">
        <x:v>P1 green pen with a 5 cm edge gap to the left of P2; P2 pink marker at R1 (table center); P3 blue block 15 cm in front of P2. All coordinates are from the robot's perspective. Both ordinary reciprocal prompts in this scene are already satisfied at the start.</x:v>
      </x:c>
      <x:c r="E133" s="24" t="n">
        <x:v>130</x:v>
      </x:c>
      <x:c r="F133" s="24" t="str">
        <x:v>345</x:v>
      </x:c>
      <x:c r="G133" s="24" t="str">
        <x:v>NO MOVEMENT — requested relation is already satisfied at the start: pink marker → 2–8 cm edge gap to the right of green pen; centroid direction within ±45°.</x:v>
      </x:c>
      <x:c r="H133" s="25"/>
      <x:c r="I133" s="24" t="str">
        <x:v>Goal already satisfied / no movement</x:v>
      </x:c>
      <x:c r="J133" s="24" t="str">
        <x:v>RP-AG01</x:v>
      </x:c>
      <x:c r="K133" s="24" t="str">
        <x:v>right</x:v>
      </x:c>
      <x:c r="L133" s="24" t="str">
        <x:v>In-distribution satisfied-state action-gating diagnostic</x:v>
      </x:c>
      <x:c r="M133" s="24" t="str">
        <x:v>pink marker</x:v>
      </x:c>
      <x:c r="N133" s="24" t="str">
        <x:v>green pen</x:v>
      </x:c>
      <x:c r="O133" s="24" t="str">
        <x:v>None</x:v>
      </x:c>
      <x:c r="P133" s="24" t="n">
        <x:v>3</x:v>
      </x:c>
      <x:c r="Q133" s="24" t="str">
        <x:v>Preserve the exact scene; change only the reciprocal target/reference instruction.</x:v>
      </x:c>
      <x:c r="R133" s="25" t="str">
        <x:v>Uses the reciprocal explicitly trained prompt from episode 345. Both rows in this state pair are simultaneously satisfied.</x:v>
      </x:c>
      <x:c r="S133" s="25"/>
    </x:row>
    <x:row r="134" ht="72" customHeight="1">
      <x:c r="A134" s="9" t="str">
        <x:v>Not collected</x:v>
      </x:c>
      <x:c r="B134" s="9" t="n">
        <x:v>132</x:v>
      </x:c>
      <x:c r="C134" s="10" t="str">
        <x:v>Place the green pen to the left of the pink marker.</x:v>
      </x:c>
      <x:c r="D134" s="10" t="str">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x:c r="F134" s="9" t="str">
        <x:v>232</x:v>
      </x:c>
      <x:c r="G134" s="9" t="str">
        <x:v>green pen → 2–8 cm edge gap to the left of pink marker; centroid direction within ±45°.</x:v>
      </x:c>
      <x:c r="H134" s="10"/>
      <x:c r="I134" s="9" t="str">
        <x:v>Violated-relation correction control</x:v>
      </x:c>
      <x:c r="J134" s="9" t="str">
        <x:v>RP-AG01</x:v>
      </x:c>
      <x:c r="K134" s="9" t="str">
        <x:v>left</x:v>
      </x:c>
      <x:c r="L134" s="9" t="str">
        <x:v>Matched opposite-sector movement-required control</x:v>
      </x:c>
      <x:c r="M134" s="9" t="str">
        <x:v>green pen</x:v>
      </x:c>
      <x:c r="N134" s="9" t="str">
        <x:v>pink marker</x:v>
      </x:c>
      <x:c r="O134" s="9" t="str">
        <x:v>None</x:v>
      </x:c>
      <x:c r="P134" s="9" t="n">
        <x:v>3</x:v>
      </x:c>
      <x:c r="Q134" s="9" t="str">
        <x:v>Move only P1 to the listed opposite-sector violated 5 cm position; preserve P2, every distractor, and the camera/robot setup.</x:v>
      </x:c>
      <x:c r="R134" s="10" t="str">
        <x:v>Uses the ordinary explicitly trained prompt from episode 232. Its prompt-matched no-movement counterpart is in the same four-row family.</x:v>
      </x:c>
      <x:c r="S134" s="10"/>
    </x:row>
    <x:row r="135" ht="72" customHeight="1">
      <x:c r="A135" s="24" t="str">
        <x:v>Not collected</x:v>
      </x:c>
      <x:c r="B135" s="24" t="n">
        <x:v>133</x:v>
      </x:c>
      <x:c r="C135" s="25" t="str">
        <x:v>Place the pink marker to the right of the green pen.</x:v>
      </x:c>
      <x:c r="D135" s="25" t="str">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v>132</x:v>
      </x:c>
      <x:c r="F135" s="24" t="str">
        <x:v>345</x:v>
      </x:c>
      <x:c r="G135" s="24" t="str">
        <x:v>pink marker → 2–8 cm edge gap to the right of green pen; centroid direction within ±45°.</x:v>
      </x:c>
      <x:c r="H135" s="25"/>
      <x:c r="I135" s="24" t="str">
        <x:v>Violated-relation correction control</x:v>
      </x:c>
      <x:c r="J135" s="24" t="str">
        <x:v>RP-AG01</x:v>
      </x:c>
      <x:c r="K135" s="24" t="str">
        <x:v>right</x:v>
      </x:c>
      <x:c r="L135" s="24" t="str">
        <x:v>Matched opposite-sector movement-required control</x:v>
      </x:c>
      <x:c r="M135" s="24" t="str">
        <x:v>pink marker</x:v>
      </x:c>
      <x:c r="N135" s="24" t="str">
        <x:v>green pen</x:v>
      </x:c>
      <x:c r="O135" s="24" t="str">
        <x:v>None</x:v>
      </x:c>
      <x:c r="P135" s="24" t="n">
        <x:v>3</x:v>
      </x:c>
      <x:c r="Q135" s="24" t="str">
        <x:v>Preserve the exact scene; change only the reciprocal target/reference instruction.</x:v>
      </x:c>
      <x:c r="R135" s="25" t="str">
        <x:v>Uses the reciprocal explicitly trained prompt from episode 345. Both rows in this state pair are simultaneously violated.</x:v>
      </x:c>
      <x:c r="S135" s="25"/>
    </x:row>
    <x:row r="136" ht="72" customHeight="1">
      <x:c r="A136" s="9" t="str">
        <x:v>Not collected</x:v>
      </x:c>
      <x:c r="B136" s="9" t="n">
        <x:v>134</x:v>
      </x:c>
      <x:c r="C136" s="10" t="str">
        <x:v>Place the green pen to the right of the pink marker.</x:v>
      </x:c>
      <x:c r="D136" s="10" t="str">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x:c r="F136" s="9" t="str">
        <x:v>244</x:v>
      </x:c>
      <x:c r="G136" s="9" t="str">
        <x:v>green pen → 2–8 cm edge gap to the right of pink marker; centroid direction within ±45°.</x:v>
      </x:c>
      <x:c r="H136" s="10"/>
      <x:c r="I136" s="9" t="str">
        <x:v>Violated-relation correction control</x:v>
      </x:c>
      <x:c r="J136" s="9" t="str">
        <x:v>RP-AG02</x:v>
      </x:c>
      <x:c r="K136" s="9" t="str">
        <x:v>right</x:v>
      </x:c>
      <x:c r="L136" s="9" t="str">
        <x:v>Matched opposite-sector movement-required control</x:v>
      </x:c>
      <x:c r="M136" s="9" t="str">
        <x:v>green pen</x:v>
      </x:c>
      <x:c r="N136" s="9" t="str">
        <x:v>pink marker</x:v>
      </x:c>
      <x:c r="O136" s="9" t="str">
        <x:v>None</x:v>
      </x:c>
      <x:c r="P136" s="9" t="n">
        <x:v>4</x:v>
      </x:c>
      <x:c r="Q136" s="9" t="str">
        <x:v>Build the listed opposite-sector violated scene and save the first frame.</x:v>
      </x:c>
      <x:c r="R136" s="10" t="str">
        <x:v>Uses the ordinary explicitly trained prompt from episode 244. Its prompt-matched no-movement counterpart is in the same four-row family.</x:v>
      </x:c>
      <x:c r="S136" s="10"/>
    </x:row>
    <x:row r="137" ht="72" customHeight="1">
      <x:c r="A137" s="24" t="str">
        <x:v>Not collected</x:v>
      </x:c>
      <x:c r="B137" s="24" t="n">
        <x:v>135</x:v>
      </x:c>
      <x:c r="C137" s="25" t="str">
        <x:v>Place the pink marker to the left of the green pen.</x:v>
      </x:c>
      <x:c r="D137" s="25" t="str">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v>134</x:v>
      </x:c>
      <x:c r="F137" s="24" t="str">
        <x:v>331</x:v>
      </x:c>
      <x:c r="G137" s="24" t="str">
        <x:v>pink marker → 2–8 cm edge gap to the left of green pen; centroid direction within ±45°.</x:v>
      </x:c>
      <x:c r="H137" s="25"/>
      <x:c r="I137" s="24" t="str">
        <x:v>Violated-relation correction control</x:v>
      </x:c>
      <x:c r="J137" s="24" t="str">
        <x:v>RP-AG02</x:v>
      </x:c>
      <x:c r="K137" s="24" t="str">
        <x:v>left</x:v>
      </x:c>
      <x:c r="L137" s="24" t="str">
        <x:v>Matched opposite-sector movement-required control</x:v>
      </x:c>
      <x:c r="M137" s="24" t="str">
        <x:v>pink marker</x:v>
      </x:c>
      <x:c r="N137" s="24" t="str">
        <x:v>green pen</x:v>
      </x:c>
      <x:c r="O137" s="24" t="str">
        <x:v>None</x:v>
      </x:c>
      <x:c r="P137" s="24" t="n">
        <x:v>4</x:v>
      </x:c>
      <x:c r="Q137" s="24" t="str">
        <x:v>Preserve the exact scene; change only the reciprocal target/reference instruction.</x:v>
      </x:c>
      <x:c r="R137" s="25" t="str">
        <x:v>Uses the reciprocal explicitly trained prompt from episode 331. Both rows in this state pair are simultaneously violated.</x:v>
      </x:c>
      <x:c r="S137" s="25"/>
    </x:row>
    <x:row r="138" ht="72" customHeight="1">
      <x:c r="A138" s="9" t="str">
        <x:v>Not collected</x:v>
      </x:c>
      <x:c r="B138" s="9" t="n">
        <x:v>136</x:v>
      </x:c>
      <x:c r="C138" s="10" t="str">
        <x:v>Place the green pen to the right of the pink marker.</x:v>
      </x:c>
      <x:c r="D138" s="10" t="str">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x:c r="F138" s="9" t="str">
        <x:v>244</x:v>
      </x:c>
      <x:c r="G138" s="9" t="str">
        <x:v>NO MOVEMENT — requested relation is already satisfied at the start: green pen → 2–8 cm edge gap to the right of pink marker; centroid direction within ±45°.</x:v>
      </x:c>
      <x:c r="H138" s="10"/>
      <x:c r="I138" s="9" t="str">
        <x:v>Goal already satisfied / no movement</x:v>
      </x:c>
      <x:c r="J138" s="9" t="str">
        <x:v>RP-AG02</x:v>
      </x:c>
      <x:c r="K138" s="9" t="str">
        <x:v>right</x:v>
      </x:c>
      <x:c r="L138" s="9" t="str">
        <x:v>In-distribution satisfied-state action-gating diagnostic</x:v>
      </x:c>
      <x:c r="M138" s="9" t="str">
        <x:v>green pen</x:v>
      </x:c>
      <x:c r="N138" s="9" t="str">
        <x:v>pink marker</x:v>
      </x:c>
      <x:c r="O138" s="9" t="str">
        <x:v>None</x:v>
      </x:c>
      <x:c r="P138" s="9" t="n">
        <x:v>4</x:v>
      </x:c>
      <x:c r="Q138" s="9" t="str">
        <x:v>Move only P1 to the listed already-satisfied 5 cm position; preserve P2, every distractor, and the camera/robot setup.</x:v>
      </x:c>
      <x:c r="R138" s="10" t="str">
        <x:v>Uses the ordinary explicitly trained prompt from episode 244. Its prompt-matched movement-required counterpart is in the same four-row family.</x:v>
      </x:c>
      <x:c r="S138" s="10"/>
    </x:row>
    <x:row r="139" ht="72" customHeight="1">
      <x:c r="A139" s="24" t="str">
        <x:v>Not collected</x:v>
      </x:c>
      <x:c r="B139" s="24" t="n">
        <x:v>137</x:v>
      </x:c>
      <x:c r="C139" s="25" t="str">
        <x:v>Place the pink marker to the left of the green pen.</x:v>
      </x:c>
      <x:c r="D139" s="25" t="str">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v>136</x:v>
      </x:c>
      <x:c r="F139" s="24" t="str">
        <x:v>331</x:v>
      </x:c>
      <x:c r="G139" s="24" t="str">
        <x:v>NO MOVEMENT — requested relation is already satisfied at the start: pink marker → 2–8 cm edge gap to the left of green pen; centroid direction within ±45°.</x:v>
      </x:c>
      <x:c r="H139" s="25"/>
      <x:c r="I139" s="24" t="str">
        <x:v>Goal already satisfied / no movement</x:v>
      </x:c>
      <x:c r="J139" s="24" t="str">
        <x:v>RP-AG02</x:v>
      </x:c>
      <x:c r="K139" s="24" t="str">
        <x:v>left</x:v>
      </x:c>
      <x:c r="L139" s="24" t="str">
        <x:v>In-distribution satisfied-state action-gating diagnostic</x:v>
      </x:c>
      <x:c r="M139" s="24" t="str">
        <x:v>pink marker</x:v>
      </x:c>
      <x:c r="N139" s="24" t="str">
        <x:v>green pen</x:v>
      </x:c>
      <x:c r="O139" s="24" t="str">
        <x:v>None</x:v>
      </x:c>
      <x:c r="P139" s="24" t="n">
        <x:v>4</x:v>
      </x:c>
      <x:c r="Q139" s="24" t="str">
        <x:v>Preserve the exact scene; change only the reciprocal target/reference instruction.</x:v>
      </x:c>
      <x:c r="R139" s="25" t="str">
        <x:v>Uses the reciprocal explicitly trained prompt from episode 331. Both rows in this state pair are simultaneously satisfied.</x:v>
      </x:c>
      <x:c r="S139" s="25"/>
    </x:row>
    <x:row r="140" ht="72" customHeight="1">
      <x:c r="A140" s="9" t="str">
        <x:v>Not collected</x:v>
      </x:c>
      <x:c r="B140" s="9" t="n">
        <x:v>138</x:v>
      </x:c>
      <x:c r="C140" s="10" t="str">
        <x:v>Place the green pen to the left of the blue block.</x:v>
      </x:c>
      <x:c r="D140" s="10" t="str">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x:c r="F140" s="9" t="str">
        <x:v>236</x:v>
      </x:c>
      <x:c r="G140" s="9" t="str">
        <x:v>NO MOVEMENT — requested relation is already satisfied at the start: green pen → 2–8 cm edge gap to the left of blue block; centroid direction within ±45°.</x:v>
      </x:c>
      <x:c r="H140" s="10"/>
      <x:c r="I140" s="9" t="str">
        <x:v>Goal already satisfied / no movement</x:v>
      </x:c>
      <x:c r="J140" s="9" t="str">
        <x:v>RP-AG03</x:v>
      </x:c>
      <x:c r="K140" s="9" t="str">
        <x:v>left</x:v>
      </x:c>
      <x:c r="L140" s="9" t="str">
        <x:v>In-distribution satisfied-state action-gating diagnostic</x:v>
      </x:c>
      <x:c r="M140" s="9" t="str">
        <x:v>green pen</x:v>
      </x:c>
      <x:c r="N140" s="9" t="str">
        <x:v>blue block</x:v>
      </x:c>
      <x:c r="O140" s="9" t="str">
        <x:v>None</x:v>
      </x:c>
      <x:c r="P140" s="9" t="n">
        <x:v>3</x:v>
      </x:c>
      <x:c r="Q140" s="9" t="str">
        <x:v>Build the listed already-satisfied scene and save the first frame.</x:v>
      </x:c>
      <x:c r="R140" s="10" t="str">
        <x:v>Uses the ordinary explicitly trained prompt from episode 236. Its prompt-matched movement-required counterpart is in the same four-row family.</x:v>
      </x:c>
      <x:c r="S140" s="10"/>
    </x:row>
    <x:row r="141" ht="72" customHeight="1">
      <x:c r="A141" s="24" t="str">
        <x:v>Not collected</x:v>
      </x:c>
      <x:c r="B141" s="24" t="n">
        <x:v>139</x:v>
      </x:c>
      <x:c r="C141" s="25" t="str">
        <x:v>Place the blue block to the right of the green pen.</x:v>
      </x:c>
      <x:c r="D141" s="25" t="str">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v>138</x:v>
      </x:c>
      <x:c r="F141" s="24" t="str">
        <x:v>390</x:v>
      </x:c>
      <x:c r="G141" s="24" t="str">
        <x:v>NO MOVEMENT — requested relation is already satisfied at the start: blue block → 2–8 cm edge gap to the right of green pen; centroid direction within ±45°.</x:v>
      </x:c>
      <x:c r="H141" s="25"/>
      <x:c r="I141" s="24" t="str">
        <x:v>Goal already satisfied / no movement</x:v>
      </x:c>
      <x:c r="J141" s="24" t="str">
        <x:v>RP-AG03</x:v>
      </x:c>
      <x:c r="K141" s="24" t="str">
        <x:v>right</x:v>
      </x:c>
      <x:c r="L141" s="24" t="str">
        <x:v>In-distribution satisfied-state action-gating diagnostic</x:v>
      </x:c>
      <x:c r="M141" s="24" t="str">
        <x:v>blue block</x:v>
      </x:c>
      <x:c r="N141" s="24" t="str">
        <x:v>green pen</x:v>
      </x:c>
      <x:c r="O141" s="24" t="str">
        <x:v>None</x:v>
      </x:c>
      <x:c r="P141" s="24" t="n">
        <x:v>3</x:v>
      </x:c>
      <x:c r="Q141" s="24" t="str">
        <x:v>Preserve the exact scene; change only the reciprocal target/reference instruction.</x:v>
      </x:c>
      <x:c r="R141" s="25" t="str">
        <x:v>Uses the reciprocal explicitly trained prompt from episode 390. Both rows in this state pair are simultaneously satisfied.</x:v>
      </x:c>
      <x:c r="S141" s="25"/>
    </x:row>
    <x:row r="142" ht="72" customHeight="1">
      <x:c r="A142" s="9" t="str">
        <x:v>Not collected</x:v>
      </x:c>
      <x:c r="B142" s="9" t="n">
        <x:v>140</x:v>
      </x:c>
      <x:c r="C142" s="10" t="str">
        <x:v>Place the green pen to the left of the blue block.</x:v>
      </x:c>
      <x:c r="D142" s="10" t="str">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x:c r="F142" s="9" t="str">
        <x:v>236</x:v>
      </x:c>
      <x:c r="G142" s="9" t="str">
        <x:v>green pen → 2–8 cm edge gap to the left of blue block; centroid direction within ±45°.</x:v>
      </x:c>
      <x:c r="H142" s="10"/>
      <x:c r="I142" s="9" t="str">
        <x:v>Violated-relation correction control</x:v>
      </x:c>
      <x:c r="J142" s="9" t="str">
        <x:v>RP-AG03</x:v>
      </x:c>
      <x:c r="K142" s="9" t="str">
        <x:v>left</x:v>
      </x:c>
      <x:c r="L142" s="9" t="str">
        <x:v>Matched opposite-sector movement-required control</x:v>
      </x:c>
      <x:c r="M142" s="9" t="str">
        <x:v>green pen</x:v>
      </x:c>
      <x:c r="N142" s="9" t="str">
        <x:v>blue block</x:v>
      </x:c>
      <x:c r="O142" s="9" t="str">
        <x:v>None</x:v>
      </x:c>
      <x:c r="P142" s="9" t="n">
        <x:v>3</x:v>
      </x:c>
      <x:c r="Q142" s="9" t="str">
        <x:v>Move only P1 to the listed opposite-sector violated 5 cm position; preserve P2, every distractor, and the camera/robot setup.</x:v>
      </x:c>
      <x:c r="R142" s="10" t="str">
        <x:v>Uses the ordinary explicitly trained prompt from episode 236. Its prompt-matched no-movement counterpart is in the same four-row family.</x:v>
      </x:c>
      <x:c r="S142" s="10"/>
    </x:row>
    <x:row r="143" ht="72" customHeight="1">
      <x:c r="A143" s="24" t="str">
        <x:v>Not collected</x:v>
      </x:c>
      <x:c r="B143" s="24" t="n">
        <x:v>141</x:v>
      </x:c>
      <x:c r="C143" s="25" t="str">
        <x:v>Place the blue block to the right of the green pen.</x:v>
      </x:c>
      <x:c r="D143" s="25" t="str">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v>140</x:v>
      </x:c>
      <x:c r="F143" s="24" t="str">
        <x:v>390</x:v>
      </x:c>
      <x:c r="G143" s="24" t="str">
        <x:v>blue block → 2–8 cm edge gap to the right of green pen; centroid direction within ±45°.</x:v>
      </x:c>
      <x:c r="H143" s="25"/>
      <x:c r="I143" s="24" t="str">
        <x:v>Violated-relation correction control</x:v>
      </x:c>
      <x:c r="J143" s="24" t="str">
        <x:v>RP-AG03</x:v>
      </x:c>
      <x:c r="K143" s="24" t="str">
        <x:v>right</x:v>
      </x:c>
      <x:c r="L143" s="24" t="str">
        <x:v>Matched opposite-sector movement-required control</x:v>
      </x:c>
      <x:c r="M143" s="24" t="str">
        <x:v>blue block</x:v>
      </x:c>
      <x:c r="N143" s="24" t="str">
        <x:v>green pen</x:v>
      </x:c>
      <x:c r="O143" s="24" t="str">
        <x:v>None</x:v>
      </x:c>
      <x:c r="P143" s="24" t="n">
        <x:v>3</x:v>
      </x:c>
      <x:c r="Q143" s="24" t="str">
        <x:v>Preserve the exact scene; change only the reciprocal target/reference instruction.</x:v>
      </x:c>
      <x:c r="R143" s="25" t="str">
        <x:v>Uses the reciprocal explicitly trained prompt from episode 390. Both rows in this state pair are simultaneously violated.</x:v>
      </x:c>
      <x:c r="S143" s="25"/>
    </x:row>
    <x:row r="144" ht="72" customHeight="1">
      <x:c r="A144" s="9" t="str">
        <x:v>Not collected</x:v>
      </x:c>
      <x:c r="B144" s="9" t="n">
        <x:v>142</x:v>
      </x:c>
      <x:c r="C144" s="10" t="str">
        <x:v>Place the red block to the right of the pink marker.</x:v>
      </x:c>
      <x:c r="D144" s="10" t="str">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x:c r="F144" s="9" t="str">
        <x:v>289</x:v>
      </x:c>
      <x:c r="G144" s="9" t="str">
        <x:v>red block → 2–8 cm edge gap to the right of pink marker; centroid direction within ±45°.</x:v>
      </x:c>
      <x:c r="H144" s="10"/>
      <x:c r="I144" s="9" t="str">
        <x:v>Violated-relation correction control</x:v>
      </x:c>
      <x:c r="J144" s="9" t="str">
        <x:v>RP-AG04</x:v>
      </x:c>
      <x:c r="K144" s="9" t="str">
        <x:v>right</x:v>
      </x:c>
      <x:c r="L144" s="9" t="str">
        <x:v>Matched opposite-sector movement-required control</x:v>
      </x:c>
      <x:c r="M144" s="9" t="str">
        <x:v>red block</x:v>
      </x:c>
      <x:c r="N144" s="9" t="str">
        <x:v>pink marker</x:v>
      </x:c>
      <x:c r="O144" s="9" t="str">
        <x:v>None</x:v>
      </x:c>
      <x:c r="P144" s="9" t="n">
        <x:v>4</x:v>
      </x:c>
      <x:c r="Q144" s="9" t="str">
        <x:v>Build the listed opposite-sector violated scene and save the first frame.</x:v>
      </x:c>
      <x:c r="R144" s="10" t="str">
        <x:v>Uses the ordinary explicitly trained prompt from episode 289. Its prompt-matched no-movement counterpart is in the same four-row family.</x:v>
      </x:c>
      <x:c r="S144" s="10"/>
    </x:row>
    <x:row r="145" ht="72" customHeight="1">
      <x:c r="A145" s="24" t="str">
        <x:v>Not collected</x:v>
      </x:c>
      <x:c r="B145" s="24" t="n">
        <x:v>143</x:v>
      </x:c>
      <x:c r="C145" s="25" t="str">
        <x:v>Place the pink marker to the left of the red block.</x:v>
      </x:c>
      <x:c r="D145" s="25" t="str">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v>142</x:v>
      </x:c>
      <x:c r="F145" s="24" t="str">
        <x:v>335</x:v>
      </x:c>
      <x:c r="G145" s="24" t="str">
        <x:v>pink marker → 2–8 cm edge gap to the left of red block; centroid direction within ±45°.</x:v>
      </x:c>
      <x:c r="H145" s="25"/>
      <x:c r="I145" s="24" t="str">
        <x:v>Violated-relation correction control</x:v>
      </x:c>
      <x:c r="J145" s="24" t="str">
        <x:v>RP-AG04</x:v>
      </x:c>
      <x:c r="K145" s="24" t="str">
        <x:v>left</x:v>
      </x:c>
      <x:c r="L145" s="24" t="str">
        <x:v>Matched opposite-sector movement-required control</x:v>
      </x:c>
      <x:c r="M145" s="24" t="str">
        <x:v>pink marker</x:v>
      </x:c>
      <x:c r="N145" s="24" t="str">
        <x:v>red block</x:v>
      </x:c>
      <x:c r="O145" s="24" t="str">
        <x:v>None</x:v>
      </x:c>
      <x:c r="P145" s="24" t="n">
        <x:v>4</x:v>
      </x:c>
      <x:c r="Q145" s="24" t="str">
        <x:v>Preserve the exact scene; change only the reciprocal target/reference instruction.</x:v>
      </x:c>
      <x:c r="R145" s="25" t="str">
        <x:v>Uses the reciprocal explicitly trained prompt from episode 335. Both rows in this state pair are simultaneously violated.</x:v>
      </x:c>
      <x:c r="S145" s="25"/>
    </x:row>
    <x:row r="146" ht="72" customHeight="1">
      <x:c r="A146" s="9" t="str">
        <x:v>Not collected</x:v>
      </x:c>
      <x:c r="B146" s="9" t="n">
        <x:v>144</x:v>
      </x:c>
      <x:c r="C146" s="10" t="str">
        <x:v>Place the red block to the right of the pink marker.</x:v>
      </x:c>
      <x:c r="D146" s="10" t="str">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x:c r="F146" s="9" t="str">
        <x:v>289</x:v>
      </x:c>
      <x:c r="G146" s="9" t="str">
        <x:v>NO MOVEMENT — requested relation is already satisfied at the start: red block → 2–8 cm edge gap to the right of pink marker; centroid direction within ±45°.</x:v>
      </x:c>
      <x:c r="H146" s="10"/>
      <x:c r="I146" s="9" t="str">
        <x:v>Goal already satisfied / no movement</x:v>
      </x:c>
      <x:c r="J146" s="9" t="str">
        <x:v>RP-AG04</x:v>
      </x:c>
      <x:c r="K146" s="9" t="str">
        <x:v>right</x:v>
      </x:c>
      <x:c r="L146" s="9" t="str">
        <x:v>In-distribution satisfied-state action-gating diagnostic</x:v>
      </x:c>
      <x:c r="M146" s="9" t="str">
        <x:v>red block</x:v>
      </x:c>
      <x:c r="N146" s="9" t="str">
        <x:v>pink marker</x:v>
      </x:c>
      <x:c r="O146" s="9" t="str">
        <x:v>None</x:v>
      </x:c>
      <x:c r="P146" s="9" t="n">
        <x:v>4</x:v>
      </x:c>
      <x:c r="Q146" s="9" t="str">
        <x:v>Move only P1 to the listed already-satisfied 5 cm position; preserve P2, every distractor, and the camera/robot setup.</x:v>
      </x:c>
      <x:c r="R146" s="10" t="str">
        <x:v>Uses the ordinary explicitly trained prompt from episode 289. Its prompt-matched movement-required counterpart is in the same four-row family.</x:v>
      </x:c>
      <x:c r="S146" s="10"/>
    </x:row>
    <x:row r="147" ht="72" customHeight="1">
      <x:c r="A147" s="24" t="str">
        <x:v>Not collected</x:v>
      </x:c>
      <x:c r="B147" s="24" t="n">
        <x:v>145</x:v>
      </x:c>
      <x:c r="C147" s="25" t="str">
        <x:v>Place the pink marker to the left of the red block.</x:v>
      </x:c>
      <x:c r="D147" s="25" t="str">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v>144</x:v>
      </x:c>
      <x:c r="F147" s="24" t="str">
        <x:v>335</x:v>
      </x:c>
      <x:c r="G147" s="24" t="str">
        <x:v>NO MOVEMENT — requested relation is already satisfied at the start: pink marker → 2–8 cm edge gap to the left of red block; centroid direction within ±45°.</x:v>
      </x:c>
      <x:c r="H147" s="25"/>
      <x:c r="I147" s="24" t="str">
        <x:v>Goal already satisfied / no movement</x:v>
      </x:c>
      <x:c r="J147" s="24" t="str">
        <x:v>RP-AG04</x:v>
      </x:c>
      <x:c r="K147" s="24" t="str">
        <x:v>left</x:v>
      </x:c>
      <x:c r="L147" s="24" t="str">
        <x:v>In-distribution satisfied-state action-gating diagnostic</x:v>
      </x:c>
      <x:c r="M147" s="24" t="str">
        <x:v>pink marker</x:v>
      </x:c>
      <x:c r="N147" s="24" t="str">
        <x:v>red block</x:v>
      </x:c>
      <x:c r="O147" s="24" t="str">
        <x:v>None</x:v>
      </x:c>
      <x:c r="P147" s="24" t="n">
        <x:v>4</x:v>
      </x:c>
      <x:c r="Q147" s="24" t="str">
        <x:v>Preserve the exact scene; change only the reciprocal target/reference instruction.</x:v>
      </x:c>
      <x:c r="R147" s="25" t="str">
        <x:v>Uses the reciprocal explicitly trained prompt from episode 335. Both rows in this state pair are simultaneously satisfied.</x:v>
      </x:c>
      <x:c r="S147" s="25"/>
    </x:row>
    <x:row r="148" ht="72" customHeight="1">
      <x:c r="A148" s="9" t="str">
        <x:v>Not collected</x:v>
      </x:c>
      <x:c r="B148" s="9" t="n">
        <x:v>146</x:v>
      </x:c>
      <x:c r="C148" s="10" t="str">
        <x:v>Place the red block to the left of the blue block.</x:v>
      </x:c>
      <x:c r="D148" s="10" t="str">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x:c r="F148" s="9" t="str">
        <x:v>282</x:v>
      </x:c>
      <x:c r="G148" s="9" t="str">
        <x:v>NO MOVEMENT — requested relation is already satisfied at the start: red block → 2–8 cm edge gap to the left of blue block; centroid direction within ±45°.</x:v>
      </x:c>
      <x:c r="H148" s="10"/>
      <x:c r="I148" s="9" t="str">
        <x:v>Goal already satisfied / no movement</x:v>
      </x:c>
      <x:c r="J148" s="9" t="str">
        <x:v>RP-AG05</x:v>
      </x:c>
      <x:c r="K148" s="9" t="str">
        <x:v>left</x:v>
      </x:c>
      <x:c r="L148" s="9" t="str">
        <x:v>In-distribution satisfied-state action-gating diagnostic</x:v>
      </x:c>
      <x:c r="M148" s="9" t="str">
        <x:v>red block</x:v>
      </x:c>
      <x:c r="N148" s="9" t="str">
        <x:v>blue block</x:v>
      </x:c>
      <x:c r="O148" s="9" t="str">
        <x:v>None</x:v>
      </x:c>
      <x:c r="P148" s="9" t="n">
        <x:v>3</x:v>
      </x:c>
      <x:c r="Q148" s="9" t="str">
        <x:v>Build the listed already-satisfied scene and save the first frame.</x:v>
      </x:c>
      <x:c r="R148" s="10" t="str">
        <x:v>Uses the ordinary explicitly trained prompt from episode 282. Its prompt-matched movement-required counterpart is in the same four-row family.</x:v>
      </x:c>
      <x:c r="S148" s="10"/>
    </x:row>
    <x:row r="149" ht="72" customHeight="1">
      <x:c r="A149" s="24" t="str">
        <x:v>Not collected</x:v>
      </x:c>
      <x:c r="B149" s="24" t="n">
        <x:v>147</x:v>
      </x:c>
      <x:c r="C149" s="25" t="str">
        <x:v>Place the blue block to the right of the red block.</x:v>
      </x:c>
      <x:c r="D149" s="25" t="str">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v>146</x:v>
      </x:c>
      <x:c r="F149" s="24" t="str">
        <x:v>395</x:v>
      </x:c>
      <x:c r="G149" s="24" t="str">
        <x:v>NO MOVEMENT — requested relation is already satisfied at the start: blue block → 2–8 cm edge gap to the right of red block; centroid direction within ±45°.</x:v>
      </x:c>
      <x:c r="H149" s="25"/>
      <x:c r="I149" s="24" t="str">
        <x:v>Goal already satisfied / no movement</x:v>
      </x:c>
      <x:c r="J149" s="24" t="str">
        <x:v>RP-AG05</x:v>
      </x:c>
      <x:c r="K149" s="24" t="str">
        <x:v>right</x:v>
      </x:c>
      <x:c r="L149" s="24" t="str">
        <x:v>In-distribution satisfied-state action-gating diagnostic</x:v>
      </x:c>
      <x:c r="M149" s="24" t="str">
        <x:v>blue block</x:v>
      </x:c>
      <x:c r="N149" s="24" t="str">
        <x:v>red block</x:v>
      </x:c>
      <x:c r="O149" s="24" t="str">
        <x:v>None</x:v>
      </x:c>
      <x:c r="P149" s="24" t="n">
        <x:v>3</x:v>
      </x:c>
      <x:c r="Q149" s="24" t="str">
        <x:v>Preserve the exact scene; change only the reciprocal target/reference instruction.</x:v>
      </x:c>
      <x:c r="R149" s="25" t="str">
        <x:v>Uses the reciprocal explicitly trained prompt from episode 395. Both rows in this state pair are simultaneously satisfied.</x:v>
      </x:c>
      <x:c r="S149" s="25"/>
    </x:row>
    <x:row r="150" ht="72" customHeight="1">
      <x:c r="A150" s="9" t="str">
        <x:v>Not collected</x:v>
      </x:c>
      <x:c r="B150" s="9" t="n">
        <x:v>148</x:v>
      </x:c>
      <x:c r="C150" s="10" t="str">
        <x:v>Place the red block to the left of the blue block.</x:v>
      </x:c>
      <x:c r="D150" s="10" t="str">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x:c r="F150" s="9" t="str">
        <x:v>282</x:v>
      </x:c>
      <x:c r="G150" s="9" t="str">
        <x:v>red block → 2–8 cm edge gap to the left of blue block; centroid direction within ±45°.</x:v>
      </x:c>
      <x:c r="H150" s="10"/>
      <x:c r="I150" s="9" t="str">
        <x:v>Violated-relation correction control</x:v>
      </x:c>
      <x:c r="J150" s="9" t="str">
        <x:v>RP-AG05</x:v>
      </x:c>
      <x:c r="K150" s="9" t="str">
        <x:v>left</x:v>
      </x:c>
      <x:c r="L150" s="9" t="str">
        <x:v>Matched opposite-sector movement-required control</x:v>
      </x:c>
      <x:c r="M150" s="9" t="str">
        <x:v>red block</x:v>
      </x:c>
      <x:c r="N150" s="9" t="str">
        <x:v>blue block</x:v>
      </x:c>
      <x:c r="O150" s="9" t="str">
        <x:v>None</x:v>
      </x:c>
      <x:c r="P150" s="9" t="n">
        <x:v>3</x:v>
      </x:c>
      <x:c r="Q150" s="9" t="str">
        <x:v>Move only P1 to the listed opposite-sector violated 5 cm position; preserve P2, every distractor, and the camera/robot setup.</x:v>
      </x:c>
      <x:c r="R150" s="10" t="str">
        <x:v>Uses the ordinary explicitly trained prompt from episode 282. Its prompt-matched no-movement counterpart is in the same four-row family.</x:v>
      </x:c>
      <x:c r="S150" s="10"/>
    </x:row>
    <x:row r="151" ht="72" customHeight="1">
      <x:c r="A151" s="24" t="str">
        <x:v>Not collected</x:v>
      </x:c>
      <x:c r="B151" s="24" t="n">
        <x:v>149</x:v>
      </x:c>
      <x:c r="C151" s="25" t="str">
        <x:v>Place the blue block to the right of the red block.</x:v>
      </x:c>
      <x:c r="D151" s="25" t="str">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v>148</x:v>
      </x:c>
      <x:c r="F151" s="24" t="str">
        <x:v>395</x:v>
      </x:c>
      <x:c r="G151" s="24" t="str">
        <x:v>blue block → 2–8 cm edge gap to the right of red block; centroid direction within ±45°.</x:v>
      </x:c>
      <x:c r="H151" s="25"/>
      <x:c r="I151" s="24" t="str">
        <x:v>Violated-relation correction control</x:v>
      </x:c>
      <x:c r="J151" s="24" t="str">
        <x:v>RP-AG05</x:v>
      </x:c>
      <x:c r="K151" s="24" t="str">
        <x:v>right</x:v>
      </x:c>
      <x:c r="L151" s="24" t="str">
        <x:v>Matched opposite-sector movement-required control</x:v>
      </x:c>
      <x:c r="M151" s="24" t="str">
        <x:v>blue block</x:v>
      </x:c>
      <x:c r="N151" s="24" t="str">
        <x:v>red block</x:v>
      </x:c>
      <x:c r="O151" s="24" t="str">
        <x:v>None</x:v>
      </x:c>
      <x:c r="P151" s="24" t="n">
        <x:v>3</x:v>
      </x:c>
      <x:c r="Q151" s="24" t="str">
        <x:v>Preserve the exact scene; change only the reciprocal target/reference instruction.</x:v>
      </x:c>
      <x:c r="R151" s="25" t="str">
        <x:v>Uses the reciprocal explicitly trained prompt from episode 395. Both rows in this state pair are simultaneously violated.</x:v>
      </x:c>
      <x:c r="S151" s="25"/>
    </x:row>
    <x:row r="152" ht="72" customHeight="1">
      <x:c r="A152" s="9" t="str">
        <x:v>Not collected</x:v>
      </x:c>
      <x:c r="B152" s="9" t="n">
        <x:v>150</x:v>
      </x:c>
      <x:c r="C152" s="10" t="str">
        <x:v>Put the green pen on the table in front of the pink marker.</x:v>
      </x:c>
      <x:c r="D152" s="10" t="str">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x:c r="F152" s="9" t="str">
        <x:v>206</x:v>
      </x:c>
      <x:c r="G152" s="9" t="str">
        <x:v>green pen → 2–8 cm edge gap in front of pink marker; centroid direction within ±45°.</x:v>
      </x:c>
      <x:c r="H152" s="10"/>
      <x:c r="I152" s="9" t="str">
        <x:v>Violated-relation correction control</x:v>
      </x:c>
      <x:c r="J152" s="9" t="str">
        <x:v>RP-AG06</x:v>
      </x:c>
      <x:c r="K152" s="9" t="str">
        <x:v>front</x:v>
      </x:c>
      <x:c r="L152" s="9" t="str">
        <x:v>Matched opposite-sector movement-required control</x:v>
      </x:c>
      <x:c r="M152" s="9" t="str">
        <x:v>green pen</x:v>
      </x:c>
      <x:c r="N152" s="9" t="str">
        <x:v>pink marker</x:v>
      </x:c>
      <x:c r="O152" s="9" t="str">
        <x:v>None</x:v>
      </x:c>
      <x:c r="P152" s="9" t="n">
        <x:v>4</x:v>
      </x:c>
      <x:c r="Q152" s="9" t="str">
        <x:v>Build the listed opposite-sector violated scene and save the first frame.</x:v>
      </x:c>
      <x:c r="R152" s="10" t="str">
        <x:v>Uses the ordinary explicitly trained prompt from episode 206. Its prompt-matched no-movement counterpart is in the same four-row family.</x:v>
      </x:c>
      <x:c r="S152" s="10"/>
    </x:row>
    <x:row r="153" ht="72" customHeight="1">
      <x:c r="A153" s="24" t="str">
        <x:v>Not collected</x:v>
      </x:c>
      <x:c r="B153" s="24" t="n">
        <x:v>151</x:v>
      </x:c>
      <x:c r="C153" s="25" t="str">
        <x:v>Move the pink marker to the back of the green pen.</x:v>
      </x:c>
      <x:c r="D153" s="25" t="str">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v>150</x:v>
      </x:c>
      <x:c r="F153" s="24" t="str">
        <x:v>319</x:v>
      </x:c>
      <x:c r="G153" s="24" t="str">
        <x:v>pink marker → 2–8 cm edge gap behind green pen; centroid direction within ±45°.</x:v>
      </x:c>
      <x:c r="H153" s="25"/>
      <x:c r="I153" s="24" t="str">
        <x:v>Violated-relation correction control</x:v>
      </x:c>
      <x:c r="J153" s="24" t="str">
        <x:v>RP-AG06</x:v>
      </x:c>
      <x:c r="K153" s="24" t="str">
        <x:v>behind</x:v>
      </x:c>
      <x:c r="L153" s="24" t="str">
        <x:v>Matched opposite-sector movement-required control</x:v>
      </x:c>
      <x:c r="M153" s="24" t="str">
        <x:v>pink marker</x:v>
      </x:c>
      <x:c r="N153" s="24" t="str">
        <x:v>green pen</x:v>
      </x:c>
      <x:c r="O153" s="24" t="str">
        <x:v>None</x:v>
      </x:c>
      <x:c r="P153" s="24" t="n">
        <x:v>4</x:v>
      </x:c>
      <x:c r="Q153" s="24" t="str">
        <x:v>Preserve the exact scene; change only the reciprocal target/reference instruction.</x:v>
      </x:c>
      <x:c r="R153" s="25" t="str">
        <x:v>Uses the reciprocal explicitly trained prompt from episode 319. Both rows in this state pair are simultaneously violated.</x:v>
      </x:c>
      <x:c r="S153" s="25"/>
    </x:row>
    <x:row r="154" ht="72" customHeight="1">
      <x:c r="A154" s="24" t="str">
        <x:v>Not collected</x:v>
      </x:c>
      <x:c r="B154" s="24" t="n">
        <x:v>152</x:v>
      </x:c>
      <x:c r="C154" s="25" t="str">
        <x:v>Put the green pen on the table in front of the pink marker.</x:v>
      </x:c>
      <x:c r="D154" s="25" t="str">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x:c r="F154" s="24" t="str">
        <x:v>206</x:v>
      </x:c>
      <x:c r="G154" s="24" t="str">
        <x:v>NO MOVEMENT — requested relation is already satisfied at the start: green pen → 2–8 cm edge gap in front of pink marker; centroid direction within ±45°.</x:v>
      </x:c>
      <x:c r="H154" s="25"/>
      <x:c r="I154" s="24" t="str">
        <x:v>Goal already satisfied / no movement</x:v>
      </x:c>
      <x:c r="J154" s="24" t="str">
        <x:v>RP-AG06</x:v>
      </x:c>
      <x:c r="K154" s="24" t="str">
        <x:v>front</x:v>
      </x:c>
      <x:c r="L154" s="24" t="str">
        <x:v>In-distribution satisfied-state action-gating diagnostic</x:v>
      </x:c>
      <x:c r="M154" s="24" t="str">
        <x:v>green pen</x:v>
      </x:c>
      <x:c r="N154" s="24" t="str">
        <x:v>pink marker</x:v>
      </x:c>
      <x:c r="O154" s="24" t="str">
        <x:v>None</x:v>
      </x:c>
      <x:c r="P154" s="24" t="n">
        <x:v>4</x:v>
      </x:c>
      <x:c r="Q154" s="24" t="str">
        <x:v>Move only P1 to the listed already-satisfied 5 cm position; preserve P2, every distractor, and the camera/robot setup.</x:v>
      </x:c>
      <x:c r="R154" s="25" t="str">
        <x:v>Uses the ordinary explicitly trained prompt from episode 206. Its prompt-matched movement-required counterpart is in the same four-row family.</x:v>
      </x:c>
      <x:c r="S154" s="25"/>
    </x:row>
    <x:row r="155" ht="72" customHeight="1">
      <x:c r="A155" s="24" t="str">
        <x:v>Not collected</x:v>
      </x:c>
      <x:c r="B155" s="24" t="n">
        <x:v>153</x:v>
      </x:c>
      <x:c r="C155" s="25" t="str">
        <x:v>Move the pink marker to the back of the green pen.</x:v>
      </x:c>
      <x:c r="D155" s="25" t="str">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v>152</x:v>
      </x:c>
      <x:c r="F155" s="24" t="str">
        <x:v>319</x:v>
      </x:c>
      <x:c r="G155" s="24" t="str">
        <x:v>NO MOVEMENT — requested relation is already satisfied at the start: pink marker → 2–8 cm edge gap behind green pen; centroid direction within ±45°.</x:v>
      </x:c>
      <x:c r="H155" s="25"/>
      <x:c r="I155" s="24" t="str">
        <x:v>Goal already satisfied / no movement</x:v>
      </x:c>
      <x:c r="J155" s="24" t="str">
        <x:v>RP-AG06</x:v>
      </x:c>
      <x:c r="K155" s="24" t="str">
        <x:v>behind</x:v>
      </x:c>
      <x:c r="L155" s="24" t="str">
        <x:v>In-distribution satisfied-state action-gating diagnostic</x:v>
      </x:c>
      <x:c r="M155" s="24" t="str">
        <x:v>pink marker</x:v>
      </x:c>
      <x:c r="N155" s="24" t="str">
        <x:v>green pen</x:v>
      </x:c>
      <x:c r="O155" s="24" t="str">
        <x:v>None</x:v>
      </x:c>
      <x:c r="P155" s="24" t="n">
        <x:v>4</x:v>
      </x:c>
      <x:c r="Q155" s="24" t="str">
        <x:v>Preserve the exact scene; change only the reciprocal target/reference instruction.</x:v>
      </x:c>
      <x:c r="R155" s="25" t="str">
        <x:v>Uses the reciprocal explicitly trained prompt from episode 319. Both rows in this state pair are simultaneously satisfied.</x:v>
      </x:c>
      <x:c r="S155" s="25"/>
    </x:row>
    <x:row r="156" ht="72" customHeight="1">
      <x:c r="A156" s="9" t="str">
        <x:v>Not collected</x:v>
      </x:c>
      <x:c r="B156" s="9" t="n">
        <x:v>154</x:v>
      </x:c>
      <x:c r="C156" s="10" t="str">
        <x:v>Put the green pen on the table behind the blue block.</x:v>
      </x:c>
      <x:c r="D156" s="10" t="str">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x:c r="F156" s="9" t="str">
        <x:v>224</x:v>
      </x:c>
      <x:c r="G156" s="9" t="str">
        <x:v>NO MOVEMENT — requested relation is already satisfied at the start: green pen → 2–8 cm edge gap behind blue block; centroid direction within ±45°.</x:v>
      </x:c>
      <x:c r="H156" s="10"/>
      <x:c r="I156" s="9" t="str">
        <x:v>Goal already satisfied / no movement</x:v>
      </x:c>
      <x:c r="J156" s="9" t="str">
        <x:v>RP-AG07</x:v>
      </x:c>
      <x:c r="K156" s="9" t="str">
        <x:v>behind</x:v>
      </x:c>
      <x:c r="L156" s="9" t="str">
        <x:v>In-distribution satisfied-state action-gating diagnostic</x:v>
      </x:c>
      <x:c r="M156" s="9" t="str">
        <x:v>green pen</x:v>
      </x:c>
      <x:c r="N156" s="9" t="str">
        <x:v>blue block</x:v>
      </x:c>
      <x:c r="O156" s="9" t="str">
        <x:v>None</x:v>
      </x:c>
      <x:c r="P156" s="9" t="n">
        <x:v>3</x:v>
      </x:c>
      <x:c r="Q156" s="9" t="str">
        <x:v>Build the listed already-satisfied scene and save the first frame.</x:v>
      </x:c>
      <x:c r="R156" s="10" t="str">
        <x:v>Uses the ordinary explicitly trained prompt from episode 224. Its prompt-matched movement-required counterpart is in the same four-row family.</x:v>
      </x:c>
      <x:c r="S156" s="10"/>
    </x:row>
    <x:row r="157" ht="72" customHeight="1">
      <x:c r="A157" s="24" t="str">
        <x:v>Not collected</x:v>
      </x:c>
      <x:c r="B157" s="24" t="n">
        <x:v>155</x:v>
      </x:c>
      <x:c r="C157" s="25" t="str">
        <x:v>Move the blue block to the front of the green pen.</x:v>
      </x:c>
      <x:c r="D157" s="25" t="str">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v>154</x:v>
      </x:c>
      <x:c r="F157" s="24" t="str">
        <x:v>353</x:v>
      </x:c>
      <x:c r="G157" s="24" t="str">
        <x:v>NO MOVEMENT — requested relation is already satisfied at the start: blue block → 2–8 cm edge gap in front of green pen; centroid direction within ±45°.</x:v>
      </x:c>
      <x:c r="H157" s="25"/>
      <x:c r="I157" s="24" t="str">
        <x:v>Goal already satisfied / no movement</x:v>
      </x:c>
      <x:c r="J157" s="24" t="str">
        <x:v>RP-AG07</x:v>
      </x:c>
      <x:c r="K157" s="24" t="str">
        <x:v>front</x:v>
      </x:c>
      <x:c r="L157" s="24" t="str">
        <x:v>In-distribution satisfied-state action-gating diagnostic</x:v>
      </x:c>
      <x:c r="M157" s="24" t="str">
        <x:v>blue block</x:v>
      </x:c>
      <x:c r="N157" s="24" t="str">
        <x:v>green pen</x:v>
      </x:c>
      <x:c r="O157" s="24" t="str">
        <x:v>None</x:v>
      </x:c>
      <x:c r="P157" s="24" t="n">
        <x:v>3</x:v>
      </x:c>
      <x:c r="Q157" s="24" t="str">
        <x:v>Preserve the exact scene; change only the reciprocal target/reference instruction.</x:v>
      </x:c>
      <x:c r="R157" s="25" t="str">
        <x:v>Uses the reciprocal explicitly trained prompt from episode 353. Both rows in this state pair are simultaneously satisfied.</x:v>
      </x:c>
      <x:c r="S157" s="25"/>
    </x:row>
    <x:row r="158" ht="72" customHeight="1">
      <x:c r="A158" s="24" t="str">
        <x:v>Not collected</x:v>
      </x:c>
      <x:c r="B158" s="24" t="n">
        <x:v>156</x:v>
      </x:c>
      <x:c r="C158" s="25" t="str">
        <x:v>Put the green pen on the table behind the blue block.</x:v>
      </x:c>
      <x:c r="D158" s="25" t="str">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x:c r="F158" s="24" t="str">
        <x:v>224</x:v>
      </x:c>
      <x:c r="G158" s="24" t="str">
        <x:v>green pen → 2–8 cm edge gap behind blue block; centroid direction within ±45°.</x:v>
      </x:c>
      <x:c r="H158" s="25"/>
      <x:c r="I158" s="24" t="str">
        <x:v>Violated-relation correction control</x:v>
      </x:c>
      <x:c r="J158" s="24" t="str">
        <x:v>RP-AG07</x:v>
      </x:c>
      <x:c r="K158" s="24" t="str">
        <x:v>behind</x:v>
      </x:c>
      <x:c r="L158" s="24" t="str">
        <x:v>Matched opposite-sector movement-required control</x:v>
      </x:c>
      <x:c r="M158" s="24" t="str">
        <x:v>green pen</x:v>
      </x:c>
      <x:c r="N158" s="24" t="str">
        <x:v>blue block</x:v>
      </x:c>
      <x:c r="O158" s="24" t="str">
        <x:v>None</x:v>
      </x:c>
      <x:c r="P158" s="24" t="n">
        <x:v>3</x:v>
      </x:c>
      <x:c r="Q158" s="24" t="str">
        <x:v>Move only P1 to the listed opposite-sector violated 5 cm position; preserve P2, every distractor, and the camera/robot setup.</x:v>
      </x:c>
      <x:c r="R158" s="25" t="str">
        <x:v>Uses the ordinary explicitly trained prompt from episode 224. Its prompt-matched no-movement counterpart is in the same four-row family.</x:v>
      </x:c>
      <x:c r="S158" s="25"/>
    </x:row>
    <x:row r="159" ht="72" customHeight="1">
      <x:c r="A159" s="24" t="str">
        <x:v>Not collected</x:v>
      </x:c>
      <x:c r="B159" s="24" t="n">
        <x:v>157</x:v>
      </x:c>
      <x:c r="C159" s="25" t="str">
        <x:v>Move the blue block to the front of the green pen.</x:v>
      </x:c>
      <x:c r="D159" s="25" t="str">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v>156</x:v>
      </x:c>
      <x:c r="F159" s="24" t="str">
        <x:v>353</x:v>
      </x:c>
      <x:c r="G159" s="24" t="str">
        <x:v>blue block → 2–8 cm edge gap in front of green pen; centroid direction within ±45°.</x:v>
      </x:c>
      <x:c r="H159" s="25"/>
      <x:c r="I159" s="24" t="str">
        <x:v>Violated-relation correction control</x:v>
      </x:c>
      <x:c r="J159" s="24" t="str">
        <x:v>RP-AG07</x:v>
      </x:c>
      <x:c r="K159" s="24" t="str">
        <x:v>front</x:v>
      </x:c>
      <x:c r="L159" s="24" t="str">
        <x:v>Matched opposite-sector movement-required control</x:v>
      </x:c>
      <x:c r="M159" s="24" t="str">
        <x:v>blue block</x:v>
      </x:c>
      <x:c r="N159" s="24" t="str">
        <x:v>green pen</x:v>
      </x:c>
      <x:c r="O159" s="24" t="str">
        <x:v>None</x:v>
      </x:c>
      <x:c r="P159" s="24" t="n">
        <x:v>3</x:v>
      </x:c>
      <x:c r="Q159" s="24" t="str">
        <x:v>Preserve the exact scene; change only the reciprocal target/reference instruction.</x:v>
      </x:c>
      <x:c r="R159" s="25" t="str">
        <x:v>Uses the reciprocal explicitly trained prompt from episode 353. Both rows in this state pair are simultaneously violated.</x:v>
      </x:c>
      <x:c r="S159" s="25"/>
    </x:row>
    <x:row r="160" ht="72" customHeight="1">
      <x:c r="A160" s="9" t="str">
        <x:v>Not collected</x:v>
      </x:c>
      <x:c r="B160" s="9" t="n">
        <x:v>158</x:v>
      </x:c>
      <x:c r="C160" s="10" t="str">
        <x:v>Move the red block to the front of the pink marker.</x:v>
      </x:c>
      <x:c r="D160" s="10" t="str">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x:c r="F160" s="9" t="str">
        <x:v>252</x:v>
      </x:c>
      <x:c r="G160" s="9" t="str">
        <x:v>red block → 2–8 cm edge gap in front of pink marker; centroid direction within ±45°.</x:v>
      </x:c>
      <x:c r="H160" s="10"/>
      <x:c r="I160" s="9" t="str">
        <x:v>Violated-relation correction control</x:v>
      </x:c>
      <x:c r="J160" s="9" t="str">
        <x:v>RP-AG08</x:v>
      </x:c>
      <x:c r="K160" s="9" t="str">
        <x:v>front</x:v>
      </x:c>
      <x:c r="L160" s="9" t="str">
        <x:v>Matched opposite-sector movement-required control</x:v>
      </x:c>
      <x:c r="M160" s="9" t="str">
        <x:v>red block</x:v>
      </x:c>
      <x:c r="N160" s="9" t="str">
        <x:v>pink marker</x:v>
      </x:c>
      <x:c r="O160" s="9" t="str">
        <x:v>None</x:v>
      </x:c>
      <x:c r="P160" s="9" t="n">
        <x:v>4</x:v>
      </x:c>
      <x:c r="Q160" s="9" t="str">
        <x:v>Build the listed opposite-sector violated scene and save the first frame.</x:v>
      </x:c>
      <x:c r="R160" s="10" t="str">
        <x:v>Uses the ordinary explicitly trained prompt from episode 252. Its prompt-matched no-movement counterpart is in the same four-row family.</x:v>
      </x:c>
      <x:c r="S160" s="10"/>
    </x:row>
    <x:row r="161" ht="72" customHeight="1">
      <x:c r="A161" s="24" t="str">
        <x:v>Not collected</x:v>
      </x:c>
      <x:c r="B161" s="24" t="n">
        <x:v>159</x:v>
      </x:c>
      <x:c r="C161" s="25" t="str">
        <x:v>Put the pink marker on the table behind the red block.</x:v>
      </x:c>
      <x:c r="D161" s="25" t="str">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v>158</x:v>
      </x:c>
      <x:c r="F161" s="24" t="str">
        <x:v>323</x:v>
      </x:c>
      <x:c r="G161" s="24" t="str">
        <x:v>pink marker → 2–8 cm edge gap behind red block; centroid direction within ±45°.</x:v>
      </x:c>
      <x:c r="H161" s="25"/>
      <x:c r="I161" s="24" t="str">
        <x:v>Violated-relation correction control</x:v>
      </x:c>
      <x:c r="J161" s="24" t="str">
        <x:v>RP-AG08</x:v>
      </x:c>
      <x:c r="K161" s="24" t="str">
        <x:v>behind</x:v>
      </x:c>
      <x:c r="L161" s="24" t="str">
        <x:v>Matched opposite-sector movement-required control</x:v>
      </x:c>
      <x:c r="M161" s="24" t="str">
        <x:v>pink marker</x:v>
      </x:c>
      <x:c r="N161" s="24" t="str">
        <x:v>red block</x:v>
      </x:c>
      <x:c r="O161" s="24" t="str">
        <x:v>None</x:v>
      </x:c>
      <x:c r="P161" s="24" t="n">
        <x:v>4</x:v>
      </x:c>
      <x:c r="Q161" s="24" t="str">
        <x:v>Preserve the exact scene; change only the reciprocal target/reference instruction.</x:v>
      </x:c>
      <x:c r="R161" s="25" t="str">
        <x:v>Uses the reciprocal explicitly trained prompt from episode 323. Both rows in this state pair are simultaneously violated.</x:v>
      </x:c>
      <x:c r="S161" s="25"/>
    </x:row>
    <x:row r="162" ht="72" customHeight="1">
      <x:c r="A162" s="24" t="str">
        <x:v>Not collected</x:v>
      </x:c>
      <x:c r="B162" s="24" t="n">
        <x:v>160</x:v>
      </x:c>
      <x:c r="C162" s="25" t="str">
        <x:v>Move the red block to the front of the pink marker.</x:v>
      </x:c>
      <x:c r="D162" s="25" t="str">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x:c r="F162" s="24" t="str">
        <x:v>252</x:v>
      </x:c>
      <x:c r="G162" s="24" t="str">
        <x:v>NO MOVEMENT — requested relation is already satisfied at the start: red block → 2–8 cm edge gap in front of pink marker; centroid direction within ±45°.</x:v>
      </x:c>
      <x:c r="H162" s="25"/>
      <x:c r="I162" s="24" t="str">
        <x:v>Goal already satisfied / no movement</x:v>
      </x:c>
      <x:c r="J162" s="24" t="str">
        <x:v>RP-AG08</x:v>
      </x:c>
      <x:c r="K162" s="24" t="str">
        <x:v>front</x:v>
      </x:c>
      <x:c r="L162" s="24" t="str">
        <x:v>In-distribution satisfied-state action-gating diagnostic</x:v>
      </x:c>
      <x:c r="M162" s="24" t="str">
        <x:v>red block</x:v>
      </x:c>
      <x:c r="N162" s="24" t="str">
        <x:v>pink marker</x:v>
      </x:c>
      <x:c r="O162" s="24" t="str">
        <x:v>None</x:v>
      </x:c>
      <x:c r="P162" s="24" t="n">
        <x:v>4</x:v>
      </x:c>
      <x:c r="Q162" s="24" t="str">
        <x:v>Move only P1 to the listed already-satisfied 5 cm position; preserve P2, every distractor, and the camera/robot setup.</x:v>
      </x:c>
      <x:c r="R162" s="25" t="str">
        <x:v>Uses the ordinary explicitly trained prompt from episode 252. Its prompt-matched movement-required counterpart is in the same four-row family.</x:v>
      </x:c>
      <x:c r="S162" s="25"/>
    </x:row>
    <x:row r="163" ht="72" customHeight="1">
      <x:c r="A163" s="24" t="str">
        <x:v>Not collected</x:v>
      </x:c>
      <x:c r="B163" s="24" t="n">
        <x:v>161</x:v>
      </x:c>
      <x:c r="C163" s="25" t="str">
        <x:v>Put the pink marker on the table behind the red block.</x:v>
      </x:c>
      <x:c r="D163" s="25" t="str">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v>160</x:v>
      </x:c>
      <x:c r="F163" s="24" t="str">
        <x:v>323</x:v>
      </x:c>
      <x:c r="G163" s="24" t="str">
        <x:v>NO MOVEMENT — requested relation is already satisfied at the start: pink marker → 2–8 cm edge gap behind red block; centroid direction within ±45°.</x:v>
      </x:c>
      <x:c r="H163" s="25"/>
      <x:c r="I163" s="24" t="str">
        <x:v>Goal already satisfied / no movement</x:v>
      </x:c>
      <x:c r="J163" s="24" t="str">
        <x:v>RP-AG08</x:v>
      </x:c>
      <x:c r="K163" s="24" t="str">
        <x:v>behind</x:v>
      </x:c>
      <x:c r="L163" s="24" t="str">
        <x:v>In-distribution satisfied-state action-gating diagnostic</x:v>
      </x:c>
      <x:c r="M163" s="24" t="str">
        <x:v>pink marker</x:v>
      </x:c>
      <x:c r="N163" s="24" t="str">
        <x:v>red block</x:v>
      </x:c>
      <x:c r="O163" s="24" t="str">
        <x:v>None</x:v>
      </x:c>
      <x:c r="P163" s="24" t="n">
        <x:v>4</x:v>
      </x:c>
      <x:c r="Q163" s="24" t="str">
        <x:v>Preserve the exact scene; change only the reciprocal target/reference instruction.</x:v>
      </x:c>
      <x:c r="R163" s="25" t="str">
        <x:v>Uses the reciprocal explicitly trained prompt from episode 323. Both rows in this state pair are simultaneously satisfied.</x:v>
      </x:c>
      <x:c r="S163" s="25"/>
    </x:row>
    <x:row r="164" ht="72" customHeight="1">
      <x:c r="A164" s="9" t="str">
        <x:v>Not collected</x:v>
      </x:c>
      <x:c r="B164" s="9" t="n">
        <x:v>162</x:v>
      </x:c>
      <x:c r="C164" s="10" t="str">
        <x:v>Put the red block on the table behind the blue block.</x:v>
      </x:c>
      <x:c r="D164" s="10" t="str">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x:c r="F164" s="9" t="str">
        <x:v>270</x:v>
      </x:c>
      <x:c r="G164" s="9" t="str">
        <x:v>NO MOVEMENT — requested relation is already satisfied at the start: red block → 2–8 cm edge gap behind blue block; centroid direction within ±45°.</x:v>
      </x:c>
      <x:c r="H164" s="10"/>
      <x:c r="I164" s="9" t="str">
        <x:v>Goal already satisfied / no movement</x:v>
      </x:c>
      <x:c r="J164" s="9" t="str">
        <x:v>RP-AG09</x:v>
      </x:c>
      <x:c r="K164" s="9" t="str">
        <x:v>behind</x:v>
      </x:c>
      <x:c r="L164" s="9" t="str">
        <x:v>In-distribution satisfied-state action-gating diagnostic</x:v>
      </x:c>
      <x:c r="M164" s="9" t="str">
        <x:v>red block</x:v>
      </x:c>
      <x:c r="N164" s="9" t="str">
        <x:v>blue block</x:v>
      </x:c>
      <x:c r="O164" s="9" t="str">
        <x:v>None</x:v>
      </x:c>
      <x:c r="P164" s="9" t="n">
        <x:v>3</x:v>
      </x:c>
      <x:c r="Q164" s="9" t="str">
        <x:v>Build the listed already-satisfied scene and save the first frame.</x:v>
      </x:c>
      <x:c r="R164" s="10" t="str">
        <x:v>Uses the ordinary explicitly trained prompt from episode 270. Its prompt-matched movement-required counterpart is in the same four-row family.</x:v>
      </x:c>
      <x:c r="S164" s="10"/>
    </x:row>
    <x:row r="165" ht="72" customHeight="1">
      <x:c r="A165" s="24" t="str">
        <x:v>Not collected</x:v>
      </x:c>
      <x:c r="B165" s="24" t="n">
        <x:v>163</x:v>
      </x:c>
      <x:c r="C165" s="25" t="str">
        <x:v>Move the blue block to the front of the red block.</x:v>
      </x:c>
      <x:c r="D165" s="25" t="str">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v>162</x:v>
      </x:c>
      <x:c r="F165" s="24" t="str">
        <x:v>357</x:v>
      </x:c>
      <x:c r="G165" s="24" t="str">
        <x:v>NO MOVEMENT — requested relation is already satisfied at the start: blue block → 2–8 cm edge gap in front of red block; centroid direction within ±45°.</x:v>
      </x:c>
      <x:c r="H165" s="25"/>
      <x:c r="I165" s="24" t="str">
        <x:v>Goal already satisfied / no movement</x:v>
      </x:c>
      <x:c r="J165" s="24" t="str">
        <x:v>RP-AG09</x:v>
      </x:c>
      <x:c r="K165" s="24" t="str">
        <x:v>front</x:v>
      </x:c>
      <x:c r="L165" s="24" t="str">
        <x:v>In-distribution satisfied-state action-gating diagnostic</x:v>
      </x:c>
      <x:c r="M165" s="24" t="str">
        <x:v>blue block</x:v>
      </x:c>
      <x:c r="N165" s="24" t="str">
        <x:v>red block</x:v>
      </x:c>
      <x:c r="O165" s="24" t="str">
        <x:v>None</x:v>
      </x:c>
      <x:c r="P165" s="24" t="n">
        <x:v>3</x:v>
      </x:c>
      <x:c r="Q165" s="24" t="str">
        <x:v>Preserve the exact scene; change only the reciprocal target/reference instruction.</x:v>
      </x:c>
      <x:c r="R165" s="25" t="str">
        <x:v>Uses the reciprocal explicitly trained prompt from episode 357. Both rows in this state pair are simultaneously satisfied.</x:v>
      </x:c>
      <x:c r="S165" s="25"/>
    </x:row>
    <x:row r="166" ht="72" customHeight="1">
      <x:c r="A166" s="24" t="str">
        <x:v>Not collected</x:v>
      </x:c>
      <x:c r="B166" s="24" t="n">
        <x:v>164</x:v>
      </x:c>
      <x:c r="C166" s="25" t="str">
        <x:v>Put the red block on the table behind the blue block.</x:v>
      </x:c>
      <x:c r="D166" s="25" t="str">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x:c r="F166" s="24" t="str">
        <x:v>270</x:v>
      </x:c>
      <x:c r="G166" s="24" t="str">
        <x:v>red block → 2–8 cm edge gap behind blue block; centroid direction within ±45°.</x:v>
      </x:c>
      <x:c r="H166" s="25"/>
      <x:c r="I166" s="24" t="str">
        <x:v>Violated-relation correction control</x:v>
      </x:c>
      <x:c r="J166" s="24" t="str">
        <x:v>RP-AG09</x:v>
      </x:c>
      <x:c r="K166" s="24" t="str">
        <x:v>behind</x:v>
      </x:c>
      <x:c r="L166" s="24" t="str">
        <x:v>Matched opposite-sector movement-required control</x:v>
      </x:c>
      <x:c r="M166" s="24" t="str">
        <x:v>red block</x:v>
      </x:c>
      <x:c r="N166" s="24" t="str">
        <x:v>blue block</x:v>
      </x:c>
      <x:c r="O166" s="24" t="str">
        <x:v>None</x:v>
      </x:c>
      <x:c r="P166" s="24" t="n">
        <x:v>3</x:v>
      </x:c>
      <x:c r="Q166" s="24" t="str">
        <x:v>Move only P1 to the listed opposite-sector violated 5 cm position; preserve P2, every distractor, and the camera/robot setup.</x:v>
      </x:c>
      <x:c r="R166" s="25" t="str">
        <x:v>Uses the ordinary explicitly trained prompt from episode 270. Its prompt-matched no-movement counterpart is in the same four-row family.</x:v>
      </x:c>
      <x:c r="S166" s="25"/>
    </x:row>
    <x:row r="167" ht="72" customHeight="1">
      <x:c r="A167" s="24" t="str">
        <x:v>Not collected</x:v>
      </x:c>
      <x:c r="B167" s="24" t="n">
        <x:v>165</x:v>
      </x:c>
      <x:c r="C167" s="25" t="str">
        <x:v>Move the blue block to the front of the red block.</x:v>
      </x:c>
      <x:c r="D167" s="25" t="str">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v>164</x:v>
      </x:c>
      <x:c r="F167" s="24" t="str">
        <x:v>357</x:v>
      </x:c>
      <x:c r="G167" s="24" t="str">
        <x:v>blue block → 2–8 cm edge gap in front of red block; centroid direction within ±45°.</x:v>
      </x:c>
      <x:c r="H167" s="25"/>
      <x:c r="I167" s="24" t="str">
        <x:v>Violated-relation correction control</x:v>
      </x:c>
      <x:c r="J167" s="24" t="str">
        <x:v>RP-AG09</x:v>
      </x:c>
      <x:c r="K167" s="24" t="str">
        <x:v>front</x:v>
      </x:c>
      <x:c r="L167" s="24" t="str">
        <x:v>Matched opposite-sector movement-required control</x:v>
      </x:c>
      <x:c r="M167" s="24" t="str">
        <x:v>blue block</x:v>
      </x:c>
      <x:c r="N167" s="24" t="str">
        <x:v>red block</x:v>
      </x:c>
      <x:c r="O167" s="24" t="str">
        <x:v>None</x:v>
      </x:c>
      <x:c r="P167" s="24" t="n">
        <x:v>3</x:v>
      </x:c>
      <x:c r="Q167" s="24" t="str">
        <x:v>Preserve the exact scene; change only the reciprocal target/reference instruction.</x:v>
      </x:c>
      <x:c r="R167" s="25" t="str">
        <x:v>Uses the reciprocal explicitly trained prompt from episode 357. Both rows in this state pair are simultaneously violated.</x:v>
      </x:c>
      <x:c r="S167" s="25"/>
    </x:row>
    <x:row r="168" ht="72" customHeight="1">
      <x:c r="A168" s="9" t="str">
        <x:v>Not collected</x:v>
      </x:c>
      <x:c r="B168" s="9" t="n">
        <x:v>166</x:v>
      </x:c>
      <x:c r="C168" s="10" t="str">
        <x:v>Place the red block in front of the blue block.</x:v>
      </x:c>
      <x:c r="D168" s="10" t="str">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x:c r="F168" s="9" t="str">
        <x:v>256</x:v>
      </x:c>
      <x:c r="G168" s="9" t="str">
        <x:v>red block → 2–8 cm edge gap in front of blue block; centroid direction within ±45°.</x:v>
      </x:c>
      <x:c r="H168" s="10"/>
      <x:c r="I168" s="9" t="str">
        <x:v>Violated-relation correction control</x:v>
      </x:c>
      <x:c r="J168" s="9" t="str">
        <x:v>RP-AG10</x:v>
      </x:c>
      <x:c r="K168" s="9" t="str">
        <x:v>front</x:v>
      </x:c>
      <x:c r="L168" s="9" t="str">
        <x:v>Matched opposite-sector movement-required control</x:v>
      </x:c>
      <x:c r="M168" s="9" t="str">
        <x:v>red block</x:v>
      </x:c>
      <x:c r="N168" s="9" t="str">
        <x:v>blue block</x:v>
      </x:c>
      <x:c r="O168" s="9" t="str">
        <x:v>None</x:v>
      </x:c>
      <x:c r="P168" s="9" t="n">
        <x:v>4</x:v>
      </x:c>
      <x:c r="Q168" s="9" t="str">
        <x:v>Build the listed opposite-sector violated scene and save the first frame.</x:v>
      </x:c>
      <x:c r="R168" s="10" t="str">
        <x:v>Uses the ordinary explicitly trained prompt from episode 256. Its prompt-matched no-movement counterpart is in the same four-row family.</x:v>
      </x:c>
      <x:c r="S168" s="10"/>
    </x:row>
    <x:row r="169" ht="72" customHeight="1">
      <x:c r="A169" s="24" t="str">
        <x:v>Not collected</x:v>
      </x:c>
      <x:c r="B169" s="24" t="n">
        <x:v>167</x:v>
      </x:c>
      <x:c r="C169" s="25" t="str">
        <x:v>Put the blue block on the table behind the red block.</x:v>
      </x:c>
      <x:c r="D169" s="25" t="str">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v>166</x:v>
      </x:c>
      <x:c r="F169" s="24" t="str">
        <x:v>369</x:v>
      </x:c>
      <x:c r="G169" s="24" t="str">
        <x:v>blue block → 2–8 cm edge gap behind red block; centroid direction within ±45°.</x:v>
      </x:c>
      <x:c r="H169" s="25"/>
      <x:c r="I169" s="24" t="str">
        <x:v>Violated-relation correction control</x:v>
      </x:c>
      <x:c r="J169" s="24" t="str">
        <x:v>RP-AG10</x:v>
      </x:c>
      <x:c r="K169" s="24" t="str">
        <x:v>behind</x:v>
      </x:c>
      <x:c r="L169" s="24" t="str">
        <x:v>Matched opposite-sector movement-required control</x:v>
      </x:c>
      <x:c r="M169" s="24" t="str">
        <x:v>blue block</x:v>
      </x:c>
      <x:c r="N169" s="24" t="str">
        <x:v>red block</x:v>
      </x:c>
      <x:c r="O169" s="24" t="str">
        <x:v>None</x:v>
      </x:c>
      <x:c r="P169" s="24" t="n">
        <x:v>4</x:v>
      </x:c>
      <x:c r="Q169" s="24" t="str">
        <x:v>Preserve the exact scene; change only the reciprocal target/reference instruction.</x:v>
      </x:c>
      <x:c r="R169" s="25" t="str">
        <x:v>Uses the reciprocal explicitly trained prompt from episode 369. Both rows in this state pair are simultaneously violated.</x:v>
      </x:c>
      <x:c r="S169" s="25"/>
    </x:row>
    <x:row r="170" ht="72" customHeight="1">
      <x:c r="A170" s="24" t="str">
        <x:v>Not collected</x:v>
      </x:c>
      <x:c r="B170" s="24" t="n">
        <x:v>168</x:v>
      </x:c>
      <x:c r="C170" s="25" t="str">
        <x:v>Place the red block in front of the blue block.</x:v>
      </x:c>
      <x:c r="D170" s="25" t="str">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x:c r="F170" s="24" t="str">
        <x:v>256</x:v>
      </x:c>
      <x:c r="G170" s="24" t="str">
        <x:v>NO MOVEMENT — requested relation is already satisfied at the start: red block → 2–8 cm edge gap in front of blue block; centroid direction within ±45°.</x:v>
      </x:c>
      <x:c r="H170" s="25"/>
      <x:c r="I170" s="24" t="str">
        <x:v>Goal already satisfied / no movement</x:v>
      </x:c>
      <x:c r="J170" s="24" t="str">
        <x:v>RP-AG10</x:v>
      </x:c>
      <x:c r="K170" s="24" t="str">
        <x:v>front</x:v>
      </x:c>
      <x:c r="L170" s="24" t="str">
        <x:v>In-distribution satisfied-state action-gating diagnostic</x:v>
      </x:c>
      <x:c r="M170" s="24" t="str">
        <x:v>red block</x:v>
      </x:c>
      <x:c r="N170" s="24" t="str">
        <x:v>blue block</x:v>
      </x:c>
      <x:c r="O170" s="24" t="str">
        <x:v>None</x:v>
      </x:c>
      <x:c r="P170" s="24" t="n">
        <x:v>4</x:v>
      </x:c>
      <x:c r="Q170" s="24" t="str">
        <x:v>Move only P1 to the listed already-satisfied 5 cm position; preserve P2, every distractor, and the camera/robot setup.</x:v>
      </x:c>
      <x:c r="R170" s="25" t="str">
        <x:v>Uses the ordinary explicitly trained prompt from episode 256. Its prompt-matched movement-required counterpart is in the same four-row family.</x:v>
      </x:c>
      <x:c r="S170" s="25"/>
    </x:row>
    <x:row r="171" ht="72" customHeight="1">
      <x:c r="A171" s="24" t="str">
        <x:v>Not collected</x:v>
      </x:c>
      <x:c r="B171" s="24" t="n">
        <x:v>169</x:v>
      </x:c>
      <x:c r="C171" s="25" t="str">
        <x:v>Put the blue block on the table behind the red block.</x:v>
      </x:c>
      <x:c r="D171" s="25" t="str">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v>168</x:v>
      </x:c>
      <x:c r="F171" s="24" t="str">
        <x:v>369</x:v>
      </x:c>
      <x:c r="G171" s="24" t="str">
        <x:v>NO MOVEMENT — requested relation is already satisfied at the start: blue block → 2–8 cm edge gap behind red block; centroid direction within ±45°.</x:v>
      </x:c>
      <x:c r="H171" s="25"/>
      <x:c r="I171" s="24" t="str">
        <x:v>Goal already satisfied / no movement</x:v>
      </x:c>
      <x:c r="J171" s="24" t="str">
        <x:v>RP-AG10</x:v>
      </x:c>
      <x:c r="K171" s="24" t="str">
        <x:v>behind</x:v>
      </x:c>
      <x:c r="L171" s="24" t="str">
        <x:v>In-distribution satisfied-state action-gating diagnostic</x:v>
      </x:c>
      <x:c r="M171" s="24" t="str">
        <x:v>blue block</x:v>
      </x:c>
      <x:c r="N171" s="24" t="str">
        <x:v>red block</x:v>
      </x:c>
      <x:c r="O171" s="24" t="str">
        <x:v>None</x:v>
      </x:c>
      <x:c r="P171" s="24" t="n">
        <x:v>4</x:v>
      </x:c>
      <x:c r="Q171" s="24" t="str">
        <x:v>Preserve the exact scene; change only the reciprocal target/reference instruction.</x:v>
      </x:c>
      <x:c r="R171" s="25" t="str">
        <x:v>Uses the reciprocal explicitly trained prompt from episode 369. Both rows in this state pair are simultaneously satisfied.</x:v>
      </x:c>
      <x:c r="S171" s="25"/>
    </x:row>
  </x:sheetData>
  <x:conditionalFormatting sqref="A2:S151">
    <x:cfRule type="expression" dxfId="0" priority="1">
      <x:formula>$A2="Success"</x:formula>
    </x:cfRule>
    <x:cfRule type="expression" dxfId="1" priority="2">
      <x:formula>$A2="Failure"</x:formula>
    </x:cfRule>
  </x:conditionalFormatting>
  <x:conditionalFormatting sqref="I2:I151">
    <x:cfRule type="containsText" dxfId="2" priority="3" operator="containsText" text="In-distribution"/>
    <x:cfRule type="containsText" dxfId="3" priority="4" operator="containsText" text="Concept/compositional"/>
    <x:cfRule type="containsText" dxfId="4" priority="5" operator="containsText" text="Matched manipulation"/>
    <x:cfRule type="containsText" dxfId="5" priority="6" operator="containsText" text="Language robustness"/>
    <x:cfRule type="containsText" dxfId="6" priority="7" operator="containsText" text="Cross-task"/>
    <x:cfRule type="containsText" dxfId="7" priority="8" operator="containsText" text="Goal already"/>
  </x:conditionalFormatting>
  <x:conditionalFormatting sqref="A2:S171">
    <x:cfRule type="expression" dxfId="72" priority="9">
      <x:formula>$A2="Success"</x:formula>
    </x:cfRule>
    <x:cfRule type="expression" dxfId="73" priority="10">
      <x:formula>$A2="Failure"</x:formula>
    </x:cfRule>
  </x:conditionalFormatting>
  <x:conditionalFormatting sqref="I2:I171">
    <x:cfRule type="containsText" dxfId="74" priority="11" operator="containsText" text="In-distribution"/>
    <x:cfRule type="containsText" dxfId="75" priority="12" operator="containsText" text="Concept/compositional"/>
    <x:cfRule type="containsText" dxfId="76" priority="13" operator="containsText" text="Matched manipulation"/>
    <x:cfRule type="containsText" dxfId="77" priority="14" operator="containsText" text="Language robustness"/>
    <x:cfRule type="containsText" dxfId="78" priority="15" operator="containsText" text="Cross-task"/>
    <x:cfRule type="containsText" dxfId="79" priority="16" operator="containsText" text="Goal already"/>
    <x:cfRule type="containsText" dxfId="80"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438166a8b939440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35" hidden="0" customWidth="1"/>
    <x:col min="3" max="3" width="80" hidden="0" customWidth="1"/>
    <x:col min="4" max="4" width="66" hidden="0" customWidth="1"/>
    <x:col min="5" max="5" width="42" hidden="0" customWidth="1"/>
  </x:cols>
  <x:sheetData>
    <x:row r="1" ht="36" customHeight="1">
      <x:c r="A1" s="4" t="str">
        <x:v>Object</x:v>
      </x:c>
      <x:c r="B1" s="4" t="str">
        <x:v>Training Source</x:v>
      </x:c>
      <x:c r="C1" s="4" t="str">
        <x:v>Manifest Evidence</x:v>
      </x:c>
      <x:c r="D1" s="4" t="str">
        <x:v>Evaluation Role</x:v>
      </x:c>
      <x:c r="E1" s="4" t="str">
        <x:v>Claim Boundary</x:v>
      </x:c>
    </x:row>
    <x:row r="2" ht="68" customHeight="1">
      <x:c r="A2" s="7" t="str">
        <x:v>green pen</x:v>
      </x:c>
      <x:c r="B2" s="7" t="str">
        <x:v>Relational Placement</x:v>
      </x:c>
      <x:c r="C2" s="7" t="str">
        <x:v>Directional with pink marker/blue block; green–red direction masked</x:v>
      </x:c>
      <x:c r="D2" s="7" t="str">
        <x:v>Primary target/reference; six held-out counterfactual families plus independent neutral-axis scenes; four-way in-distribution counterfactuals; action-gating target</x:v>
      </x:c>
      <x:c r="E2" s="7" t="str">
        <x:v>Known task object</x:v>
      </x:c>
    </x:row>
    <x:row r="3" ht="68" customHeight="1">
      <x:c r="A3" s="7" t="str">
        <x:v>red block</x:v>
      </x:c>
      <x:c r="B3" s="7" t="str">
        <x:v>Relational Placement</x:v>
      </x:c>
      <x:c r="C3" s="7" t="str">
        <x:v>Directional with pink marker/blue block; red–green direction masked</x:v>
      </x:c>
      <x:c r="D3" s="7" t="str">
        <x:v>Primary target/reference; six held-out counterfactual families plus independent neutral-axis scenes; four-way in-distribution counterfactuals; action-gating target</x:v>
      </x:c>
      <x:c r="E3" s="7" t="str">
        <x:v>Known task object</x:v>
      </x:c>
    </x:row>
    <x:row r="4" ht="68" customHeight="1">
      <x:c r="A4" s="7" t="str">
        <x:v>pink marker</x:v>
      </x:c>
      <x:c r="B4" s="7" t="str">
        <x:v>Relational Placement</x:v>
      </x:c>
      <x:c r="C4" s="7" t="str">
        <x:v>Explicit directional target/reference across other objects</x:v>
      </x:c>
      <x:c r="D4" s="7" t="str">
        <x:v>In-distribution target/reference; action-gating target/reference; distractor; juggling partner</x:v>
      </x:c>
      <x:c r="E4" s="7" t="str">
        <x:v>Known task object</x:v>
      </x:c>
    </x:row>
    <x:row r="5" ht="68" customHeight="1">
      <x:c r="A5" s="7" t="str">
        <x:v>blue block</x:v>
      </x:c>
      <x:c r="B5" s="7" t="str">
        <x:v>Relational Placement</x:v>
      </x:c>
      <x:c r="C5" s="7" t="str">
        <x:v>Explicit directional target/reference across other objects</x:v>
      </x:c>
      <x:c r="D5" s="7" t="str">
        <x:v>In-distribution target/reference; action-gating target/reference; distractor; juggling partner</x:v>
      </x:c>
      <x:c r="E5" s="7" t="str">
        <x:v>Known task object</x:v>
      </x:c>
    </x:row>
    <x:row r="6" ht="68" customHeight="1">
      <x:c r="A6" s="11" t="str">
        <x:v>juggling ball</x:v>
      </x:c>
      <x:c r="B6" s="11" t="str">
        <x:v>Other tasks only</x:v>
      </x:c>
      <x:c r="C6" s="11" t="str">
        <x:v>125 global scenes; target in 50; 0 Relational Placement scenes</x:v>
      </x:c>
      <x:c r="D6" s="11" t="str">
        <x:v>10 cross-task trials as target; 10 as reference</x:v>
      </x:c>
      <x:c r="E6" s="11" t="str">
        <x:v>Known globally, novel to this task</x:v>
      </x:c>
    </x:row>
  </x:sheetData>
  <x:pageMargins left="0.7" right="0.7" top="0.75" bottom="0.75" header="0.3" footer="0.3"/>
  <x:tableParts count="1">
    <x:tablePart xmlns:r="http://schemas.openxmlformats.org/officeDocument/2006/relationships" r:id="Rf3391ac4567e41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52" hidden="0" customWidth="1"/>
    <x:col min="2" max="2" width="88" hidden="0" customWidth="1"/>
    <x:col min="3" max="3" width="92" hidden="0" customWidth="1"/>
  </x:cols>
  <x:sheetData>
    <x:row r="1" ht="36" customHeight="1">
      <x:c r="A1" s="44" t="str">
        <x:v>Training / Evaluation Feature</x:v>
      </x:c>
      <x:c r="B1" s="44" t="str">
        <x:v>Manifest evidence</x:v>
      </x:c>
      <x:c r="C1" s="44" t="str">
        <x:v>Evaluation consequence</x:v>
      </x:c>
    </x:row>
    <x:row r="2" ht="62" customHeight="1">
      <x:c r="A2" s="7" t="str">
        <x:v>Relational Placement training episodes</x:v>
      </x:c>
      <x:c r="B2" s="7" t="n">
        <x:v>200</x:v>
      </x:c>
      <x:c r="C2" s="7" t="str">
        <x:v>Global source episode numbers 200–399 are cited.</x:v>
      </x:c>
    </x:row>
    <x:row r="3" ht="62" customHeight="1">
      <x:c r="A3" s="7" t="str">
        <x:v>Explicit directional demonstrations</x:v>
      </x:c>
      <x:c r="B3" s="7" t="n">
        <x:v>166</x:v>
      </x:c>
      <x:c r="C3" s="7" t="str">
        <x:v>Left, right, front, and behind are trained on ordered pairs other than green pen↔red block.</x:v>
      </x:c>
    </x:row>
    <x:row r="4" ht="62" customHeight="1">
      <x:c r="A4" s="7" t="str">
        <x:v>Masked green-pen/red-block trajectories</x:v>
      </x:c>
      <x:c r="B4" s="7" t="n">
        <x:v>34</x:v>
      </x:c>
      <x:c r="C4" s="7" t="str">
        <x:v>Their final prompts are near/next-to/beside; directional prompts remain held out in both target/reference orders.</x:v>
      </x:c>
    </x:row>
    <x:row r="5" ht="62" customHeight="1">
      <x:c r="A5" s="7" t="str">
        <x:v>Primary missing unit</x:v>
      </x:c>
      <x:c r="B5" s="7" t="str">
        <x:v>direction × ordered green-pen/red-block target/reference role</x:v>
      </x:c>
      <x:c r="C5" s="7" t="str">
        <x:v>Fifty canonical primary trials: 25 targets per object and a 13/13/12/12 directional split.</x:v>
      </x:c>
    </x:row>
    <x:row r="6" ht="62" customHeight="1">
      <x:c r="A6" s="7" t="str">
        <x:v>Primary counterfactual subset</x:v>
      </x:c>
      <x:c r="B6" s="7" t="str">
        <x:v>6 exact-scene four-prompt families = 24 trials</x:v>
      </x:c>
      <x:c r="C6" s="7" t="str">
        <x:v>Each family crosses relation polarity with green-pen/red-block target/reference role.</x:v>
      </x:c>
    </x:row>
    <x:row r="7" ht="62" customHeight="1">
      <x:c r="A7" s="7" t="str">
        <x:v>Primary independent subset</x:v>
      </x:c>
      <x:c r="B7" s="7" t="str">
        <x:v>26 distinct neutral-axis scenes</x:v>
      </x:c>
      <x:c r="C7" s="7" t="str">
        <x:v>Adds scene diversity while preserving orthogonal, initially unsatisfied core-pair geometry.</x:v>
      </x:c>
    </x:row>
    <x:row r="8" ht="62" customHeight="1">
      <x:c r="A8" s="7" t="str">
        <x:v>Primary start-state control</x:v>
      </x:c>
      <x:c r="B8" s="7" t="str">
        <x:v>All 50 begin on the axis orthogonal to the tested relation</x:v>
      </x:c>
      <x:c r="C8" s="7" t="str">
        <x:v>Eliminates the former shortcut in which the target always began directly opposite the requested relation.</x:v>
      </x:c>
    </x:row>
    <x:row r="9" ht="62" customHeight="1">
      <x:c r="A9" s="7" t="str">
        <x:v>In-distribution baselines</x:v>
      </x:c>
      <x:c r="B9" s="7" t="str">
        <x:v>20 exact trained ordered cells</x:v>
      </x:c>
      <x:c r="C9" s="7" t="str">
        <x:v>Five adjacent four-prompt scene families; exactly five trials per direction and per target identity.</x:v>
      </x:c>
    </x:row>
    <x:row r="10" ht="62" customHeight="1">
      <x:c r="A10" s="7" t="str">
        <x:v>Matched controls</x:v>
      </x:c>
      <x:c r="B10" s="7" t="str">
        <x:v>20 exact masked-row near/next-to/beside prompts</x:v>
      </x:c>
      <x:c r="C10" s="7" t="str">
        <x:v>Same target, reference, objects, and neutral scene as 20 independent primary rows; five controls per held-out direction.</x:v>
      </x:c>
    </x:row>
    <x:row r="11" ht="62" customHeight="1">
      <x:c r="A11" s="7" t="str">
        <x:v>Language robustness</x:v>
      </x:c>
      <x:c r="B11" s="7" t="str">
        <x:v>10 transfer paraphrases + 10 control paraphrases</x:v>
      </x:c>
      <x:c r="C11" s="7" t="str">
        <x:v>Exact scenes are reused; only wording changes.</x:v>
      </x:c>
    </x:row>
    <x:row r="12" ht="62" customHeight="1">
      <x:c r="A12" s="7" t="str">
        <x:v>Juggling-ball status</x:v>
      </x:c>
      <x:c r="B12" s="7" t="str">
        <x:v>125 global scenes; target in 50; 0 task scenes</x:v>
      </x:c>
      <x:c r="C12" s="7" t="str">
        <x:v>Report as cross-task object transfer, not globally unseen-object generalization.</x:v>
      </x:c>
    </x:row>
    <x:row r="13" ht="62" customHeight="1">
      <x:c r="A13" s="7" t="str">
        <x:v>Juggling-ball counterfactual block</x:v>
      </x:c>
      <x:c r="B13" s="7" t="str">
        <x:v>5 exact-scene four-prompt families; 10 target + 10 reference</x:v>
      </x:c>
      <x:c r="C13" s="7" t="str">
        <x:v>Each family contains two juggling-ball targets and two juggling-ball references, preventing an always-select-juggling-ball shortcut.</x:v>
      </x:c>
    </x:row>
    <x:row r="14" ht="62" customHeight="1">
      <x:c r="A14" s="7" t="str">
        <x:v>Already-satisfied diagnostic</x:v>
      </x:c>
      <x:c r="B14" s="7" t="str">
        <x:v>20 explicitly trained ordered relation-object cells</x:v>
      </x:c>
      <x:c r="C14" s="7" t="str">
        <x:v>Ordinary training wording; requested relation begins satisfied at a 5 cm edge gap.</x:v>
      </x:c>
    </x:row>
    <x:row r="15" ht="62" customHeight="1">
      <x:c r="A15" s="7" t="str">
        <x:v>Violated-relation correction controls</x:v>
      </x:c>
      <x:c r="B15" s="7" t="str">
        <x:v>Same 20 prompts and object sets as the satisfied block</x:v>
      </x:c>
      <x:c r="C15" s="7" t="str">
        <x:v>Only P1 moves to the directly opposite sector at the same 5 cm edge gap; movement is required.</x:v>
      </x:c>
    </x:row>
    <x:row r="16" ht="62" customHeight="1">
      <x:c r="A16" s="7" t="str">
        <x:v>Action-necessity pairing</x:v>
      </x:c>
      <x:c r="B16" s="7" t="str">
        <x:v>20 prompt-matched satisfied/violated pairs</x:v>
      </x:c>
      <x:c r="C16" s="7" t="str">
        <x:v>Separates appropriate no-action behavior from general passivity or motor failure.</x:v>
      </x:c>
    </x:row>
    <x:row r="17" ht="62" customHeight="1">
      <x:c r="A17" s="7" t="str">
        <x:v>Total evaluation</x:v>
      </x:c>
      <x:c r="B17" s="7" t="n">
        <x:v>170</x:v>
      </x:c>
      <x:c r="C17" s="7" t="str">
        <x:v>20 ID + 50 primary + 20 matched + 20 language + 20 cross-task + 20 satisfied + 20 violated-relation controls.</x:v>
      </x:c>
    </x:row>
    <x:row r="18" ht="62" customHeight="1">
      <x:c r="A18" s="7" t="str">
        <x:v>Source files</x:v>
      </x:c>
      <x:c r="B18" s="7" t="str">
        <x:v>/Users/justintiensmith/Documents/lerobot/outputs/vla_reasoning_training_dataset_1200_2026-08-06/VLA_Reasoning_Dataset_Missing_Cell_Prompt_Manifest.csv
/Users/justintiensmith/Documents/lerobot/outputs/revised_relational_placement_170_2026-08-14/Eval_Relational_Placement_170_Counterfactual_Action_Gating.xlsx</x:v>
      </x:c>
      <x:c r="C18" s="7" t="str">
        <x:v>The prior 170-row workbook supplies the unchanged ID and action-gating blocks; the primary/control/language and cross-task blocks are rebuilt here.</x:v>
      </x:c>
    </x:row>
  </x:sheetData>
  <x:pageMargins left="0.7" right="0.7" top="0.75" bottom="0.75" header="0.3" footer="0.3"/>
  <x:tableParts count="1">
    <x:tablePart xmlns:r="http://schemas.openxmlformats.org/officeDocument/2006/relationships" r:id="R4576daa3648a410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135" hidden="0" customWidth="1"/>
  </x:cols>
  <x:sheetData>
    <x:row r="1" ht="40" customHeight="1">
      <x:c r="A1" s="52" t="str">
        <x:v>RELATIONAL PLACEMENT EVALUATION — PRIMARY + CROSS-TASK COUNTERFACTUAL DESIGN (170 TRIALS)</x:v>
      </x:c>
      <x:c r="B1" s="52"/>
    </x:row>
    <x:row r="2" ht="62" customHeight="1">
      <x:c r="A2" s="53" t="str">
        <x:v>Episodes 0–19</x:v>
      </x:c>
      <x:c r="B2" s="39" t="str">
        <x:v>Five adjacent four-prompt in-distribution scene families. The block is balanced at five trials per direction and five targets per object.</x:v>
      </x:c>
    </x:row>
    <x:row r="3" ht="62" customHeight="1">
      <x:c r="A3" s="53" t="str">
        <x:v>Episodes 20–43</x:v>
      </x:c>
      <x:c r="B3" s="39" t="str">
        <x:v>Six exact-scene four-prompt compositional-transfer families. Three cross front/behind polarity with target/reference role; three do the same for left/right.</x:v>
      </x:c>
    </x:row>
    <x:row r="4" ht="62" customHeight="1">
      <x:c r="A4" s="53" t="str">
        <x:v>Episodes 44–83</x:v>
      </x:c>
      <x:c r="B4" s="39" t="str">
        <x:v>Ten independent four-row families: canonical transfer → exact-scene matched control → transfer paraphrase → matched-control paraphrase.</x:v>
      </x:c>
    </x:row>
    <x:row r="5" ht="62" customHeight="1">
      <x:c r="A5" s="53" t="str">
        <x:v>Episodes 84–103</x:v>
      </x:c>
      <x:c r="B5" s="39" t="str">
        <x:v>Ten independent canonical transfer / matched-control exact-scene pairs.</x:v>
      </x:c>
    </x:row>
    <x:row r="6" ht="62" customHeight="1">
      <x:c r="A6" s="53" t="str">
        <x:v>Episodes 104–109</x:v>
      </x:c>
      <x:c r="B6" s="39" t="str">
        <x:v>Six additional independent neutral-axis compositional-transfer scenes.</x:v>
      </x:c>
    </x:row>
    <x:row r="7" ht="62" customHeight="1">
      <x:c r="A7" s="53" t="str">
        <x:v>Episodes 110–129</x:v>
      </x:c>
      <x:c r="B7" s="39" t="str">
        <x:v>Five adjacent four-prompt juggling-ball families. Every exact scene is tested twice with the juggling ball as target and twice as reference.</x:v>
      </x:c>
    </x:row>
    <x:row r="8" ht="62" customHeight="1">
      <x:c r="A8" s="53" t="str">
        <x:v>Episodes 130–169</x:v>
      </x:c>
      <x:c r="B8" s="39" t="str">
        <x:v>Ten four-row action-necessity families. Each contains two reciprocal prompts in a satisfied scene and the identical prompts in a directly opposite, movement-required scene.</x:v>
      </x:c>
    </x:row>
    <x:row r="9" ht="62" customHeight="1">
      <x:c r="A9" s="53" t="str">
        <x:v>Coordinate frame</x:v>
      </x:c>
      <x:c r="B9" s="39" t="str">
        <x:v>All left/right/front/behind labels are from the robot's perspective: front is toward the robot; behind is away from it.</x:v>
      </x:c>
    </x:row>
    <x:row r="10" ht="62" customHeight="1">
      <x:c r="A10" s="53" t="str">
        <x:v>Primary endpoint</x:v>
      </x:c>
      <x:c r="B10" s="39" t="str">
        <x:v>Report all 50 canonical green-pen/red-block directional trials as the primary compositional-transfer score, plus the 24-trial counterfactual and 26-trial independent subsets separately.</x:v>
      </x:c>
    </x:row>
    <x:row r="11" ht="62" customHeight="1">
      <x:c r="A11" s="53" t="str">
        <x:v>Primary neutral start</x:v>
      </x:c>
      <x:c r="B11" s="39" t="str">
        <x:v>Every primary core pair begins on the axis orthogonal to the tested relation: left–right for front/behind prompts and front–behind for left/right prompts. No target begins directly opposite the requested relation.</x:v>
      </x:c>
    </x:row>
    <x:row r="12" ht="62" customHeight="1">
      <x:c r="A12" s="53" t="str">
        <x:v>Primary counterfactual families</x:v>
      </x:c>
      <x:c r="B12" s="39" t="str">
        <x:v>Within each of six families, the exact same scene is evaluated with both relation polarities and both green-pen/red-block target/reference assignments. Reset both core objects to their taped poses between rows.</x:v>
      </x:c>
    </x:row>
    <x:row r="13" ht="62" customHeight="1">
      <x:c r="A13" s="53" t="str">
        <x:v>Matched control</x:v>
      </x:c>
      <x:c r="B13" s="39" t="str">
        <x:v>Same green/red target, reference, object set, camera view, and starting scene; only the prompt and goal change to trained near/next-to/beside.</x:v>
      </x:c>
    </x:row>
    <x:row r="14" ht="62" customHeight="1">
      <x:c r="A14" s="53" t="str">
        <x:v>Language split</x:v>
      </x:c>
      <x:c r="B14" s="39" t="str">
        <x:v>Ten exact primary scenes and ten exact matched-control scenes are reused. Only instruction wording changes.</x:v>
      </x:c>
    </x:row>
    <x:row r="15" ht="62" customHeight="1">
      <x:c r="A15" s="53" t="str">
        <x:v>Juggling-ball block</x:v>
      </x:c>
      <x:c r="B15" s="39" t="str">
        <x:v>All 20 rows use left/right/front/behind reasoning. No direct-name placement row is included. Relations are balanced five each.</x:v>
      </x:c>
    </x:row>
    <x:row r="16" ht="62" customHeight="1">
      <x:c r="A16" s="53" t="str">
        <x:v>Juggling four-way families</x:v>
      </x:c>
      <x:c r="B16" s="39" t="str">
        <x:v>The first four families cross one relation polarity with juggling-ball target/reference role. The fifth mixed-axis family completes exact five-per-direction balance. Reset all objects to their taped poses between rows.</x:v>
      </x:c>
    </x:row>
    <x:row r="17" ht="62" customHeight="1">
      <x:c r="A17" s="53" t="str">
        <x:v>Four-way ID families</x:v>
      </x:c>
      <x:c r="B17" s="39" t="str">
        <x:v>The first four families cross relation polarity with target/reference role. The fifth uses two trained ordered pairs in one four-object scene so the complete block remains exactly balanced by relation and target identity.</x:v>
      </x:c>
    </x:row>
    <x:row r="18" ht="62" customHeight="1">
      <x:c r="A18" s="53" t="str">
        <x:v>Action-necessity pairing</x:v>
      </x:c>
      <x:c r="B18" s="39" t="str">
        <x:v>For every prompt in episodes 130–169, one row starts satisfied and one prompt-matched row starts in the directly opposite sector. P2, distractors, distance, camera, and robot start remain fixed; only P1 changes position.</x:v>
      </x:c>
    </x:row>
    <x:row r="19" ht="62" customHeight="1">
      <x:c r="A19" s="53" t="str">
        <x:v>Counterbalanced order</x:v>
      </x:c>
      <x:c r="B19" s="39" t="str">
        <x:v>Five action-necessity families collect the satisfied scene first; five collect the violated scene first. This prevents condition from being perfectly correlated with collection order.</x:v>
      </x:c>
    </x:row>
    <x:row r="20" ht="62" customHeight="1">
      <x:c r="A20" s="53" t="str">
        <x:v>Already satisfied</x:v>
      </x:c>
      <x:c r="B20" s="39" t="str">
        <x:v>The named relation is visibly satisfied at a 5 cm edge gap before rollout. Prompts retain ordinary training wording, so wording does not reveal the no-movement condition.</x:v>
      </x:c>
    </x:row>
    <x:row r="21" ht="62" customHeight="1">
      <x:c r="A21" s="53" t="str">
        <x:v>Violated relation</x:v>
      </x:c>
      <x:c r="B21" s="39" t="str">
        <x:v>The same ordinary prompt is used while P1 begins at a 5 cm edge gap in the directly opposite sector. Movement is required; diagonal or ambiguous near placements are not used.</x:v>
      </x:c>
    </x:row>
    <x:row r="22" ht="62" customHeight="1">
      <x:c r="A22" s="53" t="str">
        <x:v>No-movement success</x:v>
      </x:c>
      <x:c r="B22" s="39" t="str">
        <x:v>Success requires no contact with or displacement of any object for the full decision window. Reaching toward or disturbing the scene is failure.</x:v>
      </x:c>
    </x:row>
    <x:row r="23" ht="62" customHeight="1">
      <x:c r="A23" s="53" t="str">
        <x:v>Active success</x:v>
      </x:c>
      <x:c r="B23" s="39" t="str">
        <x:v>Target must finish 2–8 cm edge-to-edge in the requested sector, with centroid direction within ±45°. Reference and distractors must remain in place.</x:v>
      </x:c>
    </x:row>
    <x:row r="24" ht="62" customHeight="1">
      <x:c r="A24" s="53" t="str">
        <x:v>Scene reuse</x:v>
      </x:c>
      <x:c r="B24" s="39" t="str">
        <x:v>For every Reference Episode, reuse the exact object instances, positions, camera pose, robot start, lighting, and background.</x:v>
      </x:c>
    </x:row>
    <x:row r="25" ht="62" customHeight="1">
      <x:c r="A25" s="53" t="str">
        <x:v>Cross-model reproducibility</x:v>
      </x:c>
      <x:c r="B25" s="39" t="str">
        <x:v>Save one first-frame filename per physical scene and reproduce that frame as closely as possible for each model.</x:v>
      </x:c>
    </x:row>
    <x:row r="26" ht="62" customHeight="1">
      <x:c r="A26" s="53" t="str">
        <x:v>Failure annotation</x:v>
      </x:c>
      <x:c r="B26" s="39" t="str">
        <x:v>Record wrong target, reversed direction, near-only placement, fixed-object strategy, grasp failure, placement failure, inappropriate action/no-action, timeout, or scene disturbance.</x:v>
      </x:c>
    </x:row>
    <x:row r="27" ht="62" customHeight="1">
      <x:c r="A27" s="53" t="str">
        <x:v>Analysis</x:v>
      </x:c>
      <x:c r="B27" s="39" t="str">
        <x:v>Report accuracy for all 50 primary trials and separately for the 24 counterfactual and 26 independent trials. Account for clustering by scene family for the counterfactual subset. For the 20 satisfied/violated pairs, also report both-correct rate, discordant outcomes, and an exact paired test.</x:v>
      </x:c>
    </x:row>
    <x:row r="28" ht="62" customHeight="1">
      <x:c r="A28" s="53" t="str">
        <x:v>Claim boundary</x:v>
      </x:c>
      <x:c r="B28" s="39" t="str">
        <x:v>Do not pool the juggling-ball or action-necessity diagnostics into the 50-trial primary compositional-transfer score.</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0" hidden="0" customWidth="1"/>
    <x:col min="2" max="2" width="14" hidden="0" customWidth="1"/>
    <x:col min="3" max="3" width="14" hidden="0" customWidth="1"/>
    <x:col min="4" max="4" width="14" hidden="0" customWidth="1"/>
    <x:col min="5" max="5" width="80" hidden="0" customWidth="1"/>
  </x:cols>
  <x:sheetData>
    <x:row r="1" ht="36" customHeight="1">
      <x:c r="A1" s="44" t="str">
        <x:v>Check</x:v>
      </x:c>
      <x:c r="B1" s="44" t="str">
        <x:v>Actual</x:v>
      </x:c>
      <x:c r="C1" s="44" t="str">
        <x:v>Expected</x:v>
      </x:c>
      <x:c r="D1" s="44" t="str">
        <x:v>Status</x:v>
      </x:c>
      <x:c r="E1" s="44" t="str">
        <x:v>Notes</x:v>
      </x:c>
    </x:row>
    <x:row r="2" ht="42" customHeight="1">
      <x:c r="A2" s="7" t="str">
        <x:v>Total evaluation rows</x:v>
      </x:c>
      <x:c r="B2" s="7" t="n">
        <x:f>COUNTA('Evaluation Plan'!B2:B171)</x:f>
        <x:v>170</x:v>
      </x:c>
      <x:c r="C2" s="7" t="n">
        <x:v>170</x:v>
      </x:c>
      <x:c r="D2" s="7" t="str">
        <x:f>IF(B2=C2,"PASS","CHECK")</x:f>
        <x:v>PASS</x:v>
      </x:c>
      <x:c r="E2" s="7" t="str">
        <x:v>Episodes 0–169.</x:v>
      </x:c>
    </x:row>
    <x:row r="3" ht="42" customHeight="1">
      <x:c r="A3" s="7" t="str">
        <x:v>Rows with training provenance</x:v>
      </x:c>
      <x:c r="B3" s="7" t="n">
        <x:f>COUNTA('Evaluation Plan'!F2:F171)</x:f>
        <x:v>170</x:v>
      </x:c>
      <x:c r="C3" s="7" t="n">
        <x:v>170</x:v>
      </x:c>
      <x:c r="D3" s="7" t="str">
        <x:f>IF(B3=C3,"PASS","CHECK")</x:f>
        <x:v>PASS</x:v>
      </x:c>
      <x:c r="E3" s="7" t="str">
        <x:v>Every row cites manifest support.</x:v>
      </x:c>
    </x:row>
    <x:row r="4" ht="42" customHeight="1">
      <x:c r="A4" s="7" t="str">
        <x:v>In-distribution total</x:v>
      </x:c>
      <x:c r="B4" s="7" t="n">
        <x:f>COUNTIF('Evaluation Plan'!I2:I171,"In-distribution concept baseline")</x:f>
        <x:v>20</x:v>
      </x:c>
      <x:c r="C4" s="7" t="n">
        <x:v>20</x:v>
      </x:c>
      <x:c r="D4" s="7" t="str">
        <x:f>IF(B4=C4,"PASS","CHECK")</x:f>
        <x:v>PASS</x:v>
      </x:c>
      <x:c r="E4" s="7" t="str">
        <x:v>Five adjacent four-row families.</x:v>
      </x:c>
    </x:row>
    <x:row r="5" ht="42" customHeight="1">
      <x:c r="A5" s="7" t="str">
        <x:v>ID relation: front</x:v>
      </x:c>
      <x:c r="B5" s="7" t="n">
        <x:f>COUNTIFS('Evaluation Plan'!I2:I171,"In-distribution concept baseline",'Evaluation Plan'!K2:K171,"front")</x:f>
        <x:v>5</x:v>
      </x:c>
      <x:c r="C5" s="7" t="n">
        <x:v>5</x:v>
      </x:c>
      <x:c r="D5" s="7" t="str">
        <x:f>IF(B5=C5,"PASS","CHECK")</x:f>
        <x:v>PASS</x:v>
      </x:c>
      <x:c r="E5" s="7" t="str">
        <x:v>Balanced direction.</x:v>
      </x:c>
    </x:row>
    <x:row r="6" ht="42" customHeight="1">
      <x:c r="A6" s="7" t="str">
        <x:v>ID relation: behind</x:v>
      </x:c>
      <x:c r="B6" s="7" t="n">
        <x:f>COUNTIFS('Evaluation Plan'!I2:I171,"In-distribution concept baseline",'Evaluation Plan'!K2:K171,"behind")</x:f>
        <x:v>5</x:v>
      </x:c>
      <x:c r="C6" s="7" t="n">
        <x:v>5</x:v>
      </x:c>
      <x:c r="D6" s="7" t="str">
        <x:f>IF(B6=C6,"PASS","CHECK")</x:f>
        <x:v>PASS</x:v>
      </x:c>
      <x:c r="E6" s="7" t="str">
        <x:v>Balanced direction.</x:v>
      </x:c>
    </x:row>
    <x:row r="7" ht="42" customHeight="1">
      <x:c r="A7" s="7" t="str">
        <x:v>ID relation: left</x:v>
      </x:c>
      <x:c r="B7" s="7" t="n">
        <x:f>COUNTIFS('Evaluation Plan'!I2:I171,"In-distribution concept baseline",'Evaluation Plan'!K2:K171,"left")</x:f>
        <x:v>5</x:v>
      </x:c>
      <x:c r="C7" s="7" t="n">
        <x:v>5</x:v>
      </x:c>
      <x:c r="D7" s="7" t="str">
        <x:f>IF(B7=C7,"PASS","CHECK")</x:f>
        <x:v>PASS</x:v>
      </x:c>
      <x:c r="E7" s="7" t="str">
        <x:v>Balanced direction.</x:v>
      </x:c>
    </x:row>
    <x:row r="8" ht="42" customHeight="1">
      <x:c r="A8" s="7" t="str">
        <x:v>ID relation: right</x:v>
      </x:c>
      <x:c r="B8" s="7" t="n">
        <x:f>COUNTIFS('Evaluation Plan'!I2:I171,"In-distribution concept baseline",'Evaluation Plan'!K2:K171,"right")</x:f>
        <x:v>5</x:v>
      </x:c>
      <x:c r="C8" s="7" t="n">
        <x:v>5</x:v>
      </x:c>
      <x:c r="D8" s="7" t="str">
        <x:f>IF(B8=C8,"PASS","CHECK")</x:f>
        <x:v>PASS</x:v>
      </x:c>
      <x:c r="E8" s="7" t="str">
        <x:v>Balanced direction.</x:v>
      </x:c>
    </x:row>
    <x:row r="9" ht="42" customHeight="1">
      <x:c r="A9" s="7" t="str">
        <x:v>ID target: green pen</x:v>
      </x:c>
      <x:c r="B9" s="7" t="n">
        <x:f>COUNTIFS('Evaluation Plan'!I2:I171,"In-distribution concept baseline",'Evaluation Plan'!M2:M171,"green pen")</x:f>
        <x:v>5</x:v>
      </x:c>
      <x:c r="C9" s="7" t="n">
        <x:v>5</x:v>
      </x:c>
      <x:c r="D9" s="7" t="str">
        <x:f>IF(B9=C9,"PASS","CHECK")</x:f>
        <x:v>PASS</x:v>
      </x:c>
      <x:c r="E9" s="7" t="str">
        <x:v>Balanced target identity.</x:v>
      </x:c>
    </x:row>
    <x:row r="10" ht="42" customHeight="1">
      <x:c r="A10" s="7" t="str">
        <x:v>ID target: red block</x:v>
      </x:c>
      <x:c r="B10" s="7" t="n">
        <x:f>COUNTIFS('Evaluation Plan'!I2:I171,"In-distribution concept baseline",'Evaluation Plan'!M2:M171,"red block")</x:f>
        <x:v>5</x:v>
      </x:c>
      <x:c r="C10" s="7" t="n">
        <x:v>5</x:v>
      </x:c>
      <x:c r="D10" s="7" t="str">
        <x:f>IF(B10=C10,"PASS","CHECK")</x:f>
        <x:v>PASS</x:v>
      </x:c>
      <x:c r="E10" s="7" t="str">
        <x:v>Balanced target identity.</x:v>
      </x:c>
    </x:row>
    <x:row r="11" ht="42" customHeight="1">
      <x:c r="A11" s="7" t="str">
        <x:v>ID target: pink marker</x:v>
      </x:c>
      <x:c r="B11" s="7" t="n">
        <x:f>COUNTIFS('Evaluation Plan'!I2:I171,"In-distribution concept baseline",'Evaluation Plan'!M2:M171,"pink marker")</x:f>
        <x:v>5</x:v>
      </x:c>
      <x:c r="C11" s="7" t="n">
        <x:v>5</x:v>
      </x:c>
      <x:c r="D11" s="7" t="str">
        <x:f>IF(B11=C11,"PASS","CHECK")</x:f>
        <x:v>PASS</x:v>
      </x:c>
      <x:c r="E11" s="7" t="str">
        <x:v>Balanced target identity.</x:v>
      </x:c>
    </x:row>
    <x:row r="12" ht="42" customHeight="1">
      <x:c r="A12" s="7" t="str">
        <x:v>ID target: blue block</x:v>
      </x:c>
      <x:c r="B12" s="7" t="n">
        <x:f>COUNTIFS('Evaluation Plan'!I2:I171,"In-distribution concept baseline",'Evaluation Plan'!M2:M171,"blue block")</x:f>
        <x:v>5</x:v>
      </x:c>
      <x:c r="C12" s="7" t="n">
        <x:v>5</x:v>
      </x:c>
      <x:c r="D12" s="7" t="str">
        <x:f>IF(B12=C12,"PASS","CHECK")</x:f>
        <x:v>PASS</x:v>
      </x:c>
      <x:c r="E12" s="7" t="str">
        <x:v>Balanced target identity.</x:v>
      </x:c>
    </x:row>
    <x:row r="13" ht="42" customHeight="1">
      <x:c r="A13" s="7" t="str">
        <x:v>ID four-way single-pair rows</x:v>
      </x:c>
      <x:c r="B13" s="7" t="n">
        <x:f>COUNTIF('Evaluation Plan'!J2:J171,"RP-ID-CF01")+COUNTIF('Evaluation Plan'!J2:J171,"RP-ID-CF02")+COUNTIF('Evaluation Plan'!J2:J171,"RP-ID-CF03")+COUNTIF('Evaluation Plan'!J2:J171,"RP-ID-CF04")</x:f>
        <x:v>16</x:v>
      </x:c>
      <x:c r="C13" s="7" t="n">
        <x:v>16</x:v>
      </x:c>
      <x:c r="D13" s="7" t="str">
        <x:f>IF(B13=C13,"PASS","CHECK")</x:f>
        <x:v>PASS</x:v>
      </x:c>
      <x:c r="E13" s="7" t="str">
        <x:v>Four 2×2 polarity-by-role families.</x:v>
      </x:c>
    </x:row>
    <x:row r="14" ht="42" customHeight="1">
      <x:c r="A14" s="7" t="str">
        <x:v>ID mixed-axis rows</x:v>
      </x:c>
      <x:c r="B14" s="7" t="n">
        <x:f>COUNTIFS('Evaluation Plan'!I2:I171,"In-distribution concept baseline",'Evaluation Plan'!L2:L171,"Four-prompt trained-cell mixed-axis counterfactual with all four target identities")</x:f>
        <x:v>4</x:v>
      </x:c>
      <x:c r="C14" s="7" t="n">
        <x:v>4</x:v>
      </x:c>
      <x:c r="D14" s="7" t="str">
        <x:f>IF(B14=C14,"PASS","CHECK")</x:f>
        <x:v>PASS</x:v>
      </x:c>
      <x:c r="E14" s="7" t="str">
        <x:v>Fifth family completes exact direction/target balance.</x:v>
      </x:c>
    </x:row>
    <x:row r="15" ht="42" customHeight="1">
      <x:c r="A15" s="7" t="str">
        <x:v>Primary total</x:v>
      </x:c>
      <x:c r="B15" s="7" t="n">
        <x:f>COUNTIF('Evaluation Plan'!I2:I171,"Concept/compositional transfer")</x:f>
        <x:v>50</x:v>
      </x:c>
      <x:c r="C15" s="7" t="n">
        <x:v>50</x:v>
      </x:c>
      <x:c r="D15" s="7" t="str">
        <x:f>IF(B15=C15,"PASS","CHECK")</x:f>
        <x:v>PASS</x:v>
      </x:c>
      <x:c r="E15" s="7" t="str">
        <x:v>Primary endpoint.</x:v>
      </x:c>
    </x:row>
    <x:row r="16" ht="42" customHeight="1">
      <x:c r="A16" s="7" t="str">
        <x:v>Primary green-pen targets</x:v>
      </x:c>
      <x:c r="B16" s="7" t="n">
        <x:f>COUNTIFS('Evaluation Plan'!I2:I171,"Concept/compositional transfer",'Evaluation Plan'!M2:M171,"green pen")</x:f>
        <x:v>25</x:v>
      </x:c>
      <x:c r="C16" s="7" t="n">
        <x:v>25</x:v>
      </x:c>
      <x:c r="D16" s="7" t="str">
        <x:f>IF(B16=C16,"PASS","CHECK")</x:f>
        <x:v>PASS</x:v>
      </x:c>
      <x:c r="E16" s="7" t="str">
        <x:v>Balanced target identity.</x:v>
      </x:c>
    </x:row>
    <x:row r="17" ht="42" customHeight="1">
      <x:c r="A17" s="7" t="str">
        <x:v>Primary red-block targets</x:v>
      </x:c>
      <x:c r="B17" s="7" t="n">
        <x:f>COUNTIFS('Evaluation Plan'!I2:I171,"Concept/compositional transfer",'Evaluation Plan'!M2:M171,"red block")</x:f>
        <x:v>25</x:v>
      </x:c>
      <x:c r="C17" s="7" t="n">
        <x:v>25</x:v>
      </x:c>
      <x:c r="D17" s="7" t="str">
        <x:f>IF(B17=C17,"PASS","CHECK")</x:f>
        <x:v>PASS</x:v>
      </x:c>
      <x:c r="E17" s="7" t="str">
        <x:v>Balanced target identity.</x:v>
      </x:c>
    </x:row>
    <x:row r="18" ht="42" customHeight="1">
      <x:c r="A18" s="7" t="str">
        <x:v>Primary front</x:v>
      </x:c>
      <x:c r="B18" s="7" t="n">
        <x:f>COUNTIFS('Evaluation Plan'!I2:I171,"Concept/compositional transfer",'Evaluation Plan'!K2:K171,"front")</x:f>
        <x:v>13</x:v>
      </x:c>
      <x:c r="C18" s="7" t="n">
        <x:v>13</x:v>
      </x:c>
      <x:c r="D18" s="7" t="str">
        <x:f>IF(B18=C18,"PASS","CHECK")</x:f>
        <x:v>PASS</x:v>
      </x:c>
      <x:c r="E18" s="7" t="str">
        <x:v>50 cannot divide exactly by four.</x:v>
      </x:c>
    </x:row>
    <x:row r="19" ht="42" customHeight="1">
      <x:c r="A19" s="7" t="str">
        <x:v>Primary behind</x:v>
      </x:c>
      <x:c r="B19" s="7" t="n">
        <x:f>COUNTIFS('Evaluation Plan'!I2:I171,"Concept/compositional transfer",'Evaluation Plan'!K2:K171,"behind")</x:f>
        <x:v>13</x:v>
      </x:c>
      <x:c r="C19" s="7" t="n">
        <x:v>13</x:v>
      </x:c>
      <x:c r="D19" s="7" t="str">
        <x:f>IF(B19=C19,"PASS","CHECK")</x:f>
        <x:v>PASS</x:v>
      </x:c>
      <x:c r="E19" s="7" t="str">
        <x:v>50 cannot divide exactly by four.</x:v>
      </x:c>
    </x:row>
    <x:row r="20" ht="42" customHeight="1">
      <x:c r="A20" s="7" t="str">
        <x:v>Primary left</x:v>
      </x:c>
      <x:c r="B20" s="7" t="n">
        <x:f>COUNTIFS('Evaluation Plan'!I2:I171,"Concept/compositional transfer",'Evaluation Plan'!K2:K171,"left")</x:f>
        <x:v>12</x:v>
      </x:c>
      <x:c r="C20" s="7" t="n">
        <x:v>12</x:v>
      </x:c>
      <x:c r="D20" s="7" t="str">
        <x:f>IF(B20=C20,"PASS","CHECK")</x:f>
        <x:v>PASS</x:v>
      </x:c>
      <x:c r="E20" s="7" t="str">
        <x:v>50 cannot divide exactly by four.</x:v>
      </x:c>
    </x:row>
    <x:row r="21" ht="42" customHeight="1">
      <x:c r="A21" s="7" t="str">
        <x:v>Primary right</x:v>
      </x:c>
      <x:c r="B21" s="7" t="n">
        <x:f>COUNTIFS('Evaluation Plan'!I2:I171,"Concept/compositional transfer",'Evaluation Plan'!K2:K171,"right")</x:f>
        <x:v>12</x:v>
      </x:c>
      <x:c r="C21" s="7" t="n">
        <x:v>12</x:v>
      </x:c>
      <x:c r="D21" s="7" t="str">
        <x:f>IF(B21=C21,"PASS","CHECK")</x:f>
        <x:v>PASS</x:v>
      </x:c>
      <x:c r="E21" s="7" t="str">
        <x:v>50 cannot divide exactly by four.</x:v>
      </x:c>
    </x:row>
    <x:row r="22" ht="42" customHeight="1">
      <x:c r="A22" s="7" t="str">
        <x:v>Primary three-object scenes</x:v>
      </x:c>
      <x:c r="B22" s="7" t="n">
        <x:f>COUNTIFS('Evaluation Plan'!I2:I171,"Concept/compositional transfer",'Evaluation Plan'!P2:P171,3)</x:f>
        <x:v>25</x:v>
      </x:c>
      <x:c r="C22" s="7" t="n">
        <x:v>25</x:v>
      </x:c>
      <x:c r="D22" s="7" t="str">
        <x:f>IF(B22=C22,"PASS","CHECK")</x:f>
        <x:v>PASS</x:v>
      </x:c>
      <x:c r="E22" s="7" t="str">
        <x:v>Balanced scene complexity.</x:v>
      </x:c>
    </x:row>
    <x:row r="23" ht="42" customHeight="1">
      <x:c r="A23" s="7" t="str">
        <x:v>Primary four-object scenes</x:v>
      </x:c>
      <x:c r="B23" s="7" t="n">
        <x:f>COUNTIFS('Evaluation Plan'!I2:I171,"Concept/compositional transfer",'Evaluation Plan'!P2:P171,4)</x:f>
        <x:v>25</x:v>
      </x:c>
      <x:c r="C23" s="7" t="n">
        <x:v>25</x:v>
      </x:c>
      <x:c r="D23" s="7" t="str">
        <x:f>IF(B23=C23,"PASS","CHECK")</x:f>
        <x:v>PASS</x:v>
      </x:c>
      <x:c r="E23" s="7" t="str">
        <x:v>Balanced scene complexity.</x:v>
      </x:c>
    </x:row>
    <x:row r="24" ht="42" customHeight="1">
      <x:c r="A24" s="7" t="str">
        <x:v>Primary four-way counterfactual rows</x:v>
      </x:c>
      <x:c r="B24" s="7" t="n">
        <x:f>COUNTIF('Evaluation Plan'!J2:J171,"RP-CT-CF01")+COUNTIF('Evaluation Plan'!J2:J171,"RP-CT-CF02")+COUNTIF('Evaluation Plan'!J2:J171,"RP-CT-CF03")+COUNTIF('Evaluation Plan'!J2:J171,"RP-CT-CF04")+COUNTIF('Evaluation Plan'!J2:J171,"RP-CT-CF05")+COUNTIF('Evaluation Plan'!J2:J171,"RP-CT-CF06")</x:f>
        <x:v>24</x:v>
      </x:c>
      <x:c r="C24" s="7" t="n">
        <x:v>24</x:v>
      </x:c>
      <x:c r="D24" s="7" t="str">
        <x:f>IF(B24=C24,"PASS","CHECK")</x:f>
        <x:v>PASS</x:v>
      </x:c>
      <x:c r="E24" s="7" t="str">
        <x:v>Six exact-scene four-prompt families.</x:v>
      </x:c>
    </x:row>
    <x:row r="25" ht="42" customHeight="1">
      <x:c r="A25" s="7" t="str">
        <x:v>Primary independent neutral-axis rows</x:v>
      </x:c>
      <x:c r="B25" s="7" t="n">
        <x:f>COUNTIF('Evaluation Plan'!I2:I171,"Concept/compositional transfer")-(COUNTIF('Evaluation Plan'!J2:J171,"RP-CT-CF01")+COUNTIF('Evaluation Plan'!J2:J171,"RP-CT-CF02")+COUNTIF('Evaluation Plan'!J2:J171,"RP-CT-CF03")+COUNTIF('Evaluation Plan'!J2:J171,"RP-CT-CF04")+COUNTIF('Evaluation Plan'!J2:J171,"RP-CT-CF05")+COUNTIF('Evaluation Plan'!J2:J171,"RP-CT-CF06"))</x:f>
        <x:v>26</x:v>
      </x:c>
      <x:c r="C25" s="7" t="n">
        <x:v>26</x:v>
      </x:c>
      <x:c r="D25" s="7" t="str">
        <x:f>IF(B25=C25,"PASS","CHECK")</x:f>
        <x:v>PASS</x:v>
      </x:c>
      <x:c r="E25" s="7" t="str">
        <x:v>Twenty-six distinct physical scenes.</x:v>
      </x:c>
    </x:row>
    <x:row r="26" ht="42" customHeight="1">
      <x:c r="A26" s="7" t="str">
        <x:v>Matched controls</x:v>
      </x:c>
      <x:c r="B26" s="7" t="n">
        <x:f>COUNTIF('Evaluation Plan'!I2:I171,"Matched manipulation control")</x:f>
        <x:v>20</x:v>
      </x:c>
      <x:c r="C26" s="7" t="n">
        <x:v>20</x:v>
      </x:c>
      <x:c r="D26" s="7" t="str">
        <x:f>IF(B26=C26,"PASS","CHECK")</x:f>
        <x:v>PASS</x:v>
      </x:c>
      <x:c r="E26" s="7" t="str">
        <x:v>Exact-scene controls.</x:v>
      </x:c>
    </x:row>
    <x:row r="27" ht="42" customHeight="1">
      <x:c r="A27" s="7" t="str">
        <x:v>Matched relation stratum: front</x:v>
      </x:c>
      <x:c r="B27" s="7" t="n">
        <x:f>COUNTIFS('Evaluation Plan'!I2:I171,"Matched manipulation control",'Evaluation Plan'!K2:K171,"front")</x:f>
        <x:v>5</x:v>
      </x:c>
      <x:c r="C27" s="7" t="n">
        <x:v>5</x:v>
      </x:c>
      <x:c r="D27" s="7" t="str">
        <x:f>IF(B27=C27,"PASS","CHECK")</x:f>
        <x:v>PASS</x:v>
      </x:c>
      <x:c r="E27" s="7" t="str">
        <x:v>Balanced held-out relation stratum.</x:v>
      </x:c>
    </x:row>
    <x:row r="28" ht="42" customHeight="1">
      <x:c r="A28" s="7" t="str">
        <x:v>Matched relation stratum: behind</x:v>
      </x:c>
      <x:c r="B28" s="7" t="n">
        <x:f>COUNTIFS('Evaluation Plan'!I2:I171,"Matched manipulation control",'Evaluation Plan'!K2:K171,"behind")</x:f>
        <x:v>5</x:v>
      </x:c>
      <x:c r="C28" s="7" t="n">
        <x:v>5</x:v>
      </x:c>
      <x:c r="D28" s="7" t="str">
        <x:f>IF(B28=C28,"PASS","CHECK")</x:f>
        <x:v>PASS</x:v>
      </x:c>
      <x:c r="E28" s="7" t="str">
        <x:v>Balanced held-out relation stratum.</x:v>
      </x:c>
    </x:row>
    <x:row r="29" ht="42" customHeight="1">
      <x:c r="A29" s="7" t="str">
        <x:v>Matched relation stratum: left</x:v>
      </x:c>
      <x:c r="B29" s="7" t="n">
        <x:f>COUNTIFS('Evaluation Plan'!I2:I171,"Matched manipulation control",'Evaluation Plan'!K2:K171,"left")</x:f>
        <x:v>5</x:v>
      </x:c>
      <x:c r="C29" s="7" t="n">
        <x:v>5</x:v>
      </x:c>
      <x:c r="D29" s="7" t="str">
        <x:f>IF(B29=C29,"PASS","CHECK")</x:f>
        <x:v>PASS</x:v>
      </x:c>
      <x:c r="E29" s="7" t="str">
        <x:v>Balanced held-out relation stratum.</x:v>
      </x:c>
    </x:row>
    <x:row r="30" ht="42" customHeight="1">
      <x:c r="A30" s="7" t="str">
        <x:v>Matched relation stratum: right</x:v>
      </x:c>
      <x:c r="B30" s="7" t="n">
        <x:f>COUNTIFS('Evaluation Plan'!I2:I171,"Matched manipulation control",'Evaluation Plan'!K2:K171,"right")</x:f>
        <x:v>5</x:v>
      </x:c>
      <x:c r="C30" s="7" t="n">
        <x:v>5</x:v>
      </x:c>
      <x:c r="D30" s="7" t="str">
        <x:f>IF(B30=C30,"PASS","CHECK")</x:f>
        <x:v>PASS</x:v>
      </x:c>
      <x:c r="E30" s="7" t="str">
        <x:v>Balanced held-out relation stratum.</x:v>
      </x:c>
    </x:row>
    <x:row r="31" ht="42" customHeight="1">
      <x:c r="A31" s="7" t="str">
        <x:v>Matched green-pen targets</x:v>
      </x:c>
      <x:c r="B31" s="7" t="n">
        <x:f>COUNTIFS('Evaluation Plan'!I2:I171,"Matched manipulation control",'Evaluation Plan'!M2:M171,"green pen")</x:f>
        <x:v>10</x:v>
      </x:c>
      <x:c r="C31" s="7" t="n">
        <x:v>10</x:v>
      </x:c>
      <x:c r="D31" s="7" t="str">
        <x:f>IF(B31=C31,"PASS","CHECK")</x:f>
        <x:v>PASS</x:v>
      </x:c>
      <x:c r="E31" s="7" t="str">
        <x:v>Balanced target identity.</x:v>
      </x:c>
    </x:row>
    <x:row r="32" ht="42" customHeight="1">
      <x:c r="A32" s="7" t="str">
        <x:v>Matched red-block targets</x:v>
      </x:c>
      <x:c r="B32" s="7" t="n">
        <x:f>COUNTIFS('Evaluation Plan'!I2:I171,"Matched manipulation control",'Evaluation Plan'!M2:M171,"red block")</x:f>
        <x:v>10</x:v>
      </x:c>
      <x:c r="C32" s="7" t="n">
        <x:v>10</x:v>
      </x:c>
      <x:c r="D32" s="7" t="str">
        <x:f>IF(B32=C32,"PASS","CHECK")</x:f>
        <x:v>PASS</x:v>
      </x:c>
      <x:c r="E32" s="7" t="str">
        <x:v>Balanced target identity.</x:v>
      </x:c>
    </x:row>
    <x:row r="33" ht="42" customHeight="1">
      <x:c r="A33" s="7" t="str">
        <x:v>Matched three-object scenes</x:v>
      </x:c>
      <x:c r="B33" s="7" t="n">
        <x:f>COUNTIFS('Evaluation Plan'!I2:I171,"Matched manipulation control",'Evaluation Plan'!P2:P171,3)</x:f>
        <x:v>10</x:v>
      </x:c>
      <x:c r="C33" s="7" t="n">
        <x:v>10</x:v>
      </x:c>
      <x:c r="D33" s="7" t="str">
        <x:f>IF(B33=C33,"PASS","CHECK")</x:f>
        <x:v>PASS</x:v>
      </x:c>
      <x:c r="E33" s="7" t="str">
        <x:v>Balanced scene complexity.</x:v>
      </x:c>
    </x:row>
    <x:row r="34" ht="42" customHeight="1">
      <x:c r="A34" s="7" t="str">
        <x:v>Matched four-object scenes</x:v>
      </x:c>
      <x:c r="B34" s="7" t="n">
        <x:f>COUNTIFS('Evaluation Plan'!I2:I171,"Matched manipulation control",'Evaluation Plan'!P2:P171,4)</x:f>
        <x:v>10</x:v>
      </x:c>
      <x:c r="C34" s="7" t="n">
        <x:v>10</x:v>
      </x:c>
      <x:c r="D34" s="7" t="str">
        <x:f>IF(B34=C34,"PASS","CHECK")</x:f>
        <x:v>PASS</x:v>
      </x:c>
      <x:c r="E34" s="7" t="str">
        <x:v>Balanced scene complexity.</x:v>
      </x:c>
    </x:row>
    <x:row r="35" ht="42" customHeight="1">
      <x:c r="A35" s="7" t="str">
        <x:v>Language robustness total</x:v>
      </x:c>
      <x:c r="B35" s="7" t="n">
        <x:f>COUNTIF('Evaluation Plan'!I2:I171,"Language robustness")</x:f>
        <x:v>20</x:v>
      </x:c>
      <x:c r="C35" s="7" t="n">
        <x:v>20</x:v>
      </x:c>
      <x:c r="D35" s="7" t="str">
        <x:f>IF(B35=C35,"PASS","CHECK")</x:f>
        <x:v>PASS</x:v>
      </x:c>
      <x:c r="E35" s="7" t="str">
        <x:v>Ten transfer and ten control paraphrases.</x:v>
      </x:c>
    </x:row>
    <x:row r="36" ht="42" customHeight="1">
      <x:c r="A36" s="7" t="str">
        <x:v>Language transfer paraphrases</x:v>
      </x:c>
      <x:c r="B36" s="7" t="n">
        <x:f>COUNTIFS('Evaluation Plan'!I2:I171,"Language robustness",'Evaluation Plan'!L2:L171,"Transfer paraphrase of concept/compositional transfer")</x:f>
        <x:v>10</x:v>
      </x:c>
      <x:c r="C36" s="7" t="n">
        <x:v>10</x:v>
      </x:c>
      <x:c r="D36" s="7" t="str">
        <x:f>IF(B36=C36,"PASS","CHECK")</x:f>
        <x:v>PASS</x:v>
      </x:c>
      <x:c r="E36" s="7" t="str">
        <x:v>Exact-scene transfer paraphrases.</x:v>
      </x:c>
    </x:row>
    <x:row r="37" ht="42" customHeight="1">
      <x:c r="A37" s="7" t="str">
        <x:v>Language matched-control paraphrases</x:v>
      </x:c>
      <x:c r="B37" s="7" t="n">
        <x:f>COUNTIFS('Evaluation Plan'!I2:I171,"Language robustness",'Evaluation Plan'!L2:L171,"Matched-control paraphrase")</x:f>
        <x:v>10</x:v>
      </x:c>
      <x:c r="C37" s="7" t="n">
        <x:v>10</x:v>
      </x:c>
      <x:c r="D37" s="7" t="str">
        <x:f>IF(B37=C37,"PASS","CHECK")</x:f>
        <x:v>PASS</x:v>
      </x:c>
      <x:c r="E37" s="7" t="str">
        <x:v>Exact-scene control paraphrases.</x:v>
      </x:c>
    </x:row>
    <x:row r="38" ht="42" customHeight="1">
      <x:c r="A38" s="7" t="str">
        <x:v>Cross-task-object total</x:v>
      </x:c>
      <x:c r="B38" s="7" t="n">
        <x:f>COUNTIF('Evaluation Plan'!I2:I171,"Cross-task-object directional reasoning")</x:f>
        <x:v>20</x:v>
      </x:c>
      <x:c r="C38" s="7" t="n">
        <x:v>20</x:v>
      </x:c>
      <x:c r="D38" s="7" t="str">
        <x:f>IF(B38=C38,"PASS","CHECK")</x:f>
        <x:v>PASS</x:v>
      </x:c>
      <x:c r="E38" s="7" t="str">
        <x:v>Juggling-ball block.</x:v>
      </x:c>
    </x:row>
    <x:row r="39" ht="42" customHeight="1">
      <x:c r="A39" s="7" t="str">
        <x:v>Cross-task relation: front</x:v>
      </x:c>
      <x:c r="B39" s="7" t="n">
        <x:f>COUNTIFS('Evaluation Plan'!I2:I171,"Cross-task-object directional reasoning",'Evaluation Plan'!K2:K171,"front")</x:f>
        <x:v>5</x:v>
      </x:c>
      <x:c r="C39" s="7" t="n">
        <x:v>5</x:v>
      </x:c>
      <x:c r="D39" s="7" t="str">
        <x:f>IF(B39=C39,"PASS","CHECK")</x:f>
        <x:v>PASS</x:v>
      </x:c>
      <x:c r="E39" s="7" t="str">
        <x:v>Balanced direction.</x:v>
      </x:c>
    </x:row>
    <x:row r="40" ht="42" customHeight="1">
      <x:c r="A40" s="7" t="str">
        <x:v>Cross-task relation: behind</x:v>
      </x:c>
      <x:c r="B40" s="7" t="n">
        <x:f>COUNTIFS('Evaluation Plan'!I2:I171,"Cross-task-object directional reasoning",'Evaluation Plan'!K2:K171,"behind")</x:f>
        <x:v>5</x:v>
      </x:c>
      <x:c r="C40" s="7" t="n">
        <x:v>5</x:v>
      </x:c>
      <x:c r="D40" s="7" t="str">
        <x:f>IF(B40=C40,"PASS","CHECK")</x:f>
        <x:v>PASS</x:v>
      </x:c>
      <x:c r="E40" s="7" t="str">
        <x:v>Balanced direction.</x:v>
      </x:c>
    </x:row>
    <x:row r="41" ht="42" customHeight="1">
      <x:c r="A41" s="7" t="str">
        <x:v>Cross-task relation: left</x:v>
      </x:c>
      <x:c r="B41" s="7" t="n">
        <x:f>COUNTIFS('Evaluation Plan'!I2:I171,"Cross-task-object directional reasoning",'Evaluation Plan'!K2:K171,"left")</x:f>
        <x:v>5</x:v>
      </x:c>
      <x:c r="C41" s="7" t="n">
        <x:v>5</x:v>
      </x:c>
      <x:c r="D41" s="7" t="str">
        <x:f>IF(B41=C41,"PASS","CHECK")</x:f>
        <x:v>PASS</x:v>
      </x:c>
      <x:c r="E41" s="7" t="str">
        <x:v>Balanced direction.</x:v>
      </x:c>
    </x:row>
    <x:row r="42" ht="42" customHeight="1">
      <x:c r="A42" s="7" t="str">
        <x:v>Cross-task relation: right</x:v>
      </x:c>
      <x:c r="B42" s="7" t="n">
        <x:f>COUNTIFS('Evaluation Plan'!I2:I171,"Cross-task-object directional reasoning",'Evaluation Plan'!K2:K171,"right")</x:f>
        <x:v>5</x:v>
      </x:c>
      <x:c r="C42" s="7" t="n">
        <x:v>5</x:v>
      </x:c>
      <x:c r="D42" s="7" t="str">
        <x:f>IF(B42=C42,"PASS","CHECK")</x:f>
        <x:v>PASS</x:v>
      </x:c>
      <x:c r="E42" s="7" t="str">
        <x:v>Balanced direction.</x:v>
      </x:c>
    </x:row>
    <x:row r="43" ht="42" customHeight="1">
      <x:c r="A43" s="7" t="str">
        <x:v>Cross-task juggling-ball targets</x:v>
      </x:c>
      <x:c r="B43" s="7" t="n">
        <x:f>COUNTIFS('Evaluation Plan'!I2:I171,"Cross-task-object directional reasoning",'Evaluation Plan'!O2:O171,"Target")</x:f>
        <x:v>10</x:v>
      </x:c>
      <x:c r="C43" s="7" t="n">
        <x:v>10</x:v>
      </x:c>
      <x:c r="D43" s="7" t="str">
        <x:f>IF(B43=C43,"PASS","CHECK")</x:f>
        <x:v>PASS</x:v>
      </x:c>
      <x:c r="E43" s="7" t="str">
        <x:v>Two target prompts per exact-scene family.</x:v>
      </x:c>
    </x:row>
    <x:row r="44" ht="42" customHeight="1">
      <x:c r="A44" s="7" t="str">
        <x:v>Cross-task juggling-ball references</x:v>
      </x:c>
      <x:c r="B44" s="7" t="n">
        <x:f>COUNTIFS('Evaluation Plan'!I2:I171,"Cross-task-object directional reasoning",'Evaluation Plan'!O2:O171,"Reference")</x:f>
        <x:v>10</x:v>
      </x:c>
      <x:c r="C44" s="7" t="n">
        <x:v>10</x:v>
      </x:c>
      <x:c r="D44" s="7" t="str">
        <x:f>IF(B44=C44,"PASS","CHECK")</x:f>
        <x:v>PASS</x:v>
      </x:c>
      <x:c r="E44" s="7" t="str">
        <x:v>Two reference prompts per exact-scene family.</x:v>
      </x:c>
    </x:row>
    <x:row r="45" ht="42" customHeight="1">
      <x:c r="A45" s="7" t="str">
        <x:v>Cross-task three-object scenes</x:v>
      </x:c>
      <x:c r="B45" s="7" t="n">
        <x:f>COUNTIFS('Evaluation Plan'!I2:I171,"Cross-task-object directional reasoning",'Evaluation Plan'!P2:P171,3)</x:f>
        <x:v>8</x:v>
      </x:c>
      <x:c r="C45" s="7" t="n">
        <x:v>8</x:v>
      </x:c>
      <x:c r="D45" s="7" t="str">
        <x:f>IF(B45=C45,"PASS","CHECK")</x:f>
        <x:v>PASS</x:v>
      </x:c>
      <x:c r="E45" s="7" t="str">
        <x:v>Two four-row families.</x:v>
      </x:c>
    </x:row>
    <x:row r="46" ht="42" customHeight="1">
      <x:c r="A46" s="7" t="str">
        <x:v>Cross-task four-object scenes</x:v>
      </x:c>
      <x:c r="B46" s="7" t="n">
        <x:f>COUNTIFS('Evaluation Plan'!I2:I171,"Cross-task-object directional reasoning",'Evaluation Plan'!P2:P171,4)</x:f>
        <x:v>12</x:v>
      </x:c>
      <x:c r="C46" s="7" t="n">
        <x:v>12</x:v>
      </x:c>
      <x:c r="D46" s="7" t="str">
        <x:f>IF(B46=C46,"PASS","CHECK")</x:f>
        <x:v>PASS</x:v>
      </x:c>
      <x:c r="E46" s="7" t="str">
        <x:v>Three four-row families.</x:v>
      </x:c>
    </x:row>
    <x:row r="47" ht="42" customHeight="1">
      <x:c r="A47" s="7" t="str">
        <x:v>Cross-task four-way family rows</x:v>
      </x:c>
      <x:c r="B47" s="7" t="n">
        <x:f>COUNTIF('Evaluation Plan'!J2:J171,"RP-XT-CF01")+COUNTIF('Evaluation Plan'!J2:J171,"RP-XT-CF02")+COUNTIF('Evaluation Plan'!J2:J171,"RP-XT-CF03")+COUNTIF('Evaluation Plan'!J2:J171,"RP-XT-CF04")+COUNTIF('Evaluation Plan'!J2:J171,"RP-XT-CF05")</x:f>
        <x:v>20</x:v>
      </x:c>
      <x:c r="C47" s="7" t="n">
        <x:v>20</x:v>
      </x:c>
      <x:c r="D47" s="7" t="str">
        <x:f>IF(B47=C47,"PASS","CHECK")</x:f>
        <x:v>PASS</x:v>
      </x:c>
      <x:c r="E47" s="7" t="str">
        <x:v>Five adjacent four-prompt exact-scene families.</x:v>
      </x:c>
    </x:row>
    <x:row r="48" ht="42" customHeight="1">
      <x:c r="A48" s="7" t="str">
        <x:v>Already-satisfied total</x:v>
      </x:c>
      <x:c r="B48" s="7" t="n">
        <x:f>COUNTIF('Evaluation Plan'!I2:I171,"Goal already satisfied / no movement")</x:f>
        <x:v>20</x:v>
      </x:c>
      <x:c r="C48" s="7" t="n">
        <x:v>20</x:v>
      </x:c>
      <x:c r="D48" s="7" t="str">
        <x:f>IF(B48=C48,"PASS","CHECK")</x:f>
        <x:v>PASS</x:v>
      </x:c>
      <x:c r="E48" s="7" t="str">
        <x:v>Action-necessity no-action condition.</x:v>
      </x:c>
    </x:row>
    <x:row r="49" ht="42" customHeight="1">
      <x:c r="A49" s="7" t="str">
        <x:v>Violated-relation total</x:v>
      </x:c>
      <x:c r="B49" s="7" t="n">
        <x:f>COUNTIF('Evaluation Plan'!I2:I171,"Violated-relation correction control")</x:f>
        <x:v>20</x:v>
      </x:c>
      <x:c r="C49" s="7" t="n">
        <x:v>20</x:v>
      </x:c>
      <x:c r="D49" s="7" t="str">
        <x:f>IF(B49=C49,"PASS","CHECK")</x:f>
        <x:v>PASS</x:v>
      </x:c>
      <x:c r="E49" s="7" t="str">
        <x:v>Prompt-matched movement-required condition.</x:v>
      </x:c>
    </x:row>
    <x:row r="50" ht="42" customHeight="1">
      <x:c r="A50" s="7" t="str">
        <x:v>Satisfied relation: front</x:v>
      </x:c>
      <x:c r="B50" s="7" t="n">
        <x:f>COUNTIFS('Evaluation Plan'!I2:I171,"Goal already satisfied / no movement",'Evaluation Plan'!K2:K171,"front")</x:f>
        <x:v>5</x:v>
      </x:c>
      <x:c r="C50" s="7" t="n">
        <x:v>5</x:v>
      </x:c>
      <x:c r="D50" s="7" t="str">
        <x:f>IF(B50=C50,"PASS","CHECK")</x:f>
        <x:v>PASS</x:v>
      </x:c>
      <x:c r="E50" s="7" t="str">
        <x:v>Balanced direction.</x:v>
      </x:c>
    </x:row>
    <x:row r="51" ht="42" customHeight="1">
      <x:c r="A51" s="7" t="str">
        <x:v>Violated relation: front</x:v>
      </x:c>
      <x:c r="B51" s="7" t="n">
        <x:f>COUNTIFS('Evaluation Plan'!I2:I171,"Violated-relation correction control",'Evaluation Plan'!K2:K171,"front")</x:f>
        <x:v>5</x:v>
      </x:c>
      <x:c r="C51" s="7" t="n">
        <x:v>5</x:v>
      </x:c>
      <x:c r="D51" s="7" t="str">
        <x:f>IF(B51=C51,"PASS","CHECK")</x:f>
        <x:v>PASS</x:v>
      </x:c>
      <x:c r="E51" s="7" t="str">
        <x:v>Balanced direction.</x:v>
      </x:c>
    </x:row>
    <x:row r="52" ht="42" customHeight="1">
      <x:c r="A52" s="7" t="str">
        <x:v>Satisfied relation: behind</x:v>
      </x:c>
      <x:c r="B52" s="7" t="n">
        <x:f>COUNTIFS('Evaluation Plan'!I2:I171,"Goal already satisfied / no movement",'Evaluation Plan'!K2:K171,"behind")</x:f>
        <x:v>5</x:v>
      </x:c>
      <x:c r="C52" s="7" t="n">
        <x:v>5</x:v>
      </x:c>
      <x:c r="D52" s="7" t="str">
        <x:f>IF(B52=C52,"PASS","CHECK")</x:f>
        <x:v>PASS</x:v>
      </x:c>
      <x:c r="E52" s="7" t="str">
        <x:v>Balanced direction.</x:v>
      </x:c>
    </x:row>
    <x:row r="53" ht="42" customHeight="1">
      <x:c r="A53" s="7" t="str">
        <x:v>Violated relation: behind</x:v>
      </x:c>
      <x:c r="B53" s="7" t="n">
        <x:f>COUNTIFS('Evaluation Plan'!I2:I171,"Violated-relation correction control",'Evaluation Plan'!K2:K171,"behind")</x:f>
        <x:v>5</x:v>
      </x:c>
      <x:c r="C53" s="7" t="n">
        <x:v>5</x:v>
      </x:c>
      <x:c r="D53" s="7" t="str">
        <x:f>IF(B53=C53,"PASS","CHECK")</x:f>
        <x:v>PASS</x:v>
      </x:c>
      <x:c r="E53" s="7" t="str">
        <x:v>Balanced direction.</x:v>
      </x:c>
    </x:row>
    <x:row r="54" ht="42" customHeight="1">
      <x:c r="A54" s="7" t="str">
        <x:v>Satisfied relation: left</x:v>
      </x:c>
      <x:c r="B54" s="7" t="n">
        <x:f>COUNTIFS('Evaluation Plan'!I2:I171,"Goal already satisfied / no movement",'Evaluation Plan'!K2:K171,"left")</x:f>
        <x:v>5</x:v>
      </x:c>
      <x:c r="C54" s="7" t="n">
        <x:v>5</x:v>
      </x:c>
      <x:c r="D54" s="7" t="str">
        <x:f>IF(B54=C54,"PASS","CHECK")</x:f>
        <x:v>PASS</x:v>
      </x:c>
      <x:c r="E54" s="7" t="str">
        <x:v>Balanced direction.</x:v>
      </x:c>
    </x:row>
    <x:row r="55" ht="42" customHeight="1">
      <x:c r="A55" s="7" t="str">
        <x:v>Violated relation: left</x:v>
      </x:c>
      <x:c r="B55" s="7" t="n">
        <x:f>COUNTIFS('Evaluation Plan'!I2:I171,"Violated-relation correction control",'Evaluation Plan'!K2:K171,"left")</x:f>
        <x:v>5</x:v>
      </x:c>
      <x:c r="C55" s="7" t="n">
        <x:v>5</x:v>
      </x:c>
      <x:c r="D55" s="7" t="str">
        <x:f>IF(B55=C55,"PASS","CHECK")</x:f>
        <x:v>PASS</x:v>
      </x:c>
      <x:c r="E55" s="7" t="str">
        <x:v>Balanced direction.</x:v>
      </x:c>
    </x:row>
    <x:row r="56" ht="42" customHeight="1">
      <x:c r="A56" s="7" t="str">
        <x:v>Satisfied relation: right</x:v>
      </x:c>
      <x:c r="B56" s="7" t="n">
        <x:f>COUNTIFS('Evaluation Plan'!I2:I171,"Goal already satisfied / no movement",'Evaluation Plan'!K2:K171,"right")</x:f>
        <x:v>5</x:v>
      </x:c>
      <x:c r="C56" s="7" t="n">
        <x:v>5</x:v>
      </x:c>
      <x:c r="D56" s="7" t="str">
        <x:f>IF(B56=C56,"PASS","CHECK")</x:f>
        <x:v>PASS</x:v>
      </x:c>
      <x:c r="E56" s="7" t="str">
        <x:v>Balanced direction.</x:v>
      </x:c>
    </x:row>
    <x:row r="57" ht="42" customHeight="1">
      <x:c r="A57" s="7" t="str">
        <x:v>Violated relation: right</x:v>
      </x:c>
      <x:c r="B57" s="7" t="n">
        <x:f>COUNTIFS('Evaluation Plan'!I2:I171,"Violated-relation correction control",'Evaluation Plan'!K2:K171,"right")</x:f>
        <x:v>5</x:v>
      </x:c>
      <x:c r="C57" s="7" t="n">
        <x:v>5</x:v>
      </x:c>
      <x:c r="D57" s="7" t="str">
        <x:f>IF(B57=C57,"PASS","CHECK")</x:f>
        <x:v>PASS</x:v>
      </x:c>
      <x:c r="E57" s="7" t="str">
        <x:v>Balanced direction.</x:v>
      </x:c>
    </x:row>
    <x:row r="58" ht="42" customHeight="1">
      <x:c r="A58" s="7" t="str">
        <x:v>Satisfied target: green pen</x:v>
      </x:c>
      <x:c r="B58" s="7" t="n">
        <x:f>COUNTIFS('Evaluation Plan'!I2:I171,"Goal already satisfied / no movement",'Evaluation Plan'!M2:M171,"green pen")</x:f>
        <x:v>5</x:v>
      </x:c>
      <x:c r="C58" s="7" t="n">
        <x:v>5</x:v>
      </x:c>
      <x:c r="D58" s="7" t="str">
        <x:f>IF(B58=C58,"PASS","CHECK")</x:f>
        <x:v>PASS</x:v>
      </x:c>
      <x:c r="E58" s="7" t="str">
        <x:v>Balanced target identity.</x:v>
      </x:c>
    </x:row>
    <x:row r="59" ht="42" customHeight="1">
      <x:c r="A59" s="7" t="str">
        <x:v>Violated target: green pen</x:v>
      </x:c>
      <x:c r="B59" s="7" t="n">
        <x:f>COUNTIFS('Evaluation Plan'!I2:I171,"Violated-relation correction control",'Evaluation Plan'!M2:M171,"green pen")</x:f>
        <x:v>5</x:v>
      </x:c>
      <x:c r="C59" s="7" t="n">
        <x:v>5</x:v>
      </x:c>
      <x:c r="D59" s="7" t="str">
        <x:f>IF(B59=C59,"PASS","CHECK")</x:f>
        <x:v>PASS</x:v>
      </x:c>
      <x:c r="E59" s="7" t="str">
        <x:v>Balanced target identity.</x:v>
      </x:c>
    </x:row>
    <x:row r="60" ht="42" customHeight="1">
      <x:c r="A60" s="7" t="str">
        <x:v>Satisfied target: red block</x:v>
      </x:c>
      <x:c r="B60" s="7" t="n">
        <x:f>COUNTIFS('Evaluation Plan'!I2:I171,"Goal already satisfied / no movement",'Evaluation Plan'!M2:M171,"red block")</x:f>
        <x:v>5</x:v>
      </x:c>
      <x:c r="C60" s="7" t="n">
        <x:v>5</x:v>
      </x:c>
      <x:c r="D60" s="7" t="str">
        <x:f>IF(B60=C60,"PASS","CHECK")</x:f>
        <x:v>PASS</x:v>
      </x:c>
      <x:c r="E60" s="7" t="str">
        <x:v>Balanced target identity.</x:v>
      </x:c>
    </x:row>
    <x:row r="61" ht="42" customHeight="1">
      <x:c r="A61" s="7" t="str">
        <x:v>Violated target: red block</x:v>
      </x:c>
      <x:c r="B61" s="7" t="n">
        <x:f>COUNTIFS('Evaluation Plan'!I2:I171,"Violated-relation correction control",'Evaluation Plan'!M2:M171,"red block")</x:f>
        <x:v>5</x:v>
      </x:c>
      <x:c r="C61" s="7" t="n">
        <x:v>5</x:v>
      </x:c>
      <x:c r="D61" s="7" t="str">
        <x:f>IF(B61=C61,"PASS","CHECK")</x:f>
        <x:v>PASS</x:v>
      </x:c>
      <x:c r="E61" s="7" t="str">
        <x:v>Balanced target identity.</x:v>
      </x:c>
    </x:row>
    <x:row r="62" ht="42" customHeight="1">
      <x:c r="A62" s="7" t="str">
        <x:v>Satisfied target: pink marker</x:v>
      </x:c>
      <x:c r="B62" s="7" t="n">
        <x:f>COUNTIFS('Evaluation Plan'!I2:I171,"Goal already satisfied / no movement",'Evaluation Plan'!M2:M171,"pink marker")</x:f>
        <x:v>5</x:v>
      </x:c>
      <x:c r="C62" s="7" t="n">
        <x:v>5</x:v>
      </x:c>
      <x:c r="D62" s="7" t="str">
        <x:f>IF(B62=C62,"PASS","CHECK")</x:f>
        <x:v>PASS</x:v>
      </x:c>
      <x:c r="E62" s="7" t="str">
        <x:v>Balanced target identity.</x:v>
      </x:c>
    </x:row>
    <x:row r="63" ht="42" customHeight="1">
      <x:c r="A63" s="7" t="str">
        <x:v>Violated target: pink marker</x:v>
      </x:c>
      <x:c r="B63" s="7" t="n">
        <x:f>COUNTIFS('Evaluation Plan'!I2:I171,"Violated-relation correction control",'Evaluation Plan'!M2:M171,"pink marker")</x:f>
        <x:v>5</x:v>
      </x:c>
      <x:c r="C63" s="7" t="n">
        <x:v>5</x:v>
      </x:c>
      <x:c r="D63" s="7" t="str">
        <x:f>IF(B63=C63,"PASS","CHECK")</x:f>
        <x:v>PASS</x:v>
      </x:c>
      <x:c r="E63" s="7" t="str">
        <x:v>Balanced target identity.</x:v>
      </x:c>
    </x:row>
    <x:row r="64" ht="42" customHeight="1">
      <x:c r="A64" s="7" t="str">
        <x:v>Satisfied target: blue block</x:v>
      </x:c>
      <x:c r="B64" s="7" t="n">
        <x:f>COUNTIFS('Evaluation Plan'!I2:I171,"Goal already satisfied / no movement",'Evaluation Plan'!M2:M171,"blue block")</x:f>
        <x:v>5</x:v>
      </x:c>
      <x:c r="C64" s="7" t="n">
        <x:v>5</x:v>
      </x:c>
      <x:c r="D64" s="7" t="str">
        <x:f>IF(B64=C64,"PASS","CHECK")</x:f>
        <x:v>PASS</x:v>
      </x:c>
      <x:c r="E64" s="7" t="str">
        <x:v>Balanced target identity.</x:v>
      </x:c>
    </x:row>
    <x:row r="65" ht="42" customHeight="1">
      <x:c r="A65" s="7" t="str">
        <x:v>Violated target: blue block</x:v>
      </x:c>
      <x:c r="B65" s="7" t="n">
        <x:f>COUNTIFS('Evaluation Plan'!I2:I171,"Violated-relation correction control",'Evaluation Plan'!M2:M171,"blue block")</x:f>
        <x:v>5</x:v>
      </x:c>
      <x:c r="C65" s="7" t="n">
        <x:v>5</x:v>
      </x:c>
      <x:c r="D65" s="7" t="str">
        <x:f>IF(B65=C65,"PASS","CHECK")</x:f>
        <x:v>PASS</x:v>
      </x:c>
      <x:c r="E65" s="7" t="str">
        <x:v>Balanced target identity.</x:v>
      </x:c>
    </x:row>
    <x:row r="66" ht="42" customHeight="1">
      <x:c r="A66" s="7" t="str">
        <x:v>Satisfied three-object scenes</x:v>
      </x:c>
      <x:c r="B66" s="7" t="n">
        <x:f>COUNTIFS('Evaluation Plan'!I2:I171,"Goal already satisfied / no movement",'Evaluation Plan'!P2:P171,3)</x:f>
        <x:v>10</x:v>
      </x:c>
      <x:c r="C66" s="7" t="n">
        <x:v>10</x:v>
      </x:c>
      <x:c r="D66" s="7" t="str">
        <x:f>IF(B66=C66,"PASS","CHECK")</x:f>
        <x:v>PASS</x:v>
      </x:c>
      <x:c r="E66" s="7" t="str">
        <x:v>Balanced scene complexity.</x:v>
      </x:c>
    </x:row>
    <x:row r="67" ht="42" customHeight="1">
      <x:c r="A67" s="7" t="str">
        <x:v>Satisfied four-object scenes</x:v>
      </x:c>
      <x:c r="B67" s="7" t="n">
        <x:f>COUNTIFS('Evaluation Plan'!I2:I171,"Goal already satisfied / no movement",'Evaluation Plan'!P2:P171,4)</x:f>
        <x:v>10</x:v>
      </x:c>
      <x:c r="C67" s="7" t="n">
        <x:v>10</x:v>
      </x:c>
      <x:c r="D67" s="7" t="str">
        <x:f>IF(B67=C67,"PASS","CHECK")</x:f>
        <x:v>PASS</x:v>
      </x:c>
      <x:c r="E67" s="7" t="str">
        <x:v>Balanced scene complexity.</x:v>
      </x:c>
    </x:row>
    <x:row r="68" ht="42" customHeight="1">
      <x:c r="A68" s="7" t="str">
        <x:v>Violated three-object scenes</x:v>
      </x:c>
      <x:c r="B68" s="7" t="n">
        <x:f>COUNTIFS('Evaluation Plan'!I2:I171,"Violated-relation correction control",'Evaluation Plan'!P2:P171,3)</x:f>
        <x:v>10</x:v>
      </x:c>
      <x:c r="C68" s="7" t="n">
        <x:v>10</x:v>
      </x:c>
      <x:c r="D68" s="7" t="str">
        <x:f>IF(B68=C68,"PASS","CHECK")</x:f>
        <x:v>PASS</x:v>
      </x:c>
      <x:c r="E68" s="7" t="str">
        <x:v>Balanced scene complexity.</x:v>
      </x:c>
    </x:row>
    <x:row r="69" ht="42" customHeight="1">
      <x:c r="A69" s="7" t="str">
        <x:v>Violated four-object scenes</x:v>
      </x:c>
      <x:c r="B69" s="7" t="n">
        <x:f>COUNTIFS('Evaluation Plan'!I2:I171,"Violated-relation correction control",'Evaluation Plan'!P2:P171,4)</x:f>
        <x:v>10</x:v>
      </x:c>
      <x:c r="C69" s="7" t="n">
        <x:v>10</x:v>
      </x:c>
      <x:c r="D69" s="7" t="str">
        <x:f>IF(B69=C69,"PASS","CHECK")</x:f>
        <x:v>PASS</x:v>
      </x:c>
      <x:c r="E69" s="7" t="str">
        <x:v>Balanced scene complexity.</x:v>
      </x:c>
    </x:row>
    <x:row r="70" ht="42" customHeight="1">
      <x:c r="A70" s="7" t="str">
        <x:v>Initial Not collected statuses</x:v>
      </x:c>
      <x:c r="B70" s="7" t="n">
        <x:f>COUNTIF('Evaluation Plan'!A2:A171,"Not collected")</x:f>
        <x:v>170</x:v>
      </x:c>
      <x:c r="C70" s="7" t="n">
        <x:v>170</x:v>
      </x:c>
      <x:c r="D70" s="7" t="str">
        <x:f>IF(B70=C70,"PASS","CHECK")</x:f>
        <x:v>PASS</x:v>
      </x:c>
      <x:c r="E70" s="7" t="str">
        <x:v>Blank evaluation copy.</x:v>
      </x:c>
    </x:row>
    <x:row r="71" ht="42" customHeight="1">
      <x:c r="A71" s="7" t="str">
        <x:v>Minimum episode</x:v>
      </x:c>
      <x:c r="B71" s="7" t="n">
        <x:f>MIN('Evaluation Plan'!B2:B171)</x:f>
        <x:v>0</x:v>
      </x:c>
      <x:c r="C71" s="7" t="n">
        <x:v>0</x:v>
      </x:c>
      <x:c r="D71" s="7" t="str">
        <x:f>IF(B71=C71,"PASS","CHECK")</x:f>
        <x:v>PASS</x:v>
      </x:c>
      <x:c r="E71" s="7" t="str">
        <x:v>No gaps.</x:v>
      </x:c>
    </x:row>
    <x:row r="72" ht="42" customHeight="1">
      <x:c r="A72" s="7" t="str">
        <x:v>Maximum episode</x:v>
      </x:c>
      <x:c r="B72" s="7" t="n">
        <x:f>MAX('Evaluation Plan'!B2:B171)</x:f>
        <x:v>169</x:v>
      </x:c>
      <x:c r="C72" s="7" t="n">
        <x:v>169</x:v>
      </x:c>
      <x:c r="D72" s="7" t="str">
        <x:f>IF(B72=C72,"PASS","CHECK")</x:f>
        <x:v>PASS</x:v>
      </x:c>
      <x:c r="E72" s="7" t="str">
        <x:v>No gaps.</x:v>
      </x:c>
    </x:row>
  </x:sheetData>
  <x:conditionalFormatting sqref="D2:D50">
    <x:cfRule type="containsText" dxfId="8" priority="1" operator="containsText" text="PASS"/>
    <x:cfRule type="containsText" dxfId="9" priority="2" operator="containsText" text="CHECK"/>
  </x:conditionalFormatting>
  <x:conditionalFormatting sqref="D2:D49">
    <x:cfRule type="containsText" dxfId="43" priority="3" operator="containsText" text="PASS"/>
    <x:cfRule type="containsText" dxfId="44" priority="4" operator="containsText" text="CHECK"/>
  </x:conditionalFormatting>
  <x:conditionalFormatting sqref="D2:D72">
    <x:cfRule type="containsText" dxfId="81" priority="5" operator="containsText" text="PASS"/>
    <x:cfRule type="containsText" dxfId="82" priority="6" operator="containsText" text="CHECK"/>
  </x:conditionalFormatting>
  <x:pageMargins left="0.7" right="0.7" top="0.75" bottom="0.75" header="0.3" footer="0.3"/>
  <x:tableParts count="1">
    <x:tablePart xmlns:r="http://schemas.openxmlformats.org/officeDocument/2006/relationships" r:id="R9b941484ed1f40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40" t="str">
        <x:v>Status</x:v>
      </x:c>
      <x:c r="B1" s="40" t="str">
        <x:v>Episode</x:v>
      </x:c>
      <x:c r="C1" s="40" t="str">
        <x:v>Prompt</x:v>
      </x:c>
      <x:c r="D1" s="40" t="str">
        <x:v>Scene Setup (P1-P4)</x:v>
      </x:c>
      <x:c r="E1" s="40" t="str">
        <x:v>Reference Episode</x:v>
      </x:c>
      <x:c r="F1" s="40" t="str">
        <x:v>Original Training Episode(s)</x:v>
      </x:c>
      <x:c r="G1" s="40" t="str">
        <x:v>Expected Target / Placement</x:v>
      </x:c>
      <x:c r="H1" s="40" t="str">
        <x:v>Observations</x:v>
      </x:c>
      <x:c r="I1" s="40" t="str">
        <x:v>Condition</x:v>
      </x:c>
      <x:c r="J1" s="40" t="str">
        <x:v>Scene Family</x:v>
      </x:c>
      <x:c r="K1" s="40" t="str">
        <x:v>Relation</x:v>
      </x:c>
      <x:c r="L1" s="40" t="str">
        <x:v>Comparison / Subtype</x:v>
      </x:c>
      <x:c r="M1" s="40" t="str">
        <x:v>Target Object</x:v>
      </x:c>
      <x:c r="N1" s="40" t="str">
        <x:v>Reference Object</x:v>
      </x:c>
      <x:c r="O1" s="40" t="str">
        <x:v>Juggling Ball Role</x:v>
      </x:c>
      <x:c r="P1" s="40" t="str">
        <x:v>Object Count</x:v>
      </x:c>
      <x:c r="Q1" s="40" t="str">
        <x:v>Setup Change from Previous</x:v>
      </x:c>
      <x:c r="R1" s="40" t="str">
        <x:v>Design Note</x:v>
      </x:c>
      <x:c r="S1" s="40"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RP-CT-CF01</x:v>
      </x:c>
      <x:c r="K22" s="9" t="str">
        <x:f>'Evaluation Plan'!K22</x:f>
        <x:v>front</x:v>
      </x:c>
      <x:c r="L22" s="9" t="str">
        <x:f>'Evaluation Plan'!L22</x:f>
        <x:v>Four-way held-out counterfactual: relation polarity × target/reference role</x:v>
      </x:c>
      <x:c r="M22" s="9" t="str">
        <x:f>'Evaluation Plan'!M22</x:f>
        <x:v>green pen</x:v>
      </x:c>
      <x:c r="N22" s="9" t="str">
        <x:f>'Evaluation Plan'!N22</x:f>
        <x:v>red block</x:v>
      </x:c>
      <x:c r="O22" s="9" t="str">
        <x:f>'Evaluation Plan'!O22</x:f>
        <x:v>None</x:v>
      </x:c>
      <x:c r="P22" s="9" t="n">
        <x:f>'Evaluation Plan'!P22</x:f>
        <x:v>3</x:v>
      </x:c>
      <x:c r="Q22" s="9" t="str">
        <x:f>'Evaluation Plan'!Q22</x:f>
        <x:v>Build the listed neutral-axis scene and save the first frame.</x:v>
      </x:c>
      <x:c r="R22" s="10" t="str">
        <x:f>'Evaluation Plan'!R22</x:f>
        <x:v>The directional word × ordered green-pen/red-block role is held out. Source episode 201 supplies the same target manipulation under a trained near/next-to/beside prompt. The orthogonal start prevents an inverse-start shortcut.</x:v>
      </x:c>
      <x:c r="S22" s="10" t="str">
        <x:f>IF(ISBLANK('Evaluation Plan'!S22),"",'Evaluation Plan'!S22)</x:f>
      </x:c>
    </x:row>
    <x:row r="23" ht="72" customHeight="1">
      <x:c r="A23" s="24" t="str">
        <x:v>Not collected</x:v>
      </x:c>
      <x:c r="B23" s="24" t="n">
        <x:f>'Evaluation Plan'!B23</x:f>
        <x:v>21</x:v>
      </x:c>
      <x:c r="C23" s="25" t="str">
        <x:f>'Evaluation Plan'!C23</x:f>
        <x:v>Place the green pen behind the red block.</x:v>
      </x:c>
      <x:c r="D23" s="25" t="str">
        <x:f>'Evaluation Plan'!D23</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3" s="24" t="n">
        <x:f>IF(ISBLANK('Evaluation Plan'!E23),"",'Evaluation Plan'!E23)</x:f>
        <x:v>20</x:v>
      </x:c>
      <x:c r="F23" s="24" t="str">
        <x:f>'Evaluation Plan'!F23</x:f>
        <x:v>213</x:v>
      </x:c>
      <x:c r="G23" s="24" t="str">
        <x:f>'Evaluation Plan'!G23</x:f>
        <x:v>green pen → 2–8 cm edge gap behind red block; centroid direction within ±45°.</x:v>
      </x:c>
      <x:c r="H23" s="25"/>
      <x:c r="I23" s="24" t="str">
        <x:f>'Evaluation Plan'!I23</x:f>
        <x:v>Concept/compositional transfer</x:v>
      </x:c>
      <x:c r="J23" s="24" t="str">
        <x:f>'Evaluation Plan'!J23</x:f>
        <x:v>RP-CT-CF01</x:v>
      </x:c>
      <x:c r="K23" s="24" t="str">
        <x:f>'Evaluation Plan'!K23</x:f>
        <x:v>behind</x:v>
      </x:c>
      <x:c r="L23" s="24" t="str">
        <x:f>'Evaluation Plan'!L23</x:f>
        <x:v>Four-way held-out counterfactual: relation polarity × target/reference role</x:v>
      </x:c>
      <x:c r="M23" s="24" t="str">
        <x:f>'Evaluation Plan'!M23</x:f>
        <x:v>green pen</x:v>
      </x:c>
      <x:c r="N23" s="24" t="str">
        <x:f>'Evaluation Plan'!N23</x:f>
        <x:v>red block</x:v>
      </x:c>
      <x:c r="O23" s="24" t="str">
        <x:f>'Evaluation Plan'!O23</x:f>
        <x:v>None</x:v>
      </x:c>
      <x:c r="P23" s="24" t="n">
        <x:f>'Evaluation Plan'!P23</x:f>
        <x:v>3</x:v>
      </x:c>
      <x:c r="Q23" s="24" t="str">
        <x:f>'Evaluation Plan'!Q23</x:f>
        <x:v>Reset both core objects to their marked poses; preserve distractors, camera, and robot start; change only the instruction.</x:v>
      </x:c>
      <x:c r="R23" s="25" t="str">
        <x:f>'Evaluation Plan'!R23</x:f>
        <x:v>The directional word × ordered green-pen/red-block role is held out. Source episode 213 supplies the same target manipulation under a trained near/next-to/beside prompt. The orthogonal start prevents an inverse-start shortcut.</x:v>
      </x:c>
      <x:c r="S23" s="25" t="str">
        <x:f>IF(ISBLANK('Evaluation Plan'!S23),"",'Evaluation Plan'!S23)</x:f>
      </x:c>
    </x:row>
    <x:row r="24" ht="72" customHeight="1">
      <x:c r="A24" s="24" t="str">
        <x:v>Not collected</x:v>
      </x:c>
      <x:c r="B24" s="24" t="n">
        <x:f>'Evaluation Plan'!B24</x:f>
        <x:v>22</x:v>
      </x:c>
      <x:c r="C24" s="25" t="str">
        <x:f>'Evaluation Plan'!C24</x:f>
        <x:v>Place the red block in front of the green pen.</x:v>
      </x:c>
      <x:c r="D24" s="25" t="str">
        <x:f>'Evaluation Plan'!D24</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4" s="24" t="n">
        <x:f>IF(ISBLANK('Evaluation Plan'!E24),"",'Evaluation Plan'!E24)</x:f>
        <x:v>20</x:v>
      </x:c>
      <x:c r="F24" s="24" t="str">
        <x:f>'Evaluation Plan'!F24</x:f>
        <x:v>259</x:v>
      </x:c>
      <x:c r="G24" s="24" t="str">
        <x:f>'Evaluation Plan'!G24</x:f>
        <x:v>red block → 2–8 cm edge gap in front of green pen; centroid direction within ±45°.</x:v>
      </x:c>
      <x:c r="H24" s="25"/>
      <x:c r="I24" s="24" t="str">
        <x:f>'Evaluation Plan'!I24</x:f>
        <x:v>Concept/compositional transfer</x:v>
      </x:c>
      <x:c r="J24" s="24" t="str">
        <x:f>'Evaluation Plan'!J24</x:f>
        <x:v>RP-CT-CF01</x:v>
      </x:c>
      <x:c r="K24" s="24" t="str">
        <x:f>'Evaluation Plan'!K24</x:f>
        <x:v>front</x:v>
      </x:c>
      <x:c r="L24" s="24" t="str">
        <x:f>'Evaluation Plan'!L24</x:f>
        <x:v>Four-way held-out counterfactual: relation polarity × target/reference role</x:v>
      </x:c>
      <x:c r="M24" s="24" t="str">
        <x:f>'Evaluation Plan'!M24</x:f>
        <x:v>red block</x:v>
      </x:c>
      <x:c r="N24" s="24" t="str">
        <x:f>'Evaluation Plan'!N24</x:f>
        <x:v>green pen</x:v>
      </x:c>
      <x:c r="O24" s="24" t="str">
        <x:f>'Evaluation Plan'!O24</x:f>
        <x:v>None</x:v>
      </x:c>
      <x:c r="P24" s="24" t="n">
        <x:f>'Evaluation Plan'!P24</x:f>
        <x:v>3</x:v>
      </x:c>
      <x:c r="Q24" s="24" t="str">
        <x:f>'Evaluation Plan'!Q24</x:f>
        <x:v>Reset both core objects to their marked poses; preserve distractors, camera, and robot start; change only the instruction.</x:v>
      </x:c>
      <x:c r="R24" s="25" t="str">
        <x:f>'Evaluation Plan'!R24</x:f>
        <x:v>The directional word × ordered green-pen/red-block role is held out. Source episode 259 supplies the same target manipulation under a trained near/next-to/beside prompt. The orthogonal start prevents an inverse-start shortcut.</x:v>
      </x:c>
      <x:c r="S24" s="25" t="str">
        <x:f>IF(ISBLANK('Evaluation Plan'!S24),"",'Evaluation Plan'!S24)</x:f>
      </x:c>
    </x:row>
    <x:row r="25" ht="72" customHeight="1">
      <x:c r="A25" s="24" t="str">
        <x:v>Not collected</x:v>
      </x:c>
      <x:c r="B25" s="24" t="n">
        <x:f>'Evaluation Plan'!B25</x:f>
        <x:v>23</x:v>
      </x:c>
      <x:c r="C25" s="25" t="str">
        <x:f>'Evaluation Plan'!C25</x:f>
        <x:v>Place the red block behind the green pen.</x:v>
      </x:c>
      <x:c r="D25" s="25" t="str">
        <x:f>'Evaluation Plan'!D25</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5" s="24" t="n">
        <x:f>IF(ISBLANK('Evaluation Plan'!E25),"",'Evaluation Plan'!E25)</x:f>
        <x:v>20</x:v>
      </x:c>
      <x:c r="F25" s="24" t="str">
        <x:f>'Evaluation Plan'!F25</x:f>
        <x:v>272</x:v>
      </x:c>
      <x:c r="G25" s="24" t="str">
        <x:f>'Evaluation Plan'!G25</x:f>
        <x:v>red block → 2–8 cm edge gap behind green pen; centroid direction within ±45°.</x:v>
      </x:c>
      <x:c r="H25" s="25"/>
      <x:c r="I25" s="24" t="str">
        <x:f>'Evaluation Plan'!I25</x:f>
        <x:v>Concept/compositional transfer</x:v>
      </x:c>
      <x:c r="J25" s="24" t="str">
        <x:f>'Evaluation Plan'!J25</x:f>
        <x:v>RP-CT-CF01</x:v>
      </x:c>
      <x:c r="K25" s="24" t="str">
        <x:f>'Evaluation Plan'!K25</x:f>
        <x:v>behind</x:v>
      </x:c>
      <x:c r="L25" s="24" t="str">
        <x:f>'Evaluation Plan'!L25</x:f>
        <x:v>Four-way held-out counterfactual: relation polarity × target/reference role</x:v>
      </x:c>
      <x:c r="M25" s="24" t="str">
        <x:f>'Evaluation Plan'!M25</x:f>
        <x:v>red block</x:v>
      </x:c>
      <x:c r="N25" s="24" t="str">
        <x:f>'Evaluation Plan'!N25</x:f>
        <x:v>green pen</x:v>
      </x:c>
      <x:c r="O25" s="24" t="str">
        <x:f>'Evaluation Plan'!O25</x:f>
        <x:v>None</x:v>
      </x:c>
      <x:c r="P25" s="24" t="n">
        <x:f>'Evaluation Plan'!P25</x:f>
        <x:v>3</x:v>
      </x:c>
      <x:c r="Q25" s="24" t="str">
        <x:f>'Evaluation Plan'!Q25</x:f>
        <x:v>Reset both core objects to their marked poses; preserve distractors, camera, and robot start; change only the instruction.</x:v>
      </x:c>
      <x:c r="R25" s="25" t="str">
        <x:f>'Evaluation Plan'!R25</x:f>
        <x:v>The directional word × ordered green-pen/red-block role is held out. Source episode 272 supplies the same target manipulation under a trained near/next-to/beside prompt. The orthogonal start prevents an inverse-start shortcut.</x:v>
      </x:c>
      <x:c r="S25" s="25" t="str">
        <x:f>IF(ISBLANK('Evaluation Plan'!S25),"",'Evaluation Plan'!S25)</x:f>
      </x:c>
    </x:row>
    <x:row r="26" ht="72" customHeight="1">
      <x:c r="A26" s="9" t="str">
        <x:v>Not collected</x:v>
      </x:c>
      <x:c r="B26" s="9" t="n">
        <x:f>'Evaluation Plan'!B26</x:f>
        <x:v>24</x:v>
      </x:c>
      <x:c r="C26" s="10" t="str">
        <x:f>'Evaluation Plan'!C26</x:f>
        <x:v>Place the green pen in front of the red block.</x:v>
      </x:c>
      <x:c r="D26" s="10" t="str">
        <x:f>'Evaluation Plan'!D26</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6" s="9" t="str">
        <x:f>IF(ISBLANK('Evaluation Plan'!E26),"",'Evaluation Plan'!E26)</x:f>
      </x:c>
      <x:c r="F26" s="9" t="str">
        <x:f>'Evaluation Plan'!F26</x:f>
        <x:v>202</x:v>
      </x:c>
      <x:c r="G26" s="9" t="str">
        <x:f>'Evaluation Plan'!G26</x:f>
        <x:v>green pen → 2–8 cm edge gap in front of red block; centroid direction within ±45°.</x:v>
      </x:c>
      <x:c r="H26" s="10"/>
      <x:c r="I26" s="9" t="str">
        <x:f>'Evaluation Plan'!I26</x:f>
        <x:v>Concept/compositional transfer</x:v>
      </x:c>
      <x:c r="J26" s="9" t="str">
        <x:f>'Evaluation Plan'!J26</x:f>
        <x:v>RP-CT-CF02</x:v>
      </x:c>
      <x:c r="K26" s="9" t="str">
        <x:f>'Evaluation Plan'!K26</x:f>
        <x:v>front</x:v>
      </x:c>
      <x:c r="L26" s="9" t="str">
        <x:f>'Evaluation Plan'!L26</x:f>
        <x:v>Four-way held-out counterfactual: relation polarity × target/reference role</x:v>
      </x:c>
      <x:c r="M26" s="9" t="str">
        <x:f>'Evaluation Plan'!M26</x:f>
        <x:v>green pen</x:v>
      </x:c>
      <x:c r="N26" s="9" t="str">
        <x:f>'Evaluation Plan'!N26</x:f>
        <x:v>red block</x:v>
      </x:c>
      <x:c r="O26" s="9" t="str">
        <x:f>'Evaluation Plan'!O26</x:f>
        <x:v>None</x:v>
      </x:c>
      <x:c r="P26" s="9" t="n">
        <x:f>'Evaluation Plan'!P26</x:f>
        <x:v>4</x:v>
      </x:c>
      <x:c r="Q26" s="9" t="str">
        <x:f>'Evaluation Plan'!Q26</x:f>
        <x:v>Build the listed neutral-axis scene and save the first frame.</x:v>
      </x:c>
      <x:c r="R26" s="10" t="str">
        <x:f>'Evaluation Plan'!R26</x:f>
        <x:v>The directional word × ordered green-pen/red-block role is held out. Source episode 202 supplies the same target manipulation under a trained near/next-to/beside prompt. The orthogonal start prevents an inverse-start shortcut.</x:v>
      </x:c>
      <x:c r="S26" s="10" t="str">
        <x:f>IF(ISBLANK('Evaluation Plan'!S26),"",'Evaluation Plan'!S26)</x:f>
      </x:c>
    </x:row>
    <x:row r="27" ht="72" customHeight="1">
      <x:c r="A27" s="24" t="str">
        <x:v>Not collected</x:v>
      </x:c>
      <x:c r="B27" s="24" t="n">
        <x:f>'Evaluation Plan'!B27</x:f>
        <x:v>25</x:v>
      </x:c>
      <x:c r="C27" s="25" t="str">
        <x:f>'Evaluation Plan'!C27</x:f>
        <x:v>Place the green pen behind the red block.</x:v>
      </x:c>
      <x:c r="D27" s="25" t="str">
        <x:f>'Evaluation Plan'!D27</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7" s="24" t="n">
        <x:f>IF(ISBLANK('Evaluation Plan'!E27),"",'Evaluation Plan'!E27)</x:f>
        <x:v>24</x:v>
      </x:c>
      <x:c r="F27" s="24" t="str">
        <x:f>'Evaluation Plan'!F27</x:f>
        <x:v>214</x:v>
      </x:c>
      <x:c r="G27" s="24" t="str">
        <x:f>'Evaluation Plan'!G27</x:f>
        <x:v>green pen → 2–8 cm edge gap behind red block; centroid direction within ±45°.</x:v>
      </x:c>
      <x:c r="H27" s="25"/>
      <x:c r="I27" s="24" t="str">
        <x:f>'Evaluation Plan'!I27</x:f>
        <x:v>Concept/compositional transfer</x:v>
      </x:c>
      <x:c r="J27" s="24" t="str">
        <x:f>'Evaluation Plan'!J27</x:f>
        <x:v>RP-CT-CF02</x:v>
      </x:c>
      <x:c r="K27" s="24" t="str">
        <x:f>'Evaluation Plan'!K27</x:f>
        <x:v>behind</x:v>
      </x:c>
      <x:c r="L27" s="24" t="str">
        <x:f>'Evaluation Plan'!L27</x:f>
        <x:v>Four-way held-out counterfactual: relation polarity × target/reference role</x:v>
      </x:c>
      <x:c r="M27" s="24" t="str">
        <x:f>'Evaluation Plan'!M27</x:f>
        <x:v>green pen</x:v>
      </x:c>
      <x:c r="N27" s="24" t="str">
        <x:f>'Evaluation Plan'!N27</x:f>
        <x:v>red block</x:v>
      </x:c>
      <x:c r="O27" s="24" t="str">
        <x:f>'Evaluation Plan'!O27</x:f>
        <x:v>None</x:v>
      </x:c>
      <x:c r="P27" s="24" t="n">
        <x:f>'Evaluation Plan'!P27</x:f>
        <x:v>4</x:v>
      </x:c>
      <x:c r="Q27" s="24" t="str">
        <x:f>'Evaluation Plan'!Q27</x:f>
        <x:v>Reset both core objects to their marked poses; preserve distractors, camera, and robot start; change only the instruction.</x:v>
      </x:c>
      <x:c r="R27" s="25" t="str">
        <x:f>'Evaluation Plan'!R27</x:f>
        <x:v>The directional word × ordered green-pen/red-block role is held out. Source episode 214 supplies the same target manipulation under a trained near/next-to/beside prompt. The orthogonal start prevents an inverse-start shortcut.</x:v>
      </x:c>
      <x:c r="S27" s="25" t="str">
        <x:f>IF(ISBLANK('Evaluation Plan'!S27),"",'Evaluation Plan'!S27)</x:f>
      </x:c>
    </x:row>
    <x:row r="28" ht="72" customHeight="1">
      <x:c r="A28" s="24" t="str">
        <x:v>Not collected</x:v>
      </x:c>
      <x:c r="B28" s="24" t="n">
        <x:f>'Evaluation Plan'!B28</x:f>
        <x:v>26</x:v>
      </x:c>
      <x:c r="C28" s="25" t="str">
        <x:f>'Evaluation Plan'!C28</x:f>
        <x:v>Place the red block in front of the green pen.</x:v>
      </x:c>
      <x:c r="D28" s="25" t="str">
        <x:f>'Evaluation Plan'!D28</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Concept/compositional transfer</x:v>
      </x:c>
      <x:c r="J28" s="24" t="str">
        <x:f>'Evaluation Plan'!J28</x:f>
        <x:v>RP-CT-CF02</x:v>
      </x:c>
      <x:c r="K28" s="24" t="str">
        <x:f>'Evaluation Plan'!K28</x:f>
        <x:v>front</x:v>
      </x:c>
      <x:c r="L28" s="24" t="str">
        <x:f>'Evaluation Plan'!L28</x:f>
        <x:v>Four-way held-out counterfactual: relation polarity × target/reference role</x:v>
      </x:c>
      <x:c r="M28" s="24" t="str">
        <x:f>'Evaluation Plan'!M28</x:f>
        <x:v>red block</x:v>
      </x:c>
      <x:c r="N28" s="24" t="str">
        <x:f>'Evaluation Plan'!N28</x:f>
        <x:v>green pen</x:v>
      </x:c>
      <x:c r="O28" s="24" t="str">
        <x:f>'Evaluation Plan'!O28</x:f>
        <x:v>None</x:v>
      </x:c>
      <x:c r="P28" s="24" t="n">
        <x:f>'Evaluation Plan'!P28</x:f>
        <x:v>4</x:v>
      </x:c>
      <x:c r="Q28" s="24" t="str">
        <x:f>'Evaluation Plan'!Q28</x:f>
        <x:v>Reset both core objects to their marked poses; preserve distractors, camera, and robot start; change only the instruction.</x:v>
      </x:c>
      <x:c r="R28" s="25" t="str">
        <x:f>'Evaluation Plan'!R28</x:f>
        <x:v>The directional word × ordered green-pen/red-block role is held out. Source episode 260 supplies the same target manipulation under a trained near/next-to/beside prompt. The orthogonal start prevents an inverse-start shortcut.</x:v>
      </x:c>
      <x:c r="S28" s="25" t="str">
        <x:f>IF(ISBLANK('Evaluation Plan'!S28),"",'Evaluation Plan'!S28)</x:f>
      </x:c>
    </x:row>
    <x:row r="29" ht="72" customHeight="1">
      <x:c r="A29" s="24" t="str">
        <x:v>Not collected</x:v>
      </x:c>
      <x:c r="B29" s="24" t="n">
        <x:f>'Evaluation Plan'!B29</x:f>
        <x:v>27</x:v>
      </x:c>
      <x:c r="C29" s="25" t="str">
        <x:f>'Evaluation Plan'!C29</x:f>
        <x:v>Place the red block behind the green pen.</x:v>
      </x:c>
      <x:c r="D29" s="25" t="str">
        <x:f>'Evaluation Plan'!D29</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9" s="24" t="n">
        <x:f>IF(ISBLANK('Evaluation Plan'!E29),"",'Evaluation Plan'!E29)</x:f>
        <x:v>24</x:v>
      </x:c>
      <x:c r="F29" s="24" t="str">
        <x:f>'Evaluation Plan'!F29</x:f>
        <x:v>273</x:v>
      </x:c>
      <x:c r="G29" s="24" t="str">
        <x:f>'Evaluation Plan'!G29</x:f>
        <x:v>red block → 2–8 cm edge gap behind green pen; centroid direction within ±45°.</x:v>
      </x:c>
      <x:c r="H29" s="25"/>
      <x:c r="I29" s="24" t="str">
        <x:f>'Evaluation Plan'!I29</x:f>
        <x:v>Concept/compositional transfer</x:v>
      </x:c>
      <x:c r="J29" s="24" t="str">
        <x:f>'Evaluation Plan'!J29</x:f>
        <x:v>RP-CT-CF02</x:v>
      </x:c>
      <x:c r="K29" s="24" t="str">
        <x:f>'Evaluation Plan'!K29</x:f>
        <x:v>behind</x:v>
      </x:c>
      <x:c r="L29" s="24" t="str">
        <x:f>'Evaluation Plan'!L29</x:f>
        <x:v>Four-way held-out counterfactual: relation polarity × target/reference role</x:v>
      </x:c>
      <x:c r="M29" s="24" t="str">
        <x:f>'Evaluation Plan'!M29</x:f>
        <x:v>red block</x:v>
      </x:c>
      <x:c r="N29" s="24" t="str">
        <x:f>'Evaluation Plan'!N29</x:f>
        <x:v>green pen</x:v>
      </x:c>
      <x:c r="O29" s="24" t="str">
        <x:f>'Evaluation Plan'!O29</x:f>
        <x:v>None</x:v>
      </x:c>
      <x:c r="P29" s="24" t="n">
        <x:f>'Evaluation Plan'!P29</x:f>
        <x:v>4</x:v>
      </x:c>
      <x:c r="Q29" s="24" t="str">
        <x:f>'Evaluation Plan'!Q29</x:f>
        <x:v>Reset both core objects to their marked poses; preserve distractors, camera, and robot start; change only the instruction.</x:v>
      </x:c>
      <x:c r="R29" s="25" t="str">
        <x:f>'Evaluation Plan'!R29</x:f>
        <x:v>The directional word × ordered green-pen/red-block role is held out. Source episode 273 supplies the same target manipulation under a trained near/next-to/beside prompt. The orthogonal start prevents an inverse-start shortcut.</x:v>
      </x:c>
      <x:c r="S29" s="25" t="str">
        <x:f>IF(ISBLANK('Evaluation Plan'!S29),"",'Evaluation Plan'!S29)</x:f>
      </x:c>
    </x:row>
    <x:row r="30" ht="72" customHeight="1">
      <x:c r="A30" s="9" t="str">
        <x:v>Not collected</x:v>
      </x:c>
      <x:c r="B30" s="9" t="n">
        <x:f>'Evaluation Plan'!B30</x:f>
        <x:v>28</x:v>
      </x:c>
      <x:c r="C30" s="10" t="str">
        <x:f>'Evaluation Plan'!C30</x:f>
        <x:v>Place the green pen in front of the red block.</x:v>
      </x:c>
      <x:c r="D30" s="10" t="str">
        <x:f>'Evaluation Plan'!D30</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0" s="9" t="str">
        <x:f>IF(ISBLANK('Evaluation Plan'!E30),"",'Evaluation Plan'!E30)</x:f>
      </x:c>
      <x:c r="F30" s="9" t="str">
        <x:f>'Evaluation Plan'!F30</x:f>
        <x:v>203</x:v>
      </x:c>
      <x:c r="G30" s="9" t="str">
        <x:f>'Evaluation Plan'!G30</x:f>
        <x:v>green pen → 2–8 cm edge gap in front of red block; centroid direction within ±45°.</x:v>
      </x:c>
      <x:c r="H30" s="10"/>
      <x:c r="I30" s="9" t="str">
        <x:f>'Evaluation Plan'!I30</x:f>
        <x:v>Concept/compositional transfer</x:v>
      </x:c>
      <x:c r="J30" s="9" t="str">
        <x:f>'Evaluation Plan'!J30</x:f>
        <x:v>RP-CT-CF03</x:v>
      </x:c>
      <x:c r="K30" s="9" t="str">
        <x:f>'Evaluation Plan'!K30</x:f>
        <x:v>front</x:v>
      </x:c>
      <x:c r="L30" s="9" t="str">
        <x:f>'Evaluation Plan'!L30</x:f>
        <x:v>Four-way held-out counterfactual: relation polarity × target/reference role</x:v>
      </x:c>
      <x:c r="M30" s="9" t="str">
        <x:f>'Evaluation Plan'!M30</x:f>
        <x:v>green pen</x:v>
      </x:c>
      <x:c r="N30" s="9" t="str">
        <x:f>'Evaluation Plan'!N30</x:f>
        <x:v>red block</x:v>
      </x:c>
      <x:c r="O30" s="9" t="str">
        <x:f>'Evaluation Plan'!O30</x:f>
        <x:v>None</x:v>
      </x:c>
      <x:c r="P30" s="9" t="n">
        <x:f>'Evaluation Plan'!P30</x:f>
        <x:v>3</x:v>
      </x:c>
      <x:c r="Q30" s="9" t="str">
        <x:f>'Evaluation Plan'!Q30</x:f>
        <x:v>Build the listed neutral-axis scene and save the first frame.</x:v>
      </x:c>
      <x:c r="R30" s="10" t="str">
        <x:f>'Evaluation Plan'!R30</x:f>
        <x:v>The directional word × ordered green-pen/red-block role is held out. Source episode 203 supplies the same target manipulation under a trained near/next-to/beside prompt. The orthogonal start prevents an inverse-start shortcut.</x:v>
      </x:c>
      <x:c r="S30" s="10" t="str">
        <x:f>IF(ISBLANK('Evaluation Plan'!S30),"",'Evaluation Plan'!S30)</x:f>
      </x:c>
    </x:row>
    <x:row r="31" ht="72" customHeight="1">
      <x:c r="A31" s="24" t="str">
        <x:v>Not collected</x:v>
      </x:c>
      <x:c r="B31" s="24" t="n">
        <x:f>'Evaluation Plan'!B31</x:f>
        <x:v>29</x:v>
      </x:c>
      <x:c r="C31" s="25" t="str">
        <x:f>'Evaluation Plan'!C31</x:f>
        <x:v>Place the green pen behind the red block.</x:v>
      </x:c>
      <x:c r="D31" s="25" t="str">
        <x:f>'Evaluation Plan'!D31</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1" s="24" t="n">
        <x:f>IF(ISBLANK('Evaluation Plan'!E31),"",'Evaluation Plan'!E31)</x:f>
        <x:v>28</x:v>
      </x:c>
      <x:c r="F31" s="24" t="str">
        <x:f>'Evaluation Plan'!F31</x:f>
        <x:v>215</x:v>
      </x:c>
      <x:c r="G31" s="24" t="str">
        <x:f>'Evaluation Plan'!G31</x:f>
        <x:v>green pen → 2–8 cm edge gap behind red block; centroid direction within ±45°.</x:v>
      </x:c>
      <x:c r="H31" s="25"/>
      <x:c r="I31" s="24" t="str">
        <x:f>'Evaluation Plan'!I31</x:f>
        <x:v>Concept/compositional transfer</x:v>
      </x:c>
      <x:c r="J31" s="24" t="str">
        <x:f>'Evaluation Plan'!J31</x:f>
        <x:v>RP-CT-CF03</x:v>
      </x:c>
      <x:c r="K31" s="24" t="str">
        <x:f>'Evaluation Plan'!K31</x:f>
        <x:v>behind</x:v>
      </x:c>
      <x:c r="L31" s="24" t="str">
        <x:f>'Evaluation Plan'!L31</x:f>
        <x:v>Four-way held-out counterfactual: relation polarity × target/reference role</x:v>
      </x:c>
      <x:c r="M31" s="24" t="str">
        <x:f>'Evaluation Plan'!M31</x:f>
        <x:v>green pen</x:v>
      </x:c>
      <x:c r="N31" s="24" t="str">
        <x:f>'Evaluation Plan'!N31</x:f>
        <x:v>red block</x:v>
      </x:c>
      <x:c r="O31" s="24" t="str">
        <x:f>'Evaluation Plan'!O31</x:f>
        <x:v>None</x:v>
      </x:c>
      <x:c r="P31" s="24" t="n">
        <x:f>'Evaluation Plan'!P31</x:f>
        <x:v>3</x:v>
      </x:c>
      <x:c r="Q31" s="24" t="str">
        <x:f>'Evaluation Plan'!Q31</x:f>
        <x:v>Reset both core objects to their marked poses; preserve distractors, camera, and robot start; change only the instruction.</x:v>
      </x:c>
      <x:c r="R31" s="25" t="str">
        <x:f>'Evaluation Plan'!R31</x:f>
        <x:v>The directional word × ordered green-pen/red-block role is held out. Source episode 215 supplies the same target manipulation under a trained near/next-to/beside prompt. The orthogonal start prevents an inverse-start shortcut.</x:v>
      </x:c>
      <x:c r="S31" s="25" t="str">
        <x:f>IF(ISBLANK('Evaluation Plan'!S31),"",'Evaluation Plan'!S31)</x:f>
      </x:c>
    </x:row>
    <x:row r="32" ht="72" customHeight="1">
      <x:c r="A32" s="24" t="str">
        <x:v>Not collected</x:v>
      </x:c>
      <x:c r="B32" s="24" t="n">
        <x:f>'Evaluation Plan'!B32</x:f>
        <x:v>30</x:v>
      </x:c>
      <x:c r="C32" s="25" t="str">
        <x:f>'Evaluation Plan'!C32</x:f>
        <x:v>Place the red block in front of the green pen.</x:v>
      </x:c>
      <x:c r="D32" s="25" t="str">
        <x:f>'Evaluation Plan'!D32</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2" s="24" t="n">
        <x:f>IF(ISBLANK('Evaluation Plan'!E32),"",'Evaluation Plan'!E32)</x:f>
        <x:v>28</x:v>
      </x:c>
      <x:c r="F32" s="24" t="str">
        <x:f>'Evaluation Plan'!F32</x:f>
        <x:v>261</x:v>
      </x:c>
      <x:c r="G32" s="24" t="str">
        <x:f>'Evaluation Plan'!G32</x:f>
        <x:v>red block → 2–8 cm edge gap in front of green pen; centroid direction within ±45°.</x:v>
      </x:c>
      <x:c r="H32" s="25"/>
      <x:c r="I32" s="24" t="str">
        <x:f>'Evaluation Plan'!I32</x:f>
        <x:v>Concept/compositional transfer</x:v>
      </x:c>
      <x:c r="J32" s="24" t="str">
        <x:f>'Evaluation Plan'!J32</x:f>
        <x:v>RP-CT-CF03</x:v>
      </x:c>
      <x:c r="K32" s="24" t="str">
        <x:f>'Evaluation Plan'!K32</x:f>
        <x:v>front</x:v>
      </x:c>
      <x:c r="L32" s="24" t="str">
        <x:f>'Evaluation Plan'!L32</x:f>
        <x:v>Four-way held-out counterfactual: relation polarity × target/reference role</x:v>
      </x:c>
      <x:c r="M32" s="24" t="str">
        <x:f>'Evaluation Plan'!M32</x:f>
        <x:v>red block</x:v>
      </x:c>
      <x:c r="N32" s="24" t="str">
        <x:f>'Evaluation Plan'!N32</x:f>
        <x:v>green pen</x:v>
      </x:c>
      <x:c r="O32" s="24" t="str">
        <x:f>'Evaluation Plan'!O32</x:f>
        <x:v>None</x:v>
      </x:c>
      <x:c r="P32" s="24" t="n">
        <x:f>'Evaluation Plan'!P32</x:f>
        <x:v>3</x:v>
      </x:c>
      <x:c r="Q32" s="24" t="str">
        <x:f>'Evaluation Plan'!Q32</x:f>
        <x:v>Reset both core objects to their marked poses; preserve distractors, camera, and robot start; change only the instruction.</x:v>
      </x:c>
      <x:c r="R32" s="25" t="str">
        <x:f>'Evaluation Plan'!R32</x:f>
        <x:v>The directional word × ordered green-pen/red-block role is held out. Source episode 261 supplies the same target manipulation under a trained near/next-to/beside prompt. The orthogonal start prevents an inverse-start shortcut.</x:v>
      </x:c>
      <x:c r="S32" s="25" t="str">
        <x:f>IF(ISBLANK('Evaluation Plan'!S32),"",'Evaluation Plan'!S32)</x:f>
      </x:c>
    </x:row>
    <x:row r="33" ht="72" customHeight="1">
      <x:c r="A33" s="24" t="str">
        <x:v>Not collected</x:v>
      </x:c>
      <x:c r="B33" s="24" t="n">
        <x:f>'Evaluation Plan'!B33</x:f>
        <x:v>31</x:v>
      </x:c>
      <x:c r="C33" s="25" t="str">
        <x:f>'Evaluation Plan'!C33</x:f>
        <x:v>Place the red block behind the green pen.</x:v>
      </x:c>
      <x:c r="D33" s="25" t="str">
        <x:f>'Evaluation Plan'!D33</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3" s="24" t="n">
        <x:f>IF(ISBLANK('Evaluation Plan'!E33),"",'Evaluation Plan'!E33)</x:f>
        <x:v>28</x:v>
      </x:c>
      <x:c r="F33" s="24" t="str">
        <x:f>'Evaluation Plan'!F33</x:f>
        <x:v>274</x:v>
      </x:c>
      <x:c r="G33" s="24" t="str">
        <x:f>'Evaluation Plan'!G33</x:f>
        <x:v>red block → 2–8 cm edge gap behind green pen; centroid direction within ±45°.</x:v>
      </x:c>
      <x:c r="H33" s="25"/>
      <x:c r="I33" s="24" t="str">
        <x:f>'Evaluation Plan'!I33</x:f>
        <x:v>Concept/compositional transfer</x:v>
      </x:c>
      <x:c r="J33" s="24" t="str">
        <x:f>'Evaluation Plan'!J33</x:f>
        <x:v>RP-CT-CF03</x:v>
      </x:c>
      <x:c r="K33" s="24" t="str">
        <x:f>'Evaluation Plan'!K33</x:f>
        <x:v>behind</x:v>
      </x:c>
      <x:c r="L33" s="24" t="str">
        <x:f>'Evaluation Plan'!L33</x:f>
        <x:v>Four-way held-out counterfactual: relation polarity × target/reference role</x:v>
      </x:c>
      <x:c r="M33" s="24" t="str">
        <x:f>'Evaluation Plan'!M33</x:f>
        <x:v>red block</x:v>
      </x:c>
      <x:c r="N33" s="24" t="str">
        <x:f>'Evaluation Plan'!N33</x:f>
        <x:v>green pen</x:v>
      </x:c>
      <x:c r="O33" s="24" t="str">
        <x:f>'Evaluation Plan'!O33</x:f>
        <x:v>None</x:v>
      </x:c>
      <x:c r="P33" s="24" t="n">
        <x:f>'Evaluation Plan'!P33</x:f>
        <x:v>3</x:v>
      </x:c>
      <x:c r="Q33" s="24" t="str">
        <x:f>'Evaluation Plan'!Q33</x:f>
        <x:v>Reset both core objects to their marked poses; preserve distractors, camera, and robot start; change only the instruction.</x:v>
      </x:c>
      <x:c r="R33" s="25" t="str">
        <x:f>'Evaluation Plan'!R33</x:f>
        <x:v>The directional word × ordered green-pen/red-block role is held out. Source episode 274 supplies the same target manipulation under a trained near/next-to/beside prompt. The orthogonal start prevents an inverse-start shortcut.</x:v>
      </x:c>
      <x:c r="S33" s="25" t="str">
        <x:f>IF(ISBLANK('Evaluation Plan'!S33),"",'Evaluation Plan'!S33)</x:f>
      </x:c>
    </x:row>
    <x:row r="34" ht="72" customHeight="1">
      <x:c r="A34" s="9" t="str">
        <x:v>Not collected</x:v>
      </x:c>
      <x:c r="B34" s="9" t="n">
        <x:f>'Evaluation Plan'!B34</x:f>
        <x:v>32</x:v>
      </x:c>
      <x:c r="C34" s="10" t="str">
        <x:f>'Evaluation Plan'!C34</x:f>
        <x:v>Place the green pen to the left of the red block.</x:v>
      </x:c>
      <x:c r="D34" s="10" t="str">
        <x:f>'Evaluation Plan'!D34</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4" s="9" t="str">
        <x:f>IF(ISBLANK('Evaluation Plan'!E34),"",'Evaluation Plan'!E34)</x:f>
      </x:c>
      <x:c r="F34" s="9" t="str">
        <x:f>'Evaluation Plan'!F34</x:f>
        <x:v>227</x:v>
      </x:c>
      <x:c r="G34" s="9" t="str">
        <x:f>'Evaluation Plan'!G34</x:f>
        <x:v>green pen → 2–8 cm edge gap to the left of red block; centroid direction within ±45°.</x:v>
      </x:c>
      <x:c r="H34" s="10"/>
      <x:c r="I34" s="9" t="str">
        <x:f>'Evaluation Plan'!I34</x:f>
        <x:v>Concept/compositional transfer</x:v>
      </x:c>
      <x:c r="J34" s="9" t="str">
        <x:f>'Evaluation Plan'!J34</x:f>
        <x:v>RP-CT-CF04</x:v>
      </x:c>
      <x:c r="K34" s="9" t="str">
        <x:f>'Evaluation Plan'!K34</x:f>
        <x:v>left</x:v>
      </x:c>
      <x:c r="L34" s="9" t="str">
        <x:f>'Evaluation Plan'!L34</x:f>
        <x:v>Four-way held-out counterfactual: relation polarity × target/reference role</x:v>
      </x:c>
      <x:c r="M34" s="9" t="str">
        <x:f>'Evaluation Plan'!M34</x:f>
        <x:v>green pen</x:v>
      </x:c>
      <x:c r="N34" s="9" t="str">
        <x:f>'Evaluation Plan'!N34</x:f>
        <x:v>red block</x:v>
      </x:c>
      <x:c r="O34" s="9" t="str">
        <x:f>'Evaluation Plan'!O34</x:f>
        <x:v>None</x:v>
      </x:c>
      <x:c r="P34" s="9" t="n">
        <x:f>'Evaluation Plan'!P34</x:f>
        <x:v>4</x:v>
      </x:c>
      <x:c r="Q34" s="9" t="str">
        <x:f>'Evaluation Plan'!Q34</x:f>
        <x:v>Build the listed neutral-axis scene and save the first frame.</x:v>
      </x:c>
      <x:c r="R34" s="10" t="str">
        <x:f>'Evaluation Plan'!R34</x:f>
        <x:v>The directional word × ordered green-pen/red-block role is held out. Source episode 227 supplies the same target manipulation under a trained near/next-to/beside prompt. The orthogonal start prevents an inverse-start shortcut.</x:v>
      </x:c>
      <x:c r="S34" s="10" t="str">
        <x:f>IF(ISBLANK('Evaluation Plan'!S34),"",'Evaluation Plan'!S34)</x:f>
      </x:c>
    </x:row>
    <x:row r="35" ht="72" customHeight="1">
      <x:c r="A35" s="24" t="str">
        <x:v>Not collected</x:v>
      </x:c>
      <x:c r="B35" s="24" t="n">
        <x:f>'Evaluation Plan'!B35</x:f>
        <x:v>33</x:v>
      </x:c>
      <x:c r="C35" s="25" t="str">
        <x:f>'Evaluation Plan'!C35</x:f>
        <x:v>Place the green pen to the right of the red block.</x:v>
      </x:c>
      <x:c r="D35" s="25" t="str">
        <x:f>'Evaluation Plan'!D35</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5" s="24" t="n">
        <x:f>IF(ISBLANK('Evaluation Plan'!E35),"",'Evaluation Plan'!E35)</x:f>
        <x:v>32</x:v>
      </x:c>
      <x:c r="F35" s="24" t="str">
        <x:f>'Evaluation Plan'!F35</x:f>
        <x:v>239</x:v>
      </x:c>
      <x:c r="G35" s="24" t="str">
        <x:f>'Evaluation Plan'!G35</x:f>
        <x:v>green pen → 2–8 cm edge gap to the right of red block; centroid direction within ±45°.</x:v>
      </x:c>
      <x:c r="H35" s="25"/>
      <x:c r="I35" s="24" t="str">
        <x:f>'Evaluation Plan'!I35</x:f>
        <x:v>Concept/compositional transfer</x:v>
      </x:c>
      <x:c r="J35" s="24" t="str">
        <x:f>'Evaluation Plan'!J35</x:f>
        <x:v>RP-CT-CF04</x:v>
      </x:c>
      <x:c r="K35" s="24" t="str">
        <x:f>'Evaluation Plan'!K35</x:f>
        <x:v>right</x:v>
      </x:c>
      <x:c r="L35" s="24" t="str">
        <x:f>'Evaluation Plan'!L35</x:f>
        <x:v>Four-way held-out counterfactual: relation polarity × target/reference role</x:v>
      </x:c>
      <x:c r="M35" s="24" t="str">
        <x:f>'Evaluation Plan'!M35</x:f>
        <x:v>green pen</x:v>
      </x:c>
      <x:c r="N35" s="24" t="str">
        <x:f>'Evaluation Plan'!N35</x:f>
        <x:v>red block</x:v>
      </x:c>
      <x:c r="O35" s="24" t="str">
        <x:f>'Evaluation Plan'!O35</x:f>
        <x:v>None</x:v>
      </x:c>
      <x:c r="P35" s="24" t="n">
        <x:f>'Evaluation Plan'!P35</x:f>
        <x:v>4</x:v>
      </x:c>
      <x:c r="Q35" s="24" t="str">
        <x:f>'Evaluation Plan'!Q35</x:f>
        <x:v>Reset both core objects to their marked poses; preserve distractors, camera, and robot start; change only the instruction.</x:v>
      </x:c>
      <x:c r="R35" s="25" t="str">
        <x:f>'Evaluation Plan'!R35</x:f>
        <x:v>The directional word × ordered green-pen/red-block role is held out. Source episode 239 supplies the same target manipulation under a trained near/next-to/beside prompt. The orthogonal start prevents an inverse-start shortcut.</x:v>
      </x:c>
      <x:c r="S35" s="25" t="str">
        <x:f>IF(ISBLANK('Evaluation Plan'!S35),"",'Evaluation Plan'!S35)</x:f>
      </x:c>
    </x:row>
    <x:row r="36" ht="72" customHeight="1">
      <x:c r="A36" s="24" t="str">
        <x:v>Not collected</x:v>
      </x:c>
      <x:c r="B36" s="24" t="n">
        <x:f>'Evaluation Plan'!B36</x:f>
        <x:v>34</x:v>
      </x:c>
      <x:c r="C36" s="25" t="str">
        <x:f>'Evaluation Plan'!C36</x:f>
        <x:v>Place the red block to the left of the green pen.</x:v>
      </x:c>
      <x:c r="D36" s="25" t="str">
        <x:f>'Evaluation Plan'!D36</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6" s="24" t="n">
        <x:f>IF(ISBLANK('Evaluation Plan'!E36),"",'Evaluation Plan'!E36)</x:f>
        <x:v>32</x:v>
      </x:c>
      <x:c r="F36" s="24" t="str">
        <x:f>'Evaluation Plan'!F36</x:f>
        <x:v>285</x:v>
      </x:c>
      <x:c r="G36" s="24" t="str">
        <x:f>'Evaluation Plan'!G36</x:f>
        <x:v>red block → 2–8 cm edge gap to the left of green pen; centroid direction within ±45°.</x:v>
      </x:c>
      <x:c r="H36" s="25"/>
      <x:c r="I36" s="24" t="str">
        <x:f>'Evaluation Plan'!I36</x:f>
        <x:v>Concept/compositional transfer</x:v>
      </x:c>
      <x:c r="J36" s="24" t="str">
        <x:f>'Evaluation Plan'!J36</x:f>
        <x:v>RP-CT-CF04</x:v>
      </x:c>
      <x:c r="K36" s="24" t="str">
        <x:f>'Evaluation Plan'!K36</x:f>
        <x:v>left</x:v>
      </x:c>
      <x:c r="L36" s="24" t="str">
        <x:f>'Evaluation Plan'!L36</x:f>
        <x:v>Four-way held-out counterfactual: relation polarity × target/reference role</x:v>
      </x:c>
      <x:c r="M36" s="24" t="str">
        <x:f>'Evaluation Plan'!M36</x:f>
        <x:v>red block</x:v>
      </x:c>
      <x:c r="N36" s="24" t="str">
        <x:f>'Evaluation Plan'!N36</x:f>
        <x:v>green pen</x:v>
      </x:c>
      <x:c r="O36" s="24" t="str">
        <x:f>'Evaluation Plan'!O36</x:f>
        <x:v>None</x:v>
      </x:c>
      <x:c r="P36" s="24" t="n">
        <x:f>'Evaluation Plan'!P36</x:f>
        <x:v>4</x:v>
      </x:c>
      <x:c r="Q36" s="24" t="str">
        <x:f>'Evaluation Plan'!Q36</x:f>
        <x:v>Reset both core objects to their marked poses; preserve distractors, camera, and robot start; change only the instruction.</x:v>
      </x:c>
      <x:c r="R36" s="25" t="str">
        <x:f>'Evaluation Plan'!R36</x:f>
        <x:v>The directional word × ordered green-pen/red-block role is held out. Source episode 285 supplies the same target manipulation under a trained near/next-to/beside prompt. The orthogonal start prevents an inverse-start shortcut.</x:v>
      </x:c>
      <x:c r="S36" s="25" t="str">
        <x:f>IF(ISBLANK('Evaluation Plan'!S36),"",'Evaluation Plan'!S36)</x:f>
      </x:c>
    </x:row>
    <x:row r="37" ht="72" customHeight="1">
      <x:c r="A37" s="24" t="str">
        <x:v>Not collected</x:v>
      </x:c>
      <x:c r="B37" s="24" t="n">
        <x:f>'Evaluation Plan'!B37</x:f>
        <x:v>35</x:v>
      </x:c>
      <x:c r="C37" s="25" t="str">
        <x:f>'Evaluation Plan'!C37</x:f>
        <x:v>Place the red block to the right of the green pen.</x:v>
      </x:c>
      <x:c r="D37" s="25" t="str">
        <x:f>'Evaluation Plan'!D37</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7" s="24" t="n">
        <x:f>IF(ISBLANK('Evaluation Plan'!E37),"",'Evaluation Plan'!E37)</x:f>
        <x:v>32</x:v>
      </x:c>
      <x:c r="F37" s="24" t="str">
        <x:f>'Evaluation Plan'!F37</x:f>
        <x:v>298</x:v>
      </x:c>
      <x:c r="G37" s="24" t="str">
        <x:f>'Evaluation Plan'!G37</x:f>
        <x:v>red block → 2–8 cm edge gap to the right of green pen; centroid direction within ±45°.</x:v>
      </x:c>
      <x:c r="H37" s="25"/>
      <x:c r="I37" s="24" t="str">
        <x:f>'Evaluation Plan'!I37</x:f>
        <x:v>Concept/compositional transfer</x:v>
      </x:c>
      <x:c r="J37" s="24" t="str">
        <x:f>'Evaluation Plan'!J37</x:f>
        <x:v>RP-CT-CF04</x:v>
      </x:c>
      <x:c r="K37" s="24" t="str">
        <x:f>'Evaluation Plan'!K37</x:f>
        <x:v>right</x:v>
      </x:c>
      <x:c r="L37" s="24" t="str">
        <x:f>'Evaluation Plan'!L37</x:f>
        <x:v>Four-way held-out counterfactual: relation polarity × target/reference role</x:v>
      </x:c>
      <x:c r="M37" s="24" t="str">
        <x:f>'Evaluation Plan'!M37</x:f>
        <x:v>red block</x:v>
      </x:c>
      <x:c r="N37" s="24" t="str">
        <x:f>'Evaluation Plan'!N37</x:f>
        <x:v>green pen</x:v>
      </x:c>
      <x:c r="O37" s="24" t="str">
        <x:f>'Evaluation Plan'!O37</x:f>
        <x:v>None</x:v>
      </x:c>
      <x:c r="P37" s="24" t="n">
        <x:f>'Evaluation Plan'!P37</x:f>
        <x:v>4</x:v>
      </x:c>
      <x:c r="Q37" s="24" t="str">
        <x:f>'Evaluation Plan'!Q37</x:f>
        <x:v>Reset both core objects to their marked poses; preserve distractors, camera, and robot start; change only the instruction.</x:v>
      </x:c>
      <x:c r="R37" s="25" t="str">
        <x:f>'Evaluation Plan'!R37</x:f>
        <x:v>The directional word × ordered green-pen/red-block role is held out. Source episode 298 supplies the same target manipulation under a trained near/next-to/beside prompt. The orthogonal start prevents an inverse-start shortcut.</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RP-CT-CF05</x:v>
      </x:c>
      <x:c r="K38" s="9" t="str">
        <x:f>'Evaluation Plan'!K38</x:f>
        <x:v>left</x:v>
      </x:c>
      <x:c r="L38" s="9" t="str">
        <x:f>'Evaluation Plan'!L38</x:f>
        <x:v>Four-way held-out counterfactual: relation polarity × target/reference role</x:v>
      </x:c>
      <x:c r="M38" s="9" t="str">
        <x:f>'Evaluation Plan'!M38</x:f>
        <x:v>green pen</x:v>
      </x:c>
      <x:c r="N38" s="9" t="str">
        <x:f>'Evaluation Plan'!N38</x:f>
        <x:v>red block</x:v>
      </x:c>
      <x:c r="O38" s="9" t="str">
        <x:f>'Evaluation Plan'!O38</x:f>
        <x:v>None</x:v>
      </x:c>
      <x:c r="P38" s="9" t="n">
        <x:f>'Evaluation Plan'!P38</x:f>
        <x:v>3</x:v>
      </x:c>
      <x:c r="Q38" s="9" t="str">
        <x:f>'Evaluation Plan'!Q38</x:f>
        <x:v>Build the listed neutral-axis scene and save the first frame.</x:v>
      </x:c>
      <x:c r="R38" s="10" t="str">
        <x:f>'Evaluation Plan'!R38</x:f>
        <x:v>The directional word × ordered green-pen/red-block role is held out. Source episode 226 supplies the same target manipulation under a trained near/next-to/beside prompt. The orthogonal start prevents an inverse-start shortcut.</x:v>
      </x:c>
      <x:c r="S38" s="10" t="str">
        <x:f>IF(ISBLANK('Evaluation Plan'!S38),"",'Evaluation Plan'!S38)</x:f>
      </x:c>
    </x:row>
    <x:row r="39" ht="72" customHeight="1">
      <x:c r="A39" s="24" t="str">
        <x:v>Not collected</x:v>
      </x:c>
      <x:c r="B39" s="24" t="n">
        <x:f>'Evaluation Plan'!B39</x:f>
        <x:v>37</x:v>
      </x:c>
      <x:c r="C39" s="25" t="str">
        <x:f>'Evaluation Plan'!C39</x:f>
        <x:v>Place the green pen to the right of the red block.</x:v>
      </x:c>
      <x:c r="D39" s="25" t="str">
        <x:f>'Evaluation Plan'!D39</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9" s="24" t="n">
        <x:f>IF(ISBLANK('Evaluation Plan'!E39),"",'Evaluation Plan'!E39)</x:f>
        <x:v>36</x:v>
      </x:c>
      <x:c r="F39" s="24" t="str">
        <x:f>'Evaluation Plan'!F39</x:f>
        <x:v>238</x:v>
      </x:c>
      <x:c r="G39" s="24" t="str">
        <x:f>'Evaluation Plan'!G39</x:f>
        <x:v>green pen → 2–8 cm edge gap to the right of red block; centroid direction within ±45°.</x:v>
      </x:c>
      <x:c r="H39" s="25"/>
      <x:c r="I39" s="24" t="str">
        <x:f>'Evaluation Plan'!I39</x:f>
        <x:v>Concept/compositional transfer</x:v>
      </x:c>
      <x:c r="J39" s="24" t="str">
        <x:f>'Evaluation Plan'!J39</x:f>
        <x:v>RP-CT-CF05</x:v>
      </x:c>
      <x:c r="K39" s="24" t="str">
        <x:f>'Evaluation Plan'!K39</x:f>
        <x:v>right</x:v>
      </x:c>
      <x:c r="L39" s="24" t="str">
        <x:f>'Evaluation Plan'!L39</x:f>
        <x:v>Four-way held-out counterfactual: relation polarity × target/reference role</x:v>
      </x:c>
      <x:c r="M39" s="24" t="str">
        <x:f>'Evaluation Plan'!M39</x:f>
        <x:v>green pen</x:v>
      </x:c>
      <x:c r="N39" s="24" t="str">
        <x:f>'Evaluation Plan'!N39</x:f>
        <x:v>red block</x:v>
      </x:c>
      <x:c r="O39" s="24" t="str">
        <x:f>'Evaluation Plan'!O39</x:f>
        <x:v>None</x:v>
      </x:c>
      <x:c r="P39" s="24" t="n">
        <x:f>'Evaluation Plan'!P39</x:f>
        <x:v>3</x:v>
      </x:c>
      <x:c r="Q39" s="24" t="str">
        <x:f>'Evaluation Plan'!Q39</x:f>
        <x:v>Reset both core objects to their marked poses; preserve distractors, camera, and robot start; change only the instruction.</x:v>
      </x:c>
      <x:c r="R39" s="25" t="str">
        <x:f>'Evaluation Plan'!R39</x:f>
        <x:v>The directional word × ordered green-pen/red-block role is held out. Source episode 238 supplies the same target manipulation under a trained near/next-to/beside prompt. The orthogonal start prevents an inverse-start shortcut.</x:v>
      </x:c>
      <x:c r="S39" s="25" t="str">
        <x:f>IF(ISBLANK('Evaluation Plan'!S39),"",'Evaluation Plan'!S39)</x:f>
      </x:c>
    </x:row>
    <x:row r="40" ht="72" customHeight="1">
      <x:c r="A40" s="24" t="str">
        <x:v>Not collected</x:v>
      </x:c>
      <x:c r="B40" s="24" t="n">
        <x:f>'Evaluation Plan'!B40</x:f>
        <x:v>38</x:v>
      </x:c>
      <x:c r="C40" s="25" t="str">
        <x:f>'Evaluation Plan'!C40</x:f>
        <x:v>Place the red block to the left of the green pen.</x:v>
      </x:c>
      <x:c r="D40" s="25" t="str">
        <x:f>'Evaluation Plan'!D40</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0" s="24" t="n">
        <x:f>IF(ISBLANK('Evaluation Plan'!E40),"",'Evaluation Plan'!E40)</x:f>
        <x:v>36</x:v>
      </x:c>
      <x:c r="F40" s="24" t="str">
        <x:f>'Evaluation Plan'!F40</x:f>
        <x:v>284</x:v>
      </x:c>
      <x:c r="G40" s="24" t="str">
        <x:f>'Evaluation Plan'!G40</x:f>
        <x:v>red block → 2–8 cm edge gap to the left of green pen; centroid direction within ±45°.</x:v>
      </x:c>
      <x:c r="H40" s="25"/>
      <x:c r="I40" s="24" t="str">
        <x:f>'Evaluation Plan'!I40</x:f>
        <x:v>Concept/compositional transfer</x:v>
      </x:c>
      <x:c r="J40" s="24" t="str">
        <x:f>'Evaluation Plan'!J40</x:f>
        <x:v>RP-CT-CF05</x:v>
      </x:c>
      <x:c r="K40" s="24" t="str">
        <x:f>'Evaluation Plan'!K40</x:f>
        <x:v>left</x:v>
      </x:c>
      <x:c r="L40" s="24" t="str">
        <x:f>'Evaluation Plan'!L40</x:f>
        <x:v>Four-way held-out counterfactual: relation polarity × target/reference role</x:v>
      </x:c>
      <x:c r="M40" s="24" t="str">
        <x:f>'Evaluation Plan'!M40</x:f>
        <x:v>red block</x:v>
      </x:c>
      <x:c r="N40" s="24" t="str">
        <x:f>'Evaluation Plan'!N40</x:f>
        <x:v>green pen</x:v>
      </x:c>
      <x:c r="O40" s="24" t="str">
        <x:f>'Evaluation Plan'!O40</x:f>
        <x:v>None</x:v>
      </x:c>
      <x:c r="P40" s="24" t="n">
        <x:f>'Evaluation Plan'!P40</x:f>
        <x:v>3</x:v>
      </x:c>
      <x:c r="Q40" s="24" t="str">
        <x:f>'Evaluation Plan'!Q40</x:f>
        <x:v>Reset both core objects to their marked poses; preserve distractors, camera, and robot start; change only the instruction.</x:v>
      </x:c>
      <x:c r="R40" s="25" t="str">
        <x:f>'Evaluation Plan'!R40</x:f>
        <x:v>The directional word × ordered green-pen/red-block role is held out. Source episode 284 supplies the same target manipulation under a trained near/next-to/beside prompt. The orthogonal start prevents an inverse-start shortcut.</x:v>
      </x:c>
      <x:c r="S40" s="25" t="str">
        <x:f>IF(ISBLANK('Evaluation Plan'!S40),"",'Evaluation Plan'!S40)</x:f>
      </x:c>
    </x:row>
    <x:row r="41" ht="72" customHeight="1">
      <x:c r="A41" s="24" t="str">
        <x:v>Not collected</x:v>
      </x:c>
      <x:c r="B41" s="24" t="n">
        <x:f>'Evaluation Plan'!B41</x:f>
        <x:v>39</x:v>
      </x:c>
      <x:c r="C41" s="25" t="str">
        <x:f>'Evaluation Plan'!C41</x:f>
        <x:v>Place the red block to the right of the green pen.</x:v>
      </x:c>
      <x:c r="D41" s="25" t="str">
        <x:f>'Evaluation Plan'!D41</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1" s="24" t="n">
        <x:f>IF(ISBLANK('Evaluation Plan'!E41),"",'Evaluation Plan'!E41)</x:f>
        <x:v>36</x:v>
      </x:c>
      <x:c r="F41" s="24" t="str">
        <x:f>'Evaluation Plan'!F41</x:f>
        <x:v>297</x:v>
      </x:c>
      <x:c r="G41" s="24" t="str">
        <x:f>'Evaluation Plan'!G41</x:f>
        <x:v>red block → 2–8 cm edge gap to the right of green pen; centroid direction within ±45°.</x:v>
      </x:c>
      <x:c r="H41" s="25"/>
      <x:c r="I41" s="24" t="str">
        <x:f>'Evaluation Plan'!I41</x:f>
        <x:v>Concept/compositional transfer</x:v>
      </x:c>
      <x:c r="J41" s="24" t="str">
        <x:f>'Evaluation Plan'!J41</x:f>
        <x:v>RP-CT-CF05</x:v>
      </x:c>
      <x:c r="K41" s="24" t="str">
        <x:f>'Evaluation Plan'!K41</x:f>
        <x:v>right</x:v>
      </x:c>
      <x:c r="L41" s="24" t="str">
        <x:f>'Evaluation Plan'!L41</x:f>
        <x:v>Four-way held-out counterfactual: relation polarity × target/reference role</x:v>
      </x:c>
      <x:c r="M41" s="24" t="str">
        <x:f>'Evaluation Plan'!M41</x:f>
        <x:v>red block</x:v>
      </x:c>
      <x:c r="N41" s="24" t="str">
        <x:f>'Evaluation Plan'!N41</x:f>
        <x:v>green pen</x:v>
      </x:c>
      <x:c r="O41" s="24" t="str">
        <x:f>'Evaluation Plan'!O41</x:f>
        <x:v>None</x:v>
      </x:c>
      <x:c r="P41" s="24" t="n">
        <x:f>'Evaluation Plan'!P41</x:f>
        <x:v>3</x:v>
      </x:c>
      <x:c r="Q41" s="24" t="str">
        <x:f>'Evaluation Plan'!Q41</x:f>
        <x:v>Reset both core objects to their marked poses; preserve distractors, camera, and robot start; change only the instruction.</x:v>
      </x:c>
      <x:c r="R41" s="25" t="str">
        <x:f>'Evaluation Plan'!R41</x:f>
        <x:v>The directional word × ordered green-pen/red-block role is held out. Source episode 297 supplies the same target manipulation under a trained near/next-to/beside prompt. The orthogonal start prevents an inverse-start shortcut.</x:v>
      </x:c>
      <x:c r="S41" s="25" t="str">
        <x:f>IF(ISBLANK('Evaluation Plan'!S41),"",'Evaluation Plan'!S41)</x:f>
      </x:c>
    </x:row>
    <x:row r="42" ht="72" customHeight="1">
      <x:c r="A42" s="9" t="str">
        <x:v>Not collected</x:v>
      </x:c>
      <x:c r="B42" s="9" t="n">
        <x:f>'Evaluation Plan'!B42</x:f>
        <x:v>40</x:v>
      </x:c>
      <x:c r="C42" s="10" t="str">
        <x:f>'Evaluation Plan'!C42</x:f>
        <x:v>Place the green pen to the left of the red block.</x:v>
      </x:c>
      <x:c r="D42" s="10" t="str">
        <x:f>'Evaluation Plan'!D42</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2" s="9" t="str">
        <x:f>IF(ISBLANK('Evaluation Plan'!E42),"",'Evaluation Plan'!E42)</x:f>
      </x:c>
      <x:c r="F42" s="9" t="str">
        <x:f>'Evaluation Plan'!F42</x:f>
        <x:v>227</x:v>
      </x:c>
      <x:c r="G42" s="9" t="str">
        <x:f>'Evaluation Plan'!G42</x:f>
        <x:v>green pen → 2–8 cm edge gap to the left of red block; centroid direction within ±45°.</x:v>
      </x:c>
      <x:c r="H42" s="10"/>
      <x:c r="I42" s="9" t="str">
        <x:f>'Evaluation Plan'!I42</x:f>
        <x:v>Concept/compositional transfer</x:v>
      </x:c>
      <x:c r="J42" s="9" t="str">
        <x:f>'Evaluation Plan'!J42</x:f>
        <x:v>RP-CT-CF06</x:v>
      </x:c>
      <x:c r="K42" s="9" t="str">
        <x:f>'Evaluation Plan'!K42</x:f>
        <x:v>left</x:v>
      </x:c>
      <x:c r="L42" s="9" t="str">
        <x:f>'Evaluation Plan'!L42</x:f>
        <x:v>Four-way held-out counterfactual: relation polarity × target/reference role</x:v>
      </x:c>
      <x:c r="M42" s="9" t="str">
        <x:f>'Evaluation Plan'!M42</x:f>
        <x:v>green pen</x:v>
      </x:c>
      <x:c r="N42" s="9" t="str">
        <x:f>'Evaluation Plan'!N42</x:f>
        <x:v>red block</x:v>
      </x:c>
      <x:c r="O42" s="9" t="str">
        <x:f>'Evaluation Plan'!O42</x:f>
        <x:v>None</x:v>
      </x:c>
      <x:c r="P42" s="9" t="n">
        <x:f>'Evaluation Plan'!P42</x:f>
        <x:v>4</x:v>
      </x:c>
      <x:c r="Q42" s="9" t="str">
        <x:f>'Evaluation Plan'!Q42</x:f>
        <x:v>Build the listed neutral-axis scene and save the first frame.</x:v>
      </x:c>
      <x:c r="R42" s="10" t="str">
        <x:f>'Evaluation Plan'!R42</x:f>
        <x:v>The directional word × ordered green-pen/red-block role is held out. Source episode 227 supplies the same target manipulation under a trained near/next-to/beside prompt. The orthogonal start prevents an inverse-start shortcut.</x:v>
      </x:c>
      <x:c r="S42" s="10" t="str">
        <x:f>IF(ISBLANK('Evaluation Plan'!S42),"",'Evaluation Plan'!S42)</x:f>
      </x:c>
    </x:row>
    <x:row r="43" ht="72" customHeight="1">
      <x:c r="A43" s="24" t="str">
        <x:v>Not collected</x:v>
      </x:c>
      <x:c r="B43" s="24" t="n">
        <x:f>'Evaluation Plan'!B43</x:f>
        <x:v>41</x:v>
      </x:c>
      <x:c r="C43" s="25" t="str">
        <x:f>'Evaluation Plan'!C43</x:f>
        <x:v>Place the green pen to the right of the red block.</x:v>
      </x:c>
      <x:c r="D43" s="25" t="str">
        <x:f>'Evaluation Plan'!D43</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3" s="24" t="n">
        <x:f>IF(ISBLANK('Evaluation Plan'!E43),"",'Evaluation Plan'!E43)</x:f>
        <x:v>40</x:v>
      </x:c>
      <x:c r="F43" s="24" t="str">
        <x:f>'Evaluation Plan'!F43</x:f>
        <x:v>241</x:v>
      </x:c>
      <x:c r="G43" s="24" t="str">
        <x:f>'Evaluation Plan'!G43</x:f>
        <x:v>green pen → 2–8 cm edge gap to the right of red block; centroid direction within ±45°.</x:v>
      </x:c>
      <x:c r="H43" s="25"/>
      <x:c r="I43" s="24" t="str">
        <x:f>'Evaluation Plan'!I43</x:f>
        <x:v>Concept/compositional transfer</x:v>
      </x:c>
      <x:c r="J43" s="24" t="str">
        <x:f>'Evaluation Plan'!J43</x:f>
        <x:v>RP-CT-CF06</x:v>
      </x:c>
      <x:c r="K43" s="24" t="str">
        <x:f>'Evaluation Plan'!K43</x:f>
        <x:v>right</x:v>
      </x:c>
      <x:c r="L43" s="24" t="str">
        <x:f>'Evaluation Plan'!L43</x:f>
        <x:v>Four-way held-out counterfactual: relation polarity × target/reference role</x:v>
      </x:c>
      <x:c r="M43" s="24" t="str">
        <x:f>'Evaluation Plan'!M43</x:f>
        <x:v>green pen</x:v>
      </x:c>
      <x:c r="N43" s="24" t="str">
        <x:f>'Evaluation Plan'!N43</x:f>
        <x:v>red block</x:v>
      </x:c>
      <x:c r="O43" s="24" t="str">
        <x:f>'Evaluation Plan'!O43</x:f>
        <x:v>None</x:v>
      </x:c>
      <x:c r="P43" s="24" t="n">
        <x:f>'Evaluation Plan'!P43</x:f>
        <x:v>4</x:v>
      </x:c>
      <x:c r="Q43" s="24" t="str">
        <x:f>'Evaluation Plan'!Q43</x:f>
        <x:v>Reset both core objects to their marked poses; preserve distractors, camera, and robot start; change only the instruction.</x:v>
      </x:c>
      <x:c r="R43" s="25" t="str">
        <x:f>'Evaluation Plan'!R43</x:f>
        <x:v>The directional word × ordered green-pen/red-block role is held out. Source episode 241 supplies the same target manipulation under a trained near/next-to/beside prompt. The orthogonal start prevents an inverse-start shortcut.</x:v>
      </x:c>
      <x:c r="S43" s="25" t="str">
        <x:f>IF(ISBLANK('Evaluation Plan'!S43),"",'Evaluation Plan'!S43)</x:f>
      </x:c>
    </x:row>
    <x:row r="44" ht="72" customHeight="1">
      <x:c r="A44" s="24" t="str">
        <x:v>Not collected</x:v>
      </x:c>
      <x:c r="B44" s="24" t="n">
        <x:f>'Evaluation Plan'!B44</x:f>
        <x:v>42</x:v>
      </x:c>
      <x:c r="C44" s="25" t="str">
        <x:f>'Evaluation Plan'!C44</x:f>
        <x:v>Place the red block to the left of the green pen.</x:v>
      </x:c>
      <x:c r="D44" s="25" t="str">
        <x:f>'Evaluation Plan'!D44</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Concept/compositional transfer</x:v>
      </x:c>
      <x:c r="J44" s="24" t="str">
        <x:f>'Evaluation Plan'!J44</x:f>
        <x:v>RP-CT-CF06</x:v>
      </x:c>
      <x:c r="K44" s="24" t="str">
        <x:f>'Evaluation Plan'!K44</x:f>
        <x:v>left</x:v>
      </x:c>
      <x:c r="L44" s="24" t="str">
        <x:f>'Evaluation Plan'!L44</x:f>
        <x:v>Four-way held-out counterfactual: relation polarity × target/reference role</x:v>
      </x:c>
      <x:c r="M44" s="24" t="str">
        <x:f>'Evaluation Plan'!M44</x:f>
        <x:v>red block</x:v>
      </x:c>
      <x:c r="N44" s="24" t="str">
        <x:f>'Evaluation Plan'!N44</x:f>
        <x:v>green pen</x:v>
      </x:c>
      <x:c r="O44" s="24" t="str">
        <x:f>'Evaluation Plan'!O44</x:f>
        <x:v>None</x:v>
      </x:c>
      <x:c r="P44" s="24" t="n">
        <x:f>'Evaluation Plan'!P44</x:f>
        <x:v>4</x:v>
      </x:c>
      <x:c r="Q44" s="24" t="str">
        <x:f>'Evaluation Plan'!Q44</x:f>
        <x:v>Reset both core objects to their marked poses; preserve distractors, camera, and robot start; change only the instruction.</x:v>
      </x:c>
      <x:c r="R44" s="25" t="str">
        <x:f>'Evaluation Plan'!R44</x:f>
        <x:v>The directional word × ordered green-pen/red-block role is held out. Source episode 285 supplies the same target manipulation under a trained near/next-to/beside prompt. The orthogonal start prevents an inverse-start shortcut.</x:v>
      </x:c>
      <x:c r="S44" s="25" t="str">
        <x:f>IF(ISBLANK('Evaluation Plan'!S44),"",'Evaluation Plan'!S44)</x:f>
      </x:c>
    </x:row>
    <x:row r="45" ht="72" customHeight="1">
      <x:c r="A45" s="24" t="str">
        <x:v>Not collected</x:v>
      </x:c>
      <x:c r="B45" s="24" t="n">
        <x:f>'Evaluation Plan'!B45</x:f>
        <x:v>43</x:v>
      </x:c>
      <x:c r="C45" s="25" t="str">
        <x:f>'Evaluation Plan'!C45</x:f>
        <x:v>Place the red block to the right of the green pen.</x:v>
      </x:c>
      <x:c r="D45" s="25" t="str">
        <x:f>'Evaluation Plan'!D45</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5" s="24" t="n">
        <x:f>IF(ISBLANK('Evaluation Plan'!E45),"",'Evaluation Plan'!E45)</x:f>
        <x:v>40</x:v>
      </x:c>
      <x:c r="F45" s="24" t="str">
        <x:f>'Evaluation Plan'!F45</x:f>
        <x:v>298</x:v>
      </x:c>
      <x:c r="G45" s="24" t="str">
        <x:f>'Evaluation Plan'!G45</x:f>
        <x:v>red block → 2–8 cm edge gap to the right of green pen; centroid direction within ±45°.</x:v>
      </x:c>
      <x:c r="H45" s="25"/>
      <x:c r="I45" s="24" t="str">
        <x:f>'Evaluation Plan'!I45</x:f>
        <x:v>Concept/compositional transfer</x:v>
      </x:c>
      <x:c r="J45" s="24" t="str">
        <x:f>'Evaluation Plan'!J45</x:f>
        <x:v>RP-CT-CF06</x:v>
      </x:c>
      <x:c r="K45" s="24" t="str">
        <x:f>'Evaluation Plan'!K45</x:f>
        <x:v>right</x:v>
      </x:c>
      <x:c r="L45" s="24" t="str">
        <x:f>'Evaluation Plan'!L45</x:f>
        <x:v>Four-way held-out counterfactual: relation polarity × target/reference role</x:v>
      </x:c>
      <x:c r="M45" s="24" t="str">
        <x:f>'Evaluation Plan'!M45</x:f>
        <x:v>red block</x:v>
      </x:c>
      <x:c r="N45" s="24" t="str">
        <x:f>'Evaluation Plan'!N45</x:f>
        <x:v>green pen</x:v>
      </x:c>
      <x:c r="O45" s="24" t="str">
        <x:f>'Evaluation Plan'!O45</x:f>
        <x:v>None</x:v>
      </x:c>
      <x:c r="P45" s="24" t="n">
        <x:f>'Evaluation Plan'!P45</x:f>
        <x:v>4</x:v>
      </x:c>
      <x:c r="Q45" s="24" t="str">
        <x:f>'Evaluation Plan'!Q45</x:f>
        <x:v>Reset both core objects to their marked poses; preserve distractors, camera, and robot start; change only the instruction.</x:v>
      </x:c>
      <x:c r="R45" s="25" t="str">
        <x:f>'Evaluation Plan'!R45</x:f>
        <x:v>The directional word × ordered green-pen/red-block role is held out. Source episode 298 supplies the same target manipulation under a trained near/next-to/beside prompt. The orthogonal start prevents an inverse-start shortcut.</x:v>
      </x:c>
      <x:c r="S45" s="25" t="str">
        <x:f>IF(ISBLANK('Evaluation Plan'!S45),"",'Evaluation Plan'!S45)</x:f>
      </x:c>
    </x:row>
    <x:row r="46" ht="72" customHeight="1">
      <x:c r="A46" s="9" t="str">
        <x:v>Not collected</x:v>
      </x:c>
      <x:c r="B46" s="9" t="n">
        <x:f>'Evaluation Plan'!B46</x:f>
        <x:v>44</x:v>
      </x:c>
      <x:c r="C46" s="10" t="str">
        <x:f>'Evaluation Plan'!C46</x:f>
        <x:v>Place the green pen in front of the red block.</x:v>
      </x:c>
      <x:c r="D46" s="10" t="str">
        <x:f>'Evaluation Plan'!D46</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6" s="9" t="str">
        <x:f>IF(ISBLANK('Evaluation Plan'!E46),"",'Evaluation Plan'!E46)</x:f>
      </x:c>
      <x:c r="F46" s="9" t="str">
        <x:f>'Evaluation Plan'!F46</x:f>
        <x:v>201</x:v>
      </x:c>
      <x:c r="G46" s="9" t="str">
        <x:f>'Evaluation Plan'!G46</x:f>
        <x:v>green pen → 2–8 cm edge gap in front of red block; centroid direction within ±45°.</x:v>
      </x:c>
      <x:c r="H46" s="10"/>
      <x:c r="I46" s="9" t="str">
        <x:f>'Evaluation Plan'!I46</x:f>
        <x:v>Concept/compositional transfer</x:v>
      </x:c>
      <x:c r="J46" s="9" t="str">
        <x:f>'Evaluation Plan'!J46</x:f>
        <x:v>RP-CT-N01</x:v>
      </x:c>
      <x:c r="K46" s="9" t="str">
        <x:f>'Evaluation Plan'!K46</x:f>
        <x:v>front</x:v>
      </x:c>
      <x:c r="L46" s="9" t="str">
        <x:f>'Evaluation Plan'!L46</x:f>
        <x:v>Neutral-axis independent compositional-transfer scene</x:v>
      </x:c>
      <x:c r="M46" s="9" t="str">
        <x:f>'Evaluation Plan'!M46</x:f>
        <x:v>green pen</x:v>
      </x:c>
      <x:c r="N46" s="9" t="str">
        <x:f>'Evaluation Plan'!N46</x:f>
        <x:v>red block</x:v>
      </x:c>
      <x:c r="O46" s="9" t="str">
        <x:f>'Evaluation Plan'!O46</x:f>
        <x:v>None</x:v>
      </x:c>
      <x:c r="P46" s="9" t="n">
        <x:f>'Evaluation Plan'!P46</x:f>
        <x:v>3</x:v>
      </x:c>
      <x:c r="Q46" s="9" t="str">
        <x:f>'Evaluation Plan'!Q46</x:f>
        <x:v>Build the listed neutral-axis scene and save the first frame.</x:v>
      </x:c>
      <x:c r="R46" s="10" t="str">
        <x:f>'Evaluation Plan'!R46</x:f>
        <x:v>Independent held-out-composition scene. Source episode 201 supplies target recognition/manipulation under the trained prompt “Place the green pen next to the red block.”. The orthogonal start removes the opposite-side shortcut.</x:v>
      </x:c>
      <x:c r="S46" s="10" t="str">
        <x:f>IF(ISBLANK('Evaluation Plan'!S46),"",'Evaluation Plan'!S46)</x:f>
      </x:c>
    </x:row>
    <x:row r="47" ht="72" customHeight="1">
      <x:c r="A47" s="24" t="str">
        <x:v>Not collected</x:v>
      </x:c>
      <x:c r="B47" s="24" t="n">
        <x:f>'Evaluation Plan'!B47</x:f>
        <x:v>45</x:v>
      </x:c>
      <x:c r="C47" s="25" t="str">
        <x:f>'Evaluation Plan'!C47</x:f>
        <x:v>Place the green pen next to the red block.</x:v>
      </x:c>
      <x:c r="D47" s="25" t="str">
        <x:f>'Evaluation Plan'!D47</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7" s="24" t="n">
        <x:f>IF(ISBLANK('Evaluation Plan'!E47),"",'Evaluation Plan'!E47)</x:f>
        <x:v>44</x:v>
      </x:c>
      <x:c r="F47" s="24" t="str">
        <x:f>'Evaluation Plan'!F47</x:f>
        <x:v>201</x:v>
      </x:c>
      <x:c r="G47" s="24" t="str">
        <x:f>'Evaluation Plan'!G47</x:f>
        <x:v>green pen → 2–8 cm edge gap near red block; no directional sector required.</x:v>
      </x:c>
      <x:c r="H47" s="25"/>
      <x:c r="I47" s="24" t="str">
        <x:f>'Evaluation Plan'!I47</x:f>
        <x:v>Matched manipulation control</x:v>
      </x:c>
      <x:c r="J47" s="24" t="str">
        <x:f>'Evaluation Plan'!J47</x:f>
        <x:v>RP-CT-N01</x:v>
      </x:c>
      <x:c r="K47" s="24" t="str">
        <x:f>'Evaluation Plan'!K47</x:f>
        <x:v>front</x:v>
      </x:c>
      <x:c r="L47" s="24" t="str">
        <x:f>'Evaluation Plan'!L47</x:f>
        <x:v>Exact-scene masked manipulation control</x:v>
      </x:c>
      <x:c r="M47" s="24" t="str">
        <x:f>'Evaluation Plan'!M47</x:f>
        <x:v>green pen</x:v>
      </x:c>
      <x:c r="N47" s="24" t="str">
        <x:f>'Evaluation Plan'!N47</x:f>
        <x:v>red block</x:v>
      </x:c>
      <x:c r="O47" s="24" t="str">
        <x:f>'Evaluation Plan'!O47</x:f>
        <x:v>None</x:v>
      </x:c>
      <x:c r="P47" s="24" t="n">
        <x:f>'Evaluation Plan'!P47</x:f>
        <x:v>3</x:v>
      </x:c>
      <x:c r="Q47" s="24" t="str">
        <x:f>'Evaluation Plan'!Q47</x:f>
        <x:v>Reset P1 to its marked pose; preserve the exact scene and use the trained control instruction.</x:v>
      </x:c>
      <x:c r="R47" s="25" t="str">
        <x:f>'Evaluation Plan'!R47</x:f>
        <x:v>Exact-scene control using the final training prompt from episode 201. The target, reference, distractors, camera, and robot start match the paired transfer row.</x:v>
      </x:c>
      <x:c r="S47" s="25" t="str">
        <x:f>IF(ISBLANK('Evaluation Plan'!S47),"",'Evaluation Plan'!S47)</x:f>
      </x:c>
    </x:row>
    <x:row r="48" ht="72" customHeight="1">
      <x:c r="A48" s="24" t="str">
        <x:v>Not collected</x:v>
      </x:c>
      <x:c r="B48" s="24" t="n">
        <x:f>'Evaluation Plan'!B48</x:f>
        <x:v>46</x:v>
      </x:c>
      <x:c r="C48" s="25" t="str">
        <x:f>'Evaluation Plan'!C48</x:f>
        <x:v>Position the green pen on the robot-facing side of the red block.</x:v>
      </x:c>
      <x:c r="D48" s="25" t="str">
        <x:f>'Evaluation Plan'!D48</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8" s="24" t="n">
        <x:f>IF(ISBLANK('Evaluation Plan'!E48),"",'Evaluation Plan'!E48)</x:f>
        <x:v>44</x:v>
      </x:c>
      <x:c r="F48" s="24" t="str">
        <x:f>'Evaluation Plan'!F48</x:f>
        <x:v>201</x:v>
      </x:c>
      <x:c r="G48" s="24" t="str">
        <x:f>'Evaluation Plan'!G48</x:f>
        <x:v>green pen → 2–8 cm edge gap in front of red block; centroid direction within ±45°.</x:v>
      </x:c>
      <x:c r="H48" s="25"/>
      <x:c r="I48" s="24" t="str">
        <x:f>'Evaluation Plan'!I48</x:f>
        <x:v>Language robustness</x:v>
      </x:c>
      <x:c r="J48" s="24" t="str">
        <x:f>'Evaluation Plan'!J48</x:f>
        <x:v>RP-CT-N01</x:v>
      </x:c>
      <x:c r="K48" s="24" t="str">
        <x:f>'Evaluation Plan'!K48</x:f>
        <x:v>front</x:v>
      </x:c>
      <x:c r="L48" s="24" t="str">
        <x:f>'Evaluation Plan'!L48</x:f>
        <x:v>Transfer paraphrase of concept/compositional transfer</x:v>
      </x:c>
      <x:c r="M48" s="24" t="str">
        <x:f>'Evaluation Plan'!M48</x:f>
        <x:v>green pen</x:v>
      </x:c>
      <x:c r="N48" s="24" t="str">
        <x:f>'Evaluation Plan'!N48</x:f>
        <x:v>red block</x:v>
      </x:c>
      <x:c r="O48" s="24" t="str">
        <x:f>'Evaluation Plan'!O48</x:f>
        <x:v>None</x:v>
      </x:c>
      <x:c r="P48" s="24" t="n">
        <x:f>'Evaluation Plan'!P48</x:f>
        <x:v>3</x:v>
      </x:c>
      <x:c r="Q48" s="24" t="str">
        <x:f>'Evaluation Plan'!Q48</x:f>
        <x:v>Reset P1 to its marked pose; preserve the exact scene and change only the wording of the transfer instruction.</x:v>
      </x:c>
      <x:c r="R48" s="25" t="str">
        <x:f>'Evaluation Plan'!R48</x:f>
        <x:v>Exact-scene paraphrase of the canonical compositional-transfer instruction.</x:v>
      </x:c>
      <x:c r="S48" s="25" t="str">
        <x:f>IF(ISBLANK('Evaluation Plan'!S48),"",'Evaluation Plan'!S48)</x:f>
      </x:c>
    </x:row>
    <x:row r="49" ht="72" customHeight="1">
      <x:c r="A49" s="24" t="str">
        <x:v>Not collected</x:v>
      </x:c>
      <x:c r="B49" s="24" t="n">
        <x:f>'Evaluation Plan'!B49</x:f>
        <x:v>47</x:v>
      </x:c>
      <x:c r="C49" s="25" t="str">
        <x:f>'Evaluation Plan'!C49</x:f>
        <x:v>Set the green pen down close to the red block.</x:v>
      </x:c>
      <x:c r="D49" s="25" t="str">
        <x:f>'Evaluation Plan'!D49</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9" s="24" t="n">
        <x:f>IF(ISBLANK('Evaluation Plan'!E49),"",'Evaluation Plan'!E49)</x:f>
        <x:v>45</x:v>
      </x:c>
      <x:c r="F49" s="24" t="str">
        <x:f>'Evaluation Plan'!F49</x:f>
        <x:v>201</x:v>
      </x:c>
      <x:c r="G49" s="24" t="str">
        <x:f>'Evaluation Plan'!G49</x:f>
        <x:v>green pen → 2–8 cm edge gap near red block; no directional sector required.</x:v>
      </x:c>
      <x:c r="H49" s="25"/>
      <x:c r="I49" s="24" t="str">
        <x:f>'Evaluation Plan'!I49</x:f>
        <x:v>Language robustness</x:v>
      </x:c>
      <x:c r="J49" s="24" t="str">
        <x:f>'Evaluation Plan'!J49</x:f>
        <x:v>RP-CT-N01</x:v>
      </x:c>
      <x:c r="K49" s="24" t="str">
        <x:f>'Evaluation Plan'!K49</x:f>
        <x:v>front</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3</x:v>
      </x:c>
      <x:c r="Q49" s="24" t="str">
        <x:f>'Evaluation Plan'!Q49</x:f>
        <x:v>Reset P1 to its marked pose; preserve the exact scene and change only the wording of the matched-control instruction.</x:v>
      </x:c>
      <x:c r="R49" s="25" t="str">
        <x:f>'Evaluation Plan'!R49</x:f>
        <x:v>Exact-scene paraphrase of the training-supported control from episode 201.</x:v>
      </x:c>
      <x:c r="S49" s="25" t="str">
        <x:f>IF(ISBLANK('Evaluation Plan'!S49),"",'Evaluation Plan'!S49)</x:f>
      </x:c>
    </x:row>
    <x:row r="50" ht="72" customHeight="1">
      <x:c r="A50" s="9" t="str">
        <x:v>Not collected</x:v>
      </x:c>
      <x:c r="B50" s="9" t="n">
        <x:f>'Evaluation Plan'!B50</x:f>
        <x:v>48</x:v>
      </x:c>
      <x:c r="C50" s="10" t="str">
        <x:f>'Evaluation Plan'!C50</x:f>
        <x:v>Place the green pen in front of the red block.</x:v>
      </x:c>
      <x:c r="D50" s="10" t="str">
        <x:f>'Evaluation Plan'!D50</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0" s="9" t="str">
        <x:f>IF(ISBLANK('Evaluation Plan'!E50),"",'Evaluation Plan'!E50)</x:f>
      </x:c>
      <x:c r="F50" s="9" t="str">
        <x:f>'Evaluation Plan'!F50</x:f>
        <x:v>202</x:v>
      </x:c>
      <x:c r="G50" s="9" t="str">
        <x:f>'Evaluation Plan'!G50</x:f>
        <x:v>green pen → 2–8 cm edge gap in front of red block; centroid direction within ±45°.</x:v>
      </x:c>
      <x:c r="H50" s="10"/>
      <x:c r="I50" s="9" t="str">
        <x:f>'Evaluation Plan'!I50</x:f>
        <x:v>Concept/compositional transfer</x:v>
      </x:c>
      <x:c r="J50" s="9" t="str">
        <x:f>'Evaluation Plan'!J50</x:f>
        <x:v>RP-CT-N02</x:v>
      </x:c>
      <x:c r="K50" s="9" t="str">
        <x:f>'Evaluation Plan'!K50</x:f>
        <x:v>front</x:v>
      </x:c>
      <x:c r="L50" s="9" t="str">
        <x:f>'Evaluation Plan'!L50</x:f>
        <x:v>Neutral-axis independent compositional-transfer scene</x:v>
      </x:c>
      <x:c r="M50" s="9" t="str">
        <x:f>'Evaluation Plan'!M50</x:f>
        <x:v>green pen</x:v>
      </x:c>
      <x:c r="N50" s="9" t="str">
        <x:f>'Evaluation Plan'!N50</x:f>
        <x:v>red block</x:v>
      </x:c>
      <x:c r="O50" s="9" t="str">
        <x:f>'Evaluation Plan'!O50</x:f>
        <x:v>None</x:v>
      </x:c>
      <x:c r="P50" s="9" t="n">
        <x:f>'Evaluation Plan'!P50</x:f>
        <x:v>4</x:v>
      </x:c>
      <x:c r="Q50" s="9" t="str">
        <x:f>'Evaluation Plan'!Q50</x:f>
        <x:v>Build the listed neutral-axis scene and save the first frame.</x:v>
      </x:c>
      <x:c r="R50" s="10" t="str">
        <x:f>'Evaluation Plan'!R50</x:f>
        <x:v>Independent held-out-composition scene. Source episode 202 supplies target recognition/manipulation under the trained prompt “Put the green pen beside the red block.”. The orthogonal start removes the opposite-side shortcut.</x:v>
      </x:c>
      <x:c r="S50" s="10" t="str">
        <x:f>IF(ISBLANK('Evaluation Plan'!S50),"",'Evaluation Plan'!S50)</x:f>
      </x:c>
    </x:row>
    <x:row r="51" ht="72" customHeight="1">
      <x:c r="A51" s="24" t="str">
        <x:v>Not collected</x:v>
      </x:c>
      <x:c r="B51" s="24" t="n">
        <x:f>'Evaluation Plan'!B51</x:f>
        <x:v>49</x:v>
      </x:c>
      <x:c r="C51" s="25" t="str">
        <x:f>'Evaluation Plan'!C51</x:f>
        <x:v>Put the green pen beside the red block.</x:v>
      </x:c>
      <x:c r="D51" s="25" t="str">
        <x:f>'Evaluation Plan'!D51</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1" s="24" t="n">
        <x:f>IF(ISBLANK('Evaluation Plan'!E51),"",'Evaluation Plan'!E51)</x:f>
        <x:v>48</x:v>
      </x:c>
      <x:c r="F51" s="24" t="str">
        <x:f>'Evaluation Plan'!F51</x:f>
        <x:v>202</x:v>
      </x:c>
      <x:c r="G51" s="24" t="str">
        <x:f>'Evaluation Plan'!G51</x:f>
        <x:v>green pen → 2–8 cm edge gap near red block; no directional sector required.</x:v>
      </x:c>
      <x:c r="H51" s="25"/>
      <x:c r="I51" s="24" t="str">
        <x:f>'Evaluation Plan'!I51</x:f>
        <x:v>Matched manipulation control</x:v>
      </x:c>
      <x:c r="J51" s="24" t="str">
        <x:f>'Evaluation Plan'!J51</x:f>
        <x:v>RP-CT-N02</x:v>
      </x:c>
      <x:c r="K51" s="24" t="str">
        <x:f>'Evaluation Plan'!K51</x:f>
        <x:v>front</x:v>
      </x:c>
      <x:c r="L51" s="24" t="str">
        <x:f>'Evaluation Plan'!L51</x:f>
        <x:v>Exact-scene masked manipulation control</x:v>
      </x:c>
      <x:c r="M51" s="24" t="str">
        <x:f>'Evaluation Plan'!M51</x:f>
        <x:v>green pen</x:v>
      </x:c>
      <x:c r="N51" s="24" t="str">
        <x:f>'Evaluation Plan'!N51</x:f>
        <x:v>red block</x:v>
      </x:c>
      <x:c r="O51" s="24" t="str">
        <x:f>'Evaluation Plan'!O51</x:f>
        <x:v>None</x:v>
      </x:c>
      <x:c r="P51" s="24" t="n">
        <x:f>'Evaluation Plan'!P51</x:f>
        <x:v>4</x:v>
      </x:c>
      <x:c r="Q51" s="24" t="str">
        <x:f>'Evaluation Plan'!Q51</x:f>
        <x:v>Reset P1 to its marked pose; preserve the exact scene and use the trained control instruction.</x:v>
      </x:c>
      <x:c r="R51" s="25" t="str">
        <x:f>'Evaluation Plan'!R51</x:f>
        <x:v>Exact-scene control using the final training prompt from episode 202. The target, reference, distractors, camera, and robot start match the paired transfer row.</x:v>
      </x:c>
      <x:c r="S51" s="25" t="str">
        <x:f>IF(ISBLANK('Evaluation Plan'!S51),"",'Evaluation Plan'!S51)</x:f>
      </x:c>
    </x:row>
    <x:row r="52" ht="72" customHeight="1">
      <x:c r="A52" s="24" t="str">
        <x:v>Not collected</x:v>
      </x:c>
      <x:c r="B52" s="24" t="n">
        <x:f>'Evaluation Plan'!B52</x:f>
        <x:v>50</x:v>
      </x:c>
      <x:c r="C52" s="25" t="str">
        <x:f>'Evaluation Plan'!C52</x:f>
        <x:v>Position the green pen on the robot-facing side of the red block.</x:v>
      </x:c>
      <x:c r="D52" s="25" t="str">
        <x:f>'Evaluation Plan'!D52</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2" s="24" t="n">
        <x:f>IF(ISBLANK('Evaluation Plan'!E52),"",'Evaluation Plan'!E52)</x:f>
        <x:v>48</x:v>
      </x:c>
      <x:c r="F52" s="24" t="str">
        <x:f>'Evaluation Plan'!F52</x:f>
        <x:v>202</x:v>
      </x:c>
      <x:c r="G52" s="24" t="str">
        <x:f>'Evaluation Plan'!G52</x:f>
        <x:v>green pen → 2–8 cm edge gap in front of red block; centroid direction within ±45°.</x:v>
      </x:c>
      <x:c r="H52" s="25"/>
      <x:c r="I52" s="24" t="str">
        <x:f>'Evaluation Plan'!I52</x:f>
        <x:v>Language robustness</x:v>
      </x:c>
      <x:c r="J52" s="24" t="str">
        <x:f>'Evaluation Plan'!J52</x:f>
        <x:v>RP-CT-N02</x:v>
      </x:c>
      <x:c r="K52" s="24" t="str">
        <x:f>'Evaluation Plan'!K52</x:f>
        <x:v>front</x:v>
      </x:c>
      <x:c r="L52" s="24" t="str">
        <x:f>'Evaluation Plan'!L52</x:f>
        <x:v>Transfer paraphrase of concept/compositional transfer</x:v>
      </x:c>
      <x:c r="M52" s="24" t="str">
        <x:f>'Evaluation Plan'!M52</x:f>
        <x:v>green pen</x:v>
      </x:c>
      <x:c r="N52" s="24" t="str">
        <x:f>'Evaluation Plan'!N52</x:f>
        <x:v>red block</x:v>
      </x:c>
      <x:c r="O52" s="24" t="str">
        <x:f>'Evaluation Plan'!O52</x:f>
        <x:v>None</x:v>
      </x:c>
      <x:c r="P52" s="24" t="n">
        <x:f>'Evaluation Plan'!P52</x:f>
        <x:v>4</x:v>
      </x:c>
      <x:c r="Q52" s="24" t="str">
        <x:f>'Evaluation Plan'!Q52</x:f>
        <x:v>Reset P1 to its marked pose; preserve the exact scene and change only the wording of the transfer instruction.</x:v>
      </x:c>
      <x:c r="R52" s="25" t="str">
        <x:f>'Evaluation Plan'!R52</x:f>
        <x:v>Exact-scene paraphrase of the canonical compositional-transfer instruction.</x:v>
      </x:c>
      <x:c r="S52" s="25" t="str">
        <x:f>IF(ISBLANK('Evaluation Plan'!S52),"",'Evaluation Plan'!S52)</x:f>
      </x:c>
    </x:row>
    <x:row r="53" ht="72" customHeight="1">
      <x:c r="A53" s="24" t="str">
        <x:v>Not collected</x:v>
      </x:c>
      <x:c r="B53" s="24" t="n">
        <x:f>'Evaluation Plan'!B53</x:f>
        <x:v>51</x:v>
      </x:c>
      <x:c r="C53" s="25" t="str">
        <x:f>'Evaluation Plan'!C53</x:f>
        <x:v>Set the green pen down close to the red block.</x:v>
      </x:c>
      <x:c r="D53" s="25" t="str">
        <x:f>'Evaluation Plan'!D53</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3" s="24" t="n">
        <x:f>IF(ISBLANK('Evaluation Plan'!E53),"",'Evaluation Plan'!E53)</x:f>
        <x:v>49</x:v>
      </x:c>
      <x:c r="F53" s="24" t="str">
        <x:f>'Evaluation Plan'!F53</x:f>
        <x:v>202</x:v>
      </x:c>
      <x:c r="G53" s="24" t="str">
        <x:f>'Evaluation Plan'!G53</x:f>
        <x:v>green pen → 2–8 cm edge gap near red block; no directional sector required.</x:v>
      </x:c>
      <x:c r="H53" s="25"/>
      <x:c r="I53" s="24" t="str">
        <x:f>'Evaluation Plan'!I53</x:f>
        <x:v>Language robustness</x:v>
      </x:c>
      <x:c r="J53" s="24" t="str">
        <x:f>'Evaluation Plan'!J53</x:f>
        <x:v>RP-CT-N02</x:v>
      </x:c>
      <x:c r="K53" s="24" t="str">
        <x:f>'Evaluation Plan'!K53</x:f>
        <x:v>front</x:v>
      </x:c>
      <x:c r="L53" s="24" t="str">
        <x:f>'Evaluation Plan'!L53</x:f>
        <x:v>Matched-control paraphrase</x:v>
      </x:c>
      <x:c r="M53" s="24" t="str">
        <x:f>'Evaluation Plan'!M53</x:f>
        <x:v>green pen</x:v>
      </x:c>
      <x:c r="N53" s="24" t="str">
        <x:f>'Evaluation Plan'!N53</x:f>
        <x:v>red block</x:v>
      </x:c>
      <x:c r="O53" s="24" t="str">
        <x:f>'Evaluation Plan'!O53</x:f>
        <x:v>None</x:v>
      </x:c>
      <x:c r="P53" s="24" t="n">
        <x:f>'Evaluation Plan'!P53</x:f>
        <x:v>4</x:v>
      </x:c>
      <x:c r="Q53" s="24" t="str">
        <x:f>'Evaluation Plan'!Q53</x:f>
        <x:v>Reset P1 to its marked pose; preserve the exact scene and change only the wording of the matched-control instruction.</x:v>
      </x:c>
      <x:c r="R53" s="25" t="str">
        <x:f>'Evaluation Plan'!R53</x:f>
        <x:v>Exact-scene paraphrase of the training-supported control from episode 202.</x:v>
      </x:c>
      <x:c r="S53" s="25" t="str">
        <x:f>IF(ISBLANK('Evaluation Plan'!S53),"",'Evaluation Plan'!S53)</x:f>
      </x:c>
    </x:row>
    <x:row r="54" ht="72" customHeight="1">
      <x:c r="A54" s="9" t="str">
        <x:v>Not collected</x:v>
      </x:c>
      <x:c r="B54" s="9" t="n">
        <x:f>'Evaluation Plan'!B54</x:f>
        <x:v>52</x:v>
      </x:c>
      <x:c r="C54" s="10" t="str">
        <x:f>'Evaluation Plan'!C54</x:f>
        <x:v>Place the red block in front of the green pen.</x:v>
      </x:c>
      <x:c r="D54" s="10" t="str">
        <x:f>'Evaluation Plan'!D54</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4" s="9" t="str">
        <x:f>IF(ISBLANK('Evaluation Plan'!E54),"",'Evaluation Plan'!E54)</x:f>
      </x:c>
      <x:c r="F54" s="9" t="str">
        <x:f>'Evaluation Plan'!F54</x:f>
        <x:v>259</x:v>
      </x:c>
      <x:c r="G54" s="9" t="str">
        <x:f>'Evaluation Plan'!G54</x:f>
        <x:v>red block → 2–8 cm edge gap in front of green pen; centroid direction within ±45°.</x:v>
      </x:c>
      <x:c r="H54" s="10"/>
      <x:c r="I54" s="9" t="str">
        <x:f>'Evaluation Plan'!I54</x:f>
        <x:v>Concept/compositional transfer</x:v>
      </x:c>
      <x:c r="J54" s="9" t="str">
        <x:f>'Evaluation Plan'!J54</x:f>
        <x:v>RP-CT-N03</x:v>
      </x:c>
      <x:c r="K54" s="9" t="str">
        <x:f>'Evaluation Plan'!K54</x:f>
        <x:v>front</x:v>
      </x:c>
      <x:c r="L54" s="9" t="str">
        <x:f>'Evaluation Plan'!L54</x:f>
        <x:v>Neutral-axis independent compositional-transfer scene</x:v>
      </x:c>
      <x:c r="M54" s="9" t="str">
        <x:f>'Evaluation Plan'!M54</x:f>
        <x:v>red block</x:v>
      </x:c>
      <x:c r="N54" s="9" t="str">
        <x:f>'Evaluation Plan'!N54</x:f>
        <x:v>green pen</x:v>
      </x:c>
      <x:c r="O54" s="9" t="str">
        <x:f>'Evaluation Plan'!O54</x:f>
        <x:v>None</x:v>
      </x:c>
      <x:c r="P54" s="9" t="n">
        <x:f>'Evaluation Plan'!P54</x:f>
        <x:v>3</x:v>
      </x:c>
      <x:c r="Q54" s="9" t="str">
        <x:f>'Evaluation Plan'!Q54</x:f>
        <x:v>Build the listed neutral-axis scene and save the first frame.</x:v>
      </x:c>
      <x:c r="R54" s="10" t="str">
        <x:f>'Evaluation Plan'!R54</x:f>
        <x:v>Independent held-out-composition scene. Source episode 259 supplies target recognition/manipulation under the trained prompt “Put the red block beside the green pen.”. The orthogonal start removes the opposite-side shortcut.</x:v>
      </x:c>
      <x:c r="S54" s="10" t="str">
        <x:f>IF(ISBLANK('Evaluation Plan'!S54),"",'Evaluation Plan'!S54)</x:f>
      </x:c>
    </x:row>
    <x:row r="55" ht="72" customHeight="1">
      <x:c r="A55" s="24" t="str">
        <x:v>Not collected</x:v>
      </x:c>
      <x:c r="B55" s="24" t="n">
        <x:f>'Evaluation Plan'!B55</x:f>
        <x:v>53</x:v>
      </x:c>
      <x:c r="C55" s="25" t="str">
        <x:f>'Evaluation Plan'!C55</x:f>
        <x:v>Put the red block beside the green pen.</x:v>
      </x:c>
      <x:c r="D55" s="25" t="str">
        <x:f>'Evaluation Plan'!D55</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5" s="24" t="n">
        <x:f>IF(ISBLANK('Evaluation Plan'!E55),"",'Evaluation Plan'!E55)</x:f>
        <x:v>52</x:v>
      </x:c>
      <x:c r="F55" s="24" t="str">
        <x:f>'Evaluation Plan'!F55</x:f>
        <x:v>259</x:v>
      </x:c>
      <x:c r="G55" s="24" t="str">
        <x:f>'Evaluation Plan'!G55</x:f>
        <x:v>red block → 2–8 cm edge gap near green pen; no directional sector required.</x:v>
      </x:c>
      <x:c r="H55" s="25"/>
      <x:c r="I55" s="24" t="str">
        <x:f>'Evaluation Plan'!I55</x:f>
        <x:v>Matched manipulation control</x:v>
      </x:c>
      <x:c r="J55" s="24" t="str">
        <x:f>'Evaluation Plan'!J55</x:f>
        <x:v>RP-CT-N03</x:v>
      </x:c>
      <x:c r="K55" s="24" t="str">
        <x:f>'Evaluation Plan'!K55</x:f>
        <x:v>front</x:v>
      </x:c>
      <x:c r="L55" s="24" t="str">
        <x:f>'Evaluation Plan'!L55</x:f>
        <x:v>Exact-scene masked manipulation control</x:v>
      </x:c>
      <x:c r="M55" s="24" t="str">
        <x:f>'Evaluation Plan'!M55</x:f>
        <x:v>red block</x:v>
      </x:c>
      <x:c r="N55" s="24" t="str">
        <x:f>'Evaluation Plan'!N55</x:f>
        <x:v>green pen</x:v>
      </x:c>
      <x:c r="O55" s="24" t="str">
        <x:f>'Evaluation Plan'!O55</x:f>
        <x:v>None</x:v>
      </x:c>
      <x:c r="P55" s="24" t="n">
        <x:f>'Evaluation Plan'!P55</x:f>
        <x:v>3</x:v>
      </x:c>
      <x:c r="Q55" s="24" t="str">
        <x:f>'Evaluation Plan'!Q55</x:f>
        <x:v>Reset P1 to its marked pose; preserve the exact scene and use the trained control instruction.</x:v>
      </x:c>
      <x:c r="R55" s="25" t="str">
        <x:f>'Evaluation Plan'!R55</x:f>
        <x:v>Exact-scene control using the final training prompt from episode 259. The target, reference, distractors, camera, and robot start match the paired transfer row.</x:v>
      </x:c>
      <x:c r="S55" s="25" t="str">
        <x:f>IF(ISBLANK('Evaluation Plan'!S55),"",'Evaluation Plan'!S55)</x:f>
      </x:c>
    </x:row>
    <x:row r="56" ht="72" customHeight="1">
      <x:c r="A56" s="24" t="str">
        <x:v>Not collected</x:v>
      </x:c>
      <x:c r="B56" s="24" t="n">
        <x:f>'Evaluation Plan'!B56</x:f>
        <x:v>54</x:v>
      </x:c>
      <x:c r="C56" s="25" t="str">
        <x:f>'Evaluation Plan'!C56</x:f>
        <x:v>Position the red block on the robot-facing side of the green pen.</x:v>
      </x:c>
      <x:c r="D56" s="25" t="str">
        <x:f>'Evaluation Plan'!D56</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6" s="24" t="n">
        <x:f>IF(ISBLANK('Evaluation Plan'!E56),"",'Evaluation Plan'!E56)</x:f>
        <x:v>52</x:v>
      </x:c>
      <x:c r="F56" s="24" t="str">
        <x:f>'Evaluation Plan'!F56</x:f>
        <x:v>259</x:v>
      </x:c>
      <x:c r="G56" s="24" t="str">
        <x:f>'Evaluation Plan'!G56</x:f>
        <x:v>red block → 2–8 cm edge gap in front of green pen; centroid direction within ±45°.</x:v>
      </x:c>
      <x:c r="H56" s="25"/>
      <x:c r="I56" s="24" t="str">
        <x:f>'Evaluation Plan'!I56</x:f>
        <x:v>Language robustness</x:v>
      </x:c>
      <x:c r="J56" s="24" t="str">
        <x:f>'Evaluation Plan'!J56</x:f>
        <x:v>RP-CT-N03</x:v>
      </x:c>
      <x:c r="K56" s="24" t="str">
        <x:f>'Evaluation Plan'!K56</x:f>
        <x:v>front</x:v>
      </x:c>
      <x:c r="L56" s="24" t="str">
        <x:f>'Evaluation Plan'!L56</x:f>
        <x:v>Transfer paraphrase of concept/compositional transfer</x:v>
      </x:c>
      <x:c r="M56" s="24" t="str">
        <x:f>'Evaluation Plan'!M56</x:f>
        <x:v>red block</x:v>
      </x:c>
      <x:c r="N56" s="24" t="str">
        <x:f>'Evaluation Plan'!N56</x:f>
        <x:v>green pen</x:v>
      </x:c>
      <x:c r="O56" s="24" t="str">
        <x:f>'Evaluation Plan'!O56</x:f>
        <x:v>None</x:v>
      </x:c>
      <x:c r="P56" s="24" t="n">
        <x:f>'Evaluation Plan'!P56</x:f>
        <x:v>3</x:v>
      </x:c>
      <x:c r="Q56" s="24" t="str">
        <x:f>'Evaluation Plan'!Q56</x:f>
        <x:v>Reset P1 to its marked pose; preserve the exact scene and change only the wording of the transfer instruction.</x:v>
      </x:c>
      <x:c r="R56" s="25" t="str">
        <x:f>'Evaluation Plan'!R56</x:f>
        <x:v>Exact-scene paraphrase of the canonical compositional-transfer instruction.</x:v>
      </x:c>
      <x:c r="S56" s="25" t="str">
        <x:f>IF(ISBLANK('Evaluation Plan'!S56),"",'Evaluation Plan'!S56)</x:f>
      </x:c>
    </x:row>
    <x:row r="57" ht="72" customHeight="1">
      <x:c r="A57" s="24" t="str">
        <x:v>Not collected</x:v>
      </x:c>
      <x:c r="B57" s="24" t="n">
        <x:f>'Evaluation Plan'!B57</x:f>
        <x:v>55</x:v>
      </x:c>
      <x:c r="C57" s="25" t="str">
        <x:f>'Evaluation Plan'!C57</x:f>
        <x:v>Set the red block down close to the green pen.</x:v>
      </x:c>
      <x:c r="D57" s="25" t="str">
        <x:f>'Evaluation Plan'!D57</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7" s="24" t="n">
        <x:f>IF(ISBLANK('Evaluation Plan'!E57),"",'Evaluation Plan'!E57)</x:f>
        <x:v>53</x:v>
      </x:c>
      <x:c r="F57" s="24" t="str">
        <x:f>'Evaluation Plan'!F57</x:f>
        <x:v>259</x:v>
      </x:c>
      <x:c r="G57" s="24" t="str">
        <x:f>'Evaluation Plan'!G57</x:f>
        <x:v>red block → 2–8 cm edge gap near green pen; no directional sector required.</x:v>
      </x:c>
      <x:c r="H57" s="25"/>
      <x:c r="I57" s="24" t="str">
        <x:f>'Evaluation Plan'!I57</x:f>
        <x:v>Language robustness</x:v>
      </x:c>
      <x:c r="J57" s="24" t="str">
        <x:f>'Evaluation Plan'!J57</x:f>
        <x:v>RP-CT-N03</x:v>
      </x:c>
      <x:c r="K57" s="24" t="str">
        <x:f>'Evaluation Plan'!K57</x:f>
        <x:v>front</x:v>
      </x:c>
      <x:c r="L57" s="24" t="str">
        <x:f>'Evaluation Plan'!L57</x:f>
        <x:v>Matched-control paraphrase</x:v>
      </x:c>
      <x:c r="M57" s="24" t="str">
        <x:f>'Evaluation Plan'!M57</x:f>
        <x:v>red block</x:v>
      </x:c>
      <x:c r="N57" s="24" t="str">
        <x:f>'Evaluation Plan'!N57</x:f>
        <x:v>green pen</x:v>
      </x:c>
      <x:c r="O57" s="24" t="str">
        <x:f>'Evaluation Plan'!O57</x:f>
        <x:v>None</x:v>
      </x:c>
      <x:c r="P57" s="24" t="n">
        <x:f>'Evaluation Plan'!P57</x:f>
        <x:v>3</x:v>
      </x:c>
      <x:c r="Q57" s="24" t="str">
        <x:f>'Evaluation Plan'!Q57</x:f>
        <x:v>Reset P1 to its marked pose; preserve the exact scene and change only the wording of the matched-control instruction.</x:v>
      </x:c>
      <x:c r="R57" s="25" t="str">
        <x:f>'Evaluation Plan'!R57</x:f>
        <x:v>Exact-scene paraphrase of the training-supported control from episode 259.</x:v>
      </x:c>
      <x:c r="S57" s="25" t="str">
        <x:f>IF(ISBLANK('Evaluation Plan'!S57),"",'Evaluation Plan'!S57)</x:f>
      </x:c>
    </x:row>
    <x:row r="58" ht="72" customHeight="1">
      <x:c r="A58" s="9" t="str">
        <x:v>Not collected</x:v>
      </x:c>
      <x:c r="B58" s="9" t="n">
        <x:f>'Evaluation Plan'!B58</x:f>
        <x:v>56</x:v>
      </x:c>
      <x:c r="C58" s="10" t="str">
        <x:f>'Evaluation Plan'!C58</x:f>
        <x:v>Place the green pen behind the red block.</x:v>
      </x:c>
      <x:c r="D58" s="10" t="str">
        <x:f>'Evaluation Plan'!D58</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8" s="9" t="str">
        <x:f>IF(ISBLANK('Evaluation Plan'!E58),"",'Evaluation Plan'!E58)</x:f>
      </x:c>
      <x:c r="F58" s="9" t="str">
        <x:f>'Evaluation Plan'!F58</x:f>
        <x:v>216</x:v>
      </x:c>
      <x:c r="G58" s="9" t="str">
        <x:f>'Evaluation Plan'!G58</x:f>
        <x:v>green pen → 2–8 cm edge gap behind red block; centroid direction within ±45°.</x:v>
      </x:c>
      <x:c r="H58" s="10"/>
      <x:c r="I58" s="9" t="str">
        <x:f>'Evaluation Plan'!I58</x:f>
        <x:v>Concept/compositional transfer</x:v>
      </x:c>
      <x:c r="J58" s="9" t="str">
        <x:f>'Evaluation Plan'!J58</x:f>
        <x:v>RP-CT-N04</x:v>
      </x:c>
      <x:c r="K58" s="9" t="str">
        <x:f>'Evaluation Plan'!K58</x:f>
        <x:v>behind</x:v>
      </x:c>
      <x:c r="L58" s="9" t="str">
        <x:f>'Evaluation Plan'!L58</x:f>
        <x:v>Neutral-axis independent compositional-transfer scene</x:v>
      </x:c>
      <x:c r="M58" s="9" t="str">
        <x:f>'Evaluation Plan'!M58</x:f>
        <x:v>green pen</x:v>
      </x:c>
      <x:c r="N58" s="9" t="str">
        <x:f>'Evaluation Plan'!N58</x:f>
        <x:v>red block</x:v>
      </x:c>
      <x:c r="O58" s="9" t="str">
        <x:f>'Evaluation Plan'!O58</x:f>
        <x:v>None</x:v>
      </x:c>
      <x:c r="P58" s="9" t="n">
        <x:f>'Evaluation Plan'!P58</x:f>
        <x:v>4</x:v>
      </x:c>
      <x:c r="Q58" s="9" t="str">
        <x:f>'Evaluation Plan'!Q58</x:f>
        <x:v>Build the listed neutral-axis scene and save the first frame.</x:v>
      </x:c>
      <x:c r="R58" s="10" t="str">
        <x:f>'Evaluation Plan'!R58</x:f>
        <x:v>Independent held-out-composition scene. Source episode 216 supplies target recognition/manipulation under the trained prompt “Place the green pen next to the red block.”. The orthogonal start removes the opposite-side shortcut.</x:v>
      </x:c>
      <x:c r="S58" s="10" t="str">
        <x:f>IF(ISBLANK('Evaluation Plan'!S58),"",'Evaluation Plan'!S58)</x:f>
      </x:c>
    </x:row>
    <x:row r="59" ht="72" customHeight="1">
      <x:c r="A59" s="24" t="str">
        <x:v>Not collected</x:v>
      </x:c>
      <x:c r="B59" s="24" t="n">
        <x:f>'Evaluation Plan'!B59</x:f>
        <x:v>57</x:v>
      </x:c>
      <x:c r="C59" s="25" t="str">
        <x:f>'Evaluation Plan'!C59</x:f>
        <x:v>Place the green pen next to the red block.</x:v>
      </x:c>
      <x:c r="D59" s="25" t="str">
        <x:f>'Evaluation Plan'!D59</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9" s="24" t="n">
        <x:f>IF(ISBLANK('Evaluation Plan'!E59),"",'Evaluation Plan'!E59)</x:f>
        <x:v>56</x:v>
      </x:c>
      <x:c r="F59" s="24" t="str">
        <x:f>'Evaluation Plan'!F59</x:f>
        <x:v>216</x:v>
      </x:c>
      <x:c r="G59" s="24" t="str">
        <x:f>'Evaluation Plan'!G59</x:f>
        <x:v>green pen → 2–8 cm edge gap near red block; no directional sector required.</x:v>
      </x:c>
      <x:c r="H59" s="25"/>
      <x:c r="I59" s="24" t="str">
        <x:f>'Evaluation Plan'!I59</x:f>
        <x:v>Matched manipulation control</x:v>
      </x:c>
      <x:c r="J59" s="24" t="str">
        <x:f>'Evaluation Plan'!J59</x:f>
        <x:v>RP-CT-N04</x:v>
      </x:c>
      <x:c r="K59" s="24" t="str">
        <x:f>'Evaluation Plan'!K59</x:f>
        <x:v>behind</x:v>
      </x:c>
      <x:c r="L59" s="24" t="str">
        <x:f>'Evaluation Plan'!L59</x:f>
        <x:v>Exact-scene masked manipulation control</x:v>
      </x:c>
      <x:c r="M59" s="24" t="str">
        <x:f>'Evaluation Plan'!M59</x:f>
        <x:v>green pen</x:v>
      </x:c>
      <x:c r="N59" s="24" t="str">
        <x:f>'Evaluation Plan'!N59</x:f>
        <x:v>red block</x:v>
      </x:c>
      <x:c r="O59" s="24" t="str">
        <x:f>'Evaluation Plan'!O59</x:f>
        <x:v>None</x:v>
      </x:c>
      <x:c r="P59" s="24" t="n">
        <x:f>'Evaluation Plan'!P59</x:f>
        <x:v>4</x:v>
      </x:c>
      <x:c r="Q59" s="24" t="str">
        <x:f>'Evaluation Plan'!Q59</x:f>
        <x:v>Reset P1 to its marked pose; preserve the exact scene and use the trained control instruction.</x:v>
      </x:c>
      <x:c r="R59" s="25" t="str">
        <x:f>'Evaluation Plan'!R59</x:f>
        <x:v>Exact-scene control using the final training prompt from episode 216. The target, reference, distractors, camera, and robot start match the paired transfer row.</x:v>
      </x:c>
      <x:c r="S59" s="25" t="str">
        <x:f>IF(ISBLANK('Evaluation Plan'!S59),"",'Evaluation Plan'!S59)</x:f>
      </x:c>
    </x:row>
    <x:row r="60" ht="72" customHeight="1">
      <x:c r="A60" s="24" t="str">
        <x:v>Not collected</x:v>
      </x:c>
      <x:c r="B60" s="24" t="n">
        <x:f>'Evaluation Plan'!B60</x:f>
        <x:v>58</x:v>
      </x:c>
      <x:c r="C60" s="25" t="str">
        <x:f>'Evaluation Plan'!C60</x:f>
        <x:v>Position the green pen on the far side of the red block, away from the robot.</x:v>
      </x:c>
      <x:c r="D60" s="25" t="str">
        <x:f>'Evaluation Plan'!D60</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0" s="24" t="n">
        <x:f>IF(ISBLANK('Evaluation Plan'!E60),"",'Evaluation Plan'!E60)</x:f>
        <x:v>56</x:v>
      </x:c>
      <x:c r="F60" s="24" t="str">
        <x:f>'Evaluation Plan'!F60</x:f>
        <x:v>216</x:v>
      </x:c>
      <x:c r="G60" s="24" t="str">
        <x:f>'Evaluation Plan'!G60</x:f>
        <x:v>green pen → 2–8 cm edge gap behind red block; centroid direction within ±45°.</x:v>
      </x:c>
      <x:c r="H60" s="25"/>
      <x:c r="I60" s="24" t="str">
        <x:f>'Evaluation Plan'!I60</x:f>
        <x:v>Language robustness</x:v>
      </x:c>
      <x:c r="J60" s="24" t="str">
        <x:f>'Evaluation Plan'!J60</x:f>
        <x:v>RP-CT-N04</x:v>
      </x:c>
      <x:c r="K60" s="24" t="str">
        <x:f>'Evaluation Plan'!K60</x:f>
        <x:v>behind</x:v>
      </x:c>
      <x:c r="L60" s="24" t="str">
        <x:f>'Evaluation Plan'!L60</x:f>
        <x:v>Transfer paraphrase of concept/compositional transfer</x:v>
      </x:c>
      <x:c r="M60" s="24" t="str">
        <x:f>'Evaluation Plan'!M60</x:f>
        <x:v>green pen</x:v>
      </x:c>
      <x:c r="N60" s="24" t="str">
        <x:f>'Evaluation Plan'!N60</x:f>
        <x:v>red block</x:v>
      </x:c>
      <x:c r="O60" s="24" t="str">
        <x:f>'Evaluation Plan'!O60</x:f>
        <x:v>None</x:v>
      </x:c>
      <x:c r="P60" s="24" t="n">
        <x:f>'Evaluation Plan'!P60</x:f>
        <x:v>4</x:v>
      </x:c>
      <x:c r="Q60" s="24" t="str">
        <x:f>'Evaluation Plan'!Q60</x:f>
        <x:v>Reset P1 to its marked pose; preserve the exact scene and change only the wording of the transfer instruction.</x:v>
      </x:c>
      <x:c r="R60" s="25" t="str">
        <x:f>'Evaluation Plan'!R60</x:f>
        <x:v>Exact-scene paraphrase of the canonical compositional-transfer instruction.</x:v>
      </x:c>
      <x:c r="S60" s="25" t="str">
        <x:f>IF(ISBLANK('Evaluation Plan'!S60),"",'Evaluation Plan'!S60)</x:f>
      </x:c>
    </x:row>
    <x:row r="61" ht="72" customHeight="1">
      <x:c r="A61" s="24" t="str">
        <x:v>Not collected</x:v>
      </x:c>
      <x:c r="B61" s="24" t="n">
        <x:f>'Evaluation Plan'!B61</x:f>
        <x:v>59</x:v>
      </x:c>
      <x:c r="C61" s="25" t="str">
        <x:f>'Evaluation Plan'!C61</x:f>
        <x:v>Set the green pen down close to the red block.</x:v>
      </x:c>
      <x:c r="D61" s="25" t="str">
        <x:f>'Evaluation Plan'!D61</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1" s="24" t="n">
        <x:f>IF(ISBLANK('Evaluation Plan'!E61),"",'Evaluation Plan'!E61)</x:f>
        <x:v>57</x:v>
      </x:c>
      <x:c r="F61" s="24" t="str">
        <x:f>'Evaluation Plan'!F61</x:f>
        <x:v>216</x:v>
      </x:c>
      <x:c r="G61" s="24" t="str">
        <x:f>'Evaluation Plan'!G61</x:f>
        <x:v>green pen → 2–8 cm edge gap near red block; no directional sector required.</x:v>
      </x:c>
      <x:c r="H61" s="25"/>
      <x:c r="I61" s="24" t="str">
        <x:f>'Evaluation Plan'!I61</x:f>
        <x:v>Language robustness</x:v>
      </x:c>
      <x:c r="J61" s="24" t="str">
        <x:f>'Evaluation Plan'!J61</x:f>
        <x:v>RP-CT-N04</x:v>
      </x:c>
      <x:c r="K61" s="24" t="str">
        <x:f>'Evaluation Plan'!K61</x:f>
        <x:v>behind</x:v>
      </x:c>
      <x:c r="L61" s="24" t="str">
        <x:f>'Evaluation Plan'!L61</x:f>
        <x:v>Matched-control paraphrase</x:v>
      </x:c>
      <x:c r="M61" s="24" t="str">
        <x:f>'Evaluation Plan'!M61</x:f>
        <x:v>green pen</x:v>
      </x:c>
      <x:c r="N61" s="24" t="str">
        <x:f>'Evaluation Plan'!N61</x:f>
        <x:v>red block</x:v>
      </x:c>
      <x:c r="O61" s="24" t="str">
        <x:f>'Evaluation Plan'!O61</x:f>
        <x:v>None</x:v>
      </x:c>
      <x:c r="P61" s="24" t="n">
        <x:f>'Evaluation Plan'!P61</x:f>
        <x:v>4</x:v>
      </x:c>
      <x:c r="Q61" s="24" t="str">
        <x:f>'Evaluation Plan'!Q61</x:f>
        <x:v>Reset P1 to its marked pose; preserve the exact scene and change only the wording of the matched-control instruction.</x:v>
      </x:c>
      <x:c r="R61" s="25" t="str">
        <x:f>'Evaluation Plan'!R61</x:f>
        <x:v>Exact-scene paraphrase of the training-supported control from episode 216.</x:v>
      </x:c>
      <x:c r="S61" s="25" t="str">
        <x:f>IF(ISBLANK('Evaluation Plan'!S61),"",'Evaluation Plan'!S61)</x:f>
      </x:c>
    </x:row>
    <x:row r="62" ht="72" customHeight="1">
      <x:c r="A62" s="9" t="str">
        <x:v>Not collected</x:v>
      </x:c>
      <x:c r="B62" s="9" t="n">
        <x:f>'Evaluation Plan'!B62</x:f>
        <x:v>60</x:v>
      </x:c>
      <x:c r="C62" s="10" t="str">
        <x:f>'Evaluation Plan'!C62</x:f>
        <x:v>Place the red block behind the green pen.</x:v>
      </x:c>
      <x:c r="D62" s="10" t="str">
        <x:f>'Evaluation Plan'!D62</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2" s="9" t="str">
        <x:f>IF(ISBLANK('Evaluation Plan'!E62),"",'Evaluation Plan'!E62)</x:f>
      </x:c>
      <x:c r="F62" s="9" t="str">
        <x:f>'Evaluation Plan'!F62</x:f>
        <x:v>272</x:v>
      </x:c>
      <x:c r="G62" s="9" t="str">
        <x:f>'Evaluation Plan'!G62</x:f>
        <x:v>red block → 2–8 cm edge gap behind green pen; centroid direction within ±45°.</x:v>
      </x:c>
      <x:c r="H62" s="10"/>
      <x:c r="I62" s="9" t="str">
        <x:f>'Evaluation Plan'!I62</x:f>
        <x:v>Concept/compositional transfer</x:v>
      </x:c>
      <x:c r="J62" s="9" t="str">
        <x:f>'Evaluation Plan'!J62</x:f>
        <x:v>RP-CT-N05</x:v>
      </x:c>
      <x:c r="K62" s="9" t="str">
        <x:f>'Evaluation Plan'!K62</x:f>
        <x:v>behind</x:v>
      </x:c>
      <x:c r="L62" s="9" t="str">
        <x:f>'Evaluation Plan'!L62</x:f>
        <x:v>Neutral-axis independent compositional-transfer scene</x:v>
      </x:c>
      <x:c r="M62" s="9" t="str">
        <x:f>'Evaluation Plan'!M62</x:f>
        <x:v>red block</x:v>
      </x:c>
      <x:c r="N62" s="9" t="str">
        <x:f>'Evaluation Plan'!N62</x:f>
        <x:v>green pen</x:v>
      </x:c>
      <x:c r="O62" s="9" t="str">
        <x:f>'Evaluation Plan'!O62</x:f>
        <x:v>None</x:v>
      </x:c>
      <x:c r="P62" s="9" t="n">
        <x:f>'Evaluation Plan'!P62</x:f>
        <x:v>3</x:v>
      </x:c>
      <x:c r="Q62" s="9" t="str">
        <x:f>'Evaluation Plan'!Q62</x:f>
        <x:v>Build the listed neutral-axis scene and save the first frame.</x:v>
      </x:c>
      <x:c r="R62" s="10" t="str">
        <x:f>'Evaluation Plan'!R62</x:f>
        <x:v>Independent held-out-composition scene. Source episode 272 supplies target recognition/manipulation under the trained prompt “Move the red block near the green pen.”. The orthogonal start removes the opposite-side shortcut.</x:v>
      </x:c>
      <x:c r="S62" s="10" t="str">
        <x:f>IF(ISBLANK('Evaluation Plan'!S62),"",'Evaluation Plan'!S62)</x:f>
      </x:c>
    </x:row>
    <x:row r="63" ht="72" customHeight="1">
      <x:c r="A63" s="24" t="str">
        <x:v>Not collected</x:v>
      </x:c>
      <x:c r="B63" s="24" t="n">
        <x:f>'Evaluation Plan'!B63</x:f>
        <x:v>61</x:v>
      </x:c>
      <x:c r="C63" s="25" t="str">
        <x:f>'Evaluation Plan'!C63</x:f>
        <x:v>Move the red block near the green pen.</x:v>
      </x:c>
      <x:c r="D63" s="25" t="str">
        <x:f>'Evaluation Plan'!D63</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3" s="24" t="n">
        <x:f>IF(ISBLANK('Evaluation Plan'!E63),"",'Evaluation Plan'!E63)</x:f>
        <x:v>60</x:v>
      </x:c>
      <x:c r="F63" s="24" t="str">
        <x:f>'Evaluation Plan'!F63</x:f>
        <x:v>272</x:v>
      </x:c>
      <x:c r="G63" s="24" t="str">
        <x:f>'Evaluation Plan'!G63</x:f>
        <x:v>red block → 2–8 cm edge gap near green pen; no directional sector required.</x:v>
      </x:c>
      <x:c r="H63" s="25"/>
      <x:c r="I63" s="24" t="str">
        <x:f>'Evaluation Plan'!I63</x:f>
        <x:v>Matched manipulation control</x:v>
      </x:c>
      <x:c r="J63" s="24" t="str">
        <x:f>'Evaluation Plan'!J63</x:f>
        <x:v>RP-CT-N05</x:v>
      </x:c>
      <x:c r="K63" s="24" t="str">
        <x:f>'Evaluation Plan'!K63</x:f>
        <x:v>behind</x:v>
      </x:c>
      <x:c r="L63" s="24" t="str">
        <x:f>'Evaluation Plan'!L63</x:f>
        <x:v>Exact-scene masked manipulation control</x:v>
      </x:c>
      <x:c r="M63" s="24" t="str">
        <x:f>'Evaluation Plan'!M63</x:f>
        <x:v>red block</x:v>
      </x:c>
      <x:c r="N63" s="24" t="str">
        <x:f>'Evaluation Plan'!N63</x:f>
        <x:v>green pen</x:v>
      </x:c>
      <x:c r="O63" s="24" t="str">
        <x:f>'Evaluation Plan'!O63</x:f>
        <x:v>None</x:v>
      </x:c>
      <x:c r="P63" s="24" t="n">
        <x:f>'Evaluation Plan'!P63</x:f>
        <x:v>3</x:v>
      </x:c>
      <x:c r="Q63" s="24" t="str">
        <x:f>'Evaluation Plan'!Q63</x:f>
        <x:v>Reset P1 to its marked pose; preserve the exact scene and use the trained control instruction.</x:v>
      </x:c>
      <x:c r="R63" s="25" t="str">
        <x:f>'Evaluation Plan'!R63</x:f>
        <x:v>Exact-scene control using the final training prompt from episode 272. The target, reference, distractors, camera, and robot start match the paired transfer row.</x:v>
      </x:c>
      <x:c r="S63" s="25" t="str">
        <x:f>IF(ISBLANK('Evaluation Plan'!S63),"",'Evaluation Plan'!S63)</x:f>
      </x:c>
    </x:row>
    <x:row r="64" ht="72" customHeight="1">
      <x:c r="A64" s="9" t="str">
        <x:v>Not collected</x:v>
      </x:c>
      <x:c r="B64" s="9" t="n">
        <x:f>'Evaluation Plan'!B64</x:f>
        <x:v>62</x:v>
      </x:c>
      <x:c r="C64" s="10" t="str">
        <x:f>'Evaluation Plan'!C64</x:f>
        <x:v>Position the red block on the far side of the green pen, away from the robot.</x:v>
      </x:c>
      <x:c r="D64" s="10" t="str">
        <x:f>'Evaluation Plan'!D64</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4" s="9" t="n">
        <x:f>IF(ISBLANK('Evaluation Plan'!E64),"",'Evaluation Plan'!E64)</x:f>
        <x:v>60</x:v>
      </x:c>
      <x:c r="F64" s="9" t="str">
        <x:f>'Evaluation Plan'!F64</x:f>
        <x:v>272</x:v>
      </x:c>
      <x:c r="G64" s="9" t="str">
        <x:f>'Evaluation Plan'!G64</x:f>
        <x:v>red block → 2–8 cm edge gap behind green pen; centroid direction within ±45°.</x:v>
      </x:c>
      <x:c r="H64" s="10"/>
      <x:c r="I64" s="9" t="str">
        <x:f>'Evaluation Plan'!I64</x:f>
        <x:v>Language robustness</x:v>
      </x:c>
      <x:c r="J64" s="9" t="str">
        <x:f>'Evaluation Plan'!J64</x:f>
        <x:v>RP-CT-N05</x:v>
      </x:c>
      <x:c r="K64" s="9" t="str">
        <x:f>'Evaluation Plan'!K64</x:f>
        <x:v>behind</x:v>
      </x:c>
      <x:c r="L64" s="9" t="str">
        <x:f>'Evaluation Plan'!L64</x:f>
        <x:v>Transfer paraphrase of concept/compositional transfer</x:v>
      </x:c>
      <x:c r="M64" s="9" t="str">
        <x:f>'Evaluation Plan'!M64</x:f>
        <x:v>red block</x:v>
      </x:c>
      <x:c r="N64" s="9" t="str">
        <x:f>'Evaluation Plan'!N64</x:f>
        <x:v>green pen</x:v>
      </x:c>
      <x:c r="O64" s="9" t="str">
        <x:f>'Evaluation Plan'!O64</x:f>
        <x:v>None</x:v>
      </x:c>
      <x:c r="P64" s="9" t="n">
        <x:f>'Evaluation Plan'!P64</x:f>
        <x:v>3</x:v>
      </x:c>
      <x:c r="Q64" s="9" t="str">
        <x:f>'Evaluation Plan'!Q64</x:f>
        <x:v>Reset P1 to its marked pose; preserve the exact scene and change only the wording of the transfer instruction.</x:v>
      </x:c>
      <x:c r="R64" s="10" t="str">
        <x:f>'Evaluation Plan'!R64</x:f>
        <x:v>Exact-scene paraphrase of the canonical compositional-transfer instruction.</x:v>
      </x:c>
      <x:c r="S64" s="10" t="str">
        <x:f>IF(ISBLANK('Evaluation Plan'!S64),"",'Evaluation Plan'!S64)</x:f>
      </x:c>
    </x:row>
    <x:row r="65" ht="72" customHeight="1">
      <x:c r="A65" s="24" t="str">
        <x:v>Not collected</x:v>
      </x:c>
      <x:c r="B65" s="24" t="n">
        <x:f>'Evaluation Plan'!B65</x:f>
        <x:v>63</x:v>
      </x:c>
      <x:c r="C65" s="25" t="str">
        <x:f>'Evaluation Plan'!C65</x:f>
        <x:v>Set the red block down close to the green pen.</x:v>
      </x:c>
      <x:c r="D65" s="25" t="str">
        <x:f>'Evaluation Plan'!D65</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5" s="24" t="n">
        <x:f>IF(ISBLANK('Evaluation Plan'!E65),"",'Evaluation Plan'!E65)</x:f>
        <x:v>61</x:v>
      </x:c>
      <x:c r="F65" s="24" t="str">
        <x:f>'Evaluation Plan'!F65</x:f>
        <x:v>272</x:v>
      </x:c>
      <x:c r="G65" s="24" t="str">
        <x:f>'Evaluation Plan'!G65</x:f>
        <x:v>red block → 2–8 cm edge gap near green pen; no directional sector required.</x:v>
      </x:c>
      <x:c r="H65" s="25"/>
      <x:c r="I65" s="24" t="str">
        <x:f>'Evaluation Plan'!I65</x:f>
        <x:v>Language robustness</x:v>
      </x:c>
      <x:c r="J65" s="24" t="str">
        <x:f>'Evaluation Plan'!J65</x:f>
        <x:v>RP-CT-N05</x:v>
      </x:c>
      <x:c r="K65" s="24" t="str">
        <x:f>'Evaluation Plan'!K65</x:f>
        <x:v>behind</x:v>
      </x:c>
      <x:c r="L65" s="24" t="str">
        <x:f>'Evaluation Plan'!L65</x:f>
        <x:v>Matched-control paraphrase</x:v>
      </x:c>
      <x:c r="M65" s="24" t="str">
        <x:f>'Evaluation Plan'!M65</x:f>
        <x:v>red block</x:v>
      </x:c>
      <x:c r="N65" s="24" t="str">
        <x:f>'Evaluation Plan'!N65</x:f>
        <x:v>green pen</x:v>
      </x:c>
      <x:c r="O65" s="24" t="str">
        <x:f>'Evaluation Plan'!O65</x:f>
        <x:v>None</x:v>
      </x:c>
      <x:c r="P65" s="24" t="n">
        <x:f>'Evaluation Plan'!P65</x:f>
        <x:v>3</x:v>
      </x:c>
      <x:c r="Q65" s="24" t="str">
        <x:f>'Evaluation Plan'!Q65</x:f>
        <x:v>Reset P1 to its marked pose; preserve the exact scene and change only the wording of the matched-control instruction.</x:v>
      </x:c>
      <x:c r="R65" s="25" t="str">
        <x:f>'Evaluation Plan'!R65</x:f>
        <x:v>Exact-scene paraphrase of the training-supported control from episode 272.</x:v>
      </x:c>
      <x:c r="S65" s="25" t="str">
        <x:f>IF(ISBLANK('Evaluation Plan'!S65),"",'Evaluation Plan'!S65)</x:f>
      </x:c>
    </x:row>
    <x:row r="66" ht="72" customHeight="1">
      <x:c r="A66" s="9" t="str">
        <x:v>Not collected</x:v>
      </x:c>
      <x:c r="B66" s="9" t="n">
        <x:f>'Evaluation Plan'!B66</x:f>
        <x:v>64</x:v>
      </x:c>
      <x:c r="C66" s="10" t="str">
        <x:f>'Evaluation Plan'!C66</x:f>
        <x:v>Place the red block behind the green pen.</x:v>
      </x:c>
      <x:c r="D66" s="10" t="str">
        <x:f>'Evaluation Plan'!D66</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6" s="9" t="str">
        <x:f>IF(ISBLANK('Evaluation Plan'!E66),"",'Evaluation Plan'!E66)</x:f>
      </x:c>
      <x:c r="F66" s="9" t="str">
        <x:f>'Evaluation Plan'!F66</x:f>
        <x:v>273</x:v>
      </x:c>
      <x:c r="G66" s="9" t="str">
        <x:f>'Evaluation Plan'!G66</x:f>
        <x:v>red block → 2–8 cm edge gap behind green pen; centroid direction within ±45°.</x:v>
      </x:c>
      <x:c r="H66" s="10"/>
      <x:c r="I66" s="9" t="str">
        <x:f>'Evaluation Plan'!I66</x:f>
        <x:v>Concept/compositional transfer</x:v>
      </x:c>
      <x:c r="J66" s="9" t="str">
        <x:f>'Evaluation Plan'!J66</x:f>
        <x:v>RP-CT-N06</x:v>
      </x:c>
      <x:c r="K66" s="9" t="str">
        <x:f>'Evaluation Plan'!K66</x:f>
        <x:v>behind</x:v>
      </x:c>
      <x:c r="L66" s="9" t="str">
        <x:f>'Evaluation Plan'!L66</x:f>
        <x:v>Neutral-axis independent compositional-transfer scene</x:v>
      </x:c>
      <x:c r="M66" s="9" t="str">
        <x:f>'Evaluation Plan'!M66</x:f>
        <x:v>red block</x:v>
      </x:c>
      <x:c r="N66" s="9" t="str">
        <x:f>'Evaluation Plan'!N66</x:f>
        <x:v>green pen</x:v>
      </x:c>
      <x:c r="O66" s="9" t="str">
        <x:f>'Evaluation Plan'!O66</x:f>
        <x:v>None</x:v>
      </x:c>
      <x:c r="P66" s="9" t="n">
        <x:f>'Evaluation Plan'!P66</x:f>
        <x:v>4</x:v>
      </x:c>
      <x:c r="Q66" s="9" t="str">
        <x:f>'Evaluation Plan'!Q66</x:f>
        <x:v>Build the listed neutral-axis scene and save the first frame.</x:v>
      </x:c>
      <x:c r="R66" s="10" t="str">
        <x:f>'Evaluation Plan'!R66</x:f>
        <x:v>Independent held-out-composition scene. Source episode 273 supplies target recognition/manipulation under the trained prompt “Place the red block next to the green pen.”. The orthogonal start removes the opposite-side shortcut.</x:v>
      </x:c>
      <x:c r="S66" s="10" t="str">
        <x:f>IF(ISBLANK('Evaluation Plan'!S66),"",'Evaluation Plan'!S66)</x:f>
      </x:c>
    </x:row>
    <x:row r="67" ht="72" customHeight="1">
      <x:c r="A67" s="24" t="str">
        <x:v>Not collected</x:v>
      </x:c>
      <x:c r="B67" s="24" t="n">
        <x:f>'Evaluation Plan'!B67</x:f>
        <x:v>65</x:v>
      </x:c>
      <x:c r="C67" s="25" t="str">
        <x:f>'Evaluation Plan'!C67</x:f>
        <x:v>Place the red block next to the green pen.</x:v>
      </x:c>
      <x:c r="D67" s="25" t="str">
        <x:f>'Evaluation Plan'!D67</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7" s="24" t="n">
        <x:f>IF(ISBLANK('Evaluation Plan'!E67),"",'Evaluation Plan'!E67)</x:f>
        <x:v>64</x:v>
      </x:c>
      <x:c r="F67" s="24" t="str">
        <x:f>'Evaluation Plan'!F67</x:f>
        <x:v>273</x:v>
      </x:c>
      <x:c r="G67" s="24" t="str">
        <x:f>'Evaluation Plan'!G67</x:f>
        <x:v>red block → 2–8 cm edge gap near green pen; no directional sector required.</x:v>
      </x:c>
      <x:c r="H67" s="25"/>
      <x:c r="I67" s="24" t="str">
        <x:f>'Evaluation Plan'!I67</x:f>
        <x:v>Matched manipulation control</x:v>
      </x:c>
      <x:c r="J67" s="24" t="str">
        <x:f>'Evaluation Plan'!J67</x:f>
        <x:v>RP-CT-N06</x:v>
      </x:c>
      <x:c r="K67" s="24" t="str">
        <x:f>'Evaluation Plan'!K67</x:f>
        <x:v>behind</x:v>
      </x:c>
      <x:c r="L67" s="24" t="str">
        <x:f>'Evaluation Plan'!L67</x:f>
        <x:v>Exact-scene masked manipulation control</x:v>
      </x:c>
      <x:c r="M67" s="24" t="str">
        <x:f>'Evaluation Plan'!M67</x:f>
        <x:v>red block</x:v>
      </x:c>
      <x:c r="N67" s="24" t="str">
        <x:f>'Evaluation Plan'!N67</x:f>
        <x:v>green pen</x:v>
      </x:c>
      <x:c r="O67" s="24" t="str">
        <x:f>'Evaluation Plan'!O67</x:f>
        <x:v>None</x:v>
      </x:c>
      <x:c r="P67" s="24" t="n">
        <x:f>'Evaluation Plan'!P67</x:f>
        <x:v>4</x:v>
      </x:c>
      <x:c r="Q67" s="24" t="str">
        <x:f>'Evaluation Plan'!Q67</x:f>
        <x:v>Reset P1 to its marked pose; preserve the exact scene and use the trained control instruction.</x:v>
      </x:c>
      <x:c r="R67" s="25" t="str">
        <x:f>'Evaluation Plan'!R67</x:f>
        <x:v>Exact-scene control using the final training prompt from episode 273. The target, reference, distractors, camera, and robot start match the paired transfer row.</x:v>
      </x:c>
      <x:c r="S67" s="25" t="str">
        <x:f>IF(ISBLANK('Evaluation Plan'!S67),"",'Evaluation Plan'!S67)</x:f>
      </x:c>
    </x:row>
    <x:row r="68" ht="72" customHeight="1">
      <x:c r="A68" s="9" t="str">
        <x:v>Not collected</x:v>
      </x:c>
      <x:c r="B68" s="9" t="n">
        <x:f>'Evaluation Plan'!B68</x:f>
        <x:v>66</x:v>
      </x:c>
      <x:c r="C68" s="10" t="str">
        <x:f>'Evaluation Plan'!C68</x:f>
        <x:v>Position the red block on the far side of the green pen, away from the robot.</x:v>
      </x:c>
      <x:c r="D68" s="10" t="str">
        <x:f>'Evaluation Plan'!D68</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8" s="9" t="n">
        <x:f>IF(ISBLANK('Evaluation Plan'!E68),"",'Evaluation Plan'!E68)</x:f>
        <x:v>64</x:v>
      </x:c>
      <x:c r="F68" s="9" t="str">
        <x:f>'Evaluation Plan'!F68</x:f>
        <x:v>273</x:v>
      </x:c>
      <x:c r="G68" s="9" t="str">
        <x:f>'Evaluation Plan'!G68</x:f>
        <x:v>red block → 2–8 cm edge gap behind green pen; centroid direction within ±45°.</x:v>
      </x:c>
      <x:c r="H68" s="10"/>
      <x:c r="I68" s="9" t="str">
        <x:f>'Evaluation Plan'!I68</x:f>
        <x:v>Language robustness</x:v>
      </x:c>
      <x:c r="J68" s="9" t="str">
        <x:f>'Evaluation Plan'!J68</x:f>
        <x:v>RP-CT-N06</x:v>
      </x:c>
      <x:c r="K68" s="9" t="str">
        <x:f>'Evaluation Plan'!K68</x:f>
        <x:v>behind</x:v>
      </x:c>
      <x:c r="L68" s="9" t="str">
        <x:f>'Evaluation Plan'!L68</x:f>
        <x:v>Transfer paraphrase of concept/compositional transfer</x:v>
      </x:c>
      <x:c r="M68" s="9" t="str">
        <x:f>'Evaluation Plan'!M68</x:f>
        <x:v>red block</x:v>
      </x:c>
      <x:c r="N68" s="9" t="str">
        <x:f>'Evaluation Plan'!N68</x:f>
        <x:v>green pen</x:v>
      </x:c>
      <x:c r="O68" s="9" t="str">
        <x:f>'Evaluation Plan'!O68</x:f>
        <x:v>None</x:v>
      </x:c>
      <x:c r="P68" s="9" t="n">
        <x:f>'Evaluation Plan'!P68</x:f>
        <x:v>4</x:v>
      </x:c>
      <x:c r="Q68" s="9" t="str">
        <x:f>'Evaluation Plan'!Q68</x:f>
        <x:v>Reset P1 to its marked pose; preserve the exact scene and change only the wording of the transfer instruction.</x:v>
      </x:c>
      <x:c r="R68" s="10" t="str">
        <x:f>'Evaluation Plan'!R68</x:f>
        <x:v>Exact-scene paraphrase of the canonical compositional-transfer instruction.</x:v>
      </x:c>
      <x:c r="S68" s="10" t="str">
        <x:f>IF(ISBLANK('Evaluation Plan'!S68),"",'Evaluation Plan'!S68)</x:f>
      </x:c>
    </x:row>
    <x:row r="69" ht="72" customHeight="1">
      <x:c r="A69" s="24" t="str">
        <x:v>Not collected</x:v>
      </x:c>
      <x:c r="B69" s="24" t="n">
        <x:f>'Evaluation Plan'!B69</x:f>
        <x:v>67</x:v>
      </x:c>
      <x:c r="C69" s="25" t="str">
        <x:f>'Evaluation Plan'!C69</x:f>
        <x:v>Set the red block down close to the green pen.</x:v>
      </x:c>
      <x:c r="D69" s="25" t="str">
        <x:f>'Evaluation Plan'!D69</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9" s="24" t="n">
        <x:f>IF(ISBLANK('Evaluation Plan'!E69),"",'Evaluation Plan'!E69)</x:f>
        <x:v>65</x:v>
      </x:c>
      <x:c r="F69" s="24" t="str">
        <x:f>'Evaluation Plan'!F69</x:f>
        <x:v>273</x:v>
      </x:c>
      <x:c r="G69" s="24" t="str">
        <x:f>'Evaluation Plan'!G69</x:f>
        <x:v>red block → 2–8 cm edge gap near green pen; no directional sector required.</x:v>
      </x:c>
      <x:c r="H69" s="25"/>
      <x:c r="I69" s="24" t="str">
        <x:f>'Evaluation Plan'!I69</x:f>
        <x:v>Language robustness</x:v>
      </x:c>
      <x:c r="J69" s="24" t="str">
        <x:f>'Evaluation Plan'!J69</x:f>
        <x:v>RP-CT-N06</x:v>
      </x:c>
      <x:c r="K69" s="24" t="str">
        <x:f>'Evaluation Plan'!K69</x:f>
        <x:v>behind</x:v>
      </x:c>
      <x:c r="L69" s="24" t="str">
        <x:f>'Evaluation Plan'!L69</x:f>
        <x:v>Matched-control paraphrase</x:v>
      </x:c>
      <x:c r="M69" s="24" t="str">
        <x:f>'Evaluation Plan'!M69</x:f>
        <x:v>red block</x:v>
      </x:c>
      <x:c r="N69" s="24" t="str">
        <x:f>'Evaluation Plan'!N69</x:f>
        <x:v>green pen</x:v>
      </x:c>
      <x:c r="O69" s="24" t="str">
        <x:f>'Evaluation Plan'!O69</x:f>
        <x:v>None</x:v>
      </x:c>
      <x:c r="P69" s="24" t="n">
        <x:f>'Evaluation Plan'!P69</x:f>
        <x:v>4</x:v>
      </x:c>
      <x:c r="Q69" s="24" t="str">
        <x:f>'Evaluation Plan'!Q69</x:f>
        <x:v>Reset P1 to its marked pose; preserve the exact scene and change only the wording of the matched-control instruction.</x:v>
      </x:c>
      <x:c r="R69" s="25" t="str">
        <x:f>'Evaluation Plan'!R69</x:f>
        <x:v>Exact-scene paraphrase of the training-supported control from episode 273.</x:v>
      </x:c>
      <x:c r="S69" s="25" t="str">
        <x:f>IF(ISBLANK('Evaluation Plan'!S69),"",'Evaluation Plan'!S69)</x:f>
      </x:c>
    </x:row>
    <x:row r="70" ht="72" customHeight="1">
      <x:c r="A70" s="9" t="str">
        <x:v>Not collected</x:v>
      </x:c>
      <x:c r="B70" s="9" t="n">
        <x:f>'Evaluation Plan'!B70</x:f>
        <x:v>68</x:v>
      </x:c>
      <x:c r="C70" s="10" t="str">
        <x:f>'Evaluation Plan'!C70</x:f>
        <x:v>Place the green pen to the left of the red block.</x:v>
      </x:c>
      <x:c r="D70" s="10" t="str">
        <x:f>'Evaluation Plan'!D70</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0" s="9" t="str">
        <x:f>IF(ISBLANK('Evaluation Plan'!E70),"",'Evaluation Plan'!E70)</x:f>
      </x:c>
      <x:c r="F70" s="9" t="str">
        <x:f>'Evaluation Plan'!F70</x:f>
        <x:v>228</x:v>
      </x:c>
      <x:c r="G70" s="9" t="str">
        <x:f>'Evaluation Plan'!G70</x:f>
        <x:v>green pen → 2–8 cm edge gap to the left of red block; centroid direction within ±45°.</x:v>
      </x:c>
      <x:c r="H70" s="10"/>
      <x:c r="I70" s="9" t="str">
        <x:f>'Evaluation Plan'!I70</x:f>
        <x:v>Concept/compositional transfer</x:v>
      </x:c>
      <x:c r="J70" s="9" t="str">
        <x:f>'Evaluation Plan'!J70</x:f>
        <x:v>RP-CT-N07</x:v>
      </x:c>
      <x:c r="K70" s="9" t="str">
        <x:f>'Evaluation Plan'!K70</x:f>
        <x:v>left</x:v>
      </x:c>
      <x:c r="L70" s="9" t="str">
        <x:f>'Evaluation Plan'!L70</x:f>
        <x:v>Neutral-axis independent compositional-transfer scene</x:v>
      </x:c>
      <x:c r="M70" s="9" t="str">
        <x:f>'Evaluation Plan'!M70</x:f>
        <x:v>green pen</x:v>
      </x:c>
      <x:c r="N70" s="9" t="str">
        <x:f>'Evaluation Plan'!N70</x:f>
        <x:v>red block</x:v>
      </x:c>
      <x:c r="O70" s="9" t="str">
        <x:f>'Evaluation Plan'!O70</x:f>
        <x:v>None</x:v>
      </x:c>
      <x:c r="P70" s="9" t="n">
        <x:f>'Evaluation Plan'!P70</x:f>
        <x:v>3</x:v>
      </x:c>
      <x:c r="Q70" s="9" t="str">
        <x:f>'Evaluation Plan'!Q70</x:f>
        <x:v>Build the listed neutral-axis scene and save the first frame.</x:v>
      </x:c>
      <x:c r="R70" s="10" t="str">
        <x:f>'Evaluation Plan'!R70</x:f>
        <x:v>Independent held-out-composition scene. Source episode 228 supplies target recognition/manipulation under the trained prompt “Place the green pen next to the red block.”. The orthogonal start removes the opposite-side shortcut.</x:v>
      </x:c>
      <x:c r="S70" s="10" t="str">
        <x:f>IF(ISBLANK('Evaluation Plan'!S70),"",'Evaluation Plan'!S70)</x:f>
      </x:c>
    </x:row>
    <x:row r="71" ht="72" customHeight="1">
      <x:c r="A71" s="24" t="str">
        <x:v>Not collected</x:v>
      </x:c>
      <x:c r="B71" s="24" t="n">
        <x:f>'Evaluation Plan'!B71</x:f>
        <x:v>69</x:v>
      </x:c>
      <x:c r="C71" s="25" t="str">
        <x:f>'Evaluation Plan'!C71</x:f>
        <x:v>Place the green pen next to the red block.</x:v>
      </x:c>
      <x:c r="D71" s="25" t="str">
        <x:f>'Evaluation Plan'!D71</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1" s="24" t="n">
        <x:f>IF(ISBLANK('Evaluation Plan'!E71),"",'Evaluation Plan'!E71)</x:f>
        <x:v>68</x:v>
      </x:c>
      <x:c r="F71" s="24" t="str">
        <x:f>'Evaluation Plan'!F71</x:f>
        <x:v>228</x:v>
      </x:c>
      <x:c r="G71" s="24" t="str">
        <x:f>'Evaluation Plan'!G71</x:f>
        <x:v>green pen → 2–8 cm edge gap near red block; no directional sector required.</x:v>
      </x:c>
      <x:c r="H71" s="25"/>
      <x:c r="I71" s="24" t="str">
        <x:f>'Evaluation Plan'!I71</x:f>
        <x:v>Matched manipulation control</x:v>
      </x:c>
      <x:c r="J71" s="24" t="str">
        <x:f>'Evaluation Plan'!J71</x:f>
        <x:v>RP-CT-N07</x:v>
      </x:c>
      <x:c r="K71" s="24" t="str">
        <x:f>'Evaluation Plan'!K71</x:f>
        <x:v>left</x:v>
      </x:c>
      <x:c r="L71" s="24" t="str">
        <x:f>'Evaluation Plan'!L71</x:f>
        <x:v>Exact-scene masked manipulation control</x:v>
      </x:c>
      <x:c r="M71" s="24" t="str">
        <x:f>'Evaluation Plan'!M71</x:f>
        <x:v>green pen</x:v>
      </x:c>
      <x:c r="N71" s="24" t="str">
        <x:f>'Evaluation Plan'!N71</x:f>
        <x:v>red block</x:v>
      </x:c>
      <x:c r="O71" s="24" t="str">
        <x:f>'Evaluation Plan'!O71</x:f>
        <x:v>None</x:v>
      </x:c>
      <x:c r="P71" s="24" t="n">
        <x:f>'Evaluation Plan'!P71</x:f>
        <x:v>3</x:v>
      </x:c>
      <x:c r="Q71" s="24" t="str">
        <x:f>'Evaluation Plan'!Q71</x:f>
        <x:v>Reset P1 to its marked pose; preserve the exact scene and use the trained control instruction.</x:v>
      </x:c>
      <x:c r="R71" s="25" t="str">
        <x:f>'Evaluation Plan'!R71</x:f>
        <x:v>Exact-scene control using the final training prompt from episode 228. The target, reference, distractors, camera, and robot start match the paired transfer row.</x:v>
      </x:c>
      <x:c r="S71" s="25" t="str">
        <x:f>IF(ISBLANK('Evaluation Plan'!S71),"",'Evaluation Plan'!S71)</x:f>
      </x:c>
    </x:row>
    <x:row r="72" ht="72" customHeight="1">
      <x:c r="A72" s="9" t="str">
        <x:v>Not collected</x:v>
      </x:c>
      <x:c r="B72" s="9" t="n">
        <x:f>'Evaluation Plan'!B72</x:f>
        <x:v>70</x:v>
      </x:c>
      <x:c r="C72" s="10" t="str">
        <x:f>'Evaluation Plan'!C72</x:f>
        <x:v>Position the green pen on the robot's left-hand side of the red block.</x:v>
      </x:c>
      <x:c r="D72" s="10" t="str">
        <x:f>'Evaluation Plan'!D72</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2" s="9" t="n">
        <x:f>IF(ISBLANK('Evaluation Plan'!E72),"",'Evaluation Plan'!E72)</x:f>
        <x:v>68</x:v>
      </x:c>
      <x:c r="F72" s="9" t="str">
        <x:f>'Evaluation Plan'!F72</x:f>
        <x:v>228</x:v>
      </x:c>
      <x:c r="G72" s="9" t="str">
        <x:f>'Evaluation Plan'!G72</x:f>
        <x:v>green pen → 2–8 cm edge gap to the left of red block; centroid direction within ±45°.</x:v>
      </x:c>
      <x:c r="H72" s="10"/>
      <x:c r="I72" s="9" t="str">
        <x:f>'Evaluation Plan'!I72</x:f>
        <x:v>Language robustness</x:v>
      </x:c>
      <x:c r="J72" s="9" t="str">
        <x:f>'Evaluation Plan'!J72</x:f>
        <x:v>RP-CT-N07</x:v>
      </x:c>
      <x:c r="K72" s="9" t="str">
        <x:f>'Evaluation Plan'!K72</x:f>
        <x:v>left</x:v>
      </x:c>
      <x:c r="L72" s="9" t="str">
        <x:f>'Evaluation Plan'!L72</x:f>
        <x:v>Transfer paraphrase of concept/compositional transfer</x:v>
      </x:c>
      <x:c r="M72" s="9" t="str">
        <x:f>'Evaluation Plan'!M72</x:f>
        <x:v>green pen</x:v>
      </x:c>
      <x:c r="N72" s="9" t="str">
        <x:f>'Evaluation Plan'!N72</x:f>
        <x:v>red block</x:v>
      </x:c>
      <x:c r="O72" s="9" t="str">
        <x:f>'Evaluation Plan'!O72</x:f>
        <x:v>None</x:v>
      </x:c>
      <x:c r="P72" s="9" t="n">
        <x:f>'Evaluation Plan'!P72</x:f>
        <x:v>3</x:v>
      </x:c>
      <x:c r="Q72" s="9" t="str">
        <x:f>'Evaluation Plan'!Q72</x:f>
        <x:v>Reset P1 to its marked pose; preserve the exact scene and change only the wording of the transfer instruction.</x:v>
      </x:c>
      <x:c r="R72" s="10" t="str">
        <x:f>'Evaluation Plan'!R72</x:f>
        <x:v>Exact-scene paraphrase of the canonical compositional-transfer instruction.</x:v>
      </x:c>
      <x:c r="S72" s="10" t="str">
        <x:f>IF(ISBLANK('Evaluation Plan'!S72),"",'Evaluation Plan'!S72)</x:f>
      </x:c>
    </x:row>
    <x:row r="73" ht="72" customHeight="1">
      <x:c r="A73" s="24" t="str">
        <x:v>Not collected</x:v>
      </x:c>
      <x:c r="B73" s="24" t="n">
        <x:f>'Evaluation Plan'!B73</x:f>
        <x:v>71</x:v>
      </x:c>
      <x:c r="C73" s="25" t="str">
        <x:f>'Evaluation Plan'!C73</x:f>
        <x:v>Set the green pen down close to the red block.</x:v>
      </x:c>
      <x:c r="D73" s="25" t="str">
        <x:f>'Evaluation Plan'!D73</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3" s="24" t="n">
        <x:f>IF(ISBLANK('Evaluation Plan'!E73),"",'Evaluation Plan'!E73)</x:f>
        <x:v>69</x:v>
      </x:c>
      <x:c r="F73" s="24" t="str">
        <x:f>'Evaluation Plan'!F73</x:f>
        <x:v>228</x:v>
      </x:c>
      <x:c r="G73" s="24" t="str">
        <x:f>'Evaluation Plan'!G73</x:f>
        <x:v>green pen → 2–8 cm edge gap near red block; no directional sector required.</x:v>
      </x:c>
      <x:c r="H73" s="25"/>
      <x:c r="I73" s="24" t="str">
        <x:f>'Evaluation Plan'!I73</x:f>
        <x:v>Language robustness</x:v>
      </x:c>
      <x:c r="J73" s="24" t="str">
        <x:f>'Evaluation Plan'!J73</x:f>
        <x:v>RP-CT-N07</x:v>
      </x:c>
      <x:c r="K73" s="24" t="str">
        <x:f>'Evaluation Plan'!K73</x:f>
        <x:v>left</x:v>
      </x:c>
      <x:c r="L73" s="24" t="str">
        <x:f>'Evaluation Plan'!L73</x:f>
        <x:v>Matched-control paraphrase</x:v>
      </x:c>
      <x:c r="M73" s="24" t="str">
        <x:f>'Evaluation Plan'!M73</x:f>
        <x:v>green pen</x:v>
      </x:c>
      <x:c r="N73" s="24" t="str">
        <x:f>'Evaluation Plan'!N73</x:f>
        <x:v>red block</x:v>
      </x:c>
      <x:c r="O73" s="24" t="str">
        <x:f>'Evaluation Plan'!O73</x:f>
        <x:v>None</x:v>
      </x:c>
      <x:c r="P73" s="24" t="n">
        <x:f>'Evaluation Plan'!P73</x:f>
        <x:v>3</x:v>
      </x:c>
      <x:c r="Q73" s="24" t="str">
        <x:f>'Evaluation Plan'!Q73</x:f>
        <x:v>Reset P1 to its marked pose; preserve the exact scene and change only the wording of the matched-control instruction.</x:v>
      </x:c>
      <x:c r="R73" s="25" t="str">
        <x:f>'Evaluation Plan'!R73</x:f>
        <x:v>Exact-scene paraphrase of the training-supported control from episode 228.</x:v>
      </x:c>
      <x:c r="S73" s="25" t="str">
        <x:f>IF(ISBLANK('Evaluation Plan'!S73),"",'Evaluation Plan'!S73)</x:f>
      </x:c>
    </x:row>
    <x:row r="74" ht="72" customHeight="1">
      <x:c r="A74" s="9" t="str">
        <x:v>Not collected</x:v>
      </x:c>
      <x:c r="B74" s="9" t="n">
        <x:f>'Evaluation Plan'!B74</x:f>
        <x:v>72</x:v>
      </x:c>
      <x:c r="C74" s="10" t="str">
        <x:f>'Evaluation Plan'!C74</x:f>
        <x:v>Place the red block to the left of the green pen.</x:v>
      </x:c>
      <x:c r="D74" s="10" t="str">
        <x:f>'Evaluation Plan'!D74</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4" s="9" t="str">
        <x:f>IF(ISBLANK('Evaluation Plan'!E74),"",'Evaluation Plan'!E74)</x:f>
      </x:c>
      <x:c r="F74" s="9" t="str">
        <x:f>'Evaluation Plan'!F74</x:f>
        <x:v>285</x:v>
      </x:c>
      <x:c r="G74" s="9" t="str">
        <x:f>'Evaluation Plan'!G74</x:f>
        <x:v>red block → 2–8 cm edge gap to the left of green pen; centroid direction within ±45°.</x:v>
      </x:c>
      <x:c r="H74" s="10"/>
      <x:c r="I74" s="9" t="str">
        <x:f>'Evaluation Plan'!I74</x:f>
        <x:v>Concept/compositional transfer</x:v>
      </x:c>
      <x:c r="J74" s="9" t="str">
        <x:f>'Evaluation Plan'!J74</x:f>
        <x:v>RP-CT-N08</x:v>
      </x:c>
      <x:c r="K74" s="9" t="str">
        <x:f>'Evaluation Plan'!K74</x:f>
        <x:v>left</x:v>
      </x:c>
      <x:c r="L74" s="9" t="str">
        <x:f>'Evaluation Plan'!L74</x:f>
        <x:v>Neutral-axis independent compositional-transfer scene</x:v>
      </x:c>
      <x:c r="M74" s="9" t="str">
        <x:f>'Evaluation Plan'!M74</x:f>
        <x:v>red block</x:v>
      </x:c>
      <x:c r="N74" s="9" t="str">
        <x:f>'Evaluation Plan'!N74</x:f>
        <x:v>green pen</x:v>
      </x:c>
      <x:c r="O74" s="9" t="str">
        <x:f>'Evaluation Plan'!O74</x:f>
        <x:v>None</x:v>
      </x:c>
      <x:c r="P74" s="9" t="n">
        <x:f>'Evaluation Plan'!P74</x:f>
        <x:v>4</x:v>
      </x:c>
      <x:c r="Q74" s="9" t="str">
        <x:f>'Evaluation Plan'!Q74</x:f>
        <x:v>Build the listed neutral-axis scene and save the first frame.</x:v>
      </x:c>
      <x:c r="R74" s="10" t="str">
        <x:f>'Evaluation Plan'!R74</x:f>
        <x:v>Independent held-out-composition scene. Source episode 285 supplies target recognition/manipulation under the trained prompt “Place the red block next to the green pen.”. The orthogonal start removes the opposite-side shortcut.</x:v>
      </x:c>
      <x:c r="S74" s="10" t="str">
        <x:f>IF(ISBLANK('Evaluation Plan'!S74),"",'Evaluation Plan'!S74)</x:f>
      </x:c>
    </x:row>
    <x:row r="75" ht="72" customHeight="1">
      <x:c r="A75" s="24" t="str">
        <x:v>Not collected</x:v>
      </x:c>
      <x:c r="B75" s="24" t="n">
        <x:f>'Evaluation Plan'!B75</x:f>
        <x:v>73</x:v>
      </x:c>
      <x:c r="C75" s="25" t="str">
        <x:f>'Evaluation Plan'!C75</x:f>
        <x:v>Place the red block next to the green pen.</x:v>
      </x:c>
      <x:c r="D75" s="25" t="str">
        <x:f>'Evaluation Plan'!D75</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5" s="24" t="n">
        <x:f>IF(ISBLANK('Evaluation Plan'!E75),"",'Evaluation Plan'!E75)</x:f>
        <x:v>72</x:v>
      </x:c>
      <x:c r="F75" s="24" t="str">
        <x:f>'Evaluation Plan'!F75</x:f>
        <x:v>285</x:v>
      </x:c>
      <x:c r="G75" s="24" t="str">
        <x:f>'Evaluation Plan'!G75</x:f>
        <x:v>red block → 2–8 cm edge gap near green pen; no directional sector required.</x:v>
      </x:c>
      <x:c r="H75" s="25"/>
      <x:c r="I75" s="24" t="str">
        <x:f>'Evaluation Plan'!I75</x:f>
        <x:v>Matched manipulation control</x:v>
      </x:c>
      <x:c r="J75" s="24" t="str">
        <x:f>'Evaluation Plan'!J75</x:f>
        <x:v>RP-CT-N08</x:v>
      </x:c>
      <x:c r="K75" s="24" t="str">
        <x:f>'Evaluation Plan'!K75</x:f>
        <x:v>left</x:v>
      </x:c>
      <x:c r="L75" s="24" t="str">
        <x:f>'Evaluation Plan'!L75</x:f>
        <x:v>Exact-scene masked manipulation control</x:v>
      </x:c>
      <x:c r="M75" s="24" t="str">
        <x:f>'Evaluation Plan'!M75</x:f>
        <x:v>red block</x:v>
      </x:c>
      <x:c r="N75" s="24" t="str">
        <x:f>'Evaluation Plan'!N75</x:f>
        <x:v>green pen</x:v>
      </x:c>
      <x:c r="O75" s="24" t="str">
        <x:f>'Evaluation Plan'!O75</x:f>
        <x:v>None</x:v>
      </x:c>
      <x:c r="P75" s="24" t="n">
        <x:f>'Evaluation Plan'!P75</x:f>
        <x:v>4</x:v>
      </x:c>
      <x:c r="Q75" s="24" t="str">
        <x:f>'Evaluation Plan'!Q75</x:f>
        <x:v>Reset P1 to its marked pose; preserve the exact scene and use the trained control instruction.</x:v>
      </x:c>
      <x:c r="R75" s="25" t="str">
        <x:f>'Evaluation Plan'!R75</x:f>
        <x:v>Exact-scene control using the final training prompt from episode 285. The target, reference, distractors, camera, and robot start match the paired transfer row.</x:v>
      </x:c>
      <x:c r="S75" s="25" t="str">
        <x:f>IF(ISBLANK('Evaluation Plan'!S75),"",'Evaluation Plan'!S75)</x:f>
      </x:c>
    </x:row>
    <x:row r="76" ht="72" customHeight="1">
      <x:c r="A76" s="9" t="str">
        <x:v>Not collected</x:v>
      </x:c>
      <x:c r="B76" s="9" t="n">
        <x:f>'Evaluation Plan'!B76</x:f>
        <x:v>74</x:v>
      </x:c>
      <x:c r="C76" s="10" t="str">
        <x:f>'Evaluation Plan'!C76</x:f>
        <x:v>Position the red block on the robot's left-hand side of the green pen.</x:v>
      </x:c>
      <x:c r="D76" s="10" t="str">
        <x:f>'Evaluation Plan'!D76</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6" s="9" t="n">
        <x:f>IF(ISBLANK('Evaluation Plan'!E76),"",'Evaluation Plan'!E76)</x:f>
        <x:v>72</x:v>
      </x:c>
      <x:c r="F76" s="9" t="str">
        <x:f>'Evaluation Plan'!F76</x:f>
        <x:v>285</x:v>
      </x:c>
      <x:c r="G76" s="9" t="str">
        <x:f>'Evaluation Plan'!G76</x:f>
        <x:v>red block → 2–8 cm edge gap to the left of green pen; centroid direction within ±45°.</x:v>
      </x:c>
      <x:c r="H76" s="10"/>
      <x:c r="I76" s="9" t="str">
        <x:f>'Evaluation Plan'!I76</x:f>
        <x:v>Language robustness</x:v>
      </x:c>
      <x:c r="J76" s="9" t="str">
        <x:f>'Evaluation Plan'!J76</x:f>
        <x:v>RP-CT-N08</x:v>
      </x:c>
      <x:c r="K76" s="9" t="str">
        <x:f>'Evaluation Plan'!K76</x:f>
        <x:v>left</x:v>
      </x:c>
      <x:c r="L76" s="9" t="str">
        <x:f>'Evaluation Plan'!L76</x:f>
        <x:v>Transfer paraphrase of concept/compositional transfer</x:v>
      </x:c>
      <x:c r="M76" s="9" t="str">
        <x:f>'Evaluation Plan'!M76</x:f>
        <x:v>red block</x:v>
      </x:c>
      <x:c r="N76" s="9" t="str">
        <x:f>'Evaluation Plan'!N76</x:f>
        <x:v>green pen</x:v>
      </x:c>
      <x:c r="O76" s="9" t="str">
        <x:f>'Evaluation Plan'!O76</x:f>
        <x:v>None</x:v>
      </x:c>
      <x:c r="P76" s="9" t="n">
        <x:f>'Evaluation Plan'!P76</x:f>
        <x:v>4</x:v>
      </x:c>
      <x:c r="Q76" s="9" t="str">
        <x:f>'Evaluation Plan'!Q76</x:f>
        <x:v>Reset P1 to its marked pose; preserve the exact scene and change only the wording of the transfer instruction.</x:v>
      </x:c>
      <x:c r="R76" s="10" t="str">
        <x:f>'Evaluation Plan'!R76</x:f>
        <x:v>Exact-scene paraphrase of the canonical compositional-transfer instruction.</x:v>
      </x:c>
      <x:c r="S76" s="10" t="str">
        <x:f>IF(ISBLANK('Evaluation Plan'!S76),"",'Evaluation Plan'!S76)</x:f>
      </x:c>
    </x:row>
    <x:row r="77" ht="72" customHeight="1">
      <x:c r="A77" s="24" t="str">
        <x:v>Not collected</x:v>
      </x:c>
      <x:c r="B77" s="24" t="n">
        <x:f>'Evaluation Plan'!B77</x:f>
        <x:v>75</x:v>
      </x:c>
      <x:c r="C77" s="25" t="str">
        <x:f>'Evaluation Plan'!C77</x:f>
        <x:v>Set the red block down close to the green pen.</x:v>
      </x:c>
      <x:c r="D77" s="25" t="str">
        <x:f>'Evaluation Plan'!D77</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7" s="24" t="n">
        <x:f>IF(ISBLANK('Evaluation Plan'!E77),"",'Evaluation Plan'!E77)</x:f>
        <x:v>73</x:v>
      </x:c>
      <x:c r="F77" s="24" t="str">
        <x:f>'Evaluation Plan'!F77</x:f>
        <x:v>285</x:v>
      </x:c>
      <x:c r="G77" s="24" t="str">
        <x:f>'Evaluation Plan'!G77</x:f>
        <x:v>red block → 2–8 cm edge gap near green pen; no directional sector required.</x:v>
      </x:c>
      <x:c r="H77" s="25"/>
      <x:c r="I77" s="24" t="str">
        <x:f>'Evaluation Plan'!I77</x:f>
        <x:v>Language robustness</x:v>
      </x:c>
      <x:c r="J77" s="24" t="str">
        <x:f>'Evaluation Plan'!J77</x:f>
        <x:v>RP-CT-N08</x:v>
      </x:c>
      <x:c r="K77" s="24" t="str">
        <x:f>'Evaluation Plan'!K77</x:f>
        <x:v>left</x:v>
      </x:c>
      <x:c r="L77" s="24" t="str">
        <x:f>'Evaluation Plan'!L77</x:f>
        <x:v>Matched-control paraphrase</x:v>
      </x:c>
      <x:c r="M77" s="24" t="str">
        <x:f>'Evaluation Plan'!M77</x:f>
        <x:v>red block</x:v>
      </x:c>
      <x:c r="N77" s="24" t="str">
        <x:f>'Evaluation Plan'!N77</x:f>
        <x:v>green pen</x:v>
      </x:c>
      <x:c r="O77" s="24" t="str">
        <x:f>'Evaluation Plan'!O77</x:f>
        <x:v>None</x:v>
      </x:c>
      <x:c r="P77" s="24" t="n">
        <x:f>'Evaluation Plan'!P77</x:f>
        <x:v>4</x:v>
      </x:c>
      <x:c r="Q77" s="24" t="str">
        <x:f>'Evaluation Plan'!Q77</x:f>
        <x:v>Reset P1 to its marked pose; preserve the exact scene and change only the wording of the matched-control instruction.</x:v>
      </x:c>
      <x:c r="R77" s="25" t="str">
        <x:f>'Evaluation Plan'!R77</x:f>
        <x:v>Exact-scene paraphrase of the training-supported control from episode 285.</x:v>
      </x:c>
      <x:c r="S77" s="25" t="str">
        <x:f>IF(ISBLANK('Evaluation Plan'!S77),"",'Evaluation Plan'!S77)</x:f>
      </x:c>
    </x:row>
    <x:row r="78" ht="72" customHeight="1">
      <x:c r="A78" s="9" t="str">
        <x:v>Not collected</x:v>
      </x:c>
      <x:c r="B78" s="9" t="n">
        <x:f>'Evaluation Plan'!B78</x:f>
        <x:v>76</x:v>
      </x:c>
      <x:c r="C78" s="10" t="str">
        <x:f>'Evaluation Plan'!C78</x:f>
        <x:v>Place the green pen to the right of the red block.</x:v>
      </x:c>
      <x:c r="D78" s="10" t="str">
        <x:f>'Evaluation Plan'!D78</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8" s="9" t="str">
        <x:f>IF(ISBLANK('Evaluation Plan'!E78),"",'Evaluation Plan'!E78)</x:f>
      </x:c>
      <x:c r="F78" s="9" t="str">
        <x:f>'Evaluation Plan'!F78</x:f>
        <x:v>240</x:v>
      </x:c>
      <x:c r="G78" s="9" t="str">
        <x:f>'Evaluation Plan'!G78</x:f>
        <x:v>green pen → 2–8 cm edge gap to the right of red block; centroid direction within ±45°.</x:v>
      </x:c>
      <x:c r="H78" s="10"/>
      <x:c r="I78" s="9" t="str">
        <x:f>'Evaluation Plan'!I78</x:f>
        <x:v>Concept/compositional transfer</x:v>
      </x:c>
      <x:c r="J78" s="9" t="str">
        <x:f>'Evaluation Plan'!J78</x:f>
        <x:v>RP-CT-N09</x:v>
      </x:c>
      <x:c r="K78" s="9" t="str">
        <x:f>'Evaluation Plan'!K78</x:f>
        <x:v>right</x:v>
      </x:c>
      <x:c r="L78" s="9" t="str">
        <x:f>'Evaluation Plan'!L78</x:f>
        <x:v>Neutral-axis independent compositional-transfer scene</x:v>
      </x:c>
      <x:c r="M78" s="9" t="str">
        <x:f>'Evaluation Plan'!M78</x:f>
        <x:v>green pen</x:v>
      </x:c>
      <x:c r="N78" s="9" t="str">
        <x:f>'Evaluation Plan'!N78</x:f>
        <x:v>red block</x:v>
      </x:c>
      <x:c r="O78" s="9" t="str">
        <x:f>'Evaluation Plan'!O78</x:f>
        <x:v>None</x:v>
      </x:c>
      <x:c r="P78" s="9" t="n">
        <x:f>'Evaluation Plan'!P78</x:f>
        <x:v>3</x:v>
      </x:c>
      <x:c r="Q78" s="9" t="str">
        <x:f>'Evaluation Plan'!Q78</x:f>
        <x:v>Build the listed neutral-axis scene and save the first frame.</x:v>
      </x:c>
      <x:c r="R78" s="10" t="str">
        <x:f>'Evaluation Plan'!R78</x:f>
        <x:v>Independent held-out-composition scene. Source episode 240 supplies target recognition/manipulation under the trained prompt “Place the green pen next to the red block.”. The orthogonal start removes the opposite-side shortcut.</x:v>
      </x:c>
      <x:c r="S78" s="10" t="str">
        <x:f>IF(ISBLANK('Evaluation Plan'!S78),"",'Evaluation Plan'!S78)</x:f>
      </x:c>
    </x:row>
    <x:row r="79" ht="72" customHeight="1">
      <x:c r="A79" s="24" t="str">
        <x:v>Not collected</x:v>
      </x:c>
      <x:c r="B79" s="24" t="n">
        <x:f>'Evaluation Plan'!B79</x:f>
        <x:v>77</x:v>
      </x:c>
      <x:c r="C79" s="25" t="str">
        <x:f>'Evaluation Plan'!C79</x:f>
        <x:v>Place the green pen next to the red block.</x:v>
      </x:c>
      <x:c r="D79" s="25" t="str">
        <x:f>'Evaluation Plan'!D79</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9" s="24" t="n">
        <x:f>IF(ISBLANK('Evaluation Plan'!E79),"",'Evaluation Plan'!E79)</x:f>
        <x:v>76</x:v>
      </x:c>
      <x:c r="F79" s="24" t="str">
        <x:f>'Evaluation Plan'!F79</x:f>
        <x:v>240</x:v>
      </x:c>
      <x:c r="G79" s="24" t="str">
        <x:f>'Evaluation Plan'!G79</x:f>
        <x:v>green pen → 2–8 cm edge gap near red block; no directional sector required.</x:v>
      </x:c>
      <x:c r="H79" s="25"/>
      <x:c r="I79" s="24" t="str">
        <x:f>'Evaluation Plan'!I79</x:f>
        <x:v>Matched manipulation control</x:v>
      </x:c>
      <x:c r="J79" s="24" t="str">
        <x:f>'Evaluation Plan'!J79</x:f>
        <x:v>RP-CT-N09</x:v>
      </x:c>
      <x:c r="K79" s="24" t="str">
        <x:f>'Evaluation Plan'!K79</x:f>
        <x:v>right</x:v>
      </x:c>
      <x:c r="L79" s="24" t="str">
        <x:f>'Evaluation Plan'!L79</x:f>
        <x:v>Exact-scene masked manipulation control</x:v>
      </x:c>
      <x:c r="M79" s="24" t="str">
        <x:f>'Evaluation Plan'!M79</x:f>
        <x:v>green pen</x:v>
      </x:c>
      <x:c r="N79" s="24" t="str">
        <x:f>'Evaluation Plan'!N79</x:f>
        <x:v>red block</x:v>
      </x:c>
      <x:c r="O79" s="24" t="str">
        <x:f>'Evaluation Plan'!O79</x:f>
        <x:v>None</x:v>
      </x:c>
      <x:c r="P79" s="24" t="n">
        <x:f>'Evaluation Plan'!P79</x:f>
        <x:v>3</x:v>
      </x:c>
      <x:c r="Q79" s="24" t="str">
        <x:f>'Evaluation Plan'!Q79</x:f>
        <x:v>Reset P1 to its marked pose; preserve the exact scene and use the trained control instruction.</x:v>
      </x:c>
      <x:c r="R79" s="25" t="str">
        <x:f>'Evaluation Plan'!R79</x:f>
        <x:v>Exact-scene control using the final training prompt from episode 240. The target, reference, distractors, camera, and robot start match the paired transfer row.</x:v>
      </x:c>
      <x:c r="S79" s="25" t="str">
        <x:f>IF(ISBLANK('Evaluation Plan'!S79),"",'Evaluation Plan'!S79)</x:f>
      </x:c>
    </x:row>
    <x:row r="80" ht="72" customHeight="1">
      <x:c r="A80" s="9" t="str">
        <x:v>Not collected</x:v>
      </x:c>
      <x:c r="B80" s="9" t="n">
        <x:f>'Evaluation Plan'!B80</x:f>
        <x:v>78</x:v>
      </x:c>
      <x:c r="C80" s="10" t="str">
        <x:f>'Evaluation Plan'!C80</x:f>
        <x:v>Position the green pen on the robot's right-hand side of the red block.</x:v>
      </x:c>
      <x:c r="D80" s="10" t="str">
        <x:f>'Evaluation Plan'!D80</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0" s="9" t="n">
        <x:f>IF(ISBLANK('Evaluation Plan'!E80),"",'Evaluation Plan'!E80)</x:f>
        <x:v>76</x:v>
      </x:c>
      <x:c r="F80" s="9" t="str">
        <x:f>'Evaluation Plan'!F80</x:f>
        <x:v>240</x:v>
      </x:c>
      <x:c r="G80" s="9" t="str">
        <x:f>'Evaluation Plan'!G80</x:f>
        <x:v>green pen → 2–8 cm edge gap to the right of red block; centroid direction within ±45°.</x:v>
      </x:c>
      <x:c r="H80" s="10"/>
      <x:c r="I80" s="9" t="str">
        <x:f>'Evaluation Plan'!I80</x:f>
        <x:v>Language robustness</x:v>
      </x:c>
      <x:c r="J80" s="9" t="str">
        <x:f>'Evaluation Plan'!J80</x:f>
        <x:v>RP-CT-N09</x:v>
      </x:c>
      <x:c r="K80" s="9" t="str">
        <x:f>'Evaluation Plan'!K80</x:f>
        <x:v>right</x:v>
      </x:c>
      <x:c r="L80" s="9" t="str">
        <x:f>'Evaluation Plan'!L80</x:f>
        <x:v>Transfer paraphrase of concept/compositional transfer</x:v>
      </x:c>
      <x:c r="M80" s="9" t="str">
        <x:f>'Evaluation Plan'!M80</x:f>
        <x:v>green pen</x:v>
      </x:c>
      <x:c r="N80" s="9" t="str">
        <x:f>'Evaluation Plan'!N80</x:f>
        <x:v>red block</x:v>
      </x:c>
      <x:c r="O80" s="9" t="str">
        <x:f>'Evaluation Plan'!O80</x:f>
        <x:v>None</x:v>
      </x:c>
      <x:c r="P80" s="9" t="n">
        <x:f>'Evaluation Plan'!P80</x:f>
        <x:v>3</x:v>
      </x:c>
      <x:c r="Q80" s="9" t="str">
        <x:f>'Evaluation Plan'!Q80</x:f>
        <x:v>Reset P1 to its marked pose; preserve the exact scene and change only the wording of the transfer instruction.</x:v>
      </x:c>
      <x:c r="R80" s="10" t="str">
        <x:f>'Evaluation Plan'!R80</x:f>
        <x:v>Exact-scene paraphrase of the canonical compositional-transfer instruction.</x:v>
      </x:c>
      <x:c r="S80" s="10" t="str">
        <x:f>IF(ISBLANK('Evaluation Plan'!S80),"",'Evaluation Plan'!S80)</x:f>
      </x:c>
    </x:row>
    <x:row r="81" ht="72" customHeight="1">
      <x:c r="A81" s="24" t="str">
        <x:v>Not collected</x:v>
      </x:c>
      <x:c r="B81" s="24" t="n">
        <x:f>'Evaluation Plan'!B81</x:f>
        <x:v>79</x:v>
      </x:c>
      <x:c r="C81" s="25" t="str">
        <x:f>'Evaluation Plan'!C81</x:f>
        <x:v>Set the green pen down close to the red block.</x:v>
      </x:c>
      <x:c r="D81" s="25" t="str">
        <x:f>'Evaluation Plan'!D81</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1" s="24" t="n">
        <x:f>IF(ISBLANK('Evaluation Plan'!E81),"",'Evaluation Plan'!E81)</x:f>
        <x:v>77</x:v>
      </x:c>
      <x:c r="F81" s="24" t="str">
        <x:f>'Evaluation Plan'!F81</x:f>
        <x:v>240</x:v>
      </x:c>
      <x:c r="G81" s="24" t="str">
        <x:f>'Evaluation Plan'!G81</x:f>
        <x:v>green pen → 2–8 cm edge gap near red block; no directional sector required.</x:v>
      </x:c>
      <x:c r="H81" s="25"/>
      <x:c r="I81" s="24" t="str">
        <x:f>'Evaluation Plan'!I81</x:f>
        <x:v>Language robustness</x:v>
      </x:c>
      <x:c r="J81" s="24" t="str">
        <x:f>'Evaluation Plan'!J81</x:f>
        <x:v>RP-CT-N09</x:v>
      </x:c>
      <x:c r="K81" s="24" t="str">
        <x:f>'Evaluation Plan'!K81</x:f>
        <x:v>right</x:v>
      </x:c>
      <x:c r="L81" s="24" t="str">
        <x:f>'Evaluation Plan'!L81</x:f>
        <x:v>Matched-control paraphrase</x:v>
      </x:c>
      <x:c r="M81" s="24" t="str">
        <x:f>'Evaluation Plan'!M81</x:f>
        <x:v>green pen</x:v>
      </x:c>
      <x:c r="N81" s="24" t="str">
        <x:f>'Evaluation Plan'!N81</x:f>
        <x:v>red block</x:v>
      </x:c>
      <x:c r="O81" s="24" t="str">
        <x:f>'Evaluation Plan'!O81</x:f>
        <x:v>None</x:v>
      </x:c>
      <x:c r="P81" s="24" t="n">
        <x:f>'Evaluation Plan'!P81</x:f>
        <x:v>3</x:v>
      </x:c>
      <x:c r="Q81" s="24" t="str">
        <x:f>'Evaluation Plan'!Q81</x:f>
        <x:v>Reset P1 to its marked pose; preserve the exact scene and change only the wording of the matched-control instruction.</x:v>
      </x:c>
      <x:c r="R81" s="25" t="str">
        <x:f>'Evaluation Plan'!R81</x:f>
        <x:v>Exact-scene paraphrase of the training-supported control from episode 240.</x:v>
      </x:c>
      <x:c r="S81" s="25" t="str">
        <x:f>IF(ISBLANK('Evaluation Plan'!S81),"",'Evaluation Plan'!S81)</x:f>
      </x:c>
    </x:row>
    <x:row r="82" ht="72" customHeight="1">
      <x:c r="A82" s="9" t="str">
        <x:v>Not collected</x:v>
      </x:c>
      <x:c r="B82" s="9" t="n">
        <x:f>'Evaluation Plan'!B82</x:f>
        <x:v>80</x:v>
      </x:c>
      <x:c r="C82" s="10" t="str">
        <x:f>'Evaluation Plan'!C82</x:f>
        <x:v>Place the red block to the right of the green pen.</x:v>
      </x:c>
      <x:c r="D82" s="10" t="str">
        <x:f>'Evaluation Plan'!D82</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2" s="9" t="str">
        <x:f>IF(ISBLANK('Evaluation Plan'!E82),"",'Evaluation Plan'!E82)</x:f>
      </x:c>
      <x:c r="F82" s="9" t="str">
        <x:f>'Evaluation Plan'!F82</x:f>
        <x:v>298</x:v>
      </x:c>
      <x:c r="G82" s="9" t="str">
        <x:f>'Evaluation Plan'!G82</x:f>
        <x:v>red block → 2–8 cm edge gap to the right of green pen; centroid direction within ±45°.</x:v>
      </x:c>
      <x:c r="H82" s="10"/>
      <x:c r="I82" s="9" t="str">
        <x:f>'Evaluation Plan'!I82</x:f>
        <x:v>Concept/compositional transfer</x:v>
      </x:c>
      <x:c r="J82" s="9" t="str">
        <x:f>'Evaluation Plan'!J82</x:f>
        <x:v>RP-CT-N10</x:v>
      </x:c>
      <x:c r="K82" s="9" t="str">
        <x:f>'Evaluation Plan'!K82</x:f>
        <x:v>right</x:v>
      </x:c>
      <x:c r="L82" s="9" t="str">
        <x:f>'Evaluation Plan'!L82</x:f>
        <x:v>Neutral-axis independent compositional-transfer scene</x:v>
      </x:c>
      <x:c r="M82" s="9" t="str">
        <x:f>'Evaluation Plan'!M82</x:f>
        <x:v>red block</x:v>
      </x:c>
      <x:c r="N82" s="9" t="str">
        <x:f>'Evaluation Plan'!N82</x:f>
        <x:v>green pen</x:v>
      </x:c>
      <x:c r="O82" s="9" t="str">
        <x:f>'Evaluation Plan'!O82</x:f>
        <x:v>None</x:v>
      </x:c>
      <x:c r="P82" s="9" t="n">
        <x:f>'Evaluation Plan'!P82</x:f>
        <x:v>4</x:v>
      </x:c>
      <x:c r="Q82" s="9" t="str">
        <x:f>'Evaluation Plan'!Q82</x:f>
        <x:v>Build the listed neutral-axis scene and save the first frame.</x:v>
      </x:c>
      <x:c r="R82" s="10" t="str">
        <x:f>'Evaluation Plan'!R82</x:f>
        <x:v>Independent held-out-composition scene. Source episode 298 supplies target recognition/manipulation under the trained prompt “Put the red block beside the green pen.”. The orthogonal start removes the opposite-side shortcut.</x:v>
      </x:c>
      <x:c r="S82" s="10" t="str">
        <x:f>IF(ISBLANK('Evaluation Plan'!S82),"",'Evaluation Plan'!S82)</x:f>
      </x:c>
    </x:row>
    <x:row r="83" ht="72" customHeight="1">
      <x:c r="A83" s="9" t="str">
        <x:v>Not collected</x:v>
      </x:c>
      <x:c r="B83" s="9" t="n">
        <x:f>'Evaluation Plan'!B83</x:f>
        <x:v>81</x:v>
      </x:c>
      <x:c r="C83" s="10" t="str">
        <x:f>'Evaluation Plan'!C83</x:f>
        <x:v>Put the red block beside the green pen.</x:v>
      </x:c>
      <x:c r="D83" s="10" t="str">
        <x:f>'Evaluation Plan'!D83</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3" s="9" t="n">
        <x:f>IF(ISBLANK('Evaluation Plan'!E83),"",'Evaluation Plan'!E83)</x:f>
        <x:v>80</x:v>
      </x:c>
      <x:c r="F83" s="9" t="str">
        <x:f>'Evaluation Plan'!F83</x:f>
        <x:v>298</x:v>
      </x:c>
      <x:c r="G83" s="9" t="str">
        <x:f>'Evaluation Plan'!G83</x:f>
        <x:v>red block → 2–8 cm edge gap near green pen; no directional sector required.</x:v>
      </x:c>
      <x:c r="H83" s="10"/>
      <x:c r="I83" s="9" t="str">
        <x:f>'Evaluation Plan'!I83</x:f>
        <x:v>Matched manipulation control</x:v>
      </x:c>
      <x:c r="J83" s="9" t="str">
        <x:f>'Evaluation Plan'!J83</x:f>
        <x:v>RP-CT-N10</x:v>
      </x:c>
      <x:c r="K83" s="9" t="str">
        <x:f>'Evaluation Plan'!K83</x:f>
        <x:v>right</x:v>
      </x:c>
      <x:c r="L83" s="9" t="str">
        <x:f>'Evaluation Plan'!L83</x:f>
        <x:v>Exact-scene masked manipulation control</x:v>
      </x:c>
      <x:c r="M83" s="9" t="str">
        <x:f>'Evaluation Plan'!M83</x:f>
        <x:v>red block</x:v>
      </x:c>
      <x:c r="N83" s="9" t="str">
        <x:f>'Evaluation Plan'!N83</x:f>
        <x:v>green pen</x:v>
      </x:c>
      <x:c r="O83" s="9" t="str">
        <x:f>'Evaluation Plan'!O83</x:f>
        <x:v>None</x:v>
      </x:c>
      <x:c r="P83" s="9" t="n">
        <x:f>'Evaluation Plan'!P83</x:f>
        <x:v>4</x:v>
      </x:c>
      <x:c r="Q83" s="9" t="str">
        <x:f>'Evaluation Plan'!Q83</x:f>
        <x:v>Reset P1 to its marked pose; preserve the exact scene and use the trained control instruction.</x:v>
      </x:c>
      <x:c r="R83" s="10" t="str">
        <x:f>'Evaluation Plan'!R83</x:f>
        <x:v>Exact-scene control using the final training prompt from episode 298. The target, reference, distractors, camera, and robot start match the paired transfer row.</x:v>
      </x:c>
      <x:c r="S83" s="10" t="str">
        <x:f>IF(ISBLANK('Evaluation Plan'!S83),"",'Evaluation Plan'!S83)</x:f>
      </x:c>
    </x:row>
    <x:row r="84" ht="72" customHeight="1">
      <x:c r="A84" s="9" t="str">
        <x:v>Not collected</x:v>
      </x:c>
      <x:c r="B84" s="9" t="n">
        <x:f>'Evaluation Plan'!B84</x:f>
        <x:v>82</x:v>
      </x:c>
      <x:c r="C84" s="10" t="str">
        <x:f>'Evaluation Plan'!C84</x:f>
        <x:v>Position the red block on the robot's right-hand side of the green pen.</x:v>
      </x:c>
      <x:c r="D84" s="10" t="str">
        <x:f>'Evaluation Plan'!D84</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4" s="9" t="n">
        <x:f>IF(ISBLANK('Evaluation Plan'!E84),"",'Evaluation Plan'!E84)</x:f>
        <x:v>80</x:v>
      </x:c>
      <x:c r="F84" s="9" t="str">
        <x:f>'Evaluation Plan'!F84</x:f>
        <x:v>298</x:v>
      </x:c>
      <x:c r="G84" s="9" t="str">
        <x:f>'Evaluation Plan'!G84</x:f>
        <x:v>red block → 2–8 cm edge gap to the right of green pen; centroid direction within ±45°.</x:v>
      </x:c>
      <x:c r="H84" s="10"/>
      <x:c r="I84" s="9" t="str">
        <x:f>'Evaluation Plan'!I84</x:f>
        <x:v>Language robustness</x:v>
      </x:c>
      <x:c r="J84" s="9" t="str">
        <x:f>'Evaluation Plan'!J84</x:f>
        <x:v>RP-CT-N10</x:v>
      </x:c>
      <x:c r="K84" s="9" t="str">
        <x:f>'Evaluation Plan'!K84</x:f>
        <x:v>right</x:v>
      </x:c>
      <x:c r="L84" s="9" t="str">
        <x:f>'Evaluation Plan'!L84</x:f>
        <x:v>Transfer paraphrase of concept/compositional transfer</x:v>
      </x:c>
      <x:c r="M84" s="9" t="str">
        <x:f>'Evaluation Plan'!M84</x:f>
        <x:v>red block</x:v>
      </x:c>
      <x:c r="N84" s="9" t="str">
        <x:f>'Evaluation Plan'!N84</x:f>
        <x:v>green pen</x:v>
      </x:c>
      <x:c r="O84" s="9" t="str">
        <x:f>'Evaluation Plan'!O84</x:f>
        <x:v>None</x:v>
      </x:c>
      <x:c r="P84" s="9" t="n">
        <x:f>'Evaluation Plan'!P84</x:f>
        <x:v>4</x:v>
      </x:c>
      <x:c r="Q84" s="9" t="str">
        <x:f>'Evaluation Plan'!Q84</x:f>
        <x:v>Reset P1 to its marked pose; preserve the exact scene and change only the wording of the transfer instruction.</x:v>
      </x:c>
      <x:c r="R84" s="10" t="str">
        <x:f>'Evaluation Plan'!R84</x:f>
        <x:v>Exact-scene paraphrase of the canonical compositional-transfer instruction.</x:v>
      </x:c>
      <x:c r="S84" s="10" t="str">
        <x:f>IF(ISBLANK('Evaluation Plan'!S84),"",'Evaluation Plan'!S84)</x:f>
      </x:c>
    </x:row>
    <x:row r="85" ht="72" customHeight="1">
      <x:c r="A85" s="9" t="str">
        <x:v>Not collected</x:v>
      </x:c>
      <x:c r="B85" s="9" t="n">
        <x:f>'Evaluation Plan'!B85</x:f>
        <x:v>83</x:v>
      </x:c>
      <x:c r="C85" s="10" t="str">
        <x:f>'Evaluation Plan'!C85</x:f>
        <x:v>Set the red block down close to the green pen.</x:v>
      </x:c>
      <x:c r="D85" s="10" t="str">
        <x:f>'Evaluation Plan'!D85</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5" s="9" t="n">
        <x:f>IF(ISBLANK('Evaluation Plan'!E85),"",'Evaluation Plan'!E85)</x:f>
        <x:v>81</x:v>
      </x:c>
      <x:c r="F85" s="9" t="str">
        <x:f>'Evaluation Plan'!F85</x:f>
        <x:v>298</x:v>
      </x:c>
      <x:c r="G85" s="9" t="str">
        <x:f>'Evaluation Plan'!G85</x:f>
        <x:v>red block → 2–8 cm edge gap near green pen; no directional sector required.</x:v>
      </x:c>
      <x:c r="H85" s="10"/>
      <x:c r="I85" s="9" t="str">
        <x:f>'Evaluation Plan'!I85</x:f>
        <x:v>Language robustness</x:v>
      </x:c>
      <x:c r="J85" s="9" t="str">
        <x:f>'Evaluation Plan'!J85</x:f>
        <x:v>RP-CT-N10</x:v>
      </x:c>
      <x:c r="K85" s="9" t="str">
        <x:f>'Evaluation Plan'!K85</x:f>
        <x:v>right</x:v>
      </x:c>
      <x:c r="L85" s="9" t="str">
        <x:f>'Evaluation Plan'!L85</x:f>
        <x:v>Matched-control paraphrase</x:v>
      </x:c>
      <x:c r="M85" s="9" t="str">
        <x:f>'Evaluation Plan'!M85</x:f>
        <x:v>red block</x:v>
      </x:c>
      <x:c r="N85" s="9" t="str">
        <x:f>'Evaluation Plan'!N85</x:f>
        <x:v>green pen</x:v>
      </x:c>
      <x:c r="O85" s="9" t="str">
        <x:f>'Evaluation Plan'!O85</x:f>
        <x:v>None</x:v>
      </x:c>
      <x:c r="P85" s="9" t="n">
        <x:f>'Evaluation Plan'!P85</x:f>
        <x:v>4</x:v>
      </x:c>
      <x:c r="Q85" s="9" t="str">
        <x:f>'Evaluation Plan'!Q85</x:f>
        <x:v>Reset P1 to its marked pose; preserve the exact scene and change only the wording of the matched-control instruction.</x:v>
      </x:c>
      <x:c r="R85" s="10" t="str">
        <x:f>'Evaluation Plan'!R85</x:f>
        <x:v>Exact-scene paraphrase of the training-supported control from episode 298.</x:v>
      </x:c>
      <x:c r="S85" s="10" t="str">
        <x:f>IF(ISBLANK('Evaluation Plan'!S85),"",'Evaluation Plan'!S85)</x:f>
      </x:c>
    </x:row>
    <x:row r="86" ht="72" customHeight="1">
      <x:c r="A86" s="9" t="str">
        <x:v>Not collected</x:v>
      </x:c>
      <x:c r="B86" s="9" t="n">
        <x:f>'Evaluation Plan'!B86</x:f>
        <x:v>84</x:v>
      </x:c>
      <x:c r="C86" s="10" t="str">
        <x:f>'Evaluation Plan'!C86</x:f>
        <x:v>Place the green pen in front of the red block.</x:v>
      </x:c>
      <x:c r="D86" s="10" t="str">
        <x:f>'Evaluation Plan'!D86</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6" s="9" t="str">
        <x:f>IF(ISBLANK('Evaluation Plan'!E86),"",'Evaluation Plan'!E86)</x:f>
      </x:c>
      <x:c r="F86" s="9" t="str">
        <x:f>'Evaluation Plan'!F86</x:f>
        <x:v>202</x:v>
      </x:c>
      <x:c r="G86" s="9" t="str">
        <x:f>'Evaluation Plan'!G86</x:f>
        <x:v>green pen → 2–8 cm edge gap in front of red block; centroid direction within ±45°.</x:v>
      </x:c>
      <x:c r="H86" s="10"/>
      <x:c r="I86" s="9" t="str">
        <x:f>'Evaluation Plan'!I86</x:f>
        <x:v>Concept/compositional transfer</x:v>
      </x:c>
      <x:c r="J86" s="9" t="str">
        <x:f>'Evaluation Plan'!J86</x:f>
        <x:v>RP-CT-N11</x:v>
      </x:c>
      <x:c r="K86" s="9" t="str">
        <x:f>'Evaluation Plan'!K86</x:f>
        <x:v>front</x:v>
      </x:c>
      <x:c r="L86" s="9" t="str">
        <x:f>'Evaluation Plan'!L86</x:f>
        <x:v>Neutral-axis independent compositional-transfer scene</x:v>
      </x:c>
      <x:c r="M86" s="9" t="str">
        <x:f>'Evaluation Plan'!M86</x:f>
        <x:v>green pen</x:v>
      </x:c>
      <x:c r="N86" s="9" t="str">
        <x:f>'Evaluation Plan'!N86</x:f>
        <x:v>red block</x:v>
      </x:c>
      <x:c r="O86" s="9" t="str">
        <x:f>'Evaluation Plan'!O86</x:f>
        <x:v>None</x:v>
      </x:c>
      <x:c r="P86" s="9" t="n">
        <x:f>'Evaluation Plan'!P86</x:f>
        <x:v>4</x:v>
      </x:c>
      <x:c r="Q86" s="9" t="str">
        <x:f>'Evaluation Plan'!Q86</x:f>
        <x:v>Build the listed neutral-axis scene and save the first frame.</x:v>
      </x:c>
      <x:c r="R86" s="10" t="str">
        <x:f>'Evaluation Plan'!R86</x:f>
        <x:v>Independent held-out-composition scene. Source episode 202 supplies target recognition/manipulation under the trained prompt “Put the green pen beside the red block.”. The orthogonal start removes the opposite-side shortcut.</x:v>
      </x:c>
      <x:c r="S86" s="10" t="str">
        <x:f>IF(ISBLANK('Evaluation Plan'!S86),"",'Evaluation Plan'!S86)</x:f>
      </x:c>
    </x:row>
    <x:row r="87" ht="72" customHeight="1">
      <x:c r="A87" s="9" t="str">
        <x:v>Not collected</x:v>
      </x:c>
      <x:c r="B87" s="9" t="n">
        <x:f>'Evaluation Plan'!B87</x:f>
        <x:v>85</x:v>
      </x:c>
      <x:c r="C87" s="10" t="str">
        <x:f>'Evaluation Plan'!C87</x:f>
        <x:v>Put the green pen beside the red block.</x:v>
      </x:c>
      <x:c r="D87" s="10" t="str">
        <x:f>'Evaluation Plan'!D87</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7" s="9" t="n">
        <x:f>IF(ISBLANK('Evaluation Plan'!E87),"",'Evaluation Plan'!E87)</x:f>
        <x:v>84</x:v>
      </x:c>
      <x:c r="F87" s="9" t="str">
        <x:f>'Evaluation Plan'!F87</x:f>
        <x:v>202</x:v>
      </x:c>
      <x:c r="G87" s="9" t="str">
        <x:f>'Evaluation Plan'!G87</x:f>
        <x:v>green pen → 2–8 cm edge gap near red block; no directional sector required.</x:v>
      </x:c>
      <x:c r="H87" s="10"/>
      <x:c r="I87" s="9" t="str">
        <x:f>'Evaluation Plan'!I87</x:f>
        <x:v>Matched manipulation control</x:v>
      </x:c>
      <x:c r="J87" s="9" t="str">
        <x:f>'Evaluation Plan'!J87</x:f>
        <x:v>RP-CT-N11</x:v>
      </x:c>
      <x:c r="K87" s="9" t="str">
        <x:f>'Evaluation Plan'!K87</x:f>
        <x:v>front</x:v>
      </x:c>
      <x:c r="L87" s="9" t="str">
        <x:f>'Evaluation Plan'!L87</x:f>
        <x:v>Exact-scene masked manipulation control</x:v>
      </x:c>
      <x:c r="M87" s="9" t="str">
        <x:f>'Evaluation Plan'!M87</x:f>
        <x:v>green pen</x:v>
      </x:c>
      <x:c r="N87" s="9" t="str">
        <x:f>'Evaluation Plan'!N87</x:f>
        <x:v>red block</x:v>
      </x:c>
      <x:c r="O87" s="9" t="str">
        <x:f>'Evaluation Plan'!O87</x:f>
        <x:v>None</x:v>
      </x:c>
      <x:c r="P87" s="9" t="n">
        <x:f>'Evaluation Plan'!P87</x:f>
        <x:v>4</x:v>
      </x:c>
      <x:c r="Q87" s="9" t="str">
        <x:f>'Evaluation Plan'!Q87</x:f>
        <x:v>Reset P1 to its marked pose; preserve the exact scene and use the trained control instruction.</x:v>
      </x:c>
      <x:c r="R87" s="10" t="str">
        <x:f>'Evaluation Plan'!R87</x:f>
        <x:v>Exact-scene control using the final training prompt from episode 202. The target, reference, distractors, camera, and robot start match the paired transfer row.</x:v>
      </x:c>
      <x:c r="S87" s="10" t="str">
        <x:f>IF(ISBLANK('Evaluation Plan'!S87),"",'Evaluation Plan'!S87)</x:f>
      </x:c>
    </x:row>
    <x:row r="88" ht="72" customHeight="1">
      <x:c r="A88" s="9" t="str">
        <x:v>Not collected</x:v>
      </x:c>
      <x:c r="B88" s="9" t="n">
        <x:f>'Evaluation Plan'!B88</x:f>
        <x:v>86</x:v>
      </x:c>
      <x:c r="C88" s="10" t="str">
        <x:f>'Evaluation Plan'!C88</x:f>
        <x:v>Place the red block in front of the green pen.</x:v>
      </x:c>
      <x:c r="D88" s="10" t="str">
        <x:f>'Evaluation Plan'!D88</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8" s="9" t="str">
        <x:f>IF(ISBLANK('Evaluation Plan'!E88),"",'Evaluation Plan'!E88)</x:f>
      </x:c>
      <x:c r="F88" s="9" t="str">
        <x:f>'Evaluation Plan'!F88</x:f>
        <x:v>261</x:v>
      </x:c>
      <x:c r="G88" s="9" t="str">
        <x:f>'Evaluation Plan'!G88</x:f>
        <x:v>red block → 2–8 cm edge gap in front of green pen; centroid direction within ±45°.</x:v>
      </x:c>
      <x:c r="H88" s="10"/>
      <x:c r="I88" s="9" t="str">
        <x:f>'Evaluation Plan'!I88</x:f>
        <x:v>Concept/compositional transfer</x:v>
      </x:c>
      <x:c r="J88" s="9" t="str">
        <x:f>'Evaluation Plan'!J88</x:f>
        <x:v>RP-CT-N12</x:v>
      </x:c>
      <x:c r="K88" s="9" t="str">
        <x:f>'Evaluation Plan'!K88</x:f>
        <x:v>front</x:v>
      </x:c>
      <x:c r="L88" s="9" t="str">
        <x:f>'Evaluation Plan'!L88</x:f>
        <x:v>Neutral-axis independent compositional-transfer scene</x:v>
      </x:c>
      <x:c r="M88" s="9" t="str">
        <x:f>'Evaluation Plan'!M88</x:f>
        <x:v>red block</x:v>
      </x:c>
      <x:c r="N88" s="9" t="str">
        <x:f>'Evaluation Plan'!N88</x:f>
        <x:v>green pen</x:v>
      </x:c>
      <x:c r="O88" s="9" t="str">
        <x:f>'Evaluation Plan'!O88</x:f>
        <x:v>None</x:v>
      </x:c>
      <x:c r="P88" s="9" t="n">
        <x:f>'Evaluation Plan'!P88</x:f>
        <x:v>3</x:v>
      </x:c>
      <x:c r="Q88" s="9" t="str">
        <x:f>'Evaluation Plan'!Q88</x:f>
        <x:v>Build the listed neutral-axis scene and save the first frame.</x:v>
      </x:c>
      <x:c r="R88" s="10" t="str">
        <x:f>'Evaluation Plan'!R88</x:f>
        <x:v>Independent held-out-composition scene. Source episode 261 supplies target recognition/manipulation under the trained prompt “Place the red block next to the green pen.”. The orthogonal start removes the opposite-side shortcut.</x:v>
      </x:c>
      <x:c r="S88" s="10" t="str">
        <x:f>IF(ISBLANK('Evaluation Plan'!S88),"",'Evaluation Plan'!S88)</x:f>
      </x:c>
    </x:row>
    <x:row r="89" ht="72" customHeight="1">
      <x:c r="A89" s="9" t="str">
        <x:v>Not collected</x:v>
      </x:c>
      <x:c r="B89" s="9" t="n">
        <x:f>'Evaluation Plan'!B89</x:f>
        <x:v>87</x:v>
      </x:c>
      <x:c r="C89" s="10" t="str">
        <x:f>'Evaluation Plan'!C89</x:f>
        <x:v>Place the red block next to the green pen.</x:v>
      </x:c>
      <x:c r="D89" s="10" t="str">
        <x:f>'Evaluation Plan'!D89</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9" s="9" t="n">
        <x:f>IF(ISBLANK('Evaluation Plan'!E89),"",'Evaluation Plan'!E89)</x:f>
        <x:v>86</x:v>
      </x:c>
      <x:c r="F89" s="9" t="str">
        <x:f>'Evaluation Plan'!F89</x:f>
        <x:v>261</x:v>
      </x:c>
      <x:c r="G89" s="9" t="str">
        <x:f>'Evaluation Plan'!G89</x:f>
        <x:v>red block → 2–8 cm edge gap near green pen; no directional sector required.</x:v>
      </x:c>
      <x:c r="H89" s="10"/>
      <x:c r="I89" s="9" t="str">
        <x:f>'Evaluation Plan'!I89</x:f>
        <x:v>Matched manipulation control</x:v>
      </x:c>
      <x:c r="J89" s="9" t="str">
        <x:f>'Evaluation Plan'!J89</x:f>
        <x:v>RP-CT-N12</x:v>
      </x:c>
      <x:c r="K89" s="9" t="str">
        <x:f>'Evaluation Plan'!K89</x:f>
        <x:v>front</x:v>
      </x:c>
      <x:c r="L89" s="9" t="str">
        <x:f>'Evaluation Plan'!L89</x:f>
        <x:v>Exact-scene masked manipulation control</x:v>
      </x:c>
      <x:c r="M89" s="9" t="str">
        <x:f>'Evaluation Plan'!M89</x:f>
        <x:v>red block</x:v>
      </x:c>
      <x:c r="N89" s="9" t="str">
        <x:f>'Evaluation Plan'!N89</x:f>
        <x:v>green pen</x:v>
      </x:c>
      <x:c r="O89" s="9" t="str">
        <x:f>'Evaluation Plan'!O89</x:f>
        <x:v>None</x:v>
      </x:c>
      <x:c r="P89" s="9" t="n">
        <x:f>'Evaluation Plan'!P89</x:f>
        <x:v>3</x:v>
      </x:c>
      <x:c r="Q89" s="9" t="str">
        <x:f>'Evaluation Plan'!Q89</x:f>
        <x:v>Reset P1 to its marked pose; preserve the exact scene and use the trained control instruction.</x:v>
      </x:c>
      <x:c r="R89" s="10" t="str">
        <x:f>'Evaluation Plan'!R89</x:f>
        <x:v>Exact-scene control using the final training prompt from episode 261. The target, reference, distractors, camera, and robot start match the paired transfer row.</x:v>
      </x:c>
      <x:c r="S89" s="10" t="str">
        <x:f>IF(ISBLANK('Evaluation Plan'!S89),"",'Evaluation Plan'!S89)</x:f>
      </x:c>
    </x:row>
    <x:row r="90" ht="72" customHeight="1">
      <x:c r="A90" s="9" t="str">
        <x:v>Not collected</x:v>
      </x:c>
      <x:c r="B90" s="9" t="n">
        <x:f>'Evaluation Plan'!B90</x:f>
        <x:v>88</x:v>
      </x:c>
      <x:c r="C90" s="10" t="str">
        <x:f>'Evaluation Plan'!C90</x:f>
        <x:v>Place the green pen behind the red block.</x:v>
      </x:c>
      <x:c r="D90" s="10" t="str">
        <x:f>'Evaluation Plan'!D90</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0" s="9" t="str">
        <x:f>IF(ISBLANK('Evaluation Plan'!E90),"",'Evaluation Plan'!E90)</x:f>
      </x:c>
      <x:c r="F90" s="9" t="str">
        <x:f>'Evaluation Plan'!F90</x:f>
        <x:v>213</x:v>
      </x:c>
      <x:c r="G90" s="9" t="str">
        <x:f>'Evaluation Plan'!G90</x:f>
        <x:v>green pen → 2–8 cm edge gap behind red block; centroid direction within ±45°.</x:v>
      </x:c>
      <x:c r="H90" s="10"/>
      <x:c r="I90" s="9" t="str">
        <x:f>'Evaluation Plan'!I90</x:f>
        <x:v>Concept/compositional transfer</x:v>
      </x:c>
      <x:c r="J90" s="9" t="str">
        <x:f>'Evaluation Plan'!J90</x:f>
        <x:v>RP-CT-N13</x:v>
      </x:c>
      <x:c r="K90" s="9" t="str">
        <x:f>'Evaluation Plan'!K90</x:f>
        <x:v>behind</x:v>
      </x:c>
      <x:c r="L90" s="9" t="str">
        <x:f>'Evaluation Plan'!L90</x:f>
        <x:v>Neutral-axis independent compositional-transfer scene</x:v>
      </x:c>
      <x:c r="M90" s="9" t="str">
        <x:f>'Evaluation Plan'!M90</x:f>
        <x:v>green pen</x:v>
      </x:c>
      <x:c r="N90" s="9" t="str">
        <x:f>'Evaluation Plan'!N90</x:f>
        <x:v>red block</x:v>
      </x:c>
      <x:c r="O90" s="9" t="str">
        <x:f>'Evaluation Plan'!O90</x:f>
        <x:v>None</x:v>
      </x:c>
      <x:c r="P90" s="9" t="n">
        <x:f>'Evaluation Plan'!P90</x:f>
        <x:v>3</x:v>
      </x:c>
      <x:c r="Q90" s="9" t="str">
        <x:f>'Evaluation Plan'!Q90</x:f>
        <x:v>Build the listed neutral-axis scene and save the first frame.</x:v>
      </x:c>
      <x:c r="R90" s="10" t="str">
        <x:f>'Evaluation Plan'!R90</x:f>
        <x:v>Independent held-out-composition scene. Source episode 213 supplies target recognition/manipulation under the trained prompt “Place the green pen next to the red block.”. The orthogonal start removes the opposite-side shortcut.</x:v>
      </x:c>
      <x:c r="S90" s="10" t="str">
        <x:f>IF(ISBLANK('Evaluation Plan'!S90),"",'Evaluation Plan'!S90)</x:f>
      </x:c>
    </x:row>
    <x:row r="91" ht="72" customHeight="1">
      <x:c r="A91" s="9" t="str">
        <x:v>Not collected</x:v>
      </x:c>
      <x:c r="B91" s="9" t="n">
        <x:f>'Evaluation Plan'!B91</x:f>
        <x:v>89</x:v>
      </x:c>
      <x:c r="C91" s="10" t="str">
        <x:f>'Evaluation Plan'!C91</x:f>
        <x:v>Place the green pen next to the red block.</x:v>
      </x:c>
      <x:c r="D91" s="10" t="str">
        <x:f>'Evaluation Plan'!D91</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1" s="9" t="n">
        <x:f>IF(ISBLANK('Evaluation Plan'!E91),"",'Evaluation Plan'!E91)</x:f>
        <x:v>88</x:v>
      </x:c>
      <x:c r="F91" s="9" t="str">
        <x:f>'Evaluation Plan'!F91</x:f>
        <x:v>213</x:v>
      </x:c>
      <x:c r="G91" s="9" t="str">
        <x:f>'Evaluation Plan'!G91</x:f>
        <x:v>green pen → 2–8 cm edge gap near red block; no directional sector required.</x:v>
      </x:c>
      <x:c r="H91" s="10"/>
      <x:c r="I91" s="9" t="str">
        <x:f>'Evaluation Plan'!I91</x:f>
        <x:v>Matched manipulation control</x:v>
      </x:c>
      <x:c r="J91" s="9" t="str">
        <x:f>'Evaluation Plan'!J91</x:f>
        <x:v>RP-CT-N13</x:v>
      </x:c>
      <x:c r="K91" s="9" t="str">
        <x:f>'Evaluation Plan'!K91</x:f>
        <x:v>behind</x:v>
      </x:c>
      <x:c r="L91" s="9" t="str">
        <x:f>'Evaluation Plan'!L91</x:f>
        <x:v>Exact-scene masked manipulation control</x:v>
      </x:c>
      <x:c r="M91" s="9" t="str">
        <x:f>'Evaluation Plan'!M91</x:f>
        <x:v>green pen</x:v>
      </x:c>
      <x:c r="N91" s="9" t="str">
        <x:f>'Evaluation Plan'!N91</x:f>
        <x:v>red block</x:v>
      </x:c>
      <x:c r="O91" s="9" t="str">
        <x:f>'Evaluation Plan'!O91</x:f>
        <x:v>None</x:v>
      </x:c>
      <x:c r="P91" s="9" t="n">
        <x:f>'Evaluation Plan'!P91</x:f>
        <x:v>3</x:v>
      </x:c>
      <x:c r="Q91" s="9" t="str">
        <x:f>'Evaluation Plan'!Q91</x:f>
        <x:v>Reset P1 to its marked pose; preserve the exact scene and use the trained control instruction.</x:v>
      </x:c>
      <x:c r="R91" s="10" t="str">
        <x:f>'Evaluation Plan'!R91</x:f>
        <x:v>Exact-scene control using the final training prompt from episode 213. The target, reference, distractors, camera, and robot start match the paired transfer row.</x:v>
      </x:c>
      <x:c r="S91" s="10" t="str">
        <x:f>IF(ISBLANK('Evaluation Plan'!S91),"",'Evaluation Plan'!S91)</x:f>
      </x:c>
    </x:row>
    <x:row r="92" ht="72" customHeight="1">
      <x:c r="A92" s="9" t="str">
        <x:v>Not collected</x:v>
      </x:c>
      <x:c r="B92" s="9" t="n">
        <x:f>'Evaluation Plan'!B92</x:f>
        <x:v>90</x:v>
      </x:c>
      <x:c r="C92" s="10" t="str">
        <x:f>'Evaluation Plan'!C92</x:f>
        <x:v>Place the red block behind the green pen.</x:v>
      </x:c>
      <x:c r="D92" s="10" t="str">
        <x:f>'Evaluation Plan'!D92</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2" s="9" t="str">
        <x:f>IF(ISBLANK('Evaluation Plan'!E92),"",'Evaluation Plan'!E92)</x:f>
      </x:c>
      <x:c r="F92" s="9" t="str">
        <x:f>'Evaluation Plan'!F92</x:f>
        <x:v>273</x:v>
      </x:c>
      <x:c r="G92" s="9" t="str">
        <x:f>'Evaluation Plan'!G92</x:f>
        <x:v>red block → 2–8 cm edge gap behind green pen; centroid direction within ±45°.</x:v>
      </x:c>
      <x:c r="H92" s="10"/>
      <x:c r="I92" s="9" t="str">
        <x:f>'Evaluation Plan'!I92</x:f>
        <x:v>Concept/compositional transfer</x:v>
      </x:c>
      <x:c r="J92" s="9" t="str">
        <x:f>'Evaluation Plan'!J92</x:f>
        <x:v>RP-CT-N14</x:v>
      </x:c>
      <x:c r="K92" s="9" t="str">
        <x:f>'Evaluation Plan'!K92</x:f>
        <x:v>behind</x:v>
      </x:c>
      <x:c r="L92" s="9" t="str">
        <x:f>'Evaluation Plan'!L92</x:f>
        <x:v>Neutral-axis independent compositional-transfer scene</x:v>
      </x:c>
      <x:c r="M92" s="9" t="str">
        <x:f>'Evaluation Plan'!M92</x:f>
        <x:v>red block</x:v>
      </x:c>
      <x:c r="N92" s="9" t="str">
        <x:f>'Evaluation Plan'!N92</x:f>
        <x:v>green pen</x:v>
      </x:c>
      <x:c r="O92" s="9" t="str">
        <x:f>'Evaluation Plan'!O92</x:f>
        <x:v>None</x:v>
      </x:c>
      <x:c r="P92" s="9" t="n">
        <x:f>'Evaluation Plan'!P92</x:f>
        <x:v>4</x:v>
      </x:c>
      <x:c r="Q92" s="9" t="str">
        <x:f>'Evaluation Plan'!Q92</x:f>
        <x:v>Build the listed neutral-axis scene and save the first frame.</x:v>
      </x:c>
      <x:c r="R92" s="10" t="str">
        <x:f>'Evaluation Plan'!R92</x:f>
        <x:v>Independent held-out-composition scene. Source episode 273 supplies target recognition/manipulation under the trained prompt “Place the red block next to the green pen.”. The orthogonal start removes the opposite-side shortcut.</x:v>
      </x:c>
      <x:c r="S92" s="10" t="str">
        <x:f>IF(ISBLANK('Evaluation Plan'!S92),"",'Evaluation Plan'!S92)</x:f>
      </x:c>
    </x:row>
    <x:row r="93" ht="72" customHeight="1">
      <x:c r="A93" s="9" t="str">
        <x:v>Not collected</x:v>
      </x:c>
      <x:c r="B93" s="9" t="n">
        <x:f>'Evaluation Plan'!B93</x:f>
        <x:v>91</x:v>
      </x:c>
      <x:c r="C93" s="10" t="str">
        <x:f>'Evaluation Plan'!C93</x:f>
        <x:v>Place the red block next to the green pen.</x:v>
      </x:c>
      <x:c r="D93" s="10" t="str">
        <x:f>'Evaluation Plan'!D93</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3" s="9" t="n">
        <x:f>IF(ISBLANK('Evaluation Plan'!E93),"",'Evaluation Plan'!E93)</x:f>
        <x:v>90</x:v>
      </x:c>
      <x:c r="F93" s="9" t="str">
        <x:f>'Evaluation Plan'!F93</x:f>
        <x:v>273</x:v>
      </x:c>
      <x:c r="G93" s="9" t="str">
        <x:f>'Evaluation Plan'!G93</x:f>
        <x:v>red block → 2–8 cm edge gap near green pen; no directional sector required.</x:v>
      </x:c>
      <x:c r="H93" s="10"/>
      <x:c r="I93" s="9" t="str">
        <x:f>'Evaluation Plan'!I93</x:f>
        <x:v>Matched manipulation control</x:v>
      </x:c>
      <x:c r="J93" s="9" t="str">
        <x:f>'Evaluation Plan'!J93</x:f>
        <x:v>RP-CT-N14</x:v>
      </x:c>
      <x:c r="K93" s="9" t="str">
        <x:f>'Evaluation Plan'!K93</x:f>
        <x:v>behind</x:v>
      </x:c>
      <x:c r="L93" s="9" t="str">
        <x:f>'Evaluation Plan'!L93</x:f>
        <x:v>Exact-scene masked manipulation control</x:v>
      </x:c>
      <x:c r="M93" s="9" t="str">
        <x:f>'Evaluation Plan'!M93</x:f>
        <x:v>red block</x:v>
      </x:c>
      <x:c r="N93" s="9" t="str">
        <x:f>'Evaluation Plan'!N93</x:f>
        <x:v>green pen</x:v>
      </x:c>
      <x:c r="O93" s="9" t="str">
        <x:f>'Evaluation Plan'!O93</x:f>
        <x:v>None</x:v>
      </x:c>
      <x:c r="P93" s="9" t="n">
        <x:f>'Evaluation Plan'!P93</x:f>
        <x:v>4</x:v>
      </x:c>
      <x:c r="Q93" s="9" t="str">
        <x:f>'Evaluation Plan'!Q93</x:f>
        <x:v>Reset P1 to its marked pose; preserve the exact scene and use the trained control instruction.</x:v>
      </x:c>
      <x:c r="R93" s="10" t="str">
        <x:f>'Evaluation Plan'!R93</x:f>
        <x:v>Exact-scene control using the final training prompt from episode 273. The target, reference, distractors, camera, and robot start match the paired transfer row.</x:v>
      </x:c>
      <x:c r="S93" s="10" t="str">
        <x:f>IF(ISBLANK('Evaluation Plan'!S93),"",'Evaluation Plan'!S93)</x:f>
      </x:c>
    </x:row>
    <x:row r="94" ht="72" customHeight="1">
      <x:c r="A94" s="9" t="str">
        <x:v>Not collected</x:v>
      </x:c>
      <x:c r="B94" s="9" t="n">
        <x:f>'Evaluation Plan'!B94</x:f>
        <x:v>92</x:v>
      </x:c>
      <x:c r="C94" s="10" t="str">
        <x:f>'Evaluation Plan'!C94</x:f>
        <x:v>Place the green pen to the left of the red block.</x:v>
      </x:c>
      <x:c r="D94" s="10" t="str">
        <x:f>'Evaluation Plan'!D94</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4" s="9" t="str">
        <x:f>IF(ISBLANK('Evaluation Plan'!E94),"",'Evaluation Plan'!E94)</x:f>
      </x:c>
      <x:c r="F94" s="9" t="str">
        <x:f>'Evaluation Plan'!F94</x:f>
        <x:v>227</x:v>
      </x:c>
      <x:c r="G94" s="9" t="str">
        <x:f>'Evaluation Plan'!G94</x:f>
        <x:v>green pen → 2–8 cm edge gap to the left of red block; centroid direction within ±45°.</x:v>
      </x:c>
      <x:c r="H94" s="10"/>
      <x:c r="I94" s="9" t="str">
        <x:f>'Evaluation Plan'!I94</x:f>
        <x:v>Concept/compositional transfer</x:v>
      </x:c>
      <x:c r="J94" s="9" t="str">
        <x:f>'Evaluation Plan'!J94</x:f>
        <x:v>RP-CT-N15</x:v>
      </x:c>
      <x:c r="K94" s="9" t="str">
        <x:f>'Evaluation Plan'!K94</x:f>
        <x:v>left</x:v>
      </x:c>
      <x:c r="L94" s="9" t="str">
        <x:f>'Evaluation Plan'!L94</x:f>
        <x:v>Neutral-axis independent compositional-transfer scene</x:v>
      </x:c>
      <x:c r="M94" s="9" t="str">
        <x:f>'Evaluation Plan'!M94</x:f>
        <x:v>green pen</x:v>
      </x:c>
      <x:c r="N94" s="9" t="str">
        <x:f>'Evaluation Plan'!N94</x:f>
        <x:v>red block</x:v>
      </x:c>
      <x:c r="O94" s="9" t="str">
        <x:f>'Evaluation Plan'!O94</x:f>
        <x:v>None</x:v>
      </x:c>
      <x:c r="P94" s="9" t="n">
        <x:f>'Evaluation Plan'!P94</x:f>
        <x:v>4</x:v>
      </x:c>
      <x:c r="Q94" s="9" t="str">
        <x:f>'Evaluation Plan'!Q94</x:f>
        <x:v>Build the listed neutral-axis scene and save the first frame.</x:v>
      </x:c>
      <x:c r="R94" s="10" t="str">
        <x:f>'Evaluation Plan'!R94</x:f>
        <x:v>Independent held-out-composition scene. Source episode 227 supplies target recognition/manipulation under the trained prompt “Move the green pen near the red block.”. The orthogonal start removes the opposite-side shortcut.</x:v>
      </x:c>
      <x:c r="S94" s="10" t="str">
        <x:f>IF(ISBLANK('Evaluation Plan'!S94),"",'Evaluation Plan'!S94)</x:f>
      </x:c>
    </x:row>
    <x:row r="95" ht="72" customHeight="1">
      <x:c r="A95" s="9" t="str">
        <x:v>Not collected</x:v>
      </x:c>
      <x:c r="B95" s="9" t="n">
        <x:f>'Evaluation Plan'!B95</x:f>
        <x:v>93</x:v>
      </x:c>
      <x:c r="C95" s="10" t="str">
        <x:f>'Evaluation Plan'!C95</x:f>
        <x:v>Move the green pen near the red block.</x:v>
      </x:c>
      <x:c r="D95" s="10" t="str">
        <x:f>'Evaluation Plan'!D95</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5" s="9" t="n">
        <x:f>IF(ISBLANK('Evaluation Plan'!E95),"",'Evaluation Plan'!E95)</x:f>
        <x:v>92</x:v>
      </x:c>
      <x:c r="F95" s="9" t="str">
        <x:f>'Evaluation Plan'!F95</x:f>
        <x:v>227</x:v>
      </x:c>
      <x:c r="G95" s="9" t="str">
        <x:f>'Evaluation Plan'!G95</x:f>
        <x:v>green pen → 2–8 cm edge gap near red block; no directional sector required.</x:v>
      </x:c>
      <x:c r="H95" s="10"/>
      <x:c r="I95" s="9" t="str">
        <x:f>'Evaluation Plan'!I95</x:f>
        <x:v>Matched manipulation control</x:v>
      </x:c>
      <x:c r="J95" s="9" t="str">
        <x:f>'Evaluation Plan'!J95</x:f>
        <x:v>RP-CT-N15</x:v>
      </x:c>
      <x:c r="K95" s="9" t="str">
        <x:f>'Evaluation Plan'!K95</x:f>
        <x:v>left</x:v>
      </x:c>
      <x:c r="L95" s="9" t="str">
        <x:f>'Evaluation Plan'!L95</x:f>
        <x:v>Exact-scene masked manipulation control</x:v>
      </x:c>
      <x:c r="M95" s="9" t="str">
        <x:f>'Evaluation Plan'!M95</x:f>
        <x:v>green pen</x:v>
      </x:c>
      <x:c r="N95" s="9" t="str">
        <x:f>'Evaluation Plan'!N95</x:f>
        <x:v>red block</x:v>
      </x:c>
      <x:c r="O95" s="9" t="str">
        <x:f>'Evaluation Plan'!O95</x:f>
        <x:v>None</x:v>
      </x:c>
      <x:c r="P95" s="9" t="n">
        <x:f>'Evaluation Plan'!P95</x:f>
        <x:v>4</x:v>
      </x:c>
      <x:c r="Q95" s="9" t="str">
        <x:f>'Evaluation Plan'!Q95</x:f>
        <x:v>Reset P1 to its marked pose; preserve the exact scene and use the trained control instruction.</x:v>
      </x:c>
      <x:c r="R95" s="10" t="str">
        <x:f>'Evaluation Plan'!R95</x:f>
        <x:v>Exact-scene control using the final training prompt from episode 227. The target, reference, distractors, camera, and robot start match the paired transfer row.</x:v>
      </x:c>
      <x:c r="S95" s="10" t="str">
        <x:f>IF(ISBLANK('Evaluation Plan'!S95),"",'Evaluation Plan'!S95)</x:f>
      </x:c>
    </x:row>
    <x:row r="96" ht="72" customHeight="1">
      <x:c r="A96" s="9" t="str">
        <x:v>Not collected</x:v>
      </x:c>
      <x:c r="B96" s="9" t="n">
        <x:f>'Evaluation Plan'!B96</x:f>
        <x:v>94</x:v>
      </x:c>
      <x:c r="C96" s="10" t="str">
        <x:f>'Evaluation Plan'!C96</x:f>
        <x:v>Place the red block to the left of the green pen.</x:v>
      </x:c>
      <x:c r="D96" s="10" t="str">
        <x:f>'Evaluation Plan'!D96</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6" s="9" t="str">
        <x:f>IF(ISBLANK('Evaluation Plan'!E96),"",'Evaluation Plan'!E96)</x:f>
      </x:c>
      <x:c r="F96" s="9" t="str">
        <x:f>'Evaluation Plan'!F96</x:f>
        <x:v>286</x:v>
      </x:c>
      <x:c r="G96" s="9" t="str">
        <x:f>'Evaluation Plan'!G96</x:f>
        <x:v>red block → 2–8 cm edge gap to the left of green pen; centroid direction within ±45°.</x:v>
      </x:c>
      <x:c r="H96" s="10"/>
      <x:c r="I96" s="9" t="str">
        <x:f>'Evaluation Plan'!I96</x:f>
        <x:v>Concept/compositional transfer</x:v>
      </x:c>
      <x:c r="J96" s="9" t="str">
        <x:f>'Evaluation Plan'!J96</x:f>
        <x:v>RP-CT-N16</x:v>
      </x:c>
      <x:c r="K96" s="9" t="str">
        <x:f>'Evaluation Plan'!K96</x:f>
        <x:v>left</x:v>
      </x:c>
      <x:c r="L96" s="9" t="str">
        <x:f>'Evaluation Plan'!L96</x:f>
        <x:v>Neutral-axis independent compositional-transfer scene</x:v>
      </x:c>
      <x:c r="M96" s="9" t="str">
        <x:f>'Evaluation Plan'!M96</x:f>
        <x:v>red block</x:v>
      </x:c>
      <x:c r="N96" s="9" t="str">
        <x:f>'Evaluation Plan'!N96</x:f>
        <x:v>green pen</x:v>
      </x:c>
      <x:c r="O96" s="9" t="str">
        <x:f>'Evaluation Plan'!O96</x:f>
        <x:v>None</x:v>
      </x:c>
      <x:c r="P96" s="9" t="n">
        <x:f>'Evaluation Plan'!P96</x:f>
        <x:v>3</x:v>
      </x:c>
      <x:c r="Q96" s="9" t="str">
        <x:f>'Evaluation Plan'!Q96</x:f>
        <x:v>Build the listed neutral-axis scene and save the first frame.</x:v>
      </x:c>
      <x:c r="R96" s="10" t="str">
        <x:f>'Evaluation Plan'!R96</x:f>
        <x:v>Independent held-out-composition scene. Source episode 286 supplies target recognition/manipulation under the trained prompt “Put the red block beside the green pen.”. The orthogonal start removes the opposite-side shortcut.</x:v>
      </x:c>
      <x:c r="S96" s="10" t="str">
        <x:f>IF(ISBLANK('Evaluation Plan'!S96),"",'Evaluation Plan'!S96)</x:f>
      </x:c>
    </x:row>
    <x:row r="97" ht="72" customHeight="1">
      <x:c r="A97" s="9" t="str">
        <x:v>Not collected</x:v>
      </x:c>
      <x:c r="B97" s="9" t="n">
        <x:f>'Evaluation Plan'!B97</x:f>
        <x:v>95</x:v>
      </x:c>
      <x:c r="C97" s="10" t="str">
        <x:f>'Evaluation Plan'!C97</x:f>
        <x:v>Put the red block beside the green pen.</x:v>
      </x:c>
      <x:c r="D97" s="10" t="str">
        <x:f>'Evaluation Plan'!D97</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7" s="9" t="n">
        <x:f>IF(ISBLANK('Evaluation Plan'!E97),"",'Evaluation Plan'!E97)</x:f>
        <x:v>94</x:v>
      </x:c>
      <x:c r="F97" s="9" t="str">
        <x:f>'Evaluation Plan'!F97</x:f>
        <x:v>286</x:v>
      </x:c>
      <x:c r="G97" s="9" t="str">
        <x:f>'Evaluation Plan'!G97</x:f>
        <x:v>red block → 2–8 cm edge gap near green pen; no directional sector required.</x:v>
      </x:c>
      <x:c r="H97" s="10"/>
      <x:c r="I97" s="9" t="str">
        <x:f>'Evaluation Plan'!I97</x:f>
        <x:v>Matched manipulation control</x:v>
      </x:c>
      <x:c r="J97" s="9" t="str">
        <x:f>'Evaluation Plan'!J97</x:f>
        <x:v>RP-CT-N16</x:v>
      </x:c>
      <x:c r="K97" s="9" t="str">
        <x:f>'Evaluation Plan'!K97</x:f>
        <x:v>left</x:v>
      </x:c>
      <x:c r="L97" s="9" t="str">
        <x:f>'Evaluation Plan'!L97</x:f>
        <x:v>Exact-scene masked manipulation control</x:v>
      </x:c>
      <x:c r="M97" s="9" t="str">
        <x:f>'Evaluation Plan'!M97</x:f>
        <x:v>red block</x:v>
      </x:c>
      <x:c r="N97" s="9" t="str">
        <x:f>'Evaluation Plan'!N97</x:f>
        <x:v>green pen</x:v>
      </x:c>
      <x:c r="O97" s="9" t="str">
        <x:f>'Evaluation Plan'!O97</x:f>
        <x:v>None</x:v>
      </x:c>
      <x:c r="P97" s="9" t="n">
        <x:f>'Evaluation Plan'!P97</x:f>
        <x:v>3</x:v>
      </x:c>
      <x:c r="Q97" s="9" t="str">
        <x:f>'Evaluation Plan'!Q97</x:f>
        <x:v>Reset P1 to its marked pose; preserve the exact scene and use the trained control instruction.</x:v>
      </x:c>
      <x:c r="R97" s="10" t="str">
        <x:f>'Evaluation Plan'!R97</x:f>
        <x:v>Exact-scene control using the final training prompt from episode 286. The target, reference, distractors, camera, and robot start match the paired transfer row.</x:v>
      </x:c>
      <x:c r="S97" s="10" t="str">
        <x:f>IF(ISBLANK('Evaluation Plan'!S97),"",'Evaluation Plan'!S97)</x:f>
      </x:c>
    </x:row>
    <x:row r="98" ht="72" customHeight="1">
      <x:c r="A98" s="9" t="str">
        <x:v>Not collected</x:v>
      </x:c>
      <x:c r="B98" s="9" t="n">
        <x:f>'Evaluation Plan'!B98</x:f>
        <x:v>96</x:v>
      </x:c>
      <x:c r="C98" s="10" t="str">
        <x:f>'Evaluation Plan'!C98</x:f>
        <x:v>Place the red block to the left of the green pen.</x:v>
      </x:c>
      <x:c r="D98" s="10" t="str">
        <x:f>'Evaluation Plan'!D98</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8" s="9" t="str">
        <x:f>IF(ISBLANK('Evaluation Plan'!E98),"",'Evaluation Plan'!E98)</x:f>
      </x:c>
      <x:c r="F98" s="9" t="str">
        <x:f>'Evaluation Plan'!F98</x:f>
        <x:v>285</x:v>
      </x:c>
      <x:c r="G98" s="9" t="str">
        <x:f>'Evaluation Plan'!G98</x:f>
        <x:v>red block → 2–8 cm edge gap to the left of green pen; centroid direction within ±45°.</x:v>
      </x:c>
      <x:c r="H98" s="10"/>
      <x:c r="I98" s="9" t="str">
        <x:f>'Evaluation Plan'!I98</x:f>
        <x:v>Concept/compositional transfer</x:v>
      </x:c>
      <x:c r="J98" s="9" t="str">
        <x:f>'Evaluation Plan'!J98</x:f>
        <x:v>RP-CT-N17</x:v>
      </x:c>
      <x:c r="K98" s="9" t="str">
        <x:f>'Evaluation Plan'!K98</x:f>
        <x:v>left</x:v>
      </x:c>
      <x:c r="L98" s="9" t="str">
        <x:f>'Evaluation Plan'!L98</x:f>
        <x:v>Neutral-axis independent compositional-transfer scene</x:v>
      </x:c>
      <x:c r="M98" s="9" t="str">
        <x:f>'Evaluation Plan'!M98</x:f>
        <x:v>red block</x:v>
      </x:c>
      <x:c r="N98" s="9" t="str">
        <x:f>'Evaluation Plan'!N98</x:f>
        <x:v>green pen</x:v>
      </x:c>
      <x:c r="O98" s="9" t="str">
        <x:f>'Evaluation Plan'!O98</x:f>
        <x:v>None</x:v>
      </x:c>
      <x:c r="P98" s="9" t="n">
        <x:f>'Evaluation Plan'!P98</x:f>
        <x:v>4</x:v>
      </x:c>
      <x:c r="Q98" s="9" t="str">
        <x:f>'Evaluation Plan'!Q98</x:f>
        <x:v>Build the listed neutral-axis scene and save the first frame.</x:v>
      </x:c>
      <x:c r="R98" s="10" t="str">
        <x:f>'Evaluation Plan'!R98</x:f>
        <x:v>Independent held-out-composition scene. Source episode 285 supplies target recognition/manipulation under the trained prompt “Place the red block next to the green pen.”. The orthogonal start removes the opposite-side shortcut.</x:v>
      </x:c>
      <x:c r="S98" s="10" t="str">
        <x:f>IF(ISBLANK('Evaluation Plan'!S98),"",'Evaluation Plan'!S98)</x:f>
      </x:c>
    </x:row>
    <x:row r="99" ht="72" customHeight="1">
      <x:c r="A99" s="9" t="str">
        <x:v>Not collected</x:v>
      </x:c>
      <x:c r="B99" s="9" t="n">
        <x:f>'Evaluation Plan'!B99</x:f>
        <x:v>97</x:v>
      </x:c>
      <x:c r="C99" s="10" t="str">
        <x:f>'Evaluation Plan'!C99</x:f>
        <x:v>Place the red block next to the green pen.</x:v>
      </x:c>
      <x:c r="D99" s="10" t="str">
        <x:f>'Evaluation Plan'!D99</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9" s="9" t="n">
        <x:f>IF(ISBLANK('Evaluation Plan'!E99),"",'Evaluation Plan'!E99)</x:f>
        <x:v>96</x:v>
      </x:c>
      <x:c r="F99" s="9" t="str">
        <x:f>'Evaluation Plan'!F99</x:f>
        <x:v>285</x:v>
      </x:c>
      <x:c r="G99" s="9" t="str">
        <x:f>'Evaluation Plan'!G99</x:f>
        <x:v>red block → 2–8 cm edge gap near green pen; no directional sector required.</x:v>
      </x:c>
      <x:c r="H99" s="10"/>
      <x:c r="I99" s="9" t="str">
        <x:f>'Evaluation Plan'!I99</x:f>
        <x:v>Matched manipulation control</x:v>
      </x:c>
      <x:c r="J99" s="9" t="str">
        <x:f>'Evaluation Plan'!J99</x:f>
        <x:v>RP-CT-N17</x:v>
      </x:c>
      <x:c r="K99" s="9" t="str">
        <x:f>'Evaluation Plan'!K99</x:f>
        <x:v>left</x:v>
      </x:c>
      <x:c r="L99" s="9" t="str">
        <x:f>'Evaluation Plan'!L99</x:f>
        <x:v>Exact-scene masked manipulation control</x:v>
      </x:c>
      <x:c r="M99" s="9" t="str">
        <x:f>'Evaluation Plan'!M99</x:f>
        <x:v>red block</x:v>
      </x:c>
      <x:c r="N99" s="9" t="str">
        <x:f>'Evaluation Plan'!N99</x:f>
        <x:v>green pen</x:v>
      </x:c>
      <x:c r="O99" s="9" t="str">
        <x:f>'Evaluation Plan'!O99</x:f>
        <x:v>None</x:v>
      </x:c>
      <x:c r="P99" s="9" t="n">
        <x:f>'Evaluation Plan'!P99</x:f>
        <x:v>4</x:v>
      </x:c>
      <x:c r="Q99" s="9" t="str">
        <x:f>'Evaluation Plan'!Q99</x:f>
        <x:v>Reset P1 to its marked pose; preserve the exact scene and use the trained control instruction.</x:v>
      </x:c>
      <x:c r="R99" s="10" t="str">
        <x:f>'Evaluation Plan'!R99</x:f>
        <x:v>Exact-scene control using the final training prompt from episode 285. The target, reference, distractors, camera, and robot start match the paired transfer row.</x:v>
      </x:c>
      <x:c r="S99" s="10" t="str">
        <x:f>IF(ISBLANK('Evaluation Plan'!S99),"",'Evaluation Plan'!S99)</x:f>
      </x:c>
    </x:row>
    <x:row r="100" ht="72" customHeight="1">
      <x:c r="A100" s="9" t="str">
        <x:v>Not collected</x:v>
      </x:c>
      <x:c r="B100" s="9" t="n">
        <x:f>'Evaluation Plan'!B100</x:f>
        <x:v>98</x:v>
      </x:c>
      <x:c r="C100" s="10" t="str">
        <x:f>'Evaluation Plan'!C100</x:f>
        <x:v>Place the green pen to the right of the red block.</x:v>
      </x:c>
      <x:c r="D100" s="10" t="str">
        <x:f>'Evaluation Plan'!D100</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0" s="9" t="str">
        <x:f>IF(ISBLANK('Evaluation Plan'!E100),"",'Evaluation Plan'!E100)</x:f>
      </x:c>
      <x:c r="F100" s="9" t="str">
        <x:f>'Evaluation Plan'!F100</x:f>
        <x:v>238</x:v>
      </x:c>
      <x:c r="G100" s="9" t="str">
        <x:f>'Evaluation Plan'!G100</x:f>
        <x:v>green pen → 2–8 cm edge gap to the right of red block; centroid direction within ±45°.</x:v>
      </x:c>
      <x:c r="H100" s="10"/>
      <x:c r="I100" s="9" t="str">
        <x:f>'Evaluation Plan'!I100</x:f>
        <x:v>Concept/compositional transfer</x:v>
      </x:c>
      <x:c r="J100" s="9" t="str">
        <x:f>'Evaluation Plan'!J100</x:f>
        <x:v>RP-CT-N18</x:v>
      </x:c>
      <x:c r="K100" s="9" t="str">
        <x:f>'Evaluation Plan'!K100</x:f>
        <x:v>right</x:v>
      </x:c>
      <x:c r="L100" s="9" t="str">
        <x:f>'Evaluation Plan'!L100</x:f>
        <x:v>Neutral-axis independent compositional-transfer scene</x:v>
      </x:c>
      <x:c r="M100" s="9" t="str">
        <x:f>'Evaluation Plan'!M100</x:f>
        <x:v>green pen</x:v>
      </x:c>
      <x:c r="N100" s="9" t="str">
        <x:f>'Evaluation Plan'!N100</x:f>
        <x:v>red block</x:v>
      </x:c>
      <x:c r="O100" s="9" t="str">
        <x:f>'Evaluation Plan'!O100</x:f>
        <x:v>None</x:v>
      </x:c>
      <x:c r="P100" s="9" t="n">
        <x:f>'Evaluation Plan'!P100</x:f>
        <x:v>3</x:v>
      </x:c>
      <x:c r="Q100" s="9" t="str">
        <x:f>'Evaluation Plan'!Q100</x:f>
        <x:v>Build the listed neutral-axis scene and save the first frame.</x:v>
      </x:c>
      <x:c r="R100" s="10" t="str">
        <x:f>'Evaluation Plan'!R100</x:f>
        <x:v>Independent held-out-composition scene. Source episode 238 supplies target recognition/manipulation under the trained prompt “Put the green pen beside the red block.”. The orthogonal start removes the opposite-side shortcut.</x:v>
      </x:c>
      <x:c r="S100" s="10" t="str">
        <x:f>IF(ISBLANK('Evaluation Plan'!S100),"",'Evaluation Plan'!S100)</x:f>
      </x:c>
    </x:row>
    <x:row r="101" ht="72" customHeight="1">
      <x:c r="A101" s="9" t="str">
        <x:v>Not collected</x:v>
      </x:c>
      <x:c r="B101" s="9" t="n">
        <x:f>'Evaluation Plan'!B101</x:f>
        <x:v>99</x:v>
      </x:c>
      <x:c r="C101" s="10" t="str">
        <x:f>'Evaluation Plan'!C101</x:f>
        <x:v>Put the green pen beside the red block.</x:v>
      </x:c>
      <x:c r="D101" s="10" t="str">
        <x:f>'Evaluation Plan'!D101</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1" s="9" t="n">
        <x:f>IF(ISBLANK('Evaluation Plan'!E101),"",'Evaluation Plan'!E101)</x:f>
        <x:v>98</x:v>
      </x:c>
      <x:c r="F101" s="9" t="str">
        <x:f>'Evaluation Plan'!F101</x:f>
        <x:v>238</x:v>
      </x:c>
      <x:c r="G101" s="9" t="str">
        <x:f>'Evaluation Plan'!G101</x:f>
        <x:v>green pen → 2–8 cm edge gap near red block; no directional sector required.</x:v>
      </x:c>
      <x:c r="H101" s="10"/>
      <x:c r="I101" s="9" t="str">
        <x:f>'Evaluation Plan'!I101</x:f>
        <x:v>Matched manipulation control</x:v>
      </x:c>
      <x:c r="J101" s="9" t="str">
        <x:f>'Evaluation Plan'!J101</x:f>
        <x:v>RP-CT-N18</x:v>
      </x:c>
      <x:c r="K101" s="9" t="str">
        <x:f>'Evaluation Plan'!K101</x:f>
        <x:v>right</x:v>
      </x:c>
      <x:c r="L101" s="9" t="str">
        <x:f>'Evaluation Plan'!L101</x:f>
        <x:v>Exact-scene masked manipulation control</x:v>
      </x:c>
      <x:c r="M101" s="9" t="str">
        <x:f>'Evaluation Plan'!M101</x:f>
        <x:v>green pen</x:v>
      </x:c>
      <x:c r="N101" s="9" t="str">
        <x:f>'Evaluation Plan'!N101</x:f>
        <x:v>red block</x:v>
      </x:c>
      <x:c r="O101" s="9" t="str">
        <x:f>'Evaluation Plan'!O101</x:f>
        <x:v>None</x:v>
      </x:c>
      <x:c r="P101" s="9" t="n">
        <x:f>'Evaluation Plan'!P101</x:f>
        <x:v>3</x:v>
      </x:c>
      <x:c r="Q101" s="9" t="str">
        <x:f>'Evaluation Plan'!Q101</x:f>
        <x:v>Reset P1 to its marked pose; preserve the exact scene and use the trained control instruction.</x:v>
      </x:c>
      <x:c r="R101" s="10" t="str">
        <x:f>'Evaluation Plan'!R101</x:f>
        <x:v>Exact-scene control using the final training prompt from episode 238. The target, reference, distractors, camera, and robot start match the paired transfer row.</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2" s="9" t="str">
        <x:f>IF(ISBLANK('Evaluation Plan'!E102),"",'Evaluation Plan'!E102)</x:f>
      </x:c>
      <x:c r="F102" s="9" t="str">
        <x:f>'Evaluation Plan'!F102</x:f>
        <x:v>239</x:v>
      </x:c>
      <x:c r="G102" s="9" t="str">
        <x:f>'Evaluation Plan'!G102</x:f>
        <x:v>green pen → 2–8 cm edge gap to the right of red block; centroid direction within ±45°.</x:v>
      </x:c>
      <x:c r="H102" s="10"/>
      <x:c r="I102" s="9" t="str">
        <x:f>'Evaluation Plan'!I102</x:f>
        <x:v>Concept/compositional transfer</x:v>
      </x:c>
      <x:c r="J102" s="9" t="str">
        <x:f>'Evaluation Plan'!J102</x:f>
        <x:v>RP-CT-N19</x:v>
      </x:c>
      <x:c r="K102" s="9" t="str">
        <x:f>'Evaluation Plan'!K102</x:f>
        <x:v>right</x:v>
      </x:c>
      <x:c r="L102" s="9" t="str">
        <x:f>'Evaluation Plan'!L102</x:f>
        <x:v>Neutral-axis independent compositional-transfer scene</x:v>
      </x:c>
      <x:c r="M102" s="9" t="str">
        <x:f>'Evaluation Plan'!M102</x:f>
        <x:v>green pen</x:v>
      </x:c>
      <x:c r="N102" s="9" t="str">
        <x:f>'Evaluation Plan'!N102</x:f>
        <x:v>red block</x:v>
      </x:c>
      <x:c r="O102" s="9" t="str">
        <x:f>'Evaluation Plan'!O102</x:f>
        <x:v>None</x:v>
      </x:c>
      <x:c r="P102" s="9" t="n">
        <x:f>'Evaluation Plan'!P102</x:f>
        <x:v>4</x:v>
      </x:c>
      <x:c r="Q102" s="9" t="str">
        <x:f>'Evaluation Plan'!Q102</x:f>
        <x:v>Build the listed neutral-axis scene and save the first frame.</x:v>
      </x:c>
      <x:c r="R102" s="10" t="str">
        <x:f>'Evaluation Plan'!R102</x:f>
        <x:v>Independent held-out-composition scene. Source episode 239 supplies target recognition/manipulation under the trained prompt “Move the green pen near the red block.”. The orthogonal start removes the opposite-side shortcut.</x:v>
      </x:c>
      <x:c r="S102" s="10" t="str">
        <x:f>IF(ISBLANK('Evaluation Plan'!S102),"",'Evaluation Plan'!S102)</x:f>
      </x:c>
    </x:row>
    <x:row r="103" ht="72" customHeight="1">
      <x:c r="A103" s="9" t="str">
        <x:v>Not collected</x:v>
      </x:c>
      <x:c r="B103" s="9" t="n">
        <x:f>'Evaluation Plan'!B103</x:f>
        <x:v>101</x:v>
      </x:c>
      <x:c r="C103" s="10" t="str">
        <x:f>'Evaluation Plan'!C103</x:f>
        <x:v>Move the green pen near the red block.</x:v>
      </x:c>
      <x:c r="D103" s="10" t="str">
        <x:f>'Evaluation Plan'!D103</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3" s="9" t="n">
        <x:f>IF(ISBLANK('Evaluation Plan'!E103),"",'Evaluation Plan'!E103)</x:f>
        <x:v>100</x:v>
      </x:c>
      <x:c r="F103" s="9" t="str">
        <x:f>'Evaluation Plan'!F103</x:f>
        <x:v>239</x:v>
      </x:c>
      <x:c r="G103" s="9" t="str">
        <x:f>'Evaluation Plan'!G103</x:f>
        <x:v>green pen → 2–8 cm edge gap near red block; no directional sector required.</x:v>
      </x:c>
      <x:c r="H103" s="10"/>
      <x:c r="I103" s="9" t="str">
        <x:f>'Evaluation Plan'!I103</x:f>
        <x:v>Matched manipulation control</x:v>
      </x:c>
      <x:c r="J103" s="9" t="str">
        <x:f>'Evaluation Plan'!J103</x:f>
        <x:v>RP-CT-N19</x:v>
      </x:c>
      <x:c r="K103" s="9" t="str">
        <x:f>'Evaluation Plan'!K103</x:f>
        <x:v>right</x:v>
      </x:c>
      <x:c r="L103" s="9" t="str">
        <x:f>'Evaluation Plan'!L103</x:f>
        <x:v>Exact-scene masked manipulation control</x:v>
      </x:c>
      <x:c r="M103" s="9" t="str">
        <x:f>'Evaluation Plan'!M103</x:f>
        <x:v>green pen</x:v>
      </x:c>
      <x:c r="N103" s="9" t="str">
        <x:f>'Evaluation Plan'!N103</x:f>
        <x:v>red block</x:v>
      </x:c>
      <x:c r="O103" s="9" t="str">
        <x:f>'Evaluation Plan'!O103</x:f>
        <x:v>None</x:v>
      </x:c>
      <x:c r="P103" s="9" t="n">
        <x:f>'Evaluation Plan'!P103</x:f>
        <x:v>4</x:v>
      </x:c>
      <x:c r="Q103" s="9" t="str">
        <x:f>'Evaluation Plan'!Q103</x:f>
        <x:v>Reset P1 to its marked pose; preserve the exact scene and use the trained control instruction.</x:v>
      </x:c>
      <x:c r="R103" s="10" t="str">
        <x:f>'Evaluation Plan'!R103</x:f>
        <x:v>Exact-scene control using the final training prompt from episode 239. The target, reference, distractors, camera, and robot start match the paired transfer row.</x:v>
      </x:c>
      <x:c r="S103" s="10" t="str">
        <x:f>IF(ISBLANK('Evaluation Plan'!S103),"",'Evaluation Plan'!S103)</x:f>
      </x:c>
    </x:row>
    <x:row r="104" ht="72" customHeight="1">
      <x:c r="A104" s="9" t="str">
        <x:v>Not collected</x:v>
      </x:c>
      <x:c r="B104" s="9" t="n">
        <x:f>'Evaluation Plan'!B104</x:f>
        <x:v>102</x:v>
      </x:c>
      <x:c r="C104" s="10" t="str">
        <x:f>'Evaluation Plan'!C104</x:f>
        <x:v>Place the red block to the right of the green pen.</x:v>
      </x:c>
      <x:c r="D104" s="10" t="str">
        <x:f>'Evaluation Plan'!D104</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4" s="9" t="str">
        <x:f>IF(ISBLANK('Evaluation Plan'!E104),"",'Evaluation Plan'!E104)</x:f>
      </x:c>
      <x:c r="F104" s="9" t="str">
        <x:f>'Evaluation Plan'!F104</x:f>
        <x:v>299</x:v>
      </x:c>
      <x:c r="G104" s="9" t="str">
        <x:f>'Evaluation Plan'!G104</x:f>
        <x:v>red block → 2–8 cm edge gap to the right of green pen; centroid direction within ±45°.</x:v>
      </x:c>
      <x:c r="H104" s="10"/>
      <x:c r="I104" s="9" t="str">
        <x:f>'Evaluation Plan'!I104</x:f>
        <x:v>Concept/compositional transfer</x:v>
      </x:c>
      <x:c r="J104" s="9" t="str">
        <x:f>'Evaluation Plan'!J104</x:f>
        <x:v>RP-CT-N20</x:v>
      </x:c>
      <x:c r="K104" s="9" t="str">
        <x:f>'Evaluation Plan'!K104</x:f>
        <x:v>right</x:v>
      </x:c>
      <x:c r="L104" s="9" t="str">
        <x:f>'Evaluation Plan'!L104</x:f>
        <x:v>Neutral-axis independent compositional-transfer scene</x:v>
      </x:c>
      <x:c r="M104" s="9" t="str">
        <x:f>'Evaluation Plan'!M104</x:f>
        <x:v>red block</x:v>
      </x:c>
      <x:c r="N104" s="9" t="str">
        <x:f>'Evaluation Plan'!N104</x:f>
        <x:v>green pen</x:v>
      </x:c>
      <x:c r="O104" s="9" t="str">
        <x:f>'Evaluation Plan'!O104</x:f>
        <x:v>None</x:v>
      </x:c>
      <x:c r="P104" s="9" t="n">
        <x:f>'Evaluation Plan'!P104</x:f>
        <x:v>3</x:v>
      </x:c>
      <x:c r="Q104" s="9" t="str">
        <x:f>'Evaluation Plan'!Q104</x:f>
        <x:v>Build the listed neutral-axis scene and save the first frame.</x:v>
      </x:c>
      <x:c r="R104" s="10" t="str">
        <x:f>'Evaluation Plan'!R104</x:f>
        <x:v>Independent held-out-composition scene. Source episode 299 supplies target recognition/manipulation under the trained prompt “Move the red block near the green pen.”. The orthogonal start removes the opposite-side shortcut.</x:v>
      </x:c>
      <x:c r="S104" s="10" t="str">
        <x:f>IF(ISBLANK('Evaluation Plan'!S104),"",'Evaluation Plan'!S104)</x:f>
      </x:c>
    </x:row>
    <x:row r="105" ht="72" customHeight="1">
      <x:c r="A105" s="9" t="str">
        <x:v>Not collected</x:v>
      </x:c>
      <x:c r="B105" s="9" t="n">
        <x:f>'Evaluation Plan'!B105</x:f>
        <x:v>103</x:v>
      </x:c>
      <x:c r="C105" s="10" t="str">
        <x:f>'Evaluation Plan'!C105</x:f>
        <x:v>Move the red block near the green pen.</x:v>
      </x:c>
      <x:c r="D105" s="10" t="str">
        <x:f>'Evaluation Plan'!D105</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5" s="9" t="n">
        <x:f>IF(ISBLANK('Evaluation Plan'!E105),"",'Evaluation Plan'!E105)</x:f>
        <x:v>102</x:v>
      </x:c>
      <x:c r="F105" s="9" t="str">
        <x:f>'Evaluation Plan'!F105</x:f>
        <x:v>299</x:v>
      </x:c>
      <x:c r="G105" s="9" t="str">
        <x:f>'Evaluation Plan'!G105</x:f>
        <x:v>red block → 2–8 cm edge gap near green pen; no directional sector required.</x:v>
      </x:c>
      <x:c r="H105" s="10"/>
      <x:c r="I105" s="9" t="str">
        <x:f>'Evaluation Plan'!I105</x:f>
        <x:v>Matched manipulation control</x:v>
      </x:c>
      <x:c r="J105" s="9" t="str">
        <x:f>'Evaluation Plan'!J105</x:f>
        <x:v>RP-CT-N20</x:v>
      </x:c>
      <x:c r="K105" s="9" t="str">
        <x:f>'Evaluation Plan'!K105</x:f>
        <x:v>right</x:v>
      </x:c>
      <x:c r="L105" s="9" t="str">
        <x:f>'Evaluation Plan'!L105</x:f>
        <x:v>Exact-scene masked manipulation control</x:v>
      </x:c>
      <x:c r="M105" s="9" t="str">
        <x:f>'Evaluation Plan'!M105</x:f>
        <x:v>red block</x:v>
      </x:c>
      <x:c r="N105" s="9" t="str">
        <x:f>'Evaluation Plan'!N105</x:f>
        <x:v>green pen</x:v>
      </x:c>
      <x:c r="O105" s="9" t="str">
        <x:f>'Evaluation Plan'!O105</x:f>
        <x:v>None</x:v>
      </x:c>
      <x:c r="P105" s="9" t="n">
        <x:f>'Evaluation Plan'!P105</x:f>
        <x:v>3</x:v>
      </x:c>
      <x:c r="Q105" s="9" t="str">
        <x:f>'Evaluation Plan'!Q105</x:f>
        <x:v>Reset P1 to its marked pose; preserve the exact scene and use the trained control instruction.</x:v>
      </x:c>
      <x:c r="R105" s="10" t="str">
        <x:f>'Evaluation Plan'!R105</x:f>
        <x:v>Exact-scene control using the final training prompt from episode 299. The target, reference, distractors, camera, and robot start match the paired transfer row.</x:v>
      </x:c>
      <x:c r="S105" s="10" t="str">
        <x:f>IF(ISBLANK('Evaluation Plan'!S105),"",'Evaluation Plan'!S105)</x:f>
      </x:c>
    </x:row>
    <x:row r="106" ht="72" customHeight="1">
      <x:c r="A106" s="9" t="str">
        <x:v>Not collected</x:v>
      </x:c>
      <x:c r="B106" s="9" t="n">
        <x:f>'Evaluation Plan'!B106</x:f>
        <x:v>104</x:v>
      </x:c>
      <x:c r="C106" s="10" t="str">
        <x:f>'Evaluation Plan'!C106</x:f>
        <x:v>Place the green pen in front of the red block.</x:v>
      </x:c>
      <x:c r="D106" s="10" t="str">
        <x:f>'Evaluation Plan'!D106</x:f>
        <x:v>P1 green pen 24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106" s="9" t="str">
        <x:f>IF(ISBLANK('Evaluation Plan'!E106),"",'Evaluation Plan'!E106)</x:f>
      </x:c>
      <x:c r="F106" s="9" t="str">
        <x:f>'Evaluation Plan'!F106</x:f>
        <x:v>203</x:v>
      </x:c>
      <x:c r="G106" s="9" t="str">
        <x:f>'Evaluation Plan'!G106</x:f>
        <x:v>green pen → 2–8 cm edge gap in front of red block; centroid direction within ±45°.</x:v>
      </x:c>
      <x:c r="H106" s="10"/>
      <x:c r="I106" s="9" t="str">
        <x:f>'Evaluation Plan'!I106</x:f>
        <x:v>Concept/compositional transfer</x:v>
      </x:c>
      <x:c r="J106" s="9" t="str">
        <x:f>'Evaluation Plan'!J106</x:f>
        <x:v>RP-CT-N21</x:v>
      </x:c>
      <x:c r="K106" s="9" t="str">
        <x:f>'Evaluation Plan'!K106</x:f>
        <x:v>front</x:v>
      </x:c>
      <x:c r="L106" s="9" t="str">
        <x:f>'Evaluation Plan'!L106</x:f>
        <x:v>Neutral-axis independent compositional-transfer scene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neutral-axis scene and save the first frame.</x:v>
      </x:c>
      <x:c r="R106" s="10" t="str">
        <x:f>'Evaluation Plan'!R106</x:f>
        <x:v>Independent held-out-composition scene. Source episode 203 supplies target recognition/manipulation under the trained prompt “Move the green pen near the red block.”. The orthogonal start removes the opposite-side shortcut.</x:v>
      </x:c>
      <x:c r="S106" s="10" t="str">
        <x:f>IF(ISBLANK('Evaluation Plan'!S106),"",'Evaluation Plan'!S106)</x:f>
      </x:c>
    </x:row>
    <x:row r="107" ht="72" customHeight="1">
      <x:c r="A107" s="9" t="str">
        <x:v>Not collected</x:v>
      </x:c>
      <x:c r="B107" s="9" t="n">
        <x:f>'Evaluation Plan'!B107</x:f>
        <x:v>105</x:v>
      </x:c>
      <x:c r="C107" s="10" t="str">
        <x:f>'Evaluation Plan'!C107</x:f>
        <x:v>Place the red block in front of the green pen.</x:v>
      </x:c>
      <x:c r="D107" s="10" t="str">
        <x:f>'Evaluation Plan'!D107</x:f>
        <x:v>P1 red block 18 cm to the robot-right of P2; P2 green pen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107" s="9" t="str">
        <x:f>IF(ISBLANK('Evaluation Plan'!E107),"",'Evaluation Plan'!E107)</x:f>
      </x:c>
      <x:c r="F107" s="9" t="str">
        <x:f>'Evaluation Plan'!F107</x:f>
        <x:v>260</x:v>
      </x:c>
      <x:c r="G107" s="9" t="str">
        <x:f>'Evaluation Plan'!G107</x:f>
        <x:v>red block → 2–8 cm edge gap in front of green pen; centroid direction within ±45°.</x:v>
      </x:c>
      <x:c r="H107" s="10"/>
      <x:c r="I107" s="9" t="str">
        <x:f>'Evaluation Plan'!I107</x:f>
        <x:v>Concept/compositional transfer</x:v>
      </x:c>
      <x:c r="J107" s="9" t="str">
        <x:f>'Evaluation Plan'!J107</x:f>
        <x:v>RP-CT-N22</x:v>
      </x:c>
      <x:c r="K107" s="9" t="str">
        <x:f>'Evaluation Plan'!K107</x:f>
        <x:v>front</x:v>
      </x:c>
      <x:c r="L107" s="9" t="str">
        <x:f>'Evaluation Plan'!L107</x:f>
        <x:v>Neutral-axis independent compositional-transfer scene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neutral-axis scene and save the first frame.</x:v>
      </x:c>
      <x:c r="R107" s="10" t="str">
        <x:f>'Evaluation Plan'!R107</x:f>
        <x:v>Independent held-out-composition scene. Source episode 260 supplies target recognition/manipulation under the trained prompt “Move the red block near the green pen.”. The orthogonal start removes the opposite-side shortcut.</x:v>
      </x:c>
      <x:c r="S107" s="10" t="str">
        <x:f>IF(ISBLANK('Evaluation Plan'!S107),"",'Evaluation Plan'!S107)</x:f>
      </x:c>
    </x:row>
    <x:row r="108" ht="72" customHeight="1">
      <x:c r="A108" s="9" t="str">
        <x:v>Not collected</x:v>
      </x:c>
      <x:c r="B108" s="9" t="n">
        <x:f>'Evaluation Plan'!B108</x:f>
        <x:v>106</x:v>
      </x:c>
      <x:c r="C108" s="10" t="str">
        <x:f>'Evaluation Plan'!C108</x:f>
        <x:v>Place the green pen behind the red block.</x:v>
      </x:c>
      <x:c r="D108" s="10" t="str">
        <x:f>'Evaluation Plan'!D108</x:f>
        <x:v>P1 green pen 21 cm to the robot-left of P2; P2 red block at R3 (5 cm robot-right of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108" s="9" t="str">
        <x:f>IF(ISBLANK('Evaluation Plan'!E108),"",'Evaluation Plan'!E108)</x:f>
      </x:c>
      <x:c r="F108" s="9" t="str">
        <x:f>'Evaluation Plan'!F108</x:f>
        <x:v>214</x:v>
      </x:c>
      <x:c r="G108" s="9" t="str">
        <x:f>'Evaluation Plan'!G108</x:f>
        <x:v>green pen → 2–8 cm edge gap behind red block; centroid direction within ±45°.</x:v>
      </x:c>
      <x:c r="H108" s="10"/>
      <x:c r="I108" s="9" t="str">
        <x:f>'Evaluation Plan'!I108</x:f>
        <x:v>Concept/compositional transfer</x:v>
      </x:c>
      <x:c r="J108" s="9" t="str">
        <x:f>'Evaluation Plan'!J108</x:f>
        <x:v>RP-CT-N23</x:v>
      </x:c>
      <x:c r="K108" s="9" t="str">
        <x:f>'Evaluation Plan'!K108</x:f>
        <x:v>behind</x:v>
      </x:c>
      <x:c r="L108" s="9" t="str">
        <x:f>'Evaluation Plan'!L108</x:f>
        <x:v>Neutral-axis independent compositional-transfer scene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neutral-axis scene and save the first frame.</x:v>
      </x:c>
      <x:c r="R108" s="10" t="str">
        <x:f>'Evaluation Plan'!R108</x:f>
        <x:v>Independent held-out-composition scene. Source episode 214 supplies target recognition/manipulation under the trained prompt “Put the green pen beside the red block.”. The orthogonal start removes the opposite-side shortcut.</x:v>
      </x:c>
      <x:c r="S108" s="10" t="str">
        <x:f>IF(ISBLANK('Evaluation Plan'!S108),"",'Evaluation Plan'!S108)</x:f>
      </x:c>
    </x:row>
    <x:row r="109" ht="72" customHeight="1">
      <x:c r="A109" s="9" t="str">
        <x:v>Not collected</x:v>
      </x:c>
      <x:c r="B109" s="9" t="n">
        <x:f>'Evaluation Plan'!B109</x:f>
        <x:v>107</x:v>
      </x:c>
      <x:c r="C109" s="10" t="str">
        <x:f>'Evaluation Plan'!C109</x:f>
        <x:v>Place the red block behind the green pen.</x:v>
      </x:c>
      <x:c r="D109" s="10" t="str">
        <x:f>'Evaluation Plan'!D109</x:f>
        <x:v>P1 red block 24 cm to the robot-right of P2; P2 green pen at R4 (5 cm toward the robot from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109" s="9" t="str">
        <x:f>IF(ISBLANK('Evaluation Plan'!E109),"",'Evaluation Plan'!E109)</x:f>
      </x:c>
      <x:c r="F109" s="9" t="str">
        <x:f>'Evaluation Plan'!F109</x:f>
        <x:v>274</x:v>
      </x:c>
      <x:c r="G109" s="9" t="str">
        <x:f>'Evaluation Plan'!G109</x:f>
        <x:v>red block → 2–8 cm edge gap behind green pen; centroid direction within ±45°.</x:v>
      </x:c>
      <x:c r="H109" s="10"/>
      <x:c r="I109" s="9" t="str">
        <x:f>'Evaluation Plan'!I109</x:f>
        <x:v>Concept/compositional transfer</x:v>
      </x:c>
      <x:c r="J109" s="9" t="str">
        <x:f>'Evaluation Plan'!J109</x:f>
        <x:v>RP-CT-N24</x:v>
      </x:c>
      <x:c r="K109" s="9" t="str">
        <x:f>'Evaluation Plan'!K109</x:f>
        <x:v>behind</x:v>
      </x:c>
      <x:c r="L109" s="9" t="str">
        <x:f>'Evaluation Plan'!L109</x:f>
        <x:v>Neutral-axis independent compositional-transfer scene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neutral-axis scene and save the first frame.</x:v>
      </x:c>
      <x:c r="R109" s="10" t="str">
        <x:f>'Evaluation Plan'!R109</x:f>
        <x:v>Independent held-out-composition scene. Source episode 274 supplies target recognition/manipulation under the trained prompt “Put the red block beside the green pen.”. The orthogonal start removes the opposite-side shortcut.</x:v>
      </x:c>
      <x:c r="S109" s="10" t="str">
        <x:f>IF(ISBLANK('Evaluation Plan'!S109),"",'Evaluation Plan'!S109)</x:f>
      </x:c>
    </x:row>
    <x:row r="110" ht="72" customHeight="1">
      <x:c r="A110" s="9" t="str">
        <x:v>Not collected</x:v>
      </x:c>
      <x:c r="B110" s="9" t="n">
        <x:f>'Evaluation Plan'!B110</x:f>
        <x:v>108</x:v>
      </x:c>
      <x:c r="C110" s="10" t="str">
        <x:f>'Evaluation Plan'!C110</x:f>
        <x:v>Place the green pen to the left of the red block.</x:v>
      </x:c>
      <x:c r="D110" s="10" t="str">
        <x:f>'Evaluation Plan'!D110</x:f>
        <x:v>P1 green pen 18 cm in front of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110" s="9" t="str">
        <x:f>IF(ISBLANK('Evaluation Plan'!E110),"",'Evaluation Plan'!E110)</x:f>
      </x:c>
      <x:c r="F110" s="9" t="str">
        <x:f>'Evaluation Plan'!F110</x:f>
        <x:v>226</x:v>
      </x:c>
      <x:c r="G110" s="9" t="str">
        <x:f>'Evaluation Plan'!G110</x:f>
        <x:v>green pen → 2–8 cm edge gap to the left of red block; centroid direction within ±45°.</x:v>
      </x:c>
      <x:c r="H110" s="10"/>
      <x:c r="I110" s="9" t="str">
        <x:f>'Evaluation Plan'!I110</x:f>
        <x:v>Concept/compositional transfer</x:v>
      </x:c>
      <x:c r="J110" s="9" t="str">
        <x:f>'Evaluation Plan'!J110</x:f>
        <x:v>RP-CT-N25</x:v>
      </x:c>
      <x:c r="K110" s="9" t="str">
        <x:f>'Evaluation Plan'!K110</x:f>
        <x:v>left</x:v>
      </x:c>
      <x:c r="L110" s="9" t="str">
        <x:f>'Evaluation Plan'!L110</x:f>
        <x:v>Neutral-axis independent compositional-transfer scene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neutral-axis scene and save the first frame.</x:v>
      </x:c>
      <x:c r="R110" s="10" t="str">
        <x:f>'Evaluation Plan'!R110</x:f>
        <x:v>Independent held-out-composition scene. Source episode 226 supplies target recognition/manipulation under the trained prompt “Put the green pen beside the red block.”. The orthogonal start removes the opposite-side shortcut.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red block 21 cm behind P2; P2 green pen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RP-CT-N26</x:v>
      </x:c>
      <x:c r="K111" s="9" t="str">
        <x:f>'Evaluation Plan'!K111</x:f>
        <x:v>right</x:v>
      </x:c>
      <x:c r="L111" s="9" t="str">
        <x:f>'Evaluation Plan'!L111</x:f>
        <x:v>Neutral-axis independent compositional-transfer scene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neutral-axis scene and save the first frame.</x:v>
      </x:c>
      <x:c r="R111" s="10" t="str">
        <x:f>'Evaluation Plan'!R111</x:f>
        <x:v>Independent held-out-composition scene. Source episode 298 supplies target recognition/manipulation under the trained prompt “Put the red block beside the green pen.”. The orthogonal start removes the opposite-side shortcut.</x:v>
      </x:c>
      <x:c r="S111" s="10" t="str">
        <x:f>IF(ISBLANK('Evaluation Plan'!S111),"",'Evaluation Plan'!S111)</x:f>
      </x:c>
    </x:row>
    <x:row r="112" ht="72" customHeight="1">
      <x:c r="A112" s="9" t="str">
        <x:v>Not collected</x:v>
      </x:c>
      <x:c r="B112" s="9" t="n">
        <x:f>'Evaluation Plan'!B112</x:f>
        <x:v>110</x:v>
      </x:c>
      <x:c r="C112" s="10" t="str">
        <x:f>'Evaluation Plan'!C112</x:f>
        <x:v>Place the juggling ball in front of the pink marker.</x:v>
      </x:c>
      <x:c r="D112" s="10" t="str">
        <x:f>'Evaluation Plan'!D112</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2" s="9" t="str">
        <x:f>IF(ISBLANK('Evaluation Plan'!E112),"",'Evaluation Plan'!E112)</x:f>
      </x:c>
      <x:c r="F112" s="9" t="str">
        <x:f>'Evaluation Plan'!F112</x:f>
        <x:v>1100 (juggling-ball exposure); 204 (front relation)</x:v>
      </x:c>
      <x:c r="G112" s="9" t="str">
        <x:f>'Evaluation Plan'!G112</x:f>
        <x:v>juggling ball → 2–8 cm edge gap in front of pink marker; centroid direction within ±45°.</x:v>
      </x:c>
      <x:c r="H112" s="10"/>
      <x:c r="I112" s="9" t="str">
        <x:f>'Evaluation Plan'!I112</x:f>
        <x:v>Cross-task-object directional reasoning</x:v>
      </x:c>
      <x:c r="J112" s="9" t="str">
        <x:f>'Evaluation Plan'!J112</x:f>
        <x:v>RP-XT-CF01</x:v>
      </x:c>
      <x:c r="K112" s="9" t="str">
        <x:f>'Evaluation Plan'!K112</x:f>
        <x:v>front</x:v>
      </x:c>
      <x:c r="L112" s="9" t="str">
        <x:f>'Evaluation Plan'!L112</x:f>
        <x:v>Four-way cross-task counterfactual: front/behind polarity × juggling-ball target/reference role</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neutral-axis scene and save the first frame.</x:v>
      </x:c>
      <x:c r="R112" s="10" t="str">
        <x:f>'Evaluation Plan'!R112</x:f>
        <x:v>The juggling ball is globally familiar but absent from Relational Placement training. This exact-scene family crosses direction with its target role and contains no direct-name control.</x:v>
      </x:c>
      <x:c r="S112" s="10" t="str">
        <x:f>IF(ISBLANK('Evaluation Plan'!S112),"",'Evaluation Plan'!S112)</x:f>
      </x:c>
    </x:row>
    <x:row r="113" ht="72" customHeight="1">
      <x:c r="A113" s="24" t="str">
        <x:v>Not collected</x:v>
      </x:c>
      <x:c r="B113" s="24" t="n">
        <x:f>'Evaluation Plan'!B113</x:f>
        <x:v>111</x:v>
      </x:c>
      <x:c r="C113" s="25" t="str">
        <x:f>'Evaluation Plan'!C113</x:f>
        <x:v>Place the juggling ball behind the pink marker.</x:v>
      </x:c>
      <x:c r="D113" s="25" t="str">
        <x:f>'Evaluation Plan'!D113</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3" s="24" t="n">
        <x:f>IF(ISBLANK('Evaluation Plan'!E113),"",'Evaluation Plan'!E113)</x:f>
        <x:v>110</x:v>
      </x:c>
      <x:c r="F113" s="24" t="str">
        <x:f>'Evaluation Plan'!F113</x:f>
        <x:v>1100 (juggling-ball exposure); 217 (behind relation)</x:v>
      </x:c>
      <x:c r="G113" s="24" t="str">
        <x:f>'Evaluation Plan'!G113</x:f>
        <x:v>juggling ball → 2–8 cm edge gap behind pink marker; centroid direction within ±45°.</x:v>
      </x:c>
      <x:c r="H113" s="25"/>
      <x:c r="I113" s="24" t="str">
        <x:f>'Evaluation Plan'!I113</x:f>
        <x:v>Cross-task-object directional reasoning</x:v>
      </x:c>
      <x:c r="J113" s="24" t="str">
        <x:f>'Evaluation Plan'!J113</x:f>
        <x:v>RP-XT-CF01</x:v>
      </x:c>
      <x:c r="K113" s="24" t="str">
        <x:f>'Evaluation Plan'!K113</x:f>
        <x:v>behind</x:v>
      </x:c>
      <x:c r="L113" s="24" t="str">
        <x:f>'Evaluation Plan'!L113</x:f>
        <x:v>Four-way cross-task counterfactual: front/behind polarity × juggling-ball target/reference role</x:v>
      </x:c>
      <x:c r="M113" s="24" t="str">
        <x:f>'Evaluation Plan'!M113</x:f>
        <x:v>juggling ball</x:v>
      </x:c>
      <x:c r="N113" s="24" t="str">
        <x:f>'Evaluation Plan'!N113</x:f>
        <x:v>pink marker</x:v>
      </x:c>
      <x:c r="O113" s="24" t="str">
        <x:f>'Evaluation Plan'!O113</x:f>
        <x:v>Target</x:v>
      </x:c>
      <x:c r="P113" s="24" t="n">
        <x:f>'Evaluation Plan'!P113</x:f>
        <x:v>3</x:v>
      </x:c>
      <x:c r="Q113" s="24" t="str">
        <x:f>'Evaluation Plan'!Q113</x:f>
        <x:v>Reset every manipulated core object to its marked pose; preserve the exact scene and change only the instruction.</x:v>
      </x:c>
      <x:c r="R113" s="25" t="str">
        <x:f>'Evaluation Plan'!R113</x:f>
        <x:v>The juggling ball is globally familiar but absent from Relational Placement training. This exact-scene family crosses direction with its target role and contains no direct-name control.</x:v>
      </x:c>
      <x:c r="S113" s="25" t="str">
        <x:f>IF(ISBLANK('Evaluation Plan'!S113),"",'Evaluation Plan'!S113)</x:f>
      </x:c>
    </x:row>
    <x:row r="114" ht="72" customHeight="1">
      <x:c r="A114" s="9" t="str">
        <x:v>Not collected</x:v>
      </x:c>
      <x:c r="B114" s="9" t="n">
        <x:f>'Evaluation Plan'!B114</x:f>
        <x:v>112</x:v>
      </x:c>
      <x:c r="C114" s="10" t="str">
        <x:f>'Evaluation Plan'!C114</x:f>
        <x:v>Place the pink marker in front of the juggling ball.</x:v>
      </x:c>
      <x:c r="D114" s="10" t="str">
        <x:f>'Evaluation Plan'!D114</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4" s="9" t="n">
        <x:f>IF(ISBLANK('Evaluation Plan'!E114),"",'Evaluation Plan'!E114)</x:f>
        <x:v>110</x:v>
      </x:c>
      <x:c r="F114" s="9" t="str">
        <x:f>'Evaluation Plan'!F114</x:f>
        <x:v>1100 (juggling-ball exposure); 305 (front relation with pink marker as target)</x:v>
      </x:c>
      <x:c r="G114" s="9" t="str">
        <x:f>'Evaluation Plan'!G114</x:f>
        <x:v>pink marker → 2–8 cm edge gap in front of juggling ball; centroid direction within ±45°.</x:v>
      </x:c>
      <x:c r="H114" s="10"/>
      <x:c r="I114" s="9" t="str">
        <x:f>'Evaluation Plan'!I114</x:f>
        <x:v>Cross-task-object directional reasoning</x:v>
      </x:c>
      <x:c r="J114" s="9" t="str">
        <x:f>'Evaluation Plan'!J114</x:f>
        <x:v>RP-XT-CF01</x:v>
      </x:c>
      <x:c r="K114" s="9" t="str">
        <x:f>'Evaluation Plan'!K114</x:f>
        <x:v>front</x:v>
      </x:c>
      <x:c r="L114" s="9" t="str">
        <x:f>'Evaluation Plan'!L114</x:f>
        <x:v>Four-way cross-task counterfactual: front/behind polarity × juggling-ball target/reference role</x:v>
      </x:c>
      <x:c r="M114" s="9" t="str">
        <x:f>'Evaluation Plan'!M114</x:f>
        <x:v>pink marker</x:v>
      </x:c>
      <x:c r="N114" s="9" t="str">
        <x:f>'Evaluation Plan'!N114</x:f>
        <x:v>juggling ball</x:v>
      </x:c>
      <x:c r="O114" s="9" t="str">
        <x:f>'Evaluation Plan'!O114</x:f>
        <x:v>Reference</x:v>
      </x:c>
      <x:c r="P114" s="9" t="n">
        <x:f>'Evaluation Plan'!P114</x:f>
        <x:v>3</x:v>
      </x:c>
      <x:c r="Q114" s="9" t="str">
        <x:f>'Evaluation Plan'!Q114</x:f>
        <x:v>Reset every manipulated core object to its marked pose; preserve the exact scene and change only the instruction.</x:v>
      </x:c>
      <x:c r="R114" s="10" t="str">
        <x:f>'Evaluation Plan'!R114</x:f>
        <x:v>The juggling ball is globally familiar but absent from Relational Placement training. This exact-scene family crosses direction with its reference role and contains no direct-name control.</x:v>
      </x:c>
      <x:c r="S114" s="10" t="str">
        <x:f>IF(ISBLANK('Evaluation Plan'!S114),"",'Evaluation Plan'!S114)</x:f>
      </x:c>
    </x:row>
    <x:row r="115" ht="72" customHeight="1">
      <x:c r="A115" s="24" t="str">
        <x:v>Not collected</x:v>
      </x:c>
      <x:c r="B115" s="24" t="n">
        <x:f>'Evaluation Plan'!B115</x:f>
        <x:v>113</x:v>
      </x:c>
      <x:c r="C115" s="25" t="str">
        <x:f>'Evaluation Plan'!C115</x:f>
        <x:v>Place the pink marker behind the juggling ball.</x:v>
      </x:c>
      <x:c r="D115" s="25" t="str">
        <x:f>'Evaluation Plan'!D115</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5" s="24" t="n">
        <x:f>IF(ISBLANK('Evaluation Plan'!E115),"",'Evaluation Plan'!E115)</x:f>
        <x:v>110</x:v>
      </x:c>
      <x:c r="F115" s="24" t="str">
        <x:f>'Evaluation Plan'!F115</x:f>
        <x:v>1100 (juggling-ball exposure); 317 (behind relation with pink marker as target)</x:v>
      </x:c>
      <x:c r="G115" s="24" t="str">
        <x:f>'Evaluation Plan'!G115</x:f>
        <x:v>pink marker → 2–8 cm edge gap behind juggling ball; centroid direction within ±45°.</x:v>
      </x:c>
      <x:c r="H115" s="25"/>
      <x:c r="I115" s="24" t="str">
        <x:f>'Evaluation Plan'!I115</x:f>
        <x:v>Cross-task-object directional reasoning</x:v>
      </x:c>
      <x:c r="J115" s="24" t="str">
        <x:f>'Evaluation Plan'!J115</x:f>
        <x:v>RP-XT-CF01</x:v>
      </x:c>
      <x:c r="K115" s="24" t="str">
        <x:f>'Evaluation Plan'!K115</x:f>
        <x:v>behind</x:v>
      </x:c>
      <x:c r="L115" s="24" t="str">
        <x:f>'Evaluation Plan'!L115</x:f>
        <x:v>Four-way cross-task counterfactual: front/behind polarity × juggling-ball target/reference role</x:v>
      </x:c>
      <x:c r="M115" s="24" t="str">
        <x:f>'Evaluation Plan'!M115</x:f>
        <x:v>pink marker</x:v>
      </x:c>
      <x:c r="N115" s="24" t="str">
        <x:f>'Evaluation Plan'!N115</x:f>
        <x:v>juggling ball</x:v>
      </x:c>
      <x:c r="O115" s="24" t="str">
        <x:f>'Evaluation Plan'!O115</x:f>
        <x:v>Reference</x:v>
      </x:c>
      <x:c r="P115" s="24" t="n">
        <x:f>'Evaluation Plan'!P115</x:f>
        <x:v>3</x:v>
      </x:c>
      <x:c r="Q115" s="24" t="str">
        <x:f>'Evaluation Plan'!Q115</x:f>
        <x:v>Reset every manipulated core object to its marked pose; preserve the exact scene and change only the instruction.</x:v>
      </x:c>
      <x:c r="R115" s="25" t="str">
        <x:f>'Evaluation Plan'!R115</x:f>
        <x:v>The juggling ball is globally familiar but absent from Relational Placement training. This exact-scene family crosses direction with its reference role and contains no direct-name control.</x:v>
      </x:c>
      <x:c r="S115" s="25" t="str">
        <x:f>IF(ISBLANK('Evaluation Plan'!S115),"",'Evaluation Plan'!S115)</x:f>
      </x:c>
    </x:row>
    <x:row r="116" ht="72" customHeight="1">
      <x:c r="A116" s="9" t="str">
        <x:v>Not collected</x:v>
      </x:c>
      <x:c r="B116" s="9" t="n">
        <x:f>'Evaluation Plan'!B116</x:f>
        <x:v>114</x:v>
      </x:c>
      <x:c r="C116" s="10" t="str">
        <x:f>'Evaluation Plan'!C116</x:f>
        <x:v>Place the juggling ball in front of the blue block.</x:v>
      </x:c>
      <x:c r="D116" s="10" t="str">
        <x:f>'Evaluation Plan'!D116</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6" s="9" t="str">
        <x:f>IF(ISBLANK('Evaluation Plan'!E116),"",'Evaluation Plan'!E116)</x:f>
      </x:c>
      <x:c r="F116" s="9" t="str">
        <x:f>'Evaluation Plan'!F116</x:f>
        <x:v>1101 (juggling-ball exposure); 208 (front relation)</x:v>
      </x:c>
      <x:c r="G116" s="9" t="str">
        <x:f>'Evaluation Plan'!G116</x:f>
        <x:v>juggling ball → 2–8 cm edge gap in front of blue block; centroid direction within ±45°.</x:v>
      </x:c>
      <x:c r="H116" s="10"/>
      <x:c r="I116" s="9" t="str">
        <x:f>'Evaluation Plan'!I116</x:f>
        <x:v>Cross-task-object directional reasoning</x:v>
      </x:c>
      <x:c r="J116" s="9" t="str">
        <x:f>'Evaluation Plan'!J116</x:f>
        <x:v>RP-XT-CF02</x:v>
      </x:c>
      <x:c r="K116" s="9" t="str">
        <x:f>'Evaluation Plan'!K116</x:f>
        <x:v>front</x:v>
      </x:c>
      <x:c r="L116" s="9" t="str">
        <x:f>'Evaluation Plan'!L116</x:f>
        <x:v>Four-way cross-task counterfactual: front/behind polarity × juggling-ball target/reference role</x:v>
      </x:c>
      <x:c r="M116" s="9" t="str">
        <x:f>'Evaluation Plan'!M116</x:f>
        <x:v>juggling ball</x:v>
      </x:c>
      <x:c r="N116" s="9" t="str">
        <x:f>'Evaluation Plan'!N116</x:f>
        <x:v>blue block</x:v>
      </x:c>
      <x:c r="O116" s="9" t="str">
        <x:f>'Evaluation Plan'!O116</x:f>
        <x:v>Target</x:v>
      </x:c>
      <x:c r="P116" s="9" t="n">
        <x:f>'Evaluation Plan'!P116</x:f>
        <x:v>4</x:v>
      </x:c>
      <x:c r="Q116" s="9" t="str">
        <x:f>'Evaluation Plan'!Q116</x:f>
        <x:v>Build the listed neutral-axis scene and save the first frame.</x:v>
      </x:c>
      <x:c r="R116" s="10" t="str">
        <x:f>'Evaluation Plan'!R116</x:f>
        <x:v>The juggling ball is globally familiar but absent from Relational Placement training. This exact-scene family crosses direction with its target role and contains no direct-name control.</x:v>
      </x:c>
      <x:c r="S116" s="10" t="str">
        <x:f>IF(ISBLANK('Evaluation Plan'!S116),"",'Evaluation Plan'!S116)</x:f>
      </x:c>
    </x:row>
    <x:row r="117" ht="72" customHeight="1">
      <x:c r="A117" s="24" t="str">
        <x:v>Not collected</x:v>
      </x:c>
      <x:c r="B117" s="24" t="n">
        <x:f>'Evaluation Plan'!B117</x:f>
        <x:v>115</x:v>
      </x:c>
      <x:c r="C117" s="25" t="str">
        <x:f>'Evaluation Plan'!C117</x:f>
        <x:v>Place the juggling ball behind the blue block.</x:v>
      </x:c>
      <x:c r="D117" s="25" t="str">
        <x:f>'Evaluation Plan'!D117</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7" s="24" t="n">
        <x:f>IF(ISBLANK('Evaluation Plan'!E117),"",'Evaluation Plan'!E117)</x:f>
        <x:v>114</x:v>
      </x:c>
      <x:c r="F117" s="24" t="str">
        <x:f>'Evaluation Plan'!F117</x:f>
        <x:v>1101 (juggling-ball exposure); 221 (behind relation)</x:v>
      </x:c>
      <x:c r="G117" s="24" t="str">
        <x:f>'Evaluation Plan'!G117</x:f>
        <x:v>juggling ball → 2–8 cm edge gap behind blue block; centroid direction within ±45°.</x:v>
      </x:c>
      <x:c r="H117" s="25"/>
      <x:c r="I117" s="24" t="str">
        <x:f>'Evaluation Plan'!I117</x:f>
        <x:v>Cross-task-object directional reasoning</x:v>
      </x:c>
      <x:c r="J117" s="24" t="str">
        <x:f>'Evaluation Plan'!J117</x:f>
        <x:v>RP-XT-CF02</x:v>
      </x:c>
      <x:c r="K117" s="24" t="str">
        <x:f>'Evaluation Plan'!K117</x:f>
        <x:v>behind</x:v>
      </x:c>
      <x:c r="L117" s="24" t="str">
        <x:f>'Evaluation Plan'!L117</x:f>
        <x:v>Four-way cross-task counterfactual: front/behind polarity × juggling-ball target/reference role</x:v>
      </x:c>
      <x:c r="M117" s="24" t="str">
        <x:f>'Evaluation Plan'!M117</x:f>
        <x:v>juggling ball</x:v>
      </x:c>
      <x:c r="N117" s="24" t="str">
        <x:f>'Evaluation Plan'!N117</x:f>
        <x:v>blue block</x:v>
      </x:c>
      <x:c r="O117" s="24" t="str">
        <x:f>'Evaluation Plan'!O117</x:f>
        <x:v>Target</x:v>
      </x:c>
      <x:c r="P117" s="24" t="n">
        <x:f>'Evaluation Plan'!P117</x:f>
        <x:v>4</x:v>
      </x:c>
      <x:c r="Q117" s="24" t="str">
        <x:f>'Evaluation Plan'!Q117</x:f>
        <x:v>Reset every manipulated core object to its marked pose; preserve the exact scene and change only the instruction.</x:v>
      </x:c>
      <x:c r="R117" s="25" t="str">
        <x:f>'Evaluation Plan'!R117</x:f>
        <x:v>The juggling ball is globally familiar but absent from Relational Placement training. This exact-scene family crosses direction with its target role and contains no direct-name control.</x:v>
      </x:c>
      <x:c r="S117" s="25" t="str">
        <x:f>IF(ISBLANK('Evaluation Plan'!S117),"",'Evaluation Plan'!S117)</x:f>
      </x:c>
    </x:row>
    <x:row r="118" ht="72" customHeight="1">
      <x:c r="A118" s="9" t="str">
        <x:v>Not collected</x:v>
      </x:c>
      <x:c r="B118" s="9" t="n">
        <x:f>'Evaluation Plan'!B118</x:f>
        <x:v>116</x:v>
      </x:c>
      <x:c r="C118" s="10" t="str">
        <x:f>'Evaluation Plan'!C118</x:f>
        <x:v>Place the blue block in front of the juggling ball.</x:v>
      </x:c>
      <x:c r="D118" s="10" t="str">
        <x:f>'Evaluation Plan'!D118</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8" s="9" t="n">
        <x:f>IF(ISBLANK('Evaluation Plan'!E118),"",'Evaluation Plan'!E118)</x:f>
        <x:v>114</x:v>
      </x:c>
      <x:c r="F118" s="9" t="str">
        <x:f>'Evaluation Plan'!F118</x:f>
        <x:v>1101 (juggling-ball exposure); 350 (front relation with blue block as target)</x:v>
      </x:c>
      <x:c r="G118" s="9" t="str">
        <x:f>'Evaluation Plan'!G118</x:f>
        <x:v>blue block → 2–8 cm edge gap in front of juggling ball; centroid direction within ±45°.</x:v>
      </x:c>
      <x:c r="H118" s="10"/>
      <x:c r="I118" s="9" t="str">
        <x:f>'Evaluation Plan'!I118</x:f>
        <x:v>Cross-task-object directional reasoning</x:v>
      </x:c>
      <x:c r="J118" s="9" t="str">
        <x:f>'Evaluation Plan'!J118</x:f>
        <x:v>RP-XT-CF02</x:v>
      </x:c>
      <x:c r="K118" s="9" t="str">
        <x:f>'Evaluation Plan'!K118</x:f>
        <x:v>front</x:v>
      </x:c>
      <x:c r="L118" s="9" t="str">
        <x:f>'Evaluation Plan'!L118</x:f>
        <x:v>Four-way cross-task counterfactual: front/behind polarity × juggling-ball target/reference role</x:v>
      </x:c>
      <x:c r="M118" s="9" t="str">
        <x:f>'Evaluation Plan'!M118</x:f>
        <x:v>blue block</x:v>
      </x:c>
      <x:c r="N118" s="9" t="str">
        <x:f>'Evaluation Plan'!N118</x:f>
        <x:v>juggling ball</x:v>
      </x:c>
      <x:c r="O118" s="9" t="str">
        <x:f>'Evaluation Plan'!O118</x:f>
        <x:v>Reference</x:v>
      </x:c>
      <x:c r="P118" s="9" t="n">
        <x:f>'Evaluation Plan'!P118</x:f>
        <x:v>4</x:v>
      </x:c>
      <x:c r="Q118" s="9" t="str">
        <x:f>'Evaluation Plan'!Q118</x:f>
        <x:v>Reset every manipulated core object to its marked pose; preserve the exact scene and change only the instruction.</x:v>
      </x:c>
      <x:c r="R118" s="10" t="str">
        <x:f>'Evaluation Plan'!R118</x:f>
        <x:v>The juggling ball is globally familiar but absent from Relational Placement training. This exact-scene family crosses direction with its reference role and contains no direct-name control.</x:v>
      </x:c>
      <x:c r="S118" s="10" t="str">
        <x:f>IF(ISBLANK('Evaluation Plan'!S118),"",'Evaluation Plan'!S118)</x:f>
      </x:c>
    </x:row>
    <x:row r="119" ht="72" customHeight="1">
      <x:c r="A119" s="24" t="str">
        <x:v>Not collected</x:v>
      </x:c>
      <x:c r="B119" s="24" t="n">
        <x:f>'Evaluation Plan'!B119</x:f>
        <x:v>117</x:v>
      </x:c>
      <x:c r="C119" s="25" t="str">
        <x:f>'Evaluation Plan'!C119</x:f>
        <x:v>Place the blue block behind the juggling ball.</x:v>
      </x:c>
      <x:c r="D119" s="25" t="str">
        <x:f>'Evaluation Plan'!D119</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9" s="24" t="n">
        <x:f>IF(ISBLANK('Evaluation Plan'!E119),"",'Evaluation Plan'!E119)</x:f>
        <x:v>114</x:v>
      </x:c>
      <x:c r="F119" s="24" t="str">
        <x:f>'Evaluation Plan'!F119</x:f>
        <x:v>1101 (juggling-ball exposure); 362 (behind relation with blue block as target)</x:v>
      </x:c>
      <x:c r="G119" s="24" t="str">
        <x:f>'Evaluation Plan'!G119</x:f>
        <x:v>blue block → 2–8 cm edge gap behind juggling ball; centroid direction within ±45°.</x:v>
      </x:c>
      <x:c r="H119" s="25"/>
      <x:c r="I119" s="24" t="str">
        <x:f>'Evaluation Plan'!I119</x:f>
        <x:v>Cross-task-object directional reasoning</x:v>
      </x:c>
      <x:c r="J119" s="24" t="str">
        <x:f>'Evaluation Plan'!J119</x:f>
        <x:v>RP-XT-CF02</x:v>
      </x:c>
      <x:c r="K119" s="24" t="str">
        <x:f>'Evaluation Plan'!K119</x:f>
        <x:v>behind</x:v>
      </x:c>
      <x:c r="L119" s="24" t="str">
        <x:f>'Evaluation Plan'!L119</x:f>
        <x:v>Four-way cross-task counterfactual: front/behind polarity × juggling-ball target/reference role</x:v>
      </x:c>
      <x:c r="M119" s="24" t="str">
        <x:f>'Evaluation Plan'!M119</x:f>
        <x:v>blue block</x:v>
      </x:c>
      <x:c r="N119" s="24" t="str">
        <x:f>'Evaluation Plan'!N119</x:f>
        <x:v>juggling ball</x:v>
      </x:c>
      <x:c r="O119" s="24" t="str">
        <x:f>'Evaluation Plan'!O119</x:f>
        <x:v>Reference</x:v>
      </x:c>
      <x:c r="P119" s="24" t="n">
        <x:f>'Evaluation Plan'!P119</x:f>
        <x:v>4</x:v>
      </x:c>
      <x:c r="Q119" s="24" t="str">
        <x:f>'Evaluation Plan'!Q119</x:f>
        <x:v>Reset every manipulated core object to its marked pose; preserve the exact scene and change only the instruction.</x:v>
      </x:c>
      <x:c r="R119" s="25" t="str">
        <x:f>'Evaluation Plan'!R119</x:f>
        <x:v>The juggling ball is globally familiar but absent from Relational Placement training. This exact-scene family crosses direction with its reference role and contains no direct-name control.</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green pen.</x:v>
      </x:c>
      <x:c r="D120" s="10" t="str">
        <x:f>'Evaluation Plan'!D120</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0" s="9" t="str">
        <x:f>IF(ISBLANK('Evaluation Plan'!E120),"",'Evaluation Plan'!E120)</x:f>
      </x:c>
      <x:c r="F120" s="9" t="str">
        <x:f>'Evaluation Plan'!F120</x:f>
        <x:v>1102 (juggling-ball exposure); 229 (left relation)</x:v>
      </x:c>
      <x:c r="G120" s="9" t="str">
        <x:f>'Evaluation Plan'!G120</x:f>
        <x:v>juggling ball → 2–8 cm edge gap to the left of green pen; centroid direction within ±45°.</x:v>
      </x:c>
      <x:c r="H120" s="10"/>
      <x:c r="I120" s="9" t="str">
        <x:f>'Evaluation Plan'!I120</x:f>
        <x:v>Cross-task-object directional reasoning</x:v>
      </x:c>
      <x:c r="J120" s="9" t="str">
        <x:f>'Evaluation Plan'!J120</x:f>
        <x:v>RP-XT-CF03</x:v>
      </x:c>
      <x:c r="K120" s="9" t="str">
        <x:f>'Evaluation Plan'!K120</x:f>
        <x:v>left</x:v>
      </x:c>
      <x:c r="L120" s="9" t="str">
        <x:f>'Evaluation Plan'!L120</x:f>
        <x:v>Four-way cross-task counterfactual: left/right polarity × juggling-ball target/reference role</x:v>
      </x:c>
      <x:c r="M120" s="9" t="str">
        <x:f>'Evaluation Plan'!M120</x:f>
        <x:v>juggling ball</x:v>
      </x:c>
      <x:c r="N120" s="9" t="str">
        <x:f>'Evaluation Plan'!N120</x:f>
        <x:v>green pen</x:v>
      </x:c>
      <x:c r="O120" s="9" t="str">
        <x:f>'Evaluation Plan'!O120</x:f>
        <x:v>Target</x:v>
      </x:c>
      <x:c r="P120" s="9" t="n">
        <x:f>'Evaluation Plan'!P120</x:f>
        <x:v>3</x:v>
      </x:c>
      <x:c r="Q120" s="9" t="str">
        <x:f>'Evaluation Plan'!Q120</x:f>
        <x:v>Build the listed neutral-axis scene and save the first frame.</x:v>
      </x:c>
      <x:c r="R120" s="10" t="str">
        <x:f>'Evaluation Plan'!R120</x:f>
        <x:v>The juggling ball is globally familiar but absent from Relational Placement training. This exact-scene family crosses direction with its target role and contains no direct-name control.</x:v>
      </x:c>
      <x:c r="S120" s="10" t="str">
        <x:f>IF(ISBLANK('Evaluation Plan'!S120),"",'Evaluation Plan'!S120)</x:f>
      </x:c>
    </x:row>
    <x:row r="121" ht="72" customHeight="1">
      <x:c r="A121" s="24" t="str">
        <x:v>Not collected</x:v>
      </x:c>
      <x:c r="B121" s="24" t="n">
        <x:f>'Evaluation Plan'!B121</x:f>
        <x:v>119</x:v>
      </x:c>
      <x:c r="C121" s="25" t="str">
        <x:f>'Evaluation Plan'!C121</x:f>
        <x:v>Place the juggling ball to the right of the green pen.</x:v>
      </x:c>
      <x:c r="D121" s="25" t="str">
        <x:f>'Evaluation Plan'!D121</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1" s="24" t="n">
        <x:f>IF(ISBLANK('Evaluation Plan'!E121),"",'Evaluation Plan'!E121)</x:f>
        <x:v>118</x:v>
      </x:c>
      <x:c r="F121" s="24" t="str">
        <x:f>'Evaluation Plan'!F121</x:f>
        <x:v>1102 (juggling-ball exposure); 243 (right relation)</x:v>
      </x:c>
      <x:c r="G121" s="24" t="str">
        <x:f>'Evaluation Plan'!G121</x:f>
        <x:v>juggling ball → 2–8 cm edge gap to the right of green pen; centroid direction within ±45°.</x:v>
      </x:c>
      <x:c r="H121" s="25"/>
      <x:c r="I121" s="24" t="str">
        <x:f>'Evaluation Plan'!I121</x:f>
        <x:v>Cross-task-object directional reasoning</x:v>
      </x:c>
      <x:c r="J121" s="24" t="str">
        <x:f>'Evaluation Plan'!J121</x:f>
        <x:v>RP-XT-CF03</x:v>
      </x:c>
      <x:c r="K121" s="24" t="str">
        <x:f>'Evaluation Plan'!K121</x:f>
        <x:v>right</x:v>
      </x:c>
      <x:c r="L121" s="24" t="str">
        <x:f>'Evaluation Plan'!L121</x:f>
        <x:v>Four-way cross-task counterfactual: left/right polarity × juggling-ball target/reference role</x:v>
      </x:c>
      <x:c r="M121" s="24" t="str">
        <x:f>'Evaluation Plan'!M121</x:f>
        <x:v>juggling ball</x:v>
      </x:c>
      <x:c r="N121" s="24" t="str">
        <x:f>'Evaluation Plan'!N121</x:f>
        <x:v>green pen</x:v>
      </x:c>
      <x:c r="O121" s="24" t="str">
        <x:f>'Evaluation Plan'!O121</x:f>
        <x:v>Target</x:v>
      </x:c>
      <x:c r="P121" s="24" t="n">
        <x:f>'Evaluation Plan'!P121</x:f>
        <x:v>3</x:v>
      </x:c>
      <x:c r="Q121" s="24" t="str">
        <x:f>'Evaluation Plan'!Q121</x:f>
        <x:v>Reset every manipulated core object to its marked pose; preserve the exact scene and change only the instruction.</x:v>
      </x:c>
      <x:c r="R121" s="25" t="str">
        <x:f>'Evaluation Plan'!R121</x:f>
        <x:v>The juggling ball is globally familiar but absent from Relational Placement training. This exact-scene family crosses direction with its target role and contains no direct-name control.</x:v>
      </x:c>
      <x:c r="S121" s="25" t="str">
        <x:f>IF(ISBLANK('Evaluation Plan'!S121),"",'Evaluation Plan'!S121)</x:f>
      </x:c>
    </x:row>
    <x:row r="122" ht="72" customHeight="1">
      <x:c r="A122" s="9" t="str">
        <x:v>Not collected</x:v>
      </x:c>
      <x:c r="B122" s="9" t="n">
        <x:f>'Evaluation Plan'!B122</x:f>
        <x:v>120</x:v>
      </x:c>
      <x:c r="C122" s="10" t="str">
        <x:f>'Evaluation Plan'!C122</x:f>
        <x:v>Place the green pen to the left of the juggling ball.</x:v>
      </x:c>
      <x:c r="D122" s="10" t="str">
        <x:f>'Evaluation Plan'!D122</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2" s="9" t="n">
        <x:f>IF(ISBLANK('Evaluation Plan'!E122),"",'Evaluation Plan'!E122)</x:f>
        <x:v>118</x:v>
      </x:c>
      <x:c r="F122" s="9" t="str">
        <x:f>'Evaluation Plan'!F122</x:f>
        <x:v>1102 (juggling-ball exposure); 229 (left relation with green pen as target)</x:v>
      </x:c>
      <x:c r="G122" s="9" t="str">
        <x:f>'Evaluation Plan'!G122</x:f>
        <x:v>green pen → 2–8 cm edge gap to the left of juggling ball; centroid direction within ±45°.</x:v>
      </x:c>
      <x:c r="H122" s="10"/>
      <x:c r="I122" s="9" t="str">
        <x:f>'Evaluation Plan'!I122</x:f>
        <x:v>Cross-task-object directional reasoning</x:v>
      </x:c>
      <x:c r="J122" s="9" t="str">
        <x:f>'Evaluation Plan'!J122</x:f>
        <x:v>RP-XT-CF03</x:v>
      </x:c>
      <x:c r="K122" s="9" t="str">
        <x:f>'Evaluation Plan'!K122</x:f>
        <x:v>left</x:v>
      </x:c>
      <x:c r="L122" s="9" t="str">
        <x:f>'Evaluation Plan'!L122</x:f>
        <x:v>Four-way cross-task counterfactual: left/right polarity × juggling-ball target/reference role</x:v>
      </x:c>
      <x:c r="M122" s="9" t="str">
        <x:f>'Evaluation Plan'!M122</x:f>
        <x:v>green pen</x:v>
      </x:c>
      <x:c r="N122" s="9" t="str">
        <x:f>'Evaluation Plan'!N122</x:f>
        <x:v>juggling ball</x:v>
      </x:c>
      <x:c r="O122" s="9" t="str">
        <x:f>'Evaluation Plan'!O122</x:f>
        <x:v>Reference</x:v>
      </x:c>
      <x:c r="P122" s="9" t="n">
        <x:f>'Evaluation Plan'!P122</x:f>
        <x:v>3</x:v>
      </x:c>
      <x:c r="Q122" s="9" t="str">
        <x:f>'Evaluation Plan'!Q122</x:f>
        <x:v>Reset every manipulated core object to its marked pose; preserve the exact scene and change only the instruction.</x:v>
      </x:c>
      <x:c r="R122" s="10" t="str">
        <x:f>'Evaluation Plan'!R122</x:f>
        <x:v>The juggling ball is globally familiar but absent from Relational Placement training. This exact-scene family crosses direction with its reference role and contains no direct-name control.</x:v>
      </x:c>
      <x:c r="S122" s="10" t="str">
        <x:f>IF(ISBLANK('Evaluation Plan'!S122),"",'Evaluation Plan'!S122)</x:f>
      </x:c>
    </x:row>
    <x:row r="123" ht="72" customHeight="1">
      <x:c r="A123" s="24" t="str">
        <x:v>Not collected</x:v>
      </x:c>
      <x:c r="B123" s="24" t="n">
        <x:f>'Evaluation Plan'!B123</x:f>
        <x:v>121</x:v>
      </x:c>
      <x:c r="C123" s="25" t="str">
        <x:f>'Evaluation Plan'!C123</x:f>
        <x:v>Place the green pen to the right of the juggling ball.</x:v>
      </x:c>
      <x:c r="D123" s="25" t="str">
        <x:f>'Evaluation Plan'!D123</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3" s="24" t="n">
        <x:f>IF(ISBLANK('Evaluation Plan'!E123),"",'Evaluation Plan'!E123)</x:f>
        <x:v>118</x:v>
      </x:c>
      <x:c r="F123" s="24" t="str">
        <x:f>'Evaluation Plan'!F123</x:f>
        <x:v>1102 (juggling-ball exposure); 243 (right relation with green pen as target)</x:v>
      </x:c>
      <x:c r="G123" s="24" t="str">
        <x:f>'Evaluation Plan'!G123</x:f>
        <x:v>green pen → 2–8 cm edge gap to the right of juggling ball; centroid direction within ±45°.</x:v>
      </x:c>
      <x:c r="H123" s="25"/>
      <x:c r="I123" s="24" t="str">
        <x:f>'Evaluation Plan'!I123</x:f>
        <x:v>Cross-task-object directional reasoning</x:v>
      </x:c>
      <x:c r="J123" s="24" t="str">
        <x:f>'Evaluation Plan'!J123</x:f>
        <x:v>RP-XT-CF03</x:v>
      </x:c>
      <x:c r="K123" s="24" t="str">
        <x:f>'Evaluation Plan'!K123</x:f>
        <x:v>right</x:v>
      </x:c>
      <x:c r="L123" s="24" t="str">
        <x:f>'Evaluation Plan'!L123</x:f>
        <x:v>Four-way cross-task counterfactual: left/right polarity × juggling-ball target/reference role</x:v>
      </x:c>
      <x:c r="M123" s="24" t="str">
        <x:f>'Evaluation Plan'!M123</x:f>
        <x:v>green pen</x:v>
      </x:c>
      <x:c r="N123" s="24" t="str">
        <x:f>'Evaluation Plan'!N123</x:f>
        <x:v>juggling ball</x:v>
      </x:c>
      <x:c r="O123" s="24" t="str">
        <x:f>'Evaluation Plan'!O123</x:f>
        <x:v>Reference</x:v>
      </x:c>
      <x:c r="P123" s="24" t="n">
        <x:f>'Evaluation Plan'!P123</x:f>
        <x:v>3</x:v>
      </x:c>
      <x:c r="Q123" s="24" t="str">
        <x:f>'Evaluation Plan'!Q123</x:f>
        <x:v>Reset every manipulated core object to its marked pose; preserve the exact scene and change only the instruction.</x:v>
      </x:c>
      <x:c r="R123" s="25" t="str">
        <x:f>'Evaluation Plan'!R123</x:f>
        <x:v>The juggling ball is globally familiar but absent from Relational Placement training. This exact-scene family crosses direction with its reference role and contains no direct-name control.</x:v>
      </x:c>
      <x:c r="S123" s="25" t="str">
        <x:f>IF(ISBLANK('Evaluation Plan'!S123),"",'Evaluation Plan'!S123)</x:f>
      </x:c>
    </x:row>
    <x:row r="124" ht="72" customHeight="1">
      <x:c r="A124" s="9" t="str">
        <x:v>Not collected</x:v>
      </x:c>
      <x:c r="B124" s="9" t="n">
        <x:f>'Evaluation Plan'!B124</x:f>
        <x:v>122</x:v>
      </x:c>
      <x:c r="C124" s="10" t="str">
        <x:f>'Evaluation Plan'!C124</x:f>
        <x:v>Place the juggling ball to the left of the red block.</x:v>
      </x:c>
      <x:c r="D124" s="10" t="str">
        <x:f>'Evaluation Plan'!D124</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4" s="9" t="str">
        <x:f>IF(ISBLANK('Evaluation Plan'!E124),"",'Evaluation Plan'!E124)</x:f>
      </x:c>
      <x:c r="F124" s="9" t="str">
        <x:f>'Evaluation Plan'!F124</x:f>
        <x:v>1103 (juggling-ball exposure); 275 (left relation)</x:v>
      </x:c>
      <x:c r="G124" s="9" t="str">
        <x:f>'Evaluation Plan'!G124</x:f>
        <x:v>juggling ball → 2–8 cm edge gap to the left of red block; centroid direction within ±45°.</x:v>
      </x:c>
      <x:c r="H124" s="10"/>
      <x:c r="I124" s="9" t="str">
        <x:f>'Evaluation Plan'!I124</x:f>
        <x:v>Cross-task-object directional reasoning</x:v>
      </x:c>
      <x:c r="J124" s="9" t="str">
        <x:f>'Evaluation Plan'!J124</x:f>
        <x:v>RP-XT-CF04</x:v>
      </x:c>
      <x:c r="K124" s="9" t="str">
        <x:f>'Evaluation Plan'!K124</x:f>
        <x:v>left</x:v>
      </x:c>
      <x:c r="L124" s="9" t="str">
        <x:f>'Evaluation Plan'!L124</x:f>
        <x:v>Four-way cross-task counterfactual: left/right polarity × juggling-ball target/reference role</x:v>
      </x:c>
      <x:c r="M124" s="9" t="str">
        <x:f>'Evaluation Plan'!M124</x:f>
        <x:v>juggling ball</x:v>
      </x:c>
      <x:c r="N124" s="9" t="str">
        <x:f>'Evaluation Plan'!N124</x:f>
        <x:v>red block</x:v>
      </x:c>
      <x:c r="O124" s="9" t="str">
        <x:f>'Evaluation Plan'!O124</x:f>
        <x:v>Target</x:v>
      </x:c>
      <x:c r="P124" s="9" t="n">
        <x:f>'Evaluation Plan'!P124</x:f>
        <x:v>4</x:v>
      </x:c>
      <x:c r="Q124" s="9" t="str">
        <x:f>'Evaluation Plan'!Q124</x:f>
        <x:v>Build the listed neutral-axis scene and save the first frame.</x:v>
      </x:c>
      <x:c r="R124" s="10" t="str">
        <x:f>'Evaluation Plan'!R124</x:f>
        <x:v>The juggling ball is globally familiar but absent from Relational Placement training. This exact-scene family crosses direction with its target role and contains no direct-name control.</x:v>
      </x:c>
      <x:c r="S124" s="10" t="str">
        <x:f>IF(ISBLANK('Evaluation Plan'!S124),"",'Evaluation Plan'!S124)</x:f>
      </x:c>
    </x:row>
    <x:row r="125" ht="72" customHeight="1">
      <x:c r="A125" s="24" t="str">
        <x:v>Not collected</x:v>
      </x:c>
      <x:c r="B125" s="24" t="n">
        <x:f>'Evaluation Plan'!B125</x:f>
        <x:v>123</x:v>
      </x:c>
      <x:c r="C125" s="25" t="str">
        <x:f>'Evaluation Plan'!C125</x:f>
        <x:v>Place the juggling ball to the right of the red block.</x:v>
      </x:c>
      <x:c r="D125" s="25" t="str">
        <x:f>'Evaluation Plan'!D125</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5" s="24" t="n">
        <x:f>IF(ISBLANK('Evaluation Plan'!E125),"",'Evaluation Plan'!E125)</x:f>
        <x:v>122</x:v>
      </x:c>
      <x:c r="F125" s="24" t="str">
        <x:f>'Evaluation Plan'!F125</x:f>
        <x:v>1103 (juggling-ball exposure); 287 (right relation)</x:v>
      </x:c>
      <x:c r="G125" s="24" t="str">
        <x:f>'Evaluation Plan'!G125</x:f>
        <x:v>juggling ball → 2–8 cm edge gap to the right of red block; centroid direction within ±45°.</x:v>
      </x:c>
      <x:c r="H125" s="25"/>
      <x:c r="I125" s="24" t="str">
        <x:f>'Evaluation Plan'!I125</x:f>
        <x:v>Cross-task-object directional reasoning</x:v>
      </x:c>
      <x:c r="J125" s="24" t="str">
        <x:f>'Evaluation Plan'!J125</x:f>
        <x:v>RP-XT-CF04</x:v>
      </x:c>
      <x:c r="K125" s="24" t="str">
        <x:f>'Evaluation Plan'!K125</x:f>
        <x:v>right</x:v>
      </x:c>
      <x:c r="L125" s="24" t="str">
        <x:f>'Evaluation Plan'!L125</x:f>
        <x:v>Four-way cross-task counterfactual: left/right polarity × juggling-ball target/reference role</x:v>
      </x:c>
      <x:c r="M125" s="24" t="str">
        <x:f>'Evaluation Plan'!M125</x:f>
        <x:v>juggling ball</x:v>
      </x:c>
      <x:c r="N125" s="24" t="str">
        <x:f>'Evaluation Plan'!N125</x:f>
        <x:v>red block</x:v>
      </x:c>
      <x:c r="O125" s="24" t="str">
        <x:f>'Evaluation Plan'!O125</x:f>
        <x:v>Target</x:v>
      </x:c>
      <x:c r="P125" s="24" t="n">
        <x:f>'Evaluation Plan'!P125</x:f>
        <x:v>4</x:v>
      </x:c>
      <x:c r="Q125" s="24" t="str">
        <x:f>'Evaluation Plan'!Q125</x:f>
        <x:v>Reset every manipulated core object to its marked pose; preserve the exact scene and change only the instruction.</x:v>
      </x:c>
      <x:c r="R125" s="25" t="str">
        <x:f>'Evaluation Plan'!R125</x:f>
        <x:v>The juggling ball is globally familiar but absent from Relational Placement training. This exact-scene family crosses direction with its target role and contains no direct-name control.</x:v>
      </x:c>
      <x:c r="S125" s="25" t="str">
        <x:f>IF(ISBLANK('Evaluation Plan'!S125),"",'Evaluation Plan'!S125)</x:f>
      </x:c>
    </x:row>
    <x:row r="126" ht="72" customHeight="1">
      <x:c r="A126" s="9" t="str">
        <x:v>Not collected</x:v>
      </x:c>
      <x:c r="B126" s="9" t="n">
        <x:f>'Evaluation Plan'!B126</x:f>
        <x:v>124</x:v>
      </x:c>
      <x:c r="C126" s="10" t="str">
        <x:f>'Evaluation Plan'!C126</x:f>
        <x:v>Place the red block to the left of the juggling ball.</x:v>
      </x:c>
      <x:c r="D126" s="10" t="str">
        <x:f>'Evaluation Plan'!D126</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6" s="9" t="n">
        <x:f>IF(ISBLANK('Evaluation Plan'!E126),"",'Evaluation Plan'!E126)</x:f>
        <x:v>122</x:v>
      </x:c>
      <x:c r="F126" s="9" t="str">
        <x:f>'Evaluation Plan'!F126</x:f>
        <x:v>1103 (juggling-ball exposure); 275 (left relation with red block as target)</x:v>
      </x:c>
      <x:c r="G126" s="9" t="str">
        <x:f>'Evaluation Plan'!G126</x:f>
        <x:v>red block → 2–8 cm edge gap to the left of juggling ball; centroid direction within ±45°.</x:v>
      </x:c>
      <x:c r="H126" s="10"/>
      <x:c r="I126" s="9" t="str">
        <x:f>'Evaluation Plan'!I126</x:f>
        <x:v>Cross-task-object directional reasoning</x:v>
      </x:c>
      <x:c r="J126" s="9" t="str">
        <x:f>'Evaluation Plan'!J126</x:f>
        <x:v>RP-XT-CF04</x:v>
      </x:c>
      <x:c r="K126" s="9" t="str">
        <x:f>'Evaluation Plan'!K126</x:f>
        <x:v>left</x:v>
      </x:c>
      <x:c r="L126" s="9" t="str">
        <x:f>'Evaluation Plan'!L126</x:f>
        <x:v>Four-way cross-task counterfactual: left/right polarity × juggling-ball target/reference role</x:v>
      </x:c>
      <x:c r="M126" s="9" t="str">
        <x:f>'Evaluation Plan'!M126</x:f>
        <x:v>red block</x:v>
      </x:c>
      <x:c r="N126" s="9" t="str">
        <x:f>'Evaluation Plan'!N126</x:f>
        <x:v>juggling ball</x:v>
      </x:c>
      <x:c r="O126" s="9" t="str">
        <x:f>'Evaluation Plan'!O126</x:f>
        <x:v>Reference</x:v>
      </x:c>
      <x:c r="P126" s="9" t="n">
        <x:f>'Evaluation Plan'!P126</x:f>
        <x:v>4</x:v>
      </x:c>
      <x:c r="Q126" s="9" t="str">
        <x:f>'Evaluation Plan'!Q126</x:f>
        <x:v>Reset every manipulated core object to its marked pose; preserve the exact scene and change only the instruction.</x:v>
      </x:c>
      <x:c r="R126" s="10" t="str">
        <x:f>'Evaluation Plan'!R126</x:f>
        <x:v>The juggling ball is globally familiar but absent from Relational Placement training. This exact-scene family crosses direction with its reference role and contains no direct-name control.</x:v>
      </x:c>
      <x:c r="S126" s="10" t="str">
        <x:f>IF(ISBLANK('Evaluation Plan'!S126),"",'Evaluation Plan'!S126)</x:f>
      </x:c>
    </x:row>
    <x:row r="127" ht="72" customHeight="1">
      <x:c r="A127" s="24" t="str">
        <x:v>Not collected</x:v>
      </x:c>
      <x:c r="B127" s="24" t="n">
        <x:f>'Evaluation Plan'!B127</x:f>
        <x:v>125</x:v>
      </x:c>
      <x:c r="C127" s="25" t="str">
        <x:f>'Evaluation Plan'!C127</x:f>
        <x:v>Place the red block to the right of the juggling ball.</x:v>
      </x:c>
      <x:c r="D127" s="25" t="str">
        <x:f>'Evaluation Plan'!D127</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7" s="24" t="n">
        <x:f>IF(ISBLANK('Evaluation Plan'!E127),"",'Evaluation Plan'!E127)</x:f>
        <x:v>122</x:v>
      </x:c>
      <x:c r="F127" s="24" t="str">
        <x:f>'Evaluation Plan'!F127</x:f>
        <x:v>1103 (juggling-ball exposure); 287 (right relation with red block as target)</x:v>
      </x:c>
      <x:c r="G127" s="24" t="str">
        <x:f>'Evaluation Plan'!G127</x:f>
        <x:v>red block → 2–8 cm edge gap to the right of juggling ball; centroid direction within ±45°.</x:v>
      </x:c>
      <x:c r="H127" s="25"/>
      <x:c r="I127" s="24" t="str">
        <x:f>'Evaluation Plan'!I127</x:f>
        <x:v>Cross-task-object directional reasoning</x:v>
      </x:c>
      <x:c r="J127" s="24" t="str">
        <x:f>'Evaluation Plan'!J127</x:f>
        <x:v>RP-XT-CF04</x:v>
      </x:c>
      <x:c r="K127" s="24" t="str">
        <x:f>'Evaluation Plan'!K127</x:f>
        <x:v>right</x:v>
      </x:c>
      <x:c r="L127" s="24" t="str">
        <x:f>'Evaluation Plan'!L127</x:f>
        <x:v>Four-way cross-task counterfactual: left/right polarity × juggling-ball target/reference role</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every manipulated core object to its marked pose; preserve the exact scene and change only the instruction.</x:v>
      </x:c>
      <x:c r="R127" s="25" t="str">
        <x:f>'Evaluation Plan'!R127</x:f>
        <x:v>The juggling ball is globally familiar but absent from Relational Placement training. This exact-scene family crosses direction with its reference role and contains no direct-name control.</x:v>
      </x:c>
      <x:c r="S127" s="25" t="str">
        <x:f>IF(ISBLANK('Evaluation Plan'!S127),"",'Evaluation Plan'!S127)</x:f>
      </x:c>
    </x:row>
    <x:row r="128" ht="72" customHeight="1">
      <x:c r="A128" s="9" t="str">
        <x:v>Not collected</x:v>
      </x:c>
      <x:c r="B128" s="9" t="n">
        <x:f>'Evaluation Plan'!B128</x:f>
        <x:v>126</x:v>
      </x:c>
      <x:c r="C128" s="10" t="str">
        <x:f>'Evaluation Plan'!C128</x:f>
        <x:v>Place the juggling ball in front of the red block.</x:v>
      </x:c>
      <x:c r="D128" s="10" t="str">
        <x:f>'Evaluation Plan'!D128</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28" s="9" t="str">
        <x:f>IF(ISBLANK('Evaluation Plan'!E128),"",'Evaluation Plan'!E128)</x:f>
      </x:c>
      <x:c r="F128" s="9" t="str">
        <x:f>'Evaluation Plan'!F128</x:f>
        <x:v>1104 (juggling-ball exposure); 254 (front relation)</x:v>
      </x:c>
      <x:c r="G128" s="9" t="str">
        <x:f>'Evaluation Plan'!G128</x:f>
        <x:v>juggling ball → 2–8 cm edge gap in front of red block; centroid direction within ±45°.</x:v>
      </x:c>
      <x:c r="H128" s="10"/>
      <x:c r="I128" s="9" t="str">
        <x:f>'Evaluation Plan'!I128</x:f>
        <x:v>Cross-task-object directional reasoning</x:v>
      </x:c>
      <x:c r="J128" s="9" t="str">
        <x:f>'Evaluation Plan'!J128</x:f>
        <x:v>RP-XT-CF05</x:v>
      </x:c>
      <x:c r="K128" s="9" t="str">
        <x:f>'Evaluation Plan'!K128</x:f>
        <x:v>front</x:v>
      </x:c>
      <x:c r="L128" s="9" t="str">
        <x:f>'Evaluation Plan'!L128</x:f>
        <x:v>Four-prompt mixed-axis cross-task counterfactual with two juggling-ball targets and two references</x:v>
      </x:c>
      <x:c r="M128" s="9" t="str">
        <x:f>'Evaluation Plan'!M128</x:f>
        <x:v>juggling ball</x:v>
      </x:c>
      <x:c r="N128" s="9" t="str">
        <x:f>'Evaluation Plan'!N128</x:f>
        <x:v>red block</x:v>
      </x:c>
      <x:c r="O128" s="9" t="str">
        <x:f>'Evaluation Plan'!O128</x:f>
        <x:v>Target</x:v>
      </x:c>
      <x:c r="P128" s="9" t="n">
        <x:f>'Evaluation Plan'!P128</x:f>
        <x:v>4</x:v>
      </x:c>
      <x:c r="Q128" s="9" t="str">
        <x:f>'Evaluation Plan'!Q128</x:f>
        <x:v>Build the listed neutral-axis scene and save the first frame.</x:v>
      </x:c>
      <x:c r="R128" s="10" t="str">
        <x:f>'Evaluation Plan'!R128</x:f>
        <x:v>The juggling ball is globally familiar but absent from Relational Placement training. This exact-scene family crosses direction with its target role and contains no direct-name control.</x:v>
      </x:c>
      <x:c r="S128" s="10" t="str">
        <x:f>IF(ISBLANK('Evaluation Plan'!S128),"",'Evaluation Plan'!S128)</x:f>
      </x:c>
    </x:row>
    <x:row r="129" ht="72" customHeight="1">
      <x:c r="A129" s="24" t="str">
        <x:v>Not collected</x:v>
      </x:c>
      <x:c r="B129" s="24" t="n">
        <x:f>'Evaluation Plan'!B129</x:f>
        <x:v>127</x:v>
      </x:c>
      <x:c r="C129" s="25" t="str">
        <x:f>'Evaluation Plan'!C129</x:f>
        <x:v>Place the red block behind the juggling ball.</x:v>
      </x:c>
      <x:c r="D129" s="25" t="str">
        <x:f>'Evaluation Plan'!D129</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29" s="24" t="n">
        <x:f>IF(ISBLANK('Evaluation Plan'!E129),"",'Evaluation Plan'!E129)</x:f>
        <x:v>126</x:v>
      </x:c>
      <x:c r="F129" s="24" t="str">
        <x:f>'Evaluation Plan'!F129</x:f>
        <x:v>1104 (juggling-ball exposure); 270 (behind relation with red block as target)</x:v>
      </x:c>
      <x:c r="G129" s="24" t="str">
        <x:f>'Evaluation Plan'!G129</x:f>
        <x:v>red block → 2–8 cm edge gap behind juggling ball; centroid direction within ±45°.</x:v>
      </x:c>
      <x:c r="H129" s="25"/>
      <x:c r="I129" s="24" t="str">
        <x:f>'Evaluation Plan'!I129</x:f>
        <x:v>Cross-task-object directional reasoning</x:v>
      </x:c>
      <x:c r="J129" s="24" t="str">
        <x:f>'Evaluation Plan'!J129</x:f>
        <x:v>RP-XT-CF05</x:v>
      </x:c>
      <x:c r="K129" s="24" t="str">
        <x:f>'Evaluation Plan'!K129</x:f>
        <x:v>behind</x:v>
      </x:c>
      <x:c r="L129" s="24" t="str">
        <x:f>'Evaluation Plan'!L129</x:f>
        <x:v>Four-prompt mixed-axis cross-task counterfactual with two juggling-ball targets and two references</x:v>
      </x:c>
      <x:c r="M129" s="24" t="str">
        <x:f>'Evaluation Plan'!M129</x:f>
        <x:v>red block</x:v>
      </x:c>
      <x:c r="N129" s="24" t="str">
        <x:f>'Evaluation Plan'!N129</x:f>
        <x:v>juggling ball</x:v>
      </x:c>
      <x:c r="O129" s="24" t="str">
        <x:f>'Evaluation Plan'!O129</x:f>
        <x:v>Reference</x:v>
      </x:c>
      <x:c r="P129" s="24" t="n">
        <x:f>'Evaluation Plan'!P129</x:f>
        <x:v>4</x:v>
      </x:c>
      <x:c r="Q129" s="24" t="str">
        <x:f>'Evaluation Plan'!Q129</x:f>
        <x:v>Reset every manipulated core object to its marked pose; preserve the exact scene and change only the instruction.</x:v>
      </x:c>
      <x:c r="R129" s="25" t="str">
        <x:f>'Evaluation Plan'!R129</x:f>
        <x:v>The juggling ball is globally familiar but absent from Relational Placement training. This exact-scene family crosses direction with its reference role and contains no direct-name control.</x:v>
      </x:c>
      <x:c r="S129" s="25" t="str">
        <x:f>IF(ISBLANK('Evaluation Plan'!S129),"",'Evaluation Plan'!S129)</x:f>
      </x:c>
    </x:row>
    <x:row r="130" ht="72" customHeight="1">
      <x:c r="A130" s="9" t="str">
        <x:v>Not collected</x:v>
      </x:c>
      <x:c r="B130" s="9" t="n">
        <x:f>'Evaluation Plan'!B130</x:f>
        <x:v>128</x:v>
      </x:c>
      <x:c r="C130" s="10" t="str">
        <x:f>'Evaluation Plan'!C130</x:f>
        <x:v>Place the juggling ball to the left of the green pen.</x:v>
      </x:c>
      <x:c r="D130" s="10" t="str">
        <x:f>'Evaluation Plan'!D130</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30" s="9" t="n">
        <x:f>IF(ISBLANK('Evaluation Plan'!E130),"",'Evaluation Plan'!E130)</x:f>
        <x:v>126</x:v>
      </x:c>
      <x:c r="F130" s="9" t="str">
        <x:f>'Evaluation Plan'!F130</x:f>
        <x:v>1104 (juggling-ball exposure); 229 (left relation)</x:v>
      </x:c>
      <x:c r="G130" s="9" t="str">
        <x:f>'Evaluation Plan'!G130</x:f>
        <x:v>juggling ball → 2–8 cm edge gap to the left of green pen; centroid direction within ±45°.</x:v>
      </x:c>
      <x:c r="H130" s="10"/>
      <x:c r="I130" s="9" t="str">
        <x:f>'Evaluation Plan'!I130</x:f>
        <x:v>Cross-task-object directional reasoning</x:v>
      </x:c>
      <x:c r="J130" s="9" t="str">
        <x:f>'Evaluation Plan'!J130</x:f>
        <x:v>RP-XT-CF05</x:v>
      </x:c>
      <x:c r="K130" s="9" t="str">
        <x:f>'Evaluation Plan'!K130</x:f>
        <x:v>left</x:v>
      </x:c>
      <x:c r="L130" s="9" t="str">
        <x:f>'Evaluation Plan'!L130</x:f>
        <x:v>Four-prompt mixed-axis cross-task counterfactual with two juggling-ball targets and two references</x:v>
      </x:c>
      <x:c r="M130" s="9" t="str">
        <x:f>'Evaluation Plan'!M130</x:f>
        <x:v>juggling ball</x:v>
      </x:c>
      <x:c r="N130" s="9" t="str">
        <x:f>'Evaluation Plan'!N130</x:f>
        <x:v>green pen</x:v>
      </x:c>
      <x:c r="O130" s="9" t="str">
        <x:f>'Evaluation Plan'!O130</x:f>
        <x:v>Target</x:v>
      </x:c>
      <x:c r="P130" s="9" t="n">
        <x:f>'Evaluation Plan'!P130</x:f>
        <x:v>4</x:v>
      </x:c>
      <x:c r="Q130" s="9" t="str">
        <x:f>'Evaluation Plan'!Q130</x:f>
        <x:v>Reset every manipulated core object to its marked pose; preserve the exact scene and change only the instruction.</x:v>
      </x:c>
      <x:c r="R130" s="10" t="str">
        <x:f>'Evaluation Plan'!R130</x:f>
        <x:v>The juggling ball is globally familiar but absent from Relational Placement training. This exact-scene family crosses direction with its target role and contains no direct-name control.</x:v>
      </x:c>
      <x:c r="S130" s="10" t="str">
        <x:f>IF(ISBLANK('Evaluation Plan'!S130),"",'Evaluation Plan'!S130)</x:f>
      </x:c>
    </x:row>
    <x:row r="131" ht="72" customHeight="1">
      <x:c r="A131" s="24" t="str">
        <x:v>Not collected</x:v>
      </x:c>
      <x:c r="B131" s="24" t="n">
        <x:f>'Evaluation Plan'!B131</x:f>
        <x:v>129</x:v>
      </x:c>
      <x:c r="C131" s="25" t="str">
        <x:f>'Evaluation Plan'!C131</x:f>
        <x:v>Place the green pen to the right of the juggling ball.</x:v>
      </x:c>
      <x:c r="D131" s="25" t="str">
        <x:f>'Evaluation Plan'!D131</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31" s="24" t="n">
        <x:f>IF(ISBLANK('Evaluation Plan'!E131),"",'Evaluation Plan'!E131)</x:f>
        <x:v>126</x:v>
      </x:c>
      <x:c r="F131" s="24" t="str">
        <x:f>'Evaluation Plan'!F131</x:f>
        <x:v>1104 (juggling-ball exposure); 243 (right relation with green pen as target)</x:v>
      </x:c>
      <x:c r="G131" s="24" t="str">
        <x:f>'Evaluation Plan'!G131</x:f>
        <x:v>green pen → 2–8 cm edge gap to the right of juggling ball; centroid direction within ±45°.</x:v>
      </x:c>
      <x:c r="H131" s="25"/>
      <x:c r="I131" s="24" t="str">
        <x:f>'Evaluation Plan'!I131</x:f>
        <x:v>Cross-task-object directional reasoning</x:v>
      </x:c>
      <x:c r="J131" s="24" t="str">
        <x:f>'Evaluation Plan'!J131</x:f>
        <x:v>RP-XT-CF05</x:v>
      </x:c>
      <x:c r="K131" s="24" t="str">
        <x:f>'Evaluation Plan'!K131</x:f>
        <x:v>right</x:v>
      </x:c>
      <x:c r="L131" s="24" t="str">
        <x:f>'Evaluation Plan'!L131</x:f>
        <x:v>Four-prompt mixed-axis cross-task counterfactual with two juggling-ball targets and two references</x:v>
      </x:c>
      <x:c r="M131" s="24" t="str">
        <x:f>'Evaluation Plan'!M131</x:f>
        <x:v>green pen</x:v>
      </x:c>
      <x:c r="N131" s="24" t="str">
        <x:f>'Evaluation Plan'!N131</x:f>
        <x:v>juggling ball</x:v>
      </x:c>
      <x:c r="O131" s="24" t="str">
        <x:f>'Evaluation Plan'!O131</x:f>
        <x:v>Reference</x:v>
      </x:c>
      <x:c r="P131" s="24" t="n">
        <x:f>'Evaluation Plan'!P131</x:f>
        <x:v>4</x:v>
      </x:c>
      <x:c r="Q131" s="24" t="str">
        <x:f>'Evaluation Plan'!Q131</x:f>
        <x:v>Reset every manipulated core object to its marked pose; preserve the exact scene and change only the instruction.</x:v>
      </x:c>
      <x:c r="R131" s="25" t="str">
        <x:f>'Evaluation Plan'!R131</x:f>
        <x:v>The juggling ball is globally familiar but absent from Relational Placement training. This exact-scene family crosses direction with its reference role and contains no direct-name control.</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10" priority="1">
      <x:formula>$A2="Success"</x:formula>
    </x:cfRule>
    <x:cfRule type="expression" dxfId="11" priority="2">
      <x:formula>$A2="Failure"</x:formula>
    </x:cfRule>
  </x:conditionalFormatting>
  <x:conditionalFormatting sqref="I2:I151">
    <x:cfRule type="containsText" dxfId="12" priority="3" operator="containsText" text="In-distribution"/>
    <x:cfRule type="containsText" dxfId="13" priority="4" operator="containsText" text="Concept/compositional"/>
    <x:cfRule type="containsText" dxfId="14" priority="5" operator="containsText" text="Matched manipulation"/>
    <x:cfRule type="containsText" dxfId="15" priority="6" operator="containsText" text="Language robustness"/>
    <x:cfRule type="containsText" dxfId="16" priority="7" operator="containsText" text="Cross-task"/>
    <x:cfRule type="containsText" dxfId="17" priority="8" operator="containsText" text="Goal already"/>
  </x:conditionalFormatting>
  <x:conditionalFormatting sqref="A2:S171">
    <x:cfRule type="expression" dxfId="83" priority="9">
      <x:formula>$A2="Success"</x:formula>
    </x:cfRule>
    <x:cfRule type="expression" dxfId="84" priority="10">
      <x:formula>$A2="Failure"</x:formula>
    </x:cfRule>
  </x:conditionalFormatting>
  <x:conditionalFormatting sqref="I2:I171">
    <x:cfRule type="containsText" dxfId="85" priority="11" operator="containsText" text="In-distribution"/>
    <x:cfRule type="containsText" dxfId="86" priority="12" operator="containsText" text="Concept/compositional"/>
    <x:cfRule type="containsText" dxfId="87" priority="13" operator="containsText" text="Matched manipulation"/>
    <x:cfRule type="containsText" dxfId="88" priority="14" operator="containsText" text="Language robustness"/>
    <x:cfRule type="containsText" dxfId="89" priority="15" operator="containsText" text="Cross-task"/>
    <x:cfRule type="containsText" dxfId="90" priority="16" operator="containsText" text="Goal already"/>
    <x:cfRule type="containsText" dxfId="91"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7b293a153ae5445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40" t="str">
        <x:v>Status</x:v>
      </x:c>
      <x:c r="B1" s="40" t="str">
        <x:v>Episode</x:v>
      </x:c>
      <x:c r="C1" s="40" t="str">
        <x:v>Prompt</x:v>
      </x:c>
      <x:c r="D1" s="40" t="str">
        <x:v>Scene Setup (P1-P4)</x:v>
      </x:c>
      <x:c r="E1" s="40" t="str">
        <x:v>Reference Episode</x:v>
      </x:c>
      <x:c r="F1" s="40" t="str">
        <x:v>Original Training Episode(s)</x:v>
      </x:c>
      <x:c r="G1" s="40" t="str">
        <x:v>Expected Target / Placement</x:v>
      </x:c>
      <x:c r="H1" s="40" t="str">
        <x:v>Observations</x:v>
      </x:c>
      <x:c r="I1" s="40" t="str">
        <x:v>Condition</x:v>
      </x:c>
      <x:c r="J1" s="40" t="str">
        <x:v>Scene Family</x:v>
      </x:c>
      <x:c r="K1" s="40" t="str">
        <x:v>Relation</x:v>
      </x:c>
      <x:c r="L1" s="40" t="str">
        <x:v>Comparison / Subtype</x:v>
      </x:c>
      <x:c r="M1" s="40" t="str">
        <x:v>Target Object</x:v>
      </x:c>
      <x:c r="N1" s="40" t="str">
        <x:v>Reference Object</x:v>
      </x:c>
      <x:c r="O1" s="40" t="str">
        <x:v>Juggling Ball Role</x:v>
      </x:c>
      <x:c r="P1" s="40" t="str">
        <x:v>Object Count</x:v>
      </x:c>
      <x:c r="Q1" s="40" t="str">
        <x:v>Setup Change from Previous</x:v>
      </x:c>
      <x:c r="R1" s="40" t="str">
        <x:v>Design Note</x:v>
      </x:c>
      <x:c r="S1" s="40"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RP-CT-CF01</x:v>
      </x:c>
      <x:c r="K22" s="9" t="str">
        <x:f>'Evaluation Plan'!K22</x:f>
        <x:v>front</x:v>
      </x:c>
      <x:c r="L22" s="9" t="str">
        <x:f>'Evaluation Plan'!L22</x:f>
        <x:v>Four-way held-out counterfactual: relation polarity × target/reference role</x:v>
      </x:c>
      <x:c r="M22" s="9" t="str">
        <x:f>'Evaluation Plan'!M22</x:f>
        <x:v>green pen</x:v>
      </x:c>
      <x:c r="N22" s="9" t="str">
        <x:f>'Evaluation Plan'!N22</x:f>
        <x:v>red block</x:v>
      </x:c>
      <x:c r="O22" s="9" t="str">
        <x:f>'Evaluation Plan'!O22</x:f>
        <x:v>None</x:v>
      </x:c>
      <x:c r="P22" s="9" t="n">
        <x:f>'Evaluation Plan'!P22</x:f>
        <x:v>3</x:v>
      </x:c>
      <x:c r="Q22" s="9" t="str">
        <x:f>'Evaluation Plan'!Q22</x:f>
        <x:v>Build the listed neutral-axis scene and save the first frame.</x:v>
      </x:c>
      <x:c r="R22" s="10" t="str">
        <x:f>'Evaluation Plan'!R22</x:f>
        <x:v>The directional word × ordered green-pen/red-block role is held out. Source episode 201 supplies the same target manipulation under a trained near/next-to/beside prompt. The orthogonal start prevents an inverse-start shortcut.</x:v>
      </x:c>
      <x:c r="S22" s="10" t="str">
        <x:f>IF(ISBLANK('Evaluation Plan'!S22),"",'Evaluation Plan'!S22)</x:f>
      </x:c>
    </x:row>
    <x:row r="23" ht="72" customHeight="1">
      <x:c r="A23" s="24" t="str">
        <x:v>Not collected</x:v>
      </x:c>
      <x:c r="B23" s="24" t="n">
        <x:f>'Evaluation Plan'!B23</x:f>
        <x:v>21</x:v>
      </x:c>
      <x:c r="C23" s="25" t="str">
        <x:f>'Evaluation Plan'!C23</x:f>
        <x:v>Place the green pen behind the red block.</x:v>
      </x:c>
      <x:c r="D23" s="25" t="str">
        <x:f>'Evaluation Plan'!D23</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3" s="24" t="n">
        <x:f>IF(ISBLANK('Evaluation Plan'!E23),"",'Evaluation Plan'!E23)</x:f>
        <x:v>20</x:v>
      </x:c>
      <x:c r="F23" s="24" t="str">
        <x:f>'Evaluation Plan'!F23</x:f>
        <x:v>213</x:v>
      </x:c>
      <x:c r="G23" s="24" t="str">
        <x:f>'Evaluation Plan'!G23</x:f>
        <x:v>green pen → 2–8 cm edge gap behind red block; centroid direction within ±45°.</x:v>
      </x:c>
      <x:c r="H23" s="25"/>
      <x:c r="I23" s="24" t="str">
        <x:f>'Evaluation Plan'!I23</x:f>
        <x:v>Concept/compositional transfer</x:v>
      </x:c>
      <x:c r="J23" s="24" t="str">
        <x:f>'Evaluation Plan'!J23</x:f>
        <x:v>RP-CT-CF01</x:v>
      </x:c>
      <x:c r="K23" s="24" t="str">
        <x:f>'Evaluation Plan'!K23</x:f>
        <x:v>behind</x:v>
      </x:c>
      <x:c r="L23" s="24" t="str">
        <x:f>'Evaluation Plan'!L23</x:f>
        <x:v>Four-way held-out counterfactual: relation polarity × target/reference role</x:v>
      </x:c>
      <x:c r="M23" s="24" t="str">
        <x:f>'Evaluation Plan'!M23</x:f>
        <x:v>green pen</x:v>
      </x:c>
      <x:c r="N23" s="24" t="str">
        <x:f>'Evaluation Plan'!N23</x:f>
        <x:v>red block</x:v>
      </x:c>
      <x:c r="O23" s="24" t="str">
        <x:f>'Evaluation Plan'!O23</x:f>
        <x:v>None</x:v>
      </x:c>
      <x:c r="P23" s="24" t="n">
        <x:f>'Evaluation Plan'!P23</x:f>
        <x:v>3</x:v>
      </x:c>
      <x:c r="Q23" s="24" t="str">
        <x:f>'Evaluation Plan'!Q23</x:f>
        <x:v>Reset both core objects to their marked poses; preserve distractors, camera, and robot start; change only the instruction.</x:v>
      </x:c>
      <x:c r="R23" s="25" t="str">
        <x:f>'Evaluation Plan'!R23</x:f>
        <x:v>The directional word × ordered green-pen/red-block role is held out. Source episode 213 supplies the same target manipulation under a trained near/next-to/beside prompt. The orthogonal start prevents an inverse-start shortcut.</x:v>
      </x:c>
      <x:c r="S23" s="25" t="str">
        <x:f>IF(ISBLANK('Evaluation Plan'!S23),"",'Evaluation Plan'!S23)</x:f>
      </x:c>
    </x:row>
    <x:row r="24" ht="72" customHeight="1">
      <x:c r="A24" s="24" t="str">
        <x:v>Not collected</x:v>
      </x:c>
      <x:c r="B24" s="24" t="n">
        <x:f>'Evaluation Plan'!B24</x:f>
        <x:v>22</x:v>
      </x:c>
      <x:c r="C24" s="25" t="str">
        <x:f>'Evaluation Plan'!C24</x:f>
        <x:v>Place the red block in front of the green pen.</x:v>
      </x:c>
      <x:c r="D24" s="25" t="str">
        <x:f>'Evaluation Plan'!D24</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4" s="24" t="n">
        <x:f>IF(ISBLANK('Evaluation Plan'!E24),"",'Evaluation Plan'!E24)</x:f>
        <x:v>20</x:v>
      </x:c>
      <x:c r="F24" s="24" t="str">
        <x:f>'Evaluation Plan'!F24</x:f>
        <x:v>259</x:v>
      </x:c>
      <x:c r="G24" s="24" t="str">
        <x:f>'Evaluation Plan'!G24</x:f>
        <x:v>red block → 2–8 cm edge gap in front of green pen; centroid direction within ±45°.</x:v>
      </x:c>
      <x:c r="H24" s="25"/>
      <x:c r="I24" s="24" t="str">
        <x:f>'Evaluation Plan'!I24</x:f>
        <x:v>Concept/compositional transfer</x:v>
      </x:c>
      <x:c r="J24" s="24" t="str">
        <x:f>'Evaluation Plan'!J24</x:f>
        <x:v>RP-CT-CF01</x:v>
      </x:c>
      <x:c r="K24" s="24" t="str">
        <x:f>'Evaluation Plan'!K24</x:f>
        <x:v>front</x:v>
      </x:c>
      <x:c r="L24" s="24" t="str">
        <x:f>'Evaluation Plan'!L24</x:f>
        <x:v>Four-way held-out counterfactual: relation polarity × target/reference role</x:v>
      </x:c>
      <x:c r="M24" s="24" t="str">
        <x:f>'Evaluation Plan'!M24</x:f>
        <x:v>red block</x:v>
      </x:c>
      <x:c r="N24" s="24" t="str">
        <x:f>'Evaluation Plan'!N24</x:f>
        <x:v>green pen</x:v>
      </x:c>
      <x:c r="O24" s="24" t="str">
        <x:f>'Evaluation Plan'!O24</x:f>
        <x:v>None</x:v>
      </x:c>
      <x:c r="P24" s="24" t="n">
        <x:f>'Evaluation Plan'!P24</x:f>
        <x:v>3</x:v>
      </x:c>
      <x:c r="Q24" s="24" t="str">
        <x:f>'Evaluation Plan'!Q24</x:f>
        <x:v>Reset both core objects to their marked poses; preserve distractors, camera, and robot start; change only the instruction.</x:v>
      </x:c>
      <x:c r="R24" s="25" t="str">
        <x:f>'Evaluation Plan'!R24</x:f>
        <x:v>The directional word × ordered green-pen/red-block role is held out. Source episode 259 supplies the same target manipulation under a trained near/next-to/beside prompt. The orthogonal start prevents an inverse-start shortcut.</x:v>
      </x:c>
      <x:c r="S24" s="25" t="str">
        <x:f>IF(ISBLANK('Evaluation Plan'!S24),"",'Evaluation Plan'!S24)</x:f>
      </x:c>
    </x:row>
    <x:row r="25" ht="72" customHeight="1">
      <x:c r="A25" s="24" t="str">
        <x:v>Not collected</x:v>
      </x:c>
      <x:c r="B25" s="24" t="n">
        <x:f>'Evaluation Plan'!B25</x:f>
        <x:v>23</x:v>
      </x:c>
      <x:c r="C25" s="25" t="str">
        <x:f>'Evaluation Plan'!C25</x:f>
        <x:v>Place the red block behind the green pen.</x:v>
      </x:c>
      <x:c r="D25" s="25" t="str">
        <x:f>'Evaluation Plan'!D25</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5" s="24" t="n">
        <x:f>IF(ISBLANK('Evaluation Plan'!E25),"",'Evaluation Plan'!E25)</x:f>
        <x:v>20</x:v>
      </x:c>
      <x:c r="F25" s="24" t="str">
        <x:f>'Evaluation Plan'!F25</x:f>
        <x:v>272</x:v>
      </x:c>
      <x:c r="G25" s="24" t="str">
        <x:f>'Evaluation Plan'!G25</x:f>
        <x:v>red block → 2–8 cm edge gap behind green pen; centroid direction within ±45°.</x:v>
      </x:c>
      <x:c r="H25" s="25"/>
      <x:c r="I25" s="24" t="str">
        <x:f>'Evaluation Plan'!I25</x:f>
        <x:v>Concept/compositional transfer</x:v>
      </x:c>
      <x:c r="J25" s="24" t="str">
        <x:f>'Evaluation Plan'!J25</x:f>
        <x:v>RP-CT-CF01</x:v>
      </x:c>
      <x:c r="K25" s="24" t="str">
        <x:f>'Evaluation Plan'!K25</x:f>
        <x:v>behind</x:v>
      </x:c>
      <x:c r="L25" s="24" t="str">
        <x:f>'Evaluation Plan'!L25</x:f>
        <x:v>Four-way held-out counterfactual: relation polarity × target/reference role</x:v>
      </x:c>
      <x:c r="M25" s="24" t="str">
        <x:f>'Evaluation Plan'!M25</x:f>
        <x:v>red block</x:v>
      </x:c>
      <x:c r="N25" s="24" t="str">
        <x:f>'Evaluation Plan'!N25</x:f>
        <x:v>green pen</x:v>
      </x:c>
      <x:c r="O25" s="24" t="str">
        <x:f>'Evaluation Plan'!O25</x:f>
        <x:v>None</x:v>
      </x:c>
      <x:c r="P25" s="24" t="n">
        <x:f>'Evaluation Plan'!P25</x:f>
        <x:v>3</x:v>
      </x:c>
      <x:c r="Q25" s="24" t="str">
        <x:f>'Evaluation Plan'!Q25</x:f>
        <x:v>Reset both core objects to their marked poses; preserve distractors, camera, and robot start; change only the instruction.</x:v>
      </x:c>
      <x:c r="R25" s="25" t="str">
        <x:f>'Evaluation Plan'!R25</x:f>
        <x:v>The directional word × ordered green-pen/red-block role is held out. Source episode 272 supplies the same target manipulation under a trained near/next-to/beside prompt. The orthogonal start prevents an inverse-start shortcut.</x:v>
      </x:c>
      <x:c r="S25" s="25" t="str">
        <x:f>IF(ISBLANK('Evaluation Plan'!S25),"",'Evaluation Plan'!S25)</x:f>
      </x:c>
    </x:row>
    <x:row r="26" ht="72" customHeight="1">
      <x:c r="A26" s="9" t="str">
        <x:v>Not collected</x:v>
      </x:c>
      <x:c r="B26" s="9" t="n">
        <x:f>'Evaluation Plan'!B26</x:f>
        <x:v>24</x:v>
      </x:c>
      <x:c r="C26" s="10" t="str">
        <x:f>'Evaluation Plan'!C26</x:f>
        <x:v>Place the green pen in front of the red block.</x:v>
      </x:c>
      <x:c r="D26" s="10" t="str">
        <x:f>'Evaluation Plan'!D26</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6" s="9" t="str">
        <x:f>IF(ISBLANK('Evaluation Plan'!E26),"",'Evaluation Plan'!E26)</x:f>
      </x:c>
      <x:c r="F26" s="9" t="str">
        <x:f>'Evaluation Plan'!F26</x:f>
        <x:v>202</x:v>
      </x:c>
      <x:c r="G26" s="9" t="str">
        <x:f>'Evaluation Plan'!G26</x:f>
        <x:v>green pen → 2–8 cm edge gap in front of red block; centroid direction within ±45°.</x:v>
      </x:c>
      <x:c r="H26" s="10"/>
      <x:c r="I26" s="9" t="str">
        <x:f>'Evaluation Plan'!I26</x:f>
        <x:v>Concept/compositional transfer</x:v>
      </x:c>
      <x:c r="J26" s="9" t="str">
        <x:f>'Evaluation Plan'!J26</x:f>
        <x:v>RP-CT-CF02</x:v>
      </x:c>
      <x:c r="K26" s="9" t="str">
        <x:f>'Evaluation Plan'!K26</x:f>
        <x:v>front</x:v>
      </x:c>
      <x:c r="L26" s="9" t="str">
        <x:f>'Evaluation Plan'!L26</x:f>
        <x:v>Four-way held-out counterfactual: relation polarity × target/reference role</x:v>
      </x:c>
      <x:c r="M26" s="9" t="str">
        <x:f>'Evaluation Plan'!M26</x:f>
        <x:v>green pen</x:v>
      </x:c>
      <x:c r="N26" s="9" t="str">
        <x:f>'Evaluation Plan'!N26</x:f>
        <x:v>red block</x:v>
      </x:c>
      <x:c r="O26" s="9" t="str">
        <x:f>'Evaluation Plan'!O26</x:f>
        <x:v>None</x:v>
      </x:c>
      <x:c r="P26" s="9" t="n">
        <x:f>'Evaluation Plan'!P26</x:f>
        <x:v>4</x:v>
      </x:c>
      <x:c r="Q26" s="9" t="str">
        <x:f>'Evaluation Plan'!Q26</x:f>
        <x:v>Build the listed neutral-axis scene and save the first frame.</x:v>
      </x:c>
      <x:c r="R26" s="10" t="str">
        <x:f>'Evaluation Plan'!R26</x:f>
        <x:v>The directional word × ordered green-pen/red-block role is held out. Source episode 202 supplies the same target manipulation under a trained near/next-to/beside prompt. The orthogonal start prevents an inverse-start shortcut.</x:v>
      </x:c>
      <x:c r="S26" s="10" t="str">
        <x:f>IF(ISBLANK('Evaluation Plan'!S26),"",'Evaluation Plan'!S26)</x:f>
      </x:c>
    </x:row>
    <x:row r="27" ht="72" customHeight="1">
      <x:c r="A27" s="24" t="str">
        <x:v>Not collected</x:v>
      </x:c>
      <x:c r="B27" s="24" t="n">
        <x:f>'Evaluation Plan'!B27</x:f>
        <x:v>25</x:v>
      </x:c>
      <x:c r="C27" s="25" t="str">
        <x:f>'Evaluation Plan'!C27</x:f>
        <x:v>Place the green pen behind the red block.</x:v>
      </x:c>
      <x:c r="D27" s="25" t="str">
        <x:f>'Evaluation Plan'!D27</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7" s="24" t="n">
        <x:f>IF(ISBLANK('Evaluation Plan'!E27),"",'Evaluation Plan'!E27)</x:f>
        <x:v>24</x:v>
      </x:c>
      <x:c r="F27" s="24" t="str">
        <x:f>'Evaluation Plan'!F27</x:f>
        <x:v>214</x:v>
      </x:c>
      <x:c r="G27" s="24" t="str">
        <x:f>'Evaluation Plan'!G27</x:f>
        <x:v>green pen → 2–8 cm edge gap behind red block; centroid direction within ±45°.</x:v>
      </x:c>
      <x:c r="H27" s="25"/>
      <x:c r="I27" s="24" t="str">
        <x:f>'Evaluation Plan'!I27</x:f>
        <x:v>Concept/compositional transfer</x:v>
      </x:c>
      <x:c r="J27" s="24" t="str">
        <x:f>'Evaluation Plan'!J27</x:f>
        <x:v>RP-CT-CF02</x:v>
      </x:c>
      <x:c r="K27" s="24" t="str">
        <x:f>'Evaluation Plan'!K27</x:f>
        <x:v>behind</x:v>
      </x:c>
      <x:c r="L27" s="24" t="str">
        <x:f>'Evaluation Plan'!L27</x:f>
        <x:v>Four-way held-out counterfactual: relation polarity × target/reference role</x:v>
      </x:c>
      <x:c r="M27" s="24" t="str">
        <x:f>'Evaluation Plan'!M27</x:f>
        <x:v>green pen</x:v>
      </x:c>
      <x:c r="N27" s="24" t="str">
        <x:f>'Evaluation Plan'!N27</x:f>
        <x:v>red block</x:v>
      </x:c>
      <x:c r="O27" s="24" t="str">
        <x:f>'Evaluation Plan'!O27</x:f>
        <x:v>None</x:v>
      </x:c>
      <x:c r="P27" s="24" t="n">
        <x:f>'Evaluation Plan'!P27</x:f>
        <x:v>4</x:v>
      </x:c>
      <x:c r="Q27" s="24" t="str">
        <x:f>'Evaluation Plan'!Q27</x:f>
        <x:v>Reset both core objects to their marked poses; preserve distractors, camera, and robot start; change only the instruction.</x:v>
      </x:c>
      <x:c r="R27" s="25" t="str">
        <x:f>'Evaluation Plan'!R27</x:f>
        <x:v>The directional word × ordered green-pen/red-block role is held out. Source episode 214 supplies the same target manipulation under a trained near/next-to/beside prompt. The orthogonal start prevents an inverse-start shortcut.</x:v>
      </x:c>
      <x:c r="S27" s="25" t="str">
        <x:f>IF(ISBLANK('Evaluation Plan'!S27),"",'Evaluation Plan'!S27)</x:f>
      </x:c>
    </x:row>
    <x:row r="28" ht="72" customHeight="1">
      <x:c r="A28" s="24" t="str">
        <x:v>Not collected</x:v>
      </x:c>
      <x:c r="B28" s="24" t="n">
        <x:f>'Evaluation Plan'!B28</x:f>
        <x:v>26</x:v>
      </x:c>
      <x:c r="C28" s="25" t="str">
        <x:f>'Evaluation Plan'!C28</x:f>
        <x:v>Place the red block in front of the green pen.</x:v>
      </x:c>
      <x:c r="D28" s="25" t="str">
        <x:f>'Evaluation Plan'!D28</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Concept/compositional transfer</x:v>
      </x:c>
      <x:c r="J28" s="24" t="str">
        <x:f>'Evaluation Plan'!J28</x:f>
        <x:v>RP-CT-CF02</x:v>
      </x:c>
      <x:c r="K28" s="24" t="str">
        <x:f>'Evaluation Plan'!K28</x:f>
        <x:v>front</x:v>
      </x:c>
      <x:c r="L28" s="24" t="str">
        <x:f>'Evaluation Plan'!L28</x:f>
        <x:v>Four-way held-out counterfactual: relation polarity × target/reference role</x:v>
      </x:c>
      <x:c r="M28" s="24" t="str">
        <x:f>'Evaluation Plan'!M28</x:f>
        <x:v>red block</x:v>
      </x:c>
      <x:c r="N28" s="24" t="str">
        <x:f>'Evaluation Plan'!N28</x:f>
        <x:v>green pen</x:v>
      </x:c>
      <x:c r="O28" s="24" t="str">
        <x:f>'Evaluation Plan'!O28</x:f>
        <x:v>None</x:v>
      </x:c>
      <x:c r="P28" s="24" t="n">
        <x:f>'Evaluation Plan'!P28</x:f>
        <x:v>4</x:v>
      </x:c>
      <x:c r="Q28" s="24" t="str">
        <x:f>'Evaluation Plan'!Q28</x:f>
        <x:v>Reset both core objects to their marked poses; preserve distractors, camera, and robot start; change only the instruction.</x:v>
      </x:c>
      <x:c r="R28" s="25" t="str">
        <x:f>'Evaluation Plan'!R28</x:f>
        <x:v>The directional word × ordered green-pen/red-block role is held out. Source episode 260 supplies the same target manipulation under a trained near/next-to/beside prompt. The orthogonal start prevents an inverse-start shortcut.</x:v>
      </x:c>
      <x:c r="S28" s="25" t="str">
        <x:f>IF(ISBLANK('Evaluation Plan'!S28),"",'Evaluation Plan'!S28)</x:f>
      </x:c>
    </x:row>
    <x:row r="29" ht="72" customHeight="1">
      <x:c r="A29" s="24" t="str">
        <x:v>Not collected</x:v>
      </x:c>
      <x:c r="B29" s="24" t="n">
        <x:f>'Evaluation Plan'!B29</x:f>
        <x:v>27</x:v>
      </x:c>
      <x:c r="C29" s="25" t="str">
        <x:f>'Evaluation Plan'!C29</x:f>
        <x:v>Place the red block behind the green pen.</x:v>
      </x:c>
      <x:c r="D29" s="25" t="str">
        <x:f>'Evaluation Plan'!D29</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9" s="24" t="n">
        <x:f>IF(ISBLANK('Evaluation Plan'!E29),"",'Evaluation Plan'!E29)</x:f>
        <x:v>24</x:v>
      </x:c>
      <x:c r="F29" s="24" t="str">
        <x:f>'Evaluation Plan'!F29</x:f>
        <x:v>273</x:v>
      </x:c>
      <x:c r="G29" s="24" t="str">
        <x:f>'Evaluation Plan'!G29</x:f>
        <x:v>red block → 2–8 cm edge gap behind green pen; centroid direction within ±45°.</x:v>
      </x:c>
      <x:c r="H29" s="25"/>
      <x:c r="I29" s="24" t="str">
        <x:f>'Evaluation Plan'!I29</x:f>
        <x:v>Concept/compositional transfer</x:v>
      </x:c>
      <x:c r="J29" s="24" t="str">
        <x:f>'Evaluation Plan'!J29</x:f>
        <x:v>RP-CT-CF02</x:v>
      </x:c>
      <x:c r="K29" s="24" t="str">
        <x:f>'Evaluation Plan'!K29</x:f>
        <x:v>behind</x:v>
      </x:c>
      <x:c r="L29" s="24" t="str">
        <x:f>'Evaluation Plan'!L29</x:f>
        <x:v>Four-way held-out counterfactual: relation polarity × target/reference role</x:v>
      </x:c>
      <x:c r="M29" s="24" t="str">
        <x:f>'Evaluation Plan'!M29</x:f>
        <x:v>red block</x:v>
      </x:c>
      <x:c r="N29" s="24" t="str">
        <x:f>'Evaluation Plan'!N29</x:f>
        <x:v>green pen</x:v>
      </x:c>
      <x:c r="O29" s="24" t="str">
        <x:f>'Evaluation Plan'!O29</x:f>
        <x:v>None</x:v>
      </x:c>
      <x:c r="P29" s="24" t="n">
        <x:f>'Evaluation Plan'!P29</x:f>
        <x:v>4</x:v>
      </x:c>
      <x:c r="Q29" s="24" t="str">
        <x:f>'Evaluation Plan'!Q29</x:f>
        <x:v>Reset both core objects to their marked poses; preserve distractors, camera, and robot start; change only the instruction.</x:v>
      </x:c>
      <x:c r="R29" s="25" t="str">
        <x:f>'Evaluation Plan'!R29</x:f>
        <x:v>The directional word × ordered green-pen/red-block role is held out. Source episode 273 supplies the same target manipulation under a trained near/next-to/beside prompt. The orthogonal start prevents an inverse-start shortcut.</x:v>
      </x:c>
      <x:c r="S29" s="25" t="str">
        <x:f>IF(ISBLANK('Evaluation Plan'!S29),"",'Evaluation Plan'!S29)</x:f>
      </x:c>
    </x:row>
    <x:row r="30" ht="72" customHeight="1">
      <x:c r="A30" s="9" t="str">
        <x:v>Not collected</x:v>
      </x:c>
      <x:c r="B30" s="9" t="n">
        <x:f>'Evaluation Plan'!B30</x:f>
        <x:v>28</x:v>
      </x:c>
      <x:c r="C30" s="10" t="str">
        <x:f>'Evaluation Plan'!C30</x:f>
        <x:v>Place the green pen in front of the red block.</x:v>
      </x:c>
      <x:c r="D30" s="10" t="str">
        <x:f>'Evaluation Plan'!D30</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0" s="9" t="str">
        <x:f>IF(ISBLANK('Evaluation Plan'!E30),"",'Evaluation Plan'!E30)</x:f>
      </x:c>
      <x:c r="F30" s="9" t="str">
        <x:f>'Evaluation Plan'!F30</x:f>
        <x:v>203</x:v>
      </x:c>
      <x:c r="G30" s="9" t="str">
        <x:f>'Evaluation Plan'!G30</x:f>
        <x:v>green pen → 2–8 cm edge gap in front of red block; centroid direction within ±45°.</x:v>
      </x:c>
      <x:c r="H30" s="10"/>
      <x:c r="I30" s="9" t="str">
        <x:f>'Evaluation Plan'!I30</x:f>
        <x:v>Concept/compositional transfer</x:v>
      </x:c>
      <x:c r="J30" s="9" t="str">
        <x:f>'Evaluation Plan'!J30</x:f>
        <x:v>RP-CT-CF03</x:v>
      </x:c>
      <x:c r="K30" s="9" t="str">
        <x:f>'Evaluation Plan'!K30</x:f>
        <x:v>front</x:v>
      </x:c>
      <x:c r="L30" s="9" t="str">
        <x:f>'Evaluation Plan'!L30</x:f>
        <x:v>Four-way held-out counterfactual: relation polarity × target/reference role</x:v>
      </x:c>
      <x:c r="M30" s="9" t="str">
        <x:f>'Evaluation Plan'!M30</x:f>
        <x:v>green pen</x:v>
      </x:c>
      <x:c r="N30" s="9" t="str">
        <x:f>'Evaluation Plan'!N30</x:f>
        <x:v>red block</x:v>
      </x:c>
      <x:c r="O30" s="9" t="str">
        <x:f>'Evaluation Plan'!O30</x:f>
        <x:v>None</x:v>
      </x:c>
      <x:c r="P30" s="9" t="n">
        <x:f>'Evaluation Plan'!P30</x:f>
        <x:v>3</x:v>
      </x:c>
      <x:c r="Q30" s="9" t="str">
        <x:f>'Evaluation Plan'!Q30</x:f>
        <x:v>Build the listed neutral-axis scene and save the first frame.</x:v>
      </x:c>
      <x:c r="R30" s="10" t="str">
        <x:f>'Evaluation Plan'!R30</x:f>
        <x:v>The directional word × ordered green-pen/red-block role is held out. Source episode 203 supplies the same target manipulation under a trained near/next-to/beside prompt. The orthogonal start prevents an inverse-start shortcut.</x:v>
      </x:c>
      <x:c r="S30" s="10" t="str">
        <x:f>IF(ISBLANK('Evaluation Plan'!S30),"",'Evaluation Plan'!S30)</x:f>
      </x:c>
    </x:row>
    <x:row r="31" ht="72" customHeight="1">
      <x:c r="A31" s="24" t="str">
        <x:v>Not collected</x:v>
      </x:c>
      <x:c r="B31" s="24" t="n">
        <x:f>'Evaluation Plan'!B31</x:f>
        <x:v>29</x:v>
      </x:c>
      <x:c r="C31" s="25" t="str">
        <x:f>'Evaluation Plan'!C31</x:f>
        <x:v>Place the green pen behind the red block.</x:v>
      </x:c>
      <x:c r="D31" s="25" t="str">
        <x:f>'Evaluation Plan'!D31</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1" s="24" t="n">
        <x:f>IF(ISBLANK('Evaluation Plan'!E31),"",'Evaluation Plan'!E31)</x:f>
        <x:v>28</x:v>
      </x:c>
      <x:c r="F31" s="24" t="str">
        <x:f>'Evaluation Plan'!F31</x:f>
        <x:v>215</x:v>
      </x:c>
      <x:c r="G31" s="24" t="str">
        <x:f>'Evaluation Plan'!G31</x:f>
        <x:v>green pen → 2–8 cm edge gap behind red block; centroid direction within ±45°.</x:v>
      </x:c>
      <x:c r="H31" s="25"/>
      <x:c r="I31" s="24" t="str">
        <x:f>'Evaluation Plan'!I31</x:f>
        <x:v>Concept/compositional transfer</x:v>
      </x:c>
      <x:c r="J31" s="24" t="str">
        <x:f>'Evaluation Plan'!J31</x:f>
        <x:v>RP-CT-CF03</x:v>
      </x:c>
      <x:c r="K31" s="24" t="str">
        <x:f>'Evaluation Plan'!K31</x:f>
        <x:v>behind</x:v>
      </x:c>
      <x:c r="L31" s="24" t="str">
        <x:f>'Evaluation Plan'!L31</x:f>
        <x:v>Four-way held-out counterfactual: relation polarity × target/reference role</x:v>
      </x:c>
      <x:c r="M31" s="24" t="str">
        <x:f>'Evaluation Plan'!M31</x:f>
        <x:v>green pen</x:v>
      </x:c>
      <x:c r="N31" s="24" t="str">
        <x:f>'Evaluation Plan'!N31</x:f>
        <x:v>red block</x:v>
      </x:c>
      <x:c r="O31" s="24" t="str">
        <x:f>'Evaluation Plan'!O31</x:f>
        <x:v>None</x:v>
      </x:c>
      <x:c r="P31" s="24" t="n">
        <x:f>'Evaluation Plan'!P31</x:f>
        <x:v>3</x:v>
      </x:c>
      <x:c r="Q31" s="24" t="str">
        <x:f>'Evaluation Plan'!Q31</x:f>
        <x:v>Reset both core objects to their marked poses; preserve distractors, camera, and robot start; change only the instruction.</x:v>
      </x:c>
      <x:c r="R31" s="25" t="str">
        <x:f>'Evaluation Plan'!R31</x:f>
        <x:v>The directional word × ordered green-pen/red-block role is held out. Source episode 215 supplies the same target manipulation under a trained near/next-to/beside prompt. The orthogonal start prevents an inverse-start shortcut.</x:v>
      </x:c>
      <x:c r="S31" s="25" t="str">
        <x:f>IF(ISBLANK('Evaluation Plan'!S31),"",'Evaluation Plan'!S31)</x:f>
      </x:c>
    </x:row>
    <x:row r="32" ht="72" customHeight="1">
      <x:c r="A32" s="24" t="str">
        <x:v>Not collected</x:v>
      </x:c>
      <x:c r="B32" s="24" t="n">
        <x:f>'Evaluation Plan'!B32</x:f>
        <x:v>30</x:v>
      </x:c>
      <x:c r="C32" s="25" t="str">
        <x:f>'Evaluation Plan'!C32</x:f>
        <x:v>Place the red block in front of the green pen.</x:v>
      </x:c>
      <x:c r="D32" s="25" t="str">
        <x:f>'Evaluation Plan'!D32</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2" s="24" t="n">
        <x:f>IF(ISBLANK('Evaluation Plan'!E32),"",'Evaluation Plan'!E32)</x:f>
        <x:v>28</x:v>
      </x:c>
      <x:c r="F32" s="24" t="str">
        <x:f>'Evaluation Plan'!F32</x:f>
        <x:v>261</x:v>
      </x:c>
      <x:c r="G32" s="24" t="str">
        <x:f>'Evaluation Plan'!G32</x:f>
        <x:v>red block → 2–8 cm edge gap in front of green pen; centroid direction within ±45°.</x:v>
      </x:c>
      <x:c r="H32" s="25"/>
      <x:c r="I32" s="24" t="str">
        <x:f>'Evaluation Plan'!I32</x:f>
        <x:v>Concept/compositional transfer</x:v>
      </x:c>
      <x:c r="J32" s="24" t="str">
        <x:f>'Evaluation Plan'!J32</x:f>
        <x:v>RP-CT-CF03</x:v>
      </x:c>
      <x:c r="K32" s="24" t="str">
        <x:f>'Evaluation Plan'!K32</x:f>
        <x:v>front</x:v>
      </x:c>
      <x:c r="L32" s="24" t="str">
        <x:f>'Evaluation Plan'!L32</x:f>
        <x:v>Four-way held-out counterfactual: relation polarity × target/reference role</x:v>
      </x:c>
      <x:c r="M32" s="24" t="str">
        <x:f>'Evaluation Plan'!M32</x:f>
        <x:v>red block</x:v>
      </x:c>
      <x:c r="N32" s="24" t="str">
        <x:f>'Evaluation Plan'!N32</x:f>
        <x:v>green pen</x:v>
      </x:c>
      <x:c r="O32" s="24" t="str">
        <x:f>'Evaluation Plan'!O32</x:f>
        <x:v>None</x:v>
      </x:c>
      <x:c r="P32" s="24" t="n">
        <x:f>'Evaluation Plan'!P32</x:f>
        <x:v>3</x:v>
      </x:c>
      <x:c r="Q32" s="24" t="str">
        <x:f>'Evaluation Plan'!Q32</x:f>
        <x:v>Reset both core objects to their marked poses; preserve distractors, camera, and robot start; change only the instruction.</x:v>
      </x:c>
      <x:c r="R32" s="25" t="str">
        <x:f>'Evaluation Plan'!R32</x:f>
        <x:v>The directional word × ordered green-pen/red-block role is held out. Source episode 261 supplies the same target manipulation under a trained near/next-to/beside prompt. The orthogonal start prevents an inverse-start shortcut.</x:v>
      </x:c>
      <x:c r="S32" s="25" t="str">
        <x:f>IF(ISBLANK('Evaluation Plan'!S32),"",'Evaluation Plan'!S32)</x:f>
      </x:c>
    </x:row>
    <x:row r="33" ht="72" customHeight="1">
      <x:c r="A33" s="24" t="str">
        <x:v>Not collected</x:v>
      </x:c>
      <x:c r="B33" s="24" t="n">
        <x:f>'Evaluation Plan'!B33</x:f>
        <x:v>31</x:v>
      </x:c>
      <x:c r="C33" s="25" t="str">
        <x:f>'Evaluation Plan'!C33</x:f>
        <x:v>Place the red block behind the green pen.</x:v>
      </x:c>
      <x:c r="D33" s="25" t="str">
        <x:f>'Evaluation Plan'!D33</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3" s="24" t="n">
        <x:f>IF(ISBLANK('Evaluation Plan'!E33),"",'Evaluation Plan'!E33)</x:f>
        <x:v>28</x:v>
      </x:c>
      <x:c r="F33" s="24" t="str">
        <x:f>'Evaluation Plan'!F33</x:f>
        <x:v>274</x:v>
      </x:c>
      <x:c r="G33" s="24" t="str">
        <x:f>'Evaluation Plan'!G33</x:f>
        <x:v>red block → 2–8 cm edge gap behind green pen; centroid direction within ±45°.</x:v>
      </x:c>
      <x:c r="H33" s="25"/>
      <x:c r="I33" s="24" t="str">
        <x:f>'Evaluation Plan'!I33</x:f>
        <x:v>Concept/compositional transfer</x:v>
      </x:c>
      <x:c r="J33" s="24" t="str">
        <x:f>'Evaluation Plan'!J33</x:f>
        <x:v>RP-CT-CF03</x:v>
      </x:c>
      <x:c r="K33" s="24" t="str">
        <x:f>'Evaluation Plan'!K33</x:f>
        <x:v>behind</x:v>
      </x:c>
      <x:c r="L33" s="24" t="str">
        <x:f>'Evaluation Plan'!L33</x:f>
        <x:v>Four-way held-out counterfactual: relation polarity × target/reference role</x:v>
      </x:c>
      <x:c r="M33" s="24" t="str">
        <x:f>'Evaluation Plan'!M33</x:f>
        <x:v>red block</x:v>
      </x:c>
      <x:c r="N33" s="24" t="str">
        <x:f>'Evaluation Plan'!N33</x:f>
        <x:v>green pen</x:v>
      </x:c>
      <x:c r="O33" s="24" t="str">
        <x:f>'Evaluation Plan'!O33</x:f>
        <x:v>None</x:v>
      </x:c>
      <x:c r="P33" s="24" t="n">
        <x:f>'Evaluation Plan'!P33</x:f>
        <x:v>3</x:v>
      </x:c>
      <x:c r="Q33" s="24" t="str">
        <x:f>'Evaluation Plan'!Q33</x:f>
        <x:v>Reset both core objects to their marked poses; preserve distractors, camera, and robot start; change only the instruction.</x:v>
      </x:c>
      <x:c r="R33" s="25" t="str">
        <x:f>'Evaluation Plan'!R33</x:f>
        <x:v>The directional word × ordered green-pen/red-block role is held out. Source episode 274 supplies the same target manipulation under a trained near/next-to/beside prompt. The orthogonal start prevents an inverse-start shortcut.</x:v>
      </x:c>
      <x:c r="S33" s="25" t="str">
        <x:f>IF(ISBLANK('Evaluation Plan'!S33),"",'Evaluation Plan'!S33)</x:f>
      </x:c>
    </x:row>
    <x:row r="34" ht="72" customHeight="1">
      <x:c r="A34" s="9" t="str">
        <x:v>Not collected</x:v>
      </x:c>
      <x:c r="B34" s="9" t="n">
        <x:f>'Evaluation Plan'!B34</x:f>
        <x:v>32</x:v>
      </x:c>
      <x:c r="C34" s="10" t="str">
        <x:f>'Evaluation Plan'!C34</x:f>
        <x:v>Place the green pen to the left of the red block.</x:v>
      </x:c>
      <x:c r="D34" s="10" t="str">
        <x:f>'Evaluation Plan'!D34</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4" s="9" t="str">
        <x:f>IF(ISBLANK('Evaluation Plan'!E34),"",'Evaluation Plan'!E34)</x:f>
      </x:c>
      <x:c r="F34" s="9" t="str">
        <x:f>'Evaluation Plan'!F34</x:f>
        <x:v>227</x:v>
      </x:c>
      <x:c r="G34" s="9" t="str">
        <x:f>'Evaluation Plan'!G34</x:f>
        <x:v>green pen → 2–8 cm edge gap to the left of red block; centroid direction within ±45°.</x:v>
      </x:c>
      <x:c r="H34" s="10"/>
      <x:c r="I34" s="9" t="str">
        <x:f>'Evaluation Plan'!I34</x:f>
        <x:v>Concept/compositional transfer</x:v>
      </x:c>
      <x:c r="J34" s="9" t="str">
        <x:f>'Evaluation Plan'!J34</x:f>
        <x:v>RP-CT-CF04</x:v>
      </x:c>
      <x:c r="K34" s="9" t="str">
        <x:f>'Evaluation Plan'!K34</x:f>
        <x:v>left</x:v>
      </x:c>
      <x:c r="L34" s="9" t="str">
        <x:f>'Evaluation Plan'!L34</x:f>
        <x:v>Four-way held-out counterfactual: relation polarity × target/reference role</x:v>
      </x:c>
      <x:c r="M34" s="9" t="str">
        <x:f>'Evaluation Plan'!M34</x:f>
        <x:v>green pen</x:v>
      </x:c>
      <x:c r="N34" s="9" t="str">
        <x:f>'Evaluation Plan'!N34</x:f>
        <x:v>red block</x:v>
      </x:c>
      <x:c r="O34" s="9" t="str">
        <x:f>'Evaluation Plan'!O34</x:f>
        <x:v>None</x:v>
      </x:c>
      <x:c r="P34" s="9" t="n">
        <x:f>'Evaluation Plan'!P34</x:f>
        <x:v>4</x:v>
      </x:c>
      <x:c r="Q34" s="9" t="str">
        <x:f>'Evaluation Plan'!Q34</x:f>
        <x:v>Build the listed neutral-axis scene and save the first frame.</x:v>
      </x:c>
      <x:c r="R34" s="10" t="str">
        <x:f>'Evaluation Plan'!R34</x:f>
        <x:v>The directional word × ordered green-pen/red-block role is held out. Source episode 227 supplies the same target manipulation under a trained near/next-to/beside prompt. The orthogonal start prevents an inverse-start shortcut.</x:v>
      </x:c>
      <x:c r="S34" s="10" t="str">
        <x:f>IF(ISBLANK('Evaluation Plan'!S34),"",'Evaluation Plan'!S34)</x:f>
      </x:c>
    </x:row>
    <x:row r="35" ht="72" customHeight="1">
      <x:c r="A35" s="24" t="str">
        <x:v>Not collected</x:v>
      </x:c>
      <x:c r="B35" s="24" t="n">
        <x:f>'Evaluation Plan'!B35</x:f>
        <x:v>33</x:v>
      </x:c>
      <x:c r="C35" s="25" t="str">
        <x:f>'Evaluation Plan'!C35</x:f>
        <x:v>Place the green pen to the right of the red block.</x:v>
      </x:c>
      <x:c r="D35" s="25" t="str">
        <x:f>'Evaluation Plan'!D35</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5" s="24" t="n">
        <x:f>IF(ISBLANK('Evaluation Plan'!E35),"",'Evaluation Plan'!E35)</x:f>
        <x:v>32</x:v>
      </x:c>
      <x:c r="F35" s="24" t="str">
        <x:f>'Evaluation Plan'!F35</x:f>
        <x:v>239</x:v>
      </x:c>
      <x:c r="G35" s="24" t="str">
        <x:f>'Evaluation Plan'!G35</x:f>
        <x:v>green pen → 2–8 cm edge gap to the right of red block; centroid direction within ±45°.</x:v>
      </x:c>
      <x:c r="H35" s="25"/>
      <x:c r="I35" s="24" t="str">
        <x:f>'Evaluation Plan'!I35</x:f>
        <x:v>Concept/compositional transfer</x:v>
      </x:c>
      <x:c r="J35" s="24" t="str">
        <x:f>'Evaluation Plan'!J35</x:f>
        <x:v>RP-CT-CF04</x:v>
      </x:c>
      <x:c r="K35" s="24" t="str">
        <x:f>'Evaluation Plan'!K35</x:f>
        <x:v>right</x:v>
      </x:c>
      <x:c r="L35" s="24" t="str">
        <x:f>'Evaluation Plan'!L35</x:f>
        <x:v>Four-way held-out counterfactual: relation polarity × target/reference role</x:v>
      </x:c>
      <x:c r="M35" s="24" t="str">
        <x:f>'Evaluation Plan'!M35</x:f>
        <x:v>green pen</x:v>
      </x:c>
      <x:c r="N35" s="24" t="str">
        <x:f>'Evaluation Plan'!N35</x:f>
        <x:v>red block</x:v>
      </x:c>
      <x:c r="O35" s="24" t="str">
        <x:f>'Evaluation Plan'!O35</x:f>
        <x:v>None</x:v>
      </x:c>
      <x:c r="P35" s="24" t="n">
        <x:f>'Evaluation Plan'!P35</x:f>
        <x:v>4</x:v>
      </x:c>
      <x:c r="Q35" s="24" t="str">
        <x:f>'Evaluation Plan'!Q35</x:f>
        <x:v>Reset both core objects to their marked poses; preserve distractors, camera, and robot start; change only the instruction.</x:v>
      </x:c>
      <x:c r="R35" s="25" t="str">
        <x:f>'Evaluation Plan'!R35</x:f>
        <x:v>The directional word × ordered green-pen/red-block role is held out. Source episode 239 supplies the same target manipulation under a trained near/next-to/beside prompt. The orthogonal start prevents an inverse-start shortcut.</x:v>
      </x:c>
      <x:c r="S35" s="25" t="str">
        <x:f>IF(ISBLANK('Evaluation Plan'!S35),"",'Evaluation Plan'!S35)</x:f>
      </x:c>
    </x:row>
    <x:row r="36" ht="72" customHeight="1">
      <x:c r="A36" s="24" t="str">
        <x:v>Not collected</x:v>
      </x:c>
      <x:c r="B36" s="24" t="n">
        <x:f>'Evaluation Plan'!B36</x:f>
        <x:v>34</x:v>
      </x:c>
      <x:c r="C36" s="25" t="str">
        <x:f>'Evaluation Plan'!C36</x:f>
        <x:v>Place the red block to the left of the green pen.</x:v>
      </x:c>
      <x:c r="D36" s="25" t="str">
        <x:f>'Evaluation Plan'!D36</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6" s="24" t="n">
        <x:f>IF(ISBLANK('Evaluation Plan'!E36),"",'Evaluation Plan'!E36)</x:f>
        <x:v>32</x:v>
      </x:c>
      <x:c r="F36" s="24" t="str">
        <x:f>'Evaluation Plan'!F36</x:f>
        <x:v>285</x:v>
      </x:c>
      <x:c r="G36" s="24" t="str">
        <x:f>'Evaluation Plan'!G36</x:f>
        <x:v>red block → 2–8 cm edge gap to the left of green pen; centroid direction within ±45°.</x:v>
      </x:c>
      <x:c r="H36" s="25"/>
      <x:c r="I36" s="24" t="str">
        <x:f>'Evaluation Plan'!I36</x:f>
        <x:v>Concept/compositional transfer</x:v>
      </x:c>
      <x:c r="J36" s="24" t="str">
        <x:f>'Evaluation Plan'!J36</x:f>
        <x:v>RP-CT-CF04</x:v>
      </x:c>
      <x:c r="K36" s="24" t="str">
        <x:f>'Evaluation Plan'!K36</x:f>
        <x:v>left</x:v>
      </x:c>
      <x:c r="L36" s="24" t="str">
        <x:f>'Evaluation Plan'!L36</x:f>
        <x:v>Four-way held-out counterfactual: relation polarity × target/reference role</x:v>
      </x:c>
      <x:c r="M36" s="24" t="str">
        <x:f>'Evaluation Plan'!M36</x:f>
        <x:v>red block</x:v>
      </x:c>
      <x:c r="N36" s="24" t="str">
        <x:f>'Evaluation Plan'!N36</x:f>
        <x:v>green pen</x:v>
      </x:c>
      <x:c r="O36" s="24" t="str">
        <x:f>'Evaluation Plan'!O36</x:f>
        <x:v>None</x:v>
      </x:c>
      <x:c r="P36" s="24" t="n">
        <x:f>'Evaluation Plan'!P36</x:f>
        <x:v>4</x:v>
      </x:c>
      <x:c r="Q36" s="24" t="str">
        <x:f>'Evaluation Plan'!Q36</x:f>
        <x:v>Reset both core objects to their marked poses; preserve distractors, camera, and robot start; change only the instruction.</x:v>
      </x:c>
      <x:c r="R36" s="25" t="str">
        <x:f>'Evaluation Plan'!R36</x:f>
        <x:v>The directional word × ordered green-pen/red-block role is held out. Source episode 285 supplies the same target manipulation under a trained near/next-to/beside prompt. The orthogonal start prevents an inverse-start shortcut.</x:v>
      </x:c>
      <x:c r="S36" s="25" t="str">
        <x:f>IF(ISBLANK('Evaluation Plan'!S36),"",'Evaluation Plan'!S36)</x:f>
      </x:c>
    </x:row>
    <x:row r="37" ht="72" customHeight="1">
      <x:c r="A37" s="24" t="str">
        <x:v>Not collected</x:v>
      </x:c>
      <x:c r="B37" s="24" t="n">
        <x:f>'Evaluation Plan'!B37</x:f>
        <x:v>35</x:v>
      </x:c>
      <x:c r="C37" s="25" t="str">
        <x:f>'Evaluation Plan'!C37</x:f>
        <x:v>Place the red block to the right of the green pen.</x:v>
      </x:c>
      <x:c r="D37" s="25" t="str">
        <x:f>'Evaluation Plan'!D37</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7" s="24" t="n">
        <x:f>IF(ISBLANK('Evaluation Plan'!E37),"",'Evaluation Plan'!E37)</x:f>
        <x:v>32</x:v>
      </x:c>
      <x:c r="F37" s="24" t="str">
        <x:f>'Evaluation Plan'!F37</x:f>
        <x:v>298</x:v>
      </x:c>
      <x:c r="G37" s="24" t="str">
        <x:f>'Evaluation Plan'!G37</x:f>
        <x:v>red block → 2–8 cm edge gap to the right of green pen; centroid direction within ±45°.</x:v>
      </x:c>
      <x:c r="H37" s="25"/>
      <x:c r="I37" s="24" t="str">
        <x:f>'Evaluation Plan'!I37</x:f>
        <x:v>Concept/compositional transfer</x:v>
      </x:c>
      <x:c r="J37" s="24" t="str">
        <x:f>'Evaluation Plan'!J37</x:f>
        <x:v>RP-CT-CF04</x:v>
      </x:c>
      <x:c r="K37" s="24" t="str">
        <x:f>'Evaluation Plan'!K37</x:f>
        <x:v>right</x:v>
      </x:c>
      <x:c r="L37" s="24" t="str">
        <x:f>'Evaluation Plan'!L37</x:f>
        <x:v>Four-way held-out counterfactual: relation polarity × target/reference role</x:v>
      </x:c>
      <x:c r="M37" s="24" t="str">
        <x:f>'Evaluation Plan'!M37</x:f>
        <x:v>red block</x:v>
      </x:c>
      <x:c r="N37" s="24" t="str">
        <x:f>'Evaluation Plan'!N37</x:f>
        <x:v>green pen</x:v>
      </x:c>
      <x:c r="O37" s="24" t="str">
        <x:f>'Evaluation Plan'!O37</x:f>
        <x:v>None</x:v>
      </x:c>
      <x:c r="P37" s="24" t="n">
        <x:f>'Evaluation Plan'!P37</x:f>
        <x:v>4</x:v>
      </x:c>
      <x:c r="Q37" s="24" t="str">
        <x:f>'Evaluation Plan'!Q37</x:f>
        <x:v>Reset both core objects to their marked poses; preserve distractors, camera, and robot start; change only the instruction.</x:v>
      </x:c>
      <x:c r="R37" s="25" t="str">
        <x:f>'Evaluation Plan'!R37</x:f>
        <x:v>The directional word × ordered green-pen/red-block role is held out. Source episode 298 supplies the same target manipulation under a trained near/next-to/beside prompt. The orthogonal start prevents an inverse-start shortcut.</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RP-CT-CF05</x:v>
      </x:c>
      <x:c r="K38" s="9" t="str">
        <x:f>'Evaluation Plan'!K38</x:f>
        <x:v>left</x:v>
      </x:c>
      <x:c r="L38" s="9" t="str">
        <x:f>'Evaluation Plan'!L38</x:f>
        <x:v>Four-way held-out counterfactual: relation polarity × target/reference role</x:v>
      </x:c>
      <x:c r="M38" s="9" t="str">
        <x:f>'Evaluation Plan'!M38</x:f>
        <x:v>green pen</x:v>
      </x:c>
      <x:c r="N38" s="9" t="str">
        <x:f>'Evaluation Plan'!N38</x:f>
        <x:v>red block</x:v>
      </x:c>
      <x:c r="O38" s="9" t="str">
        <x:f>'Evaluation Plan'!O38</x:f>
        <x:v>None</x:v>
      </x:c>
      <x:c r="P38" s="9" t="n">
        <x:f>'Evaluation Plan'!P38</x:f>
        <x:v>3</x:v>
      </x:c>
      <x:c r="Q38" s="9" t="str">
        <x:f>'Evaluation Plan'!Q38</x:f>
        <x:v>Build the listed neutral-axis scene and save the first frame.</x:v>
      </x:c>
      <x:c r="R38" s="10" t="str">
        <x:f>'Evaluation Plan'!R38</x:f>
        <x:v>The directional word × ordered green-pen/red-block role is held out. Source episode 226 supplies the same target manipulation under a trained near/next-to/beside prompt. The orthogonal start prevents an inverse-start shortcut.</x:v>
      </x:c>
      <x:c r="S38" s="10" t="str">
        <x:f>IF(ISBLANK('Evaluation Plan'!S38),"",'Evaluation Plan'!S38)</x:f>
      </x:c>
    </x:row>
    <x:row r="39" ht="72" customHeight="1">
      <x:c r="A39" s="24" t="str">
        <x:v>Not collected</x:v>
      </x:c>
      <x:c r="B39" s="24" t="n">
        <x:f>'Evaluation Plan'!B39</x:f>
        <x:v>37</x:v>
      </x:c>
      <x:c r="C39" s="25" t="str">
        <x:f>'Evaluation Plan'!C39</x:f>
        <x:v>Place the green pen to the right of the red block.</x:v>
      </x:c>
      <x:c r="D39" s="25" t="str">
        <x:f>'Evaluation Plan'!D39</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9" s="24" t="n">
        <x:f>IF(ISBLANK('Evaluation Plan'!E39),"",'Evaluation Plan'!E39)</x:f>
        <x:v>36</x:v>
      </x:c>
      <x:c r="F39" s="24" t="str">
        <x:f>'Evaluation Plan'!F39</x:f>
        <x:v>238</x:v>
      </x:c>
      <x:c r="G39" s="24" t="str">
        <x:f>'Evaluation Plan'!G39</x:f>
        <x:v>green pen → 2–8 cm edge gap to the right of red block; centroid direction within ±45°.</x:v>
      </x:c>
      <x:c r="H39" s="25"/>
      <x:c r="I39" s="24" t="str">
        <x:f>'Evaluation Plan'!I39</x:f>
        <x:v>Concept/compositional transfer</x:v>
      </x:c>
      <x:c r="J39" s="24" t="str">
        <x:f>'Evaluation Plan'!J39</x:f>
        <x:v>RP-CT-CF05</x:v>
      </x:c>
      <x:c r="K39" s="24" t="str">
        <x:f>'Evaluation Plan'!K39</x:f>
        <x:v>right</x:v>
      </x:c>
      <x:c r="L39" s="24" t="str">
        <x:f>'Evaluation Plan'!L39</x:f>
        <x:v>Four-way held-out counterfactual: relation polarity × target/reference role</x:v>
      </x:c>
      <x:c r="M39" s="24" t="str">
        <x:f>'Evaluation Plan'!M39</x:f>
        <x:v>green pen</x:v>
      </x:c>
      <x:c r="N39" s="24" t="str">
        <x:f>'Evaluation Plan'!N39</x:f>
        <x:v>red block</x:v>
      </x:c>
      <x:c r="O39" s="24" t="str">
        <x:f>'Evaluation Plan'!O39</x:f>
        <x:v>None</x:v>
      </x:c>
      <x:c r="P39" s="24" t="n">
        <x:f>'Evaluation Plan'!P39</x:f>
        <x:v>3</x:v>
      </x:c>
      <x:c r="Q39" s="24" t="str">
        <x:f>'Evaluation Plan'!Q39</x:f>
        <x:v>Reset both core objects to their marked poses; preserve distractors, camera, and robot start; change only the instruction.</x:v>
      </x:c>
      <x:c r="R39" s="25" t="str">
        <x:f>'Evaluation Plan'!R39</x:f>
        <x:v>The directional word × ordered green-pen/red-block role is held out. Source episode 238 supplies the same target manipulation under a trained near/next-to/beside prompt. The orthogonal start prevents an inverse-start shortcut.</x:v>
      </x:c>
      <x:c r="S39" s="25" t="str">
        <x:f>IF(ISBLANK('Evaluation Plan'!S39),"",'Evaluation Plan'!S39)</x:f>
      </x:c>
    </x:row>
    <x:row r="40" ht="72" customHeight="1">
      <x:c r="A40" s="24" t="str">
        <x:v>Not collected</x:v>
      </x:c>
      <x:c r="B40" s="24" t="n">
        <x:f>'Evaluation Plan'!B40</x:f>
        <x:v>38</x:v>
      </x:c>
      <x:c r="C40" s="25" t="str">
        <x:f>'Evaluation Plan'!C40</x:f>
        <x:v>Place the red block to the left of the green pen.</x:v>
      </x:c>
      <x:c r="D40" s="25" t="str">
        <x:f>'Evaluation Plan'!D40</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0" s="24" t="n">
        <x:f>IF(ISBLANK('Evaluation Plan'!E40),"",'Evaluation Plan'!E40)</x:f>
        <x:v>36</x:v>
      </x:c>
      <x:c r="F40" s="24" t="str">
        <x:f>'Evaluation Plan'!F40</x:f>
        <x:v>284</x:v>
      </x:c>
      <x:c r="G40" s="24" t="str">
        <x:f>'Evaluation Plan'!G40</x:f>
        <x:v>red block → 2–8 cm edge gap to the left of green pen; centroid direction within ±45°.</x:v>
      </x:c>
      <x:c r="H40" s="25"/>
      <x:c r="I40" s="24" t="str">
        <x:f>'Evaluation Plan'!I40</x:f>
        <x:v>Concept/compositional transfer</x:v>
      </x:c>
      <x:c r="J40" s="24" t="str">
        <x:f>'Evaluation Plan'!J40</x:f>
        <x:v>RP-CT-CF05</x:v>
      </x:c>
      <x:c r="K40" s="24" t="str">
        <x:f>'Evaluation Plan'!K40</x:f>
        <x:v>left</x:v>
      </x:c>
      <x:c r="L40" s="24" t="str">
        <x:f>'Evaluation Plan'!L40</x:f>
        <x:v>Four-way held-out counterfactual: relation polarity × target/reference role</x:v>
      </x:c>
      <x:c r="M40" s="24" t="str">
        <x:f>'Evaluation Plan'!M40</x:f>
        <x:v>red block</x:v>
      </x:c>
      <x:c r="N40" s="24" t="str">
        <x:f>'Evaluation Plan'!N40</x:f>
        <x:v>green pen</x:v>
      </x:c>
      <x:c r="O40" s="24" t="str">
        <x:f>'Evaluation Plan'!O40</x:f>
        <x:v>None</x:v>
      </x:c>
      <x:c r="P40" s="24" t="n">
        <x:f>'Evaluation Plan'!P40</x:f>
        <x:v>3</x:v>
      </x:c>
      <x:c r="Q40" s="24" t="str">
        <x:f>'Evaluation Plan'!Q40</x:f>
        <x:v>Reset both core objects to their marked poses; preserve distractors, camera, and robot start; change only the instruction.</x:v>
      </x:c>
      <x:c r="R40" s="25" t="str">
        <x:f>'Evaluation Plan'!R40</x:f>
        <x:v>The directional word × ordered green-pen/red-block role is held out. Source episode 284 supplies the same target manipulation under a trained near/next-to/beside prompt. The orthogonal start prevents an inverse-start shortcut.</x:v>
      </x:c>
      <x:c r="S40" s="25" t="str">
        <x:f>IF(ISBLANK('Evaluation Plan'!S40),"",'Evaluation Plan'!S40)</x:f>
      </x:c>
    </x:row>
    <x:row r="41" ht="72" customHeight="1">
      <x:c r="A41" s="24" t="str">
        <x:v>Not collected</x:v>
      </x:c>
      <x:c r="B41" s="24" t="n">
        <x:f>'Evaluation Plan'!B41</x:f>
        <x:v>39</x:v>
      </x:c>
      <x:c r="C41" s="25" t="str">
        <x:f>'Evaluation Plan'!C41</x:f>
        <x:v>Place the red block to the right of the green pen.</x:v>
      </x:c>
      <x:c r="D41" s="25" t="str">
        <x:f>'Evaluation Plan'!D41</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1" s="24" t="n">
        <x:f>IF(ISBLANK('Evaluation Plan'!E41),"",'Evaluation Plan'!E41)</x:f>
        <x:v>36</x:v>
      </x:c>
      <x:c r="F41" s="24" t="str">
        <x:f>'Evaluation Plan'!F41</x:f>
        <x:v>297</x:v>
      </x:c>
      <x:c r="G41" s="24" t="str">
        <x:f>'Evaluation Plan'!G41</x:f>
        <x:v>red block → 2–8 cm edge gap to the right of green pen; centroid direction within ±45°.</x:v>
      </x:c>
      <x:c r="H41" s="25"/>
      <x:c r="I41" s="24" t="str">
        <x:f>'Evaluation Plan'!I41</x:f>
        <x:v>Concept/compositional transfer</x:v>
      </x:c>
      <x:c r="J41" s="24" t="str">
        <x:f>'Evaluation Plan'!J41</x:f>
        <x:v>RP-CT-CF05</x:v>
      </x:c>
      <x:c r="K41" s="24" t="str">
        <x:f>'Evaluation Plan'!K41</x:f>
        <x:v>right</x:v>
      </x:c>
      <x:c r="L41" s="24" t="str">
        <x:f>'Evaluation Plan'!L41</x:f>
        <x:v>Four-way held-out counterfactual: relation polarity × target/reference role</x:v>
      </x:c>
      <x:c r="M41" s="24" t="str">
        <x:f>'Evaluation Plan'!M41</x:f>
        <x:v>red block</x:v>
      </x:c>
      <x:c r="N41" s="24" t="str">
        <x:f>'Evaluation Plan'!N41</x:f>
        <x:v>green pen</x:v>
      </x:c>
      <x:c r="O41" s="24" t="str">
        <x:f>'Evaluation Plan'!O41</x:f>
        <x:v>None</x:v>
      </x:c>
      <x:c r="P41" s="24" t="n">
        <x:f>'Evaluation Plan'!P41</x:f>
        <x:v>3</x:v>
      </x:c>
      <x:c r="Q41" s="24" t="str">
        <x:f>'Evaluation Plan'!Q41</x:f>
        <x:v>Reset both core objects to their marked poses; preserve distractors, camera, and robot start; change only the instruction.</x:v>
      </x:c>
      <x:c r="R41" s="25" t="str">
        <x:f>'Evaluation Plan'!R41</x:f>
        <x:v>The directional word × ordered green-pen/red-block role is held out. Source episode 297 supplies the same target manipulation under a trained near/next-to/beside prompt. The orthogonal start prevents an inverse-start shortcut.</x:v>
      </x:c>
      <x:c r="S41" s="25" t="str">
        <x:f>IF(ISBLANK('Evaluation Plan'!S41),"",'Evaluation Plan'!S41)</x:f>
      </x:c>
    </x:row>
    <x:row r="42" ht="72" customHeight="1">
      <x:c r="A42" s="9" t="str">
        <x:v>Not collected</x:v>
      </x:c>
      <x:c r="B42" s="9" t="n">
        <x:f>'Evaluation Plan'!B42</x:f>
        <x:v>40</x:v>
      </x:c>
      <x:c r="C42" s="10" t="str">
        <x:f>'Evaluation Plan'!C42</x:f>
        <x:v>Place the green pen to the left of the red block.</x:v>
      </x:c>
      <x:c r="D42" s="10" t="str">
        <x:f>'Evaluation Plan'!D42</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2" s="9" t="str">
        <x:f>IF(ISBLANK('Evaluation Plan'!E42),"",'Evaluation Plan'!E42)</x:f>
      </x:c>
      <x:c r="F42" s="9" t="str">
        <x:f>'Evaluation Plan'!F42</x:f>
        <x:v>227</x:v>
      </x:c>
      <x:c r="G42" s="9" t="str">
        <x:f>'Evaluation Plan'!G42</x:f>
        <x:v>green pen → 2–8 cm edge gap to the left of red block; centroid direction within ±45°.</x:v>
      </x:c>
      <x:c r="H42" s="10"/>
      <x:c r="I42" s="9" t="str">
        <x:f>'Evaluation Plan'!I42</x:f>
        <x:v>Concept/compositional transfer</x:v>
      </x:c>
      <x:c r="J42" s="9" t="str">
        <x:f>'Evaluation Plan'!J42</x:f>
        <x:v>RP-CT-CF06</x:v>
      </x:c>
      <x:c r="K42" s="9" t="str">
        <x:f>'Evaluation Plan'!K42</x:f>
        <x:v>left</x:v>
      </x:c>
      <x:c r="L42" s="9" t="str">
        <x:f>'Evaluation Plan'!L42</x:f>
        <x:v>Four-way held-out counterfactual: relation polarity × target/reference role</x:v>
      </x:c>
      <x:c r="M42" s="9" t="str">
        <x:f>'Evaluation Plan'!M42</x:f>
        <x:v>green pen</x:v>
      </x:c>
      <x:c r="N42" s="9" t="str">
        <x:f>'Evaluation Plan'!N42</x:f>
        <x:v>red block</x:v>
      </x:c>
      <x:c r="O42" s="9" t="str">
        <x:f>'Evaluation Plan'!O42</x:f>
        <x:v>None</x:v>
      </x:c>
      <x:c r="P42" s="9" t="n">
        <x:f>'Evaluation Plan'!P42</x:f>
        <x:v>4</x:v>
      </x:c>
      <x:c r="Q42" s="9" t="str">
        <x:f>'Evaluation Plan'!Q42</x:f>
        <x:v>Build the listed neutral-axis scene and save the first frame.</x:v>
      </x:c>
      <x:c r="R42" s="10" t="str">
        <x:f>'Evaluation Plan'!R42</x:f>
        <x:v>The directional word × ordered green-pen/red-block role is held out. Source episode 227 supplies the same target manipulation under a trained near/next-to/beside prompt. The orthogonal start prevents an inverse-start shortcut.</x:v>
      </x:c>
      <x:c r="S42" s="10" t="str">
        <x:f>IF(ISBLANK('Evaluation Plan'!S42),"",'Evaluation Plan'!S42)</x:f>
      </x:c>
    </x:row>
    <x:row r="43" ht="72" customHeight="1">
      <x:c r="A43" s="24" t="str">
        <x:v>Not collected</x:v>
      </x:c>
      <x:c r="B43" s="24" t="n">
        <x:f>'Evaluation Plan'!B43</x:f>
        <x:v>41</x:v>
      </x:c>
      <x:c r="C43" s="25" t="str">
        <x:f>'Evaluation Plan'!C43</x:f>
        <x:v>Place the green pen to the right of the red block.</x:v>
      </x:c>
      <x:c r="D43" s="25" t="str">
        <x:f>'Evaluation Plan'!D43</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3" s="24" t="n">
        <x:f>IF(ISBLANK('Evaluation Plan'!E43),"",'Evaluation Plan'!E43)</x:f>
        <x:v>40</x:v>
      </x:c>
      <x:c r="F43" s="24" t="str">
        <x:f>'Evaluation Plan'!F43</x:f>
        <x:v>241</x:v>
      </x:c>
      <x:c r="G43" s="24" t="str">
        <x:f>'Evaluation Plan'!G43</x:f>
        <x:v>green pen → 2–8 cm edge gap to the right of red block; centroid direction within ±45°.</x:v>
      </x:c>
      <x:c r="H43" s="25"/>
      <x:c r="I43" s="24" t="str">
        <x:f>'Evaluation Plan'!I43</x:f>
        <x:v>Concept/compositional transfer</x:v>
      </x:c>
      <x:c r="J43" s="24" t="str">
        <x:f>'Evaluation Plan'!J43</x:f>
        <x:v>RP-CT-CF06</x:v>
      </x:c>
      <x:c r="K43" s="24" t="str">
        <x:f>'Evaluation Plan'!K43</x:f>
        <x:v>right</x:v>
      </x:c>
      <x:c r="L43" s="24" t="str">
        <x:f>'Evaluation Plan'!L43</x:f>
        <x:v>Four-way held-out counterfactual: relation polarity × target/reference role</x:v>
      </x:c>
      <x:c r="M43" s="24" t="str">
        <x:f>'Evaluation Plan'!M43</x:f>
        <x:v>green pen</x:v>
      </x:c>
      <x:c r="N43" s="24" t="str">
        <x:f>'Evaluation Plan'!N43</x:f>
        <x:v>red block</x:v>
      </x:c>
      <x:c r="O43" s="24" t="str">
        <x:f>'Evaluation Plan'!O43</x:f>
        <x:v>None</x:v>
      </x:c>
      <x:c r="P43" s="24" t="n">
        <x:f>'Evaluation Plan'!P43</x:f>
        <x:v>4</x:v>
      </x:c>
      <x:c r="Q43" s="24" t="str">
        <x:f>'Evaluation Plan'!Q43</x:f>
        <x:v>Reset both core objects to their marked poses; preserve distractors, camera, and robot start; change only the instruction.</x:v>
      </x:c>
      <x:c r="R43" s="25" t="str">
        <x:f>'Evaluation Plan'!R43</x:f>
        <x:v>The directional word × ordered green-pen/red-block role is held out. Source episode 241 supplies the same target manipulation under a trained near/next-to/beside prompt. The orthogonal start prevents an inverse-start shortcut.</x:v>
      </x:c>
      <x:c r="S43" s="25" t="str">
        <x:f>IF(ISBLANK('Evaluation Plan'!S43),"",'Evaluation Plan'!S43)</x:f>
      </x:c>
    </x:row>
    <x:row r="44" ht="72" customHeight="1">
      <x:c r="A44" s="24" t="str">
        <x:v>Not collected</x:v>
      </x:c>
      <x:c r="B44" s="24" t="n">
        <x:f>'Evaluation Plan'!B44</x:f>
        <x:v>42</x:v>
      </x:c>
      <x:c r="C44" s="25" t="str">
        <x:f>'Evaluation Plan'!C44</x:f>
        <x:v>Place the red block to the left of the green pen.</x:v>
      </x:c>
      <x:c r="D44" s="25" t="str">
        <x:f>'Evaluation Plan'!D44</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Concept/compositional transfer</x:v>
      </x:c>
      <x:c r="J44" s="24" t="str">
        <x:f>'Evaluation Plan'!J44</x:f>
        <x:v>RP-CT-CF06</x:v>
      </x:c>
      <x:c r="K44" s="24" t="str">
        <x:f>'Evaluation Plan'!K44</x:f>
        <x:v>left</x:v>
      </x:c>
      <x:c r="L44" s="24" t="str">
        <x:f>'Evaluation Plan'!L44</x:f>
        <x:v>Four-way held-out counterfactual: relation polarity × target/reference role</x:v>
      </x:c>
      <x:c r="M44" s="24" t="str">
        <x:f>'Evaluation Plan'!M44</x:f>
        <x:v>red block</x:v>
      </x:c>
      <x:c r="N44" s="24" t="str">
        <x:f>'Evaluation Plan'!N44</x:f>
        <x:v>green pen</x:v>
      </x:c>
      <x:c r="O44" s="24" t="str">
        <x:f>'Evaluation Plan'!O44</x:f>
        <x:v>None</x:v>
      </x:c>
      <x:c r="P44" s="24" t="n">
        <x:f>'Evaluation Plan'!P44</x:f>
        <x:v>4</x:v>
      </x:c>
      <x:c r="Q44" s="24" t="str">
        <x:f>'Evaluation Plan'!Q44</x:f>
        <x:v>Reset both core objects to their marked poses; preserve distractors, camera, and robot start; change only the instruction.</x:v>
      </x:c>
      <x:c r="R44" s="25" t="str">
        <x:f>'Evaluation Plan'!R44</x:f>
        <x:v>The directional word × ordered green-pen/red-block role is held out. Source episode 285 supplies the same target manipulation under a trained near/next-to/beside prompt. The orthogonal start prevents an inverse-start shortcut.</x:v>
      </x:c>
      <x:c r="S44" s="25" t="str">
        <x:f>IF(ISBLANK('Evaluation Plan'!S44),"",'Evaluation Plan'!S44)</x:f>
      </x:c>
    </x:row>
    <x:row r="45" ht="72" customHeight="1">
      <x:c r="A45" s="24" t="str">
        <x:v>Not collected</x:v>
      </x:c>
      <x:c r="B45" s="24" t="n">
        <x:f>'Evaluation Plan'!B45</x:f>
        <x:v>43</x:v>
      </x:c>
      <x:c r="C45" s="25" t="str">
        <x:f>'Evaluation Plan'!C45</x:f>
        <x:v>Place the red block to the right of the green pen.</x:v>
      </x:c>
      <x:c r="D45" s="25" t="str">
        <x:f>'Evaluation Plan'!D45</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5" s="24" t="n">
        <x:f>IF(ISBLANK('Evaluation Plan'!E45),"",'Evaluation Plan'!E45)</x:f>
        <x:v>40</x:v>
      </x:c>
      <x:c r="F45" s="24" t="str">
        <x:f>'Evaluation Plan'!F45</x:f>
        <x:v>298</x:v>
      </x:c>
      <x:c r="G45" s="24" t="str">
        <x:f>'Evaluation Plan'!G45</x:f>
        <x:v>red block → 2–8 cm edge gap to the right of green pen; centroid direction within ±45°.</x:v>
      </x:c>
      <x:c r="H45" s="25"/>
      <x:c r="I45" s="24" t="str">
        <x:f>'Evaluation Plan'!I45</x:f>
        <x:v>Concept/compositional transfer</x:v>
      </x:c>
      <x:c r="J45" s="24" t="str">
        <x:f>'Evaluation Plan'!J45</x:f>
        <x:v>RP-CT-CF06</x:v>
      </x:c>
      <x:c r="K45" s="24" t="str">
        <x:f>'Evaluation Plan'!K45</x:f>
        <x:v>right</x:v>
      </x:c>
      <x:c r="L45" s="24" t="str">
        <x:f>'Evaluation Plan'!L45</x:f>
        <x:v>Four-way held-out counterfactual: relation polarity × target/reference role</x:v>
      </x:c>
      <x:c r="M45" s="24" t="str">
        <x:f>'Evaluation Plan'!M45</x:f>
        <x:v>red block</x:v>
      </x:c>
      <x:c r="N45" s="24" t="str">
        <x:f>'Evaluation Plan'!N45</x:f>
        <x:v>green pen</x:v>
      </x:c>
      <x:c r="O45" s="24" t="str">
        <x:f>'Evaluation Plan'!O45</x:f>
        <x:v>None</x:v>
      </x:c>
      <x:c r="P45" s="24" t="n">
        <x:f>'Evaluation Plan'!P45</x:f>
        <x:v>4</x:v>
      </x:c>
      <x:c r="Q45" s="24" t="str">
        <x:f>'Evaluation Plan'!Q45</x:f>
        <x:v>Reset both core objects to their marked poses; preserve distractors, camera, and robot start; change only the instruction.</x:v>
      </x:c>
      <x:c r="R45" s="25" t="str">
        <x:f>'Evaluation Plan'!R45</x:f>
        <x:v>The directional word × ordered green-pen/red-block role is held out. Source episode 298 supplies the same target manipulation under a trained near/next-to/beside prompt. The orthogonal start prevents an inverse-start shortcut.</x:v>
      </x:c>
      <x:c r="S45" s="25" t="str">
        <x:f>IF(ISBLANK('Evaluation Plan'!S45),"",'Evaluation Plan'!S45)</x:f>
      </x:c>
    </x:row>
    <x:row r="46" ht="72" customHeight="1">
      <x:c r="A46" s="9" t="str">
        <x:v>Not collected</x:v>
      </x:c>
      <x:c r="B46" s="9" t="n">
        <x:f>'Evaluation Plan'!B46</x:f>
        <x:v>44</x:v>
      </x:c>
      <x:c r="C46" s="10" t="str">
        <x:f>'Evaluation Plan'!C46</x:f>
        <x:v>Place the green pen in front of the red block.</x:v>
      </x:c>
      <x:c r="D46" s="10" t="str">
        <x:f>'Evaluation Plan'!D46</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6" s="9" t="str">
        <x:f>IF(ISBLANK('Evaluation Plan'!E46),"",'Evaluation Plan'!E46)</x:f>
      </x:c>
      <x:c r="F46" s="9" t="str">
        <x:f>'Evaluation Plan'!F46</x:f>
        <x:v>201</x:v>
      </x:c>
      <x:c r="G46" s="9" t="str">
        <x:f>'Evaluation Plan'!G46</x:f>
        <x:v>green pen → 2–8 cm edge gap in front of red block; centroid direction within ±45°.</x:v>
      </x:c>
      <x:c r="H46" s="10"/>
      <x:c r="I46" s="9" t="str">
        <x:f>'Evaluation Plan'!I46</x:f>
        <x:v>Concept/compositional transfer</x:v>
      </x:c>
      <x:c r="J46" s="9" t="str">
        <x:f>'Evaluation Plan'!J46</x:f>
        <x:v>RP-CT-N01</x:v>
      </x:c>
      <x:c r="K46" s="9" t="str">
        <x:f>'Evaluation Plan'!K46</x:f>
        <x:v>front</x:v>
      </x:c>
      <x:c r="L46" s="9" t="str">
        <x:f>'Evaluation Plan'!L46</x:f>
        <x:v>Neutral-axis independent compositional-transfer scene</x:v>
      </x:c>
      <x:c r="M46" s="9" t="str">
        <x:f>'Evaluation Plan'!M46</x:f>
        <x:v>green pen</x:v>
      </x:c>
      <x:c r="N46" s="9" t="str">
        <x:f>'Evaluation Plan'!N46</x:f>
        <x:v>red block</x:v>
      </x:c>
      <x:c r="O46" s="9" t="str">
        <x:f>'Evaluation Plan'!O46</x:f>
        <x:v>None</x:v>
      </x:c>
      <x:c r="P46" s="9" t="n">
        <x:f>'Evaluation Plan'!P46</x:f>
        <x:v>3</x:v>
      </x:c>
      <x:c r="Q46" s="9" t="str">
        <x:f>'Evaluation Plan'!Q46</x:f>
        <x:v>Build the listed neutral-axis scene and save the first frame.</x:v>
      </x:c>
      <x:c r="R46" s="10" t="str">
        <x:f>'Evaluation Plan'!R46</x:f>
        <x:v>Independent held-out-composition scene. Source episode 201 supplies target recognition/manipulation under the trained prompt “Place the green pen next to the red block.”. The orthogonal start removes the opposite-side shortcut.</x:v>
      </x:c>
      <x:c r="S46" s="10" t="str">
        <x:f>IF(ISBLANK('Evaluation Plan'!S46),"",'Evaluation Plan'!S46)</x:f>
      </x:c>
    </x:row>
    <x:row r="47" ht="72" customHeight="1">
      <x:c r="A47" s="24" t="str">
        <x:v>Not collected</x:v>
      </x:c>
      <x:c r="B47" s="24" t="n">
        <x:f>'Evaluation Plan'!B47</x:f>
        <x:v>45</x:v>
      </x:c>
      <x:c r="C47" s="25" t="str">
        <x:f>'Evaluation Plan'!C47</x:f>
        <x:v>Place the green pen next to the red block.</x:v>
      </x:c>
      <x:c r="D47" s="25" t="str">
        <x:f>'Evaluation Plan'!D47</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7" s="24" t="n">
        <x:f>IF(ISBLANK('Evaluation Plan'!E47),"",'Evaluation Plan'!E47)</x:f>
        <x:v>44</x:v>
      </x:c>
      <x:c r="F47" s="24" t="str">
        <x:f>'Evaluation Plan'!F47</x:f>
        <x:v>201</x:v>
      </x:c>
      <x:c r="G47" s="24" t="str">
        <x:f>'Evaluation Plan'!G47</x:f>
        <x:v>green pen → 2–8 cm edge gap near red block; no directional sector required.</x:v>
      </x:c>
      <x:c r="H47" s="25"/>
      <x:c r="I47" s="24" t="str">
        <x:f>'Evaluation Plan'!I47</x:f>
        <x:v>Matched manipulation control</x:v>
      </x:c>
      <x:c r="J47" s="24" t="str">
        <x:f>'Evaluation Plan'!J47</x:f>
        <x:v>RP-CT-N01</x:v>
      </x:c>
      <x:c r="K47" s="24" t="str">
        <x:f>'Evaluation Plan'!K47</x:f>
        <x:v>front</x:v>
      </x:c>
      <x:c r="L47" s="24" t="str">
        <x:f>'Evaluation Plan'!L47</x:f>
        <x:v>Exact-scene masked manipulation control</x:v>
      </x:c>
      <x:c r="M47" s="24" t="str">
        <x:f>'Evaluation Plan'!M47</x:f>
        <x:v>green pen</x:v>
      </x:c>
      <x:c r="N47" s="24" t="str">
        <x:f>'Evaluation Plan'!N47</x:f>
        <x:v>red block</x:v>
      </x:c>
      <x:c r="O47" s="24" t="str">
        <x:f>'Evaluation Plan'!O47</x:f>
        <x:v>None</x:v>
      </x:c>
      <x:c r="P47" s="24" t="n">
        <x:f>'Evaluation Plan'!P47</x:f>
        <x:v>3</x:v>
      </x:c>
      <x:c r="Q47" s="24" t="str">
        <x:f>'Evaluation Plan'!Q47</x:f>
        <x:v>Reset P1 to its marked pose; preserve the exact scene and use the trained control instruction.</x:v>
      </x:c>
      <x:c r="R47" s="25" t="str">
        <x:f>'Evaluation Plan'!R47</x:f>
        <x:v>Exact-scene control using the final training prompt from episode 201. The target, reference, distractors, camera, and robot start match the paired transfer row.</x:v>
      </x:c>
      <x:c r="S47" s="25" t="str">
        <x:f>IF(ISBLANK('Evaluation Plan'!S47),"",'Evaluation Plan'!S47)</x:f>
      </x:c>
    </x:row>
    <x:row r="48" ht="72" customHeight="1">
      <x:c r="A48" s="24" t="str">
        <x:v>Not collected</x:v>
      </x:c>
      <x:c r="B48" s="24" t="n">
        <x:f>'Evaluation Plan'!B48</x:f>
        <x:v>46</x:v>
      </x:c>
      <x:c r="C48" s="25" t="str">
        <x:f>'Evaluation Plan'!C48</x:f>
        <x:v>Position the green pen on the robot-facing side of the red block.</x:v>
      </x:c>
      <x:c r="D48" s="25" t="str">
        <x:f>'Evaluation Plan'!D48</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8" s="24" t="n">
        <x:f>IF(ISBLANK('Evaluation Plan'!E48),"",'Evaluation Plan'!E48)</x:f>
        <x:v>44</x:v>
      </x:c>
      <x:c r="F48" s="24" t="str">
        <x:f>'Evaluation Plan'!F48</x:f>
        <x:v>201</x:v>
      </x:c>
      <x:c r="G48" s="24" t="str">
        <x:f>'Evaluation Plan'!G48</x:f>
        <x:v>green pen → 2–8 cm edge gap in front of red block; centroid direction within ±45°.</x:v>
      </x:c>
      <x:c r="H48" s="25"/>
      <x:c r="I48" s="24" t="str">
        <x:f>'Evaluation Plan'!I48</x:f>
        <x:v>Language robustness</x:v>
      </x:c>
      <x:c r="J48" s="24" t="str">
        <x:f>'Evaluation Plan'!J48</x:f>
        <x:v>RP-CT-N01</x:v>
      </x:c>
      <x:c r="K48" s="24" t="str">
        <x:f>'Evaluation Plan'!K48</x:f>
        <x:v>front</x:v>
      </x:c>
      <x:c r="L48" s="24" t="str">
        <x:f>'Evaluation Plan'!L48</x:f>
        <x:v>Transfer paraphrase of concept/compositional transfer</x:v>
      </x:c>
      <x:c r="M48" s="24" t="str">
        <x:f>'Evaluation Plan'!M48</x:f>
        <x:v>green pen</x:v>
      </x:c>
      <x:c r="N48" s="24" t="str">
        <x:f>'Evaluation Plan'!N48</x:f>
        <x:v>red block</x:v>
      </x:c>
      <x:c r="O48" s="24" t="str">
        <x:f>'Evaluation Plan'!O48</x:f>
        <x:v>None</x:v>
      </x:c>
      <x:c r="P48" s="24" t="n">
        <x:f>'Evaluation Plan'!P48</x:f>
        <x:v>3</x:v>
      </x:c>
      <x:c r="Q48" s="24" t="str">
        <x:f>'Evaluation Plan'!Q48</x:f>
        <x:v>Reset P1 to its marked pose; preserve the exact scene and change only the wording of the transfer instruction.</x:v>
      </x:c>
      <x:c r="R48" s="25" t="str">
        <x:f>'Evaluation Plan'!R48</x:f>
        <x:v>Exact-scene paraphrase of the canonical compositional-transfer instruction.</x:v>
      </x:c>
      <x:c r="S48" s="25" t="str">
        <x:f>IF(ISBLANK('Evaluation Plan'!S48),"",'Evaluation Plan'!S48)</x:f>
      </x:c>
    </x:row>
    <x:row r="49" ht="72" customHeight="1">
      <x:c r="A49" s="24" t="str">
        <x:v>Not collected</x:v>
      </x:c>
      <x:c r="B49" s="24" t="n">
        <x:f>'Evaluation Plan'!B49</x:f>
        <x:v>47</x:v>
      </x:c>
      <x:c r="C49" s="25" t="str">
        <x:f>'Evaluation Plan'!C49</x:f>
        <x:v>Set the green pen down close to the red block.</x:v>
      </x:c>
      <x:c r="D49" s="25" t="str">
        <x:f>'Evaluation Plan'!D49</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9" s="24" t="n">
        <x:f>IF(ISBLANK('Evaluation Plan'!E49),"",'Evaluation Plan'!E49)</x:f>
        <x:v>45</x:v>
      </x:c>
      <x:c r="F49" s="24" t="str">
        <x:f>'Evaluation Plan'!F49</x:f>
        <x:v>201</x:v>
      </x:c>
      <x:c r="G49" s="24" t="str">
        <x:f>'Evaluation Plan'!G49</x:f>
        <x:v>green pen → 2–8 cm edge gap near red block; no directional sector required.</x:v>
      </x:c>
      <x:c r="H49" s="25"/>
      <x:c r="I49" s="24" t="str">
        <x:f>'Evaluation Plan'!I49</x:f>
        <x:v>Language robustness</x:v>
      </x:c>
      <x:c r="J49" s="24" t="str">
        <x:f>'Evaluation Plan'!J49</x:f>
        <x:v>RP-CT-N01</x:v>
      </x:c>
      <x:c r="K49" s="24" t="str">
        <x:f>'Evaluation Plan'!K49</x:f>
        <x:v>front</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3</x:v>
      </x:c>
      <x:c r="Q49" s="24" t="str">
        <x:f>'Evaluation Plan'!Q49</x:f>
        <x:v>Reset P1 to its marked pose; preserve the exact scene and change only the wording of the matched-control instruction.</x:v>
      </x:c>
      <x:c r="R49" s="25" t="str">
        <x:f>'Evaluation Plan'!R49</x:f>
        <x:v>Exact-scene paraphrase of the training-supported control from episode 201.</x:v>
      </x:c>
      <x:c r="S49" s="25" t="str">
        <x:f>IF(ISBLANK('Evaluation Plan'!S49),"",'Evaluation Plan'!S49)</x:f>
      </x:c>
    </x:row>
    <x:row r="50" ht="72" customHeight="1">
      <x:c r="A50" s="9" t="str">
        <x:v>Not collected</x:v>
      </x:c>
      <x:c r="B50" s="9" t="n">
        <x:f>'Evaluation Plan'!B50</x:f>
        <x:v>48</x:v>
      </x:c>
      <x:c r="C50" s="10" t="str">
        <x:f>'Evaluation Plan'!C50</x:f>
        <x:v>Place the green pen in front of the red block.</x:v>
      </x:c>
      <x:c r="D50" s="10" t="str">
        <x:f>'Evaluation Plan'!D50</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0" s="9" t="str">
        <x:f>IF(ISBLANK('Evaluation Plan'!E50),"",'Evaluation Plan'!E50)</x:f>
      </x:c>
      <x:c r="F50" s="9" t="str">
        <x:f>'Evaluation Plan'!F50</x:f>
        <x:v>202</x:v>
      </x:c>
      <x:c r="G50" s="9" t="str">
        <x:f>'Evaluation Plan'!G50</x:f>
        <x:v>green pen → 2–8 cm edge gap in front of red block; centroid direction within ±45°.</x:v>
      </x:c>
      <x:c r="H50" s="10"/>
      <x:c r="I50" s="9" t="str">
        <x:f>'Evaluation Plan'!I50</x:f>
        <x:v>Concept/compositional transfer</x:v>
      </x:c>
      <x:c r="J50" s="9" t="str">
        <x:f>'Evaluation Plan'!J50</x:f>
        <x:v>RP-CT-N02</x:v>
      </x:c>
      <x:c r="K50" s="9" t="str">
        <x:f>'Evaluation Plan'!K50</x:f>
        <x:v>front</x:v>
      </x:c>
      <x:c r="L50" s="9" t="str">
        <x:f>'Evaluation Plan'!L50</x:f>
        <x:v>Neutral-axis independent compositional-transfer scene</x:v>
      </x:c>
      <x:c r="M50" s="9" t="str">
        <x:f>'Evaluation Plan'!M50</x:f>
        <x:v>green pen</x:v>
      </x:c>
      <x:c r="N50" s="9" t="str">
        <x:f>'Evaluation Plan'!N50</x:f>
        <x:v>red block</x:v>
      </x:c>
      <x:c r="O50" s="9" t="str">
        <x:f>'Evaluation Plan'!O50</x:f>
        <x:v>None</x:v>
      </x:c>
      <x:c r="P50" s="9" t="n">
        <x:f>'Evaluation Plan'!P50</x:f>
        <x:v>4</x:v>
      </x:c>
      <x:c r="Q50" s="9" t="str">
        <x:f>'Evaluation Plan'!Q50</x:f>
        <x:v>Build the listed neutral-axis scene and save the first frame.</x:v>
      </x:c>
      <x:c r="R50" s="10" t="str">
        <x:f>'Evaluation Plan'!R50</x:f>
        <x:v>Independent held-out-composition scene. Source episode 202 supplies target recognition/manipulation under the trained prompt “Put the green pen beside the red block.”. The orthogonal start removes the opposite-side shortcut.</x:v>
      </x:c>
      <x:c r="S50" s="10" t="str">
        <x:f>IF(ISBLANK('Evaluation Plan'!S50),"",'Evaluation Plan'!S50)</x:f>
      </x:c>
    </x:row>
    <x:row r="51" ht="72" customHeight="1">
      <x:c r="A51" s="24" t="str">
        <x:v>Not collected</x:v>
      </x:c>
      <x:c r="B51" s="24" t="n">
        <x:f>'Evaluation Plan'!B51</x:f>
        <x:v>49</x:v>
      </x:c>
      <x:c r="C51" s="25" t="str">
        <x:f>'Evaluation Plan'!C51</x:f>
        <x:v>Put the green pen beside the red block.</x:v>
      </x:c>
      <x:c r="D51" s="25" t="str">
        <x:f>'Evaluation Plan'!D51</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1" s="24" t="n">
        <x:f>IF(ISBLANK('Evaluation Plan'!E51),"",'Evaluation Plan'!E51)</x:f>
        <x:v>48</x:v>
      </x:c>
      <x:c r="F51" s="24" t="str">
        <x:f>'Evaluation Plan'!F51</x:f>
        <x:v>202</x:v>
      </x:c>
      <x:c r="G51" s="24" t="str">
        <x:f>'Evaluation Plan'!G51</x:f>
        <x:v>green pen → 2–8 cm edge gap near red block; no directional sector required.</x:v>
      </x:c>
      <x:c r="H51" s="25"/>
      <x:c r="I51" s="24" t="str">
        <x:f>'Evaluation Plan'!I51</x:f>
        <x:v>Matched manipulation control</x:v>
      </x:c>
      <x:c r="J51" s="24" t="str">
        <x:f>'Evaluation Plan'!J51</x:f>
        <x:v>RP-CT-N02</x:v>
      </x:c>
      <x:c r="K51" s="24" t="str">
        <x:f>'Evaluation Plan'!K51</x:f>
        <x:v>front</x:v>
      </x:c>
      <x:c r="L51" s="24" t="str">
        <x:f>'Evaluation Plan'!L51</x:f>
        <x:v>Exact-scene masked manipulation control</x:v>
      </x:c>
      <x:c r="M51" s="24" t="str">
        <x:f>'Evaluation Plan'!M51</x:f>
        <x:v>green pen</x:v>
      </x:c>
      <x:c r="N51" s="24" t="str">
        <x:f>'Evaluation Plan'!N51</x:f>
        <x:v>red block</x:v>
      </x:c>
      <x:c r="O51" s="24" t="str">
        <x:f>'Evaluation Plan'!O51</x:f>
        <x:v>None</x:v>
      </x:c>
      <x:c r="P51" s="24" t="n">
        <x:f>'Evaluation Plan'!P51</x:f>
        <x:v>4</x:v>
      </x:c>
      <x:c r="Q51" s="24" t="str">
        <x:f>'Evaluation Plan'!Q51</x:f>
        <x:v>Reset P1 to its marked pose; preserve the exact scene and use the trained control instruction.</x:v>
      </x:c>
      <x:c r="R51" s="25" t="str">
        <x:f>'Evaluation Plan'!R51</x:f>
        <x:v>Exact-scene control using the final training prompt from episode 202. The target, reference, distractors, camera, and robot start match the paired transfer row.</x:v>
      </x:c>
      <x:c r="S51" s="25" t="str">
        <x:f>IF(ISBLANK('Evaluation Plan'!S51),"",'Evaluation Plan'!S51)</x:f>
      </x:c>
    </x:row>
    <x:row r="52" ht="72" customHeight="1">
      <x:c r="A52" s="24" t="str">
        <x:v>Not collected</x:v>
      </x:c>
      <x:c r="B52" s="24" t="n">
        <x:f>'Evaluation Plan'!B52</x:f>
        <x:v>50</x:v>
      </x:c>
      <x:c r="C52" s="25" t="str">
        <x:f>'Evaluation Plan'!C52</x:f>
        <x:v>Position the green pen on the robot-facing side of the red block.</x:v>
      </x:c>
      <x:c r="D52" s="25" t="str">
        <x:f>'Evaluation Plan'!D52</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2" s="24" t="n">
        <x:f>IF(ISBLANK('Evaluation Plan'!E52),"",'Evaluation Plan'!E52)</x:f>
        <x:v>48</x:v>
      </x:c>
      <x:c r="F52" s="24" t="str">
        <x:f>'Evaluation Plan'!F52</x:f>
        <x:v>202</x:v>
      </x:c>
      <x:c r="G52" s="24" t="str">
        <x:f>'Evaluation Plan'!G52</x:f>
        <x:v>green pen → 2–8 cm edge gap in front of red block; centroid direction within ±45°.</x:v>
      </x:c>
      <x:c r="H52" s="25"/>
      <x:c r="I52" s="24" t="str">
        <x:f>'Evaluation Plan'!I52</x:f>
        <x:v>Language robustness</x:v>
      </x:c>
      <x:c r="J52" s="24" t="str">
        <x:f>'Evaluation Plan'!J52</x:f>
        <x:v>RP-CT-N02</x:v>
      </x:c>
      <x:c r="K52" s="24" t="str">
        <x:f>'Evaluation Plan'!K52</x:f>
        <x:v>front</x:v>
      </x:c>
      <x:c r="L52" s="24" t="str">
        <x:f>'Evaluation Plan'!L52</x:f>
        <x:v>Transfer paraphrase of concept/compositional transfer</x:v>
      </x:c>
      <x:c r="M52" s="24" t="str">
        <x:f>'Evaluation Plan'!M52</x:f>
        <x:v>green pen</x:v>
      </x:c>
      <x:c r="N52" s="24" t="str">
        <x:f>'Evaluation Plan'!N52</x:f>
        <x:v>red block</x:v>
      </x:c>
      <x:c r="O52" s="24" t="str">
        <x:f>'Evaluation Plan'!O52</x:f>
        <x:v>None</x:v>
      </x:c>
      <x:c r="P52" s="24" t="n">
        <x:f>'Evaluation Plan'!P52</x:f>
        <x:v>4</x:v>
      </x:c>
      <x:c r="Q52" s="24" t="str">
        <x:f>'Evaluation Plan'!Q52</x:f>
        <x:v>Reset P1 to its marked pose; preserve the exact scene and change only the wording of the transfer instruction.</x:v>
      </x:c>
      <x:c r="R52" s="25" t="str">
        <x:f>'Evaluation Plan'!R52</x:f>
        <x:v>Exact-scene paraphrase of the canonical compositional-transfer instruction.</x:v>
      </x:c>
      <x:c r="S52" s="25" t="str">
        <x:f>IF(ISBLANK('Evaluation Plan'!S52),"",'Evaluation Plan'!S52)</x:f>
      </x:c>
    </x:row>
    <x:row r="53" ht="72" customHeight="1">
      <x:c r="A53" s="24" t="str">
        <x:v>Not collected</x:v>
      </x:c>
      <x:c r="B53" s="24" t="n">
        <x:f>'Evaluation Plan'!B53</x:f>
        <x:v>51</x:v>
      </x:c>
      <x:c r="C53" s="25" t="str">
        <x:f>'Evaluation Plan'!C53</x:f>
        <x:v>Set the green pen down close to the red block.</x:v>
      </x:c>
      <x:c r="D53" s="25" t="str">
        <x:f>'Evaluation Plan'!D53</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3" s="24" t="n">
        <x:f>IF(ISBLANK('Evaluation Plan'!E53),"",'Evaluation Plan'!E53)</x:f>
        <x:v>49</x:v>
      </x:c>
      <x:c r="F53" s="24" t="str">
        <x:f>'Evaluation Plan'!F53</x:f>
        <x:v>202</x:v>
      </x:c>
      <x:c r="G53" s="24" t="str">
        <x:f>'Evaluation Plan'!G53</x:f>
        <x:v>green pen → 2–8 cm edge gap near red block; no directional sector required.</x:v>
      </x:c>
      <x:c r="H53" s="25"/>
      <x:c r="I53" s="24" t="str">
        <x:f>'Evaluation Plan'!I53</x:f>
        <x:v>Language robustness</x:v>
      </x:c>
      <x:c r="J53" s="24" t="str">
        <x:f>'Evaluation Plan'!J53</x:f>
        <x:v>RP-CT-N02</x:v>
      </x:c>
      <x:c r="K53" s="24" t="str">
        <x:f>'Evaluation Plan'!K53</x:f>
        <x:v>front</x:v>
      </x:c>
      <x:c r="L53" s="24" t="str">
        <x:f>'Evaluation Plan'!L53</x:f>
        <x:v>Matched-control paraphrase</x:v>
      </x:c>
      <x:c r="M53" s="24" t="str">
        <x:f>'Evaluation Plan'!M53</x:f>
        <x:v>green pen</x:v>
      </x:c>
      <x:c r="N53" s="24" t="str">
        <x:f>'Evaluation Plan'!N53</x:f>
        <x:v>red block</x:v>
      </x:c>
      <x:c r="O53" s="24" t="str">
        <x:f>'Evaluation Plan'!O53</x:f>
        <x:v>None</x:v>
      </x:c>
      <x:c r="P53" s="24" t="n">
        <x:f>'Evaluation Plan'!P53</x:f>
        <x:v>4</x:v>
      </x:c>
      <x:c r="Q53" s="24" t="str">
        <x:f>'Evaluation Plan'!Q53</x:f>
        <x:v>Reset P1 to its marked pose; preserve the exact scene and change only the wording of the matched-control instruction.</x:v>
      </x:c>
      <x:c r="R53" s="25" t="str">
        <x:f>'Evaluation Plan'!R53</x:f>
        <x:v>Exact-scene paraphrase of the training-supported control from episode 202.</x:v>
      </x:c>
      <x:c r="S53" s="25" t="str">
        <x:f>IF(ISBLANK('Evaluation Plan'!S53),"",'Evaluation Plan'!S53)</x:f>
      </x:c>
    </x:row>
    <x:row r="54" ht="72" customHeight="1">
      <x:c r="A54" s="9" t="str">
        <x:v>Not collected</x:v>
      </x:c>
      <x:c r="B54" s="9" t="n">
        <x:f>'Evaluation Plan'!B54</x:f>
        <x:v>52</x:v>
      </x:c>
      <x:c r="C54" s="10" t="str">
        <x:f>'Evaluation Plan'!C54</x:f>
        <x:v>Place the red block in front of the green pen.</x:v>
      </x:c>
      <x:c r="D54" s="10" t="str">
        <x:f>'Evaluation Plan'!D54</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4" s="9" t="str">
        <x:f>IF(ISBLANK('Evaluation Plan'!E54),"",'Evaluation Plan'!E54)</x:f>
      </x:c>
      <x:c r="F54" s="9" t="str">
        <x:f>'Evaluation Plan'!F54</x:f>
        <x:v>259</x:v>
      </x:c>
      <x:c r="G54" s="9" t="str">
        <x:f>'Evaluation Plan'!G54</x:f>
        <x:v>red block → 2–8 cm edge gap in front of green pen; centroid direction within ±45°.</x:v>
      </x:c>
      <x:c r="H54" s="10"/>
      <x:c r="I54" s="9" t="str">
        <x:f>'Evaluation Plan'!I54</x:f>
        <x:v>Concept/compositional transfer</x:v>
      </x:c>
      <x:c r="J54" s="9" t="str">
        <x:f>'Evaluation Plan'!J54</x:f>
        <x:v>RP-CT-N03</x:v>
      </x:c>
      <x:c r="K54" s="9" t="str">
        <x:f>'Evaluation Plan'!K54</x:f>
        <x:v>front</x:v>
      </x:c>
      <x:c r="L54" s="9" t="str">
        <x:f>'Evaluation Plan'!L54</x:f>
        <x:v>Neutral-axis independent compositional-transfer scene</x:v>
      </x:c>
      <x:c r="M54" s="9" t="str">
        <x:f>'Evaluation Plan'!M54</x:f>
        <x:v>red block</x:v>
      </x:c>
      <x:c r="N54" s="9" t="str">
        <x:f>'Evaluation Plan'!N54</x:f>
        <x:v>green pen</x:v>
      </x:c>
      <x:c r="O54" s="9" t="str">
        <x:f>'Evaluation Plan'!O54</x:f>
        <x:v>None</x:v>
      </x:c>
      <x:c r="P54" s="9" t="n">
        <x:f>'Evaluation Plan'!P54</x:f>
        <x:v>3</x:v>
      </x:c>
      <x:c r="Q54" s="9" t="str">
        <x:f>'Evaluation Plan'!Q54</x:f>
        <x:v>Build the listed neutral-axis scene and save the first frame.</x:v>
      </x:c>
      <x:c r="R54" s="10" t="str">
        <x:f>'Evaluation Plan'!R54</x:f>
        <x:v>Independent held-out-composition scene. Source episode 259 supplies target recognition/manipulation under the trained prompt “Put the red block beside the green pen.”. The orthogonal start removes the opposite-side shortcut.</x:v>
      </x:c>
      <x:c r="S54" s="10" t="str">
        <x:f>IF(ISBLANK('Evaluation Plan'!S54),"",'Evaluation Plan'!S54)</x:f>
      </x:c>
    </x:row>
    <x:row r="55" ht="72" customHeight="1">
      <x:c r="A55" s="24" t="str">
        <x:v>Not collected</x:v>
      </x:c>
      <x:c r="B55" s="24" t="n">
        <x:f>'Evaluation Plan'!B55</x:f>
        <x:v>53</x:v>
      </x:c>
      <x:c r="C55" s="25" t="str">
        <x:f>'Evaluation Plan'!C55</x:f>
        <x:v>Put the red block beside the green pen.</x:v>
      </x:c>
      <x:c r="D55" s="25" t="str">
        <x:f>'Evaluation Plan'!D55</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5" s="24" t="n">
        <x:f>IF(ISBLANK('Evaluation Plan'!E55),"",'Evaluation Plan'!E55)</x:f>
        <x:v>52</x:v>
      </x:c>
      <x:c r="F55" s="24" t="str">
        <x:f>'Evaluation Plan'!F55</x:f>
        <x:v>259</x:v>
      </x:c>
      <x:c r="G55" s="24" t="str">
        <x:f>'Evaluation Plan'!G55</x:f>
        <x:v>red block → 2–8 cm edge gap near green pen; no directional sector required.</x:v>
      </x:c>
      <x:c r="H55" s="25"/>
      <x:c r="I55" s="24" t="str">
        <x:f>'Evaluation Plan'!I55</x:f>
        <x:v>Matched manipulation control</x:v>
      </x:c>
      <x:c r="J55" s="24" t="str">
        <x:f>'Evaluation Plan'!J55</x:f>
        <x:v>RP-CT-N03</x:v>
      </x:c>
      <x:c r="K55" s="24" t="str">
        <x:f>'Evaluation Plan'!K55</x:f>
        <x:v>front</x:v>
      </x:c>
      <x:c r="L55" s="24" t="str">
        <x:f>'Evaluation Plan'!L55</x:f>
        <x:v>Exact-scene masked manipulation control</x:v>
      </x:c>
      <x:c r="M55" s="24" t="str">
        <x:f>'Evaluation Plan'!M55</x:f>
        <x:v>red block</x:v>
      </x:c>
      <x:c r="N55" s="24" t="str">
        <x:f>'Evaluation Plan'!N55</x:f>
        <x:v>green pen</x:v>
      </x:c>
      <x:c r="O55" s="24" t="str">
        <x:f>'Evaluation Plan'!O55</x:f>
        <x:v>None</x:v>
      </x:c>
      <x:c r="P55" s="24" t="n">
        <x:f>'Evaluation Plan'!P55</x:f>
        <x:v>3</x:v>
      </x:c>
      <x:c r="Q55" s="24" t="str">
        <x:f>'Evaluation Plan'!Q55</x:f>
        <x:v>Reset P1 to its marked pose; preserve the exact scene and use the trained control instruction.</x:v>
      </x:c>
      <x:c r="R55" s="25" t="str">
        <x:f>'Evaluation Plan'!R55</x:f>
        <x:v>Exact-scene control using the final training prompt from episode 259. The target, reference, distractors, camera, and robot start match the paired transfer row.</x:v>
      </x:c>
      <x:c r="S55" s="25" t="str">
        <x:f>IF(ISBLANK('Evaluation Plan'!S55),"",'Evaluation Plan'!S55)</x:f>
      </x:c>
    </x:row>
    <x:row r="56" ht="72" customHeight="1">
      <x:c r="A56" s="24" t="str">
        <x:v>Not collected</x:v>
      </x:c>
      <x:c r="B56" s="24" t="n">
        <x:f>'Evaluation Plan'!B56</x:f>
        <x:v>54</x:v>
      </x:c>
      <x:c r="C56" s="25" t="str">
        <x:f>'Evaluation Plan'!C56</x:f>
        <x:v>Position the red block on the robot-facing side of the green pen.</x:v>
      </x:c>
      <x:c r="D56" s="25" t="str">
        <x:f>'Evaluation Plan'!D56</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6" s="24" t="n">
        <x:f>IF(ISBLANK('Evaluation Plan'!E56),"",'Evaluation Plan'!E56)</x:f>
        <x:v>52</x:v>
      </x:c>
      <x:c r="F56" s="24" t="str">
        <x:f>'Evaluation Plan'!F56</x:f>
        <x:v>259</x:v>
      </x:c>
      <x:c r="G56" s="24" t="str">
        <x:f>'Evaluation Plan'!G56</x:f>
        <x:v>red block → 2–8 cm edge gap in front of green pen; centroid direction within ±45°.</x:v>
      </x:c>
      <x:c r="H56" s="25"/>
      <x:c r="I56" s="24" t="str">
        <x:f>'Evaluation Plan'!I56</x:f>
        <x:v>Language robustness</x:v>
      </x:c>
      <x:c r="J56" s="24" t="str">
        <x:f>'Evaluation Plan'!J56</x:f>
        <x:v>RP-CT-N03</x:v>
      </x:c>
      <x:c r="K56" s="24" t="str">
        <x:f>'Evaluation Plan'!K56</x:f>
        <x:v>front</x:v>
      </x:c>
      <x:c r="L56" s="24" t="str">
        <x:f>'Evaluation Plan'!L56</x:f>
        <x:v>Transfer paraphrase of concept/compositional transfer</x:v>
      </x:c>
      <x:c r="M56" s="24" t="str">
        <x:f>'Evaluation Plan'!M56</x:f>
        <x:v>red block</x:v>
      </x:c>
      <x:c r="N56" s="24" t="str">
        <x:f>'Evaluation Plan'!N56</x:f>
        <x:v>green pen</x:v>
      </x:c>
      <x:c r="O56" s="24" t="str">
        <x:f>'Evaluation Plan'!O56</x:f>
        <x:v>None</x:v>
      </x:c>
      <x:c r="P56" s="24" t="n">
        <x:f>'Evaluation Plan'!P56</x:f>
        <x:v>3</x:v>
      </x:c>
      <x:c r="Q56" s="24" t="str">
        <x:f>'Evaluation Plan'!Q56</x:f>
        <x:v>Reset P1 to its marked pose; preserve the exact scene and change only the wording of the transfer instruction.</x:v>
      </x:c>
      <x:c r="R56" s="25" t="str">
        <x:f>'Evaluation Plan'!R56</x:f>
        <x:v>Exact-scene paraphrase of the canonical compositional-transfer instruction.</x:v>
      </x:c>
      <x:c r="S56" s="25" t="str">
        <x:f>IF(ISBLANK('Evaluation Plan'!S56),"",'Evaluation Plan'!S56)</x:f>
      </x:c>
    </x:row>
    <x:row r="57" ht="72" customHeight="1">
      <x:c r="A57" s="24" t="str">
        <x:v>Not collected</x:v>
      </x:c>
      <x:c r="B57" s="24" t="n">
        <x:f>'Evaluation Plan'!B57</x:f>
        <x:v>55</x:v>
      </x:c>
      <x:c r="C57" s="25" t="str">
        <x:f>'Evaluation Plan'!C57</x:f>
        <x:v>Set the red block down close to the green pen.</x:v>
      </x:c>
      <x:c r="D57" s="25" t="str">
        <x:f>'Evaluation Plan'!D57</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7" s="24" t="n">
        <x:f>IF(ISBLANK('Evaluation Plan'!E57),"",'Evaluation Plan'!E57)</x:f>
        <x:v>53</x:v>
      </x:c>
      <x:c r="F57" s="24" t="str">
        <x:f>'Evaluation Plan'!F57</x:f>
        <x:v>259</x:v>
      </x:c>
      <x:c r="G57" s="24" t="str">
        <x:f>'Evaluation Plan'!G57</x:f>
        <x:v>red block → 2–8 cm edge gap near green pen; no directional sector required.</x:v>
      </x:c>
      <x:c r="H57" s="25"/>
      <x:c r="I57" s="24" t="str">
        <x:f>'Evaluation Plan'!I57</x:f>
        <x:v>Language robustness</x:v>
      </x:c>
      <x:c r="J57" s="24" t="str">
        <x:f>'Evaluation Plan'!J57</x:f>
        <x:v>RP-CT-N03</x:v>
      </x:c>
      <x:c r="K57" s="24" t="str">
        <x:f>'Evaluation Plan'!K57</x:f>
        <x:v>front</x:v>
      </x:c>
      <x:c r="L57" s="24" t="str">
        <x:f>'Evaluation Plan'!L57</x:f>
        <x:v>Matched-control paraphrase</x:v>
      </x:c>
      <x:c r="M57" s="24" t="str">
        <x:f>'Evaluation Plan'!M57</x:f>
        <x:v>red block</x:v>
      </x:c>
      <x:c r="N57" s="24" t="str">
        <x:f>'Evaluation Plan'!N57</x:f>
        <x:v>green pen</x:v>
      </x:c>
      <x:c r="O57" s="24" t="str">
        <x:f>'Evaluation Plan'!O57</x:f>
        <x:v>None</x:v>
      </x:c>
      <x:c r="P57" s="24" t="n">
        <x:f>'Evaluation Plan'!P57</x:f>
        <x:v>3</x:v>
      </x:c>
      <x:c r="Q57" s="24" t="str">
        <x:f>'Evaluation Plan'!Q57</x:f>
        <x:v>Reset P1 to its marked pose; preserve the exact scene and change only the wording of the matched-control instruction.</x:v>
      </x:c>
      <x:c r="R57" s="25" t="str">
        <x:f>'Evaluation Plan'!R57</x:f>
        <x:v>Exact-scene paraphrase of the training-supported control from episode 259.</x:v>
      </x:c>
      <x:c r="S57" s="25" t="str">
        <x:f>IF(ISBLANK('Evaluation Plan'!S57),"",'Evaluation Plan'!S57)</x:f>
      </x:c>
    </x:row>
    <x:row r="58" ht="72" customHeight="1">
      <x:c r="A58" s="9" t="str">
        <x:v>Not collected</x:v>
      </x:c>
      <x:c r="B58" s="9" t="n">
        <x:f>'Evaluation Plan'!B58</x:f>
        <x:v>56</x:v>
      </x:c>
      <x:c r="C58" s="10" t="str">
        <x:f>'Evaluation Plan'!C58</x:f>
        <x:v>Place the green pen behind the red block.</x:v>
      </x:c>
      <x:c r="D58" s="10" t="str">
        <x:f>'Evaluation Plan'!D58</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8" s="9" t="str">
        <x:f>IF(ISBLANK('Evaluation Plan'!E58),"",'Evaluation Plan'!E58)</x:f>
      </x:c>
      <x:c r="F58" s="9" t="str">
        <x:f>'Evaluation Plan'!F58</x:f>
        <x:v>216</x:v>
      </x:c>
      <x:c r="G58" s="9" t="str">
        <x:f>'Evaluation Plan'!G58</x:f>
        <x:v>green pen → 2–8 cm edge gap behind red block; centroid direction within ±45°.</x:v>
      </x:c>
      <x:c r="H58" s="10"/>
      <x:c r="I58" s="9" t="str">
        <x:f>'Evaluation Plan'!I58</x:f>
        <x:v>Concept/compositional transfer</x:v>
      </x:c>
      <x:c r="J58" s="9" t="str">
        <x:f>'Evaluation Plan'!J58</x:f>
        <x:v>RP-CT-N04</x:v>
      </x:c>
      <x:c r="K58" s="9" t="str">
        <x:f>'Evaluation Plan'!K58</x:f>
        <x:v>behind</x:v>
      </x:c>
      <x:c r="L58" s="9" t="str">
        <x:f>'Evaluation Plan'!L58</x:f>
        <x:v>Neutral-axis independent compositional-transfer scene</x:v>
      </x:c>
      <x:c r="M58" s="9" t="str">
        <x:f>'Evaluation Plan'!M58</x:f>
        <x:v>green pen</x:v>
      </x:c>
      <x:c r="N58" s="9" t="str">
        <x:f>'Evaluation Plan'!N58</x:f>
        <x:v>red block</x:v>
      </x:c>
      <x:c r="O58" s="9" t="str">
        <x:f>'Evaluation Plan'!O58</x:f>
        <x:v>None</x:v>
      </x:c>
      <x:c r="P58" s="9" t="n">
        <x:f>'Evaluation Plan'!P58</x:f>
        <x:v>4</x:v>
      </x:c>
      <x:c r="Q58" s="9" t="str">
        <x:f>'Evaluation Plan'!Q58</x:f>
        <x:v>Build the listed neutral-axis scene and save the first frame.</x:v>
      </x:c>
      <x:c r="R58" s="10" t="str">
        <x:f>'Evaluation Plan'!R58</x:f>
        <x:v>Independent held-out-composition scene. Source episode 216 supplies target recognition/manipulation under the trained prompt “Place the green pen next to the red block.”. The orthogonal start removes the opposite-side shortcut.</x:v>
      </x:c>
      <x:c r="S58" s="10" t="str">
        <x:f>IF(ISBLANK('Evaluation Plan'!S58),"",'Evaluation Plan'!S58)</x:f>
      </x:c>
    </x:row>
    <x:row r="59" ht="72" customHeight="1">
      <x:c r="A59" s="24" t="str">
        <x:v>Not collected</x:v>
      </x:c>
      <x:c r="B59" s="24" t="n">
        <x:f>'Evaluation Plan'!B59</x:f>
        <x:v>57</x:v>
      </x:c>
      <x:c r="C59" s="25" t="str">
        <x:f>'Evaluation Plan'!C59</x:f>
        <x:v>Place the green pen next to the red block.</x:v>
      </x:c>
      <x:c r="D59" s="25" t="str">
        <x:f>'Evaluation Plan'!D59</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9" s="24" t="n">
        <x:f>IF(ISBLANK('Evaluation Plan'!E59),"",'Evaluation Plan'!E59)</x:f>
        <x:v>56</x:v>
      </x:c>
      <x:c r="F59" s="24" t="str">
        <x:f>'Evaluation Plan'!F59</x:f>
        <x:v>216</x:v>
      </x:c>
      <x:c r="G59" s="24" t="str">
        <x:f>'Evaluation Plan'!G59</x:f>
        <x:v>green pen → 2–8 cm edge gap near red block; no directional sector required.</x:v>
      </x:c>
      <x:c r="H59" s="25"/>
      <x:c r="I59" s="24" t="str">
        <x:f>'Evaluation Plan'!I59</x:f>
        <x:v>Matched manipulation control</x:v>
      </x:c>
      <x:c r="J59" s="24" t="str">
        <x:f>'Evaluation Plan'!J59</x:f>
        <x:v>RP-CT-N04</x:v>
      </x:c>
      <x:c r="K59" s="24" t="str">
        <x:f>'Evaluation Plan'!K59</x:f>
        <x:v>behind</x:v>
      </x:c>
      <x:c r="L59" s="24" t="str">
        <x:f>'Evaluation Plan'!L59</x:f>
        <x:v>Exact-scene masked manipulation control</x:v>
      </x:c>
      <x:c r="M59" s="24" t="str">
        <x:f>'Evaluation Plan'!M59</x:f>
        <x:v>green pen</x:v>
      </x:c>
      <x:c r="N59" s="24" t="str">
        <x:f>'Evaluation Plan'!N59</x:f>
        <x:v>red block</x:v>
      </x:c>
      <x:c r="O59" s="24" t="str">
        <x:f>'Evaluation Plan'!O59</x:f>
        <x:v>None</x:v>
      </x:c>
      <x:c r="P59" s="24" t="n">
        <x:f>'Evaluation Plan'!P59</x:f>
        <x:v>4</x:v>
      </x:c>
      <x:c r="Q59" s="24" t="str">
        <x:f>'Evaluation Plan'!Q59</x:f>
        <x:v>Reset P1 to its marked pose; preserve the exact scene and use the trained control instruction.</x:v>
      </x:c>
      <x:c r="R59" s="25" t="str">
        <x:f>'Evaluation Plan'!R59</x:f>
        <x:v>Exact-scene control using the final training prompt from episode 216. The target, reference, distractors, camera, and robot start match the paired transfer row.</x:v>
      </x:c>
      <x:c r="S59" s="25" t="str">
        <x:f>IF(ISBLANK('Evaluation Plan'!S59),"",'Evaluation Plan'!S59)</x:f>
      </x:c>
    </x:row>
    <x:row r="60" ht="72" customHeight="1">
      <x:c r="A60" s="24" t="str">
        <x:v>Not collected</x:v>
      </x:c>
      <x:c r="B60" s="24" t="n">
        <x:f>'Evaluation Plan'!B60</x:f>
        <x:v>58</x:v>
      </x:c>
      <x:c r="C60" s="25" t="str">
        <x:f>'Evaluation Plan'!C60</x:f>
        <x:v>Position the green pen on the far side of the red block, away from the robot.</x:v>
      </x:c>
      <x:c r="D60" s="25" t="str">
        <x:f>'Evaluation Plan'!D60</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0" s="24" t="n">
        <x:f>IF(ISBLANK('Evaluation Plan'!E60),"",'Evaluation Plan'!E60)</x:f>
        <x:v>56</x:v>
      </x:c>
      <x:c r="F60" s="24" t="str">
        <x:f>'Evaluation Plan'!F60</x:f>
        <x:v>216</x:v>
      </x:c>
      <x:c r="G60" s="24" t="str">
        <x:f>'Evaluation Plan'!G60</x:f>
        <x:v>green pen → 2–8 cm edge gap behind red block; centroid direction within ±45°.</x:v>
      </x:c>
      <x:c r="H60" s="25"/>
      <x:c r="I60" s="24" t="str">
        <x:f>'Evaluation Plan'!I60</x:f>
        <x:v>Language robustness</x:v>
      </x:c>
      <x:c r="J60" s="24" t="str">
        <x:f>'Evaluation Plan'!J60</x:f>
        <x:v>RP-CT-N04</x:v>
      </x:c>
      <x:c r="K60" s="24" t="str">
        <x:f>'Evaluation Plan'!K60</x:f>
        <x:v>behind</x:v>
      </x:c>
      <x:c r="L60" s="24" t="str">
        <x:f>'Evaluation Plan'!L60</x:f>
        <x:v>Transfer paraphrase of concept/compositional transfer</x:v>
      </x:c>
      <x:c r="M60" s="24" t="str">
        <x:f>'Evaluation Plan'!M60</x:f>
        <x:v>green pen</x:v>
      </x:c>
      <x:c r="N60" s="24" t="str">
        <x:f>'Evaluation Plan'!N60</x:f>
        <x:v>red block</x:v>
      </x:c>
      <x:c r="O60" s="24" t="str">
        <x:f>'Evaluation Plan'!O60</x:f>
        <x:v>None</x:v>
      </x:c>
      <x:c r="P60" s="24" t="n">
        <x:f>'Evaluation Plan'!P60</x:f>
        <x:v>4</x:v>
      </x:c>
      <x:c r="Q60" s="24" t="str">
        <x:f>'Evaluation Plan'!Q60</x:f>
        <x:v>Reset P1 to its marked pose; preserve the exact scene and change only the wording of the transfer instruction.</x:v>
      </x:c>
      <x:c r="R60" s="25" t="str">
        <x:f>'Evaluation Plan'!R60</x:f>
        <x:v>Exact-scene paraphrase of the canonical compositional-transfer instruction.</x:v>
      </x:c>
      <x:c r="S60" s="25" t="str">
        <x:f>IF(ISBLANK('Evaluation Plan'!S60),"",'Evaluation Plan'!S60)</x:f>
      </x:c>
    </x:row>
    <x:row r="61" ht="72" customHeight="1">
      <x:c r="A61" s="24" t="str">
        <x:v>Not collected</x:v>
      </x:c>
      <x:c r="B61" s="24" t="n">
        <x:f>'Evaluation Plan'!B61</x:f>
        <x:v>59</x:v>
      </x:c>
      <x:c r="C61" s="25" t="str">
        <x:f>'Evaluation Plan'!C61</x:f>
        <x:v>Set the green pen down close to the red block.</x:v>
      </x:c>
      <x:c r="D61" s="25" t="str">
        <x:f>'Evaluation Plan'!D61</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1" s="24" t="n">
        <x:f>IF(ISBLANK('Evaluation Plan'!E61),"",'Evaluation Plan'!E61)</x:f>
        <x:v>57</x:v>
      </x:c>
      <x:c r="F61" s="24" t="str">
        <x:f>'Evaluation Plan'!F61</x:f>
        <x:v>216</x:v>
      </x:c>
      <x:c r="G61" s="24" t="str">
        <x:f>'Evaluation Plan'!G61</x:f>
        <x:v>green pen → 2–8 cm edge gap near red block; no directional sector required.</x:v>
      </x:c>
      <x:c r="H61" s="25"/>
      <x:c r="I61" s="24" t="str">
        <x:f>'Evaluation Plan'!I61</x:f>
        <x:v>Language robustness</x:v>
      </x:c>
      <x:c r="J61" s="24" t="str">
        <x:f>'Evaluation Plan'!J61</x:f>
        <x:v>RP-CT-N04</x:v>
      </x:c>
      <x:c r="K61" s="24" t="str">
        <x:f>'Evaluation Plan'!K61</x:f>
        <x:v>behind</x:v>
      </x:c>
      <x:c r="L61" s="24" t="str">
        <x:f>'Evaluation Plan'!L61</x:f>
        <x:v>Matched-control paraphrase</x:v>
      </x:c>
      <x:c r="M61" s="24" t="str">
        <x:f>'Evaluation Plan'!M61</x:f>
        <x:v>green pen</x:v>
      </x:c>
      <x:c r="N61" s="24" t="str">
        <x:f>'Evaluation Plan'!N61</x:f>
        <x:v>red block</x:v>
      </x:c>
      <x:c r="O61" s="24" t="str">
        <x:f>'Evaluation Plan'!O61</x:f>
        <x:v>None</x:v>
      </x:c>
      <x:c r="P61" s="24" t="n">
        <x:f>'Evaluation Plan'!P61</x:f>
        <x:v>4</x:v>
      </x:c>
      <x:c r="Q61" s="24" t="str">
        <x:f>'Evaluation Plan'!Q61</x:f>
        <x:v>Reset P1 to its marked pose; preserve the exact scene and change only the wording of the matched-control instruction.</x:v>
      </x:c>
      <x:c r="R61" s="25" t="str">
        <x:f>'Evaluation Plan'!R61</x:f>
        <x:v>Exact-scene paraphrase of the training-supported control from episode 216.</x:v>
      </x:c>
      <x:c r="S61" s="25" t="str">
        <x:f>IF(ISBLANK('Evaluation Plan'!S61),"",'Evaluation Plan'!S61)</x:f>
      </x:c>
    </x:row>
    <x:row r="62" ht="72" customHeight="1">
      <x:c r="A62" s="9" t="str">
        <x:v>Not collected</x:v>
      </x:c>
      <x:c r="B62" s="9" t="n">
        <x:f>'Evaluation Plan'!B62</x:f>
        <x:v>60</x:v>
      </x:c>
      <x:c r="C62" s="10" t="str">
        <x:f>'Evaluation Plan'!C62</x:f>
        <x:v>Place the red block behind the green pen.</x:v>
      </x:c>
      <x:c r="D62" s="10" t="str">
        <x:f>'Evaluation Plan'!D62</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2" s="9" t="str">
        <x:f>IF(ISBLANK('Evaluation Plan'!E62),"",'Evaluation Plan'!E62)</x:f>
      </x:c>
      <x:c r="F62" s="9" t="str">
        <x:f>'Evaluation Plan'!F62</x:f>
        <x:v>272</x:v>
      </x:c>
      <x:c r="G62" s="9" t="str">
        <x:f>'Evaluation Plan'!G62</x:f>
        <x:v>red block → 2–8 cm edge gap behind green pen; centroid direction within ±45°.</x:v>
      </x:c>
      <x:c r="H62" s="10"/>
      <x:c r="I62" s="9" t="str">
        <x:f>'Evaluation Plan'!I62</x:f>
        <x:v>Concept/compositional transfer</x:v>
      </x:c>
      <x:c r="J62" s="9" t="str">
        <x:f>'Evaluation Plan'!J62</x:f>
        <x:v>RP-CT-N05</x:v>
      </x:c>
      <x:c r="K62" s="9" t="str">
        <x:f>'Evaluation Plan'!K62</x:f>
        <x:v>behind</x:v>
      </x:c>
      <x:c r="L62" s="9" t="str">
        <x:f>'Evaluation Plan'!L62</x:f>
        <x:v>Neutral-axis independent compositional-transfer scene</x:v>
      </x:c>
      <x:c r="M62" s="9" t="str">
        <x:f>'Evaluation Plan'!M62</x:f>
        <x:v>red block</x:v>
      </x:c>
      <x:c r="N62" s="9" t="str">
        <x:f>'Evaluation Plan'!N62</x:f>
        <x:v>green pen</x:v>
      </x:c>
      <x:c r="O62" s="9" t="str">
        <x:f>'Evaluation Plan'!O62</x:f>
        <x:v>None</x:v>
      </x:c>
      <x:c r="P62" s="9" t="n">
        <x:f>'Evaluation Plan'!P62</x:f>
        <x:v>3</x:v>
      </x:c>
      <x:c r="Q62" s="9" t="str">
        <x:f>'Evaluation Plan'!Q62</x:f>
        <x:v>Build the listed neutral-axis scene and save the first frame.</x:v>
      </x:c>
      <x:c r="R62" s="10" t="str">
        <x:f>'Evaluation Plan'!R62</x:f>
        <x:v>Independent held-out-composition scene. Source episode 272 supplies target recognition/manipulation under the trained prompt “Move the red block near the green pen.”. The orthogonal start removes the opposite-side shortcut.</x:v>
      </x:c>
      <x:c r="S62" s="10" t="str">
        <x:f>IF(ISBLANK('Evaluation Plan'!S62),"",'Evaluation Plan'!S62)</x:f>
      </x:c>
    </x:row>
    <x:row r="63" ht="72" customHeight="1">
      <x:c r="A63" s="24" t="str">
        <x:v>Not collected</x:v>
      </x:c>
      <x:c r="B63" s="24" t="n">
        <x:f>'Evaluation Plan'!B63</x:f>
        <x:v>61</x:v>
      </x:c>
      <x:c r="C63" s="25" t="str">
        <x:f>'Evaluation Plan'!C63</x:f>
        <x:v>Move the red block near the green pen.</x:v>
      </x:c>
      <x:c r="D63" s="25" t="str">
        <x:f>'Evaluation Plan'!D63</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3" s="24" t="n">
        <x:f>IF(ISBLANK('Evaluation Plan'!E63),"",'Evaluation Plan'!E63)</x:f>
        <x:v>60</x:v>
      </x:c>
      <x:c r="F63" s="24" t="str">
        <x:f>'Evaluation Plan'!F63</x:f>
        <x:v>272</x:v>
      </x:c>
      <x:c r="G63" s="24" t="str">
        <x:f>'Evaluation Plan'!G63</x:f>
        <x:v>red block → 2–8 cm edge gap near green pen; no directional sector required.</x:v>
      </x:c>
      <x:c r="H63" s="25"/>
      <x:c r="I63" s="24" t="str">
        <x:f>'Evaluation Plan'!I63</x:f>
        <x:v>Matched manipulation control</x:v>
      </x:c>
      <x:c r="J63" s="24" t="str">
        <x:f>'Evaluation Plan'!J63</x:f>
        <x:v>RP-CT-N05</x:v>
      </x:c>
      <x:c r="K63" s="24" t="str">
        <x:f>'Evaluation Plan'!K63</x:f>
        <x:v>behind</x:v>
      </x:c>
      <x:c r="L63" s="24" t="str">
        <x:f>'Evaluation Plan'!L63</x:f>
        <x:v>Exact-scene masked manipulation control</x:v>
      </x:c>
      <x:c r="M63" s="24" t="str">
        <x:f>'Evaluation Plan'!M63</x:f>
        <x:v>red block</x:v>
      </x:c>
      <x:c r="N63" s="24" t="str">
        <x:f>'Evaluation Plan'!N63</x:f>
        <x:v>green pen</x:v>
      </x:c>
      <x:c r="O63" s="24" t="str">
        <x:f>'Evaluation Plan'!O63</x:f>
        <x:v>None</x:v>
      </x:c>
      <x:c r="P63" s="24" t="n">
        <x:f>'Evaluation Plan'!P63</x:f>
        <x:v>3</x:v>
      </x:c>
      <x:c r="Q63" s="24" t="str">
        <x:f>'Evaluation Plan'!Q63</x:f>
        <x:v>Reset P1 to its marked pose; preserve the exact scene and use the trained control instruction.</x:v>
      </x:c>
      <x:c r="R63" s="25" t="str">
        <x:f>'Evaluation Plan'!R63</x:f>
        <x:v>Exact-scene control using the final training prompt from episode 272. The target, reference, distractors, camera, and robot start match the paired transfer row.</x:v>
      </x:c>
      <x:c r="S63" s="25" t="str">
        <x:f>IF(ISBLANK('Evaluation Plan'!S63),"",'Evaluation Plan'!S63)</x:f>
      </x:c>
    </x:row>
    <x:row r="64" ht="72" customHeight="1">
      <x:c r="A64" s="9" t="str">
        <x:v>Not collected</x:v>
      </x:c>
      <x:c r="B64" s="9" t="n">
        <x:f>'Evaluation Plan'!B64</x:f>
        <x:v>62</x:v>
      </x:c>
      <x:c r="C64" s="10" t="str">
        <x:f>'Evaluation Plan'!C64</x:f>
        <x:v>Position the red block on the far side of the green pen, away from the robot.</x:v>
      </x:c>
      <x:c r="D64" s="10" t="str">
        <x:f>'Evaluation Plan'!D64</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4" s="9" t="n">
        <x:f>IF(ISBLANK('Evaluation Plan'!E64),"",'Evaluation Plan'!E64)</x:f>
        <x:v>60</x:v>
      </x:c>
      <x:c r="F64" s="9" t="str">
        <x:f>'Evaluation Plan'!F64</x:f>
        <x:v>272</x:v>
      </x:c>
      <x:c r="G64" s="9" t="str">
        <x:f>'Evaluation Plan'!G64</x:f>
        <x:v>red block → 2–8 cm edge gap behind green pen; centroid direction within ±45°.</x:v>
      </x:c>
      <x:c r="H64" s="10"/>
      <x:c r="I64" s="9" t="str">
        <x:f>'Evaluation Plan'!I64</x:f>
        <x:v>Language robustness</x:v>
      </x:c>
      <x:c r="J64" s="9" t="str">
        <x:f>'Evaluation Plan'!J64</x:f>
        <x:v>RP-CT-N05</x:v>
      </x:c>
      <x:c r="K64" s="9" t="str">
        <x:f>'Evaluation Plan'!K64</x:f>
        <x:v>behind</x:v>
      </x:c>
      <x:c r="L64" s="9" t="str">
        <x:f>'Evaluation Plan'!L64</x:f>
        <x:v>Transfer paraphrase of concept/compositional transfer</x:v>
      </x:c>
      <x:c r="M64" s="9" t="str">
        <x:f>'Evaluation Plan'!M64</x:f>
        <x:v>red block</x:v>
      </x:c>
      <x:c r="N64" s="9" t="str">
        <x:f>'Evaluation Plan'!N64</x:f>
        <x:v>green pen</x:v>
      </x:c>
      <x:c r="O64" s="9" t="str">
        <x:f>'Evaluation Plan'!O64</x:f>
        <x:v>None</x:v>
      </x:c>
      <x:c r="P64" s="9" t="n">
        <x:f>'Evaluation Plan'!P64</x:f>
        <x:v>3</x:v>
      </x:c>
      <x:c r="Q64" s="9" t="str">
        <x:f>'Evaluation Plan'!Q64</x:f>
        <x:v>Reset P1 to its marked pose; preserve the exact scene and change only the wording of the transfer instruction.</x:v>
      </x:c>
      <x:c r="R64" s="10" t="str">
        <x:f>'Evaluation Plan'!R64</x:f>
        <x:v>Exact-scene paraphrase of the canonical compositional-transfer instruction.</x:v>
      </x:c>
      <x:c r="S64" s="10" t="str">
        <x:f>IF(ISBLANK('Evaluation Plan'!S64),"",'Evaluation Plan'!S64)</x:f>
      </x:c>
    </x:row>
    <x:row r="65" ht="72" customHeight="1">
      <x:c r="A65" s="24" t="str">
        <x:v>Not collected</x:v>
      </x:c>
      <x:c r="B65" s="24" t="n">
        <x:f>'Evaluation Plan'!B65</x:f>
        <x:v>63</x:v>
      </x:c>
      <x:c r="C65" s="25" t="str">
        <x:f>'Evaluation Plan'!C65</x:f>
        <x:v>Set the red block down close to the green pen.</x:v>
      </x:c>
      <x:c r="D65" s="25" t="str">
        <x:f>'Evaluation Plan'!D65</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5" s="24" t="n">
        <x:f>IF(ISBLANK('Evaluation Plan'!E65),"",'Evaluation Plan'!E65)</x:f>
        <x:v>61</x:v>
      </x:c>
      <x:c r="F65" s="24" t="str">
        <x:f>'Evaluation Plan'!F65</x:f>
        <x:v>272</x:v>
      </x:c>
      <x:c r="G65" s="24" t="str">
        <x:f>'Evaluation Plan'!G65</x:f>
        <x:v>red block → 2–8 cm edge gap near green pen; no directional sector required.</x:v>
      </x:c>
      <x:c r="H65" s="25"/>
      <x:c r="I65" s="24" t="str">
        <x:f>'Evaluation Plan'!I65</x:f>
        <x:v>Language robustness</x:v>
      </x:c>
      <x:c r="J65" s="24" t="str">
        <x:f>'Evaluation Plan'!J65</x:f>
        <x:v>RP-CT-N05</x:v>
      </x:c>
      <x:c r="K65" s="24" t="str">
        <x:f>'Evaluation Plan'!K65</x:f>
        <x:v>behind</x:v>
      </x:c>
      <x:c r="L65" s="24" t="str">
        <x:f>'Evaluation Plan'!L65</x:f>
        <x:v>Matched-control paraphrase</x:v>
      </x:c>
      <x:c r="M65" s="24" t="str">
        <x:f>'Evaluation Plan'!M65</x:f>
        <x:v>red block</x:v>
      </x:c>
      <x:c r="N65" s="24" t="str">
        <x:f>'Evaluation Plan'!N65</x:f>
        <x:v>green pen</x:v>
      </x:c>
      <x:c r="O65" s="24" t="str">
        <x:f>'Evaluation Plan'!O65</x:f>
        <x:v>None</x:v>
      </x:c>
      <x:c r="P65" s="24" t="n">
        <x:f>'Evaluation Plan'!P65</x:f>
        <x:v>3</x:v>
      </x:c>
      <x:c r="Q65" s="24" t="str">
        <x:f>'Evaluation Plan'!Q65</x:f>
        <x:v>Reset P1 to its marked pose; preserve the exact scene and change only the wording of the matched-control instruction.</x:v>
      </x:c>
      <x:c r="R65" s="25" t="str">
        <x:f>'Evaluation Plan'!R65</x:f>
        <x:v>Exact-scene paraphrase of the training-supported control from episode 272.</x:v>
      </x:c>
      <x:c r="S65" s="25" t="str">
        <x:f>IF(ISBLANK('Evaluation Plan'!S65),"",'Evaluation Plan'!S65)</x:f>
      </x:c>
    </x:row>
    <x:row r="66" ht="72" customHeight="1">
      <x:c r="A66" s="9" t="str">
        <x:v>Not collected</x:v>
      </x:c>
      <x:c r="B66" s="9" t="n">
        <x:f>'Evaluation Plan'!B66</x:f>
        <x:v>64</x:v>
      </x:c>
      <x:c r="C66" s="10" t="str">
        <x:f>'Evaluation Plan'!C66</x:f>
        <x:v>Place the red block behind the green pen.</x:v>
      </x:c>
      <x:c r="D66" s="10" t="str">
        <x:f>'Evaluation Plan'!D66</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6" s="9" t="str">
        <x:f>IF(ISBLANK('Evaluation Plan'!E66),"",'Evaluation Plan'!E66)</x:f>
      </x:c>
      <x:c r="F66" s="9" t="str">
        <x:f>'Evaluation Plan'!F66</x:f>
        <x:v>273</x:v>
      </x:c>
      <x:c r="G66" s="9" t="str">
        <x:f>'Evaluation Plan'!G66</x:f>
        <x:v>red block → 2–8 cm edge gap behind green pen; centroid direction within ±45°.</x:v>
      </x:c>
      <x:c r="H66" s="10"/>
      <x:c r="I66" s="9" t="str">
        <x:f>'Evaluation Plan'!I66</x:f>
        <x:v>Concept/compositional transfer</x:v>
      </x:c>
      <x:c r="J66" s="9" t="str">
        <x:f>'Evaluation Plan'!J66</x:f>
        <x:v>RP-CT-N06</x:v>
      </x:c>
      <x:c r="K66" s="9" t="str">
        <x:f>'Evaluation Plan'!K66</x:f>
        <x:v>behind</x:v>
      </x:c>
      <x:c r="L66" s="9" t="str">
        <x:f>'Evaluation Plan'!L66</x:f>
        <x:v>Neutral-axis independent compositional-transfer scene</x:v>
      </x:c>
      <x:c r="M66" s="9" t="str">
        <x:f>'Evaluation Plan'!M66</x:f>
        <x:v>red block</x:v>
      </x:c>
      <x:c r="N66" s="9" t="str">
        <x:f>'Evaluation Plan'!N66</x:f>
        <x:v>green pen</x:v>
      </x:c>
      <x:c r="O66" s="9" t="str">
        <x:f>'Evaluation Plan'!O66</x:f>
        <x:v>None</x:v>
      </x:c>
      <x:c r="P66" s="9" t="n">
        <x:f>'Evaluation Plan'!P66</x:f>
        <x:v>4</x:v>
      </x:c>
      <x:c r="Q66" s="9" t="str">
        <x:f>'Evaluation Plan'!Q66</x:f>
        <x:v>Build the listed neutral-axis scene and save the first frame.</x:v>
      </x:c>
      <x:c r="R66" s="10" t="str">
        <x:f>'Evaluation Plan'!R66</x:f>
        <x:v>Independent held-out-composition scene. Source episode 273 supplies target recognition/manipulation under the trained prompt “Place the red block next to the green pen.”. The orthogonal start removes the opposite-side shortcut.</x:v>
      </x:c>
      <x:c r="S66" s="10" t="str">
        <x:f>IF(ISBLANK('Evaluation Plan'!S66),"",'Evaluation Plan'!S66)</x:f>
      </x:c>
    </x:row>
    <x:row r="67" ht="72" customHeight="1">
      <x:c r="A67" s="24" t="str">
        <x:v>Not collected</x:v>
      </x:c>
      <x:c r="B67" s="24" t="n">
        <x:f>'Evaluation Plan'!B67</x:f>
        <x:v>65</x:v>
      </x:c>
      <x:c r="C67" s="25" t="str">
        <x:f>'Evaluation Plan'!C67</x:f>
        <x:v>Place the red block next to the green pen.</x:v>
      </x:c>
      <x:c r="D67" s="25" t="str">
        <x:f>'Evaluation Plan'!D67</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7" s="24" t="n">
        <x:f>IF(ISBLANK('Evaluation Plan'!E67),"",'Evaluation Plan'!E67)</x:f>
        <x:v>64</x:v>
      </x:c>
      <x:c r="F67" s="24" t="str">
        <x:f>'Evaluation Plan'!F67</x:f>
        <x:v>273</x:v>
      </x:c>
      <x:c r="G67" s="24" t="str">
        <x:f>'Evaluation Plan'!G67</x:f>
        <x:v>red block → 2–8 cm edge gap near green pen; no directional sector required.</x:v>
      </x:c>
      <x:c r="H67" s="25"/>
      <x:c r="I67" s="24" t="str">
        <x:f>'Evaluation Plan'!I67</x:f>
        <x:v>Matched manipulation control</x:v>
      </x:c>
      <x:c r="J67" s="24" t="str">
        <x:f>'Evaluation Plan'!J67</x:f>
        <x:v>RP-CT-N06</x:v>
      </x:c>
      <x:c r="K67" s="24" t="str">
        <x:f>'Evaluation Plan'!K67</x:f>
        <x:v>behind</x:v>
      </x:c>
      <x:c r="L67" s="24" t="str">
        <x:f>'Evaluation Plan'!L67</x:f>
        <x:v>Exact-scene masked manipulation control</x:v>
      </x:c>
      <x:c r="M67" s="24" t="str">
        <x:f>'Evaluation Plan'!M67</x:f>
        <x:v>red block</x:v>
      </x:c>
      <x:c r="N67" s="24" t="str">
        <x:f>'Evaluation Plan'!N67</x:f>
        <x:v>green pen</x:v>
      </x:c>
      <x:c r="O67" s="24" t="str">
        <x:f>'Evaluation Plan'!O67</x:f>
        <x:v>None</x:v>
      </x:c>
      <x:c r="P67" s="24" t="n">
        <x:f>'Evaluation Plan'!P67</x:f>
        <x:v>4</x:v>
      </x:c>
      <x:c r="Q67" s="24" t="str">
        <x:f>'Evaluation Plan'!Q67</x:f>
        <x:v>Reset P1 to its marked pose; preserve the exact scene and use the trained control instruction.</x:v>
      </x:c>
      <x:c r="R67" s="25" t="str">
        <x:f>'Evaluation Plan'!R67</x:f>
        <x:v>Exact-scene control using the final training prompt from episode 273. The target, reference, distractors, camera, and robot start match the paired transfer row.</x:v>
      </x:c>
      <x:c r="S67" s="25" t="str">
        <x:f>IF(ISBLANK('Evaluation Plan'!S67),"",'Evaluation Plan'!S67)</x:f>
      </x:c>
    </x:row>
    <x:row r="68" ht="72" customHeight="1">
      <x:c r="A68" s="9" t="str">
        <x:v>Not collected</x:v>
      </x:c>
      <x:c r="B68" s="9" t="n">
        <x:f>'Evaluation Plan'!B68</x:f>
        <x:v>66</x:v>
      </x:c>
      <x:c r="C68" s="10" t="str">
        <x:f>'Evaluation Plan'!C68</x:f>
        <x:v>Position the red block on the far side of the green pen, away from the robot.</x:v>
      </x:c>
      <x:c r="D68" s="10" t="str">
        <x:f>'Evaluation Plan'!D68</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8" s="9" t="n">
        <x:f>IF(ISBLANK('Evaluation Plan'!E68),"",'Evaluation Plan'!E68)</x:f>
        <x:v>64</x:v>
      </x:c>
      <x:c r="F68" s="9" t="str">
        <x:f>'Evaluation Plan'!F68</x:f>
        <x:v>273</x:v>
      </x:c>
      <x:c r="G68" s="9" t="str">
        <x:f>'Evaluation Plan'!G68</x:f>
        <x:v>red block → 2–8 cm edge gap behind green pen; centroid direction within ±45°.</x:v>
      </x:c>
      <x:c r="H68" s="10"/>
      <x:c r="I68" s="9" t="str">
        <x:f>'Evaluation Plan'!I68</x:f>
        <x:v>Language robustness</x:v>
      </x:c>
      <x:c r="J68" s="9" t="str">
        <x:f>'Evaluation Plan'!J68</x:f>
        <x:v>RP-CT-N06</x:v>
      </x:c>
      <x:c r="K68" s="9" t="str">
        <x:f>'Evaluation Plan'!K68</x:f>
        <x:v>behind</x:v>
      </x:c>
      <x:c r="L68" s="9" t="str">
        <x:f>'Evaluation Plan'!L68</x:f>
        <x:v>Transfer paraphrase of concept/compositional transfer</x:v>
      </x:c>
      <x:c r="M68" s="9" t="str">
        <x:f>'Evaluation Plan'!M68</x:f>
        <x:v>red block</x:v>
      </x:c>
      <x:c r="N68" s="9" t="str">
        <x:f>'Evaluation Plan'!N68</x:f>
        <x:v>green pen</x:v>
      </x:c>
      <x:c r="O68" s="9" t="str">
        <x:f>'Evaluation Plan'!O68</x:f>
        <x:v>None</x:v>
      </x:c>
      <x:c r="P68" s="9" t="n">
        <x:f>'Evaluation Plan'!P68</x:f>
        <x:v>4</x:v>
      </x:c>
      <x:c r="Q68" s="9" t="str">
        <x:f>'Evaluation Plan'!Q68</x:f>
        <x:v>Reset P1 to its marked pose; preserve the exact scene and change only the wording of the transfer instruction.</x:v>
      </x:c>
      <x:c r="R68" s="10" t="str">
        <x:f>'Evaluation Plan'!R68</x:f>
        <x:v>Exact-scene paraphrase of the canonical compositional-transfer instruction.</x:v>
      </x:c>
      <x:c r="S68" s="10" t="str">
        <x:f>IF(ISBLANK('Evaluation Plan'!S68),"",'Evaluation Plan'!S68)</x:f>
      </x:c>
    </x:row>
    <x:row r="69" ht="72" customHeight="1">
      <x:c r="A69" s="24" t="str">
        <x:v>Not collected</x:v>
      </x:c>
      <x:c r="B69" s="24" t="n">
        <x:f>'Evaluation Plan'!B69</x:f>
        <x:v>67</x:v>
      </x:c>
      <x:c r="C69" s="25" t="str">
        <x:f>'Evaluation Plan'!C69</x:f>
        <x:v>Set the red block down close to the green pen.</x:v>
      </x:c>
      <x:c r="D69" s="25" t="str">
        <x:f>'Evaluation Plan'!D69</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9" s="24" t="n">
        <x:f>IF(ISBLANK('Evaluation Plan'!E69),"",'Evaluation Plan'!E69)</x:f>
        <x:v>65</x:v>
      </x:c>
      <x:c r="F69" s="24" t="str">
        <x:f>'Evaluation Plan'!F69</x:f>
        <x:v>273</x:v>
      </x:c>
      <x:c r="G69" s="24" t="str">
        <x:f>'Evaluation Plan'!G69</x:f>
        <x:v>red block → 2–8 cm edge gap near green pen; no directional sector required.</x:v>
      </x:c>
      <x:c r="H69" s="25"/>
      <x:c r="I69" s="24" t="str">
        <x:f>'Evaluation Plan'!I69</x:f>
        <x:v>Language robustness</x:v>
      </x:c>
      <x:c r="J69" s="24" t="str">
        <x:f>'Evaluation Plan'!J69</x:f>
        <x:v>RP-CT-N06</x:v>
      </x:c>
      <x:c r="K69" s="24" t="str">
        <x:f>'Evaluation Plan'!K69</x:f>
        <x:v>behind</x:v>
      </x:c>
      <x:c r="L69" s="24" t="str">
        <x:f>'Evaluation Plan'!L69</x:f>
        <x:v>Matched-control paraphrase</x:v>
      </x:c>
      <x:c r="M69" s="24" t="str">
        <x:f>'Evaluation Plan'!M69</x:f>
        <x:v>red block</x:v>
      </x:c>
      <x:c r="N69" s="24" t="str">
        <x:f>'Evaluation Plan'!N69</x:f>
        <x:v>green pen</x:v>
      </x:c>
      <x:c r="O69" s="24" t="str">
        <x:f>'Evaluation Plan'!O69</x:f>
        <x:v>None</x:v>
      </x:c>
      <x:c r="P69" s="24" t="n">
        <x:f>'Evaluation Plan'!P69</x:f>
        <x:v>4</x:v>
      </x:c>
      <x:c r="Q69" s="24" t="str">
        <x:f>'Evaluation Plan'!Q69</x:f>
        <x:v>Reset P1 to its marked pose; preserve the exact scene and change only the wording of the matched-control instruction.</x:v>
      </x:c>
      <x:c r="R69" s="25" t="str">
        <x:f>'Evaluation Plan'!R69</x:f>
        <x:v>Exact-scene paraphrase of the training-supported control from episode 273.</x:v>
      </x:c>
      <x:c r="S69" s="25" t="str">
        <x:f>IF(ISBLANK('Evaluation Plan'!S69),"",'Evaluation Plan'!S69)</x:f>
      </x:c>
    </x:row>
    <x:row r="70" ht="72" customHeight="1">
      <x:c r="A70" s="9" t="str">
        <x:v>Not collected</x:v>
      </x:c>
      <x:c r="B70" s="9" t="n">
        <x:f>'Evaluation Plan'!B70</x:f>
        <x:v>68</x:v>
      </x:c>
      <x:c r="C70" s="10" t="str">
        <x:f>'Evaluation Plan'!C70</x:f>
        <x:v>Place the green pen to the left of the red block.</x:v>
      </x:c>
      <x:c r="D70" s="10" t="str">
        <x:f>'Evaluation Plan'!D70</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0" s="9" t="str">
        <x:f>IF(ISBLANK('Evaluation Plan'!E70),"",'Evaluation Plan'!E70)</x:f>
      </x:c>
      <x:c r="F70" s="9" t="str">
        <x:f>'Evaluation Plan'!F70</x:f>
        <x:v>228</x:v>
      </x:c>
      <x:c r="G70" s="9" t="str">
        <x:f>'Evaluation Plan'!G70</x:f>
        <x:v>green pen → 2–8 cm edge gap to the left of red block; centroid direction within ±45°.</x:v>
      </x:c>
      <x:c r="H70" s="10"/>
      <x:c r="I70" s="9" t="str">
        <x:f>'Evaluation Plan'!I70</x:f>
        <x:v>Concept/compositional transfer</x:v>
      </x:c>
      <x:c r="J70" s="9" t="str">
        <x:f>'Evaluation Plan'!J70</x:f>
        <x:v>RP-CT-N07</x:v>
      </x:c>
      <x:c r="K70" s="9" t="str">
        <x:f>'Evaluation Plan'!K70</x:f>
        <x:v>left</x:v>
      </x:c>
      <x:c r="L70" s="9" t="str">
        <x:f>'Evaluation Plan'!L70</x:f>
        <x:v>Neutral-axis independent compositional-transfer scene</x:v>
      </x:c>
      <x:c r="M70" s="9" t="str">
        <x:f>'Evaluation Plan'!M70</x:f>
        <x:v>green pen</x:v>
      </x:c>
      <x:c r="N70" s="9" t="str">
        <x:f>'Evaluation Plan'!N70</x:f>
        <x:v>red block</x:v>
      </x:c>
      <x:c r="O70" s="9" t="str">
        <x:f>'Evaluation Plan'!O70</x:f>
        <x:v>None</x:v>
      </x:c>
      <x:c r="P70" s="9" t="n">
        <x:f>'Evaluation Plan'!P70</x:f>
        <x:v>3</x:v>
      </x:c>
      <x:c r="Q70" s="9" t="str">
        <x:f>'Evaluation Plan'!Q70</x:f>
        <x:v>Build the listed neutral-axis scene and save the first frame.</x:v>
      </x:c>
      <x:c r="R70" s="10" t="str">
        <x:f>'Evaluation Plan'!R70</x:f>
        <x:v>Independent held-out-composition scene. Source episode 228 supplies target recognition/manipulation under the trained prompt “Place the green pen next to the red block.”. The orthogonal start removes the opposite-side shortcut.</x:v>
      </x:c>
      <x:c r="S70" s="10" t="str">
        <x:f>IF(ISBLANK('Evaluation Plan'!S70),"",'Evaluation Plan'!S70)</x:f>
      </x:c>
    </x:row>
    <x:row r="71" ht="72" customHeight="1">
      <x:c r="A71" s="24" t="str">
        <x:v>Not collected</x:v>
      </x:c>
      <x:c r="B71" s="24" t="n">
        <x:f>'Evaluation Plan'!B71</x:f>
        <x:v>69</x:v>
      </x:c>
      <x:c r="C71" s="25" t="str">
        <x:f>'Evaluation Plan'!C71</x:f>
        <x:v>Place the green pen next to the red block.</x:v>
      </x:c>
      <x:c r="D71" s="25" t="str">
        <x:f>'Evaluation Plan'!D71</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1" s="24" t="n">
        <x:f>IF(ISBLANK('Evaluation Plan'!E71),"",'Evaluation Plan'!E71)</x:f>
        <x:v>68</x:v>
      </x:c>
      <x:c r="F71" s="24" t="str">
        <x:f>'Evaluation Plan'!F71</x:f>
        <x:v>228</x:v>
      </x:c>
      <x:c r="G71" s="24" t="str">
        <x:f>'Evaluation Plan'!G71</x:f>
        <x:v>green pen → 2–8 cm edge gap near red block; no directional sector required.</x:v>
      </x:c>
      <x:c r="H71" s="25"/>
      <x:c r="I71" s="24" t="str">
        <x:f>'Evaluation Plan'!I71</x:f>
        <x:v>Matched manipulation control</x:v>
      </x:c>
      <x:c r="J71" s="24" t="str">
        <x:f>'Evaluation Plan'!J71</x:f>
        <x:v>RP-CT-N07</x:v>
      </x:c>
      <x:c r="K71" s="24" t="str">
        <x:f>'Evaluation Plan'!K71</x:f>
        <x:v>left</x:v>
      </x:c>
      <x:c r="L71" s="24" t="str">
        <x:f>'Evaluation Plan'!L71</x:f>
        <x:v>Exact-scene masked manipulation control</x:v>
      </x:c>
      <x:c r="M71" s="24" t="str">
        <x:f>'Evaluation Plan'!M71</x:f>
        <x:v>green pen</x:v>
      </x:c>
      <x:c r="N71" s="24" t="str">
        <x:f>'Evaluation Plan'!N71</x:f>
        <x:v>red block</x:v>
      </x:c>
      <x:c r="O71" s="24" t="str">
        <x:f>'Evaluation Plan'!O71</x:f>
        <x:v>None</x:v>
      </x:c>
      <x:c r="P71" s="24" t="n">
        <x:f>'Evaluation Plan'!P71</x:f>
        <x:v>3</x:v>
      </x:c>
      <x:c r="Q71" s="24" t="str">
        <x:f>'Evaluation Plan'!Q71</x:f>
        <x:v>Reset P1 to its marked pose; preserve the exact scene and use the trained control instruction.</x:v>
      </x:c>
      <x:c r="R71" s="25" t="str">
        <x:f>'Evaluation Plan'!R71</x:f>
        <x:v>Exact-scene control using the final training prompt from episode 228. The target, reference, distractors, camera, and robot start match the paired transfer row.</x:v>
      </x:c>
      <x:c r="S71" s="25" t="str">
        <x:f>IF(ISBLANK('Evaluation Plan'!S71),"",'Evaluation Plan'!S71)</x:f>
      </x:c>
    </x:row>
    <x:row r="72" ht="72" customHeight="1">
      <x:c r="A72" s="9" t="str">
        <x:v>Not collected</x:v>
      </x:c>
      <x:c r="B72" s="9" t="n">
        <x:f>'Evaluation Plan'!B72</x:f>
        <x:v>70</x:v>
      </x:c>
      <x:c r="C72" s="10" t="str">
        <x:f>'Evaluation Plan'!C72</x:f>
        <x:v>Position the green pen on the robot's left-hand side of the red block.</x:v>
      </x:c>
      <x:c r="D72" s="10" t="str">
        <x:f>'Evaluation Plan'!D72</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2" s="9" t="n">
        <x:f>IF(ISBLANK('Evaluation Plan'!E72),"",'Evaluation Plan'!E72)</x:f>
        <x:v>68</x:v>
      </x:c>
      <x:c r="F72" s="9" t="str">
        <x:f>'Evaluation Plan'!F72</x:f>
        <x:v>228</x:v>
      </x:c>
      <x:c r="G72" s="9" t="str">
        <x:f>'Evaluation Plan'!G72</x:f>
        <x:v>green pen → 2–8 cm edge gap to the left of red block; centroid direction within ±45°.</x:v>
      </x:c>
      <x:c r="H72" s="10"/>
      <x:c r="I72" s="9" t="str">
        <x:f>'Evaluation Plan'!I72</x:f>
        <x:v>Language robustness</x:v>
      </x:c>
      <x:c r="J72" s="9" t="str">
        <x:f>'Evaluation Plan'!J72</x:f>
        <x:v>RP-CT-N07</x:v>
      </x:c>
      <x:c r="K72" s="9" t="str">
        <x:f>'Evaluation Plan'!K72</x:f>
        <x:v>left</x:v>
      </x:c>
      <x:c r="L72" s="9" t="str">
        <x:f>'Evaluation Plan'!L72</x:f>
        <x:v>Transfer paraphrase of concept/compositional transfer</x:v>
      </x:c>
      <x:c r="M72" s="9" t="str">
        <x:f>'Evaluation Plan'!M72</x:f>
        <x:v>green pen</x:v>
      </x:c>
      <x:c r="N72" s="9" t="str">
        <x:f>'Evaluation Plan'!N72</x:f>
        <x:v>red block</x:v>
      </x:c>
      <x:c r="O72" s="9" t="str">
        <x:f>'Evaluation Plan'!O72</x:f>
        <x:v>None</x:v>
      </x:c>
      <x:c r="P72" s="9" t="n">
        <x:f>'Evaluation Plan'!P72</x:f>
        <x:v>3</x:v>
      </x:c>
      <x:c r="Q72" s="9" t="str">
        <x:f>'Evaluation Plan'!Q72</x:f>
        <x:v>Reset P1 to its marked pose; preserve the exact scene and change only the wording of the transfer instruction.</x:v>
      </x:c>
      <x:c r="R72" s="10" t="str">
        <x:f>'Evaluation Plan'!R72</x:f>
        <x:v>Exact-scene paraphrase of the canonical compositional-transfer instruction.</x:v>
      </x:c>
      <x:c r="S72" s="10" t="str">
        <x:f>IF(ISBLANK('Evaluation Plan'!S72),"",'Evaluation Plan'!S72)</x:f>
      </x:c>
    </x:row>
    <x:row r="73" ht="72" customHeight="1">
      <x:c r="A73" s="24" t="str">
        <x:v>Not collected</x:v>
      </x:c>
      <x:c r="B73" s="24" t="n">
        <x:f>'Evaluation Plan'!B73</x:f>
        <x:v>71</x:v>
      </x:c>
      <x:c r="C73" s="25" t="str">
        <x:f>'Evaluation Plan'!C73</x:f>
        <x:v>Set the green pen down close to the red block.</x:v>
      </x:c>
      <x:c r="D73" s="25" t="str">
        <x:f>'Evaluation Plan'!D73</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3" s="24" t="n">
        <x:f>IF(ISBLANK('Evaluation Plan'!E73),"",'Evaluation Plan'!E73)</x:f>
        <x:v>69</x:v>
      </x:c>
      <x:c r="F73" s="24" t="str">
        <x:f>'Evaluation Plan'!F73</x:f>
        <x:v>228</x:v>
      </x:c>
      <x:c r="G73" s="24" t="str">
        <x:f>'Evaluation Plan'!G73</x:f>
        <x:v>green pen → 2–8 cm edge gap near red block; no directional sector required.</x:v>
      </x:c>
      <x:c r="H73" s="25"/>
      <x:c r="I73" s="24" t="str">
        <x:f>'Evaluation Plan'!I73</x:f>
        <x:v>Language robustness</x:v>
      </x:c>
      <x:c r="J73" s="24" t="str">
        <x:f>'Evaluation Plan'!J73</x:f>
        <x:v>RP-CT-N07</x:v>
      </x:c>
      <x:c r="K73" s="24" t="str">
        <x:f>'Evaluation Plan'!K73</x:f>
        <x:v>left</x:v>
      </x:c>
      <x:c r="L73" s="24" t="str">
        <x:f>'Evaluation Plan'!L73</x:f>
        <x:v>Matched-control paraphrase</x:v>
      </x:c>
      <x:c r="M73" s="24" t="str">
        <x:f>'Evaluation Plan'!M73</x:f>
        <x:v>green pen</x:v>
      </x:c>
      <x:c r="N73" s="24" t="str">
        <x:f>'Evaluation Plan'!N73</x:f>
        <x:v>red block</x:v>
      </x:c>
      <x:c r="O73" s="24" t="str">
        <x:f>'Evaluation Plan'!O73</x:f>
        <x:v>None</x:v>
      </x:c>
      <x:c r="P73" s="24" t="n">
        <x:f>'Evaluation Plan'!P73</x:f>
        <x:v>3</x:v>
      </x:c>
      <x:c r="Q73" s="24" t="str">
        <x:f>'Evaluation Plan'!Q73</x:f>
        <x:v>Reset P1 to its marked pose; preserve the exact scene and change only the wording of the matched-control instruction.</x:v>
      </x:c>
      <x:c r="R73" s="25" t="str">
        <x:f>'Evaluation Plan'!R73</x:f>
        <x:v>Exact-scene paraphrase of the training-supported control from episode 228.</x:v>
      </x:c>
      <x:c r="S73" s="25" t="str">
        <x:f>IF(ISBLANK('Evaluation Plan'!S73),"",'Evaluation Plan'!S73)</x:f>
      </x:c>
    </x:row>
    <x:row r="74" ht="72" customHeight="1">
      <x:c r="A74" s="9" t="str">
        <x:v>Not collected</x:v>
      </x:c>
      <x:c r="B74" s="9" t="n">
        <x:f>'Evaluation Plan'!B74</x:f>
        <x:v>72</x:v>
      </x:c>
      <x:c r="C74" s="10" t="str">
        <x:f>'Evaluation Plan'!C74</x:f>
        <x:v>Place the red block to the left of the green pen.</x:v>
      </x:c>
      <x:c r="D74" s="10" t="str">
        <x:f>'Evaluation Plan'!D74</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4" s="9" t="str">
        <x:f>IF(ISBLANK('Evaluation Plan'!E74),"",'Evaluation Plan'!E74)</x:f>
      </x:c>
      <x:c r="F74" s="9" t="str">
        <x:f>'Evaluation Plan'!F74</x:f>
        <x:v>285</x:v>
      </x:c>
      <x:c r="G74" s="9" t="str">
        <x:f>'Evaluation Plan'!G74</x:f>
        <x:v>red block → 2–8 cm edge gap to the left of green pen; centroid direction within ±45°.</x:v>
      </x:c>
      <x:c r="H74" s="10"/>
      <x:c r="I74" s="9" t="str">
        <x:f>'Evaluation Plan'!I74</x:f>
        <x:v>Concept/compositional transfer</x:v>
      </x:c>
      <x:c r="J74" s="9" t="str">
        <x:f>'Evaluation Plan'!J74</x:f>
        <x:v>RP-CT-N08</x:v>
      </x:c>
      <x:c r="K74" s="9" t="str">
        <x:f>'Evaluation Plan'!K74</x:f>
        <x:v>left</x:v>
      </x:c>
      <x:c r="L74" s="9" t="str">
        <x:f>'Evaluation Plan'!L74</x:f>
        <x:v>Neutral-axis independent compositional-transfer scene</x:v>
      </x:c>
      <x:c r="M74" s="9" t="str">
        <x:f>'Evaluation Plan'!M74</x:f>
        <x:v>red block</x:v>
      </x:c>
      <x:c r="N74" s="9" t="str">
        <x:f>'Evaluation Plan'!N74</x:f>
        <x:v>green pen</x:v>
      </x:c>
      <x:c r="O74" s="9" t="str">
        <x:f>'Evaluation Plan'!O74</x:f>
        <x:v>None</x:v>
      </x:c>
      <x:c r="P74" s="9" t="n">
        <x:f>'Evaluation Plan'!P74</x:f>
        <x:v>4</x:v>
      </x:c>
      <x:c r="Q74" s="9" t="str">
        <x:f>'Evaluation Plan'!Q74</x:f>
        <x:v>Build the listed neutral-axis scene and save the first frame.</x:v>
      </x:c>
      <x:c r="R74" s="10" t="str">
        <x:f>'Evaluation Plan'!R74</x:f>
        <x:v>Independent held-out-composition scene. Source episode 285 supplies target recognition/manipulation under the trained prompt “Place the red block next to the green pen.”. The orthogonal start removes the opposite-side shortcut.</x:v>
      </x:c>
      <x:c r="S74" s="10" t="str">
        <x:f>IF(ISBLANK('Evaluation Plan'!S74),"",'Evaluation Plan'!S74)</x:f>
      </x:c>
    </x:row>
    <x:row r="75" ht="72" customHeight="1">
      <x:c r="A75" s="24" t="str">
        <x:v>Not collected</x:v>
      </x:c>
      <x:c r="B75" s="24" t="n">
        <x:f>'Evaluation Plan'!B75</x:f>
        <x:v>73</x:v>
      </x:c>
      <x:c r="C75" s="25" t="str">
        <x:f>'Evaluation Plan'!C75</x:f>
        <x:v>Place the red block next to the green pen.</x:v>
      </x:c>
      <x:c r="D75" s="25" t="str">
        <x:f>'Evaluation Plan'!D75</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5" s="24" t="n">
        <x:f>IF(ISBLANK('Evaluation Plan'!E75),"",'Evaluation Plan'!E75)</x:f>
        <x:v>72</x:v>
      </x:c>
      <x:c r="F75" s="24" t="str">
        <x:f>'Evaluation Plan'!F75</x:f>
        <x:v>285</x:v>
      </x:c>
      <x:c r="G75" s="24" t="str">
        <x:f>'Evaluation Plan'!G75</x:f>
        <x:v>red block → 2–8 cm edge gap near green pen; no directional sector required.</x:v>
      </x:c>
      <x:c r="H75" s="25"/>
      <x:c r="I75" s="24" t="str">
        <x:f>'Evaluation Plan'!I75</x:f>
        <x:v>Matched manipulation control</x:v>
      </x:c>
      <x:c r="J75" s="24" t="str">
        <x:f>'Evaluation Plan'!J75</x:f>
        <x:v>RP-CT-N08</x:v>
      </x:c>
      <x:c r="K75" s="24" t="str">
        <x:f>'Evaluation Plan'!K75</x:f>
        <x:v>left</x:v>
      </x:c>
      <x:c r="L75" s="24" t="str">
        <x:f>'Evaluation Plan'!L75</x:f>
        <x:v>Exact-scene masked manipulation control</x:v>
      </x:c>
      <x:c r="M75" s="24" t="str">
        <x:f>'Evaluation Plan'!M75</x:f>
        <x:v>red block</x:v>
      </x:c>
      <x:c r="N75" s="24" t="str">
        <x:f>'Evaluation Plan'!N75</x:f>
        <x:v>green pen</x:v>
      </x:c>
      <x:c r="O75" s="24" t="str">
        <x:f>'Evaluation Plan'!O75</x:f>
        <x:v>None</x:v>
      </x:c>
      <x:c r="P75" s="24" t="n">
        <x:f>'Evaluation Plan'!P75</x:f>
        <x:v>4</x:v>
      </x:c>
      <x:c r="Q75" s="24" t="str">
        <x:f>'Evaluation Plan'!Q75</x:f>
        <x:v>Reset P1 to its marked pose; preserve the exact scene and use the trained control instruction.</x:v>
      </x:c>
      <x:c r="R75" s="25" t="str">
        <x:f>'Evaluation Plan'!R75</x:f>
        <x:v>Exact-scene control using the final training prompt from episode 285. The target, reference, distractors, camera, and robot start match the paired transfer row.</x:v>
      </x:c>
      <x:c r="S75" s="25" t="str">
        <x:f>IF(ISBLANK('Evaluation Plan'!S75),"",'Evaluation Plan'!S75)</x:f>
      </x:c>
    </x:row>
    <x:row r="76" ht="72" customHeight="1">
      <x:c r="A76" s="9" t="str">
        <x:v>Not collected</x:v>
      </x:c>
      <x:c r="B76" s="9" t="n">
        <x:f>'Evaluation Plan'!B76</x:f>
        <x:v>74</x:v>
      </x:c>
      <x:c r="C76" s="10" t="str">
        <x:f>'Evaluation Plan'!C76</x:f>
        <x:v>Position the red block on the robot's left-hand side of the green pen.</x:v>
      </x:c>
      <x:c r="D76" s="10" t="str">
        <x:f>'Evaluation Plan'!D76</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6" s="9" t="n">
        <x:f>IF(ISBLANK('Evaluation Plan'!E76),"",'Evaluation Plan'!E76)</x:f>
        <x:v>72</x:v>
      </x:c>
      <x:c r="F76" s="9" t="str">
        <x:f>'Evaluation Plan'!F76</x:f>
        <x:v>285</x:v>
      </x:c>
      <x:c r="G76" s="9" t="str">
        <x:f>'Evaluation Plan'!G76</x:f>
        <x:v>red block → 2–8 cm edge gap to the left of green pen; centroid direction within ±45°.</x:v>
      </x:c>
      <x:c r="H76" s="10"/>
      <x:c r="I76" s="9" t="str">
        <x:f>'Evaluation Plan'!I76</x:f>
        <x:v>Language robustness</x:v>
      </x:c>
      <x:c r="J76" s="9" t="str">
        <x:f>'Evaluation Plan'!J76</x:f>
        <x:v>RP-CT-N08</x:v>
      </x:c>
      <x:c r="K76" s="9" t="str">
        <x:f>'Evaluation Plan'!K76</x:f>
        <x:v>left</x:v>
      </x:c>
      <x:c r="L76" s="9" t="str">
        <x:f>'Evaluation Plan'!L76</x:f>
        <x:v>Transfer paraphrase of concept/compositional transfer</x:v>
      </x:c>
      <x:c r="M76" s="9" t="str">
        <x:f>'Evaluation Plan'!M76</x:f>
        <x:v>red block</x:v>
      </x:c>
      <x:c r="N76" s="9" t="str">
        <x:f>'Evaluation Plan'!N76</x:f>
        <x:v>green pen</x:v>
      </x:c>
      <x:c r="O76" s="9" t="str">
        <x:f>'Evaluation Plan'!O76</x:f>
        <x:v>None</x:v>
      </x:c>
      <x:c r="P76" s="9" t="n">
        <x:f>'Evaluation Plan'!P76</x:f>
        <x:v>4</x:v>
      </x:c>
      <x:c r="Q76" s="9" t="str">
        <x:f>'Evaluation Plan'!Q76</x:f>
        <x:v>Reset P1 to its marked pose; preserve the exact scene and change only the wording of the transfer instruction.</x:v>
      </x:c>
      <x:c r="R76" s="10" t="str">
        <x:f>'Evaluation Plan'!R76</x:f>
        <x:v>Exact-scene paraphrase of the canonical compositional-transfer instruction.</x:v>
      </x:c>
      <x:c r="S76" s="10" t="str">
        <x:f>IF(ISBLANK('Evaluation Plan'!S76),"",'Evaluation Plan'!S76)</x:f>
      </x:c>
    </x:row>
    <x:row r="77" ht="72" customHeight="1">
      <x:c r="A77" s="24" t="str">
        <x:v>Not collected</x:v>
      </x:c>
      <x:c r="B77" s="24" t="n">
        <x:f>'Evaluation Plan'!B77</x:f>
        <x:v>75</x:v>
      </x:c>
      <x:c r="C77" s="25" t="str">
        <x:f>'Evaluation Plan'!C77</x:f>
        <x:v>Set the red block down close to the green pen.</x:v>
      </x:c>
      <x:c r="D77" s="25" t="str">
        <x:f>'Evaluation Plan'!D77</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7" s="24" t="n">
        <x:f>IF(ISBLANK('Evaluation Plan'!E77),"",'Evaluation Plan'!E77)</x:f>
        <x:v>73</x:v>
      </x:c>
      <x:c r="F77" s="24" t="str">
        <x:f>'Evaluation Plan'!F77</x:f>
        <x:v>285</x:v>
      </x:c>
      <x:c r="G77" s="24" t="str">
        <x:f>'Evaluation Plan'!G77</x:f>
        <x:v>red block → 2–8 cm edge gap near green pen; no directional sector required.</x:v>
      </x:c>
      <x:c r="H77" s="25"/>
      <x:c r="I77" s="24" t="str">
        <x:f>'Evaluation Plan'!I77</x:f>
        <x:v>Language robustness</x:v>
      </x:c>
      <x:c r="J77" s="24" t="str">
        <x:f>'Evaluation Plan'!J77</x:f>
        <x:v>RP-CT-N08</x:v>
      </x:c>
      <x:c r="K77" s="24" t="str">
        <x:f>'Evaluation Plan'!K77</x:f>
        <x:v>left</x:v>
      </x:c>
      <x:c r="L77" s="24" t="str">
        <x:f>'Evaluation Plan'!L77</x:f>
        <x:v>Matched-control paraphrase</x:v>
      </x:c>
      <x:c r="M77" s="24" t="str">
        <x:f>'Evaluation Plan'!M77</x:f>
        <x:v>red block</x:v>
      </x:c>
      <x:c r="N77" s="24" t="str">
        <x:f>'Evaluation Plan'!N77</x:f>
        <x:v>green pen</x:v>
      </x:c>
      <x:c r="O77" s="24" t="str">
        <x:f>'Evaluation Plan'!O77</x:f>
        <x:v>None</x:v>
      </x:c>
      <x:c r="P77" s="24" t="n">
        <x:f>'Evaluation Plan'!P77</x:f>
        <x:v>4</x:v>
      </x:c>
      <x:c r="Q77" s="24" t="str">
        <x:f>'Evaluation Plan'!Q77</x:f>
        <x:v>Reset P1 to its marked pose; preserve the exact scene and change only the wording of the matched-control instruction.</x:v>
      </x:c>
      <x:c r="R77" s="25" t="str">
        <x:f>'Evaluation Plan'!R77</x:f>
        <x:v>Exact-scene paraphrase of the training-supported control from episode 285.</x:v>
      </x:c>
      <x:c r="S77" s="25" t="str">
        <x:f>IF(ISBLANK('Evaluation Plan'!S77),"",'Evaluation Plan'!S77)</x:f>
      </x:c>
    </x:row>
    <x:row r="78" ht="72" customHeight="1">
      <x:c r="A78" s="9" t="str">
        <x:v>Not collected</x:v>
      </x:c>
      <x:c r="B78" s="9" t="n">
        <x:f>'Evaluation Plan'!B78</x:f>
        <x:v>76</x:v>
      </x:c>
      <x:c r="C78" s="10" t="str">
        <x:f>'Evaluation Plan'!C78</x:f>
        <x:v>Place the green pen to the right of the red block.</x:v>
      </x:c>
      <x:c r="D78" s="10" t="str">
        <x:f>'Evaluation Plan'!D78</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8" s="9" t="str">
        <x:f>IF(ISBLANK('Evaluation Plan'!E78),"",'Evaluation Plan'!E78)</x:f>
      </x:c>
      <x:c r="F78" s="9" t="str">
        <x:f>'Evaluation Plan'!F78</x:f>
        <x:v>240</x:v>
      </x:c>
      <x:c r="G78" s="9" t="str">
        <x:f>'Evaluation Plan'!G78</x:f>
        <x:v>green pen → 2–8 cm edge gap to the right of red block; centroid direction within ±45°.</x:v>
      </x:c>
      <x:c r="H78" s="10"/>
      <x:c r="I78" s="9" t="str">
        <x:f>'Evaluation Plan'!I78</x:f>
        <x:v>Concept/compositional transfer</x:v>
      </x:c>
      <x:c r="J78" s="9" t="str">
        <x:f>'Evaluation Plan'!J78</x:f>
        <x:v>RP-CT-N09</x:v>
      </x:c>
      <x:c r="K78" s="9" t="str">
        <x:f>'Evaluation Plan'!K78</x:f>
        <x:v>right</x:v>
      </x:c>
      <x:c r="L78" s="9" t="str">
        <x:f>'Evaluation Plan'!L78</x:f>
        <x:v>Neutral-axis independent compositional-transfer scene</x:v>
      </x:c>
      <x:c r="M78" s="9" t="str">
        <x:f>'Evaluation Plan'!M78</x:f>
        <x:v>green pen</x:v>
      </x:c>
      <x:c r="N78" s="9" t="str">
        <x:f>'Evaluation Plan'!N78</x:f>
        <x:v>red block</x:v>
      </x:c>
      <x:c r="O78" s="9" t="str">
        <x:f>'Evaluation Plan'!O78</x:f>
        <x:v>None</x:v>
      </x:c>
      <x:c r="P78" s="9" t="n">
        <x:f>'Evaluation Plan'!P78</x:f>
        <x:v>3</x:v>
      </x:c>
      <x:c r="Q78" s="9" t="str">
        <x:f>'Evaluation Plan'!Q78</x:f>
        <x:v>Build the listed neutral-axis scene and save the first frame.</x:v>
      </x:c>
      <x:c r="R78" s="10" t="str">
        <x:f>'Evaluation Plan'!R78</x:f>
        <x:v>Independent held-out-composition scene. Source episode 240 supplies target recognition/manipulation under the trained prompt “Place the green pen next to the red block.”. The orthogonal start removes the opposite-side shortcut.</x:v>
      </x:c>
      <x:c r="S78" s="10" t="str">
        <x:f>IF(ISBLANK('Evaluation Plan'!S78),"",'Evaluation Plan'!S78)</x:f>
      </x:c>
    </x:row>
    <x:row r="79" ht="72" customHeight="1">
      <x:c r="A79" s="24" t="str">
        <x:v>Not collected</x:v>
      </x:c>
      <x:c r="B79" s="24" t="n">
        <x:f>'Evaluation Plan'!B79</x:f>
        <x:v>77</x:v>
      </x:c>
      <x:c r="C79" s="25" t="str">
        <x:f>'Evaluation Plan'!C79</x:f>
        <x:v>Place the green pen next to the red block.</x:v>
      </x:c>
      <x:c r="D79" s="25" t="str">
        <x:f>'Evaluation Plan'!D79</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9" s="24" t="n">
        <x:f>IF(ISBLANK('Evaluation Plan'!E79),"",'Evaluation Plan'!E79)</x:f>
        <x:v>76</x:v>
      </x:c>
      <x:c r="F79" s="24" t="str">
        <x:f>'Evaluation Plan'!F79</x:f>
        <x:v>240</x:v>
      </x:c>
      <x:c r="G79" s="24" t="str">
        <x:f>'Evaluation Plan'!G79</x:f>
        <x:v>green pen → 2–8 cm edge gap near red block; no directional sector required.</x:v>
      </x:c>
      <x:c r="H79" s="25"/>
      <x:c r="I79" s="24" t="str">
        <x:f>'Evaluation Plan'!I79</x:f>
        <x:v>Matched manipulation control</x:v>
      </x:c>
      <x:c r="J79" s="24" t="str">
        <x:f>'Evaluation Plan'!J79</x:f>
        <x:v>RP-CT-N09</x:v>
      </x:c>
      <x:c r="K79" s="24" t="str">
        <x:f>'Evaluation Plan'!K79</x:f>
        <x:v>right</x:v>
      </x:c>
      <x:c r="L79" s="24" t="str">
        <x:f>'Evaluation Plan'!L79</x:f>
        <x:v>Exact-scene masked manipulation control</x:v>
      </x:c>
      <x:c r="M79" s="24" t="str">
        <x:f>'Evaluation Plan'!M79</x:f>
        <x:v>green pen</x:v>
      </x:c>
      <x:c r="N79" s="24" t="str">
        <x:f>'Evaluation Plan'!N79</x:f>
        <x:v>red block</x:v>
      </x:c>
      <x:c r="O79" s="24" t="str">
        <x:f>'Evaluation Plan'!O79</x:f>
        <x:v>None</x:v>
      </x:c>
      <x:c r="P79" s="24" t="n">
        <x:f>'Evaluation Plan'!P79</x:f>
        <x:v>3</x:v>
      </x:c>
      <x:c r="Q79" s="24" t="str">
        <x:f>'Evaluation Plan'!Q79</x:f>
        <x:v>Reset P1 to its marked pose; preserve the exact scene and use the trained control instruction.</x:v>
      </x:c>
      <x:c r="R79" s="25" t="str">
        <x:f>'Evaluation Plan'!R79</x:f>
        <x:v>Exact-scene control using the final training prompt from episode 240. The target, reference, distractors, camera, and robot start match the paired transfer row.</x:v>
      </x:c>
      <x:c r="S79" s="25" t="str">
        <x:f>IF(ISBLANK('Evaluation Plan'!S79),"",'Evaluation Plan'!S79)</x:f>
      </x:c>
    </x:row>
    <x:row r="80" ht="72" customHeight="1">
      <x:c r="A80" s="9" t="str">
        <x:v>Not collected</x:v>
      </x:c>
      <x:c r="B80" s="9" t="n">
        <x:f>'Evaluation Plan'!B80</x:f>
        <x:v>78</x:v>
      </x:c>
      <x:c r="C80" s="10" t="str">
        <x:f>'Evaluation Plan'!C80</x:f>
        <x:v>Position the green pen on the robot's right-hand side of the red block.</x:v>
      </x:c>
      <x:c r="D80" s="10" t="str">
        <x:f>'Evaluation Plan'!D80</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0" s="9" t="n">
        <x:f>IF(ISBLANK('Evaluation Plan'!E80),"",'Evaluation Plan'!E80)</x:f>
        <x:v>76</x:v>
      </x:c>
      <x:c r="F80" s="9" t="str">
        <x:f>'Evaluation Plan'!F80</x:f>
        <x:v>240</x:v>
      </x:c>
      <x:c r="G80" s="9" t="str">
        <x:f>'Evaluation Plan'!G80</x:f>
        <x:v>green pen → 2–8 cm edge gap to the right of red block; centroid direction within ±45°.</x:v>
      </x:c>
      <x:c r="H80" s="10"/>
      <x:c r="I80" s="9" t="str">
        <x:f>'Evaluation Plan'!I80</x:f>
        <x:v>Language robustness</x:v>
      </x:c>
      <x:c r="J80" s="9" t="str">
        <x:f>'Evaluation Plan'!J80</x:f>
        <x:v>RP-CT-N09</x:v>
      </x:c>
      <x:c r="K80" s="9" t="str">
        <x:f>'Evaluation Plan'!K80</x:f>
        <x:v>right</x:v>
      </x:c>
      <x:c r="L80" s="9" t="str">
        <x:f>'Evaluation Plan'!L80</x:f>
        <x:v>Transfer paraphrase of concept/compositional transfer</x:v>
      </x:c>
      <x:c r="M80" s="9" t="str">
        <x:f>'Evaluation Plan'!M80</x:f>
        <x:v>green pen</x:v>
      </x:c>
      <x:c r="N80" s="9" t="str">
        <x:f>'Evaluation Plan'!N80</x:f>
        <x:v>red block</x:v>
      </x:c>
      <x:c r="O80" s="9" t="str">
        <x:f>'Evaluation Plan'!O80</x:f>
        <x:v>None</x:v>
      </x:c>
      <x:c r="P80" s="9" t="n">
        <x:f>'Evaluation Plan'!P80</x:f>
        <x:v>3</x:v>
      </x:c>
      <x:c r="Q80" s="9" t="str">
        <x:f>'Evaluation Plan'!Q80</x:f>
        <x:v>Reset P1 to its marked pose; preserve the exact scene and change only the wording of the transfer instruction.</x:v>
      </x:c>
      <x:c r="R80" s="10" t="str">
        <x:f>'Evaluation Plan'!R80</x:f>
        <x:v>Exact-scene paraphrase of the canonical compositional-transfer instruction.</x:v>
      </x:c>
      <x:c r="S80" s="10" t="str">
        <x:f>IF(ISBLANK('Evaluation Plan'!S80),"",'Evaluation Plan'!S80)</x:f>
      </x:c>
    </x:row>
    <x:row r="81" ht="72" customHeight="1">
      <x:c r="A81" s="24" t="str">
        <x:v>Not collected</x:v>
      </x:c>
      <x:c r="B81" s="24" t="n">
        <x:f>'Evaluation Plan'!B81</x:f>
        <x:v>79</x:v>
      </x:c>
      <x:c r="C81" s="25" t="str">
        <x:f>'Evaluation Plan'!C81</x:f>
        <x:v>Set the green pen down close to the red block.</x:v>
      </x:c>
      <x:c r="D81" s="25" t="str">
        <x:f>'Evaluation Plan'!D81</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1" s="24" t="n">
        <x:f>IF(ISBLANK('Evaluation Plan'!E81),"",'Evaluation Plan'!E81)</x:f>
        <x:v>77</x:v>
      </x:c>
      <x:c r="F81" s="24" t="str">
        <x:f>'Evaluation Plan'!F81</x:f>
        <x:v>240</x:v>
      </x:c>
      <x:c r="G81" s="24" t="str">
        <x:f>'Evaluation Plan'!G81</x:f>
        <x:v>green pen → 2–8 cm edge gap near red block; no directional sector required.</x:v>
      </x:c>
      <x:c r="H81" s="25"/>
      <x:c r="I81" s="24" t="str">
        <x:f>'Evaluation Plan'!I81</x:f>
        <x:v>Language robustness</x:v>
      </x:c>
      <x:c r="J81" s="24" t="str">
        <x:f>'Evaluation Plan'!J81</x:f>
        <x:v>RP-CT-N09</x:v>
      </x:c>
      <x:c r="K81" s="24" t="str">
        <x:f>'Evaluation Plan'!K81</x:f>
        <x:v>right</x:v>
      </x:c>
      <x:c r="L81" s="24" t="str">
        <x:f>'Evaluation Plan'!L81</x:f>
        <x:v>Matched-control paraphrase</x:v>
      </x:c>
      <x:c r="M81" s="24" t="str">
        <x:f>'Evaluation Plan'!M81</x:f>
        <x:v>green pen</x:v>
      </x:c>
      <x:c r="N81" s="24" t="str">
        <x:f>'Evaluation Plan'!N81</x:f>
        <x:v>red block</x:v>
      </x:c>
      <x:c r="O81" s="24" t="str">
        <x:f>'Evaluation Plan'!O81</x:f>
        <x:v>None</x:v>
      </x:c>
      <x:c r="P81" s="24" t="n">
        <x:f>'Evaluation Plan'!P81</x:f>
        <x:v>3</x:v>
      </x:c>
      <x:c r="Q81" s="24" t="str">
        <x:f>'Evaluation Plan'!Q81</x:f>
        <x:v>Reset P1 to its marked pose; preserve the exact scene and change only the wording of the matched-control instruction.</x:v>
      </x:c>
      <x:c r="R81" s="25" t="str">
        <x:f>'Evaluation Plan'!R81</x:f>
        <x:v>Exact-scene paraphrase of the training-supported control from episode 240.</x:v>
      </x:c>
      <x:c r="S81" s="25" t="str">
        <x:f>IF(ISBLANK('Evaluation Plan'!S81),"",'Evaluation Plan'!S81)</x:f>
      </x:c>
    </x:row>
    <x:row r="82" ht="72" customHeight="1">
      <x:c r="A82" s="9" t="str">
        <x:v>Not collected</x:v>
      </x:c>
      <x:c r="B82" s="9" t="n">
        <x:f>'Evaluation Plan'!B82</x:f>
        <x:v>80</x:v>
      </x:c>
      <x:c r="C82" s="10" t="str">
        <x:f>'Evaluation Plan'!C82</x:f>
        <x:v>Place the red block to the right of the green pen.</x:v>
      </x:c>
      <x:c r="D82" s="10" t="str">
        <x:f>'Evaluation Plan'!D82</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2" s="9" t="str">
        <x:f>IF(ISBLANK('Evaluation Plan'!E82),"",'Evaluation Plan'!E82)</x:f>
      </x:c>
      <x:c r="F82" s="9" t="str">
        <x:f>'Evaluation Plan'!F82</x:f>
        <x:v>298</x:v>
      </x:c>
      <x:c r="G82" s="9" t="str">
        <x:f>'Evaluation Plan'!G82</x:f>
        <x:v>red block → 2–8 cm edge gap to the right of green pen; centroid direction within ±45°.</x:v>
      </x:c>
      <x:c r="H82" s="10"/>
      <x:c r="I82" s="9" t="str">
        <x:f>'Evaluation Plan'!I82</x:f>
        <x:v>Concept/compositional transfer</x:v>
      </x:c>
      <x:c r="J82" s="9" t="str">
        <x:f>'Evaluation Plan'!J82</x:f>
        <x:v>RP-CT-N10</x:v>
      </x:c>
      <x:c r="K82" s="9" t="str">
        <x:f>'Evaluation Plan'!K82</x:f>
        <x:v>right</x:v>
      </x:c>
      <x:c r="L82" s="9" t="str">
        <x:f>'Evaluation Plan'!L82</x:f>
        <x:v>Neutral-axis independent compositional-transfer scene</x:v>
      </x:c>
      <x:c r="M82" s="9" t="str">
        <x:f>'Evaluation Plan'!M82</x:f>
        <x:v>red block</x:v>
      </x:c>
      <x:c r="N82" s="9" t="str">
        <x:f>'Evaluation Plan'!N82</x:f>
        <x:v>green pen</x:v>
      </x:c>
      <x:c r="O82" s="9" t="str">
        <x:f>'Evaluation Plan'!O82</x:f>
        <x:v>None</x:v>
      </x:c>
      <x:c r="P82" s="9" t="n">
        <x:f>'Evaluation Plan'!P82</x:f>
        <x:v>4</x:v>
      </x:c>
      <x:c r="Q82" s="9" t="str">
        <x:f>'Evaluation Plan'!Q82</x:f>
        <x:v>Build the listed neutral-axis scene and save the first frame.</x:v>
      </x:c>
      <x:c r="R82" s="10" t="str">
        <x:f>'Evaluation Plan'!R82</x:f>
        <x:v>Independent held-out-composition scene. Source episode 298 supplies target recognition/manipulation under the trained prompt “Put the red block beside the green pen.”. The orthogonal start removes the opposite-side shortcut.</x:v>
      </x:c>
      <x:c r="S82" s="10" t="str">
        <x:f>IF(ISBLANK('Evaluation Plan'!S82),"",'Evaluation Plan'!S82)</x:f>
      </x:c>
    </x:row>
    <x:row r="83" ht="72" customHeight="1">
      <x:c r="A83" s="9" t="str">
        <x:v>Not collected</x:v>
      </x:c>
      <x:c r="B83" s="9" t="n">
        <x:f>'Evaluation Plan'!B83</x:f>
        <x:v>81</x:v>
      </x:c>
      <x:c r="C83" s="10" t="str">
        <x:f>'Evaluation Plan'!C83</x:f>
        <x:v>Put the red block beside the green pen.</x:v>
      </x:c>
      <x:c r="D83" s="10" t="str">
        <x:f>'Evaluation Plan'!D83</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3" s="9" t="n">
        <x:f>IF(ISBLANK('Evaluation Plan'!E83),"",'Evaluation Plan'!E83)</x:f>
        <x:v>80</x:v>
      </x:c>
      <x:c r="F83" s="9" t="str">
        <x:f>'Evaluation Plan'!F83</x:f>
        <x:v>298</x:v>
      </x:c>
      <x:c r="G83" s="9" t="str">
        <x:f>'Evaluation Plan'!G83</x:f>
        <x:v>red block → 2–8 cm edge gap near green pen; no directional sector required.</x:v>
      </x:c>
      <x:c r="H83" s="10"/>
      <x:c r="I83" s="9" t="str">
        <x:f>'Evaluation Plan'!I83</x:f>
        <x:v>Matched manipulation control</x:v>
      </x:c>
      <x:c r="J83" s="9" t="str">
        <x:f>'Evaluation Plan'!J83</x:f>
        <x:v>RP-CT-N10</x:v>
      </x:c>
      <x:c r="K83" s="9" t="str">
        <x:f>'Evaluation Plan'!K83</x:f>
        <x:v>right</x:v>
      </x:c>
      <x:c r="L83" s="9" t="str">
        <x:f>'Evaluation Plan'!L83</x:f>
        <x:v>Exact-scene masked manipulation control</x:v>
      </x:c>
      <x:c r="M83" s="9" t="str">
        <x:f>'Evaluation Plan'!M83</x:f>
        <x:v>red block</x:v>
      </x:c>
      <x:c r="N83" s="9" t="str">
        <x:f>'Evaluation Plan'!N83</x:f>
        <x:v>green pen</x:v>
      </x:c>
      <x:c r="O83" s="9" t="str">
        <x:f>'Evaluation Plan'!O83</x:f>
        <x:v>None</x:v>
      </x:c>
      <x:c r="P83" s="9" t="n">
        <x:f>'Evaluation Plan'!P83</x:f>
        <x:v>4</x:v>
      </x:c>
      <x:c r="Q83" s="9" t="str">
        <x:f>'Evaluation Plan'!Q83</x:f>
        <x:v>Reset P1 to its marked pose; preserve the exact scene and use the trained control instruction.</x:v>
      </x:c>
      <x:c r="R83" s="10" t="str">
        <x:f>'Evaluation Plan'!R83</x:f>
        <x:v>Exact-scene control using the final training prompt from episode 298. The target, reference, distractors, camera, and robot start match the paired transfer row.</x:v>
      </x:c>
      <x:c r="S83" s="10" t="str">
        <x:f>IF(ISBLANK('Evaluation Plan'!S83),"",'Evaluation Plan'!S83)</x:f>
      </x:c>
    </x:row>
    <x:row r="84" ht="72" customHeight="1">
      <x:c r="A84" s="9" t="str">
        <x:v>Not collected</x:v>
      </x:c>
      <x:c r="B84" s="9" t="n">
        <x:f>'Evaluation Plan'!B84</x:f>
        <x:v>82</x:v>
      </x:c>
      <x:c r="C84" s="10" t="str">
        <x:f>'Evaluation Plan'!C84</x:f>
        <x:v>Position the red block on the robot's right-hand side of the green pen.</x:v>
      </x:c>
      <x:c r="D84" s="10" t="str">
        <x:f>'Evaluation Plan'!D84</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4" s="9" t="n">
        <x:f>IF(ISBLANK('Evaluation Plan'!E84),"",'Evaluation Plan'!E84)</x:f>
        <x:v>80</x:v>
      </x:c>
      <x:c r="F84" s="9" t="str">
        <x:f>'Evaluation Plan'!F84</x:f>
        <x:v>298</x:v>
      </x:c>
      <x:c r="G84" s="9" t="str">
        <x:f>'Evaluation Plan'!G84</x:f>
        <x:v>red block → 2–8 cm edge gap to the right of green pen; centroid direction within ±45°.</x:v>
      </x:c>
      <x:c r="H84" s="10"/>
      <x:c r="I84" s="9" t="str">
        <x:f>'Evaluation Plan'!I84</x:f>
        <x:v>Language robustness</x:v>
      </x:c>
      <x:c r="J84" s="9" t="str">
        <x:f>'Evaluation Plan'!J84</x:f>
        <x:v>RP-CT-N10</x:v>
      </x:c>
      <x:c r="K84" s="9" t="str">
        <x:f>'Evaluation Plan'!K84</x:f>
        <x:v>right</x:v>
      </x:c>
      <x:c r="L84" s="9" t="str">
        <x:f>'Evaluation Plan'!L84</x:f>
        <x:v>Transfer paraphrase of concept/compositional transfer</x:v>
      </x:c>
      <x:c r="M84" s="9" t="str">
        <x:f>'Evaluation Plan'!M84</x:f>
        <x:v>red block</x:v>
      </x:c>
      <x:c r="N84" s="9" t="str">
        <x:f>'Evaluation Plan'!N84</x:f>
        <x:v>green pen</x:v>
      </x:c>
      <x:c r="O84" s="9" t="str">
        <x:f>'Evaluation Plan'!O84</x:f>
        <x:v>None</x:v>
      </x:c>
      <x:c r="P84" s="9" t="n">
        <x:f>'Evaluation Plan'!P84</x:f>
        <x:v>4</x:v>
      </x:c>
      <x:c r="Q84" s="9" t="str">
        <x:f>'Evaluation Plan'!Q84</x:f>
        <x:v>Reset P1 to its marked pose; preserve the exact scene and change only the wording of the transfer instruction.</x:v>
      </x:c>
      <x:c r="R84" s="10" t="str">
        <x:f>'Evaluation Plan'!R84</x:f>
        <x:v>Exact-scene paraphrase of the canonical compositional-transfer instruction.</x:v>
      </x:c>
      <x:c r="S84" s="10" t="str">
        <x:f>IF(ISBLANK('Evaluation Plan'!S84),"",'Evaluation Plan'!S84)</x:f>
      </x:c>
    </x:row>
    <x:row r="85" ht="72" customHeight="1">
      <x:c r="A85" s="9" t="str">
        <x:v>Not collected</x:v>
      </x:c>
      <x:c r="B85" s="9" t="n">
        <x:f>'Evaluation Plan'!B85</x:f>
        <x:v>83</x:v>
      </x:c>
      <x:c r="C85" s="10" t="str">
        <x:f>'Evaluation Plan'!C85</x:f>
        <x:v>Set the red block down close to the green pen.</x:v>
      </x:c>
      <x:c r="D85" s="10" t="str">
        <x:f>'Evaluation Plan'!D85</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5" s="9" t="n">
        <x:f>IF(ISBLANK('Evaluation Plan'!E85),"",'Evaluation Plan'!E85)</x:f>
        <x:v>81</x:v>
      </x:c>
      <x:c r="F85" s="9" t="str">
        <x:f>'Evaluation Plan'!F85</x:f>
        <x:v>298</x:v>
      </x:c>
      <x:c r="G85" s="9" t="str">
        <x:f>'Evaluation Plan'!G85</x:f>
        <x:v>red block → 2–8 cm edge gap near green pen; no directional sector required.</x:v>
      </x:c>
      <x:c r="H85" s="10"/>
      <x:c r="I85" s="9" t="str">
        <x:f>'Evaluation Plan'!I85</x:f>
        <x:v>Language robustness</x:v>
      </x:c>
      <x:c r="J85" s="9" t="str">
        <x:f>'Evaluation Plan'!J85</x:f>
        <x:v>RP-CT-N10</x:v>
      </x:c>
      <x:c r="K85" s="9" t="str">
        <x:f>'Evaluation Plan'!K85</x:f>
        <x:v>right</x:v>
      </x:c>
      <x:c r="L85" s="9" t="str">
        <x:f>'Evaluation Plan'!L85</x:f>
        <x:v>Matched-control paraphrase</x:v>
      </x:c>
      <x:c r="M85" s="9" t="str">
        <x:f>'Evaluation Plan'!M85</x:f>
        <x:v>red block</x:v>
      </x:c>
      <x:c r="N85" s="9" t="str">
        <x:f>'Evaluation Plan'!N85</x:f>
        <x:v>green pen</x:v>
      </x:c>
      <x:c r="O85" s="9" t="str">
        <x:f>'Evaluation Plan'!O85</x:f>
        <x:v>None</x:v>
      </x:c>
      <x:c r="P85" s="9" t="n">
        <x:f>'Evaluation Plan'!P85</x:f>
        <x:v>4</x:v>
      </x:c>
      <x:c r="Q85" s="9" t="str">
        <x:f>'Evaluation Plan'!Q85</x:f>
        <x:v>Reset P1 to its marked pose; preserve the exact scene and change only the wording of the matched-control instruction.</x:v>
      </x:c>
      <x:c r="R85" s="10" t="str">
        <x:f>'Evaluation Plan'!R85</x:f>
        <x:v>Exact-scene paraphrase of the training-supported control from episode 298.</x:v>
      </x:c>
      <x:c r="S85" s="10" t="str">
        <x:f>IF(ISBLANK('Evaluation Plan'!S85),"",'Evaluation Plan'!S85)</x:f>
      </x:c>
    </x:row>
    <x:row r="86" ht="72" customHeight="1">
      <x:c r="A86" s="9" t="str">
        <x:v>Not collected</x:v>
      </x:c>
      <x:c r="B86" s="9" t="n">
        <x:f>'Evaluation Plan'!B86</x:f>
        <x:v>84</x:v>
      </x:c>
      <x:c r="C86" s="10" t="str">
        <x:f>'Evaluation Plan'!C86</x:f>
        <x:v>Place the green pen in front of the red block.</x:v>
      </x:c>
      <x:c r="D86" s="10" t="str">
        <x:f>'Evaluation Plan'!D86</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6" s="9" t="str">
        <x:f>IF(ISBLANK('Evaluation Plan'!E86),"",'Evaluation Plan'!E86)</x:f>
      </x:c>
      <x:c r="F86" s="9" t="str">
        <x:f>'Evaluation Plan'!F86</x:f>
        <x:v>202</x:v>
      </x:c>
      <x:c r="G86" s="9" t="str">
        <x:f>'Evaluation Plan'!G86</x:f>
        <x:v>green pen → 2–8 cm edge gap in front of red block; centroid direction within ±45°.</x:v>
      </x:c>
      <x:c r="H86" s="10"/>
      <x:c r="I86" s="9" t="str">
        <x:f>'Evaluation Plan'!I86</x:f>
        <x:v>Concept/compositional transfer</x:v>
      </x:c>
      <x:c r="J86" s="9" t="str">
        <x:f>'Evaluation Plan'!J86</x:f>
        <x:v>RP-CT-N11</x:v>
      </x:c>
      <x:c r="K86" s="9" t="str">
        <x:f>'Evaluation Plan'!K86</x:f>
        <x:v>front</x:v>
      </x:c>
      <x:c r="L86" s="9" t="str">
        <x:f>'Evaluation Plan'!L86</x:f>
        <x:v>Neutral-axis independent compositional-transfer scene</x:v>
      </x:c>
      <x:c r="M86" s="9" t="str">
        <x:f>'Evaluation Plan'!M86</x:f>
        <x:v>green pen</x:v>
      </x:c>
      <x:c r="N86" s="9" t="str">
        <x:f>'Evaluation Plan'!N86</x:f>
        <x:v>red block</x:v>
      </x:c>
      <x:c r="O86" s="9" t="str">
        <x:f>'Evaluation Plan'!O86</x:f>
        <x:v>None</x:v>
      </x:c>
      <x:c r="P86" s="9" t="n">
        <x:f>'Evaluation Plan'!P86</x:f>
        <x:v>4</x:v>
      </x:c>
      <x:c r="Q86" s="9" t="str">
        <x:f>'Evaluation Plan'!Q86</x:f>
        <x:v>Build the listed neutral-axis scene and save the first frame.</x:v>
      </x:c>
      <x:c r="R86" s="10" t="str">
        <x:f>'Evaluation Plan'!R86</x:f>
        <x:v>Independent held-out-composition scene. Source episode 202 supplies target recognition/manipulation under the trained prompt “Put the green pen beside the red block.”. The orthogonal start removes the opposite-side shortcut.</x:v>
      </x:c>
      <x:c r="S86" s="10" t="str">
        <x:f>IF(ISBLANK('Evaluation Plan'!S86),"",'Evaluation Plan'!S86)</x:f>
      </x:c>
    </x:row>
    <x:row r="87" ht="72" customHeight="1">
      <x:c r="A87" s="9" t="str">
        <x:v>Not collected</x:v>
      </x:c>
      <x:c r="B87" s="9" t="n">
        <x:f>'Evaluation Plan'!B87</x:f>
        <x:v>85</x:v>
      </x:c>
      <x:c r="C87" s="10" t="str">
        <x:f>'Evaluation Plan'!C87</x:f>
        <x:v>Put the green pen beside the red block.</x:v>
      </x:c>
      <x:c r="D87" s="10" t="str">
        <x:f>'Evaluation Plan'!D87</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7" s="9" t="n">
        <x:f>IF(ISBLANK('Evaluation Plan'!E87),"",'Evaluation Plan'!E87)</x:f>
        <x:v>84</x:v>
      </x:c>
      <x:c r="F87" s="9" t="str">
        <x:f>'Evaluation Plan'!F87</x:f>
        <x:v>202</x:v>
      </x:c>
      <x:c r="G87" s="9" t="str">
        <x:f>'Evaluation Plan'!G87</x:f>
        <x:v>green pen → 2–8 cm edge gap near red block; no directional sector required.</x:v>
      </x:c>
      <x:c r="H87" s="10"/>
      <x:c r="I87" s="9" t="str">
        <x:f>'Evaluation Plan'!I87</x:f>
        <x:v>Matched manipulation control</x:v>
      </x:c>
      <x:c r="J87" s="9" t="str">
        <x:f>'Evaluation Plan'!J87</x:f>
        <x:v>RP-CT-N11</x:v>
      </x:c>
      <x:c r="K87" s="9" t="str">
        <x:f>'Evaluation Plan'!K87</x:f>
        <x:v>front</x:v>
      </x:c>
      <x:c r="L87" s="9" t="str">
        <x:f>'Evaluation Plan'!L87</x:f>
        <x:v>Exact-scene masked manipulation control</x:v>
      </x:c>
      <x:c r="M87" s="9" t="str">
        <x:f>'Evaluation Plan'!M87</x:f>
        <x:v>green pen</x:v>
      </x:c>
      <x:c r="N87" s="9" t="str">
        <x:f>'Evaluation Plan'!N87</x:f>
        <x:v>red block</x:v>
      </x:c>
      <x:c r="O87" s="9" t="str">
        <x:f>'Evaluation Plan'!O87</x:f>
        <x:v>None</x:v>
      </x:c>
      <x:c r="P87" s="9" t="n">
        <x:f>'Evaluation Plan'!P87</x:f>
        <x:v>4</x:v>
      </x:c>
      <x:c r="Q87" s="9" t="str">
        <x:f>'Evaluation Plan'!Q87</x:f>
        <x:v>Reset P1 to its marked pose; preserve the exact scene and use the trained control instruction.</x:v>
      </x:c>
      <x:c r="R87" s="10" t="str">
        <x:f>'Evaluation Plan'!R87</x:f>
        <x:v>Exact-scene control using the final training prompt from episode 202. The target, reference, distractors, camera, and robot start match the paired transfer row.</x:v>
      </x:c>
      <x:c r="S87" s="10" t="str">
        <x:f>IF(ISBLANK('Evaluation Plan'!S87),"",'Evaluation Plan'!S87)</x:f>
      </x:c>
    </x:row>
    <x:row r="88" ht="72" customHeight="1">
      <x:c r="A88" s="9" t="str">
        <x:v>Not collected</x:v>
      </x:c>
      <x:c r="B88" s="9" t="n">
        <x:f>'Evaluation Plan'!B88</x:f>
        <x:v>86</x:v>
      </x:c>
      <x:c r="C88" s="10" t="str">
        <x:f>'Evaluation Plan'!C88</x:f>
        <x:v>Place the red block in front of the green pen.</x:v>
      </x:c>
      <x:c r="D88" s="10" t="str">
        <x:f>'Evaluation Plan'!D88</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8" s="9" t="str">
        <x:f>IF(ISBLANK('Evaluation Plan'!E88),"",'Evaluation Plan'!E88)</x:f>
      </x:c>
      <x:c r="F88" s="9" t="str">
        <x:f>'Evaluation Plan'!F88</x:f>
        <x:v>261</x:v>
      </x:c>
      <x:c r="G88" s="9" t="str">
        <x:f>'Evaluation Plan'!G88</x:f>
        <x:v>red block → 2–8 cm edge gap in front of green pen; centroid direction within ±45°.</x:v>
      </x:c>
      <x:c r="H88" s="10"/>
      <x:c r="I88" s="9" t="str">
        <x:f>'Evaluation Plan'!I88</x:f>
        <x:v>Concept/compositional transfer</x:v>
      </x:c>
      <x:c r="J88" s="9" t="str">
        <x:f>'Evaluation Plan'!J88</x:f>
        <x:v>RP-CT-N12</x:v>
      </x:c>
      <x:c r="K88" s="9" t="str">
        <x:f>'Evaluation Plan'!K88</x:f>
        <x:v>front</x:v>
      </x:c>
      <x:c r="L88" s="9" t="str">
        <x:f>'Evaluation Plan'!L88</x:f>
        <x:v>Neutral-axis independent compositional-transfer scene</x:v>
      </x:c>
      <x:c r="M88" s="9" t="str">
        <x:f>'Evaluation Plan'!M88</x:f>
        <x:v>red block</x:v>
      </x:c>
      <x:c r="N88" s="9" t="str">
        <x:f>'Evaluation Plan'!N88</x:f>
        <x:v>green pen</x:v>
      </x:c>
      <x:c r="O88" s="9" t="str">
        <x:f>'Evaluation Plan'!O88</x:f>
        <x:v>None</x:v>
      </x:c>
      <x:c r="P88" s="9" t="n">
        <x:f>'Evaluation Plan'!P88</x:f>
        <x:v>3</x:v>
      </x:c>
      <x:c r="Q88" s="9" t="str">
        <x:f>'Evaluation Plan'!Q88</x:f>
        <x:v>Build the listed neutral-axis scene and save the first frame.</x:v>
      </x:c>
      <x:c r="R88" s="10" t="str">
        <x:f>'Evaluation Plan'!R88</x:f>
        <x:v>Independent held-out-composition scene. Source episode 261 supplies target recognition/manipulation under the trained prompt “Place the red block next to the green pen.”. The orthogonal start removes the opposite-side shortcut.</x:v>
      </x:c>
      <x:c r="S88" s="10" t="str">
        <x:f>IF(ISBLANK('Evaluation Plan'!S88),"",'Evaluation Plan'!S88)</x:f>
      </x:c>
    </x:row>
    <x:row r="89" ht="72" customHeight="1">
      <x:c r="A89" s="9" t="str">
        <x:v>Not collected</x:v>
      </x:c>
      <x:c r="B89" s="9" t="n">
        <x:f>'Evaluation Plan'!B89</x:f>
        <x:v>87</x:v>
      </x:c>
      <x:c r="C89" s="10" t="str">
        <x:f>'Evaluation Plan'!C89</x:f>
        <x:v>Place the red block next to the green pen.</x:v>
      </x:c>
      <x:c r="D89" s="10" t="str">
        <x:f>'Evaluation Plan'!D89</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9" s="9" t="n">
        <x:f>IF(ISBLANK('Evaluation Plan'!E89),"",'Evaluation Plan'!E89)</x:f>
        <x:v>86</x:v>
      </x:c>
      <x:c r="F89" s="9" t="str">
        <x:f>'Evaluation Plan'!F89</x:f>
        <x:v>261</x:v>
      </x:c>
      <x:c r="G89" s="9" t="str">
        <x:f>'Evaluation Plan'!G89</x:f>
        <x:v>red block → 2–8 cm edge gap near green pen; no directional sector required.</x:v>
      </x:c>
      <x:c r="H89" s="10"/>
      <x:c r="I89" s="9" t="str">
        <x:f>'Evaluation Plan'!I89</x:f>
        <x:v>Matched manipulation control</x:v>
      </x:c>
      <x:c r="J89" s="9" t="str">
        <x:f>'Evaluation Plan'!J89</x:f>
        <x:v>RP-CT-N12</x:v>
      </x:c>
      <x:c r="K89" s="9" t="str">
        <x:f>'Evaluation Plan'!K89</x:f>
        <x:v>front</x:v>
      </x:c>
      <x:c r="L89" s="9" t="str">
        <x:f>'Evaluation Plan'!L89</x:f>
        <x:v>Exact-scene masked manipulation control</x:v>
      </x:c>
      <x:c r="M89" s="9" t="str">
        <x:f>'Evaluation Plan'!M89</x:f>
        <x:v>red block</x:v>
      </x:c>
      <x:c r="N89" s="9" t="str">
        <x:f>'Evaluation Plan'!N89</x:f>
        <x:v>green pen</x:v>
      </x:c>
      <x:c r="O89" s="9" t="str">
        <x:f>'Evaluation Plan'!O89</x:f>
        <x:v>None</x:v>
      </x:c>
      <x:c r="P89" s="9" t="n">
        <x:f>'Evaluation Plan'!P89</x:f>
        <x:v>3</x:v>
      </x:c>
      <x:c r="Q89" s="9" t="str">
        <x:f>'Evaluation Plan'!Q89</x:f>
        <x:v>Reset P1 to its marked pose; preserve the exact scene and use the trained control instruction.</x:v>
      </x:c>
      <x:c r="R89" s="10" t="str">
        <x:f>'Evaluation Plan'!R89</x:f>
        <x:v>Exact-scene control using the final training prompt from episode 261. The target, reference, distractors, camera, and robot start match the paired transfer row.</x:v>
      </x:c>
      <x:c r="S89" s="10" t="str">
        <x:f>IF(ISBLANK('Evaluation Plan'!S89),"",'Evaluation Plan'!S89)</x:f>
      </x:c>
    </x:row>
    <x:row r="90" ht="72" customHeight="1">
      <x:c r="A90" s="9" t="str">
        <x:v>Not collected</x:v>
      </x:c>
      <x:c r="B90" s="9" t="n">
        <x:f>'Evaluation Plan'!B90</x:f>
        <x:v>88</x:v>
      </x:c>
      <x:c r="C90" s="10" t="str">
        <x:f>'Evaluation Plan'!C90</x:f>
        <x:v>Place the green pen behind the red block.</x:v>
      </x:c>
      <x:c r="D90" s="10" t="str">
        <x:f>'Evaluation Plan'!D90</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0" s="9" t="str">
        <x:f>IF(ISBLANK('Evaluation Plan'!E90),"",'Evaluation Plan'!E90)</x:f>
      </x:c>
      <x:c r="F90" s="9" t="str">
        <x:f>'Evaluation Plan'!F90</x:f>
        <x:v>213</x:v>
      </x:c>
      <x:c r="G90" s="9" t="str">
        <x:f>'Evaluation Plan'!G90</x:f>
        <x:v>green pen → 2–8 cm edge gap behind red block; centroid direction within ±45°.</x:v>
      </x:c>
      <x:c r="H90" s="10"/>
      <x:c r="I90" s="9" t="str">
        <x:f>'Evaluation Plan'!I90</x:f>
        <x:v>Concept/compositional transfer</x:v>
      </x:c>
      <x:c r="J90" s="9" t="str">
        <x:f>'Evaluation Plan'!J90</x:f>
        <x:v>RP-CT-N13</x:v>
      </x:c>
      <x:c r="K90" s="9" t="str">
        <x:f>'Evaluation Plan'!K90</x:f>
        <x:v>behind</x:v>
      </x:c>
      <x:c r="L90" s="9" t="str">
        <x:f>'Evaluation Plan'!L90</x:f>
        <x:v>Neutral-axis independent compositional-transfer scene</x:v>
      </x:c>
      <x:c r="M90" s="9" t="str">
        <x:f>'Evaluation Plan'!M90</x:f>
        <x:v>green pen</x:v>
      </x:c>
      <x:c r="N90" s="9" t="str">
        <x:f>'Evaluation Plan'!N90</x:f>
        <x:v>red block</x:v>
      </x:c>
      <x:c r="O90" s="9" t="str">
        <x:f>'Evaluation Plan'!O90</x:f>
        <x:v>None</x:v>
      </x:c>
      <x:c r="P90" s="9" t="n">
        <x:f>'Evaluation Plan'!P90</x:f>
        <x:v>3</x:v>
      </x:c>
      <x:c r="Q90" s="9" t="str">
        <x:f>'Evaluation Plan'!Q90</x:f>
        <x:v>Build the listed neutral-axis scene and save the first frame.</x:v>
      </x:c>
      <x:c r="R90" s="10" t="str">
        <x:f>'Evaluation Plan'!R90</x:f>
        <x:v>Independent held-out-composition scene. Source episode 213 supplies target recognition/manipulation under the trained prompt “Place the green pen next to the red block.”. The orthogonal start removes the opposite-side shortcut.</x:v>
      </x:c>
      <x:c r="S90" s="10" t="str">
        <x:f>IF(ISBLANK('Evaluation Plan'!S90),"",'Evaluation Plan'!S90)</x:f>
      </x:c>
    </x:row>
    <x:row r="91" ht="72" customHeight="1">
      <x:c r="A91" s="9" t="str">
        <x:v>Not collected</x:v>
      </x:c>
      <x:c r="B91" s="9" t="n">
        <x:f>'Evaluation Plan'!B91</x:f>
        <x:v>89</x:v>
      </x:c>
      <x:c r="C91" s="10" t="str">
        <x:f>'Evaluation Plan'!C91</x:f>
        <x:v>Place the green pen next to the red block.</x:v>
      </x:c>
      <x:c r="D91" s="10" t="str">
        <x:f>'Evaluation Plan'!D91</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1" s="9" t="n">
        <x:f>IF(ISBLANK('Evaluation Plan'!E91),"",'Evaluation Plan'!E91)</x:f>
        <x:v>88</x:v>
      </x:c>
      <x:c r="F91" s="9" t="str">
        <x:f>'Evaluation Plan'!F91</x:f>
        <x:v>213</x:v>
      </x:c>
      <x:c r="G91" s="9" t="str">
        <x:f>'Evaluation Plan'!G91</x:f>
        <x:v>green pen → 2–8 cm edge gap near red block; no directional sector required.</x:v>
      </x:c>
      <x:c r="H91" s="10"/>
      <x:c r="I91" s="9" t="str">
        <x:f>'Evaluation Plan'!I91</x:f>
        <x:v>Matched manipulation control</x:v>
      </x:c>
      <x:c r="J91" s="9" t="str">
        <x:f>'Evaluation Plan'!J91</x:f>
        <x:v>RP-CT-N13</x:v>
      </x:c>
      <x:c r="K91" s="9" t="str">
        <x:f>'Evaluation Plan'!K91</x:f>
        <x:v>behind</x:v>
      </x:c>
      <x:c r="L91" s="9" t="str">
        <x:f>'Evaluation Plan'!L91</x:f>
        <x:v>Exact-scene masked manipulation control</x:v>
      </x:c>
      <x:c r="M91" s="9" t="str">
        <x:f>'Evaluation Plan'!M91</x:f>
        <x:v>green pen</x:v>
      </x:c>
      <x:c r="N91" s="9" t="str">
        <x:f>'Evaluation Plan'!N91</x:f>
        <x:v>red block</x:v>
      </x:c>
      <x:c r="O91" s="9" t="str">
        <x:f>'Evaluation Plan'!O91</x:f>
        <x:v>None</x:v>
      </x:c>
      <x:c r="P91" s="9" t="n">
        <x:f>'Evaluation Plan'!P91</x:f>
        <x:v>3</x:v>
      </x:c>
      <x:c r="Q91" s="9" t="str">
        <x:f>'Evaluation Plan'!Q91</x:f>
        <x:v>Reset P1 to its marked pose; preserve the exact scene and use the trained control instruction.</x:v>
      </x:c>
      <x:c r="R91" s="10" t="str">
        <x:f>'Evaluation Plan'!R91</x:f>
        <x:v>Exact-scene control using the final training prompt from episode 213. The target, reference, distractors, camera, and robot start match the paired transfer row.</x:v>
      </x:c>
      <x:c r="S91" s="10" t="str">
        <x:f>IF(ISBLANK('Evaluation Plan'!S91),"",'Evaluation Plan'!S91)</x:f>
      </x:c>
    </x:row>
    <x:row r="92" ht="72" customHeight="1">
      <x:c r="A92" s="9" t="str">
        <x:v>Not collected</x:v>
      </x:c>
      <x:c r="B92" s="9" t="n">
        <x:f>'Evaluation Plan'!B92</x:f>
        <x:v>90</x:v>
      </x:c>
      <x:c r="C92" s="10" t="str">
        <x:f>'Evaluation Plan'!C92</x:f>
        <x:v>Place the red block behind the green pen.</x:v>
      </x:c>
      <x:c r="D92" s="10" t="str">
        <x:f>'Evaluation Plan'!D92</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2" s="9" t="str">
        <x:f>IF(ISBLANK('Evaluation Plan'!E92),"",'Evaluation Plan'!E92)</x:f>
      </x:c>
      <x:c r="F92" s="9" t="str">
        <x:f>'Evaluation Plan'!F92</x:f>
        <x:v>273</x:v>
      </x:c>
      <x:c r="G92" s="9" t="str">
        <x:f>'Evaluation Plan'!G92</x:f>
        <x:v>red block → 2–8 cm edge gap behind green pen; centroid direction within ±45°.</x:v>
      </x:c>
      <x:c r="H92" s="10"/>
      <x:c r="I92" s="9" t="str">
        <x:f>'Evaluation Plan'!I92</x:f>
        <x:v>Concept/compositional transfer</x:v>
      </x:c>
      <x:c r="J92" s="9" t="str">
        <x:f>'Evaluation Plan'!J92</x:f>
        <x:v>RP-CT-N14</x:v>
      </x:c>
      <x:c r="K92" s="9" t="str">
        <x:f>'Evaluation Plan'!K92</x:f>
        <x:v>behind</x:v>
      </x:c>
      <x:c r="L92" s="9" t="str">
        <x:f>'Evaluation Plan'!L92</x:f>
        <x:v>Neutral-axis independent compositional-transfer scene</x:v>
      </x:c>
      <x:c r="M92" s="9" t="str">
        <x:f>'Evaluation Plan'!M92</x:f>
        <x:v>red block</x:v>
      </x:c>
      <x:c r="N92" s="9" t="str">
        <x:f>'Evaluation Plan'!N92</x:f>
        <x:v>green pen</x:v>
      </x:c>
      <x:c r="O92" s="9" t="str">
        <x:f>'Evaluation Plan'!O92</x:f>
        <x:v>None</x:v>
      </x:c>
      <x:c r="P92" s="9" t="n">
        <x:f>'Evaluation Plan'!P92</x:f>
        <x:v>4</x:v>
      </x:c>
      <x:c r="Q92" s="9" t="str">
        <x:f>'Evaluation Plan'!Q92</x:f>
        <x:v>Build the listed neutral-axis scene and save the first frame.</x:v>
      </x:c>
      <x:c r="R92" s="10" t="str">
        <x:f>'Evaluation Plan'!R92</x:f>
        <x:v>Independent held-out-composition scene. Source episode 273 supplies target recognition/manipulation under the trained prompt “Place the red block next to the green pen.”. The orthogonal start removes the opposite-side shortcut.</x:v>
      </x:c>
      <x:c r="S92" s="10" t="str">
        <x:f>IF(ISBLANK('Evaluation Plan'!S92),"",'Evaluation Plan'!S92)</x:f>
      </x:c>
    </x:row>
    <x:row r="93" ht="72" customHeight="1">
      <x:c r="A93" s="9" t="str">
        <x:v>Not collected</x:v>
      </x:c>
      <x:c r="B93" s="9" t="n">
        <x:f>'Evaluation Plan'!B93</x:f>
        <x:v>91</x:v>
      </x:c>
      <x:c r="C93" s="10" t="str">
        <x:f>'Evaluation Plan'!C93</x:f>
        <x:v>Place the red block next to the green pen.</x:v>
      </x:c>
      <x:c r="D93" s="10" t="str">
        <x:f>'Evaluation Plan'!D93</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3" s="9" t="n">
        <x:f>IF(ISBLANK('Evaluation Plan'!E93),"",'Evaluation Plan'!E93)</x:f>
        <x:v>90</x:v>
      </x:c>
      <x:c r="F93" s="9" t="str">
        <x:f>'Evaluation Plan'!F93</x:f>
        <x:v>273</x:v>
      </x:c>
      <x:c r="G93" s="9" t="str">
        <x:f>'Evaluation Plan'!G93</x:f>
        <x:v>red block → 2–8 cm edge gap near green pen; no directional sector required.</x:v>
      </x:c>
      <x:c r="H93" s="10"/>
      <x:c r="I93" s="9" t="str">
        <x:f>'Evaluation Plan'!I93</x:f>
        <x:v>Matched manipulation control</x:v>
      </x:c>
      <x:c r="J93" s="9" t="str">
        <x:f>'Evaluation Plan'!J93</x:f>
        <x:v>RP-CT-N14</x:v>
      </x:c>
      <x:c r="K93" s="9" t="str">
        <x:f>'Evaluation Plan'!K93</x:f>
        <x:v>behind</x:v>
      </x:c>
      <x:c r="L93" s="9" t="str">
        <x:f>'Evaluation Plan'!L93</x:f>
        <x:v>Exact-scene masked manipulation control</x:v>
      </x:c>
      <x:c r="M93" s="9" t="str">
        <x:f>'Evaluation Plan'!M93</x:f>
        <x:v>red block</x:v>
      </x:c>
      <x:c r="N93" s="9" t="str">
        <x:f>'Evaluation Plan'!N93</x:f>
        <x:v>green pen</x:v>
      </x:c>
      <x:c r="O93" s="9" t="str">
        <x:f>'Evaluation Plan'!O93</x:f>
        <x:v>None</x:v>
      </x:c>
      <x:c r="P93" s="9" t="n">
        <x:f>'Evaluation Plan'!P93</x:f>
        <x:v>4</x:v>
      </x:c>
      <x:c r="Q93" s="9" t="str">
        <x:f>'Evaluation Plan'!Q93</x:f>
        <x:v>Reset P1 to its marked pose; preserve the exact scene and use the trained control instruction.</x:v>
      </x:c>
      <x:c r="R93" s="10" t="str">
        <x:f>'Evaluation Plan'!R93</x:f>
        <x:v>Exact-scene control using the final training prompt from episode 273. The target, reference, distractors, camera, and robot start match the paired transfer row.</x:v>
      </x:c>
      <x:c r="S93" s="10" t="str">
        <x:f>IF(ISBLANK('Evaluation Plan'!S93),"",'Evaluation Plan'!S93)</x:f>
      </x:c>
    </x:row>
    <x:row r="94" ht="72" customHeight="1">
      <x:c r="A94" s="9" t="str">
        <x:v>Not collected</x:v>
      </x:c>
      <x:c r="B94" s="9" t="n">
        <x:f>'Evaluation Plan'!B94</x:f>
        <x:v>92</x:v>
      </x:c>
      <x:c r="C94" s="10" t="str">
        <x:f>'Evaluation Plan'!C94</x:f>
        <x:v>Place the green pen to the left of the red block.</x:v>
      </x:c>
      <x:c r="D94" s="10" t="str">
        <x:f>'Evaluation Plan'!D94</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4" s="9" t="str">
        <x:f>IF(ISBLANK('Evaluation Plan'!E94),"",'Evaluation Plan'!E94)</x:f>
      </x:c>
      <x:c r="F94" s="9" t="str">
        <x:f>'Evaluation Plan'!F94</x:f>
        <x:v>227</x:v>
      </x:c>
      <x:c r="G94" s="9" t="str">
        <x:f>'Evaluation Plan'!G94</x:f>
        <x:v>green pen → 2–8 cm edge gap to the left of red block; centroid direction within ±45°.</x:v>
      </x:c>
      <x:c r="H94" s="10"/>
      <x:c r="I94" s="9" t="str">
        <x:f>'Evaluation Plan'!I94</x:f>
        <x:v>Concept/compositional transfer</x:v>
      </x:c>
      <x:c r="J94" s="9" t="str">
        <x:f>'Evaluation Plan'!J94</x:f>
        <x:v>RP-CT-N15</x:v>
      </x:c>
      <x:c r="K94" s="9" t="str">
        <x:f>'Evaluation Plan'!K94</x:f>
        <x:v>left</x:v>
      </x:c>
      <x:c r="L94" s="9" t="str">
        <x:f>'Evaluation Plan'!L94</x:f>
        <x:v>Neutral-axis independent compositional-transfer scene</x:v>
      </x:c>
      <x:c r="M94" s="9" t="str">
        <x:f>'Evaluation Plan'!M94</x:f>
        <x:v>green pen</x:v>
      </x:c>
      <x:c r="N94" s="9" t="str">
        <x:f>'Evaluation Plan'!N94</x:f>
        <x:v>red block</x:v>
      </x:c>
      <x:c r="O94" s="9" t="str">
        <x:f>'Evaluation Plan'!O94</x:f>
        <x:v>None</x:v>
      </x:c>
      <x:c r="P94" s="9" t="n">
        <x:f>'Evaluation Plan'!P94</x:f>
        <x:v>4</x:v>
      </x:c>
      <x:c r="Q94" s="9" t="str">
        <x:f>'Evaluation Plan'!Q94</x:f>
        <x:v>Build the listed neutral-axis scene and save the first frame.</x:v>
      </x:c>
      <x:c r="R94" s="10" t="str">
        <x:f>'Evaluation Plan'!R94</x:f>
        <x:v>Independent held-out-composition scene. Source episode 227 supplies target recognition/manipulation under the trained prompt “Move the green pen near the red block.”. The orthogonal start removes the opposite-side shortcut.</x:v>
      </x:c>
      <x:c r="S94" s="10" t="str">
        <x:f>IF(ISBLANK('Evaluation Plan'!S94),"",'Evaluation Plan'!S94)</x:f>
      </x:c>
    </x:row>
    <x:row r="95" ht="72" customHeight="1">
      <x:c r="A95" s="9" t="str">
        <x:v>Not collected</x:v>
      </x:c>
      <x:c r="B95" s="9" t="n">
        <x:f>'Evaluation Plan'!B95</x:f>
        <x:v>93</x:v>
      </x:c>
      <x:c r="C95" s="10" t="str">
        <x:f>'Evaluation Plan'!C95</x:f>
        <x:v>Move the green pen near the red block.</x:v>
      </x:c>
      <x:c r="D95" s="10" t="str">
        <x:f>'Evaluation Plan'!D95</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5" s="9" t="n">
        <x:f>IF(ISBLANK('Evaluation Plan'!E95),"",'Evaluation Plan'!E95)</x:f>
        <x:v>92</x:v>
      </x:c>
      <x:c r="F95" s="9" t="str">
        <x:f>'Evaluation Plan'!F95</x:f>
        <x:v>227</x:v>
      </x:c>
      <x:c r="G95" s="9" t="str">
        <x:f>'Evaluation Plan'!G95</x:f>
        <x:v>green pen → 2–8 cm edge gap near red block; no directional sector required.</x:v>
      </x:c>
      <x:c r="H95" s="10"/>
      <x:c r="I95" s="9" t="str">
        <x:f>'Evaluation Plan'!I95</x:f>
        <x:v>Matched manipulation control</x:v>
      </x:c>
      <x:c r="J95" s="9" t="str">
        <x:f>'Evaluation Plan'!J95</x:f>
        <x:v>RP-CT-N15</x:v>
      </x:c>
      <x:c r="K95" s="9" t="str">
        <x:f>'Evaluation Plan'!K95</x:f>
        <x:v>left</x:v>
      </x:c>
      <x:c r="L95" s="9" t="str">
        <x:f>'Evaluation Plan'!L95</x:f>
        <x:v>Exact-scene masked manipulation control</x:v>
      </x:c>
      <x:c r="M95" s="9" t="str">
        <x:f>'Evaluation Plan'!M95</x:f>
        <x:v>green pen</x:v>
      </x:c>
      <x:c r="N95" s="9" t="str">
        <x:f>'Evaluation Plan'!N95</x:f>
        <x:v>red block</x:v>
      </x:c>
      <x:c r="O95" s="9" t="str">
        <x:f>'Evaluation Plan'!O95</x:f>
        <x:v>None</x:v>
      </x:c>
      <x:c r="P95" s="9" t="n">
        <x:f>'Evaluation Plan'!P95</x:f>
        <x:v>4</x:v>
      </x:c>
      <x:c r="Q95" s="9" t="str">
        <x:f>'Evaluation Plan'!Q95</x:f>
        <x:v>Reset P1 to its marked pose; preserve the exact scene and use the trained control instruction.</x:v>
      </x:c>
      <x:c r="R95" s="10" t="str">
        <x:f>'Evaluation Plan'!R95</x:f>
        <x:v>Exact-scene control using the final training prompt from episode 227. The target, reference, distractors, camera, and robot start match the paired transfer row.</x:v>
      </x:c>
      <x:c r="S95" s="10" t="str">
        <x:f>IF(ISBLANK('Evaluation Plan'!S95),"",'Evaluation Plan'!S95)</x:f>
      </x:c>
    </x:row>
    <x:row r="96" ht="72" customHeight="1">
      <x:c r="A96" s="9" t="str">
        <x:v>Not collected</x:v>
      </x:c>
      <x:c r="B96" s="9" t="n">
        <x:f>'Evaluation Plan'!B96</x:f>
        <x:v>94</x:v>
      </x:c>
      <x:c r="C96" s="10" t="str">
        <x:f>'Evaluation Plan'!C96</x:f>
        <x:v>Place the red block to the left of the green pen.</x:v>
      </x:c>
      <x:c r="D96" s="10" t="str">
        <x:f>'Evaluation Plan'!D96</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6" s="9" t="str">
        <x:f>IF(ISBLANK('Evaluation Plan'!E96),"",'Evaluation Plan'!E96)</x:f>
      </x:c>
      <x:c r="F96" s="9" t="str">
        <x:f>'Evaluation Plan'!F96</x:f>
        <x:v>286</x:v>
      </x:c>
      <x:c r="G96" s="9" t="str">
        <x:f>'Evaluation Plan'!G96</x:f>
        <x:v>red block → 2–8 cm edge gap to the left of green pen; centroid direction within ±45°.</x:v>
      </x:c>
      <x:c r="H96" s="10"/>
      <x:c r="I96" s="9" t="str">
        <x:f>'Evaluation Plan'!I96</x:f>
        <x:v>Concept/compositional transfer</x:v>
      </x:c>
      <x:c r="J96" s="9" t="str">
        <x:f>'Evaluation Plan'!J96</x:f>
        <x:v>RP-CT-N16</x:v>
      </x:c>
      <x:c r="K96" s="9" t="str">
        <x:f>'Evaluation Plan'!K96</x:f>
        <x:v>left</x:v>
      </x:c>
      <x:c r="L96" s="9" t="str">
        <x:f>'Evaluation Plan'!L96</x:f>
        <x:v>Neutral-axis independent compositional-transfer scene</x:v>
      </x:c>
      <x:c r="M96" s="9" t="str">
        <x:f>'Evaluation Plan'!M96</x:f>
        <x:v>red block</x:v>
      </x:c>
      <x:c r="N96" s="9" t="str">
        <x:f>'Evaluation Plan'!N96</x:f>
        <x:v>green pen</x:v>
      </x:c>
      <x:c r="O96" s="9" t="str">
        <x:f>'Evaluation Plan'!O96</x:f>
        <x:v>None</x:v>
      </x:c>
      <x:c r="P96" s="9" t="n">
        <x:f>'Evaluation Plan'!P96</x:f>
        <x:v>3</x:v>
      </x:c>
      <x:c r="Q96" s="9" t="str">
        <x:f>'Evaluation Plan'!Q96</x:f>
        <x:v>Build the listed neutral-axis scene and save the first frame.</x:v>
      </x:c>
      <x:c r="R96" s="10" t="str">
        <x:f>'Evaluation Plan'!R96</x:f>
        <x:v>Independent held-out-composition scene. Source episode 286 supplies target recognition/manipulation under the trained prompt “Put the red block beside the green pen.”. The orthogonal start removes the opposite-side shortcut.</x:v>
      </x:c>
      <x:c r="S96" s="10" t="str">
        <x:f>IF(ISBLANK('Evaluation Plan'!S96),"",'Evaluation Plan'!S96)</x:f>
      </x:c>
    </x:row>
    <x:row r="97" ht="72" customHeight="1">
      <x:c r="A97" s="9" t="str">
        <x:v>Not collected</x:v>
      </x:c>
      <x:c r="B97" s="9" t="n">
        <x:f>'Evaluation Plan'!B97</x:f>
        <x:v>95</x:v>
      </x:c>
      <x:c r="C97" s="10" t="str">
        <x:f>'Evaluation Plan'!C97</x:f>
        <x:v>Put the red block beside the green pen.</x:v>
      </x:c>
      <x:c r="D97" s="10" t="str">
        <x:f>'Evaluation Plan'!D97</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7" s="9" t="n">
        <x:f>IF(ISBLANK('Evaluation Plan'!E97),"",'Evaluation Plan'!E97)</x:f>
        <x:v>94</x:v>
      </x:c>
      <x:c r="F97" s="9" t="str">
        <x:f>'Evaluation Plan'!F97</x:f>
        <x:v>286</x:v>
      </x:c>
      <x:c r="G97" s="9" t="str">
        <x:f>'Evaluation Plan'!G97</x:f>
        <x:v>red block → 2–8 cm edge gap near green pen; no directional sector required.</x:v>
      </x:c>
      <x:c r="H97" s="10"/>
      <x:c r="I97" s="9" t="str">
        <x:f>'Evaluation Plan'!I97</x:f>
        <x:v>Matched manipulation control</x:v>
      </x:c>
      <x:c r="J97" s="9" t="str">
        <x:f>'Evaluation Plan'!J97</x:f>
        <x:v>RP-CT-N16</x:v>
      </x:c>
      <x:c r="K97" s="9" t="str">
        <x:f>'Evaluation Plan'!K97</x:f>
        <x:v>left</x:v>
      </x:c>
      <x:c r="L97" s="9" t="str">
        <x:f>'Evaluation Plan'!L97</x:f>
        <x:v>Exact-scene masked manipulation control</x:v>
      </x:c>
      <x:c r="M97" s="9" t="str">
        <x:f>'Evaluation Plan'!M97</x:f>
        <x:v>red block</x:v>
      </x:c>
      <x:c r="N97" s="9" t="str">
        <x:f>'Evaluation Plan'!N97</x:f>
        <x:v>green pen</x:v>
      </x:c>
      <x:c r="O97" s="9" t="str">
        <x:f>'Evaluation Plan'!O97</x:f>
        <x:v>None</x:v>
      </x:c>
      <x:c r="P97" s="9" t="n">
        <x:f>'Evaluation Plan'!P97</x:f>
        <x:v>3</x:v>
      </x:c>
      <x:c r="Q97" s="9" t="str">
        <x:f>'Evaluation Plan'!Q97</x:f>
        <x:v>Reset P1 to its marked pose; preserve the exact scene and use the trained control instruction.</x:v>
      </x:c>
      <x:c r="R97" s="10" t="str">
        <x:f>'Evaluation Plan'!R97</x:f>
        <x:v>Exact-scene control using the final training prompt from episode 286. The target, reference, distractors, camera, and robot start match the paired transfer row.</x:v>
      </x:c>
      <x:c r="S97" s="10" t="str">
        <x:f>IF(ISBLANK('Evaluation Plan'!S97),"",'Evaluation Plan'!S97)</x:f>
      </x:c>
    </x:row>
    <x:row r="98" ht="72" customHeight="1">
      <x:c r="A98" s="9" t="str">
        <x:v>Not collected</x:v>
      </x:c>
      <x:c r="B98" s="9" t="n">
        <x:f>'Evaluation Plan'!B98</x:f>
        <x:v>96</x:v>
      </x:c>
      <x:c r="C98" s="10" t="str">
        <x:f>'Evaluation Plan'!C98</x:f>
        <x:v>Place the red block to the left of the green pen.</x:v>
      </x:c>
      <x:c r="D98" s="10" t="str">
        <x:f>'Evaluation Plan'!D98</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8" s="9" t="str">
        <x:f>IF(ISBLANK('Evaluation Plan'!E98),"",'Evaluation Plan'!E98)</x:f>
      </x:c>
      <x:c r="F98" s="9" t="str">
        <x:f>'Evaluation Plan'!F98</x:f>
        <x:v>285</x:v>
      </x:c>
      <x:c r="G98" s="9" t="str">
        <x:f>'Evaluation Plan'!G98</x:f>
        <x:v>red block → 2–8 cm edge gap to the left of green pen; centroid direction within ±45°.</x:v>
      </x:c>
      <x:c r="H98" s="10"/>
      <x:c r="I98" s="9" t="str">
        <x:f>'Evaluation Plan'!I98</x:f>
        <x:v>Concept/compositional transfer</x:v>
      </x:c>
      <x:c r="J98" s="9" t="str">
        <x:f>'Evaluation Plan'!J98</x:f>
        <x:v>RP-CT-N17</x:v>
      </x:c>
      <x:c r="K98" s="9" t="str">
        <x:f>'Evaluation Plan'!K98</x:f>
        <x:v>left</x:v>
      </x:c>
      <x:c r="L98" s="9" t="str">
        <x:f>'Evaluation Plan'!L98</x:f>
        <x:v>Neutral-axis independent compositional-transfer scene</x:v>
      </x:c>
      <x:c r="M98" s="9" t="str">
        <x:f>'Evaluation Plan'!M98</x:f>
        <x:v>red block</x:v>
      </x:c>
      <x:c r="N98" s="9" t="str">
        <x:f>'Evaluation Plan'!N98</x:f>
        <x:v>green pen</x:v>
      </x:c>
      <x:c r="O98" s="9" t="str">
        <x:f>'Evaluation Plan'!O98</x:f>
        <x:v>None</x:v>
      </x:c>
      <x:c r="P98" s="9" t="n">
        <x:f>'Evaluation Plan'!P98</x:f>
        <x:v>4</x:v>
      </x:c>
      <x:c r="Q98" s="9" t="str">
        <x:f>'Evaluation Plan'!Q98</x:f>
        <x:v>Build the listed neutral-axis scene and save the first frame.</x:v>
      </x:c>
      <x:c r="R98" s="10" t="str">
        <x:f>'Evaluation Plan'!R98</x:f>
        <x:v>Independent held-out-composition scene. Source episode 285 supplies target recognition/manipulation under the trained prompt “Place the red block next to the green pen.”. The orthogonal start removes the opposite-side shortcut.</x:v>
      </x:c>
      <x:c r="S98" s="10" t="str">
        <x:f>IF(ISBLANK('Evaluation Plan'!S98),"",'Evaluation Plan'!S98)</x:f>
      </x:c>
    </x:row>
    <x:row r="99" ht="72" customHeight="1">
      <x:c r="A99" s="9" t="str">
        <x:v>Not collected</x:v>
      </x:c>
      <x:c r="B99" s="9" t="n">
        <x:f>'Evaluation Plan'!B99</x:f>
        <x:v>97</x:v>
      </x:c>
      <x:c r="C99" s="10" t="str">
        <x:f>'Evaluation Plan'!C99</x:f>
        <x:v>Place the red block next to the green pen.</x:v>
      </x:c>
      <x:c r="D99" s="10" t="str">
        <x:f>'Evaluation Plan'!D99</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9" s="9" t="n">
        <x:f>IF(ISBLANK('Evaluation Plan'!E99),"",'Evaluation Plan'!E99)</x:f>
        <x:v>96</x:v>
      </x:c>
      <x:c r="F99" s="9" t="str">
        <x:f>'Evaluation Plan'!F99</x:f>
        <x:v>285</x:v>
      </x:c>
      <x:c r="G99" s="9" t="str">
        <x:f>'Evaluation Plan'!G99</x:f>
        <x:v>red block → 2–8 cm edge gap near green pen; no directional sector required.</x:v>
      </x:c>
      <x:c r="H99" s="10"/>
      <x:c r="I99" s="9" t="str">
        <x:f>'Evaluation Plan'!I99</x:f>
        <x:v>Matched manipulation control</x:v>
      </x:c>
      <x:c r="J99" s="9" t="str">
        <x:f>'Evaluation Plan'!J99</x:f>
        <x:v>RP-CT-N17</x:v>
      </x:c>
      <x:c r="K99" s="9" t="str">
        <x:f>'Evaluation Plan'!K99</x:f>
        <x:v>left</x:v>
      </x:c>
      <x:c r="L99" s="9" t="str">
        <x:f>'Evaluation Plan'!L99</x:f>
        <x:v>Exact-scene masked manipulation control</x:v>
      </x:c>
      <x:c r="M99" s="9" t="str">
        <x:f>'Evaluation Plan'!M99</x:f>
        <x:v>red block</x:v>
      </x:c>
      <x:c r="N99" s="9" t="str">
        <x:f>'Evaluation Plan'!N99</x:f>
        <x:v>green pen</x:v>
      </x:c>
      <x:c r="O99" s="9" t="str">
        <x:f>'Evaluation Plan'!O99</x:f>
        <x:v>None</x:v>
      </x:c>
      <x:c r="P99" s="9" t="n">
        <x:f>'Evaluation Plan'!P99</x:f>
        <x:v>4</x:v>
      </x:c>
      <x:c r="Q99" s="9" t="str">
        <x:f>'Evaluation Plan'!Q99</x:f>
        <x:v>Reset P1 to its marked pose; preserve the exact scene and use the trained control instruction.</x:v>
      </x:c>
      <x:c r="R99" s="10" t="str">
        <x:f>'Evaluation Plan'!R99</x:f>
        <x:v>Exact-scene control using the final training prompt from episode 285. The target, reference, distractors, camera, and robot start match the paired transfer row.</x:v>
      </x:c>
      <x:c r="S99" s="10" t="str">
        <x:f>IF(ISBLANK('Evaluation Plan'!S99),"",'Evaluation Plan'!S99)</x:f>
      </x:c>
    </x:row>
    <x:row r="100" ht="72" customHeight="1">
      <x:c r="A100" s="9" t="str">
        <x:v>Not collected</x:v>
      </x:c>
      <x:c r="B100" s="9" t="n">
        <x:f>'Evaluation Plan'!B100</x:f>
        <x:v>98</x:v>
      </x:c>
      <x:c r="C100" s="10" t="str">
        <x:f>'Evaluation Plan'!C100</x:f>
        <x:v>Place the green pen to the right of the red block.</x:v>
      </x:c>
      <x:c r="D100" s="10" t="str">
        <x:f>'Evaluation Plan'!D100</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0" s="9" t="str">
        <x:f>IF(ISBLANK('Evaluation Plan'!E100),"",'Evaluation Plan'!E100)</x:f>
      </x:c>
      <x:c r="F100" s="9" t="str">
        <x:f>'Evaluation Plan'!F100</x:f>
        <x:v>238</x:v>
      </x:c>
      <x:c r="G100" s="9" t="str">
        <x:f>'Evaluation Plan'!G100</x:f>
        <x:v>green pen → 2–8 cm edge gap to the right of red block; centroid direction within ±45°.</x:v>
      </x:c>
      <x:c r="H100" s="10"/>
      <x:c r="I100" s="9" t="str">
        <x:f>'Evaluation Plan'!I100</x:f>
        <x:v>Concept/compositional transfer</x:v>
      </x:c>
      <x:c r="J100" s="9" t="str">
        <x:f>'Evaluation Plan'!J100</x:f>
        <x:v>RP-CT-N18</x:v>
      </x:c>
      <x:c r="K100" s="9" t="str">
        <x:f>'Evaluation Plan'!K100</x:f>
        <x:v>right</x:v>
      </x:c>
      <x:c r="L100" s="9" t="str">
        <x:f>'Evaluation Plan'!L100</x:f>
        <x:v>Neutral-axis independent compositional-transfer scene</x:v>
      </x:c>
      <x:c r="M100" s="9" t="str">
        <x:f>'Evaluation Plan'!M100</x:f>
        <x:v>green pen</x:v>
      </x:c>
      <x:c r="N100" s="9" t="str">
        <x:f>'Evaluation Plan'!N100</x:f>
        <x:v>red block</x:v>
      </x:c>
      <x:c r="O100" s="9" t="str">
        <x:f>'Evaluation Plan'!O100</x:f>
        <x:v>None</x:v>
      </x:c>
      <x:c r="P100" s="9" t="n">
        <x:f>'Evaluation Plan'!P100</x:f>
        <x:v>3</x:v>
      </x:c>
      <x:c r="Q100" s="9" t="str">
        <x:f>'Evaluation Plan'!Q100</x:f>
        <x:v>Build the listed neutral-axis scene and save the first frame.</x:v>
      </x:c>
      <x:c r="R100" s="10" t="str">
        <x:f>'Evaluation Plan'!R100</x:f>
        <x:v>Independent held-out-composition scene. Source episode 238 supplies target recognition/manipulation under the trained prompt “Put the green pen beside the red block.”. The orthogonal start removes the opposite-side shortcut.</x:v>
      </x:c>
      <x:c r="S100" s="10" t="str">
        <x:f>IF(ISBLANK('Evaluation Plan'!S100),"",'Evaluation Plan'!S100)</x:f>
      </x:c>
    </x:row>
    <x:row r="101" ht="72" customHeight="1">
      <x:c r="A101" s="9" t="str">
        <x:v>Not collected</x:v>
      </x:c>
      <x:c r="B101" s="9" t="n">
        <x:f>'Evaluation Plan'!B101</x:f>
        <x:v>99</x:v>
      </x:c>
      <x:c r="C101" s="10" t="str">
        <x:f>'Evaluation Plan'!C101</x:f>
        <x:v>Put the green pen beside the red block.</x:v>
      </x:c>
      <x:c r="D101" s="10" t="str">
        <x:f>'Evaluation Plan'!D101</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1" s="9" t="n">
        <x:f>IF(ISBLANK('Evaluation Plan'!E101),"",'Evaluation Plan'!E101)</x:f>
        <x:v>98</x:v>
      </x:c>
      <x:c r="F101" s="9" t="str">
        <x:f>'Evaluation Plan'!F101</x:f>
        <x:v>238</x:v>
      </x:c>
      <x:c r="G101" s="9" t="str">
        <x:f>'Evaluation Plan'!G101</x:f>
        <x:v>green pen → 2–8 cm edge gap near red block; no directional sector required.</x:v>
      </x:c>
      <x:c r="H101" s="10"/>
      <x:c r="I101" s="9" t="str">
        <x:f>'Evaluation Plan'!I101</x:f>
        <x:v>Matched manipulation control</x:v>
      </x:c>
      <x:c r="J101" s="9" t="str">
        <x:f>'Evaluation Plan'!J101</x:f>
        <x:v>RP-CT-N18</x:v>
      </x:c>
      <x:c r="K101" s="9" t="str">
        <x:f>'Evaluation Plan'!K101</x:f>
        <x:v>right</x:v>
      </x:c>
      <x:c r="L101" s="9" t="str">
        <x:f>'Evaluation Plan'!L101</x:f>
        <x:v>Exact-scene masked manipulation control</x:v>
      </x:c>
      <x:c r="M101" s="9" t="str">
        <x:f>'Evaluation Plan'!M101</x:f>
        <x:v>green pen</x:v>
      </x:c>
      <x:c r="N101" s="9" t="str">
        <x:f>'Evaluation Plan'!N101</x:f>
        <x:v>red block</x:v>
      </x:c>
      <x:c r="O101" s="9" t="str">
        <x:f>'Evaluation Plan'!O101</x:f>
        <x:v>None</x:v>
      </x:c>
      <x:c r="P101" s="9" t="n">
        <x:f>'Evaluation Plan'!P101</x:f>
        <x:v>3</x:v>
      </x:c>
      <x:c r="Q101" s="9" t="str">
        <x:f>'Evaluation Plan'!Q101</x:f>
        <x:v>Reset P1 to its marked pose; preserve the exact scene and use the trained control instruction.</x:v>
      </x:c>
      <x:c r="R101" s="10" t="str">
        <x:f>'Evaluation Plan'!R101</x:f>
        <x:v>Exact-scene control using the final training prompt from episode 238. The target, reference, distractors, camera, and robot start match the paired transfer row.</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2" s="9" t="str">
        <x:f>IF(ISBLANK('Evaluation Plan'!E102),"",'Evaluation Plan'!E102)</x:f>
      </x:c>
      <x:c r="F102" s="9" t="str">
        <x:f>'Evaluation Plan'!F102</x:f>
        <x:v>239</x:v>
      </x:c>
      <x:c r="G102" s="9" t="str">
        <x:f>'Evaluation Plan'!G102</x:f>
        <x:v>green pen → 2–8 cm edge gap to the right of red block; centroid direction within ±45°.</x:v>
      </x:c>
      <x:c r="H102" s="10"/>
      <x:c r="I102" s="9" t="str">
        <x:f>'Evaluation Plan'!I102</x:f>
        <x:v>Concept/compositional transfer</x:v>
      </x:c>
      <x:c r="J102" s="9" t="str">
        <x:f>'Evaluation Plan'!J102</x:f>
        <x:v>RP-CT-N19</x:v>
      </x:c>
      <x:c r="K102" s="9" t="str">
        <x:f>'Evaluation Plan'!K102</x:f>
        <x:v>right</x:v>
      </x:c>
      <x:c r="L102" s="9" t="str">
        <x:f>'Evaluation Plan'!L102</x:f>
        <x:v>Neutral-axis independent compositional-transfer scene</x:v>
      </x:c>
      <x:c r="M102" s="9" t="str">
        <x:f>'Evaluation Plan'!M102</x:f>
        <x:v>green pen</x:v>
      </x:c>
      <x:c r="N102" s="9" t="str">
        <x:f>'Evaluation Plan'!N102</x:f>
        <x:v>red block</x:v>
      </x:c>
      <x:c r="O102" s="9" t="str">
        <x:f>'Evaluation Plan'!O102</x:f>
        <x:v>None</x:v>
      </x:c>
      <x:c r="P102" s="9" t="n">
        <x:f>'Evaluation Plan'!P102</x:f>
        <x:v>4</x:v>
      </x:c>
      <x:c r="Q102" s="9" t="str">
        <x:f>'Evaluation Plan'!Q102</x:f>
        <x:v>Build the listed neutral-axis scene and save the first frame.</x:v>
      </x:c>
      <x:c r="R102" s="10" t="str">
        <x:f>'Evaluation Plan'!R102</x:f>
        <x:v>Independent held-out-composition scene. Source episode 239 supplies target recognition/manipulation under the trained prompt “Move the green pen near the red block.”. The orthogonal start removes the opposite-side shortcut.</x:v>
      </x:c>
      <x:c r="S102" s="10" t="str">
        <x:f>IF(ISBLANK('Evaluation Plan'!S102),"",'Evaluation Plan'!S102)</x:f>
      </x:c>
    </x:row>
    <x:row r="103" ht="72" customHeight="1">
      <x:c r="A103" s="9" t="str">
        <x:v>Not collected</x:v>
      </x:c>
      <x:c r="B103" s="9" t="n">
        <x:f>'Evaluation Plan'!B103</x:f>
        <x:v>101</x:v>
      </x:c>
      <x:c r="C103" s="10" t="str">
        <x:f>'Evaluation Plan'!C103</x:f>
        <x:v>Move the green pen near the red block.</x:v>
      </x:c>
      <x:c r="D103" s="10" t="str">
        <x:f>'Evaluation Plan'!D103</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3" s="9" t="n">
        <x:f>IF(ISBLANK('Evaluation Plan'!E103),"",'Evaluation Plan'!E103)</x:f>
        <x:v>100</x:v>
      </x:c>
      <x:c r="F103" s="9" t="str">
        <x:f>'Evaluation Plan'!F103</x:f>
        <x:v>239</x:v>
      </x:c>
      <x:c r="G103" s="9" t="str">
        <x:f>'Evaluation Plan'!G103</x:f>
        <x:v>green pen → 2–8 cm edge gap near red block; no directional sector required.</x:v>
      </x:c>
      <x:c r="H103" s="10"/>
      <x:c r="I103" s="9" t="str">
        <x:f>'Evaluation Plan'!I103</x:f>
        <x:v>Matched manipulation control</x:v>
      </x:c>
      <x:c r="J103" s="9" t="str">
        <x:f>'Evaluation Plan'!J103</x:f>
        <x:v>RP-CT-N19</x:v>
      </x:c>
      <x:c r="K103" s="9" t="str">
        <x:f>'Evaluation Plan'!K103</x:f>
        <x:v>right</x:v>
      </x:c>
      <x:c r="L103" s="9" t="str">
        <x:f>'Evaluation Plan'!L103</x:f>
        <x:v>Exact-scene masked manipulation control</x:v>
      </x:c>
      <x:c r="M103" s="9" t="str">
        <x:f>'Evaluation Plan'!M103</x:f>
        <x:v>green pen</x:v>
      </x:c>
      <x:c r="N103" s="9" t="str">
        <x:f>'Evaluation Plan'!N103</x:f>
        <x:v>red block</x:v>
      </x:c>
      <x:c r="O103" s="9" t="str">
        <x:f>'Evaluation Plan'!O103</x:f>
        <x:v>None</x:v>
      </x:c>
      <x:c r="P103" s="9" t="n">
        <x:f>'Evaluation Plan'!P103</x:f>
        <x:v>4</x:v>
      </x:c>
      <x:c r="Q103" s="9" t="str">
        <x:f>'Evaluation Plan'!Q103</x:f>
        <x:v>Reset P1 to its marked pose; preserve the exact scene and use the trained control instruction.</x:v>
      </x:c>
      <x:c r="R103" s="10" t="str">
        <x:f>'Evaluation Plan'!R103</x:f>
        <x:v>Exact-scene control using the final training prompt from episode 239. The target, reference, distractors, camera, and robot start match the paired transfer row.</x:v>
      </x:c>
      <x:c r="S103" s="10" t="str">
        <x:f>IF(ISBLANK('Evaluation Plan'!S103),"",'Evaluation Plan'!S103)</x:f>
      </x:c>
    </x:row>
    <x:row r="104" ht="72" customHeight="1">
      <x:c r="A104" s="9" t="str">
        <x:v>Not collected</x:v>
      </x:c>
      <x:c r="B104" s="9" t="n">
        <x:f>'Evaluation Plan'!B104</x:f>
        <x:v>102</x:v>
      </x:c>
      <x:c r="C104" s="10" t="str">
        <x:f>'Evaluation Plan'!C104</x:f>
        <x:v>Place the red block to the right of the green pen.</x:v>
      </x:c>
      <x:c r="D104" s="10" t="str">
        <x:f>'Evaluation Plan'!D104</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4" s="9" t="str">
        <x:f>IF(ISBLANK('Evaluation Plan'!E104),"",'Evaluation Plan'!E104)</x:f>
      </x:c>
      <x:c r="F104" s="9" t="str">
        <x:f>'Evaluation Plan'!F104</x:f>
        <x:v>299</x:v>
      </x:c>
      <x:c r="G104" s="9" t="str">
        <x:f>'Evaluation Plan'!G104</x:f>
        <x:v>red block → 2–8 cm edge gap to the right of green pen; centroid direction within ±45°.</x:v>
      </x:c>
      <x:c r="H104" s="10"/>
      <x:c r="I104" s="9" t="str">
        <x:f>'Evaluation Plan'!I104</x:f>
        <x:v>Concept/compositional transfer</x:v>
      </x:c>
      <x:c r="J104" s="9" t="str">
        <x:f>'Evaluation Plan'!J104</x:f>
        <x:v>RP-CT-N20</x:v>
      </x:c>
      <x:c r="K104" s="9" t="str">
        <x:f>'Evaluation Plan'!K104</x:f>
        <x:v>right</x:v>
      </x:c>
      <x:c r="L104" s="9" t="str">
        <x:f>'Evaluation Plan'!L104</x:f>
        <x:v>Neutral-axis independent compositional-transfer scene</x:v>
      </x:c>
      <x:c r="M104" s="9" t="str">
        <x:f>'Evaluation Plan'!M104</x:f>
        <x:v>red block</x:v>
      </x:c>
      <x:c r="N104" s="9" t="str">
        <x:f>'Evaluation Plan'!N104</x:f>
        <x:v>green pen</x:v>
      </x:c>
      <x:c r="O104" s="9" t="str">
        <x:f>'Evaluation Plan'!O104</x:f>
        <x:v>None</x:v>
      </x:c>
      <x:c r="P104" s="9" t="n">
        <x:f>'Evaluation Plan'!P104</x:f>
        <x:v>3</x:v>
      </x:c>
      <x:c r="Q104" s="9" t="str">
        <x:f>'Evaluation Plan'!Q104</x:f>
        <x:v>Build the listed neutral-axis scene and save the first frame.</x:v>
      </x:c>
      <x:c r="R104" s="10" t="str">
        <x:f>'Evaluation Plan'!R104</x:f>
        <x:v>Independent held-out-composition scene. Source episode 299 supplies target recognition/manipulation under the trained prompt “Move the red block near the green pen.”. The orthogonal start removes the opposite-side shortcut.</x:v>
      </x:c>
      <x:c r="S104" s="10" t="str">
        <x:f>IF(ISBLANK('Evaluation Plan'!S104),"",'Evaluation Plan'!S104)</x:f>
      </x:c>
    </x:row>
    <x:row r="105" ht="72" customHeight="1">
      <x:c r="A105" s="9" t="str">
        <x:v>Not collected</x:v>
      </x:c>
      <x:c r="B105" s="9" t="n">
        <x:f>'Evaluation Plan'!B105</x:f>
        <x:v>103</x:v>
      </x:c>
      <x:c r="C105" s="10" t="str">
        <x:f>'Evaluation Plan'!C105</x:f>
        <x:v>Move the red block near the green pen.</x:v>
      </x:c>
      <x:c r="D105" s="10" t="str">
        <x:f>'Evaluation Plan'!D105</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5" s="9" t="n">
        <x:f>IF(ISBLANK('Evaluation Plan'!E105),"",'Evaluation Plan'!E105)</x:f>
        <x:v>102</x:v>
      </x:c>
      <x:c r="F105" s="9" t="str">
        <x:f>'Evaluation Plan'!F105</x:f>
        <x:v>299</x:v>
      </x:c>
      <x:c r="G105" s="9" t="str">
        <x:f>'Evaluation Plan'!G105</x:f>
        <x:v>red block → 2–8 cm edge gap near green pen; no directional sector required.</x:v>
      </x:c>
      <x:c r="H105" s="10"/>
      <x:c r="I105" s="9" t="str">
        <x:f>'Evaluation Plan'!I105</x:f>
        <x:v>Matched manipulation control</x:v>
      </x:c>
      <x:c r="J105" s="9" t="str">
        <x:f>'Evaluation Plan'!J105</x:f>
        <x:v>RP-CT-N20</x:v>
      </x:c>
      <x:c r="K105" s="9" t="str">
        <x:f>'Evaluation Plan'!K105</x:f>
        <x:v>right</x:v>
      </x:c>
      <x:c r="L105" s="9" t="str">
        <x:f>'Evaluation Plan'!L105</x:f>
        <x:v>Exact-scene masked manipulation control</x:v>
      </x:c>
      <x:c r="M105" s="9" t="str">
        <x:f>'Evaluation Plan'!M105</x:f>
        <x:v>red block</x:v>
      </x:c>
      <x:c r="N105" s="9" t="str">
        <x:f>'Evaluation Plan'!N105</x:f>
        <x:v>green pen</x:v>
      </x:c>
      <x:c r="O105" s="9" t="str">
        <x:f>'Evaluation Plan'!O105</x:f>
        <x:v>None</x:v>
      </x:c>
      <x:c r="P105" s="9" t="n">
        <x:f>'Evaluation Plan'!P105</x:f>
        <x:v>3</x:v>
      </x:c>
      <x:c r="Q105" s="9" t="str">
        <x:f>'Evaluation Plan'!Q105</x:f>
        <x:v>Reset P1 to its marked pose; preserve the exact scene and use the trained control instruction.</x:v>
      </x:c>
      <x:c r="R105" s="10" t="str">
        <x:f>'Evaluation Plan'!R105</x:f>
        <x:v>Exact-scene control using the final training prompt from episode 299. The target, reference, distractors, camera, and robot start match the paired transfer row.</x:v>
      </x:c>
      <x:c r="S105" s="10" t="str">
        <x:f>IF(ISBLANK('Evaluation Plan'!S105),"",'Evaluation Plan'!S105)</x:f>
      </x:c>
    </x:row>
    <x:row r="106" ht="72" customHeight="1">
      <x:c r="A106" s="9" t="str">
        <x:v>Not collected</x:v>
      </x:c>
      <x:c r="B106" s="9" t="n">
        <x:f>'Evaluation Plan'!B106</x:f>
        <x:v>104</x:v>
      </x:c>
      <x:c r="C106" s="10" t="str">
        <x:f>'Evaluation Plan'!C106</x:f>
        <x:v>Place the green pen in front of the red block.</x:v>
      </x:c>
      <x:c r="D106" s="10" t="str">
        <x:f>'Evaluation Plan'!D106</x:f>
        <x:v>P1 green pen 24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106" s="9" t="str">
        <x:f>IF(ISBLANK('Evaluation Plan'!E106),"",'Evaluation Plan'!E106)</x:f>
      </x:c>
      <x:c r="F106" s="9" t="str">
        <x:f>'Evaluation Plan'!F106</x:f>
        <x:v>203</x:v>
      </x:c>
      <x:c r="G106" s="9" t="str">
        <x:f>'Evaluation Plan'!G106</x:f>
        <x:v>green pen → 2–8 cm edge gap in front of red block; centroid direction within ±45°.</x:v>
      </x:c>
      <x:c r="H106" s="10"/>
      <x:c r="I106" s="9" t="str">
        <x:f>'Evaluation Plan'!I106</x:f>
        <x:v>Concept/compositional transfer</x:v>
      </x:c>
      <x:c r="J106" s="9" t="str">
        <x:f>'Evaluation Plan'!J106</x:f>
        <x:v>RP-CT-N21</x:v>
      </x:c>
      <x:c r="K106" s="9" t="str">
        <x:f>'Evaluation Plan'!K106</x:f>
        <x:v>front</x:v>
      </x:c>
      <x:c r="L106" s="9" t="str">
        <x:f>'Evaluation Plan'!L106</x:f>
        <x:v>Neutral-axis independent compositional-transfer scene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neutral-axis scene and save the first frame.</x:v>
      </x:c>
      <x:c r="R106" s="10" t="str">
        <x:f>'Evaluation Plan'!R106</x:f>
        <x:v>Independent held-out-composition scene. Source episode 203 supplies target recognition/manipulation under the trained prompt “Move the green pen near the red block.”. The orthogonal start removes the opposite-side shortcut.</x:v>
      </x:c>
      <x:c r="S106" s="10" t="str">
        <x:f>IF(ISBLANK('Evaluation Plan'!S106),"",'Evaluation Plan'!S106)</x:f>
      </x:c>
    </x:row>
    <x:row r="107" ht="72" customHeight="1">
      <x:c r="A107" s="9" t="str">
        <x:v>Not collected</x:v>
      </x:c>
      <x:c r="B107" s="9" t="n">
        <x:f>'Evaluation Plan'!B107</x:f>
        <x:v>105</x:v>
      </x:c>
      <x:c r="C107" s="10" t="str">
        <x:f>'Evaluation Plan'!C107</x:f>
        <x:v>Place the red block in front of the green pen.</x:v>
      </x:c>
      <x:c r="D107" s="10" t="str">
        <x:f>'Evaluation Plan'!D107</x:f>
        <x:v>P1 red block 18 cm to the robot-right of P2; P2 green pen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107" s="9" t="str">
        <x:f>IF(ISBLANK('Evaluation Plan'!E107),"",'Evaluation Plan'!E107)</x:f>
      </x:c>
      <x:c r="F107" s="9" t="str">
        <x:f>'Evaluation Plan'!F107</x:f>
        <x:v>260</x:v>
      </x:c>
      <x:c r="G107" s="9" t="str">
        <x:f>'Evaluation Plan'!G107</x:f>
        <x:v>red block → 2–8 cm edge gap in front of green pen; centroid direction within ±45°.</x:v>
      </x:c>
      <x:c r="H107" s="10"/>
      <x:c r="I107" s="9" t="str">
        <x:f>'Evaluation Plan'!I107</x:f>
        <x:v>Concept/compositional transfer</x:v>
      </x:c>
      <x:c r="J107" s="9" t="str">
        <x:f>'Evaluation Plan'!J107</x:f>
        <x:v>RP-CT-N22</x:v>
      </x:c>
      <x:c r="K107" s="9" t="str">
        <x:f>'Evaluation Plan'!K107</x:f>
        <x:v>front</x:v>
      </x:c>
      <x:c r="L107" s="9" t="str">
        <x:f>'Evaluation Plan'!L107</x:f>
        <x:v>Neutral-axis independent compositional-transfer scene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neutral-axis scene and save the first frame.</x:v>
      </x:c>
      <x:c r="R107" s="10" t="str">
        <x:f>'Evaluation Plan'!R107</x:f>
        <x:v>Independent held-out-composition scene. Source episode 260 supplies target recognition/manipulation under the trained prompt “Move the red block near the green pen.”. The orthogonal start removes the opposite-side shortcut.</x:v>
      </x:c>
      <x:c r="S107" s="10" t="str">
        <x:f>IF(ISBLANK('Evaluation Plan'!S107),"",'Evaluation Plan'!S107)</x:f>
      </x:c>
    </x:row>
    <x:row r="108" ht="72" customHeight="1">
      <x:c r="A108" s="9" t="str">
        <x:v>Not collected</x:v>
      </x:c>
      <x:c r="B108" s="9" t="n">
        <x:f>'Evaluation Plan'!B108</x:f>
        <x:v>106</x:v>
      </x:c>
      <x:c r="C108" s="10" t="str">
        <x:f>'Evaluation Plan'!C108</x:f>
        <x:v>Place the green pen behind the red block.</x:v>
      </x:c>
      <x:c r="D108" s="10" t="str">
        <x:f>'Evaluation Plan'!D108</x:f>
        <x:v>P1 green pen 21 cm to the robot-left of P2; P2 red block at R3 (5 cm robot-right of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108" s="9" t="str">
        <x:f>IF(ISBLANK('Evaluation Plan'!E108),"",'Evaluation Plan'!E108)</x:f>
      </x:c>
      <x:c r="F108" s="9" t="str">
        <x:f>'Evaluation Plan'!F108</x:f>
        <x:v>214</x:v>
      </x:c>
      <x:c r="G108" s="9" t="str">
        <x:f>'Evaluation Plan'!G108</x:f>
        <x:v>green pen → 2–8 cm edge gap behind red block; centroid direction within ±45°.</x:v>
      </x:c>
      <x:c r="H108" s="10"/>
      <x:c r="I108" s="9" t="str">
        <x:f>'Evaluation Plan'!I108</x:f>
        <x:v>Concept/compositional transfer</x:v>
      </x:c>
      <x:c r="J108" s="9" t="str">
        <x:f>'Evaluation Plan'!J108</x:f>
        <x:v>RP-CT-N23</x:v>
      </x:c>
      <x:c r="K108" s="9" t="str">
        <x:f>'Evaluation Plan'!K108</x:f>
        <x:v>behind</x:v>
      </x:c>
      <x:c r="L108" s="9" t="str">
        <x:f>'Evaluation Plan'!L108</x:f>
        <x:v>Neutral-axis independent compositional-transfer scene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neutral-axis scene and save the first frame.</x:v>
      </x:c>
      <x:c r="R108" s="10" t="str">
        <x:f>'Evaluation Plan'!R108</x:f>
        <x:v>Independent held-out-composition scene. Source episode 214 supplies target recognition/manipulation under the trained prompt “Put the green pen beside the red block.”. The orthogonal start removes the opposite-side shortcut.</x:v>
      </x:c>
      <x:c r="S108" s="10" t="str">
        <x:f>IF(ISBLANK('Evaluation Plan'!S108),"",'Evaluation Plan'!S108)</x:f>
      </x:c>
    </x:row>
    <x:row r="109" ht="72" customHeight="1">
      <x:c r="A109" s="9" t="str">
        <x:v>Not collected</x:v>
      </x:c>
      <x:c r="B109" s="9" t="n">
        <x:f>'Evaluation Plan'!B109</x:f>
        <x:v>107</x:v>
      </x:c>
      <x:c r="C109" s="10" t="str">
        <x:f>'Evaluation Plan'!C109</x:f>
        <x:v>Place the red block behind the green pen.</x:v>
      </x:c>
      <x:c r="D109" s="10" t="str">
        <x:f>'Evaluation Plan'!D109</x:f>
        <x:v>P1 red block 24 cm to the robot-right of P2; P2 green pen at R4 (5 cm toward the robot from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109" s="9" t="str">
        <x:f>IF(ISBLANK('Evaluation Plan'!E109),"",'Evaluation Plan'!E109)</x:f>
      </x:c>
      <x:c r="F109" s="9" t="str">
        <x:f>'Evaluation Plan'!F109</x:f>
        <x:v>274</x:v>
      </x:c>
      <x:c r="G109" s="9" t="str">
        <x:f>'Evaluation Plan'!G109</x:f>
        <x:v>red block → 2–8 cm edge gap behind green pen; centroid direction within ±45°.</x:v>
      </x:c>
      <x:c r="H109" s="10"/>
      <x:c r="I109" s="9" t="str">
        <x:f>'Evaluation Plan'!I109</x:f>
        <x:v>Concept/compositional transfer</x:v>
      </x:c>
      <x:c r="J109" s="9" t="str">
        <x:f>'Evaluation Plan'!J109</x:f>
        <x:v>RP-CT-N24</x:v>
      </x:c>
      <x:c r="K109" s="9" t="str">
        <x:f>'Evaluation Plan'!K109</x:f>
        <x:v>behind</x:v>
      </x:c>
      <x:c r="L109" s="9" t="str">
        <x:f>'Evaluation Plan'!L109</x:f>
        <x:v>Neutral-axis independent compositional-transfer scene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neutral-axis scene and save the first frame.</x:v>
      </x:c>
      <x:c r="R109" s="10" t="str">
        <x:f>'Evaluation Plan'!R109</x:f>
        <x:v>Independent held-out-composition scene. Source episode 274 supplies target recognition/manipulation under the trained prompt “Put the red block beside the green pen.”. The orthogonal start removes the opposite-side shortcut.</x:v>
      </x:c>
      <x:c r="S109" s="10" t="str">
        <x:f>IF(ISBLANK('Evaluation Plan'!S109),"",'Evaluation Plan'!S109)</x:f>
      </x:c>
    </x:row>
    <x:row r="110" ht="72" customHeight="1">
      <x:c r="A110" s="9" t="str">
        <x:v>Not collected</x:v>
      </x:c>
      <x:c r="B110" s="9" t="n">
        <x:f>'Evaluation Plan'!B110</x:f>
        <x:v>108</x:v>
      </x:c>
      <x:c r="C110" s="10" t="str">
        <x:f>'Evaluation Plan'!C110</x:f>
        <x:v>Place the green pen to the left of the red block.</x:v>
      </x:c>
      <x:c r="D110" s="10" t="str">
        <x:f>'Evaluation Plan'!D110</x:f>
        <x:v>P1 green pen 18 cm in front of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110" s="9" t="str">
        <x:f>IF(ISBLANK('Evaluation Plan'!E110),"",'Evaluation Plan'!E110)</x:f>
      </x:c>
      <x:c r="F110" s="9" t="str">
        <x:f>'Evaluation Plan'!F110</x:f>
        <x:v>226</x:v>
      </x:c>
      <x:c r="G110" s="9" t="str">
        <x:f>'Evaluation Plan'!G110</x:f>
        <x:v>green pen → 2–8 cm edge gap to the left of red block; centroid direction within ±45°.</x:v>
      </x:c>
      <x:c r="H110" s="10"/>
      <x:c r="I110" s="9" t="str">
        <x:f>'Evaluation Plan'!I110</x:f>
        <x:v>Concept/compositional transfer</x:v>
      </x:c>
      <x:c r="J110" s="9" t="str">
        <x:f>'Evaluation Plan'!J110</x:f>
        <x:v>RP-CT-N25</x:v>
      </x:c>
      <x:c r="K110" s="9" t="str">
        <x:f>'Evaluation Plan'!K110</x:f>
        <x:v>left</x:v>
      </x:c>
      <x:c r="L110" s="9" t="str">
        <x:f>'Evaluation Plan'!L110</x:f>
        <x:v>Neutral-axis independent compositional-transfer scene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neutral-axis scene and save the first frame.</x:v>
      </x:c>
      <x:c r="R110" s="10" t="str">
        <x:f>'Evaluation Plan'!R110</x:f>
        <x:v>Independent held-out-composition scene. Source episode 226 supplies target recognition/manipulation under the trained prompt “Put the green pen beside the red block.”. The orthogonal start removes the opposite-side shortcut.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red block 21 cm behind P2; P2 green pen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RP-CT-N26</x:v>
      </x:c>
      <x:c r="K111" s="9" t="str">
        <x:f>'Evaluation Plan'!K111</x:f>
        <x:v>right</x:v>
      </x:c>
      <x:c r="L111" s="9" t="str">
        <x:f>'Evaluation Plan'!L111</x:f>
        <x:v>Neutral-axis independent compositional-transfer scene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neutral-axis scene and save the first frame.</x:v>
      </x:c>
      <x:c r="R111" s="10" t="str">
        <x:f>'Evaluation Plan'!R111</x:f>
        <x:v>Independent held-out-composition scene. Source episode 298 supplies target recognition/manipulation under the trained prompt “Put the red block beside the green pen.”. The orthogonal start removes the opposite-side shortcut.</x:v>
      </x:c>
      <x:c r="S111" s="10" t="str">
        <x:f>IF(ISBLANK('Evaluation Plan'!S111),"",'Evaluation Plan'!S111)</x:f>
      </x:c>
    </x:row>
    <x:row r="112" ht="72" customHeight="1">
      <x:c r="A112" s="9" t="str">
        <x:v>Not collected</x:v>
      </x:c>
      <x:c r="B112" s="9" t="n">
        <x:f>'Evaluation Plan'!B112</x:f>
        <x:v>110</x:v>
      </x:c>
      <x:c r="C112" s="10" t="str">
        <x:f>'Evaluation Plan'!C112</x:f>
        <x:v>Place the juggling ball in front of the pink marker.</x:v>
      </x:c>
      <x:c r="D112" s="10" t="str">
        <x:f>'Evaluation Plan'!D112</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2" s="9" t="str">
        <x:f>IF(ISBLANK('Evaluation Plan'!E112),"",'Evaluation Plan'!E112)</x:f>
      </x:c>
      <x:c r="F112" s="9" t="str">
        <x:f>'Evaluation Plan'!F112</x:f>
        <x:v>1100 (juggling-ball exposure); 204 (front relation)</x:v>
      </x:c>
      <x:c r="G112" s="9" t="str">
        <x:f>'Evaluation Plan'!G112</x:f>
        <x:v>juggling ball → 2–8 cm edge gap in front of pink marker; centroid direction within ±45°.</x:v>
      </x:c>
      <x:c r="H112" s="10"/>
      <x:c r="I112" s="9" t="str">
        <x:f>'Evaluation Plan'!I112</x:f>
        <x:v>Cross-task-object directional reasoning</x:v>
      </x:c>
      <x:c r="J112" s="9" t="str">
        <x:f>'Evaluation Plan'!J112</x:f>
        <x:v>RP-XT-CF01</x:v>
      </x:c>
      <x:c r="K112" s="9" t="str">
        <x:f>'Evaluation Plan'!K112</x:f>
        <x:v>front</x:v>
      </x:c>
      <x:c r="L112" s="9" t="str">
        <x:f>'Evaluation Plan'!L112</x:f>
        <x:v>Four-way cross-task counterfactual: front/behind polarity × juggling-ball target/reference role</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neutral-axis scene and save the first frame.</x:v>
      </x:c>
      <x:c r="R112" s="10" t="str">
        <x:f>'Evaluation Plan'!R112</x:f>
        <x:v>The juggling ball is globally familiar but absent from Relational Placement training. This exact-scene family crosses direction with its target role and contains no direct-name control.</x:v>
      </x:c>
      <x:c r="S112" s="10" t="str">
        <x:f>IF(ISBLANK('Evaluation Plan'!S112),"",'Evaluation Plan'!S112)</x:f>
      </x:c>
    </x:row>
    <x:row r="113" ht="72" customHeight="1">
      <x:c r="A113" s="24" t="str">
        <x:v>Not collected</x:v>
      </x:c>
      <x:c r="B113" s="24" t="n">
        <x:f>'Evaluation Plan'!B113</x:f>
        <x:v>111</x:v>
      </x:c>
      <x:c r="C113" s="25" t="str">
        <x:f>'Evaluation Plan'!C113</x:f>
        <x:v>Place the juggling ball behind the pink marker.</x:v>
      </x:c>
      <x:c r="D113" s="25" t="str">
        <x:f>'Evaluation Plan'!D113</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3" s="24" t="n">
        <x:f>IF(ISBLANK('Evaluation Plan'!E113),"",'Evaluation Plan'!E113)</x:f>
        <x:v>110</x:v>
      </x:c>
      <x:c r="F113" s="24" t="str">
        <x:f>'Evaluation Plan'!F113</x:f>
        <x:v>1100 (juggling-ball exposure); 217 (behind relation)</x:v>
      </x:c>
      <x:c r="G113" s="24" t="str">
        <x:f>'Evaluation Plan'!G113</x:f>
        <x:v>juggling ball → 2–8 cm edge gap behind pink marker; centroid direction within ±45°.</x:v>
      </x:c>
      <x:c r="H113" s="25"/>
      <x:c r="I113" s="24" t="str">
        <x:f>'Evaluation Plan'!I113</x:f>
        <x:v>Cross-task-object directional reasoning</x:v>
      </x:c>
      <x:c r="J113" s="24" t="str">
        <x:f>'Evaluation Plan'!J113</x:f>
        <x:v>RP-XT-CF01</x:v>
      </x:c>
      <x:c r="K113" s="24" t="str">
        <x:f>'Evaluation Plan'!K113</x:f>
        <x:v>behind</x:v>
      </x:c>
      <x:c r="L113" s="24" t="str">
        <x:f>'Evaluation Plan'!L113</x:f>
        <x:v>Four-way cross-task counterfactual: front/behind polarity × juggling-ball target/reference role</x:v>
      </x:c>
      <x:c r="M113" s="24" t="str">
        <x:f>'Evaluation Plan'!M113</x:f>
        <x:v>juggling ball</x:v>
      </x:c>
      <x:c r="N113" s="24" t="str">
        <x:f>'Evaluation Plan'!N113</x:f>
        <x:v>pink marker</x:v>
      </x:c>
      <x:c r="O113" s="24" t="str">
        <x:f>'Evaluation Plan'!O113</x:f>
        <x:v>Target</x:v>
      </x:c>
      <x:c r="P113" s="24" t="n">
        <x:f>'Evaluation Plan'!P113</x:f>
        <x:v>3</x:v>
      </x:c>
      <x:c r="Q113" s="24" t="str">
        <x:f>'Evaluation Plan'!Q113</x:f>
        <x:v>Reset every manipulated core object to its marked pose; preserve the exact scene and change only the instruction.</x:v>
      </x:c>
      <x:c r="R113" s="25" t="str">
        <x:f>'Evaluation Plan'!R113</x:f>
        <x:v>The juggling ball is globally familiar but absent from Relational Placement training. This exact-scene family crosses direction with its target role and contains no direct-name control.</x:v>
      </x:c>
      <x:c r="S113" s="25" t="str">
        <x:f>IF(ISBLANK('Evaluation Plan'!S113),"",'Evaluation Plan'!S113)</x:f>
      </x:c>
    </x:row>
    <x:row r="114" ht="72" customHeight="1">
      <x:c r="A114" s="9" t="str">
        <x:v>Not collected</x:v>
      </x:c>
      <x:c r="B114" s="9" t="n">
        <x:f>'Evaluation Plan'!B114</x:f>
        <x:v>112</x:v>
      </x:c>
      <x:c r="C114" s="10" t="str">
        <x:f>'Evaluation Plan'!C114</x:f>
        <x:v>Place the pink marker in front of the juggling ball.</x:v>
      </x:c>
      <x:c r="D114" s="10" t="str">
        <x:f>'Evaluation Plan'!D114</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4" s="9" t="n">
        <x:f>IF(ISBLANK('Evaluation Plan'!E114),"",'Evaluation Plan'!E114)</x:f>
        <x:v>110</x:v>
      </x:c>
      <x:c r="F114" s="9" t="str">
        <x:f>'Evaluation Plan'!F114</x:f>
        <x:v>1100 (juggling-ball exposure); 305 (front relation with pink marker as target)</x:v>
      </x:c>
      <x:c r="G114" s="9" t="str">
        <x:f>'Evaluation Plan'!G114</x:f>
        <x:v>pink marker → 2–8 cm edge gap in front of juggling ball; centroid direction within ±45°.</x:v>
      </x:c>
      <x:c r="H114" s="10"/>
      <x:c r="I114" s="9" t="str">
        <x:f>'Evaluation Plan'!I114</x:f>
        <x:v>Cross-task-object directional reasoning</x:v>
      </x:c>
      <x:c r="J114" s="9" t="str">
        <x:f>'Evaluation Plan'!J114</x:f>
        <x:v>RP-XT-CF01</x:v>
      </x:c>
      <x:c r="K114" s="9" t="str">
        <x:f>'Evaluation Plan'!K114</x:f>
        <x:v>front</x:v>
      </x:c>
      <x:c r="L114" s="9" t="str">
        <x:f>'Evaluation Plan'!L114</x:f>
        <x:v>Four-way cross-task counterfactual: front/behind polarity × juggling-ball target/reference role</x:v>
      </x:c>
      <x:c r="M114" s="9" t="str">
        <x:f>'Evaluation Plan'!M114</x:f>
        <x:v>pink marker</x:v>
      </x:c>
      <x:c r="N114" s="9" t="str">
        <x:f>'Evaluation Plan'!N114</x:f>
        <x:v>juggling ball</x:v>
      </x:c>
      <x:c r="O114" s="9" t="str">
        <x:f>'Evaluation Plan'!O114</x:f>
        <x:v>Reference</x:v>
      </x:c>
      <x:c r="P114" s="9" t="n">
        <x:f>'Evaluation Plan'!P114</x:f>
        <x:v>3</x:v>
      </x:c>
      <x:c r="Q114" s="9" t="str">
        <x:f>'Evaluation Plan'!Q114</x:f>
        <x:v>Reset every manipulated core object to its marked pose; preserve the exact scene and change only the instruction.</x:v>
      </x:c>
      <x:c r="R114" s="10" t="str">
        <x:f>'Evaluation Plan'!R114</x:f>
        <x:v>The juggling ball is globally familiar but absent from Relational Placement training. This exact-scene family crosses direction with its reference role and contains no direct-name control.</x:v>
      </x:c>
      <x:c r="S114" s="10" t="str">
        <x:f>IF(ISBLANK('Evaluation Plan'!S114),"",'Evaluation Plan'!S114)</x:f>
      </x:c>
    </x:row>
    <x:row r="115" ht="72" customHeight="1">
      <x:c r="A115" s="24" t="str">
        <x:v>Not collected</x:v>
      </x:c>
      <x:c r="B115" s="24" t="n">
        <x:f>'Evaluation Plan'!B115</x:f>
        <x:v>113</x:v>
      </x:c>
      <x:c r="C115" s="25" t="str">
        <x:f>'Evaluation Plan'!C115</x:f>
        <x:v>Place the pink marker behind the juggling ball.</x:v>
      </x:c>
      <x:c r="D115" s="25" t="str">
        <x:f>'Evaluation Plan'!D115</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5" s="24" t="n">
        <x:f>IF(ISBLANK('Evaluation Plan'!E115),"",'Evaluation Plan'!E115)</x:f>
        <x:v>110</x:v>
      </x:c>
      <x:c r="F115" s="24" t="str">
        <x:f>'Evaluation Plan'!F115</x:f>
        <x:v>1100 (juggling-ball exposure); 317 (behind relation with pink marker as target)</x:v>
      </x:c>
      <x:c r="G115" s="24" t="str">
        <x:f>'Evaluation Plan'!G115</x:f>
        <x:v>pink marker → 2–8 cm edge gap behind juggling ball; centroid direction within ±45°.</x:v>
      </x:c>
      <x:c r="H115" s="25"/>
      <x:c r="I115" s="24" t="str">
        <x:f>'Evaluation Plan'!I115</x:f>
        <x:v>Cross-task-object directional reasoning</x:v>
      </x:c>
      <x:c r="J115" s="24" t="str">
        <x:f>'Evaluation Plan'!J115</x:f>
        <x:v>RP-XT-CF01</x:v>
      </x:c>
      <x:c r="K115" s="24" t="str">
        <x:f>'Evaluation Plan'!K115</x:f>
        <x:v>behind</x:v>
      </x:c>
      <x:c r="L115" s="24" t="str">
        <x:f>'Evaluation Plan'!L115</x:f>
        <x:v>Four-way cross-task counterfactual: front/behind polarity × juggling-ball target/reference role</x:v>
      </x:c>
      <x:c r="M115" s="24" t="str">
        <x:f>'Evaluation Plan'!M115</x:f>
        <x:v>pink marker</x:v>
      </x:c>
      <x:c r="N115" s="24" t="str">
        <x:f>'Evaluation Plan'!N115</x:f>
        <x:v>juggling ball</x:v>
      </x:c>
      <x:c r="O115" s="24" t="str">
        <x:f>'Evaluation Plan'!O115</x:f>
        <x:v>Reference</x:v>
      </x:c>
      <x:c r="P115" s="24" t="n">
        <x:f>'Evaluation Plan'!P115</x:f>
        <x:v>3</x:v>
      </x:c>
      <x:c r="Q115" s="24" t="str">
        <x:f>'Evaluation Plan'!Q115</x:f>
        <x:v>Reset every manipulated core object to its marked pose; preserve the exact scene and change only the instruction.</x:v>
      </x:c>
      <x:c r="R115" s="25" t="str">
        <x:f>'Evaluation Plan'!R115</x:f>
        <x:v>The juggling ball is globally familiar but absent from Relational Placement training. This exact-scene family crosses direction with its reference role and contains no direct-name control.</x:v>
      </x:c>
      <x:c r="S115" s="25" t="str">
        <x:f>IF(ISBLANK('Evaluation Plan'!S115),"",'Evaluation Plan'!S115)</x:f>
      </x:c>
    </x:row>
    <x:row r="116" ht="72" customHeight="1">
      <x:c r="A116" s="9" t="str">
        <x:v>Not collected</x:v>
      </x:c>
      <x:c r="B116" s="9" t="n">
        <x:f>'Evaluation Plan'!B116</x:f>
        <x:v>114</x:v>
      </x:c>
      <x:c r="C116" s="10" t="str">
        <x:f>'Evaluation Plan'!C116</x:f>
        <x:v>Place the juggling ball in front of the blue block.</x:v>
      </x:c>
      <x:c r="D116" s="10" t="str">
        <x:f>'Evaluation Plan'!D116</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6" s="9" t="str">
        <x:f>IF(ISBLANK('Evaluation Plan'!E116),"",'Evaluation Plan'!E116)</x:f>
      </x:c>
      <x:c r="F116" s="9" t="str">
        <x:f>'Evaluation Plan'!F116</x:f>
        <x:v>1101 (juggling-ball exposure); 208 (front relation)</x:v>
      </x:c>
      <x:c r="G116" s="9" t="str">
        <x:f>'Evaluation Plan'!G116</x:f>
        <x:v>juggling ball → 2–8 cm edge gap in front of blue block; centroid direction within ±45°.</x:v>
      </x:c>
      <x:c r="H116" s="10"/>
      <x:c r="I116" s="9" t="str">
        <x:f>'Evaluation Plan'!I116</x:f>
        <x:v>Cross-task-object directional reasoning</x:v>
      </x:c>
      <x:c r="J116" s="9" t="str">
        <x:f>'Evaluation Plan'!J116</x:f>
        <x:v>RP-XT-CF02</x:v>
      </x:c>
      <x:c r="K116" s="9" t="str">
        <x:f>'Evaluation Plan'!K116</x:f>
        <x:v>front</x:v>
      </x:c>
      <x:c r="L116" s="9" t="str">
        <x:f>'Evaluation Plan'!L116</x:f>
        <x:v>Four-way cross-task counterfactual: front/behind polarity × juggling-ball target/reference role</x:v>
      </x:c>
      <x:c r="M116" s="9" t="str">
        <x:f>'Evaluation Plan'!M116</x:f>
        <x:v>juggling ball</x:v>
      </x:c>
      <x:c r="N116" s="9" t="str">
        <x:f>'Evaluation Plan'!N116</x:f>
        <x:v>blue block</x:v>
      </x:c>
      <x:c r="O116" s="9" t="str">
        <x:f>'Evaluation Plan'!O116</x:f>
        <x:v>Target</x:v>
      </x:c>
      <x:c r="P116" s="9" t="n">
        <x:f>'Evaluation Plan'!P116</x:f>
        <x:v>4</x:v>
      </x:c>
      <x:c r="Q116" s="9" t="str">
        <x:f>'Evaluation Plan'!Q116</x:f>
        <x:v>Build the listed neutral-axis scene and save the first frame.</x:v>
      </x:c>
      <x:c r="R116" s="10" t="str">
        <x:f>'Evaluation Plan'!R116</x:f>
        <x:v>The juggling ball is globally familiar but absent from Relational Placement training. This exact-scene family crosses direction with its target role and contains no direct-name control.</x:v>
      </x:c>
      <x:c r="S116" s="10" t="str">
        <x:f>IF(ISBLANK('Evaluation Plan'!S116),"",'Evaluation Plan'!S116)</x:f>
      </x:c>
    </x:row>
    <x:row r="117" ht="72" customHeight="1">
      <x:c r="A117" s="24" t="str">
        <x:v>Not collected</x:v>
      </x:c>
      <x:c r="B117" s="24" t="n">
        <x:f>'Evaluation Plan'!B117</x:f>
        <x:v>115</x:v>
      </x:c>
      <x:c r="C117" s="25" t="str">
        <x:f>'Evaluation Plan'!C117</x:f>
        <x:v>Place the juggling ball behind the blue block.</x:v>
      </x:c>
      <x:c r="D117" s="25" t="str">
        <x:f>'Evaluation Plan'!D117</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7" s="24" t="n">
        <x:f>IF(ISBLANK('Evaluation Plan'!E117),"",'Evaluation Plan'!E117)</x:f>
        <x:v>114</x:v>
      </x:c>
      <x:c r="F117" s="24" t="str">
        <x:f>'Evaluation Plan'!F117</x:f>
        <x:v>1101 (juggling-ball exposure); 221 (behind relation)</x:v>
      </x:c>
      <x:c r="G117" s="24" t="str">
        <x:f>'Evaluation Plan'!G117</x:f>
        <x:v>juggling ball → 2–8 cm edge gap behind blue block; centroid direction within ±45°.</x:v>
      </x:c>
      <x:c r="H117" s="25"/>
      <x:c r="I117" s="24" t="str">
        <x:f>'Evaluation Plan'!I117</x:f>
        <x:v>Cross-task-object directional reasoning</x:v>
      </x:c>
      <x:c r="J117" s="24" t="str">
        <x:f>'Evaluation Plan'!J117</x:f>
        <x:v>RP-XT-CF02</x:v>
      </x:c>
      <x:c r="K117" s="24" t="str">
        <x:f>'Evaluation Plan'!K117</x:f>
        <x:v>behind</x:v>
      </x:c>
      <x:c r="L117" s="24" t="str">
        <x:f>'Evaluation Plan'!L117</x:f>
        <x:v>Four-way cross-task counterfactual: front/behind polarity × juggling-ball target/reference role</x:v>
      </x:c>
      <x:c r="M117" s="24" t="str">
        <x:f>'Evaluation Plan'!M117</x:f>
        <x:v>juggling ball</x:v>
      </x:c>
      <x:c r="N117" s="24" t="str">
        <x:f>'Evaluation Plan'!N117</x:f>
        <x:v>blue block</x:v>
      </x:c>
      <x:c r="O117" s="24" t="str">
        <x:f>'Evaluation Plan'!O117</x:f>
        <x:v>Target</x:v>
      </x:c>
      <x:c r="P117" s="24" t="n">
        <x:f>'Evaluation Plan'!P117</x:f>
        <x:v>4</x:v>
      </x:c>
      <x:c r="Q117" s="24" t="str">
        <x:f>'Evaluation Plan'!Q117</x:f>
        <x:v>Reset every manipulated core object to its marked pose; preserve the exact scene and change only the instruction.</x:v>
      </x:c>
      <x:c r="R117" s="25" t="str">
        <x:f>'Evaluation Plan'!R117</x:f>
        <x:v>The juggling ball is globally familiar but absent from Relational Placement training. This exact-scene family crosses direction with its target role and contains no direct-name control.</x:v>
      </x:c>
      <x:c r="S117" s="25" t="str">
        <x:f>IF(ISBLANK('Evaluation Plan'!S117),"",'Evaluation Plan'!S117)</x:f>
      </x:c>
    </x:row>
    <x:row r="118" ht="72" customHeight="1">
      <x:c r="A118" s="9" t="str">
        <x:v>Not collected</x:v>
      </x:c>
      <x:c r="B118" s="9" t="n">
        <x:f>'Evaluation Plan'!B118</x:f>
        <x:v>116</x:v>
      </x:c>
      <x:c r="C118" s="10" t="str">
        <x:f>'Evaluation Plan'!C118</x:f>
        <x:v>Place the blue block in front of the juggling ball.</x:v>
      </x:c>
      <x:c r="D118" s="10" t="str">
        <x:f>'Evaluation Plan'!D118</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8" s="9" t="n">
        <x:f>IF(ISBLANK('Evaluation Plan'!E118),"",'Evaluation Plan'!E118)</x:f>
        <x:v>114</x:v>
      </x:c>
      <x:c r="F118" s="9" t="str">
        <x:f>'Evaluation Plan'!F118</x:f>
        <x:v>1101 (juggling-ball exposure); 350 (front relation with blue block as target)</x:v>
      </x:c>
      <x:c r="G118" s="9" t="str">
        <x:f>'Evaluation Plan'!G118</x:f>
        <x:v>blue block → 2–8 cm edge gap in front of juggling ball; centroid direction within ±45°.</x:v>
      </x:c>
      <x:c r="H118" s="10"/>
      <x:c r="I118" s="9" t="str">
        <x:f>'Evaluation Plan'!I118</x:f>
        <x:v>Cross-task-object directional reasoning</x:v>
      </x:c>
      <x:c r="J118" s="9" t="str">
        <x:f>'Evaluation Plan'!J118</x:f>
        <x:v>RP-XT-CF02</x:v>
      </x:c>
      <x:c r="K118" s="9" t="str">
        <x:f>'Evaluation Plan'!K118</x:f>
        <x:v>front</x:v>
      </x:c>
      <x:c r="L118" s="9" t="str">
        <x:f>'Evaluation Plan'!L118</x:f>
        <x:v>Four-way cross-task counterfactual: front/behind polarity × juggling-ball target/reference role</x:v>
      </x:c>
      <x:c r="M118" s="9" t="str">
        <x:f>'Evaluation Plan'!M118</x:f>
        <x:v>blue block</x:v>
      </x:c>
      <x:c r="N118" s="9" t="str">
        <x:f>'Evaluation Plan'!N118</x:f>
        <x:v>juggling ball</x:v>
      </x:c>
      <x:c r="O118" s="9" t="str">
        <x:f>'Evaluation Plan'!O118</x:f>
        <x:v>Reference</x:v>
      </x:c>
      <x:c r="P118" s="9" t="n">
        <x:f>'Evaluation Plan'!P118</x:f>
        <x:v>4</x:v>
      </x:c>
      <x:c r="Q118" s="9" t="str">
        <x:f>'Evaluation Plan'!Q118</x:f>
        <x:v>Reset every manipulated core object to its marked pose; preserve the exact scene and change only the instruction.</x:v>
      </x:c>
      <x:c r="R118" s="10" t="str">
        <x:f>'Evaluation Plan'!R118</x:f>
        <x:v>The juggling ball is globally familiar but absent from Relational Placement training. This exact-scene family crosses direction with its reference role and contains no direct-name control.</x:v>
      </x:c>
      <x:c r="S118" s="10" t="str">
        <x:f>IF(ISBLANK('Evaluation Plan'!S118),"",'Evaluation Plan'!S118)</x:f>
      </x:c>
    </x:row>
    <x:row r="119" ht="72" customHeight="1">
      <x:c r="A119" s="24" t="str">
        <x:v>Not collected</x:v>
      </x:c>
      <x:c r="B119" s="24" t="n">
        <x:f>'Evaluation Plan'!B119</x:f>
        <x:v>117</x:v>
      </x:c>
      <x:c r="C119" s="25" t="str">
        <x:f>'Evaluation Plan'!C119</x:f>
        <x:v>Place the blue block behind the juggling ball.</x:v>
      </x:c>
      <x:c r="D119" s="25" t="str">
        <x:f>'Evaluation Plan'!D119</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9" s="24" t="n">
        <x:f>IF(ISBLANK('Evaluation Plan'!E119),"",'Evaluation Plan'!E119)</x:f>
        <x:v>114</x:v>
      </x:c>
      <x:c r="F119" s="24" t="str">
        <x:f>'Evaluation Plan'!F119</x:f>
        <x:v>1101 (juggling-ball exposure); 362 (behind relation with blue block as target)</x:v>
      </x:c>
      <x:c r="G119" s="24" t="str">
        <x:f>'Evaluation Plan'!G119</x:f>
        <x:v>blue block → 2–8 cm edge gap behind juggling ball; centroid direction within ±45°.</x:v>
      </x:c>
      <x:c r="H119" s="25"/>
      <x:c r="I119" s="24" t="str">
        <x:f>'Evaluation Plan'!I119</x:f>
        <x:v>Cross-task-object directional reasoning</x:v>
      </x:c>
      <x:c r="J119" s="24" t="str">
        <x:f>'Evaluation Plan'!J119</x:f>
        <x:v>RP-XT-CF02</x:v>
      </x:c>
      <x:c r="K119" s="24" t="str">
        <x:f>'Evaluation Plan'!K119</x:f>
        <x:v>behind</x:v>
      </x:c>
      <x:c r="L119" s="24" t="str">
        <x:f>'Evaluation Plan'!L119</x:f>
        <x:v>Four-way cross-task counterfactual: front/behind polarity × juggling-ball target/reference role</x:v>
      </x:c>
      <x:c r="M119" s="24" t="str">
        <x:f>'Evaluation Plan'!M119</x:f>
        <x:v>blue block</x:v>
      </x:c>
      <x:c r="N119" s="24" t="str">
        <x:f>'Evaluation Plan'!N119</x:f>
        <x:v>juggling ball</x:v>
      </x:c>
      <x:c r="O119" s="24" t="str">
        <x:f>'Evaluation Plan'!O119</x:f>
        <x:v>Reference</x:v>
      </x:c>
      <x:c r="P119" s="24" t="n">
        <x:f>'Evaluation Plan'!P119</x:f>
        <x:v>4</x:v>
      </x:c>
      <x:c r="Q119" s="24" t="str">
        <x:f>'Evaluation Plan'!Q119</x:f>
        <x:v>Reset every manipulated core object to its marked pose; preserve the exact scene and change only the instruction.</x:v>
      </x:c>
      <x:c r="R119" s="25" t="str">
        <x:f>'Evaluation Plan'!R119</x:f>
        <x:v>The juggling ball is globally familiar but absent from Relational Placement training. This exact-scene family crosses direction with its reference role and contains no direct-name control.</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green pen.</x:v>
      </x:c>
      <x:c r="D120" s="10" t="str">
        <x:f>'Evaluation Plan'!D120</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0" s="9" t="str">
        <x:f>IF(ISBLANK('Evaluation Plan'!E120),"",'Evaluation Plan'!E120)</x:f>
      </x:c>
      <x:c r="F120" s="9" t="str">
        <x:f>'Evaluation Plan'!F120</x:f>
        <x:v>1102 (juggling-ball exposure); 229 (left relation)</x:v>
      </x:c>
      <x:c r="G120" s="9" t="str">
        <x:f>'Evaluation Plan'!G120</x:f>
        <x:v>juggling ball → 2–8 cm edge gap to the left of green pen; centroid direction within ±45°.</x:v>
      </x:c>
      <x:c r="H120" s="10"/>
      <x:c r="I120" s="9" t="str">
        <x:f>'Evaluation Plan'!I120</x:f>
        <x:v>Cross-task-object directional reasoning</x:v>
      </x:c>
      <x:c r="J120" s="9" t="str">
        <x:f>'Evaluation Plan'!J120</x:f>
        <x:v>RP-XT-CF03</x:v>
      </x:c>
      <x:c r="K120" s="9" t="str">
        <x:f>'Evaluation Plan'!K120</x:f>
        <x:v>left</x:v>
      </x:c>
      <x:c r="L120" s="9" t="str">
        <x:f>'Evaluation Plan'!L120</x:f>
        <x:v>Four-way cross-task counterfactual: left/right polarity × juggling-ball target/reference role</x:v>
      </x:c>
      <x:c r="M120" s="9" t="str">
        <x:f>'Evaluation Plan'!M120</x:f>
        <x:v>juggling ball</x:v>
      </x:c>
      <x:c r="N120" s="9" t="str">
        <x:f>'Evaluation Plan'!N120</x:f>
        <x:v>green pen</x:v>
      </x:c>
      <x:c r="O120" s="9" t="str">
        <x:f>'Evaluation Plan'!O120</x:f>
        <x:v>Target</x:v>
      </x:c>
      <x:c r="P120" s="9" t="n">
        <x:f>'Evaluation Plan'!P120</x:f>
        <x:v>3</x:v>
      </x:c>
      <x:c r="Q120" s="9" t="str">
        <x:f>'Evaluation Plan'!Q120</x:f>
        <x:v>Build the listed neutral-axis scene and save the first frame.</x:v>
      </x:c>
      <x:c r="R120" s="10" t="str">
        <x:f>'Evaluation Plan'!R120</x:f>
        <x:v>The juggling ball is globally familiar but absent from Relational Placement training. This exact-scene family crosses direction with its target role and contains no direct-name control.</x:v>
      </x:c>
      <x:c r="S120" s="10" t="str">
        <x:f>IF(ISBLANK('Evaluation Plan'!S120),"",'Evaluation Plan'!S120)</x:f>
      </x:c>
    </x:row>
    <x:row r="121" ht="72" customHeight="1">
      <x:c r="A121" s="24" t="str">
        <x:v>Not collected</x:v>
      </x:c>
      <x:c r="B121" s="24" t="n">
        <x:f>'Evaluation Plan'!B121</x:f>
        <x:v>119</x:v>
      </x:c>
      <x:c r="C121" s="25" t="str">
        <x:f>'Evaluation Plan'!C121</x:f>
        <x:v>Place the juggling ball to the right of the green pen.</x:v>
      </x:c>
      <x:c r="D121" s="25" t="str">
        <x:f>'Evaluation Plan'!D121</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1" s="24" t="n">
        <x:f>IF(ISBLANK('Evaluation Plan'!E121),"",'Evaluation Plan'!E121)</x:f>
        <x:v>118</x:v>
      </x:c>
      <x:c r="F121" s="24" t="str">
        <x:f>'Evaluation Plan'!F121</x:f>
        <x:v>1102 (juggling-ball exposure); 243 (right relation)</x:v>
      </x:c>
      <x:c r="G121" s="24" t="str">
        <x:f>'Evaluation Plan'!G121</x:f>
        <x:v>juggling ball → 2–8 cm edge gap to the right of green pen; centroid direction within ±45°.</x:v>
      </x:c>
      <x:c r="H121" s="25"/>
      <x:c r="I121" s="24" t="str">
        <x:f>'Evaluation Plan'!I121</x:f>
        <x:v>Cross-task-object directional reasoning</x:v>
      </x:c>
      <x:c r="J121" s="24" t="str">
        <x:f>'Evaluation Plan'!J121</x:f>
        <x:v>RP-XT-CF03</x:v>
      </x:c>
      <x:c r="K121" s="24" t="str">
        <x:f>'Evaluation Plan'!K121</x:f>
        <x:v>right</x:v>
      </x:c>
      <x:c r="L121" s="24" t="str">
        <x:f>'Evaluation Plan'!L121</x:f>
        <x:v>Four-way cross-task counterfactual: left/right polarity × juggling-ball target/reference role</x:v>
      </x:c>
      <x:c r="M121" s="24" t="str">
        <x:f>'Evaluation Plan'!M121</x:f>
        <x:v>juggling ball</x:v>
      </x:c>
      <x:c r="N121" s="24" t="str">
        <x:f>'Evaluation Plan'!N121</x:f>
        <x:v>green pen</x:v>
      </x:c>
      <x:c r="O121" s="24" t="str">
        <x:f>'Evaluation Plan'!O121</x:f>
        <x:v>Target</x:v>
      </x:c>
      <x:c r="P121" s="24" t="n">
        <x:f>'Evaluation Plan'!P121</x:f>
        <x:v>3</x:v>
      </x:c>
      <x:c r="Q121" s="24" t="str">
        <x:f>'Evaluation Plan'!Q121</x:f>
        <x:v>Reset every manipulated core object to its marked pose; preserve the exact scene and change only the instruction.</x:v>
      </x:c>
      <x:c r="R121" s="25" t="str">
        <x:f>'Evaluation Plan'!R121</x:f>
        <x:v>The juggling ball is globally familiar but absent from Relational Placement training. This exact-scene family crosses direction with its target role and contains no direct-name control.</x:v>
      </x:c>
      <x:c r="S121" s="25" t="str">
        <x:f>IF(ISBLANK('Evaluation Plan'!S121),"",'Evaluation Plan'!S121)</x:f>
      </x:c>
    </x:row>
    <x:row r="122" ht="72" customHeight="1">
      <x:c r="A122" s="9" t="str">
        <x:v>Not collected</x:v>
      </x:c>
      <x:c r="B122" s="9" t="n">
        <x:f>'Evaluation Plan'!B122</x:f>
        <x:v>120</x:v>
      </x:c>
      <x:c r="C122" s="10" t="str">
        <x:f>'Evaluation Plan'!C122</x:f>
        <x:v>Place the green pen to the left of the juggling ball.</x:v>
      </x:c>
      <x:c r="D122" s="10" t="str">
        <x:f>'Evaluation Plan'!D122</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2" s="9" t="n">
        <x:f>IF(ISBLANK('Evaluation Plan'!E122),"",'Evaluation Plan'!E122)</x:f>
        <x:v>118</x:v>
      </x:c>
      <x:c r="F122" s="9" t="str">
        <x:f>'Evaluation Plan'!F122</x:f>
        <x:v>1102 (juggling-ball exposure); 229 (left relation with green pen as target)</x:v>
      </x:c>
      <x:c r="G122" s="9" t="str">
        <x:f>'Evaluation Plan'!G122</x:f>
        <x:v>green pen → 2–8 cm edge gap to the left of juggling ball; centroid direction within ±45°.</x:v>
      </x:c>
      <x:c r="H122" s="10"/>
      <x:c r="I122" s="9" t="str">
        <x:f>'Evaluation Plan'!I122</x:f>
        <x:v>Cross-task-object directional reasoning</x:v>
      </x:c>
      <x:c r="J122" s="9" t="str">
        <x:f>'Evaluation Plan'!J122</x:f>
        <x:v>RP-XT-CF03</x:v>
      </x:c>
      <x:c r="K122" s="9" t="str">
        <x:f>'Evaluation Plan'!K122</x:f>
        <x:v>left</x:v>
      </x:c>
      <x:c r="L122" s="9" t="str">
        <x:f>'Evaluation Plan'!L122</x:f>
        <x:v>Four-way cross-task counterfactual: left/right polarity × juggling-ball target/reference role</x:v>
      </x:c>
      <x:c r="M122" s="9" t="str">
        <x:f>'Evaluation Plan'!M122</x:f>
        <x:v>green pen</x:v>
      </x:c>
      <x:c r="N122" s="9" t="str">
        <x:f>'Evaluation Plan'!N122</x:f>
        <x:v>juggling ball</x:v>
      </x:c>
      <x:c r="O122" s="9" t="str">
        <x:f>'Evaluation Plan'!O122</x:f>
        <x:v>Reference</x:v>
      </x:c>
      <x:c r="P122" s="9" t="n">
        <x:f>'Evaluation Plan'!P122</x:f>
        <x:v>3</x:v>
      </x:c>
      <x:c r="Q122" s="9" t="str">
        <x:f>'Evaluation Plan'!Q122</x:f>
        <x:v>Reset every manipulated core object to its marked pose; preserve the exact scene and change only the instruction.</x:v>
      </x:c>
      <x:c r="R122" s="10" t="str">
        <x:f>'Evaluation Plan'!R122</x:f>
        <x:v>The juggling ball is globally familiar but absent from Relational Placement training. This exact-scene family crosses direction with its reference role and contains no direct-name control.</x:v>
      </x:c>
      <x:c r="S122" s="10" t="str">
        <x:f>IF(ISBLANK('Evaluation Plan'!S122),"",'Evaluation Plan'!S122)</x:f>
      </x:c>
    </x:row>
    <x:row r="123" ht="72" customHeight="1">
      <x:c r="A123" s="24" t="str">
        <x:v>Not collected</x:v>
      </x:c>
      <x:c r="B123" s="24" t="n">
        <x:f>'Evaluation Plan'!B123</x:f>
        <x:v>121</x:v>
      </x:c>
      <x:c r="C123" s="25" t="str">
        <x:f>'Evaluation Plan'!C123</x:f>
        <x:v>Place the green pen to the right of the juggling ball.</x:v>
      </x:c>
      <x:c r="D123" s="25" t="str">
        <x:f>'Evaluation Plan'!D123</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3" s="24" t="n">
        <x:f>IF(ISBLANK('Evaluation Plan'!E123),"",'Evaluation Plan'!E123)</x:f>
        <x:v>118</x:v>
      </x:c>
      <x:c r="F123" s="24" t="str">
        <x:f>'Evaluation Plan'!F123</x:f>
        <x:v>1102 (juggling-ball exposure); 243 (right relation with green pen as target)</x:v>
      </x:c>
      <x:c r="G123" s="24" t="str">
        <x:f>'Evaluation Plan'!G123</x:f>
        <x:v>green pen → 2–8 cm edge gap to the right of juggling ball; centroid direction within ±45°.</x:v>
      </x:c>
      <x:c r="H123" s="25"/>
      <x:c r="I123" s="24" t="str">
        <x:f>'Evaluation Plan'!I123</x:f>
        <x:v>Cross-task-object directional reasoning</x:v>
      </x:c>
      <x:c r="J123" s="24" t="str">
        <x:f>'Evaluation Plan'!J123</x:f>
        <x:v>RP-XT-CF03</x:v>
      </x:c>
      <x:c r="K123" s="24" t="str">
        <x:f>'Evaluation Plan'!K123</x:f>
        <x:v>right</x:v>
      </x:c>
      <x:c r="L123" s="24" t="str">
        <x:f>'Evaluation Plan'!L123</x:f>
        <x:v>Four-way cross-task counterfactual: left/right polarity × juggling-ball target/reference role</x:v>
      </x:c>
      <x:c r="M123" s="24" t="str">
        <x:f>'Evaluation Plan'!M123</x:f>
        <x:v>green pen</x:v>
      </x:c>
      <x:c r="N123" s="24" t="str">
        <x:f>'Evaluation Plan'!N123</x:f>
        <x:v>juggling ball</x:v>
      </x:c>
      <x:c r="O123" s="24" t="str">
        <x:f>'Evaluation Plan'!O123</x:f>
        <x:v>Reference</x:v>
      </x:c>
      <x:c r="P123" s="24" t="n">
        <x:f>'Evaluation Plan'!P123</x:f>
        <x:v>3</x:v>
      </x:c>
      <x:c r="Q123" s="24" t="str">
        <x:f>'Evaluation Plan'!Q123</x:f>
        <x:v>Reset every manipulated core object to its marked pose; preserve the exact scene and change only the instruction.</x:v>
      </x:c>
      <x:c r="R123" s="25" t="str">
        <x:f>'Evaluation Plan'!R123</x:f>
        <x:v>The juggling ball is globally familiar but absent from Relational Placement training. This exact-scene family crosses direction with its reference role and contains no direct-name control.</x:v>
      </x:c>
      <x:c r="S123" s="25" t="str">
        <x:f>IF(ISBLANK('Evaluation Plan'!S123),"",'Evaluation Plan'!S123)</x:f>
      </x:c>
    </x:row>
    <x:row r="124" ht="72" customHeight="1">
      <x:c r="A124" s="9" t="str">
        <x:v>Not collected</x:v>
      </x:c>
      <x:c r="B124" s="9" t="n">
        <x:f>'Evaluation Plan'!B124</x:f>
        <x:v>122</x:v>
      </x:c>
      <x:c r="C124" s="10" t="str">
        <x:f>'Evaluation Plan'!C124</x:f>
        <x:v>Place the juggling ball to the left of the red block.</x:v>
      </x:c>
      <x:c r="D124" s="10" t="str">
        <x:f>'Evaluation Plan'!D124</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4" s="9" t="str">
        <x:f>IF(ISBLANK('Evaluation Plan'!E124),"",'Evaluation Plan'!E124)</x:f>
      </x:c>
      <x:c r="F124" s="9" t="str">
        <x:f>'Evaluation Plan'!F124</x:f>
        <x:v>1103 (juggling-ball exposure); 275 (left relation)</x:v>
      </x:c>
      <x:c r="G124" s="9" t="str">
        <x:f>'Evaluation Plan'!G124</x:f>
        <x:v>juggling ball → 2–8 cm edge gap to the left of red block; centroid direction within ±45°.</x:v>
      </x:c>
      <x:c r="H124" s="10"/>
      <x:c r="I124" s="9" t="str">
        <x:f>'Evaluation Plan'!I124</x:f>
        <x:v>Cross-task-object directional reasoning</x:v>
      </x:c>
      <x:c r="J124" s="9" t="str">
        <x:f>'Evaluation Plan'!J124</x:f>
        <x:v>RP-XT-CF04</x:v>
      </x:c>
      <x:c r="K124" s="9" t="str">
        <x:f>'Evaluation Plan'!K124</x:f>
        <x:v>left</x:v>
      </x:c>
      <x:c r="L124" s="9" t="str">
        <x:f>'Evaluation Plan'!L124</x:f>
        <x:v>Four-way cross-task counterfactual: left/right polarity × juggling-ball target/reference role</x:v>
      </x:c>
      <x:c r="M124" s="9" t="str">
        <x:f>'Evaluation Plan'!M124</x:f>
        <x:v>juggling ball</x:v>
      </x:c>
      <x:c r="N124" s="9" t="str">
        <x:f>'Evaluation Plan'!N124</x:f>
        <x:v>red block</x:v>
      </x:c>
      <x:c r="O124" s="9" t="str">
        <x:f>'Evaluation Plan'!O124</x:f>
        <x:v>Target</x:v>
      </x:c>
      <x:c r="P124" s="9" t="n">
        <x:f>'Evaluation Plan'!P124</x:f>
        <x:v>4</x:v>
      </x:c>
      <x:c r="Q124" s="9" t="str">
        <x:f>'Evaluation Plan'!Q124</x:f>
        <x:v>Build the listed neutral-axis scene and save the first frame.</x:v>
      </x:c>
      <x:c r="R124" s="10" t="str">
        <x:f>'Evaluation Plan'!R124</x:f>
        <x:v>The juggling ball is globally familiar but absent from Relational Placement training. This exact-scene family crosses direction with its target role and contains no direct-name control.</x:v>
      </x:c>
      <x:c r="S124" s="10" t="str">
        <x:f>IF(ISBLANK('Evaluation Plan'!S124),"",'Evaluation Plan'!S124)</x:f>
      </x:c>
    </x:row>
    <x:row r="125" ht="72" customHeight="1">
      <x:c r="A125" s="24" t="str">
        <x:v>Not collected</x:v>
      </x:c>
      <x:c r="B125" s="24" t="n">
        <x:f>'Evaluation Plan'!B125</x:f>
        <x:v>123</x:v>
      </x:c>
      <x:c r="C125" s="25" t="str">
        <x:f>'Evaluation Plan'!C125</x:f>
        <x:v>Place the juggling ball to the right of the red block.</x:v>
      </x:c>
      <x:c r="D125" s="25" t="str">
        <x:f>'Evaluation Plan'!D125</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5" s="24" t="n">
        <x:f>IF(ISBLANK('Evaluation Plan'!E125),"",'Evaluation Plan'!E125)</x:f>
        <x:v>122</x:v>
      </x:c>
      <x:c r="F125" s="24" t="str">
        <x:f>'Evaluation Plan'!F125</x:f>
        <x:v>1103 (juggling-ball exposure); 287 (right relation)</x:v>
      </x:c>
      <x:c r="G125" s="24" t="str">
        <x:f>'Evaluation Plan'!G125</x:f>
        <x:v>juggling ball → 2–8 cm edge gap to the right of red block; centroid direction within ±45°.</x:v>
      </x:c>
      <x:c r="H125" s="25"/>
      <x:c r="I125" s="24" t="str">
        <x:f>'Evaluation Plan'!I125</x:f>
        <x:v>Cross-task-object directional reasoning</x:v>
      </x:c>
      <x:c r="J125" s="24" t="str">
        <x:f>'Evaluation Plan'!J125</x:f>
        <x:v>RP-XT-CF04</x:v>
      </x:c>
      <x:c r="K125" s="24" t="str">
        <x:f>'Evaluation Plan'!K125</x:f>
        <x:v>right</x:v>
      </x:c>
      <x:c r="L125" s="24" t="str">
        <x:f>'Evaluation Plan'!L125</x:f>
        <x:v>Four-way cross-task counterfactual: left/right polarity × juggling-ball target/reference role</x:v>
      </x:c>
      <x:c r="M125" s="24" t="str">
        <x:f>'Evaluation Plan'!M125</x:f>
        <x:v>juggling ball</x:v>
      </x:c>
      <x:c r="N125" s="24" t="str">
        <x:f>'Evaluation Plan'!N125</x:f>
        <x:v>red block</x:v>
      </x:c>
      <x:c r="O125" s="24" t="str">
        <x:f>'Evaluation Plan'!O125</x:f>
        <x:v>Target</x:v>
      </x:c>
      <x:c r="P125" s="24" t="n">
        <x:f>'Evaluation Plan'!P125</x:f>
        <x:v>4</x:v>
      </x:c>
      <x:c r="Q125" s="24" t="str">
        <x:f>'Evaluation Plan'!Q125</x:f>
        <x:v>Reset every manipulated core object to its marked pose; preserve the exact scene and change only the instruction.</x:v>
      </x:c>
      <x:c r="R125" s="25" t="str">
        <x:f>'Evaluation Plan'!R125</x:f>
        <x:v>The juggling ball is globally familiar but absent from Relational Placement training. This exact-scene family crosses direction with its target role and contains no direct-name control.</x:v>
      </x:c>
      <x:c r="S125" s="25" t="str">
        <x:f>IF(ISBLANK('Evaluation Plan'!S125),"",'Evaluation Plan'!S125)</x:f>
      </x:c>
    </x:row>
    <x:row r="126" ht="72" customHeight="1">
      <x:c r="A126" s="9" t="str">
        <x:v>Not collected</x:v>
      </x:c>
      <x:c r="B126" s="9" t="n">
        <x:f>'Evaluation Plan'!B126</x:f>
        <x:v>124</x:v>
      </x:c>
      <x:c r="C126" s="10" t="str">
        <x:f>'Evaluation Plan'!C126</x:f>
        <x:v>Place the red block to the left of the juggling ball.</x:v>
      </x:c>
      <x:c r="D126" s="10" t="str">
        <x:f>'Evaluation Plan'!D126</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6" s="9" t="n">
        <x:f>IF(ISBLANK('Evaluation Plan'!E126),"",'Evaluation Plan'!E126)</x:f>
        <x:v>122</x:v>
      </x:c>
      <x:c r="F126" s="9" t="str">
        <x:f>'Evaluation Plan'!F126</x:f>
        <x:v>1103 (juggling-ball exposure); 275 (left relation with red block as target)</x:v>
      </x:c>
      <x:c r="G126" s="9" t="str">
        <x:f>'Evaluation Plan'!G126</x:f>
        <x:v>red block → 2–8 cm edge gap to the left of juggling ball; centroid direction within ±45°.</x:v>
      </x:c>
      <x:c r="H126" s="10"/>
      <x:c r="I126" s="9" t="str">
        <x:f>'Evaluation Plan'!I126</x:f>
        <x:v>Cross-task-object directional reasoning</x:v>
      </x:c>
      <x:c r="J126" s="9" t="str">
        <x:f>'Evaluation Plan'!J126</x:f>
        <x:v>RP-XT-CF04</x:v>
      </x:c>
      <x:c r="K126" s="9" t="str">
        <x:f>'Evaluation Plan'!K126</x:f>
        <x:v>left</x:v>
      </x:c>
      <x:c r="L126" s="9" t="str">
        <x:f>'Evaluation Plan'!L126</x:f>
        <x:v>Four-way cross-task counterfactual: left/right polarity × juggling-ball target/reference role</x:v>
      </x:c>
      <x:c r="M126" s="9" t="str">
        <x:f>'Evaluation Plan'!M126</x:f>
        <x:v>red block</x:v>
      </x:c>
      <x:c r="N126" s="9" t="str">
        <x:f>'Evaluation Plan'!N126</x:f>
        <x:v>juggling ball</x:v>
      </x:c>
      <x:c r="O126" s="9" t="str">
        <x:f>'Evaluation Plan'!O126</x:f>
        <x:v>Reference</x:v>
      </x:c>
      <x:c r="P126" s="9" t="n">
        <x:f>'Evaluation Plan'!P126</x:f>
        <x:v>4</x:v>
      </x:c>
      <x:c r="Q126" s="9" t="str">
        <x:f>'Evaluation Plan'!Q126</x:f>
        <x:v>Reset every manipulated core object to its marked pose; preserve the exact scene and change only the instruction.</x:v>
      </x:c>
      <x:c r="R126" s="10" t="str">
        <x:f>'Evaluation Plan'!R126</x:f>
        <x:v>The juggling ball is globally familiar but absent from Relational Placement training. This exact-scene family crosses direction with its reference role and contains no direct-name control.</x:v>
      </x:c>
      <x:c r="S126" s="10" t="str">
        <x:f>IF(ISBLANK('Evaluation Plan'!S126),"",'Evaluation Plan'!S126)</x:f>
      </x:c>
    </x:row>
    <x:row r="127" ht="72" customHeight="1">
      <x:c r="A127" s="24" t="str">
        <x:v>Not collected</x:v>
      </x:c>
      <x:c r="B127" s="24" t="n">
        <x:f>'Evaluation Plan'!B127</x:f>
        <x:v>125</x:v>
      </x:c>
      <x:c r="C127" s="25" t="str">
        <x:f>'Evaluation Plan'!C127</x:f>
        <x:v>Place the red block to the right of the juggling ball.</x:v>
      </x:c>
      <x:c r="D127" s="25" t="str">
        <x:f>'Evaluation Plan'!D127</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7" s="24" t="n">
        <x:f>IF(ISBLANK('Evaluation Plan'!E127),"",'Evaluation Plan'!E127)</x:f>
        <x:v>122</x:v>
      </x:c>
      <x:c r="F127" s="24" t="str">
        <x:f>'Evaluation Plan'!F127</x:f>
        <x:v>1103 (juggling-ball exposure); 287 (right relation with red block as target)</x:v>
      </x:c>
      <x:c r="G127" s="24" t="str">
        <x:f>'Evaluation Plan'!G127</x:f>
        <x:v>red block → 2–8 cm edge gap to the right of juggling ball; centroid direction within ±45°.</x:v>
      </x:c>
      <x:c r="H127" s="25"/>
      <x:c r="I127" s="24" t="str">
        <x:f>'Evaluation Plan'!I127</x:f>
        <x:v>Cross-task-object directional reasoning</x:v>
      </x:c>
      <x:c r="J127" s="24" t="str">
        <x:f>'Evaluation Plan'!J127</x:f>
        <x:v>RP-XT-CF04</x:v>
      </x:c>
      <x:c r="K127" s="24" t="str">
        <x:f>'Evaluation Plan'!K127</x:f>
        <x:v>right</x:v>
      </x:c>
      <x:c r="L127" s="24" t="str">
        <x:f>'Evaluation Plan'!L127</x:f>
        <x:v>Four-way cross-task counterfactual: left/right polarity × juggling-ball target/reference role</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every manipulated core object to its marked pose; preserve the exact scene and change only the instruction.</x:v>
      </x:c>
      <x:c r="R127" s="25" t="str">
        <x:f>'Evaluation Plan'!R127</x:f>
        <x:v>The juggling ball is globally familiar but absent from Relational Placement training. This exact-scene family crosses direction with its reference role and contains no direct-name control.</x:v>
      </x:c>
      <x:c r="S127" s="25" t="str">
        <x:f>IF(ISBLANK('Evaluation Plan'!S127),"",'Evaluation Plan'!S127)</x:f>
      </x:c>
    </x:row>
    <x:row r="128" ht="72" customHeight="1">
      <x:c r="A128" s="9" t="str">
        <x:v>Not collected</x:v>
      </x:c>
      <x:c r="B128" s="9" t="n">
        <x:f>'Evaluation Plan'!B128</x:f>
        <x:v>126</x:v>
      </x:c>
      <x:c r="C128" s="10" t="str">
        <x:f>'Evaluation Plan'!C128</x:f>
        <x:v>Place the juggling ball in front of the red block.</x:v>
      </x:c>
      <x:c r="D128" s="10" t="str">
        <x:f>'Evaluation Plan'!D128</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28" s="9" t="str">
        <x:f>IF(ISBLANK('Evaluation Plan'!E128),"",'Evaluation Plan'!E128)</x:f>
      </x:c>
      <x:c r="F128" s="9" t="str">
        <x:f>'Evaluation Plan'!F128</x:f>
        <x:v>1104 (juggling-ball exposure); 254 (front relation)</x:v>
      </x:c>
      <x:c r="G128" s="9" t="str">
        <x:f>'Evaluation Plan'!G128</x:f>
        <x:v>juggling ball → 2–8 cm edge gap in front of red block; centroid direction within ±45°.</x:v>
      </x:c>
      <x:c r="H128" s="10"/>
      <x:c r="I128" s="9" t="str">
        <x:f>'Evaluation Plan'!I128</x:f>
        <x:v>Cross-task-object directional reasoning</x:v>
      </x:c>
      <x:c r="J128" s="9" t="str">
        <x:f>'Evaluation Plan'!J128</x:f>
        <x:v>RP-XT-CF05</x:v>
      </x:c>
      <x:c r="K128" s="9" t="str">
        <x:f>'Evaluation Plan'!K128</x:f>
        <x:v>front</x:v>
      </x:c>
      <x:c r="L128" s="9" t="str">
        <x:f>'Evaluation Plan'!L128</x:f>
        <x:v>Four-prompt mixed-axis cross-task counterfactual with two juggling-ball targets and two references</x:v>
      </x:c>
      <x:c r="M128" s="9" t="str">
        <x:f>'Evaluation Plan'!M128</x:f>
        <x:v>juggling ball</x:v>
      </x:c>
      <x:c r="N128" s="9" t="str">
        <x:f>'Evaluation Plan'!N128</x:f>
        <x:v>red block</x:v>
      </x:c>
      <x:c r="O128" s="9" t="str">
        <x:f>'Evaluation Plan'!O128</x:f>
        <x:v>Target</x:v>
      </x:c>
      <x:c r="P128" s="9" t="n">
        <x:f>'Evaluation Plan'!P128</x:f>
        <x:v>4</x:v>
      </x:c>
      <x:c r="Q128" s="9" t="str">
        <x:f>'Evaluation Plan'!Q128</x:f>
        <x:v>Build the listed neutral-axis scene and save the first frame.</x:v>
      </x:c>
      <x:c r="R128" s="10" t="str">
        <x:f>'Evaluation Plan'!R128</x:f>
        <x:v>The juggling ball is globally familiar but absent from Relational Placement training. This exact-scene family crosses direction with its target role and contains no direct-name control.</x:v>
      </x:c>
      <x:c r="S128" s="10" t="str">
        <x:f>IF(ISBLANK('Evaluation Plan'!S128),"",'Evaluation Plan'!S128)</x:f>
      </x:c>
    </x:row>
    <x:row r="129" ht="72" customHeight="1">
      <x:c r="A129" s="24" t="str">
        <x:v>Not collected</x:v>
      </x:c>
      <x:c r="B129" s="24" t="n">
        <x:f>'Evaluation Plan'!B129</x:f>
        <x:v>127</x:v>
      </x:c>
      <x:c r="C129" s="25" t="str">
        <x:f>'Evaluation Plan'!C129</x:f>
        <x:v>Place the red block behind the juggling ball.</x:v>
      </x:c>
      <x:c r="D129" s="25" t="str">
        <x:f>'Evaluation Plan'!D129</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29" s="24" t="n">
        <x:f>IF(ISBLANK('Evaluation Plan'!E129),"",'Evaluation Plan'!E129)</x:f>
        <x:v>126</x:v>
      </x:c>
      <x:c r="F129" s="24" t="str">
        <x:f>'Evaluation Plan'!F129</x:f>
        <x:v>1104 (juggling-ball exposure); 270 (behind relation with red block as target)</x:v>
      </x:c>
      <x:c r="G129" s="24" t="str">
        <x:f>'Evaluation Plan'!G129</x:f>
        <x:v>red block → 2–8 cm edge gap behind juggling ball; centroid direction within ±45°.</x:v>
      </x:c>
      <x:c r="H129" s="25"/>
      <x:c r="I129" s="24" t="str">
        <x:f>'Evaluation Plan'!I129</x:f>
        <x:v>Cross-task-object directional reasoning</x:v>
      </x:c>
      <x:c r="J129" s="24" t="str">
        <x:f>'Evaluation Plan'!J129</x:f>
        <x:v>RP-XT-CF05</x:v>
      </x:c>
      <x:c r="K129" s="24" t="str">
        <x:f>'Evaluation Plan'!K129</x:f>
        <x:v>behind</x:v>
      </x:c>
      <x:c r="L129" s="24" t="str">
        <x:f>'Evaluation Plan'!L129</x:f>
        <x:v>Four-prompt mixed-axis cross-task counterfactual with two juggling-ball targets and two references</x:v>
      </x:c>
      <x:c r="M129" s="24" t="str">
        <x:f>'Evaluation Plan'!M129</x:f>
        <x:v>red block</x:v>
      </x:c>
      <x:c r="N129" s="24" t="str">
        <x:f>'Evaluation Plan'!N129</x:f>
        <x:v>juggling ball</x:v>
      </x:c>
      <x:c r="O129" s="24" t="str">
        <x:f>'Evaluation Plan'!O129</x:f>
        <x:v>Reference</x:v>
      </x:c>
      <x:c r="P129" s="24" t="n">
        <x:f>'Evaluation Plan'!P129</x:f>
        <x:v>4</x:v>
      </x:c>
      <x:c r="Q129" s="24" t="str">
        <x:f>'Evaluation Plan'!Q129</x:f>
        <x:v>Reset every manipulated core object to its marked pose; preserve the exact scene and change only the instruction.</x:v>
      </x:c>
      <x:c r="R129" s="25" t="str">
        <x:f>'Evaluation Plan'!R129</x:f>
        <x:v>The juggling ball is globally familiar but absent from Relational Placement training. This exact-scene family crosses direction with its reference role and contains no direct-name control.</x:v>
      </x:c>
      <x:c r="S129" s="25" t="str">
        <x:f>IF(ISBLANK('Evaluation Plan'!S129),"",'Evaluation Plan'!S129)</x:f>
      </x:c>
    </x:row>
    <x:row r="130" ht="72" customHeight="1">
      <x:c r="A130" s="9" t="str">
        <x:v>Not collected</x:v>
      </x:c>
      <x:c r="B130" s="9" t="n">
        <x:f>'Evaluation Plan'!B130</x:f>
        <x:v>128</x:v>
      </x:c>
      <x:c r="C130" s="10" t="str">
        <x:f>'Evaluation Plan'!C130</x:f>
        <x:v>Place the juggling ball to the left of the green pen.</x:v>
      </x:c>
      <x:c r="D130" s="10" t="str">
        <x:f>'Evaluation Plan'!D130</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30" s="9" t="n">
        <x:f>IF(ISBLANK('Evaluation Plan'!E130),"",'Evaluation Plan'!E130)</x:f>
        <x:v>126</x:v>
      </x:c>
      <x:c r="F130" s="9" t="str">
        <x:f>'Evaluation Plan'!F130</x:f>
        <x:v>1104 (juggling-ball exposure); 229 (left relation)</x:v>
      </x:c>
      <x:c r="G130" s="9" t="str">
        <x:f>'Evaluation Plan'!G130</x:f>
        <x:v>juggling ball → 2–8 cm edge gap to the left of green pen; centroid direction within ±45°.</x:v>
      </x:c>
      <x:c r="H130" s="10"/>
      <x:c r="I130" s="9" t="str">
        <x:f>'Evaluation Plan'!I130</x:f>
        <x:v>Cross-task-object directional reasoning</x:v>
      </x:c>
      <x:c r="J130" s="9" t="str">
        <x:f>'Evaluation Plan'!J130</x:f>
        <x:v>RP-XT-CF05</x:v>
      </x:c>
      <x:c r="K130" s="9" t="str">
        <x:f>'Evaluation Plan'!K130</x:f>
        <x:v>left</x:v>
      </x:c>
      <x:c r="L130" s="9" t="str">
        <x:f>'Evaluation Plan'!L130</x:f>
        <x:v>Four-prompt mixed-axis cross-task counterfactual with two juggling-ball targets and two references</x:v>
      </x:c>
      <x:c r="M130" s="9" t="str">
        <x:f>'Evaluation Plan'!M130</x:f>
        <x:v>juggling ball</x:v>
      </x:c>
      <x:c r="N130" s="9" t="str">
        <x:f>'Evaluation Plan'!N130</x:f>
        <x:v>green pen</x:v>
      </x:c>
      <x:c r="O130" s="9" t="str">
        <x:f>'Evaluation Plan'!O130</x:f>
        <x:v>Target</x:v>
      </x:c>
      <x:c r="P130" s="9" t="n">
        <x:f>'Evaluation Plan'!P130</x:f>
        <x:v>4</x:v>
      </x:c>
      <x:c r="Q130" s="9" t="str">
        <x:f>'Evaluation Plan'!Q130</x:f>
        <x:v>Reset every manipulated core object to its marked pose; preserve the exact scene and change only the instruction.</x:v>
      </x:c>
      <x:c r="R130" s="10" t="str">
        <x:f>'Evaluation Plan'!R130</x:f>
        <x:v>The juggling ball is globally familiar but absent from Relational Placement training. This exact-scene family crosses direction with its target role and contains no direct-name control.</x:v>
      </x:c>
      <x:c r="S130" s="10" t="str">
        <x:f>IF(ISBLANK('Evaluation Plan'!S130),"",'Evaluation Plan'!S130)</x:f>
      </x:c>
    </x:row>
    <x:row r="131" ht="72" customHeight="1">
      <x:c r="A131" s="24" t="str">
        <x:v>Not collected</x:v>
      </x:c>
      <x:c r="B131" s="24" t="n">
        <x:f>'Evaluation Plan'!B131</x:f>
        <x:v>129</x:v>
      </x:c>
      <x:c r="C131" s="25" t="str">
        <x:f>'Evaluation Plan'!C131</x:f>
        <x:v>Place the green pen to the right of the juggling ball.</x:v>
      </x:c>
      <x:c r="D131" s="25" t="str">
        <x:f>'Evaluation Plan'!D131</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31" s="24" t="n">
        <x:f>IF(ISBLANK('Evaluation Plan'!E131),"",'Evaluation Plan'!E131)</x:f>
        <x:v>126</x:v>
      </x:c>
      <x:c r="F131" s="24" t="str">
        <x:f>'Evaluation Plan'!F131</x:f>
        <x:v>1104 (juggling-ball exposure); 243 (right relation with green pen as target)</x:v>
      </x:c>
      <x:c r="G131" s="24" t="str">
        <x:f>'Evaluation Plan'!G131</x:f>
        <x:v>green pen → 2–8 cm edge gap to the right of juggling ball; centroid direction within ±45°.</x:v>
      </x:c>
      <x:c r="H131" s="25"/>
      <x:c r="I131" s="24" t="str">
        <x:f>'Evaluation Plan'!I131</x:f>
        <x:v>Cross-task-object directional reasoning</x:v>
      </x:c>
      <x:c r="J131" s="24" t="str">
        <x:f>'Evaluation Plan'!J131</x:f>
        <x:v>RP-XT-CF05</x:v>
      </x:c>
      <x:c r="K131" s="24" t="str">
        <x:f>'Evaluation Plan'!K131</x:f>
        <x:v>right</x:v>
      </x:c>
      <x:c r="L131" s="24" t="str">
        <x:f>'Evaluation Plan'!L131</x:f>
        <x:v>Four-prompt mixed-axis cross-task counterfactual with two juggling-ball targets and two references</x:v>
      </x:c>
      <x:c r="M131" s="24" t="str">
        <x:f>'Evaluation Plan'!M131</x:f>
        <x:v>green pen</x:v>
      </x:c>
      <x:c r="N131" s="24" t="str">
        <x:f>'Evaluation Plan'!N131</x:f>
        <x:v>juggling ball</x:v>
      </x:c>
      <x:c r="O131" s="24" t="str">
        <x:f>'Evaluation Plan'!O131</x:f>
        <x:v>Reference</x:v>
      </x:c>
      <x:c r="P131" s="24" t="n">
        <x:f>'Evaluation Plan'!P131</x:f>
        <x:v>4</x:v>
      </x:c>
      <x:c r="Q131" s="24" t="str">
        <x:f>'Evaluation Plan'!Q131</x:f>
        <x:v>Reset every manipulated core object to its marked pose; preserve the exact scene and change only the instruction.</x:v>
      </x:c>
      <x:c r="R131" s="25" t="str">
        <x:f>'Evaluation Plan'!R131</x:f>
        <x:v>The juggling ball is globally familiar but absent from Relational Placement training. This exact-scene family crosses direction with its reference role and contains no direct-name control.</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18" priority="1">
      <x:formula>$A2="Success"</x:formula>
    </x:cfRule>
    <x:cfRule type="expression" dxfId="19" priority="2">
      <x:formula>$A2="Failure"</x:formula>
    </x:cfRule>
  </x:conditionalFormatting>
  <x:conditionalFormatting sqref="I2:I151">
    <x:cfRule type="containsText" dxfId="20" priority="3" operator="containsText" text="In-distribution"/>
    <x:cfRule type="containsText" dxfId="21" priority="4" operator="containsText" text="Concept/compositional"/>
    <x:cfRule type="containsText" dxfId="22" priority="5" operator="containsText" text="Matched manipulation"/>
    <x:cfRule type="containsText" dxfId="23" priority="6" operator="containsText" text="Language robustness"/>
    <x:cfRule type="containsText" dxfId="24" priority="7" operator="containsText" text="Cross-task"/>
    <x:cfRule type="containsText" dxfId="25" priority="8" operator="containsText" text="Goal already"/>
  </x:conditionalFormatting>
  <x:conditionalFormatting sqref="A2:S171">
    <x:cfRule type="expression" dxfId="92" priority="9">
      <x:formula>$A2="Success"</x:formula>
    </x:cfRule>
    <x:cfRule type="expression" dxfId="93" priority="10">
      <x:formula>$A2="Failure"</x:formula>
    </x:cfRule>
  </x:conditionalFormatting>
  <x:conditionalFormatting sqref="I2:I171">
    <x:cfRule type="containsText" dxfId="94" priority="11" operator="containsText" text="In-distribution"/>
    <x:cfRule type="containsText" dxfId="95" priority="12" operator="containsText" text="Concept/compositional"/>
    <x:cfRule type="containsText" dxfId="96" priority="13" operator="containsText" text="Matched manipulation"/>
    <x:cfRule type="containsText" dxfId="97" priority="14" operator="containsText" text="Language robustness"/>
    <x:cfRule type="containsText" dxfId="98" priority="15" operator="containsText" text="Cross-task"/>
    <x:cfRule type="containsText" dxfId="99" priority="16" operator="containsText" text="Goal already"/>
    <x:cfRule type="containsText" dxfId="100"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d154b0aa516f460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40" t="str">
        <x:v>Status</x:v>
      </x:c>
      <x:c r="B1" s="40" t="str">
        <x:v>Episode</x:v>
      </x:c>
      <x:c r="C1" s="40" t="str">
        <x:v>Prompt</x:v>
      </x:c>
      <x:c r="D1" s="40" t="str">
        <x:v>Scene Setup (P1-P4)</x:v>
      </x:c>
      <x:c r="E1" s="40" t="str">
        <x:v>Reference Episode</x:v>
      </x:c>
      <x:c r="F1" s="40" t="str">
        <x:v>Original Training Episode(s)</x:v>
      </x:c>
      <x:c r="G1" s="40" t="str">
        <x:v>Expected Target / Placement</x:v>
      </x:c>
      <x:c r="H1" s="40" t="str">
        <x:v>Observations</x:v>
      </x:c>
      <x:c r="I1" s="40" t="str">
        <x:v>Condition</x:v>
      </x:c>
      <x:c r="J1" s="40" t="str">
        <x:v>Scene Family</x:v>
      </x:c>
      <x:c r="K1" s="40" t="str">
        <x:v>Relation</x:v>
      </x:c>
      <x:c r="L1" s="40" t="str">
        <x:v>Comparison / Subtype</x:v>
      </x:c>
      <x:c r="M1" s="40" t="str">
        <x:v>Target Object</x:v>
      </x:c>
      <x:c r="N1" s="40" t="str">
        <x:v>Reference Object</x:v>
      </x:c>
      <x:c r="O1" s="40" t="str">
        <x:v>Juggling Ball Role</x:v>
      </x:c>
      <x:c r="P1" s="40" t="str">
        <x:v>Object Count</x:v>
      </x:c>
      <x:c r="Q1" s="40" t="str">
        <x:v>Setup Change from Previous</x:v>
      </x:c>
      <x:c r="R1" s="40" t="str">
        <x:v>Design Note</x:v>
      </x:c>
      <x:c r="S1" s="40"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RP-CT-CF01</x:v>
      </x:c>
      <x:c r="K22" s="9" t="str">
        <x:f>'Evaluation Plan'!K22</x:f>
        <x:v>front</x:v>
      </x:c>
      <x:c r="L22" s="9" t="str">
        <x:f>'Evaluation Plan'!L22</x:f>
        <x:v>Four-way held-out counterfactual: relation polarity × target/reference role</x:v>
      </x:c>
      <x:c r="M22" s="9" t="str">
        <x:f>'Evaluation Plan'!M22</x:f>
        <x:v>green pen</x:v>
      </x:c>
      <x:c r="N22" s="9" t="str">
        <x:f>'Evaluation Plan'!N22</x:f>
        <x:v>red block</x:v>
      </x:c>
      <x:c r="O22" s="9" t="str">
        <x:f>'Evaluation Plan'!O22</x:f>
        <x:v>None</x:v>
      </x:c>
      <x:c r="P22" s="9" t="n">
        <x:f>'Evaluation Plan'!P22</x:f>
        <x:v>3</x:v>
      </x:c>
      <x:c r="Q22" s="9" t="str">
        <x:f>'Evaluation Plan'!Q22</x:f>
        <x:v>Build the listed neutral-axis scene and save the first frame.</x:v>
      </x:c>
      <x:c r="R22" s="10" t="str">
        <x:f>'Evaluation Plan'!R22</x:f>
        <x:v>The directional word × ordered green-pen/red-block role is held out. Source episode 201 supplies the same target manipulation under a trained near/next-to/beside prompt. The orthogonal start prevents an inverse-start shortcut.</x:v>
      </x:c>
      <x:c r="S22" s="10" t="str">
        <x:f>IF(ISBLANK('Evaluation Plan'!S22),"",'Evaluation Plan'!S22)</x:f>
      </x:c>
    </x:row>
    <x:row r="23" ht="72" customHeight="1">
      <x:c r="A23" s="24" t="str">
        <x:v>Not collected</x:v>
      </x:c>
      <x:c r="B23" s="24" t="n">
        <x:f>'Evaluation Plan'!B23</x:f>
        <x:v>21</x:v>
      </x:c>
      <x:c r="C23" s="25" t="str">
        <x:f>'Evaluation Plan'!C23</x:f>
        <x:v>Place the green pen behind the red block.</x:v>
      </x:c>
      <x:c r="D23" s="25" t="str">
        <x:f>'Evaluation Plan'!D23</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3" s="24" t="n">
        <x:f>IF(ISBLANK('Evaluation Plan'!E23),"",'Evaluation Plan'!E23)</x:f>
        <x:v>20</x:v>
      </x:c>
      <x:c r="F23" s="24" t="str">
        <x:f>'Evaluation Plan'!F23</x:f>
        <x:v>213</x:v>
      </x:c>
      <x:c r="G23" s="24" t="str">
        <x:f>'Evaluation Plan'!G23</x:f>
        <x:v>green pen → 2–8 cm edge gap behind red block; centroid direction within ±45°.</x:v>
      </x:c>
      <x:c r="H23" s="25"/>
      <x:c r="I23" s="24" t="str">
        <x:f>'Evaluation Plan'!I23</x:f>
        <x:v>Concept/compositional transfer</x:v>
      </x:c>
      <x:c r="J23" s="24" t="str">
        <x:f>'Evaluation Plan'!J23</x:f>
        <x:v>RP-CT-CF01</x:v>
      </x:c>
      <x:c r="K23" s="24" t="str">
        <x:f>'Evaluation Plan'!K23</x:f>
        <x:v>behind</x:v>
      </x:c>
      <x:c r="L23" s="24" t="str">
        <x:f>'Evaluation Plan'!L23</x:f>
        <x:v>Four-way held-out counterfactual: relation polarity × target/reference role</x:v>
      </x:c>
      <x:c r="M23" s="24" t="str">
        <x:f>'Evaluation Plan'!M23</x:f>
        <x:v>green pen</x:v>
      </x:c>
      <x:c r="N23" s="24" t="str">
        <x:f>'Evaluation Plan'!N23</x:f>
        <x:v>red block</x:v>
      </x:c>
      <x:c r="O23" s="24" t="str">
        <x:f>'Evaluation Plan'!O23</x:f>
        <x:v>None</x:v>
      </x:c>
      <x:c r="P23" s="24" t="n">
        <x:f>'Evaluation Plan'!P23</x:f>
        <x:v>3</x:v>
      </x:c>
      <x:c r="Q23" s="24" t="str">
        <x:f>'Evaluation Plan'!Q23</x:f>
        <x:v>Reset both core objects to their marked poses; preserve distractors, camera, and robot start; change only the instruction.</x:v>
      </x:c>
      <x:c r="R23" s="25" t="str">
        <x:f>'Evaluation Plan'!R23</x:f>
        <x:v>The directional word × ordered green-pen/red-block role is held out. Source episode 213 supplies the same target manipulation under a trained near/next-to/beside prompt. The orthogonal start prevents an inverse-start shortcut.</x:v>
      </x:c>
      <x:c r="S23" s="25" t="str">
        <x:f>IF(ISBLANK('Evaluation Plan'!S23),"",'Evaluation Plan'!S23)</x:f>
      </x:c>
    </x:row>
    <x:row r="24" ht="72" customHeight="1">
      <x:c r="A24" s="24" t="str">
        <x:v>Not collected</x:v>
      </x:c>
      <x:c r="B24" s="24" t="n">
        <x:f>'Evaluation Plan'!B24</x:f>
        <x:v>22</x:v>
      </x:c>
      <x:c r="C24" s="25" t="str">
        <x:f>'Evaluation Plan'!C24</x:f>
        <x:v>Place the red block in front of the green pen.</x:v>
      </x:c>
      <x:c r="D24" s="25" t="str">
        <x:f>'Evaluation Plan'!D24</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4" s="24" t="n">
        <x:f>IF(ISBLANK('Evaluation Plan'!E24),"",'Evaluation Plan'!E24)</x:f>
        <x:v>20</x:v>
      </x:c>
      <x:c r="F24" s="24" t="str">
        <x:f>'Evaluation Plan'!F24</x:f>
        <x:v>259</x:v>
      </x:c>
      <x:c r="G24" s="24" t="str">
        <x:f>'Evaluation Plan'!G24</x:f>
        <x:v>red block → 2–8 cm edge gap in front of green pen; centroid direction within ±45°.</x:v>
      </x:c>
      <x:c r="H24" s="25"/>
      <x:c r="I24" s="24" t="str">
        <x:f>'Evaluation Plan'!I24</x:f>
        <x:v>Concept/compositional transfer</x:v>
      </x:c>
      <x:c r="J24" s="24" t="str">
        <x:f>'Evaluation Plan'!J24</x:f>
        <x:v>RP-CT-CF01</x:v>
      </x:c>
      <x:c r="K24" s="24" t="str">
        <x:f>'Evaluation Plan'!K24</x:f>
        <x:v>front</x:v>
      </x:c>
      <x:c r="L24" s="24" t="str">
        <x:f>'Evaluation Plan'!L24</x:f>
        <x:v>Four-way held-out counterfactual: relation polarity × target/reference role</x:v>
      </x:c>
      <x:c r="M24" s="24" t="str">
        <x:f>'Evaluation Plan'!M24</x:f>
        <x:v>red block</x:v>
      </x:c>
      <x:c r="N24" s="24" t="str">
        <x:f>'Evaluation Plan'!N24</x:f>
        <x:v>green pen</x:v>
      </x:c>
      <x:c r="O24" s="24" t="str">
        <x:f>'Evaluation Plan'!O24</x:f>
        <x:v>None</x:v>
      </x:c>
      <x:c r="P24" s="24" t="n">
        <x:f>'Evaluation Plan'!P24</x:f>
        <x:v>3</x:v>
      </x:c>
      <x:c r="Q24" s="24" t="str">
        <x:f>'Evaluation Plan'!Q24</x:f>
        <x:v>Reset both core objects to their marked poses; preserve distractors, camera, and robot start; change only the instruction.</x:v>
      </x:c>
      <x:c r="R24" s="25" t="str">
        <x:f>'Evaluation Plan'!R24</x:f>
        <x:v>The directional word × ordered green-pen/red-block role is held out. Source episode 259 supplies the same target manipulation under a trained near/next-to/beside prompt. The orthogonal start prevents an inverse-start shortcut.</x:v>
      </x:c>
      <x:c r="S24" s="25" t="str">
        <x:f>IF(ISBLANK('Evaluation Plan'!S24),"",'Evaluation Plan'!S24)</x:f>
      </x:c>
    </x:row>
    <x:row r="25" ht="72" customHeight="1">
      <x:c r="A25" s="24" t="str">
        <x:v>Not collected</x:v>
      </x:c>
      <x:c r="B25" s="24" t="n">
        <x:f>'Evaluation Plan'!B25</x:f>
        <x:v>23</x:v>
      </x:c>
      <x:c r="C25" s="25" t="str">
        <x:f>'Evaluation Plan'!C25</x:f>
        <x:v>Place the red block behind the green pen.</x:v>
      </x:c>
      <x:c r="D25" s="25" t="str">
        <x:f>'Evaluation Plan'!D25</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5" s="24" t="n">
        <x:f>IF(ISBLANK('Evaluation Plan'!E25),"",'Evaluation Plan'!E25)</x:f>
        <x:v>20</x:v>
      </x:c>
      <x:c r="F25" s="24" t="str">
        <x:f>'Evaluation Plan'!F25</x:f>
        <x:v>272</x:v>
      </x:c>
      <x:c r="G25" s="24" t="str">
        <x:f>'Evaluation Plan'!G25</x:f>
        <x:v>red block → 2–8 cm edge gap behind green pen; centroid direction within ±45°.</x:v>
      </x:c>
      <x:c r="H25" s="25"/>
      <x:c r="I25" s="24" t="str">
        <x:f>'Evaluation Plan'!I25</x:f>
        <x:v>Concept/compositional transfer</x:v>
      </x:c>
      <x:c r="J25" s="24" t="str">
        <x:f>'Evaluation Plan'!J25</x:f>
        <x:v>RP-CT-CF01</x:v>
      </x:c>
      <x:c r="K25" s="24" t="str">
        <x:f>'Evaluation Plan'!K25</x:f>
        <x:v>behind</x:v>
      </x:c>
      <x:c r="L25" s="24" t="str">
        <x:f>'Evaluation Plan'!L25</x:f>
        <x:v>Four-way held-out counterfactual: relation polarity × target/reference role</x:v>
      </x:c>
      <x:c r="M25" s="24" t="str">
        <x:f>'Evaluation Plan'!M25</x:f>
        <x:v>red block</x:v>
      </x:c>
      <x:c r="N25" s="24" t="str">
        <x:f>'Evaluation Plan'!N25</x:f>
        <x:v>green pen</x:v>
      </x:c>
      <x:c r="O25" s="24" t="str">
        <x:f>'Evaluation Plan'!O25</x:f>
        <x:v>None</x:v>
      </x:c>
      <x:c r="P25" s="24" t="n">
        <x:f>'Evaluation Plan'!P25</x:f>
        <x:v>3</x:v>
      </x:c>
      <x:c r="Q25" s="24" t="str">
        <x:f>'Evaluation Plan'!Q25</x:f>
        <x:v>Reset both core objects to their marked poses; preserve distractors, camera, and robot start; change only the instruction.</x:v>
      </x:c>
      <x:c r="R25" s="25" t="str">
        <x:f>'Evaluation Plan'!R25</x:f>
        <x:v>The directional word × ordered green-pen/red-block role is held out. Source episode 272 supplies the same target manipulation under a trained near/next-to/beside prompt. The orthogonal start prevents an inverse-start shortcut.</x:v>
      </x:c>
      <x:c r="S25" s="25" t="str">
        <x:f>IF(ISBLANK('Evaluation Plan'!S25),"",'Evaluation Plan'!S25)</x:f>
      </x:c>
    </x:row>
    <x:row r="26" ht="72" customHeight="1">
      <x:c r="A26" s="9" t="str">
        <x:v>Not collected</x:v>
      </x:c>
      <x:c r="B26" s="9" t="n">
        <x:f>'Evaluation Plan'!B26</x:f>
        <x:v>24</x:v>
      </x:c>
      <x:c r="C26" s="10" t="str">
        <x:f>'Evaluation Plan'!C26</x:f>
        <x:v>Place the green pen in front of the red block.</x:v>
      </x:c>
      <x:c r="D26" s="10" t="str">
        <x:f>'Evaluation Plan'!D26</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6" s="9" t="str">
        <x:f>IF(ISBLANK('Evaluation Plan'!E26),"",'Evaluation Plan'!E26)</x:f>
      </x:c>
      <x:c r="F26" s="9" t="str">
        <x:f>'Evaluation Plan'!F26</x:f>
        <x:v>202</x:v>
      </x:c>
      <x:c r="G26" s="9" t="str">
        <x:f>'Evaluation Plan'!G26</x:f>
        <x:v>green pen → 2–8 cm edge gap in front of red block; centroid direction within ±45°.</x:v>
      </x:c>
      <x:c r="H26" s="10"/>
      <x:c r="I26" s="9" t="str">
        <x:f>'Evaluation Plan'!I26</x:f>
        <x:v>Concept/compositional transfer</x:v>
      </x:c>
      <x:c r="J26" s="9" t="str">
        <x:f>'Evaluation Plan'!J26</x:f>
        <x:v>RP-CT-CF02</x:v>
      </x:c>
      <x:c r="K26" s="9" t="str">
        <x:f>'Evaluation Plan'!K26</x:f>
        <x:v>front</x:v>
      </x:c>
      <x:c r="L26" s="9" t="str">
        <x:f>'Evaluation Plan'!L26</x:f>
        <x:v>Four-way held-out counterfactual: relation polarity × target/reference role</x:v>
      </x:c>
      <x:c r="M26" s="9" t="str">
        <x:f>'Evaluation Plan'!M26</x:f>
        <x:v>green pen</x:v>
      </x:c>
      <x:c r="N26" s="9" t="str">
        <x:f>'Evaluation Plan'!N26</x:f>
        <x:v>red block</x:v>
      </x:c>
      <x:c r="O26" s="9" t="str">
        <x:f>'Evaluation Plan'!O26</x:f>
        <x:v>None</x:v>
      </x:c>
      <x:c r="P26" s="9" t="n">
        <x:f>'Evaluation Plan'!P26</x:f>
        <x:v>4</x:v>
      </x:c>
      <x:c r="Q26" s="9" t="str">
        <x:f>'Evaluation Plan'!Q26</x:f>
        <x:v>Build the listed neutral-axis scene and save the first frame.</x:v>
      </x:c>
      <x:c r="R26" s="10" t="str">
        <x:f>'Evaluation Plan'!R26</x:f>
        <x:v>The directional word × ordered green-pen/red-block role is held out. Source episode 202 supplies the same target manipulation under a trained near/next-to/beside prompt. The orthogonal start prevents an inverse-start shortcut.</x:v>
      </x:c>
      <x:c r="S26" s="10" t="str">
        <x:f>IF(ISBLANK('Evaluation Plan'!S26),"",'Evaluation Plan'!S26)</x:f>
      </x:c>
    </x:row>
    <x:row r="27" ht="72" customHeight="1">
      <x:c r="A27" s="24" t="str">
        <x:v>Not collected</x:v>
      </x:c>
      <x:c r="B27" s="24" t="n">
        <x:f>'Evaluation Plan'!B27</x:f>
        <x:v>25</x:v>
      </x:c>
      <x:c r="C27" s="25" t="str">
        <x:f>'Evaluation Plan'!C27</x:f>
        <x:v>Place the green pen behind the red block.</x:v>
      </x:c>
      <x:c r="D27" s="25" t="str">
        <x:f>'Evaluation Plan'!D27</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7" s="24" t="n">
        <x:f>IF(ISBLANK('Evaluation Plan'!E27),"",'Evaluation Plan'!E27)</x:f>
        <x:v>24</x:v>
      </x:c>
      <x:c r="F27" s="24" t="str">
        <x:f>'Evaluation Plan'!F27</x:f>
        <x:v>214</x:v>
      </x:c>
      <x:c r="G27" s="24" t="str">
        <x:f>'Evaluation Plan'!G27</x:f>
        <x:v>green pen → 2–8 cm edge gap behind red block; centroid direction within ±45°.</x:v>
      </x:c>
      <x:c r="H27" s="25"/>
      <x:c r="I27" s="24" t="str">
        <x:f>'Evaluation Plan'!I27</x:f>
        <x:v>Concept/compositional transfer</x:v>
      </x:c>
      <x:c r="J27" s="24" t="str">
        <x:f>'Evaluation Plan'!J27</x:f>
        <x:v>RP-CT-CF02</x:v>
      </x:c>
      <x:c r="K27" s="24" t="str">
        <x:f>'Evaluation Plan'!K27</x:f>
        <x:v>behind</x:v>
      </x:c>
      <x:c r="L27" s="24" t="str">
        <x:f>'Evaluation Plan'!L27</x:f>
        <x:v>Four-way held-out counterfactual: relation polarity × target/reference role</x:v>
      </x:c>
      <x:c r="M27" s="24" t="str">
        <x:f>'Evaluation Plan'!M27</x:f>
        <x:v>green pen</x:v>
      </x:c>
      <x:c r="N27" s="24" t="str">
        <x:f>'Evaluation Plan'!N27</x:f>
        <x:v>red block</x:v>
      </x:c>
      <x:c r="O27" s="24" t="str">
        <x:f>'Evaluation Plan'!O27</x:f>
        <x:v>None</x:v>
      </x:c>
      <x:c r="P27" s="24" t="n">
        <x:f>'Evaluation Plan'!P27</x:f>
        <x:v>4</x:v>
      </x:c>
      <x:c r="Q27" s="24" t="str">
        <x:f>'Evaluation Plan'!Q27</x:f>
        <x:v>Reset both core objects to their marked poses; preserve distractors, camera, and robot start; change only the instruction.</x:v>
      </x:c>
      <x:c r="R27" s="25" t="str">
        <x:f>'Evaluation Plan'!R27</x:f>
        <x:v>The directional word × ordered green-pen/red-block role is held out. Source episode 214 supplies the same target manipulation under a trained near/next-to/beside prompt. The orthogonal start prevents an inverse-start shortcut.</x:v>
      </x:c>
      <x:c r="S27" s="25" t="str">
        <x:f>IF(ISBLANK('Evaluation Plan'!S27),"",'Evaluation Plan'!S27)</x:f>
      </x:c>
    </x:row>
    <x:row r="28" ht="72" customHeight="1">
      <x:c r="A28" s="24" t="str">
        <x:v>Not collected</x:v>
      </x:c>
      <x:c r="B28" s="24" t="n">
        <x:f>'Evaluation Plan'!B28</x:f>
        <x:v>26</x:v>
      </x:c>
      <x:c r="C28" s="25" t="str">
        <x:f>'Evaluation Plan'!C28</x:f>
        <x:v>Place the red block in front of the green pen.</x:v>
      </x:c>
      <x:c r="D28" s="25" t="str">
        <x:f>'Evaluation Plan'!D28</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Concept/compositional transfer</x:v>
      </x:c>
      <x:c r="J28" s="24" t="str">
        <x:f>'Evaluation Plan'!J28</x:f>
        <x:v>RP-CT-CF02</x:v>
      </x:c>
      <x:c r="K28" s="24" t="str">
        <x:f>'Evaluation Plan'!K28</x:f>
        <x:v>front</x:v>
      </x:c>
      <x:c r="L28" s="24" t="str">
        <x:f>'Evaluation Plan'!L28</x:f>
        <x:v>Four-way held-out counterfactual: relation polarity × target/reference role</x:v>
      </x:c>
      <x:c r="M28" s="24" t="str">
        <x:f>'Evaluation Plan'!M28</x:f>
        <x:v>red block</x:v>
      </x:c>
      <x:c r="N28" s="24" t="str">
        <x:f>'Evaluation Plan'!N28</x:f>
        <x:v>green pen</x:v>
      </x:c>
      <x:c r="O28" s="24" t="str">
        <x:f>'Evaluation Plan'!O28</x:f>
        <x:v>None</x:v>
      </x:c>
      <x:c r="P28" s="24" t="n">
        <x:f>'Evaluation Plan'!P28</x:f>
        <x:v>4</x:v>
      </x:c>
      <x:c r="Q28" s="24" t="str">
        <x:f>'Evaluation Plan'!Q28</x:f>
        <x:v>Reset both core objects to their marked poses; preserve distractors, camera, and robot start; change only the instruction.</x:v>
      </x:c>
      <x:c r="R28" s="25" t="str">
        <x:f>'Evaluation Plan'!R28</x:f>
        <x:v>The directional word × ordered green-pen/red-block role is held out. Source episode 260 supplies the same target manipulation under a trained near/next-to/beside prompt. The orthogonal start prevents an inverse-start shortcut.</x:v>
      </x:c>
      <x:c r="S28" s="25" t="str">
        <x:f>IF(ISBLANK('Evaluation Plan'!S28),"",'Evaluation Plan'!S28)</x:f>
      </x:c>
    </x:row>
    <x:row r="29" ht="72" customHeight="1">
      <x:c r="A29" s="24" t="str">
        <x:v>Not collected</x:v>
      </x:c>
      <x:c r="B29" s="24" t="n">
        <x:f>'Evaluation Plan'!B29</x:f>
        <x:v>27</x:v>
      </x:c>
      <x:c r="C29" s="25" t="str">
        <x:f>'Evaluation Plan'!C29</x:f>
        <x:v>Place the red block behind the green pen.</x:v>
      </x:c>
      <x:c r="D29" s="25" t="str">
        <x:f>'Evaluation Plan'!D29</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9" s="24" t="n">
        <x:f>IF(ISBLANK('Evaluation Plan'!E29),"",'Evaluation Plan'!E29)</x:f>
        <x:v>24</x:v>
      </x:c>
      <x:c r="F29" s="24" t="str">
        <x:f>'Evaluation Plan'!F29</x:f>
        <x:v>273</x:v>
      </x:c>
      <x:c r="G29" s="24" t="str">
        <x:f>'Evaluation Plan'!G29</x:f>
        <x:v>red block → 2–8 cm edge gap behind green pen; centroid direction within ±45°.</x:v>
      </x:c>
      <x:c r="H29" s="25"/>
      <x:c r="I29" s="24" t="str">
        <x:f>'Evaluation Plan'!I29</x:f>
        <x:v>Concept/compositional transfer</x:v>
      </x:c>
      <x:c r="J29" s="24" t="str">
        <x:f>'Evaluation Plan'!J29</x:f>
        <x:v>RP-CT-CF02</x:v>
      </x:c>
      <x:c r="K29" s="24" t="str">
        <x:f>'Evaluation Plan'!K29</x:f>
        <x:v>behind</x:v>
      </x:c>
      <x:c r="L29" s="24" t="str">
        <x:f>'Evaluation Plan'!L29</x:f>
        <x:v>Four-way held-out counterfactual: relation polarity × target/reference role</x:v>
      </x:c>
      <x:c r="M29" s="24" t="str">
        <x:f>'Evaluation Plan'!M29</x:f>
        <x:v>red block</x:v>
      </x:c>
      <x:c r="N29" s="24" t="str">
        <x:f>'Evaluation Plan'!N29</x:f>
        <x:v>green pen</x:v>
      </x:c>
      <x:c r="O29" s="24" t="str">
        <x:f>'Evaluation Plan'!O29</x:f>
        <x:v>None</x:v>
      </x:c>
      <x:c r="P29" s="24" t="n">
        <x:f>'Evaluation Plan'!P29</x:f>
        <x:v>4</x:v>
      </x:c>
      <x:c r="Q29" s="24" t="str">
        <x:f>'Evaluation Plan'!Q29</x:f>
        <x:v>Reset both core objects to their marked poses; preserve distractors, camera, and robot start; change only the instruction.</x:v>
      </x:c>
      <x:c r="R29" s="25" t="str">
        <x:f>'Evaluation Plan'!R29</x:f>
        <x:v>The directional word × ordered green-pen/red-block role is held out. Source episode 273 supplies the same target manipulation under a trained near/next-to/beside prompt. The orthogonal start prevents an inverse-start shortcut.</x:v>
      </x:c>
      <x:c r="S29" s="25" t="str">
        <x:f>IF(ISBLANK('Evaluation Plan'!S29),"",'Evaluation Plan'!S29)</x:f>
      </x:c>
    </x:row>
    <x:row r="30" ht="72" customHeight="1">
      <x:c r="A30" s="9" t="str">
        <x:v>Not collected</x:v>
      </x:c>
      <x:c r="B30" s="9" t="n">
        <x:f>'Evaluation Plan'!B30</x:f>
        <x:v>28</x:v>
      </x:c>
      <x:c r="C30" s="10" t="str">
        <x:f>'Evaluation Plan'!C30</x:f>
        <x:v>Place the green pen in front of the red block.</x:v>
      </x:c>
      <x:c r="D30" s="10" t="str">
        <x:f>'Evaluation Plan'!D30</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0" s="9" t="str">
        <x:f>IF(ISBLANK('Evaluation Plan'!E30),"",'Evaluation Plan'!E30)</x:f>
      </x:c>
      <x:c r="F30" s="9" t="str">
        <x:f>'Evaluation Plan'!F30</x:f>
        <x:v>203</x:v>
      </x:c>
      <x:c r="G30" s="9" t="str">
        <x:f>'Evaluation Plan'!G30</x:f>
        <x:v>green pen → 2–8 cm edge gap in front of red block; centroid direction within ±45°.</x:v>
      </x:c>
      <x:c r="H30" s="10"/>
      <x:c r="I30" s="9" t="str">
        <x:f>'Evaluation Plan'!I30</x:f>
        <x:v>Concept/compositional transfer</x:v>
      </x:c>
      <x:c r="J30" s="9" t="str">
        <x:f>'Evaluation Plan'!J30</x:f>
        <x:v>RP-CT-CF03</x:v>
      </x:c>
      <x:c r="K30" s="9" t="str">
        <x:f>'Evaluation Plan'!K30</x:f>
        <x:v>front</x:v>
      </x:c>
      <x:c r="L30" s="9" t="str">
        <x:f>'Evaluation Plan'!L30</x:f>
        <x:v>Four-way held-out counterfactual: relation polarity × target/reference role</x:v>
      </x:c>
      <x:c r="M30" s="9" t="str">
        <x:f>'Evaluation Plan'!M30</x:f>
        <x:v>green pen</x:v>
      </x:c>
      <x:c r="N30" s="9" t="str">
        <x:f>'Evaluation Plan'!N30</x:f>
        <x:v>red block</x:v>
      </x:c>
      <x:c r="O30" s="9" t="str">
        <x:f>'Evaluation Plan'!O30</x:f>
        <x:v>None</x:v>
      </x:c>
      <x:c r="P30" s="9" t="n">
        <x:f>'Evaluation Plan'!P30</x:f>
        <x:v>3</x:v>
      </x:c>
      <x:c r="Q30" s="9" t="str">
        <x:f>'Evaluation Plan'!Q30</x:f>
        <x:v>Build the listed neutral-axis scene and save the first frame.</x:v>
      </x:c>
      <x:c r="R30" s="10" t="str">
        <x:f>'Evaluation Plan'!R30</x:f>
        <x:v>The directional word × ordered green-pen/red-block role is held out. Source episode 203 supplies the same target manipulation under a trained near/next-to/beside prompt. The orthogonal start prevents an inverse-start shortcut.</x:v>
      </x:c>
      <x:c r="S30" s="10" t="str">
        <x:f>IF(ISBLANK('Evaluation Plan'!S30),"",'Evaluation Plan'!S30)</x:f>
      </x:c>
    </x:row>
    <x:row r="31" ht="72" customHeight="1">
      <x:c r="A31" s="24" t="str">
        <x:v>Not collected</x:v>
      </x:c>
      <x:c r="B31" s="24" t="n">
        <x:f>'Evaluation Plan'!B31</x:f>
        <x:v>29</x:v>
      </x:c>
      <x:c r="C31" s="25" t="str">
        <x:f>'Evaluation Plan'!C31</x:f>
        <x:v>Place the green pen behind the red block.</x:v>
      </x:c>
      <x:c r="D31" s="25" t="str">
        <x:f>'Evaluation Plan'!D31</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1" s="24" t="n">
        <x:f>IF(ISBLANK('Evaluation Plan'!E31),"",'Evaluation Plan'!E31)</x:f>
        <x:v>28</x:v>
      </x:c>
      <x:c r="F31" s="24" t="str">
        <x:f>'Evaluation Plan'!F31</x:f>
        <x:v>215</x:v>
      </x:c>
      <x:c r="G31" s="24" t="str">
        <x:f>'Evaluation Plan'!G31</x:f>
        <x:v>green pen → 2–8 cm edge gap behind red block; centroid direction within ±45°.</x:v>
      </x:c>
      <x:c r="H31" s="25"/>
      <x:c r="I31" s="24" t="str">
        <x:f>'Evaluation Plan'!I31</x:f>
        <x:v>Concept/compositional transfer</x:v>
      </x:c>
      <x:c r="J31" s="24" t="str">
        <x:f>'Evaluation Plan'!J31</x:f>
        <x:v>RP-CT-CF03</x:v>
      </x:c>
      <x:c r="K31" s="24" t="str">
        <x:f>'Evaluation Plan'!K31</x:f>
        <x:v>behind</x:v>
      </x:c>
      <x:c r="L31" s="24" t="str">
        <x:f>'Evaluation Plan'!L31</x:f>
        <x:v>Four-way held-out counterfactual: relation polarity × target/reference role</x:v>
      </x:c>
      <x:c r="M31" s="24" t="str">
        <x:f>'Evaluation Plan'!M31</x:f>
        <x:v>green pen</x:v>
      </x:c>
      <x:c r="N31" s="24" t="str">
        <x:f>'Evaluation Plan'!N31</x:f>
        <x:v>red block</x:v>
      </x:c>
      <x:c r="O31" s="24" t="str">
        <x:f>'Evaluation Plan'!O31</x:f>
        <x:v>None</x:v>
      </x:c>
      <x:c r="P31" s="24" t="n">
        <x:f>'Evaluation Plan'!P31</x:f>
        <x:v>3</x:v>
      </x:c>
      <x:c r="Q31" s="24" t="str">
        <x:f>'Evaluation Plan'!Q31</x:f>
        <x:v>Reset both core objects to their marked poses; preserve distractors, camera, and robot start; change only the instruction.</x:v>
      </x:c>
      <x:c r="R31" s="25" t="str">
        <x:f>'Evaluation Plan'!R31</x:f>
        <x:v>The directional word × ordered green-pen/red-block role is held out. Source episode 215 supplies the same target manipulation under a trained near/next-to/beside prompt. The orthogonal start prevents an inverse-start shortcut.</x:v>
      </x:c>
      <x:c r="S31" s="25" t="str">
        <x:f>IF(ISBLANK('Evaluation Plan'!S31),"",'Evaluation Plan'!S31)</x:f>
      </x:c>
    </x:row>
    <x:row r="32" ht="72" customHeight="1">
      <x:c r="A32" s="24" t="str">
        <x:v>Not collected</x:v>
      </x:c>
      <x:c r="B32" s="24" t="n">
        <x:f>'Evaluation Plan'!B32</x:f>
        <x:v>30</x:v>
      </x:c>
      <x:c r="C32" s="25" t="str">
        <x:f>'Evaluation Plan'!C32</x:f>
        <x:v>Place the red block in front of the green pen.</x:v>
      </x:c>
      <x:c r="D32" s="25" t="str">
        <x:f>'Evaluation Plan'!D32</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2" s="24" t="n">
        <x:f>IF(ISBLANK('Evaluation Plan'!E32),"",'Evaluation Plan'!E32)</x:f>
        <x:v>28</x:v>
      </x:c>
      <x:c r="F32" s="24" t="str">
        <x:f>'Evaluation Plan'!F32</x:f>
        <x:v>261</x:v>
      </x:c>
      <x:c r="G32" s="24" t="str">
        <x:f>'Evaluation Plan'!G32</x:f>
        <x:v>red block → 2–8 cm edge gap in front of green pen; centroid direction within ±45°.</x:v>
      </x:c>
      <x:c r="H32" s="25"/>
      <x:c r="I32" s="24" t="str">
        <x:f>'Evaluation Plan'!I32</x:f>
        <x:v>Concept/compositional transfer</x:v>
      </x:c>
      <x:c r="J32" s="24" t="str">
        <x:f>'Evaluation Plan'!J32</x:f>
        <x:v>RP-CT-CF03</x:v>
      </x:c>
      <x:c r="K32" s="24" t="str">
        <x:f>'Evaluation Plan'!K32</x:f>
        <x:v>front</x:v>
      </x:c>
      <x:c r="L32" s="24" t="str">
        <x:f>'Evaluation Plan'!L32</x:f>
        <x:v>Four-way held-out counterfactual: relation polarity × target/reference role</x:v>
      </x:c>
      <x:c r="M32" s="24" t="str">
        <x:f>'Evaluation Plan'!M32</x:f>
        <x:v>red block</x:v>
      </x:c>
      <x:c r="N32" s="24" t="str">
        <x:f>'Evaluation Plan'!N32</x:f>
        <x:v>green pen</x:v>
      </x:c>
      <x:c r="O32" s="24" t="str">
        <x:f>'Evaluation Plan'!O32</x:f>
        <x:v>None</x:v>
      </x:c>
      <x:c r="P32" s="24" t="n">
        <x:f>'Evaluation Plan'!P32</x:f>
        <x:v>3</x:v>
      </x:c>
      <x:c r="Q32" s="24" t="str">
        <x:f>'Evaluation Plan'!Q32</x:f>
        <x:v>Reset both core objects to their marked poses; preserve distractors, camera, and robot start; change only the instruction.</x:v>
      </x:c>
      <x:c r="R32" s="25" t="str">
        <x:f>'Evaluation Plan'!R32</x:f>
        <x:v>The directional word × ordered green-pen/red-block role is held out. Source episode 261 supplies the same target manipulation under a trained near/next-to/beside prompt. The orthogonal start prevents an inverse-start shortcut.</x:v>
      </x:c>
      <x:c r="S32" s="25" t="str">
        <x:f>IF(ISBLANK('Evaluation Plan'!S32),"",'Evaluation Plan'!S32)</x:f>
      </x:c>
    </x:row>
    <x:row r="33" ht="72" customHeight="1">
      <x:c r="A33" s="24" t="str">
        <x:v>Not collected</x:v>
      </x:c>
      <x:c r="B33" s="24" t="n">
        <x:f>'Evaluation Plan'!B33</x:f>
        <x:v>31</x:v>
      </x:c>
      <x:c r="C33" s="25" t="str">
        <x:f>'Evaluation Plan'!C33</x:f>
        <x:v>Place the red block behind the green pen.</x:v>
      </x:c>
      <x:c r="D33" s="25" t="str">
        <x:f>'Evaluation Plan'!D33</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3" s="24" t="n">
        <x:f>IF(ISBLANK('Evaluation Plan'!E33),"",'Evaluation Plan'!E33)</x:f>
        <x:v>28</x:v>
      </x:c>
      <x:c r="F33" s="24" t="str">
        <x:f>'Evaluation Plan'!F33</x:f>
        <x:v>274</x:v>
      </x:c>
      <x:c r="G33" s="24" t="str">
        <x:f>'Evaluation Plan'!G33</x:f>
        <x:v>red block → 2–8 cm edge gap behind green pen; centroid direction within ±45°.</x:v>
      </x:c>
      <x:c r="H33" s="25"/>
      <x:c r="I33" s="24" t="str">
        <x:f>'Evaluation Plan'!I33</x:f>
        <x:v>Concept/compositional transfer</x:v>
      </x:c>
      <x:c r="J33" s="24" t="str">
        <x:f>'Evaluation Plan'!J33</x:f>
        <x:v>RP-CT-CF03</x:v>
      </x:c>
      <x:c r="K33" s="24" t="str">
        <x:f>'Evaluation Plan'!K33</x:f>
        <x:v>behind</x:v>
      </x:c>
      <x:c r="L33" s="24" t="str">
        <x:f>'Evaluation Plan'!L33</x:f>
        <x:v>Four-way held-out counterfactual: relation polarity × target/reference role</x:v>
      </x:c>
      <x:c r="M33" s="24" t="str">
        <x:f>'Evaluation Plan'!M33</x:f>
        <x:v>red block</x:v>
      </x:c>
      <x:c r="N33" s="24" t="str">
        <x:f>'Evaluation Plan'!N33</x:f>
        <x:v>green pen</x:v>
      </x:c>
      <x:c r="O33" s="24" t="str">
        <x:f>'Evaluation Plan'!O33</x:f>
        <x:v>None</x:v>
      </x:c>
      <x:c r="P33" s="24" t="n">
        <x:f>'Evaluation Plan'!P33</x:f>
        <x:v>3</x:v>
      </x:c>
      <x:c r="Q33" s="24" t="str">
        <x:f>'Evaluation Plan'!Q33</x:f>
        <x:v>Reset both core objects to their marked poses; preserve distractors, camera, and robot start; change only the instruction.</x:v>
      </x:c>
      <x:c r="R33" s="25" t="str">
        <x:f>'Evaluation Plan'!R33</x:f>
        <x:v>The directional word × ordered green-pen/red-block role is held out. Source episode 274 supplies the same target manipulation under a trained near/next-to/beside prompt. The orthogonal start prevents an inverse-start shortcut.</x:v>
      </x:c>
      <x:c r="S33" s="25" t="str">
        <x:f>IF(ISBLANK('Evaluation Plan'!S33),"",'Evaluation Plan'!S33)</x:f>
      </x:c>
    </x:row>
    <x:row r="34" ht="72" customHeight="1">
      <x:c r="A34" s="9" t="str">
        <x:v>Not collected</x:v>
      </x:c>
      <x:c r="B34" s="9" t="n">
        <x:f>'Evaluation Plan'!B34</x:f>
        <x:v>32</x:v>
      </x:c>
      <x:c r="C34" s="10" t="str">
        <x:f>'Evaluation Plan'!C34</x:f>
        <x:v>Place the green pen to the left of the red block.</x:v>
      </x:c>
      <x:c r="D34" s="10" t="str">
        <x:f>'Evaluation Plan'!D34</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4" s="9" t="str">
        <x:f>IF(ISBLANK('Evaluation Plan'!E34),"",'Evaluation Plan'!E34)</x:f>
      </x:c>
      <x:c r="F34" s="9" t="str">
        <x:f>'Evaluation Plan'!F34</x:f>
        <x:v>227</x:v>
      </x:c>
      <x:c r="G34" s="9" t="str">
        <x:f>'Evaluation Plan'!G34</x:f>
        <x:v>green pen → 2–8 cm edge gap to the left of red block; centroid direction within ±45°.</x:v>
      </x:c>
      <x:c r="H34" s="10"/>
      <x:c r="I34" s="9" t="str">
        <x:f>'Evaluation Plan'!I34</x:f>
        <x:v>Concept/compositional transfer</x:v>
      </x:c>
      <x:c r="J34" s="9" t="str">
        <x:f>'Evaluation Plan'!J34</x:f>
        <x:v>RP-CT-CF04</x:v>
      </x:c>
      <x:c r="K34" s="9" t="str">
        <x:f>'Evaluation Plan'!K34</x:f>
        <x:v>left</x:v>
      </x:c>
      <x:c r="L34" s="9" t="str">
        <x:f>'Evaluation Plan'!L34</x:f>
        <x:v>Four-way held-out counterfactual: relation polarity × target/reference role</x:v>
      </x:c>
      <x:c r="M34" s="9" t="str">
        <x:f>'Evaluation Plan'!M34</x:f>
        <x:v>green pen</x:v>
      </x:c>
      <x:c r="N34" s="9" t="str">
        <x:f>'Evaluation Plan'!N34</x:f>
        <x:v>red block</x:v>
      </x:c>
      <x:c r="O34" s="9" t="str">
        <x:f>'Evaluation Plan'!O34</x:f>
        <x:v>None</x:v>
      </x:c>
      <x:c r="P34" s="9" t="n">
        <x:f>'Evaluation Plan'!P34</x:f>
        <x:v>4</x:v>
      </x:c>
      <x:c r="Q34" s="9" t="str">
        <x:f>'Evaluation Plan'!Q34</x:f>
        <x:v>Build the listed neutral-axis scene and save the first frame.</x:v>
      </x:c>
      <x:c r="R34" s="10" t="str">
        <x:f>'Evaluation Plan'!R34</x:f>
        <x:v>The directional word × ordered green-pen/red-block role is held out. Source episode 227 supplies the same target manipulation under a trained near/next-to/beside prompt. The orthogonal start prevents an inverse-start shortcut.</x:v>
      </x:c>
      <x:c r="S34" s="10" t="str">
        <x:f>IF(ISBLANK('Evaluation Plan'!S34),"",'Evaluation Plan'!S34)</x:f>
      </x:c>
    </x:row>
    <x:row r="35" ht="72" customHeight="1">
      <x:c r="A35" s="24" t="str">
        <x:v>Not collected</x:v>
      </x:c>
      <x:c r="B35" s="24" t="n">
        <x:f>'Evaluation Plan'!B35</x:f>
        <x:v>33</x:v>
      </x:c>
      <x:c r="C35" s="25" t="str">
        <x:f>'Evaluation Plan'!C35</x:f>
        <x:v>Place the green pen to the right of the red block.</x:v>
      </x:c>
      <x:c r="D35" s="25" t="str">
        <x:f>'Evaluation Plan'!D35</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5" s="24" t="n">
        <x:f>IF(ISBLANK('Evaluation Plan'!E35),"",'Evaluation Plan'!E35)</x:f>
        <x:v>32</x:v>
      </x:c>
      <x:c r="F35" s="24" t="str">
        <x:f>'Evaluation Plan'!F35</x:f>
        <x:v>239</x:v>
      </x:c>
      <x:c r="G35" s="24" t="str">
        <x:f>'Evaluation Plan'!G35</x:f>
        <x:v>green pen → 2–8 cm edge gap to the right of red block; centroid direction within ±45°.</x:v>
      </x:c>
      <x:c r="H35" s="25"/>
      <x:c r="I35" s="24" t="str">
        <x:f>'Evaluation Plan'!I35</x:f>
        <x:v>Concept/compositional transfer</x:v>
      </x:c>
      <x:c r="J35" s="24" t="str">
        <x:f>'Evaluation Plan'!J35</x:f>
        <x:v>RP-CT-CF04</x:v>
      </x:c>
      <x:c r="K35" s="24" t="str">
        <x:f>'Evaluation Plan'!K35</x:f>
        <x:v>right</x:v>
      </x:c>
      <x:c r="L35" s="24" t="str">
        <x:f>'Evaluation Plan'!L35</x:f>
        <x:v>Four-way held-out counterfactual: relation polarity × target/reference role</x:v>
      </x:c>
      <x:c r="M35" s="24" t="str">
        <x:f>'Evaluation Plan'!M35</x:f>
        <x:v>green pen</x:v>
      </x:c>
      <x:c r="N35" s="24" t="str">
        <x:f>'Evaluation Plan'!N35</x:f>
        <x:v>red block</x:v>
      </x:c>
      <x:c r="O35" s="24" t="str">
        <x:f>'Evaluation Plan'!O35</x:f>
        <x:v>None</x:v>
      </x:c>
      <x:c r="P35" s="24" t="n">
        <x:f>'Evaluation Plan'!P35</x:f>
        <x:v>4</x:v>
      </x:c>
      <x:c r="Q35" s="24" t="str">
        <x:f>'Evaluation Plan'!Q35</x:f>
        <x:v>Reset both core objects to their marked poses; preserve distractors, camera, and robot start; change only the instruction.</x:v>
      </x:c>
      <x:c r="R35" s="25" t="str">
        <x:f>'Evaluation Plan'!R35</x:f>
        <x:v>The directional word × ordered green-pen/red-block role is held out. Source episode 239 supplies the same target manipulation under a trained near/next-to/beside prompt. The orthogonal start prevents an inverse-start shortcut.</x:v>
      </x:c>
      <x:c r="S35" s="25" t="str">
        <x:f>IF(ISBLANK('Evaluation Plan'!S35),"",'Evaluation Plan'!S35)</x:f>
      </x:c>
    </x:row>
    <x:row r="36" ht="72" customHeight="1">
      <x:c r="A36" s="24" t="str">
        <x:v>Not collected</x:v>
      </x:c>
      <x:c r="B36" s="24" t="n">
        <x:f>'Evaluation Plan'!B36</x:f>
        <x:v>34</x:v>
      </x:c>
      <x:c r="C36" s="25" t="str">
        <x:f>'Evaluation Plan'!C36</x:f>
        <x:v>Place the red block to the left of the green pen.</x:v>
      </x:c>
      <x:c r="D36" s="25" t="str">
        <x:f>'Evaluation Plan'!D36</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6" s="24" t="n">
        <x:f>IF(ISBLANK('Evaluation Plan'!E36),"",'Evaluation Plan'!E36)</x:f>
        <x:v>32</x:v>
      </x:c>
      <x:c r="F36" s="24" t="str">
        <x:f>'Evaluation Plan'!F36</x:f>
        <x:v>285</x:v>
      </x:c>
      <x:c r="G36" s="24" t="str">
        <x:f>'Evaluation Plan'!G36</x:f>
        <x:v>red block → 2–8 cm edge gap to the left of green pen; centroid direction within ±45°.</x:v>
      </x:c>
      <x:c r="H36" s="25"/>
      <x:c r="I36" s="24" t="str">
        <x:f>'Evaluation Plan'!I36</x:f>
        <x:v>Concept/compositional transfer</x:v>
      </x:c>
      <x:c r="J36" s="24" t="str">
        <x:f>'Evaluation Plan'!J36</x:f>
        <x:v>RP-CT-CF04</x:v>
      </x:c>
      <x:c r="K36" s="24" t="str">
        <x:f>'Evaluation Plan'!K36</x:f>
        <x:v>left</x:v>
      </x:c>
      <x:c r="L36" s="24" t="str">
        <x:f>'Evaluation Plan'!L36</x:f>
        <x:v>Four-way held-out counterfactual: relation polarity × target/reference role</x:v>
      </x:c>
      <x:c r="M36" s="24" t="str">
        <x:f>'Evaluation Plan'!M36</x:f>
        <x:v>red block</x:v>
      </x:c>
      <x:c r="N36" s="24" t="str">
        <x:f>'Evaluation Plan'!N36</x:f>
        <x:v>green pen</x:v>
      </x:c>
      <x:c r="O36" s="24" t="str">
        <x:f>'Evaluation Plan'!O36</x:f>
        <x:v>None</x:v>
      </x:c>
      <x:c r="P36" s="24" t="n">
        <x:f>'Evaluation Plan'!P36</x:f>
        <x:v>4</x:v>
      </x:c>
      <x:c r="Q36" s="24" t="str">
        <x:f>'Evaluation Plan'!Q36</x:f>
        <x:v>Reset both core objects to their marked poses; preserve distractors, camera, and robot start; change only the instruction.</x:v>
      </x:c>
      <x:c r="R36" s="25" t="str">
        <x:f>'Evaluation Plan'!R36</x:f>
        <x:v>The directional word × ordered green-pen/red-block role is held out. Source episode 285 supplies the same target manipulation under a trained near/next-to/beside prompt. The orthogonal start prevents an inverse-start shortcut.</x:v>
      </x:c>
      <x:c r="S36" s="25" t="str">
        <x:f>IF(ISBLANK('Evaluation Plan'!S36),"",'Evaluation Plan'!S36)</x:f>
      </x:c>
    </x:row>
    <x:row r="37" ht="72" customHeight="1">
      <x:c r="A37" s="24" t="str">
        <x:v>Not collected</x:v>
      </x:c>
      <x:c r="B37" s="24" t="n">
        <x:f>'Evaluation Plan'!B37</x:f>
        <x:v>35</x:v>
      </x:c>
      <x:c r="C37" s="25" t="str">
        <x:f>'Evaluation Plan'!C37</x:f>
        <x:v>Place the red block to the right of the green pen.</x:v>
      </x:c>
      <x:c r="D37" s="25" t="str">
        <x:f>'Evaluation Plan'!D37</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7" s="24" t="n">
        <x:f>IF(ISBLANK('Evaluation Plan'!E37),"",'Evaluation Plan'!E37)</x:f>
        <x:v>32</x:v>
      </x:c>
      <x:c r="F37" s="24" t="str">
        <x:f>'Evaluation Plan'!F37</x:f>
        <x:v>298</x:v>
      </x:c>
      <x:c r="G37" s="24" t="str">
        <x:f>'Evaluation Plan'!G37</x:f>
        <x:v>red block → 2–8 cm edge gap to the right of green pen; centroid direction within ±45°.</x:v>
      </x:c>
      <x:c r="H37" s="25"/>
      <x:c r="I37" s="24" t="str">
        <x:f>'Evaluation Plan'!I37</x:f>
        <x:v>Concept/compositional transfer</x:v>
      </x:c>
      <x:c r="J37" s="24" t="str">
        <x:f>'Evaluation Plan'!J37</x:f>
        <x:v>RP-CT-CF04</x:v>
      </x:c>
      <x:c r="K37" s="24" t="str">
        <x:f>'Evaluation Plan'!K37</x:f>
        <x:v>right</x:v>
      </x:c>
      <x:c r="L37" s="24" t="str">
        <x:f>'Evaluation Plan'!L37</x:f>
        <x:v>Four-way held-out counterfactual: relation polarity × target/reference role</x:v>
      </x:c>
      <x:c r="M37" s="24" t="str">
        <x:f>'Evaluation Plan'!M37</x:f>
        <x:v>red block</x:v>
      </x:c>
      <x:c r="N37" s="24" t="str">
        <x:f>'Evaluation Plan'!N37</x:f>
        <x:v>green pen</x:v>
      </x:c>
      <x:c r="O37" s="24" t="str">
        <x:f>'Evaluation Plan'!O37</x:f>
        <x:v>None</x:v>
      </x:c>
      <x:c r="P37" s="24" t="n">
        <x:f>'Evaluation Plan'!P37</x:f>
        <x:v>4</x:v>
      </x:c>
      <x:c r="Q37" s="24" t="str">
        <x:f>'Evaluation Plan'!Q37</x:f>
        <x:v>Reset both core objects to their marked poses; preserve distractors, camera, and robot start; change only the instruction.</x:v>
      </x:c>
      <x:c r="R37" s="25" t="str">
        <x:f>'Evaluation Plan'!R37</x:f>
        <x:v>The directional word × ordered green-pen/red-block role is held out. Source episode 298 supplies the same target manipulation under a trained near/next-to/beside prompt. The orthogonal start prevents an inverse-start shortcut.</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RP-CT-CF05</x:v>
      </x:c>
      <x:c r="K38" s="9" t="str">
        <x:f>'Evaluation Plan'!K38</x:f>
        <x:v>left</x:v>
      </x:c>
      <x:c r="L38" s="9" t="str">
        <x:f>'Evaluation Plan'!L38</x:f>
        <x:v>Four-way held-out counterfactual: relation polarity × target/reference role</x:v>
      </x:c>
      <x:c r="M38" s="9" t="str">
        <x:f>'Evaluation Plan'!M38</x:f>
        <x:v>green pen</x:v>
      </x:c>
      <x:c r="N38" s="9" t="str">
        <x:f>'Evaluation Plan'!N38</x:f>
        <x:v>red block</x:v>
      </x:c>
      <x:c r="O38" s="9" t="str">
        <x:f>'Evaluation Plan'!O38</x:f>
        <x:v>None</x:v>
      </x:c>
      <x:c r="P38" s="9" t="n">
        <x:f>'Evaluation Plan'!P38</x:f>
        <x:v>3</x:v>
      </x:c>
      <x:c r="Q38" s="9" t="str">
        <x:f>'Evaluation Plan'!Q38</x:f>
        <x:v>Build the listed neutral-axis scene and save the first frame.</x:v>
      </x:c>
      <x:c r="R38" s="10" t="str">
        <x:f>'Evaluation Plan'!R38</x:f>
        <x:v>The directional word × ordered green-pen/red-block role is held out. Source episode 226 supplies the same target manipulation under a trained near/next-to/beside prompt. The orthogonal start prevents an inverse-start shortcut.</x:v>
      </x:c>
      <x:c r="S38" s="10" t="str">
        <x:f>IF(ISBLANK('Evaluation Plan'!S38),"",'Evaluation Plan'!S38)</x:f>
      </x:c>
    </x:row>
    <x:row r="39" ht="72" customHeight="1">
      <x:c r="A39" s="24" t="str">
        <x:v>Not collected</x:v>
      </x:c>
      <x:c r="B39" s="24" t="n">
        <x:f>'Evaluation Plan'!B39</x:f>
        <x:v>37</x:v>
      </x:c>
      <x:c r="C39" s="25" t="str">
        <x:f>'Evaluation Plan'!C39</x:f>
        <x:v>Place the green pen to the right of the red block.</x:v>
      </x:c>
      <x:c r="D39" s="25" t="str">
        <x:f>'Evaluation Plan'!D39</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9" s="24" t="n">
        <x:f>IF(ISBLANK('Evaluation Plan'!E39),"",'Evaluation Plan'!E39)</x:f>
        <x:v>36</x:v>
      </x:c>
      <x:c r="F39" s="24" t="str">
        <x:f>'Evaluation Plan'!F39</x:f>
        <x:v>238</x:v>
      </x:c>
      <x:c r="G39" s="24" t="str">
        <x:f>'Evaluation Plan'!G39</x:f>
        <x:v>green pen → 2–8 cm edge gap to the right of red block; centroid direction within ±45°.</x:v>
      </x:c>
      <x:c r="H39" s="25"/>
      <x:c r="I39" s="24" t="str">
        <x:f>'Evaluation Plan'!I39</x:f>
        <x:v>Concept/compositional transfer</x:v>
      </x:c>
      <x:c r="J39" s="24" t="str">
        <x:f>'Evaluation Plan'!J39</x:f>
        <x:v>RP-CT-CF05</x:v>
      </x:c>
      <x:c r="K39" s="24" t="str">
        <x:f>'Evaluation Plan'!K39</x:f>
        <x:v>right</x:v>
      </x:c>
      <x:c r="L39" s="24" t="str">
        <x:f>'Evaluation Plan'!L39</x:f>
        <x:v>Four-way held-out counterfactual: relation polarity × target/reference role</x:v>
      </x:c>
      <x:c r="M39" s="24" t="str">
        <x:f>'Evaluation Plan'!M39</x:f>
        <x:v>green pen</x:v>
      </x:c>
      <x:c r="N39" s="24" t="str">
        <x:f>'Evaluation Plan'!N39</x:f>
        <x:v>red block</x:v>
      </x:c>
      <x:c r="O39" s="24" t="str">
        <x:f>'Evaluation Plan'!O39</x:f>
        <x:v>None</x:v>
      </x:c>
      <x:c r="P39" s="24" t="n">
        <x:f>'Evaluation Plan'!P39</x:f>
        <x:v>3</x:v>
      </x:c>
      <x:c r="Q39" s="24" t="str">
        <x:f>'Evaluation Plan'!Q39</x:f>
        <x:v>Reset both core objects to their marked poses; preserve distractors, camera, and robot start; change only the instruction.</x:v>
      </x:c>
      <x:c r="R39" s="25" t="str">
        <x:f>'Evaluation Plan'!R39</x:f>
        <x:v>The directional word × ordered green-pen/red-block role is held out. Source episode 238 supplies the same target manipulation under a trained near/next-to/beside prompt. The orthogonal start prevents an inverse-start shortcut.</x:v>
      </x:c>
      <x:c r="S39" s="25" t="str">
        <x:f>IF(ISBLANK('Evaluation Plan'!S39),"",'Evaluation Plan'!S39)</x:f>
      </x:c>
    </x:row>
    <x:row r="40" ht="72" customHeight="1">
      <x:c r="A40" s="24" t="str">
        <x:v>Not collected</x:v>
      </x:c>
      <x:c r="B40" s="24" t="n">
        <x:f>'Evaluation Plan'!B40</x:f>
        <x:v>38</x:v>
      </x:c>
      <x:c r="C40" s="25" t="str">
        <x:f>'Evaluation Plan'!C40</x:f>
        <x:v>Place the red block to the left of the green pen.</x:v>
      </x:c>
      <x:c r="D40" s="25" t="str">
        <x:f>'Evaluation Plan'!D40</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0" s="24" t="n">
        <x:f>IF(ISBLANK('Evaluation Plan'!E40),"",'Evaluation Plan'!E40)</x:f>
        <x:v>36</x:v>
      </x:c>
      <x:c r="F40" s="24" t="str">
        <x:f>'Evaluation Plan'!F40</x:f>
        <x:v>284</x:v>
      </x:c>
      <x:c r="G40" s="24" t="str">
        <x:f>'Evaluation Plan'!G40</x:f>
        <x:v>red block → 2–8 cm edge gap to the left of green pen; centroid direction within ±45°.</x:v>
      </x:c>
      <x:c r="H40" s="25"/>
      <x:c r="I40" s="24" t="str">
        <x:f>'Evaluation Plan'!I40</x:f>
        <x:v>Concept/compositional transfer</x:v>
      </x:c>
      <x:c r="J40" s="24" t="str">
        <x:f>'Evaluation Plan'!J40</x:f>
        <x:v>RP-CT-CF05</x:v>
      </x:c>
      <x:c r="K40" s="24" t="str">
        <x:f>'Evaluation Plan'!K40</x:f>
        <x:v>left</x:v>
      </x:c>
      <x:c r="L40" s="24" t="str">
        <x:f>'Evaluation Plan'!L40</x:f>
        <x:v>Four-way held-out counterfactual: relation polarity × target/reference role</x:v>
      </x:c>
      <x:c r="M40" s="24" t="str">
        <x:f>'Evaluation Plan'!M40</x:f>
        <x:v>red block</x:v>
      </x:c>
      <x:c r="N40" s="24" t="str">
        <x:f>'Evaluation Plan'!N40</x:f>
        <x:v>green pen</x:v>
      </x:c>
      <x:c r="O40" s="24" t="str">
        <x:f>'Evaluation Plan'!O40</x:f>
        <x:v>None</x:v>
      </x:c>
      <x:c r="P40" s="24" t="n">
        <x:f>'Evaluation Plan'!P40</x:f>
        <x:v>3</x:v>
      </x:c>
      <x:c r="Q40" s="24" t="str">
        <x:f>'Evaluation Plan'!Q40</x:f>
        <x:v>Reset both core objects to their marked poses; preserve distractors, camera, and robot start; change only the instruction.</x:v>
      </x:c>
      <x:c r="R40" s="25" t="str">
        <x:f>'Evaluation Plan'!R40</x:f>
        <x:v>The directional word × ordered green-pen/red-block role is held out. Source episode 284 supplies the same target manipulation under a trained near/next-to/beside prompt. The orthogonal start prevents an inverse-start shortcut.</x:v>
      </x:c>
      <x:c r="S40" s="25" t="str">
        <x:f>IF(ISBLANK('Evaluation Plan'!S40),"",'Evaluation Plan'!S40)</x:f>
      </x:c>
    </x:row>
    <x:row r="41" ht="72" customHeight="1">
      <x:c r="A41" s="24" t="str">
        <x:v>Not collected</x:v>
      </x:c>
      <x:c r="B41" s="24" t="n">
        <x:f>'Evaluation Plan'!B41</x:f>
        <x:v>39</x:v>
      </x:c>
      <x:c r="C41" s="25" t="str">
        <x:f>'Evaluation Plan'!C41</x:f>
        <x:v>Place the red block to the right of the green pen.</x:v>
      </x:c>
      <x:c r="D41" s="25" t="str">
        <x:f>'Evaluation Plan'!D41</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1" s="24" t="n">
        <x:f>IF(ISBLANK('Evaluation Plan'!E41),"",'Evaluation Plan'!E41)</x:f>
        <x:v>36</x:v>
      </x:c>
      <x:c r="F41" s="24" t="str">
        <x:f>'Evaluation Plan'!F41</x:f>
        <x:v>297</x:v>
      </x:c>
      <x:c r="G41" s="24" t="str">
        <x:f>'Evaluation Plan'!G41</x:f>
        <x:v>red block → 2–8 cm edge gap to the right of green pen; centroid direction within ±45°.</x:v>
      </x:c>
      <x:c r="H41" s="25"/>
      <x:c r="I41" s="24" t="str">
        <x:f>'Evaluation Plan'!I41</x:f>
        <x:v>Concept/compositional transfer</x:v>
      </x:c>
      <x:c r="J41" s="24" t="str">
        <x:f>'Evaluation Plan'!J41</x:f>
        <x:v>RP-CT-CF05</x:v>
      </x:c>
      <x:c r="K41" s="24" t="str">
        <x:f>'Evaluation Plan'!K41</x:f>
        <x:v>right</x:v>
      </x:c>
      <x:c r="L41" s="24" t="str">
        <x:f>'Evaluation Plan'!L41</x:f>
        <x:v>Four-way held-out counterfactual: relation polarity × target/reference role</x:v>
      </x:c>
      <x:c r="M41" s="24" t="str">
        <x:f>'Evaluation Plan'!M41</x:f>
        <x:v>red block</x:v>
      </x:c>
      <x:c r="N41" s="24" t="str">
        <x:f>'Evaluation Plan'!N41</x:f>
        <x:v>green pen</x:v>
      </x:c>
      <x:c r="O41" s="24" t="str">
        <x:f>'Evaluation Plan'!O41</x:f>
        <x:v>None</x:v>
      </x:c>
      <x:c r="P41" s="24" t="n">
        <x:f>'Evaluation Plan'!P41</x:f>
        <x:v>3</x:v>
      </x:c>
      <x:c r="Q41" s="24" t="str">
        <x:f>'Evaluation Plan'!Q41</x:f>
        <x:v>Reset both core objects to their marked poses; preserve distractors, camera, and robot start; change only the instruction.</x:v>
      </x:c>
      <x:c r="R41" s="25" t="str">
        <x:f>'Evaluation Plan'!R41</x:f>
        <x:v>The directional word × ordered green-pen/red-block role is held out. Source episode 297 supplies the same target manipulation under a trained near/next-to/beside prompt. The orthogonal start prevents an inverse-start shortcut.</x:v>
      </x:c>
      <x:c r="S41" s="25" t="str">
        <x:f>IF(ISBLANK('Evaluation Plan'!S41),"",'Evaluation Plan'!S41)</x:f>
      </x:c>
    </x:row>
    <x:row r="42" ht="72" customHeight="1">
      <x:c r="A42" s="9" t="str">
        <x:v>Not collected</x:v>
      </x:c>
      <x:c r="B42" s="9" t="n">
        <x:f>'Evaluation Plan'!B42</x:f>
        <x:v>40</x:v>
      </x:c>
      <x:c r="C42" s="10" t="str">
        <x:f>'Evaluation Plan'!C42</x:f>
        <x:v>Place the green pen to the left of the red block.</x:v>
      </x:c>
      <x:c r="D42" s="10" t="str">
        <x:f>'Evaluation Plan'!D42</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2" s="9" t="str">
        <x:f>IF(ISBLANK('Evaluation Plan'!E42),"",'Evaluation Plan'!E42)</x:f>
      </x:c>
      <x:c r="F42" s="9" t="str">
        <x:f>'Evaluation Plan'!F42</x:f>
        <x:v>227</x:v>
      </x:c>
      <x:c r="G42" s="9" t="str">
        <x:f>'Evaluation Plan'!G42</x:f>
        <x:v>green pen → 2–8 cm edge gap to the left of red block; centroid direction within ±45°.</x:v>
      </x:c>
      <x:c r="H42" s="10"/>
      <x:c r="I42" s="9" t="str">
        <x:f>'Evaluation Plan'!I42</x:f>
        <x:v>Concept/compositional transfer</x:v>
      </x:c>
      <x:c r="J42" s="9" t="str">
        <x:f>'Evaluation Plan'!J42</x:f>
        <x:v>RP-CT-CF06</x:v>
      </x:c>
      <x:c r="K42" s="9" t="str">
        <x:f>'Evaluation Plan'!K42</x:f>
        <x:v>left</x:v>
      </x:c>
      <x:c r="L42" s="9" t="str">
        <x:f>'Evaluation Plan'!L42</x:f>
        <x:v>Four-way held-out counterfactual: relation polarity × target/reference role</x:v>
      </x:c>
      <x:c r="M42" s="9" t="str">
        <x:f>'Evaluation Plan'!M42</x:f>
        <x:v>green pen</x:v>
      </x:c>
      <x:c r="N42" s="9" t="str">
        <x:f>'Evaluation Plan'!N42</x:f>
        <x:v>red block</x:v>
      </x:c>
      <x:c r="O42" s="9" t="str">
        <x:f>'Evaluation Plan'!O42</x:f>
        <x:v>None</x:v>
      </x:c>
      <x:c r="P42" s="9" t="n">
        <x:f>'Evaluation Plan'!P42</x:f>
        <x:v>4</x:v>
      </x:c>
      <x:c r="Q42" s="9" t="str">
        <x:f>'Evaluation Plan'!Q42</x:f>
        <x:v>Build the listed neutral-axis scene and save the first frame.</x:v>
      </x:c>
      <x:c r="R42" s="10" t="str">
        <x:f>'Evaluation Plan'!R42</x:f>
        <x:v>The directional word × ordered green-pen/red-block role is held out. Source episode 227 supplies the same target manipulation under a trained near/next-to/beside prompt. The orthogonal start prevents an inverse-start shortcut.</x:v>
      </x:c>
      <x:c r="S42" s="10" t="str">
        <x:f>IF(ISBLANK('Evaluation Plan'!S42),"",'Evaluation Plan'!S42)</x:f>
      </x:c>
    </x:row>
    <x:row r="43" ht="72" customHeight="1">
      <x:c r="A43" s="24" t="str">
        <x:v>Not collected</x:v>
      </x:c>
      <x:c r="B43" s="24" t="n">
        <x:f>'Evaluation Plan'!B43</x:f>
        <x:v>41</x:v>
      </x:c>
      <x:c r="C43" s="25" t="str">
        <x:f>'Evaluation Plan'!C43</x:f>
        <x:v>Place the green pen to the right of the red block.</x:v>
      </x:c>
      <x:c r="D43" s="25" t="str">
        <x:f>'Evaluation Plan'!D43</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3" s="24" t="n">
        <x:f>IF(ISBLANK('Evaluation Plan'!E43),"",'Evaluation Plan'!E43)</x:f>
        <x:v>40</x:v>
      </x:c>
      <x:c r="F43" s="24" t="str">
        <x:f>'Evaluation Plan'!F43</x:f>
        <x:v>241</x:v>
      </x:c>
      <x:c r="G43" s="24" t="str">
        <x:f>'Evaluation Plan'!G43</x:f>
        <x:v>green pen → 2–8 cm edge gap to the right of red block; centroid direction within ±45°.</x:v>
      </x:c>
      <x:c r="H43" s="25"/>
      <x:c r="I43" s="24" t="str">
        <x:f>'Evaluation Plan'!I43</x:f>
        <x:v>Concept/compositional transfer</x:v>
      </x:c>
      <x:c r="J43" s="24" t="str">
        <x:f>'Evaluation Plan'!J43</x:f>
        <x:v>RP-CT-CF06</x:v>
      </x:c>
      <x:c r="K43" s="24" t="str">
        <x:f>'Evaluation Plan'!K43</x:f>
        <x:v>right</x:v>
      </x:c>
      <x:c r="L43" s="24" t="str">
        <x:f>'Evaluation Plan'!L43</x:f>
        <x:v>Four-way held-out counterfactual: relation polarity × target/reference role</x:v>
      </x:c>
      <x:c r="M43" s="24" t="str">
        <x:f>'Evaluation Plan'!M43</x:f>
        <x:v>green pen</x:v>
      </x:c>
      <x:c r="N43" s="24" t="str">
        <x:f>'Evaluation Plan'!N43</x:f>
        <x:v>red block</x:v>
      </x:c>
      <x:c r="O43" s="24" t="str">
        <x:f>'Evaluation Plan'!O43</x:f>
        <x:v>None</x:v>
      </x:c>
      <x:c r="P43" s="24" t="n">
        <x:f>'Evaluation Plan'!P43</x:f>
        <x:v>4</x:v>
      </x:c>
      <x:c r="Q43" s="24" t="str">
        <x:f>'Evaluation Plan'!Q43</x:f>
        <x:v>Reset both core objects to their marked poses; preserve distractors, camera, and robot start; change only the instruction.</x:v>
      </x:c>
      <x:c r="R43" s="25" t="str">
        <x:f>'Evaluation Plan'!R43</x:f>
        <x:v>The directional word × ordered green-pen/red-block role is held out. Source episode 241 supplies the same target manipulation under a trained near/next-to/beside prompt. The orthogonal start prevents an inverse-start shortcut.</x:v>
      </x:c>
      <x:c r="S43" s="25" t="str">
        <x:f>IF(ISBLANK('Evaluation Plan'!S43),"",'Evaluation Plan'!S43)</x:f>
      </x:c>
    </x:row>
    <x:row r="44" ht="72" customHeight="1">
      <x:c r="A44" s="24" t="str">
        <x:v>Not collected</x:v>
      </x:c>
      <x:c r="B44" s="24" t="n">
        <x:f>'Evaluation Plan'!B44</x:f>
        <x:v>42</x:v>
      </x:c>
      <x:c r="C44" s="25" t="str">
        <x:f>'Evaluation Plan'!C44</x:f>
        <x:v>Place the red block to the left of the green pen.</x:v>
      </x:c>
      <x:c r="D44" s="25" t="str">
        <x:f>'Evaluation Plan'!D44</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Concept/compositional transfer</x:v>
      </x:c>
      <x:c r="J44" s="24" t="str">
        <x:f>'Evaluation Plan'!J44</x:f>
        <x:v>RP-CT-CF06</x:v>
      </x:c>
      <x:c r="K44" s="24" t="str">
        <x:f>'Evaluation Plan'!K44</x:f>
        <x:v>left</x:v>
      </x:c>
      <x:c r="L44" s="24" t="str">
        <x:f>'Evaluation Plan'!L44</x:f>
        <x:v>Four-way held-out counterfactual: relation polarity × target/reference role</x:v>
      </x:c>
      <x:c r="M44" s="24" t="str">
        <x:f>'Evaluation Plan'!M44</x:f>
        <x:v>red block</x:v>
      </x:c>
      <x:c r="N44" s="24" t="str">
        <x:f>'Evaluation Plan'!N44</x:f>
        <x:v>green pen</x:v>
      </x:c>
      <x:c r="O44" s="24" t="str">
        <x:f>'Evaluation Plan'!O44</x:f>
        <x:v>None</x:v>
      </x:c>
      <x:c r="P44" s="24" t="n">
        <x:f>'Evaluation Plan'!P44</x:f>
        <x:v>4</x:v>
      </x:c>
      <x:c r="Q44" s="24" t="str">
        <x:f>'Evaluation Plan'!Q44</x:f>
        <x:v>Reset both core objects to their marked poses; preserve distractors, camera, and robot start; change only the instruction.</x:v>
      </x:c>
      <x:c r="R44" s="25" t="str">
        <x:f>'Evaluation Plan'!R44</x:f>
        <x:v>The directional word × ordered green-pen/red-block role is held out. Source episode 285 supplies the same target manipulation under a trained near/next-to/beside prompt. The orthogonal start prevents an inverse-start shortcut.</x:v>
      </x:c>
      <x:c r="S44" s="25" t="str">
        <x:f>IF(ISBLANK('Evaluation Plan'!S44),"",'Evaluation Plan'!S44)</x:f>
      </x:c>
    </x:row>
    <x:row r="45" ht="72" customHeight="1">
      <x:c r="A45" s="24" t="str">
        <x:v>Not collected</x:v>
      </x:c>
      <x:c r="B45" s="24" t="n">
        <x:f>'Evaluation Plan'!B45</x:f>
        <x:v>43</x:v>
      </x:c>
      <x:c r="C45" s="25" t="str">
        <x:f>'Evaluation Plan'!C45</x:f>
        <x:v>Place the red block to the right of the green pen.</x:v>
      </x:c>
      <x:c r="D45" s="25" t="str">
        <x:f>'Evaluation Plan'!D45</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5" s="24" t="n">
        <x:f>IF(ISBLANK('Evaluation Plan'!E45),"",'Evaluation Plan'!E45)</x:f>
        <x:v>40</x:v>
      </x:c>
      <x:c r="F45" s="24" t="str">
        <x:f>'Evaluation Plan'!F45</x:f>
        <x:v>298</x:v>
      </x:c>
      <x:c r="G45" s="24" t="str">
        <x:f>'Evaluation Plan'!G45</x:f>
        <x:v>red block → 2–8 cm edge gap to the right of green pen; centroid direction within ±45°.</x:v>
      </x:c>
      <x:c r="H45" s="25"/>
      <x:c r="I45" s="24" t="str">
        <x:f>'Evaluation Plan'!I45</x:f>
        <x:v>Concept/compositional transfer</x:v>
      </x:c>
      <x:c r="J45" s="24" t="str">
        <x:f>'Evaluation Plan'!J45</x:f>
        <x:v>RP-CT-CF06</x:v>
      </x:c>
      <x:c r="K45" s="24" t="str">
        <x:f>'Evaluation Plan'!K45</x:f>
        <x:v>right</x:v>
      </x:c>
      <x:c r="L45" s="24" t="str">
        <x:f>'Evaluation Plan'!L45</x:f>
        <x:v>Four-way held-out counterfactual: relation polarity × target/reference role</x:v>
      </x:c>
      <x:c r="M45" s="24" t="str">
        <x:f>'Evaluation Plan'!M45</x:f>
        <x:v>red block</x:v>
      </x:c>
      <x:c r="N45" s="24" t="str">
        <x:f>'Evaluation Plan'!N45</x:f>
        <x:v>green pen</x:v>
      </x:c>
      <x:c r="O45" s="24" t="str">
        <x:f>'Evaluation Plan'!O45</x:f>
        <x:v>None</x:v>
      </x:c>
      <x:c r="P45" s="24" t="n">
        <x:f>'Evaluation Plan'!P45</x:f>
        <x:v>4</x:v>
      </x:c>
      <x:c r="Q45" s="24" t="str">
        <x:f>'Evaluation Plan'!Q45</x:f>
        <x:v>Reset both core objects to their marked poses; preserve distractors, camera, and robot start; change only the instruction.</x:v>
      </x:c>
      <x:c r="R45" s="25" t="str">
        <x:f>'Evaluation Plan'!R45</x:f>
        <x:v>The directional word × ordered green-pen/red-block role is held out. Source episode 298 supplies the same target manipulation under a trained near/next-to/beside prompt. The orthogonal start prevents an inverse-start shortcut.</x:v>
      </x:c>
      <x:c r="S45" s="25" t="str">
        <x:f>IF(ISBLANK('Evaluation Plan'!S45),"",'Evaluation Plan'!S45)</x:f>
      </x:c>
    </x:row>
    <x:row r="46" ht="72" customHeight="1">
      <x:c r="A46" s="9" t="str">
        <x:v>Not collected</x:v>
      </x:c>
      <x:c r="B46" s="9" t="n">
        <x:f>'Evaluation Plan'!B46</x:f>
        <x:v>44</x:v>
      </x:c>
      <x:c r="C46" s="10" t="str">
        <x:f>'Evaluation Plan'!C46</x:f>
        <x:v>Place the green pen in front of the red block.</x:v>
      </x:c>
      <x:c r="D46" s="10" t="str">
        <x:f>'Evaluation Plan'!D46</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6" s="9" t="str">
        <x:f>IF(ISBLANK('Evaluation Plan'!E46),"",'Evaluation Plan'!E46)</x:f>
      </x:c>
      <x:c r="F46" s="9" t="str">
        <x:f>'Evaluation Plan'!F46</x:f>
        <x:v>201</x:v>
      </x:c>
      <x:c r="G46" s="9" t="str">
        <x:f>'Evaluation Plan'!G46</x:f>
        <x:v>green pen → 2–8 cm edge gap in front of red block; centroid direction within ±45°.</x:v>
      </x:c>
      <x:c r="H46" s="10"/>
      <x:c r="I46" s="9" t="str">
        <x:f>'Evaluation Plan'!I46</x:f>
        <x:v>Concept/compositional transfer</x:v>
      </x:c>
      <x:c r="J46" s="9" t="str">
        <x:f>'Evaluation Plan'!J46</x:f>
        <x:v>RP-CT-N01</x:v>
      </x:c>
      <x:c r="K46" s="9" t="str">
        <x:f>'Evaluation Plan'!K46</x:f>
        <x:v>front</x:v>
      </x:c>
      <x:c r="L46" s="9" t="str">
        <x:f>'Evaluation Plan'!L46</x:f>
        <x:v>Neutral-axis independent compositional-transfer scene</x:v>
      </x:c>
      <x:c r="M46" s="9" t="str">
        <x:f>'Evaluation Plan'!M46</x:f>
        <x:v>green pen</x:v>
      </x:c>
      <x:c r="N46" s="9" t="str">
        <x:f>'Evaluation Plan'!N46</x:f>
        <x:v>red block</x:v>
      </x:c>
      <x:c r="O46" s="9" t="str">
        <x:f>'Evaluation Plan'!O46</x:f>
        <x:v>None</x:v>
      </x:c>
      <x:c r="P46" s="9" t="n">
        <x:f>'Evaluation Plan'!P46</x:f>
        <x:v>3</x:v>
      </x:c>
      <x:c r="Q46" s="9" t="str">
        <x:f>'Evaluation Plan'!Q46</x:f>
        <x:v>Build the listed neutral-axis scene and save the first frame.</x:v>
      </x:c>
      <x:c r="R46" s="10" t="str">
        <x:f>'Evaluation Plan'!R46</x:f>
        <x:v>Independent held-out-composition scene. Source episode 201 supplies target recognition/manipulation under the trained prompt “Place the green pen next to the red block.”. The orthogonal start removes the opposite-side shortcut.</x:v>
      </x:c>
      <x:c r="S46" s="10" t="str">
        <x:f>IF(ISBLANK('Evaluation Plan'!S46),"",'Evaluation Plan'!S46)</x:f>
      </x:c>
    </x:row>
    <x:row r="47" ht="72" customHeight="1">
      <x:c r="A47" s="24" t="str">
        <x:v>Not collected</x:v>
      </x:c>
      <x:c r="B47" s="24" t="n">
        <x:f>'Evaluation Plan'!B47</x:f>
        <x:v>45</x:v>
      </x:c>
      <x:c r="C47" s="25" t="str">
        <x:f>'Evaluation Plan'!C47</x:f>
        <x:v>Place the green pen next to the red block.</x:v>
      </x:c>
      <x:c r="D47" s="25" t="str">
        <x:f>'Evaluation Plan'!D47</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7" s="24" t="n">
        <x:f>IF(ISBLANK('Evaluation Plan'!E47),"",'Evaluation Plan'!E47)</x:f>
        <x:v>44</x:v>
      </x:c>
      <x:c r="F47" s="24" t="str">
        <x:f>'Evaluation Plan'!F47</x:f>
        <x:v>201</x:v>
      </x:c>
      <x:c r="G47" s="24" t="str">
        <x:f>'Evaluation Plan'!G47</x:f>
        <x:v>green pen → 2–8 cm edge gap near red block; no directional sector required.</x:v>
      </x:c>
      <x:c r="H47" s="25"/>
      <x:c r="I47" s="24" t="str">
        <x:f>'Evaluation Plan'!I47</x:f>
        <x:v>Matched manipulation control</x:v>
      </x:c>
      <x:c r="J47" s="24" t="str">
        <x:f>'Evaluation Plan'!J47</x:f>
        <x:v>RP-CT-N01</x:v>
      </x:c>
      <x:c r="K47" s="24" t="str">
        <x:f>'Evaluation Plan'!K47</x:f>
        <x:v>front</x:v>
      </x:c>
      <x:c r="L47" s="24" t="str">
        <x:f>'Evaluation Plan'!L47</x:f>
        <x:v>Exact-scene masked manipulation control</x:v>
      </x:c>
      <x:c r="M47" s="24" t="str">
        <x:f>'Evaluation Plan'!M47</x:f>
        <x:v>green pen</x:v>
      </x:c>
      <x:c r="N47" s="24" t="str">
        <x:f>'Evaluation Plan'!N47</x:f>
        <x:v>red block</x:v>
      </x:c>
      <x:c r="O47" s="24" t="str">
        <x:f>'Evaluation Plan'!O47</x:f>
        <x:v>None</x:v>
      </x:c>
      <x:c r="P47" s="24" t="n">
        <x:f>'Evaluation Plan'!P47</x:f>
        <x:v>3</x:v>
      </x:c>
      <x:c r="Q47" s="24" t="str">
        <x:f>'Evaluation Plan'!Q47</x:f>
        <x:v>Reset P1 to its marked pose; preserve the exact scene and use the trained control instruction.</x:v>
      </x:c>
      <x:c r="R47" s="25" t="str">
        <x:f>'Evaluation Plan'!R47</x:f>
        <x:v>Exact-scene control using the final training prompt from episode 201. The target, reference, distractors, camera, and robot start match the paired transfer row.</x:v>
      </x:c>
      <x:c r="S47" s="25" t="str">
        <x:f>IF(ISBLANK('Evaluation Plan'!S47),"",'Evaluation Plan'!S47)</x:f>
      </x:c>
    </x:row>
    <x:row r="48" ht="72" customHeight="1">
      <x:c r="A48" s="24" t="str">
        <x:v>Not collected</x:v>
      </x:c>
      <x:c r="B48" s="24" t="n">
        <x:f>'Evaluation Plan'!B48</x:f>
        <x:v>46</x:v>
      </x:c>
      <x:c r="C48" s="25" t="str">
        <x:f>'Evaluation Plan'!C48</x:f>
        <x:v>Position the green pen on the robot-facing side of the red block.</x:v>
      </x:c>
      <x:c r="D48" s="25" t="str">
        <x:f>'Evaluation Plan'!D48</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8" s="24" t="n">
        <x:f>IF(ISBLANK('Evaluation Plan'!E48),"",'Evaluation Plan'!E48)</x:f>
        <x:v>44</x:v>
      </x:c>
      <x:c r="F48" s="24" t="str">
        <x:f>'Evaluation Plan'!F48</x:f>
        <x:v>201</x:v>
      </x:c>
      <x:c r="G48" s="24" t="str">
        <x:f>'Evaluation Plan'!G48</x:f>
        <x:v>green pen → 2–8 cm edge gap in front of red block; centroid direction within ±45°.</x:v>
      </x:c>
      <x:c r="H48" s="25"/>
      <x:c r="I48" s="24" t="str">
        <x:f>'Evaluation Plan'!I48</x:f>
        <x:v>Language robustness</x:v>
      </x:c>
      <x:c r="J48" s="24" t="str">
        <x:f>'Evaluation Plan'!J48</x:f>
        <x:v>RP-CT-N01</x:v>
      </x:c>
      <x:c r="K48" s="24" t="str">
        <x:f>'Evaluation Plan'!K48</x:f>
        <x:v>front</x:v>
      </x:c>
      <x:c r="L48" s="24" t="str">
        <x:f>'Evaluation Plan'!L48</x:f>
        <x:v>Transfer paraphrase of concept/compositional transfer</x:v>
      </x:c>
      <x:c r="M48" s="24" t="str">
        <x:f>'Evaluation Plan'!M48</x:f>
        <x:v>green pen</x:v>
      </x:c>
      <x:c r="N48" s="24" t="str">
        <x:f>'Evaluation Plan'!N48</x:f>
        <x:v>red block</x:v>
      </x:c>
      <x:c r="O48" s="24" t="str">
        <x:f>'Evaluation Plan'!O48</x:f>
        <x:v>None</x:v>
      </x:c>
      <x:c r="P48" s="24" t="n">
        <x:f>'Evaluation Plan'!P48</x:f>
        <x:v>3</x:v>
      </x:c>
      <x:c r="Q48" s="24" t="str">
        <x:f>'Evaluation Plan'!Q48</x:f>
        <x:v>Reset P1 to its marked pose; preserve the exact scene and change only the wording of the transfer instruction.</x:v>
      </x:c>
      <x:c r="R48" s="25" t="str">
        <x:f>'Evaluation Plan'!R48</x:f>
        <x:v>Exact-scene paraphrase of the canonical compositional-transfer instruction.</x:v>
      </x:c>
      <x:c r="S48" s="25" t="str">
        <x:f>IF(ISBLANK('Evaluation Plan'!S48),"",'Evaluation Plan'!S48)</x:f>
      </x:c>
    </x:row>
    <x:row r="49" ht="72" customHeight="1">
      <x:c r="A49" s="24" t="str">
        <x:v>Not collected</x:v>
      </x:c>
      <x:c r="B49" s="24" t="n">
        <x:f>'Evaluation Plan'!B49</x:f>
        <x:v>47</x:v>
      </x:c>
      <x:c r="C49" s="25" t="str">
        <x:f>'Evaluation Plan'!C49</x:f>
        <x:v>Set the green pen down close to the red block.</x:v>
      </x:c>
      <x:c r="D49" s="25" t="str">
        <x:f>'Evaluation Plan'!D49</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9" s="24" t="n">
        <x:f>IF(ISBLANK('Evaluation Plan'!E49),"",'Evaluation Plan'!E49)</x:f>
        <x:v>45</x:v>
      </x:c>
      <x:c r="F49" s="24" t="str">
        <x:f>'Evaluation Plan'!F49</x:f>
        <x:v>201</x:v>
      </x:c>
      <x:c r="G49" s="24" t="str">
        <x:f>'Evaluation Plan'!G49</x:f>
        <x:v>green pen → 2–8 cm edge gap near red block; no directional sector required.</x:v>
      </x:c>
      <x:c r="H49" s="25"/>
      <x:c r="I49" s="24" t="str">
        <x:f>'Evaluation Plan'!I49</x:f>
        <x:v>Language robustness</x:v>
      </x:c>
      <x:c r="J49" s="24" t="str">
        <x:f>'Evaluation Plan'!J49</x:f>
        <x:v>RP-CT-N01</x:v>
      </x:c>
      <x:c r="K49" s="24" t="str">
        <x:f>'Evaluation Plan'!K49</x:f>
        <x:v>front</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3</x:v>
      </x:c>
      <x:c r="Q49" s="24" t="str">
        <x:f>'Evaluation Plan'!Q49</x:f>
        <x:v>Reset P1 to its marked pose; preserve the exact scene and change only the wording of the matched-control instruction.</x:v>
      </x:c>
      <x:c r="R49" s="25" t="str">
        <x:f>'Evaluation Plan'!R49</x:f>
        <x:v>Exact-scene paraphrase of the training-supported control from episode 201.</x:v>
      </x:c>
      <x:c r="S49" s="25" t="str">
        <x:f>IF(ISBLANK('Evaluation Plan'!S49),"",'Evaluation Plan'!S49)</x:f>
      </x:c>
    </x:row>
    <x:row r="50" ht="72" customHeight="1">
      <x:c r="A50" s="9" t="str">
        <x:v>Not collected</x:v>
      </x:c>
      <x:c r="B50" s="9" t="n">
        <x:f>'Evaluation Plan'!B50</x:f>
        <x:v>48</x:v>
      </x:c>
      <x:c r="C50" s="10" t="str">
        <x:f>'Evaluation Plan'!C50</x:f>
        <x:v>Place the green pen in front of the red block.</x:v>
      </x:c>
      <x:c r="D50" s="10" t="str">
        <x:f>'Evaluation Plan'!D50</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0" s="9" t="str">
        <x:f>IF(ISBLANK('Evaluation Plan'!E50),"",'Evaluation Plan'!E50)</x:f>
      </x:c>
      <x:c r="F50" s="9" t="str">
        <x:f>'Evaluation Plan'!F50</x:f>
        <x:v>202</x:v>
      </x:c>
      <x:c r="G50" s="9" t="str">
        <x:f>'Evaluation Plan'!G50</x:f>
        <x:v>green pen → 2–8 cm edge gap in front of red block; centroid direction within ±45°.</x:v>
      </x:c>
      <x:c r="H50" s="10"/>
      <x:c r="I50" s="9" t="str">
        <x:f>'Evaluation Plan'!I50</x:f>
        <x:v>Concept/compositional transfer</x:v>
      </x:c>
      <x:c r="J50" s="9" t="str">
        <x:f>'Evaluation Plan'!J50</x:f>
        <x:v>RP-CT-N02</x:v>
      </x:c>
      <x:c r="K50" s="9" t="str">
        <x:f>'Evaluation Plan'!K50</x:f>
        <x:v>front</x:v>
      </x:c>
      <x:c r="L50" s="9" t="str">
        <x:f>'Evaluation Plan'!L50</x:f>
        <x:v>Neutral-axis independent compositional-transfer scene</x:v>
      </x:c>
      <x:c r="M50" s="9" t="str">
        <x:f>'Evaluation Plan'!M50</x:f>
        <x:v>green pen</x:v>
      </x:c>
      <x:c r="N50" s="9" t="str">
        <x:f>'Evaluation Plan'!N50</x:f>
        <x:v>red block</x:v>
      </x:c>
      <x:c r="O50" s="9" t="str">
        <x:f>'Evaluation Plan'!O50</x:f>
        <x:v>None</x:v>
      </x:c>
      <x:c r="P50" s="9" t="n">
        <x:f>'Evaluation Plan'!P50</x:f>
        <x:v>4</x:v>
      </x:c>
      <x:c r="Q50" s="9" t="str">
        <x:f>'Evaluation Plan'!Q50</x:f>
        <x:v>Build the listed neutral-axis scene and save the first frame.</x:v>
      </x:c>
      <x:c r="R50" s="10" t="str">
        <x:f>'Evaluation Plan'!R50</x:f>
        <x:v>Independent held-out-composition scene. Source episode 202 supplies target recognition/manipulation under the trained prompt “Put the green pen beside the red block.”. The orthogonal start removes the opposite-side shortcut.</x:v>
      </x:c>
      <x:c r="S50" s="10" t="str">
        <x:f>IF(ISBLANK('Evaluation Plan'!S50),"",'Evaluation Plan'!S50)</x:f>
      </x:c>
    </x:row>
    <x:row r="51" ht="72" customHeight="1">
      <x:c r="A51" s="24" t="str">
        <x:v>Not collected</x:v>
      </x:c>
      <x:c r="B51" s="24" t="n">
        <x:f>'Evaluation Plan'!B51</x:f>
        <x:v>49</x:v>
      </x:c>
      <x:c r="C51" s="25" t="str">
        <x:f>'Evaluation Plan'!C51</x:f>
        <x:v>Put the green pen beside the red block.</x:v>
      </x:c>
      <x:c r="D51" s="25" t="str">
        <x:f>'Evaluation Plan'!D51</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1" s="24" t="n">
        <x:f>IF(ISBLANK('Evaluation Plan'!E51),"",'Evaluation Plan'!E51)</x:f>
        <x:v>48</x:v>
      </x:c>
      <x:c r="F51" s="24" t="str">
        <x:f>'Evaluation Plan'!F51</x:f>
        <x:v>202</x:v>
      </x:c>
      <x:c r="G51" s="24" t="str">
        <x:f>'Evaluation Plan'!G51</x:f>
        <x:v>green pen → 2–8 cm edge gap near red block; no directional sector required.</x:v>
      </x:c>
      <x:c r="H51" s="25"/>
      <x:c r="I51" s="24" t="str">
        <x:f>'Evaluation Plan'!I51</x:f>
        <x:v>Matched manipulation control</x:v>
      </x:c>
      <x:c r="J51" s="24" t="str">
        <x:f>'Evaluation Plan'!J51</x:f>
        <x:v>RP-CT-N02</x:v>
      </x:c>
      <x:c r="K51" s="24" t="str">
        <x:f>'Evaluation Plan'!K51</x:f>
        <x:v>front</x:v>
      </x:c>
      <x:c r="L51" s="24" t="str">
        <x:f>'Evaluation Plan'!L51</x:f>
        <x:v>Exact-scene masked manipulation control</x:v>
      </x:c>
      <x:c r="M51" s="24" t="str">
        <x:f>'Evaluation Plan'!M51</x:f>
        <x:v>green pen</x:v>
      </x:c>
      <x:c r="N51" s="24" t="str">
        <x:f>'Evaluation Plan'!N51</x:f>
        <x:v>red block</x:v>
      </x:c>
      <x:c r="O51" s="24" t="str">
        <x:f>'Evaluation Plan'!O51</x:f>
        <x:v>None</x:v>
      </x:c>
      <x:c r="P51" s="24" t="n">
        <x:f>'Evaluation Plan'!P51</x:f>
        <x:v>4</x:v>
      </x:c>
      <x:c r="Q51" s="24" t="str">
        <x:f>'Evaluation Plan'!Q51</x:f>
        <x:v>Reset P1 to its marked pose; preserve the exact scene and use the trained control instruction.</x:v>
      </x:c>
      <x:c r="R51" s="25" t="str">
        <x:f>'Evaluation Plan'!R51</x:f>
        <x:v>Exact-scene control using the final training prompt from episode 202. The target, reference, distractors, camera, and robot start match the paired transfer row.</x:v>
      </x:c>
      <x:c r="S51" s="25" t="str">
        <x:f>IF(ISBLANK('Evaluation Plan'!S51),"",'Evaluation Plan'!S51)</x:f>
      </x:c>
    </x:row>
    <x:row r="52" ht="72" customHeight="1">
      <x:c r="A52" s="24" t="str">
        <x:v>Not collected</x:v>
      </x:c>
      <x:c r="B52" s="24" t="n">
        <x:f>'Evaluation Plan'!B52</x:f>
        <x:v>50</x:v>
      </x:c>
      <x:c r="C52" s="25" t="str">
        <x:f>'Evaluation Plan'!C52</x:f>
        <x:v>Position the green pen on the robot-facing side of the red block.</x:v>
      </x:c>
      <x:c r="D52" s="25" t="str">
        <x:f>'Evaluation Plan'!D52</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2" s="24" t="n">
        <x:f>IF(ISBLANK('Evaluation Plan'!E52),"",'Evaluation Plan'!E52)</x:f>
        <x:v>48</x:v>
      </x:c>
      <x:c r="F52" s="24" t="str">
        <x:f>'Evaluation Plan'!F52</x:f>
        <x:v>202</x:v>
      </x:c>
      <x:c r="G52" s="24" t="str">
        <x:f>'Evaluation Plan'!G52</x:f>
        <x:v>green pen → 2–8 cm edge gap in front of red block; centroid direction within ±45°.</x:v>
      </x:c>
      <x:c r="H52" s="25"/>
      <x:c r="I52" s="24" t="str">
        <x:f>'Evaluation Plan'!I52</x:f>
        <x:v>Language robustness</x:v>
      </x:c>
      <x:c r="J52" s="24" t="str">
        <x:f>'Evaluation Plan'!J52</x:f>
        <x:v>RP-CT-N02</x:v>
      </x:c>
      <x:c r="K52" s="24" t="str">
        <x:f>'Evaluation Plan'!K52</x:f>
        <x:v>front</x:v>
      </x:c>
      <x:c r="L52" s="24" t="str">
        <x:f>'Evaluation Plan'!L52</x:f>
        <x:v>Transfer paraphrase of concept/compositional transfer</x:v>
      </x:c>
      <x:c r="M52" s="24" t="str">
        <x:f>'Evaluation Plan'!M52</x:f>
        <x:v>green pen</x:v>
      </x:c>
      <x:c r="N52" s="24" t="str">
        <x:f>'Evaluation Plan'!N52</x:f>
        <x:v>red block</x:v>
      </x:c>
      <x:c r="O52" s="24" t="str">
        <x:f>'Evaluation Plan'!O52</x:f>
        <x:v>None</x:v>
      </x:c>
      <x:c r="P52" s="24" t="n">
        <x:f>'Evaluation Plan'!P52</x:f>
        <x:v>4</x:v>
      </x:c>
      <x:c r="Q52" s="24" t="str">
        <x:f>'Evaluation Plan'!Q52</x:f>
        <x:v>Reset P1 to its marked pose; preserve the exact scene and change only the wording of the transfer instruction.</x:v>
      </x:c>
      <x:c r="R52" s="25" t="str">
        <x:f>'Evaluation Plan'!R52</x:f>
        <x:v>Exact-scene paraphrase of the canonical compositional-transfer instruction.</x:v>
      </x:c>
      <x:c r="S52" s="25" t="str">
        <x:f>IF(ISBLANK('Evaluation Plan'!S52),"",'Evaluation Plan'!S52)</x:f>
      </x:c>
    </x:row>
    <x:row r="53" ht="72" customHeight="1">
      <x:c r="A53" s="24" t="str">
        <x:v>Not collected</x:v>
      </x:c>
      <x:c r="B53" s="24" t="n">
        <x:f>'Evaluation Plan'!B53</x:f>
        <x:v>51</x:v>
      </x:c>
      <x:c r="C53" s="25" t="str">
        <x:f>'Evaluation Plan'!C53</x:f>
        <x:v>Set the green pen down close to the red block.</x:v>
      </x:c>
      <x:c r="D53" s="25" t="str">
        <x:f>'Evaluation Plan'!D53</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3" s="24" t="n">
        <x:f>IF(ISBLANK('Evaluation Plan'!E53),"",'Evaluation Plan'!E53)</x:f>
        <x:v>49</x:v>
      </x:c>
      <x:c r="F53" s="24" t="str">
        <x:f>'Evaluation Plan'!F53</x:f>
        <x:v>202</x:v>
      </x:c>
      <x:c r="G53" s="24" t="str">
        <x:f>'Evaluation Plan'!G53</x:f>
        <x:v>green pen → 2–8 cm edge gap near red block; no directional sector required.</x:v>
      </x:c>
      <x:c r="H53" s="25"/>
      <x:c r="I53" s="24" t="str">
        <x:f>'Evaluation Plan'!I53</x:f>
        <x:v>Language robustness</x:v>
      </x:c>
      <x:c r="J53" s="24" t="str">
        <x:f>'Evaluation Plan'!J53</x:f>
        <x:v>RP-CT-N02</x:v>
      </x:c>
      <x:c r="K53" s="24" t="str">
        <x:f>'Evaluation Plan'!K53</x:f>
        <x:v>front</x:v>
      </x:c>
      <x:c r="L53" s="24" t="str">
        <x:f>'Evaluation Plan'!L53</x:f>
        <x:v>Matched-control paraphrase</x:v>
      </x:c>
      <x:c r="M53" s="24" t="str">
        <x:f>'Evaluation Plan'!M53</x:f>
        <x:v>green pen</x:v>
      </x:c>
      <x:c r="N53" s="24" t="str">
        <x:f>'Evaluation Plan'!N53</x:f>
        <x:v>red block</x:v>
      </x:c>
      <x:c r="O53" s="24" t="str">
        <x:f>'Evaluation Plan'!O53</x:f>
        <x:v>None</x:v>
      </x:c>
      <x:c r="P53" s="24" t="n">
        <x:f>'Evaluation Plan'!P53</x:f>
        <x:v>4</x:v>
      </x:c>
      <x:c r="Q53" s="24" t="str">
        <x:f>'Evaluation Plan'!Q53</x:f>
        <x:v>Reset P1 to its marked pose; preserve the exact scene and change only the wording of the matched-control instruction.</x:v>
      </x:c>
      <x:c r="R53" s="25" t="str">
        <x:f>'Evaluation Plan'!R53</x:f>
        <x:v>Exact-scene paraphrase of the training-supported control from episode 202.</x:v>
      </x:c>
      <x:c r="S53" s="25" t="str">
        <x:f>IF(ISBLANK('Evaluation Plan'!S53),"",'Evaluation Plan'!S53)</x:f>
      </x:c>
    </x:row>
    <x:row r="54" ht="72" customHeight="1">
      <x:c r="A54" s="9" t="str">
        <x:v>Not collected</x:v>
      </x:c>
      <x:c r="B54" s="9" t="n">
        <x:f>'Evaluation Plan'!B54</x:f>
        <x:v>52</x:v>
      </x:c>
      <x:c r="C54" s="10" t="str">
        <x:f>'Evaluation Plan'!C54</x:f>
        <x:v>Place the red block in front of the green pen.</x:v>
      </x:c>
      <x:c r="D54" s="10" t="str">
        <x:f>'Evaluation Plan'!D54</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4" s="9" t="str">
        <x:f>IF(ISBLANK('Evaluation Plan'!E54),"",'Evaluation Plan'!E54)</x:f>
      </x:c>
      <x:c r="F54" s="9" t="str">
        <x:f>'Evaluation Plan'!F54</x:f>
        <x:v>259</x:v>
      </x:c>
      <x:c r="G54" s="9" t="str">
        <x:f>'Evaluation Plan'!G54</x:f>
        <x:v>red block → 2–8 cm edge gap in front of green pen; centroid direction within ±45°.</x:v>
      </x:c>
      <x:c r="H54" s="10"/>
      <x:c r="I54" s="9" t="str">
        <x:f>'Evaluation Plan'!I54</x:f>
        <x:v>Concept/compositional transfer</x:v>
      </x:c>
      <x:c r="J54" s="9" t="str">
        <x:f>'Evaluation Plan'!J54</x:f>
        <x:v>RP-CT-N03</x:v>
      </x:c>
      <x:c r="K54" s="9" t="str">
        <x:f>'Evaluation Plan'!K54</x:f>
        <x:v>front</x:v>
      </x:c>
      <x:c r="L54" s="9" t="str">
        <x:f>'Evaluation Plan'!L54</x:f>
        <x:v>Neutral-axis independent compositional-transfer scene</x:v>
      </x:c>
      <x:c r="M54" s="9" t="str">
        <x:f>'Evaluation Plan'!M54</x:f>
        <x:v>red block</x:v>
      </x:c>
      <x:c r="N54" s="9" t="str">
        <x:f>'Evaluation Plan'!N54</x:f>
        <x:v>green pen</x:v>
      </x:c>
      <x:c r="O54" s="9" t="str">
        <x:f>'Evaluation Plan'!O54</x:f>
        <x:v>None</x:v>
      </x:c>
      <x:c r="P54" s="9" t="n">
        <x:f>'Evaluation Plan'!P54</x:f>
        <x:v>3</x:v>
      </x:c>
      <x:c r="Q54" s="9" t="str">
        <x:f>'Evaluation Plan'!Q54</x:f>
        <x:v>Build the listed neutral-axis scene and save the first frame.</x:v>
      </x:c>
      <x:c r="R54" s="10" t="str">
        <x:f>'Evaluation Plan'!R54</x:f>
        <x:v>Independent held-out-composition scene. Source episode 259 supplies target recognition/manipulation under the trained prompt “Put the red block beside the green pen.”. The orthogonal start removes the opposite-side shortcut.</x:v>
      </x:c>
      <x:c r="S54" s="10" t="str">
        <x:f>IF(ISBLANK('Evaluation Plan'!S54),"",'Evaluation Plan'!S54)</x:f>
      </x:c>
    </x:row>
    <x:row r="55" ht="72" customHeight="1">
      <x:c r="A55" s="24" t="str">
        <x:v>Not collected</x:v>
      </x:c>
      <x:c r="B55" s="24" t="n">
        <x:f>'Evaluation Plan'!B55</x:f>
        <x:v>53</x:v>
      </x:c>
      <x:c r="C55" s="25" t="str">
        <x:f>'Evaluation Plan'!C55</x:f>
        <x:v>Put the red block beside the green pen.</x:v>
      </x:c>
      <x:c r="D55" s="25" t="str">
        <x:f>'Evaluation Plan'!D55</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5" s="24" t="n">
        <x:f>IF(ISBLANK('Evaluation Plan'!E55),"",'Evaluation Plan'!E55)</x:f>
        <x:v>52</x:v>
      </x:c>
      <x:c r="F55" s="24" t="str">
        <x:f>'Evaluation Plan'!F55</x:f>
        <x:v>259</x:v>
      </x:c>
      <x:c r="G55" s="24" t="str">
        <x:f>'Evaluation Plan'!G55</x:f>
        <x:v>red block → 2–8 cm edge gap near green pen; no directional sector required.</x:v>
      </x:c>
      <x:c r="H55" s="25"/>
      <x:c r="I55" s="24" t="str">
        <x:f>'Evaluation Plan'!I55</x:f>
        <x:v>Matched manipulation control</x:v>
      </x:c>
      <x:c r="J55" s="24" t="str">
        <x:f>'Evaluation Plan'!J55</x:f>
        <x:v>RP-CT-N03</x:v>
      </x:c>
      <x:c r="K55" s="24" t="str">
        <x:f>'Evaluation Plan'!K55</x:f>
        <x:v>front</x:v>
      </x:c>
      <x:c r="L55" s="24" t="str">
        <x:f>'Evaluation Plan'!L55</x:f>
        <x:v>Exact-scene masked manipulation control</x:v>
      </x:c>
      <x:c r="M55" s="24" t="str">
        <x:f>'Evaluation Plan'!M55</x:f>
        <x:v>red block</x:v>
      </x:c>
      <x:c r="N55" s="24" t="str">
        <x:f>'Evaluation Plan'!N55</x:f>
        <x:v>green pen</x:v>
      </x:c>
      <x:c r="O55" s="24" t="str">
        <x:f>'Evaluation Plan'!O55</x:f>
        <x:v>None</x:v>
      </x:c>
      <x:c r="P55" s="24" t="n">
        <x:f>'Evaluation Plan'!P55</x:f>
        <x:v>3</x:v>
      </x:c>
      <x:c r="Q55" s="24" t="str">
        <x:f>'Evaluation Plan'!Q55</x:f>
        <x:v>Reset P1 to its marked pose; preserve the exact scene and use the trained control instruction.</x:v>
      </x:c>
      <x:c r="R55" s="25" t="str">
        <x:f>'Evaluation Plan'!R55</x:f>
        <x:v>Exact-scene control using the final training prompt from episode 259. The target, reference, distractors, camera, and robot start match the paired transfer row.</x:v>
      </x:c>
      <x:c r="S55" s="25" t="str">
        <x:f>IF(ISBLANK('Evaluation Plan'!S55),"",'Evaluation Plan'!S55)</x:f>
      </x:c>
    </x:row>
    <x:row r="56" ht="72" customHeight="1">
      <x:c r="A56" s="24" t="str">
        <x:v>Not collected</x:v>
      </x:c>
      <x:c r="B56" s="24" t="n">
        <x:f>'Evaluation Plan'!B56</x:f>
        <x:v>54</x:v>
      </x:c>
      <x:c r="C56" s="25" t="str">
        <x:f>'Evaluation Plan'!C56</x:f>
        <x:v>Position the red block on the robot-facing side of the green pen.</x:v>
      </x:c>
      <x:c r="D56" s="25" t="str">
        <x:f>'Evaluation Plan'!D56</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6" s="24" t="n">
        <x:f>IF(ISBLANK('Evaluation Plan'!E56),"",'Evaluation Plan'!E56)</x:f>
        <x:v>52</x:v>
      </x:c>
      <x:c r="F56" s="24" t="str">
        <x:f>'Evaluation Plan'!F56</x:f>
        <x:v>259</x:v>
      </x:c>
      <x:c r="G56" s="24" t="str">
        <x:f>'Evaluation Plan'!G56</x:f>
        <x:v>red block → 2–8 cm edge gap in front of green pen; centroid direction within ±45°.</x:v>
      </x:c>
      <x:c r="H56" s="25"/>
      <x:c r="I56" s="24" t="str">
        <x:f>'Evaluation Plan'!I56</x:f>
        <x:v>Language robustness</x:v>
      </x:c>
      <x:c r="J56" s="24" t="str">
        <x:f>'Evaluation Plan'!J56</x:f>
        <x:v>RP-CT-N03</x:v>
      </x:c>
      <x:c r="K56" s="24" t="str">
        <x:f>'Evaluation Plan'!K56</x:f>
        <x:v>front</x:v>
      </x:c>
      <x:c r="L56" s="24" t="str">
        <x:f>'Evaluation Plan'!L56</x:f>
        <x:v>Transfer paraphrase of concept/compositional transfer</x:v>
      </x:c>
      <x:c r="M56" s="24" t="str">
        <x:f>'Evaluation Plan'!M56</x:f>
        <x:v>red block</x:v>
      </x:c>
      <x:c r="N56" s="24" t="str">
        <x:f>'Evaluation Plan'!N56</x:f>
        <x:v>green pen</x:v>
      </x:c>
      <x:c r="O56" s="24" t="str">
        <x:f>'Evaluation Plan'!O56</x:f>
        <x:v>None</x:v>
      </x:c>
      <x:c r="P56" s="24" t="n">
        <x:f>'Evaluation Plan'!P56</x:f>
        <x:v>3</x:v>
      </x:c>
      <x:c r="Q56" s="24" t="str">
        <x:f>'Evaluation Plan'!Q56</x:f>
        <x:v>Reset P1 to its marked pose; preserve the exact scene and change only the wording of the transfer instruction.</x:v>
      </x:c>
      <x:c r="R56" s="25" t="str">
        <x:f>'Evaluation Plan'!R56</x:f>
        <x:v>Exact-scene paraphrase of the canonical compositional-transfer instruction.</x:v>
      </x:c>
      <x:c r="S56" s="25" t="str">
        <x:f>IF(ISBLANK('Evaluation Plan'!S56),"",'Evaluation Plan'!S56)</x:f>
      </x:c>
    </x:row>
    <x:row r="57" ht="72" customHeight="1">
      <x:c r="A57" s="24" t="str">
        <x:v>Not collected</x:v>
      </x:c>
      <x:c r="B57" s="24" t="n">
        <x:f>'Evaluation Plan'!B57</x:f>
        <x:v>55</x:v>
      </x:c>
      <x:c r="C57" s="25" t="str">
        <x:f>'Evaluation Plan'!C57</x:f>
        <x:v>Set the red block down close to the green pen.</x:v>
      </x:c>
      <x:c r="D57" s="25" t="str">
        <x:f>'Evaluation Plan'!D57</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7" s="24" t="n">
        <x:f>IF(ISBLANK('Evaluation Plan'!E57),"",'Evaluation Plan'!E57)</x:f>
        <x:v>53</x:v>
      </x:c>
      <x:c r="F57" s="24" t="str">
        <x:f>'Evaluation Plan'!F57</x:f>
        <x:v>259</x:v>
      </x:c>
      <x:c r="G57" s="24" t="str">
        <x:f>'Evaluation Plan'!G57</x:f>
        <x:v>red block → 2–8 cm edge gap near green pen; no directional sector required.</x:v>
      </x:c>
      <x:c r="H57" s="25"/>
      <x:c r="I57" s="24" t="str">
        <x:f>'Evaluation Plan'!I57</x:f>
        <x:v>Language robustness</x:v>
      </x:c>
      <x:c r="J57" s="24" t="str">
        <x:f>'Evaluation Plan'!J57</x:f>
        <x:v>RP-CT-N03</x:v>
      </x:c>
      <x:c r="K57" s="24" t="str">
        <x:f>'Evaluation Plan'!K57</x:f>
        <x:v>front</x:v>
      </x:c>
      <x:c r="L57" s="24" t="str">
        <x:f>'Evaluation Plan'!L57</x:f>
        <x:v>Matched-control paraphrase</x:v>
      </x:c>
      <x:c r="M57" s="24" t="str">
        <x:f>'Evaluation Plan'!M57</x:f>
        <x:v>red block</x:v>
      </x:c>
      <x:c r="N57" s="24" t="str">
        <x:f>'Evaluation Plan'!N57</x:f>
        <x:v>green pen</x:v>
      </x:c>
      <x:c r="O57" s="24" t="str">
        <x:f>'Evaluation Plan'!O57</x:f>
        <x:v>None</x:v>
      </x:c>
      <x:c r="P57" s="24" t="n">
        <x:f>'Evaluation Plan'!P57</x:f>
        <x:v>3</x:v>
      </x:c>
      <x:c r="Q57" s="24" t="str">
        <x:f>'Evaluation Plan'!Q57</x:f>
        <x:v>Reset P1 to its marked pose; preserve the exact scene and change only the wording of the matched-control instruction.</x:v>
      </x:c>
      <x:c r="R57" s="25" t="str">
        <x:f>'Evaluation Plan'!R57</x:f>
        <x:v>Exact-scene paraphrase of the training-supported control from episode 259.</x:v>
      </x:c>
      <x:c r="S57" s="25" t="str">
        <x:f>IF(ISBLANK('Evaluation Plan'!S57),"",'Evaluation Plan'!S57)</x:f>
      </x:c>
    </x:row>
    <x:row r="58" ht="72" customHeight="1">
      <x:c r="A58" s="9" t="str">
        <x:v>Not collected</x:v>
      </x:c>
      <x:c r="B58" s="9" t="n">
        <x:f>'Evaluation Plan'!B58</x:f>
        <x:v>56</x:v>
      </x:c>
      <x:c r="C58" s="10" t="str">
        <x:f>'Evaluation Plan'!C58</x:f>
        <x:v>Place the green pen behind the red block.</x:v>
      </x:c>
      <x:c r="D58" s="10" t="str">
        <x:f>'Evaluation Plan'!D58</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8" s="9" t="str">
        <x:f>IF(ISBLANK('Evaluation Plan'!E58),"",'Evaluation Plan'!E58)</x:f>
      </x:c>
      <x:c r="F58" s="9" t="str">
        <x:f>'Evaluation Plan'!F58</x:f>
        <x:v>216</x:v>
      </x:c>
      <x:c r="G58" s="9" t="str">
        <x:f>'Evaluation Plan'!G58</x:f>
        <x:v>green pen → 2–8 cm edge gap behind red block; centroid direction within ±45°.</x:v>
      </x:c>
      <x:c r="H58" s="10"/>
      <x:c r="I58" s="9" t="str">
        <x:f>'Evaluation Plan'!I58</x:f>
        <x:v>Concept/compositional transfer</x:v>
      </x:c>
      <x:c r="J58" s="9" t="str">
        <x:f>'Evaluation Plan'!J58</x:f>
        <x:v>RP-CT-N04</x:v>
      </x:c>
      <x:c r="K58" s="9" t="str">
        <x:f>'Evaluation Plan'!K58</x:f>
        <x:v>behind</x:v>
      </x:c>
      <x:c r="L58" s="9" t="str">
        <x:f>'Evaluation Plan'!L58</x:f>
        <x:v>Neutral-axis independent compositional-transfer scene</x:v>
      </x:c>
      <x:c r="M58" s="9" t="str">
        <x:f>'Evaluation Plan'!M58</x:f>
        <x:v>green pen</x:v>
      </x:c>
      <x:c r="N58" s="9" t="str">
        <x:f>'Evaluation Plan'!N58</x:f>
        <x:v>red block</x:v>
      </x:c>
      <x:c r="O58" s="9" t="str">
        <x:f>'Evaluation Plan'!O58</x:f>
        <x:v>None</x:v>
      </x:c>
      <x:c r="P58" s="9" t="n">
        <x:f>'Evaluation Plan'!P58</x:f>
        <x:v>4</x:v>
      </x:c>
      <x:c r="Q58" s="9" t="str">
        <x:f>'Evaluation Plan'!Q58</x:f>
        <x:v>Build the listed neutral-axis scene and save the first frame.</x:v>
      </x:c>
      <x:c r="R58" s="10" t="str">
        <x:f>'Evaluation Plan'!R58</x:f>
        <x:v>Independent held-out-composition scene. Source episode 216 supplies target recognition/manipulation under the trained prompt “Place the green pen next to the red block.”. The orthogonal start removes the opposite-side shortcut.</x:v>
      </x:c>
      <x:c r="S58" s="10" t="str">
        <x:f>IF(ISBLANK('Evaluation Plan'!S58),"",'Evaluation Plan'!S58)</x:f>
      </x:c>
    </x:row>
    <x:row r="59" ht="72" customHeight="1">
      <x:c r="A59" s="24" t="str">
        <x:v>Not collected</x:v>
      </x:c>
      <x:c r="B59" s="24" t="n">
        <x:f>'Evaluation Plan'!B59</x:f>
        <x:v>57</x:v>
      </x:c>
      <x:c r="C59" s="25" t="str">
        <x:f>'Evaluation Plan'!C59</x:f>
        <x:v>Place the green pen next to the red block.</x:v>
      </x:c>
      <x:c r="D59" s="25" t="str">
        <x:f>'Evaluation Plan'!D59</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9" s="24" t="n">
        <x:f>IF(ISBLANK('Evaluation Plan'!E59),"",'Evaluation Plan'!E59)</x:f>
        <x:v>56</x:v>
      </x:c>
      <x:c r="F59" s="24" t="str">
        <x:f>'Evaluation Plan'!F59</x:f>
        <x:v>216</x:v>
      </x:c>
      <x:c r="G59" s="24" t="str">
        <x:f>'Evaluation Plan'!G59</x:f>
        <x:v>green pen → 2–8 cm edge gap near red block; no directional sector required.</x:v>
      </x:c>
      <x:c r="H59" s="25"/>
      <x:c r="I59" s="24" t="str">
        <x:f>'Evaluation Plan'!I59</x:f>
        <x:v>Matched manipulation control</x:v>
      </x:c>
      <x:c r="J59" s="24" t="str">
        <x:f>'Evaluation Plan'!J59</x:f>
        <x:v>RP-CT-N04</x:v>
      </x:c>
      <x:c r="K59" s="24" t="str">
        <x:f>'Evaluation Plan'!K59</x:f>
        <x:v>behind</x:v>
      </x:c>
      <x:c r="L59" s="24" t="str">
        <x:f>'Evaluation Plan'!L59</x:f>
        <x:v>Exact-scene masked manipulation control</x:v>
      </x:c>
      <x:c r="M59" s="24" t="str">
        <x:f>'Evaluation Plan'!M59</x:f>
        <x:v>green pen</x:v>
      </x:c>
      <x:c r="N59" s="24" t="str">
        <x:f>'Evaluation Plan'!N59</x:f>
        <x:v>red block</x:v>
      </x:c>
      <x:c r="O59" s="24" t="str">
        <x:f>'Evaluation Plan'!O59</x:f>
        <x:v>None</x:v>
      </x:c>
      <x:c r="P59" s="24" t="n">
        <x:f>'Evaluation Plan'!P59</x:f>
        <x:v>4</x:v>
      </x:c>
      <x:c r="Q59" s="24" t="str">
        <x:f>'Evaluation Plan'!Q59</x:f>
        <x:v>Reset P1 to its marked pose; preserve the exact scene and use the trained control instruction.</x:v>
      </x:c>
      <x:c r="R59" s="25" t="str">
        <x:f>'Evaluation Plan'!R59</x:f>
        <x:v>Exact-scene control using the final training prompt from episode 216. The target, reference, distractors, camera, and robot start match the paired transfer row.</x:v>
      </x:c>
      <x:c r="S59" s="25" t="str">
        <x:f>IF(ISBLANK('Evaluation Plan'!S59),"",'Evaluation Plan'!S59)</x:f>
      </x:c>
    </x:row>
    <x:row r="60" ht="72" customHeight="1">
      <x:c r="A60" s="24" t="str">
        <x:v>Not collected</x:v>
      </x:c>
      <x:c r="B60" s="24" t="n">
        <x:f>'Evaluation Plan'!B60</x:f>
        <x:v>58</x:v>
      </x:c>
      <x:c r="C60" s="25" t="str">
        <x:f>'Evaluation Plan'!C60</x:f>
        <x:v>Position the green pen on the far side of the red block, away from the robot.</x:v>
      </x:c>
      <x:c r="D60" s="25" t="str">
        <x:f>'Evaluation Plan'!D60</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0" s="24" t="n">
        <x:f>IF(ISBLANK('Evaluation Plan'!E60),"",'Evaluation Plan'!E60)</x:f>
        <x:v>56</x:v>
      </x:c>
      <x:c r="F60" s="24" t="str">
        <x:f>'Evaluation Plan'!F60</x:f>
        <x:v>216</x:v>
      </x:c>
      <x:c r="G60" s="24" t="str">
        <x:f>'Evaluation Plan'!G60</x:f>
        <x:v>green pen → 2–8 cm edge gap behind red block; centroid direction within ±45°.</x:v>
      </x:c>
      <x:c r="H60" s="25"/>
      <x:c r="I60" s="24" t="str">
        <x:f>'Evaluation Plan'!I60</x:f>
        <x:v>Language robustness</x:v>
      </x:c>
      <x:c r="J60" s="24" t="str">
        <x:f>'Evaluation Plan'!J60</x:f>
        <x:v>RP-CT-N04</x:v>
      </x:c>
      <x:c r="K60" s="24" t="str">
        <x:f>'Evaluation Plan'!K60</x:f>
        <x:v>behind</x:v>
      </x:c>
      <x:c r="L60" s="24" t="str">
        <x:f>'Evaluation Plan'!L60</x:f>
        <x:v>Transfer paraphrase of concept/compositional transfer</x:v>
      </x:c>
      <x:c r="M60" s="24" t="str">
        <x:f>'Evaluation Plan'!M60</x:f>
        <x:v>green pen</x:v>
      </x:c>
      <x:c r="N60" s="24" t="str">
        <x:f>'Evaluation Plan'!N60</x:f>
        <x:v>red block</x:v>
      </x:c>
      <x:c r="O60" s="24" t="str">
        <x:f>'Evaluation Plan'!O60</x:f>
        <x:v>None</x:v>
      </x:c>
      <x:c r="P60" s="24" t="n">
        <x:f>'Evaluation Plan'!P60</x:f>
        <x:v>4</x:v>
      </x:c>
      <x:c r="Q60" s="24" t="str">
        <x:f>'Evaluation Plan'!Q60</x:f>
        <x:v>Reset P1 to its marked pose; preserve the exact scene and change only the wording of the transfer instruction.</x:v>
      </x:c>
      <x:c r="R60" s="25" t="str">
        <x:f>'Evaluation Plan'!R60</x:f>
        <x:v>Exact-scene paraphrase of the canonical compositional-transfer instruction.</x:v>
      </x:c>
      <x:c r="S60" s="25" t="str">
        <x:f>IF(ISBLANK('Evaluation Plan'!S60),"",'Evaluation Plan'!S60)</x:f>
      </x:c>
    </x:row>
    <x:row r="61" ht="72" customHeight="1">
      <x:c r="A61" s="24" t="str">
        <x:v>Not collected</x:v>
      </x:c>
      <x:c r="B61" s="24" t="n">
        <x:f>'Evaluation Plan'!B61</x:f>
        <x:v>59</x:v>
      </x:c>
      <x:c r="C61" s="25" t="str">
        <x:f>'Evaluation Plan'!C61</x:f>
        <x:v>Set the green pen down close to the red block.</x:v>
      </x:c>
      <x:c r="D61" s="25" t="str">
        <x:f>'Evaluation Plan'!D61</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1" s="24" t="n">
        <x:f>IF(ISBLANK('Evaluation Plan'!E61),"",'Evaluation Plan'!E61)</x:f>
        <x:v>57</x:v>
      </x:c>
      <x:c r="F61" s="24" t="str">
        <x:f>'Evaluation Plan'!F61</x:f>
        <x:v>216</x:v>
      </x:c>
      <x:c r="G61" s="24" t="str">
        <x:f>'Evaluation Plan'!G61</x:f>
        <x:v>green pen → 2–8 cm edge gap near red block; no directional sector required.</x:v>
      </x:c>
      <x:c r="H61" s="25"/>
      <x:c r="I61" s="24" t="str">
        <x:f>'Evaluation Plan'!I61</x:f>
        <x:v>Language robustness</x:v>
      </x:c>
      <x:c r="J61" s="24" t="str">
        <x:f>'Evaluation Plan'!J61</x:f>
        <x:v>RP-CT-N04</x:v>
      </x:c>
      <x:c r="K61" s="24" t="str">
        <x:f>'Evaluation Plan'!K61</x:f>
        <x:v>behind</x:v>
      </x:c>
      <x:c r="L61" s="24" t="str">
        <x:f>'Evaluation Plan'!L61</x:f>
        <x:v>Matched-control paraphrase</x:v>
      </x:c>
      <x:c r="M61" s="24" t="str">
        <x:f>'Evaluation Plan'!M61</x:f>
        <x:v>green pen</x:v>
      </x:c>
      <x:c r="N61" s="24" t="str">
        <x:f>'Evaluation Plan'!N61</x:f>
        <x:v>red block</x:v>
      </x:c>
      <x:c r="O61" s="24" t="str">
        <x:f>'Evaluation Plan'!O61</x:f>
        <x:v>None</x:v>
      </x:c>
      <x:c r="P61" s="24" t="n">
        <x:f>'Evaluation Plan'!P61</x:f>
        <x:v>4</x:v>
      </x:c>
      <x:c r="Q61" s="24" t="str">
        <x:f>'Evaluation Plan'!Q61</x:f>
        <x:v>Reset P1 to its marked pose; preserve the exact scene and change only the wording of the matched-control instruction.</x:v>
      </x:c>
      <x:c r="R61" s="25" t="str">
        <x:f>'Evaluation Plan'!R61</x:f>
        <x:v>Exact-scene paraphrase of the training-supported control from episode 216.</x:v>
      </x:c>
      <x:c r="S61" s="25" t="str">
        <x:f>IF(ISBLANK('Evaluation Plan'!S61),"",'Evaluation Plan'!S61)</x:f>
      </x:c>
    </x:row>
    <x:row r="62" ht="72" customHeight="1">
      <x:c r="A62" s="9" t="str">
        <x:v>Not collected</x:v>
      </x:c>
      <x:c r="B62" s="9" t="n">
        <x:f>'Evaluation Plan'!B62</x:f>
        <x:v>60</x:v>
      </x:c>
      <x:c r="C62" s="10" t="str">
        <x:f>'Evaluation Plan'!C62</x:f>
        <x:v>Place the red block behind the green pen.</x:v>
      </x:c>
      <x:c r="D62" s="10" t="str">
        <x:f>'Evaluation Plan'!D62</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2" s="9" t="str">
        <x:f>IF(ISBLANK('Evaluation Plan'!E62),"",'Evaluation Plan'!E62)</x:f>
      </x:c>
      <x:c r="F62" s="9" t="str">
        <x:f>'Evaluation Plan'!F62</x:f>
        <x:v>272</x:v>
      </x:c>
      <x:c r="G62" s="9" t="str">
        <x:f>'Evaluation Plan'!G62</x:f>
        <x:v>red block → 2–8 cm edge gap behind green pen; centroid direction within ±45°.</x:v>
      </x:c>
      <x:c r="H62" s="10"/>
      <x:c r="I62" s="9" t="str">
        <x:f>'Evaluation Plan'!I62</x:f>
        <x:v>Concept/compositional transfer</x:v>
      </x:c>
      <x:c r="J62" s="9" t="str">
        <x:f>'Evaluation Plan'!J62</x:f>
        <x:v>RP-CT-N05</x:v>
      </x:c>
      <x:c r="K62" s="9" t="str">
        <x:f>'Evaluation Plan'!K62</x:f>
        <x:v>behind</x:v>
      </x:c>
      <x:c r="L62" s="9" t="str">
        <x:f>'Evaluation Plan'!L62</x:f>
        <x:v>Neutral-axis independent compositional-transfer scene</x:v>
      </x:c>
      <x:c r="M62" s="9" t="str">
        <x:f>'Evaluation Plan'!M62</x:f>
        <x:v>red block</x:v>
      </x:c>
      <x:c r="N62" s="9" t="str">
        <x:f>'Evaluation Plan'!N62</x:f>
        <x:v>green pen</x:v>
      </x:c>
      <x:c r="O62" s="9" t="str">
        <x:f>'Evaluation Plan'!O62</x:f>
        <x:v>None</x:v>
      </x:c>
      <x:c r="P62" s="9" t="n">
        <x:f>'Evaluation Plan'!P62</x:f>
        <x:v>3</x:v>
      </x:c>
      <x:c r="Q62" s="9" t="str">
        <x:f>'Evaluation Plan'!Q62</x:f>
        <x:v>Build the listed neutral-axis scene and save the first frame.</x:v>
      </x:c>
      <x:c r="R62" s="10" t="str">
        <x:f>'Evaluation Plan'!R62</x:f>
        <x:v>Independent held-out-composition scene. Source episode 272 supplies target recognition/manipulation under the trained prompt “Move the red block near the green pen.”. The orthogonal start removes the opposite-side shortcut.</x:v>
      </x:c>
      <x:c r="S62" s="10" t="str">
        <x:f>IF(ISBLANK('Evaluation Plan'!S62),"",'Evaluation Plan'!S62)</x:f>
      </x:c>
    </x:row>
    <x:row r="63" ht="72" customHeight="1">
      <x:c r="A63" s="24" t="str">
        <x:v>Not collected</x:v>
      </x:c>
      <x:c r="B63" s="24" t="n">
        <x:f>'Evaluation Plan'!B63</x:f>
        <x:v>61</x:v>
      </x:c>
      <x:c r="C63" s="25" t="str">
        <x:f>'Evaluation Plan'!C63</x:f>
        <x:v>Move the red block near the green pen.</x:v>
      </x:c>
      <x:c r="D63" s="25" t="str">
        <x:f>'Evaluation Plan'!D63</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3" s="24" t="n">
        <x:f>IF(ISBLANK('Evaluation Plan'!E63),"",'Evaluation Plan'!E63)</x:f>
        <x:v>60</x:v>
      </x:c>
      <x:c r="F63" s="24" t="str">
        <x:f>'Evaluation Plan'!F63</x:f>
        <x:v>272</x:v>
      </x:c>
      <x:c r="G63" s="24" t="str">
        <x:f>'Evaluation Plan'!G63</x:f>
        <x:v>red block → 2–8 cm edge gap near green pen; no directional sector required.</x:v>
      </x:c>
      <x:c r="H63" s="25"/>
      <x:c r="I63" s="24" t="str">
        <x:f>'Evaluation Plan'!I63</x:f>
        <x:v>Matched manipulation control</x:v>
      </x:c>
      <x:c r="J63" s="24" t="str">
        <x:f>'Evaluation Plan'!J63</x:f>
        <x:v>RP-CT-N05</x:v>
      </x:c>
      <x:c r="K63" s="24" t="str">
        <x:f>'Evaluation Plan'!K63</x:f>
        <x:v>behind</x:v>
      </x:c>
      <x:c r="L63" s="24" t="str">
        <x:f>'Evaluation Plan'!L63</x:f>
        <x:v>Exact-scene masked manipulation control</x:v>
      </x:c>
      <x:c r="M63" s="24" t="str">
        <x:f>'Evaluation Plan'!M63</x:f>
        <x:v>red block</x:v>
      </x:c>
      <x:c r="N63" s="24" t="str">
        <x:f>'Evaluation Plan'!N63</x:f>
        <x:v>green pen</x:v>
      </x:c>
      <x:c r="O63" s="24" t="str">
        <x:f>'Evaluation Plan'!O63</x:f>
        <x:v>None</x:v>
      </x:c>
      <x:c r="P63" s="24" t="n">
        <x:f>'Evaluation Plan'!P63</x:f>
        <x:v>3</x:v>
      </x:c>
      <x:c r="Q63" s="24" t="str">
        <x:f>'Evaluation Plan'!Q63</x:f>
        <x:v>Reset P1 to its marked pose; preserve the exact scene and use the trained control instruction.</x:v>
      </x:c>
      <x:c r="R63" s="25" t="str">
        <x:f>'Evaluation Plan'!R63</x:f>
        <x:v>Exact-scene control using the final training prompt from episode 272. The target, reference, distractors, camera, and robot start match the paired transfer row.</x:v>
      </x:c>
      <x:c r="S63" s="25" t="str">
        <x:f>IF(ISBLANK('Evaluation Plan'!S63),"",'Evaluation Plan'!S63)</x:f>
      </x:c>
    </x:row>
    <x:row r="64" ht="72" customHeight="1">
      <x:c r="A64" s="9" t="str">
        <x:v>Not collected</x:v>
      </x:c>
      <x:c r="B64" s="9" t="n">
        <x:f>'Evaluation Plan'!B64</x:f>
        <x:v>62</x:v>
      </x:c>
      <x:c r="C64" s="10" t="str">
        <x:f>'Evaluation Plan'!C64</x:f>
        <x:v>Position the red block on the far side of the green pen, away from the robot.</x:v>
      </x:c>
      <x:c r="D64" s="10" t="str">
        <x:f>'Evaluation Plan'!D64</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4" s="9" t="n">
        <x:f>IF(ISBLANK('Evaluation Plan'!E64),"",'Evaluation Plan'!E64)</x:f>
        <x:v>60</x:v>
      </x:c>
      <x:c r="F64" s="9" t="str">
        <x:f>'Evaluation Plan'!F64</x:f>
        <x:v>272</x:v>
      </x:c>
      <x:c r="G64" s="9" t="str">
        <x:f>'Evaluation Plan'!G64</x:f>
        <x:v>red block → 2–8 cm edge gap behind green pen; centroid direction within ±45°.</x:v>
      </x:c>
      <x:c r="H64" s="10"/>
      <x:c r="I64" s="9" t="str">
        <x:f>'Evaluation Plan'!I64</x:f>
        <x:v>Language robustness</x:v>
      </x:c>
      <x:c r="J64" s="9" t="str">
        <x:f>'Evaluation Plan'!J64</x:f>
        <x:v>RP-CT-N05</x:v>
      </x:c>
      <x:c r="K64" s="9" t="str">
        <x:f>'Evaluation Plan'!K64</x:f>
        <x:v>behind</x:v>
      </x:c>
      <x:c r="L64" s="9" t="str">
        <x:f>'Evaluation Plan'!L64</x:f>
        <x:v>Transfer paraphrase of concept/compositional transfer</x:v>
      </x:c>
      <x:c r="M64" s="9" t="str">
        <x:f>'Evaluation Plan'!M64</x:f>
        <x:v>red block</x:v>
      </x:c>
      <x:c r="N64" s="9" t="str">
        <x:f>'Evaluation Plan'!N64</x:f>
        <x:v>green pen</x:v>
      </x:c>
      <x:c r="O64" s="9" t="str">
        <x:f>'Evaluation Plan'!O64</x:f>
        <x:v>None</x:v>
      </x:c>
      <x:c r="P64" s="9" t="n">
        <x:f>'Evaluation Plan'!P64</x:f>
        <x:v>3</x:v>
      </x:c>
      <x:c r="Q64" s="9" t="str">
        <x:f>'Evaluation Plan'!Q64</x:f>
        <x:v>Reset P1 to its marked pose; preserve the exact scene and change only the wording of the transfer instruction.</x:v>
      </x:c>
      <x:c r="R64" s="10" t="str">
        <x:f>'Evaluation Plan'!R64</x:f>
        <x:v>Exact-scene paraphrase of the canonical compositional-transfer instruction.</x:v>
      </x:c>
      <x:c r="S64" s="10" t="str">
        <x:f>IF(ISBLANK('Evaluation Plan'!S64),"",'Evaluation Plan'!S64)</x:f>
      </x:c>
    </x:row>
    <x:row r="65" ht="72" customHeight="1">
      <x:c r="A65" s="24" t="str">
        <x:v>Not collected</x:v>
      </x:c>
      <x:c r="B65" s="24" t="n">
        <x:f>'Evaluation Plan'!B65</x:f>
        <x:v>63</x:v>
      </x:c>
      <x:c r="C65" s="25" t="str">
        <x:f>'Evaluation Plan'!C65</x:f>
        <x:v>Set the red block down close to the green pen.</x:v>
      </x:c>
      <x:c r="D65" s="25" t="str">
        <x:f>'Evaluation Plan'!D65</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5" s="24" t="n">
        <x:f>IF(ISBLANK('Evaluation Plan'!E65),"",'Evaluation Plan'!E65)</x:f>
        <x:v>61</x:v>
      </x:c>
      <x:c r="F65" s="24" t="str">
        <x:f>'Evaluation Plan'!F65</x:f>
        <x:v>272</x:v>
      </x:c>
      <x:c r="G65" s="24" t="str">
        <x:f>'Evaluation Plan'!G65</x:f>
        <x:v>red block → 2–8 cm edge gap near green pen; no directional sector required.</x:v>
      </x:c>
      <x:c r="H65" s="25"/>
      <x:c r="I65" s="24" t="str">
        <x:f>'Evaluation Plan'!I65</x:f>
        <x:v>Language robustness</x:v>
      </x:c>
      <x:c r="J65" s="24" t="str">
        <x:f>'Evaluation Plan'!J65</x:f>
        <x:v>RP-CT-N05</x:v>
      </x:c>
      <x:c r="K65" s="24" t="str">
        <x:f>'Evaluation Plan'!K65</x:f>
        <x:v>behind</x:v>
      </x:c>
      <x:c r="L65" s="24" t="str">
        <x:f>'Evaluation Plan'!L65</x:f>
        <x:v>Matched-control paraphrase</x:v>
      </x:c>
      <x:c r="M65" s="24" t="str">
        <x:f>'Evaluation Plan'!M65</x:f>
        <x:v>red block</x:v>
      </x:c>
      <x:c r="N65" s="24" t="str">
        <x:f>'Evaluation Plan'!N65</x:f>
        <x:v>green pen</x:v>
      </x:c>
      <x:c r="O65" s="24" t="str">
        <x:f>'Evaluation Plan'!O65</x:f>
        <x:v>None</x:v>
      </x:c>
      <x:c r="P65" s="24" t="n">
        <x:f>'Evaluation Plan'!P65</x:f>
        <x:v>3</x:v>
      </x:c>
      <x:c r="Q65" s="24" t="str">
        <x:f>'Evaluation Plan'!Q65</x:f>
        <x:v>Reset P1 to its marked pose; preserve the exact scene and change only the wording of the matched-control instruction.</x:v>
      </x:c>
      <x:c r="R65" s="25" t="str">
        <x:f>'Evaluation Plan'!R65</x:f>
        <x:v>Exact-scene paraphrase of the training-supported control from episode 272.</x:v>
      </x:c>
      <x:c r="S65" s="25" t="str">
        <x:f>IF(ISBLANK('Evaluation Plan'!S65),"",'Evaluation Plan'!S65)</x:f>
      </x:c>
    </x:row>
    <x:row r="66" ht="72" customHeight="1">
      <x:c r="A66" s="9" t="str">
        <x:v>Not collected</x:v>
      </x:c>
      <x:c r="B66" s="9" t="n">
        <x:f>'Evaluation Plan'!B66</x:f>
        <x:v>64</x:v>
      </x:c>
      <x:c r="C66" s="10" t="str">
        <x:f>'Evaluation Plan'!C66</x:f>
        <x:v>Place the red block behind the green pen.</x:v>
      </x:c>
      <x:c r="D66" s="10" t="str">
        <x:f>'Evaluation Plan'!D66</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6" s="9" t="str">
        <x:f>IF(ISBLANK('Evaluation Plan'!E66),"",'Evaluation Plan'!E66)</x:f>
      </x:c>
      <x:c r="F66" s="9" t="str">
        <x:f>'Evaluation Plan'!F66</x:f>
        <x:v>273</x:v>
      </x:c>
      <x:c r="G66" s="9" t="str">
        <x:f>'Evaluation Plan'!G66</x:f>
        <x:v>red block → 2–8 cm edge gap behind green pen; centroid direction within ±45°.</x:v>
      </x:c>
      <x:c r="H66" s="10"/>
      <x:c r="I66" s="9" t="str">
        <x:f>'Evaluation Plan'!I66</x:f>
        <x:v>Concept/compositional transfer</x:v>
      </x:c>
      <x:c r="J66" s="9" t="str">
        <x:f>'Evaluation Plan'!J66</x:f>
        <x:v>RP-CT-N06</x:v>
      </x:c>
      <x:c r="K66" s="9" t="str">
        <x:f>'Evaluation Plan'!K66</x:f>
        <x:v>behind</x:v>
      </x:c>
      <x:c r="L66" s="9" t="str">
        <x:f>'Evaluation Plan'!L66</x:f>
        <x:v>Neutral-axis independent compositional-transfer scene</x:v>
      </x:c>
      <x:c r="M66" s="9" t="str">
        <x:f>'Evaluation Plan'!M66</x:f>
        <x:v>red block</x:v>
      </x:c>
      <x:c r="N66" s="9" t="str">
        <x:f>'Evaluation Plan'!N66</x:f>
        <x:v>green pen</x:v>
      </x:c>
      <x:c r="O66" s="9" t="str">
        <x:f>'Evaluation Plan'!O66</x:f>
        <x:v>None</x:v>
      </x:c>
      <x:c r="P66" s="9" t="n">
        <x:f>'Evaluation Plan'!P66</x:f>
        <x:v>4</x:v>
      </x:c>
      <x:c r="Q66" s="9" t="str">
        <x:f>'Evaluation Plan'!Q66</x:f>
        <x:v>Build the listed neutral-axis scene and save the first frame.</x:v>
      </x:c>
      <x:c r="R66" s="10" t="str">
        <x:f>'Evaluation Plan'!R66</x:f>
        <x:v>Independent held-out-composition scene. Source episode 273 supplies target recognition/manipulation under the trained prompt “Place the red block next to the green pen.”. The orthogonal start removes the opposite-side shortcut.</x:v>
      </x:c>
      <x:c r="S66" s="10" t="str">
        <x:f>IF(ISBLANK('Evaluation Plan'!S66),"",'Evaluation Plan'!S66)</x:f>
      </x:c>
    </x:row>
    <x:row r="67" ht="72" customHeight="1">
      <x:c r="A67" s="24" t="str">
        <x:v>Not collected</x:v>
      </x:c>
      <x:c r="B67" s="24" t="n">
        <x:f>'Evaluation Plan'!B67</x:f>
        <x:v>65</x:v>
      </x:c>
      <x:c r="C67" s="25" t="str">
        <x:f>'Evaluation Plan'!C67</x:f>
        <x:v>Place the red block next to the green pen.</x:v>
      </x:c>
      <x:c r="D67" s="25" t="str">
        <x:f>'Evaluation Plan'!D67</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7" s="24" t="n">
        <x:f>IF(ISBLANK('Evaluation Plan'!E67),"",'Evaluation Plan'!E67)</x:f>
        <x:v>64</x:v>
      </x:c>
      <x:c r="F67" s="24" t="str">
        <x:f>'Evaluation Plan'!F67</x:f>
        <x:v>273</x:v>
      </x:c>
      <x:c r="G67" s="24" t="str">
        <x:f>'Evaluation Plan'!G67</x:f>
        <x:v>red block → 2–8 cm edge gap near green pen; no directional sector required.</x:v>
      </x:c>
      <x:c r="H67" s="25"/>
      <x:c r="I67" s="24" t="str">
        <x:f>'Evaluation Plan'!I67</x:f>
        <x:v>Matched manipulation control</x:v>
      </x:c>
      <x:c r="J67" s="24" t="str">
        <x:f>'Evaluation Plan'!J67</x:f>
        <x:v>RP-CT-N06</x:v>
      </x:c>
      <x:c r="K67" s="24" t="str">
        <x:f>'Evaluation Plan'!K67</x:f>
        <x:v>behind</x:v>
      </x:c>
      <x:c r="L67" s="24" t="str">
        <x:f>'Evaluation Plan'!L67</x:f>
        <x:v>Exact-scene masked manipulation control</x:v>
      </x:c>
      <x:c r="M67" s="24" t="str">
        <x:f>'Evaluation Plan'!M67</x:f>
        <x:v>red block</x:v>
      </x:c>
      <x:c r="N67" s="24" t="str">
        <x:f>'Evaluation Plan'!N67</x:f>
        <x:v>green pen</x:v>
      </x:c>
      <x:c r="O67" s="24" t="str">
        <x:f>'Evaluation Plan'!O67</x:f>
        <x:v>None</x:v>
      </x:c>
      <x:c r="P67" s="24" t="n">
        <x:f>'Evaluation Plan'!P67</x:f>
        <x:v>4</x:v>
      </x:c>
      <x:c r="Q67" s="24" t="str">
        <x:f>'Evaluation Plan'!Q67</x:f>
        <x:v>Reset P1 to its marked pose; preserve the exact scene and use the trained control instruction.</x:v>
      </x:c>
      <x:c r="R67" s="25" t="str">
        <x:f>'Evaluation Plan'!R67</x:f>
        <x:v>Exact-scene control using the final training prompt from episode 273. The target, reference, distractors, camera, and robot start match the paired transfer row.</x:v>
      </x:c>
      <x:c r="S67" s="25" t="str">
        <x:f>IF(ISBLANK('Evaluation Plan'!S67),"",'Evaluation Plan'!S67)</x:f>
      </x:c>
    </x:row>
    <x:row r="68" ht="72" customHeight="1">
      <x:c r="A68" s="9" t="str">
        <x:v>Not collected</x:v>
      </x:c>
      <x:c r="B68" s="9" t="n">
        <x:f>'Evaluation Plan'!B68</x:f>
        <x:v>66</x:v>
      </x:c>
      <x:c r="C68" s="10" t="str">
        <x:f>'Evaluation Plan'!C68</x:f>
        <x:v>Position the red block on the far side of the green pen, away from the robot.</x:v>
      </x:c>
      <x:c r="D68" s="10" t="str">
        <x:f>'Evaluation Plan'!D68</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8" s="9" t="n">
        <x:f>IF(ISBLANK('Evaluation Plan'!E68),"",'Evaluation Plan'!E68)</x:f>
        <x:v>64</x:v>
      </x:c>
      <x:c r="F68" s="9" t="str">
        <x:f>'Evaluation Plan'!F68</x:f>
        <x:v>273</x:v>
      </x:c>
      <x:c r="G68" s="9" t="str">
        <x:f>'Evaluation Plan'!G68</x:f>
        <x:v>red block → 2–8 cm edge gap behind green pen; centroid direction within ±45°.</x:v>
      </x:c>
      <x:c r="H68" s="10"/>
      <x:c r="I68" s="9" t="str">
        <x:f>'Evaluation Plan'!I68</x:f>
        <x:v>Language robustness</x:v>
      </x:c>
      <x:c r="J68" s="9" t="str">
        <x:f>'Evaluation Plan'!J68</x:f>
        <x:v>RP-CT-N06</x:v>
      </x:c>
      <x:c r="K68" s="9" t="str">
        <x:f>'Evaluation Plan'!K68</x:f>
        <x:v>behind</x:v>
      </x:c>
      <x:c r="L68" s="9" t="str">
        <x:f>'Evaluation Plan'!L68</x:f>
        <x:v>Transfer paraphrase of concept/compositional transfer</x:v>
      </x:c>
      <x:c r="M68" s="9" t="str">
        <x:f>'Evaluation Plan'!M68</x:f>
        <x:v>red block</x:v>
      </x:c>
      <x:c r="N68" s="9" t="str">
        <x:f>'Evaluation Plan'!N68</x:f>
        <x:v>green pen</x:v>
      </x:c>
      <x:c r="O68" s="9" t="str">
        <x:f>'Evaluation Plan'!O68</x:f>
        <x:v>None</x:v>
      </x:c>
      <x:c r="P68" s="9" t="n">
        <x:f>'Evaluation Plan'!P68</x:f>
        <x:v>4</x:v>
      </x:c>
      <x:c r="Q68" s="9" t="str">
        <x:f>'Evaluation Plan'!Q68</x:f>
        <x:v>Reset P1 to its marked pose; preserve the exact scene and change only the wording of the transfer instruction.</x:v>
      </x:c>
      <x:c r="R68" s="10" t="str">
        <x:f>'Evaluation Plan'!R68</x:f>
        <x:v>Exact-scene paraphrase of the canonical compositional-transfer instruction.</x:v>
      </x:c>
      <x:c r="S68" s="10" t="str">
        <x:f>IF(ISBLANK('Evaluation Plan'!S68),"",'Evaluation Plan'!S68)</x:f>
      </x:c>
    </x:row>
    <x:row r="69" ht="72" customHeight="1">
      <x:c r="A69" s="24" t="str">
        <x:v>Not collected</x:v>
      </x:c>
      <x:c r="B69" s="24" t="n">
        <x:f>'Evaluation Plan'!B69</x:f>
        <x:v>67</x:v>
      </x:c>
      <x:c r="C69" s="25" t="str">
        <x:f>'Evaluation Plan'!C69</x:f>
        <x:v>Set the red block down close to the green pen.</x:v>
      </x:c>
      <x:c r="D69" s="25" t="str">
        <x:f>'Evaluation Plan'!D69</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9" s="24" t="n">
        <x:f>IF(ISBLANK('Evaluation Plan'!E69),"",'Evaluation Plan'!E69)</x:f>
        <x:v>65</x:v>
      </x:c>
      <x:c r="F69" s="24" t="str">
        <x:f>'Evaluation Plan'!F69</x:f>
        <x:v>273</x:v>
      </x:c>
      <x:c r="G69" s="24" t="str">
        <x:f>'Evaluation Plan'!G69</x:f>
        <x:v>red block → 2–8 cm edge gap near green pen; no directional sector required.</x:v>
      </x:c>
      <x:c r="H69" s="25"/>
      <x:c r="I69" s="24" t="str">
        <x:f>'Evaluation Plan'!I69</x:f>
        <x:v>Language robustness</x:v>
      </x:c>
      <x:c r="J69" s="24" t="str">
        <x:f>'Evaluation Plan'!J69</x:f>
        <x:v>RP-CT-N06</x:v>
      </x:c>
      <x:c r="K69" s="24" t="str">
        <x:f>'Evaluation Plan'!K69</x:f>
        <x:v>behind</x:v>
      </x:c>
      <x:c r="L69" s="24" t="str">
        <x:f>'Evaluation Plan'!L69</x:f>
        <x:v>Matched-control paraphrase</x:v>
      </x:c>
      <x:c r="M69" s="24" t="str">
        <x:f>'Evaluation Plan'!M69</x:f>
        <x:v>red block</x:v>
      </x:c>
      <x:c r="N69" s="24" t="str">
        <x:f>'Evaluation Plan'!N69</x:f>
        <x:v>green pen</x:v>
      </x:c>
      <x:c r="O69" s="24" t="str">
        <x:f>'Evaluation Plan'!O69</x:f>
        <x:v>None</x:v>
      </x:c>
      <x:c r="P69" s="24" t="n">
        <x:f>'Evaluation Plan'!P69</x:f>
        <x:v>4</x:v>
      </x:c>
      <x:c r="Q69" s="24" t="str">
        <x:f>'Evaluation Plan'!Q69</x:f>
        <x:v>Reset P1 to its marked pose; preserve the exact scene and change only the wording of the matched-control instruction.</x:v>
      </x:c>
      <x:c r="R69" s="25" t="str">
        <x:f>'Evaluation Plan'!R69</x:f>
        <x:v>Exact-scene paraphrase of the training-supported control from episode 273.</x:v>
      </x:c>
      <x:c r="S69" s="25" t="str">
        <x:f>IF(ISBLANK('Evaluation Plan'!S69),"",'Evaluation Plan'!S69)</x:f>
      </x:c>
    </x:row>
    <x:row r="70" ht="72" customHeight="1">
      <x:c r="A70" s="9" t="str">
        <x:v>Not collected</x:v>
      </x:c>
      <x:c r="B70" s="9" t="n">
        <x:f>'Evaluation Plan'!B70</x:f>
        <x:v>68</x:v>
      </x:c>
      <x:c r="C70" s="10" t="str">
        <x:f>'Evaluation Plan'!C70</x:f>
        <x:v>Place the green pen to the left of the red block.</x:v>
      </x:c>
      <x:c r="D70" s="10" t="str">
        <x:f>'Evaluation Plan'!D70</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0" s="9" t="str">
        <x:f>IF(ISBLANK('Evaluation Plan'!E70),"",'Evaluation Plan'!E70)</x:f>
      </x:c>
      <x:c r="F70" s="9" t="str">
        <x:f>'Evaluation Plan'!F70</x:f>
        <x:v>228</x:v>
      </x:c>
      <x:c r="G70" s="9" t="str">
        <x:f>'Evaluation Plan'!G70</x:f>
        <x:v>green pen → 2–8 cm edge gap to the left of red block; centroid direction within ±45°.</x:v>
      </x:c>
      <x:c r="H70" s="10"/>
      <x:c r="I70" s="9" t="str">
        <x:f>'Evaluation Plan'!I70</x:f>
        <x:v>Concept/compositional transfer</x:v>
      </x:c>
      <x:c r="J70" s="9" t="str">
        <x:f>'Evaluation Plan'!J70</x:f>
        <x:v>RP-CT-N07</x:v>
      </x:c>
      <x:c r="K70" s="9" t="str">
        <x:f>'Evaluation Plan'!K70</x:f>
        <x:v>left</x:v>
      </x:c>
      <x:c r="L70" s="9" t="str">
        <x:f>'Evaluation Plan'!L70</x:f>
        <x:v>Neutral-axis independent compositional-transfer scene</x:v>
      </x:c>
      <x:c r="M70" s="9" t="str">
        <x:f>'Evaluation Plan'!M70</x:f>
        <x:v>green pen</x:v>
      </x:c>
      <x:c r="N70" s="9" t="str">
        <x:f>'Evaluation Plan'!N70</x:f>
        <x:v>red block</x:v>
      </x:c>
      <x:c r="O70" s="9" t="str">
        <x:f>'Evaluation Plan'!O70</x:f>
        <x:v>None</x:v>
      </x:c>
      <x:c r="P70" s="9" t="n">
        <x:f>'Evaluation Plan'!P70</x:f>
        <x:v>3</x:v>
      </x:c>
      <x:c r="Q70" s="9" t="str">
        <x:f>'Evaluation Plan'!Q70</x:f>
        <x:v>Build the listed neutral-axis scene and save the first frame.</x:v>
      </x:c>
      <x:c r="R70" s="10" t="str">
        <x:f>'Evaluation Plan'!R70</x:f>
        <x:v>Independent held-out-composition scene. Source episode 228 supplies target recognition/manipulation under the trained prompt “Place the green pen next to the red block.”. The orthogonal start removes the opposite-side shortcut.</x:v>
      </x:c>
      <x:c r="S70" s="10" t="str">
        <x:f>IF(ISBLANK('Evaluation Plan'!S70),"",'Evaluation Plan'!S70)</x:f>
      </x:c>
    </x:row>
    <x:row r="71" ht="72" customHeight="1">
      <x:c r="A71" s="24" t="str">
        <x:v>Not collected</x:v>
      </x:c>
      <x:c r="B71" s="24" t="n">
        <x:f>'Evaluation Plan'!B71</x:f>
        <x:v>69</x:v>
      </x:c>
      <x:c r="C71" s="25" t="str">
        <x:f>'Evaluation Plan'!C71</x:f>
        <x:v>Place the green pen next to the red block.</x:v>
      </x:c>
      <x:c r="D71" s="25" t="str">
        <x:f>'Evaluation Plan'!D71</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1" s="24" t="n">
        <x:f>IF(ISBLANK('Evaluation Plan'!E71),"",'Evaluation Plan'!E71)</x:f>
        <x:v>68</x:v>
      </x:c>
      <x:c r="F71" s="24" t="str">
        <x:f>'Evaluation Plan'!F71</x:f>
        <x:v>228</x:v>
      </x:c>
      <x:c r="G71" s="24" t="str">
        <x:f>'Evaluation Plan'!G71</x:f>
        <x:v>green pen → 2–8 cm edge gap near red block; no directional sector required.</x:v>
      </x:c>
      <x:c r="H71" s="25"/>
      <x:c r="I71" s="24" t="str">
        <x:f>'Evaluation Plan'!I71</x:f>
        <x:v>Matched manipulation control</x:v>
      </x:c>
      <x:c r="J71" s="24" t="str">
        <x:f>'Evaluation Plan'!J71</x:f>
        <x:v>RP-CT-N07</x:v>
      </x:c>
      <x:c r="K71" s="24" t="str">
        <x:f>'Evaluation Plan'!K71</x:f>
        <x:v>left</x:v>
      </x:c>
      <x:c r="L71" s="24" t="str">
        <x:f>'Evaluation Plan'!L71</x:f>
        <x:v>Exact-scene masked manipulation control</x:v>
      </x:c>
      <x:c r="M71" s="24" t="str">
        <x:f>'Evaluation Plan'!M71</x:f>
        <x:v>green pen</x:v>
      </x:c>
      <x:c r="N71" s="24" t="str">
        <x:f>'Evaluation Plan'!N71</x:f>
        <x:v>red block</x:v>
      </x:c>
      <x:c r="O71" s="24" t="str">
        <x:f>'Evaluation Plan'!O71</x:f>
        <x:v>None</x:v>
      </x:c>
      <x:c r="P71" s="24" t="n">
        <x:f>'Evaluation Plan'!P71</x:f>
        <x:v>3</x:v>
      </x:c>
      <x:c r="Q71" s="24" t="str">
        <x:f>'Evaluation Plan'!Q71</x:f>
        <x:v>Reset P1 to its marked pose; preserve the exact scene and use the trained control instruction.</x:v>
      </x:c>
      <x:c r="R71" s="25" t="str">
        <x:f>'Evaluation Plan'!R71</x:f>
        <x:v>Exact-scene control using the final training prompt from episode 228. The target, reference, distractors, camera, and robot start match the paired transfer row.</x:v>
      </x:c>
      <x:c r="S71" s="25" t="str">
        <x:f>IF(ISBLANK('Evaluation Plan'!S71),"",'Evaluation Plan'!S71)</x:f>
      </x:c>
    </x:row>
    <x:row r="72" ht="72" customHeight="1">
      <x:c r="A72" s="9" t="str">
        <x:v>Not collected</x:v>
      </x:c>
      <x:c r="B72" s="9" t="n">
        <x:f>'Evaluation Plan'!B72</x:f>
        <x:v>70</x:v>
      </x:c>
      <x:c r="C72" s="10" t="str">
        <x:f>'Evaluation Plan'!C72</x:f>
        <x:v>Position the green pen on the robot's left-hand side of the red block.</x:v>
      </x:c>
      <x:c r="D72" s="10" t="str">
        <x:f>'Evaluation Plan'!D72</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2" s="9" t="n">
        <x:f>IF(ISBLANK('Evaluation Plan'!E72),"",'Evaluation Plan'!E72)</x:f>
        <x:v>68</x:v>
      </x:c>
      <x:c r="F72" s="9" t="str">
        <x:f>'Evaluation Plan'!F72</x:f>
        <x:v>228</x:v>
      </x:c>
      <x:c r="G72" s="9" t="str">
        <x:f>'Evaluation Plan'!G72</x:f>
        <x:v>green pen → 2–8 cm edge gap to the left of red block; centroid direction within ±45°.</x:v>
      </x:c>
      <x:c r="H72" s="10"/>
      <x:c r="I72" s="9" t="str">
        <x:f>'Evaluation Plan'!I72</x:f>
        <x:v>Language robustness</x:v>
      </x:c>
      <x:c r="J72" s="9" t="str">
        <x:f>'Evaluation Plan'!J72</x:f>
        <x:v>RP-CT-N07</x:v>
      </x:c>
      <x:c r="K72" s="9" t="str">
        <x:f>'Evaluation Plan'!K72</x:f>
        <x:v>left</x:v>
      </x:c>
      <x:c r="L72" s="9" t="str">
        <x:f>'Evaluation Plan'!L72</x:f>
        <x:v>Transfer paraphrase of concept/compositional transfer</x:v>
      </x:c>
      <x:c r="M72" s="9" t="str">
        <x:f>'Evaluation Plan'!M72</x:f>
        <x:v>green pen</x:v>
      </x:c>
      <x:c r="N72" s="9" t="str">
        <x:f>'Evaluation Plan'!N72</x:f>
        <x:v>red block</x:v>
      </x:c>
      <x:c r="O72" s="9" t="str">
        <x:f>'Evaluation Plan'!O72</x:f>
        <x:v>None</x:v>
      </x:c>
      <x:c r="P72" s="9" t="n">
        <x:f>'Evaluation Plan'!P72</x:f>
        <x:v>3</x:v>
      </x:c>
      <x:c r="Q72" s="9" t="str">
        <x:f>'Evaluation Plan'!Q72</x:f>
        <x:v>Reset P1 to its marked pose; preserve the exact scene and change only the wording of the transfer instruction.</x:v>
      </x:c>
      <x:c r="R72" s="10" t="str">
        <x:f>'Evaluation Plan'!R72</x:f>
        <x:v>Exact-scene paraphrase of the canonical compositional-transfer instruction.</x:v>
      </x:c>
      <x:c r="S72" s="10" t="str">
        <x:f>IF(ISBLANK('Evaluation Plan'!S72),"",'Evaluation Plan'!S72)</x:f>
      </x:c>
    </x:row>
    <x:row r="73" ht="72" customHeight="1">
      <x:c r="A73" s="24" t="str">
        <x:v>Not collected</x:v>
      </x:c>
      <x:c r="B73" s="24" t="n">
        <x:f>'Evaluation Plan'!B73</x:f>
        <x:v>71</x:v>
      </x:c>
      <x:c r="C73" s="25" t="str">
        <x:f>'Evaluation Plan'!C73</x:f>
        <x:v>Set the green pen down close to the red block.</x:v>
      </x:c>
      <x:c r="D73" s="25" t="str">
        <x:f>'Evaluation Plan'!D73</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3" s="24" t="n">
        <x:f>IF(ISBLANK('Evaluation Plan'!E73),"",'Evaluation Plan'!E73)</x:f>
        <x:v>69</x:v>
      </x:c>
      <x:c r="F73" s="24" t="str">
        <x:f>'Evaluation Plan'!F73</x:f>
        <x:v>228</x:v>
      </x:c>
      <x:c r="G73" s="24" t="str">
        <x:f>'Evaluation Plan'!G73</x:f>
        <x:v>green pen → 2–8 cm edge gap near red block; no directional sector required.</x:v>
      </x:c>
      <x:c r="H73" s="25"/>
      <x:c r="I73" s="24" t="str">
        <x:f>'Evaluation Plan'!I73</x:f>
        <x:v>Language robustness</x:v>
      </x:c>
      <x:c r="J73" s="24" t="str">
        <x:f>'Evaluation Plan'!J73</x:f>
        <x:v>RP-CT-N07</x:v>
      </x:c>
      <x:c r="K73" s="24" t="str">
        <x:f>'Evaluation Plan'!K73</x:f>
        <x:v>left</x:v>
      </x:c>
      <x:c r="L73" s="24" t="str">
        <x:f>'Evaluation Plan'!L73</x:f>
        <x:v>Matched-control paraphrase</x:v>
      </x:c>
      <x:c r="M73" s="24" t="str">
        <x:f>'Evaluation Plan'!M73</x:f>
        <x:v>green pen</x:v>
      </x:c>
      <x:c r="N73" s="24" t="str">
        <x:f>'Evaluation Plan'!N73</x:f>
        <x:v>red block</x:v>
      </x:c>
      <x:c r="O73" s="24" t="str">
        <x:f>'Evaluation Plan'!O73</x:f>
        <x:v>None</x:v>
      </x:c>
      <x:c r="P73" s="24" t="n">
        <x:f>'Evaluation Plan'!P73</x:f>
        <x:v>3</x:v>
      </x:c>
      <x:c r="Q73" s="24" t="str">
        <x:f>'Evaluation Plan'!Q73</x:f>
        <x:v>Reset P1 to its marked pose; preserve the exact scene and change only the wording of the matched-control instruction.</x:v>
      </x:c>
      <x:c r="R73" s="25" t="str">
        <x:f>'Evaluation Plan'!R73</x:f>
        <x:v>Exact-scene paraphrase of the training-supported control from episode 228.</x:v>
      </x:c>
      <x:c r="S73" s="25" t="str">
        <x:f>IF(ISBLANK('Evaluation Plan'!S73),"",'Evaluation Plan'!S73)</x:f>
      </x:c>
    </x:row>
    <x:row r="74" ht="72" customHeight="1">
      <x:c r="A74" s="9" t="str">
        <x:v>Not collected</x:v>
      </x:c>
      <x:c r="B74" s="9" t="n">
        <x:f>'Evaluation Plan'!B74</x:f>
        <x:v>72</x:v>
      </x:c>
      <x:c r="C74" s="10" t="str">
        <x:f>'Evaluation Plan'!C74</x:f>
        <x:v>Place the red block to the left of the green pen.</x:v>
      </x:c>
      <x:c r="D74" s="10" t="str">
        <x:f>'Evaluation Plan'!D74</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4" s="9" t="str">
        <x:f>IF(ISBLANK('Evaluation Plan'!E74),"",'Evaluation Plan'!E74)</x:f>
      </x:c>
      <x:c r="F74" s="9" t="str">
        <x:f>'Evaluation Plan'!F74</x:f>
        <x:v>285</x:v>
      </x:c>
      <x:c r="G74" s="9" t="str">
        <x:f>'Evaluation Plan'!G74</x:f>
        <x:v>red block → 2–8 cm edge gap to the left of green pen; centroid direction within ±45°.</x:v>
      </x:c>
      <x:c r="H74" s="10"/>
      <x:c r="I74" s="9" t="str">
        <x:f>'Evaluation Plan'!I74</x:f>
        <x:v>Concept/compositional transfer</x:v>
      </x:c>
      <x:c r="J74" s="9" t="str">
        <x:f>'Evaluation Plan'!J74</x:f>
        <x:v>RP-CT-N08</x:v>
      </x:c>
      <x:c r="K74" s="9" t="str">
        <x:f>'Evaluation Plan'!K74</x:f>
        <x:v>left</x:v>
      </x:c>
      <x:c r="L74" s="9" t="str">
        <x:f>'Evaluation Plan'!L74</x:f>
        <x:v>Neutral-axis independent compositional-transfer scene</x:v>
      </x:c>
      <x:c r="M74" s="9" t="str">
        <x:f>'Evaluation Plan'!M74</x:f>
        <x:v>red block</x:v>
      </x:c>
      <x:c r="N74" s="9" t="str">
        <x:f>'Evaluation Plan'!N74</x:f>
        <x:v>green pen</x:v>
      </x:c>
      <x:c r="O74" s="9" t="str">
        <x:f>'Evaluation Plan'!O74</x:f>
        <x:v>None</x:v>
      </x:c>
      <x:c r="P74" s="9" t="n">
        <x:f>'Evaluation Plan'!P74</x:f>
        <x:v>4</x:v>
      </x:c>
      <x:c r="Q74" s="9" t="str">
        <x:f>'Evaluation Plan'!Q74</x:f>
        <x:v>Build the listed neutral-axis scene and save the first frame.</x:v>
      </x:c>
      <x:c r="R74" s="10" t="str">
        <x:f>'Evaluation Plan'!R74</x:f>
        <x:v>Independent held-out-composition scene. Source episode 285 supplies target recognition/manipulation under the trained prompt “Place the red block next to the green pen.”. The orthogonal start removes the opposite-side shortcut.</x:v>
      </x:c>
      <x:c r="S74" s="10" t="str">
        <x:f>IF(ISBLANK('Evaluation Plan'!S74),"",'Evaluation Plan'!S74)</x:f>
      </x:c>
    </x:row>
    <x:row r="75" ht="72" customHeight="1">
      <x:c r="A75" s="24" t="str">
        <x:v>Not collected</x:v>
      </x:c>
      <x:c r="B75" s="24" t="n">
        <x:f>'Evaluation Plan'!B75</x:f>
        <x:v>73</x:v>
      </x:c>
      <x:c r="C75" s="25" t="str">
        <x:f>'Evaluation Plan'!C75</x:f>
        <x:v>Place the red block next to the green pen.</x:v>
      </x:c>
      <x:c r="D75" s="25" t="str">
        <x:f>'Evaluation Plan'!D75</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5" s="24" t="n">
        <x:f>IF(ISBLANK('Evaluation Plan'!E75),"",'Evaluation Plan'!E75)</x:f>
        <x:v>72</x:v>
      </x:c>
      <x:c r="F75" s="24" t="str">
        <x:f>'Evaluation Plan'!F75</x:f>
        <x:v>285</x:v>
      </x:c>
      <x:c r="G75" s="24" t="str">
        <x:f>'Evaluation Plan'!G75</x:f>
        <x:v>red block → 2–8 cm edge gap near green pen; no directional sector required.</x:v>
      </x:c>
      <x:c r="H75" s="25"/>
      <x:c r="I75" s="24" t="str">
        <x:f>'Evaluation Plan'!I75</x:f>
        <x:v>Matched manipulation control</x:v>
      </x:c>
      <x:c r="J75" s="24" t="str">
        <x:f>'Evaluation Plan'!J75</x:f>
        <x:v>RP-CT-N08</x:v>
      </x:c>
      <x:c r="K75" s="24" t="str">
        <x:f>'Evaluation Plan'!K75</x:f>
        <x:v>left</x:v>
      </x:c>
      <x:c r="L75" s="24" t="str">
        <x:f>'Evaluation Plan'!L75</x:f>
        <x:v>Exact-scene masked manipulation control</x:v>
      </x:c>
      <x:c r="M75" s="24" t="str">
        <x:f>'Evaluation Plan'!M75</x:f>
        <x:v>red block</x:v>
      </x:c>
      <x:c r="N75" s="24" t="str">
        <x:f>'Evaluation Plan'!N75</x:f>
        <x:v>green pen</x:v>
      </x:c>
      <x:c r="O75" s="24" t="str">
        <x:f>'Evaluation Plan'!O75</x:f>
        <x:v>None</x:v>
      </x:c>
      <x:c r="P75" s="24" t="n">
        <x:f>'Evaluation Plan'!P75</x:f>
        <x:v>4</x:v>
      </x:c>
      <x:c r="Q75" s="24" t="str">
        <x:f>'Evaluation Plan'!Q75</x:f>
        <x:v>Reset P1 to its marked pose; preserve the exact scene and use the trained control instruction.</x:v>
      </x:c>
      <x:c r="R75" s="25" t="str">
        <x:f>'Evaluation Plan'!R75</x:f>
        <x:v>Exact-scene control using the final training prompt from episode 285. The target, reference, distractors, camera, and robot start match the paired transfer row.</x:v>
      </x:c>
      <x:c r="S75" s="25" t="str">
        <x:f>IF(ISBLANK('Evaluation Plan'!S75),"",'Evaluation Plan'!S75)</x:f>
      </x:c>
    </x:row>
    <x:row r="76" ht="72" customHeight="1">
      <x:c r="A76" s="9" t="str">
        <x:v>Not collected</x:v>
      </x:c>
      <x:c r="B76" s="9" t="n">
        <x:f>'Evaluation Plan'!B76</x:f>
        <x:v>74</x:v>
      </x:c>
      <x:c r="C76" s="10" t="str">
        <x:f>'Evaluation Plan'!C76</x:f>
        <x:v>Position the red block on the robot's left-hand side of the green pen.</x:v>
      </x:c>
      <x:c r="D76" s="10" t="str">
        <x:f>'Evaluation Plan'!D76</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6" s="9" t="n">
        <x:f>IF(ISBLANK('Evaluation Plan'!E76),"",'Evaluation Plan'!E76)</x:f>
        <x:v>72</x:v>
      </x:c>
      <x:c r="F76" s="9" t="str">
        <x:f>'Evaluation Plan'!F76</x:f>
        <x:v>285</x:v>
      </x:c>
      <x:c r="G76" s="9" t="str">
        <x:f>'Evaluation Plan'!G76</x:f>
        <x:v>red block → 2–8 cm edge gap to the left of green pen; centroid direction within ±45°.</x:v>
      </x:c>
      <x:c r="H76" s="10"/>
      <x:c r="I76" s="9" t="str">
        <x:f>'Evaluation Plan'!I76</x:f>
        <x:v>Language robustness</x:v>
      </x:c>
      <x:c r="J76" s="9" t="str">
        <x:f>'Evaluation Plan'!J76</x:f>
        <x:v>RP-CT-N08</x:v>
      </x:c>
      <x:c r="K76" s="9" t="str">
        <x:f>'Evaluation Plan'!K76</x:f>
        <x:v>left</x:v>
      </x:c>
      <x:c r="L76" s="9" t="str">
        <x:f>'Evaluation Plan'!L76</x:f>
        <x:v>Transfer paraphrase of concept/compositional transfer</x:v>
      </x:c>
      <x:c r="M76" s="9" t="str">
        <x:f>'Evaluation Plan'!M76</x:f>
        <x:v>red block</x:v>
      </x:c>
      <x:c r="N76" s="9" t="str">
        <x:f>'Evaluation Plan'!N76</x:f>
        <x:v>green pen</x:v>
      </x:c>
      <x:c r="O76" s="9" t="str">
        <x:f>'Evaluation Plan'!O76</x:f>
        <x:v>None</x:v>
      </x:c>
      <x:c r="P76" s="9" t="n">
        <x:f>'Evaluation Plan'!P76</x:f>
        <x:v>4</x:v>
      </x:c>
      <x:c r="Q76" s="9" t="str">
        <x:f>'Evaluation Plan'!Q76</x:f>
        <x:v>Reset P1 to its marked pose; preserve the exact scene and change only the wording of the transfer instruction.</x:v>
      </x:c>
      <x:c r="R76" s="10" t="str">
        <x:f>'Evaluation Plan'!R76</x:f>
        <x:v>Exact-scene paraphrase of the canonical compositional-transfer instruction.</x:v>
      </x:c>
      <x:c r="S76" s="10" t="str">
        <x:f>IF(ISBLANK('Evaluation Plan'!S76),"",'Evaluation Plan'!S76)</x:f>
      </x:c>
    </x:row>
    <x:row r="77" ht="72" customHeight="1">
      <x:c r="A77" s="24" t="str">
        <x:v>Not collected</x:v>
      </x:c>
      <x:c r="B77" s="24" t="n">
        <x:f>'Evaluation Plan'!B77</x:f>
        <x:v>75</x:v>
      </x:c>
      <x:c r="C77" s="25" t="str">
        <x:f>'Evaluation Plan'!C77</x:f>
        <x:v>Set the red block down close to the green pen.</x:v>
      </x:c>
      <x:c r="D77" s="25" t="str">
        <x:f>'Evaluation Plan'!D77</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7" s="24" t="n">
        <x:f>IF(ISBLANK('Evaluation Plan'!E77),"",'Evaluation Plan'!E77)</x:f>
        <x:v>73</x:v>
      </x:c>
      <x:c r="F77" s="24" t="str">
        <x:f>'Evaluation Plan'!F77</x:f>
        <x:v>285</x:v>
      </x:c>
      <x:c r="G77" s="24" t="str">
        <x:f>'Evaluation Plan'!G77</x:f>
        <x:v>red block → 2–8 cm edge gap near green pen; no directional sector required.</x:v>
      </x:c>
      <x:c r="H77" s="25"/>
      <x:c r="I77" s="24" t="str">
        <x:f>'Evaluation Plan'!I77</x:f>
        <x:v>Language robustness</x:v>
      </x:c>
      <x:c r="J77" s="24" t="str">
        <x:f>'Evaluation Plan'!J77</x:f>
        <x:v>RP-CT-N08</x:v>
      </x:c>
      <x:c r="K77" s="24" t="str">
        <x:f>'Evaluation Plan'!K77</x:f>
        <x:v>left</x:v>
      </x:c>
      <x:c r="L77" s="24" t="str">
        <x:f>'Evaluation Plan'!L77</x:f>
        <x:v>Matched-control paraphrase</x:v>
      </x:c>
      <x:c r="M77" s="24" t="str">
        <x:f>'Evaluation Plan'!M77</x:f>
        <x:v>red block</x:v>
      </x:c>
      <x:c r="N77" s="24" t="str">
        <x:f>'Evaluation Plan'!N77</x:f>
        <x:v>green pen</x:v>
      </x:c>
      <x:c r="O77" s="24" t="str">
        <x:f>'Evaluation Plan'!O77</x:f>
        <x:v>None</x:v>
      </x:c>
      <x:c r="P77" s="24" t="n">
        <x:f>'Evaluation Plan'!P77</x:f>
        <x:v>4</x:v>
      </x:c>
      <x:c r="Q77" s="24" t="str">
        <x:f>'Evaluation Plan'!Q77</x:f>
        <x:v>Reset P1 to its marked pose; preserve the exact scene and change only the wording of the matched-control instruction.</x:v>
      </x:c>
      <x:c r="R77" s="25" t="str">
        <x:f>'Evaluation Plan'!R77</x:f>
        <x:v>Exact-scene paraphrase of the training-supported control from episode 285.</x:v>
      </x:c>
      <x:c r="S77" s="25" t="str">
        <x:f>IF(ISBLANK('Evaluation Plan'!S77),"",'Evaluation Plan'!S77)</x:f>
      </x:c>
    </x:row>
    <x:row r="78" ht="72" customHeight="1">
      <x:c r="A78" s="9" t="str">
        <x:v>Not collected</x:v>
      </x:c>
      <x:c r="B78" s="9" t="n">
        <x:f>'Evaluation Plan'!B78</x:f>
        <x:v>76</x:v>
      </x:c>
      <x:c r="C78" s="10" t="str">
        <x:f>'Evaluation Plan'!C78</x:f>
        <x:v>Place the green pen to the right of the red block.</x:v>
      </x:c>
      <x:c r="D78" s="10" t="str">
        <x:f>'Evaluation Plan'!D78</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8" s="9" t="str">
        <x:f>IF(ISBLANK('Evaluation Plan'!E78),"",'Evaluation Plan'!E78)</x:f>
      </x:c>
      <x:c r="F78" s="9" t="str">
        <x:f>'Evaluation Plan'!F78</x:f>
        <x:v>240</x:v>
      </x:c>
      <x:c r="G78" s="9" t="str">
        <x:f>'Evaluation Plan'!G78</x:f>
        <x:v>green pen → 2–8 cm edge gap to the right of red block; centroid direction within ±45°.</x:v>
      </x:c>
      <x:c r="H78" s="10"/>
      <x:c r="I78" s="9" t="str">
        <x:f>'Evaluation Plan'!I78</x:f>
        <x:v>Concept/compositional transfer</x:v>
      </x:c>
      <x:c r="J78" s="9" t="str">
        <x:f>'Evaluation Plan'!J78</x:f>
        <x:v>RP-CT-N09</x:v>
      </x:c>
      <x:c r="K78" s="9" t="str">
        <x:f>'Evaluation Plan'!K78</x:f>
        <x:v>right</x:v>
      </x:c>
      <x:c r="L78" s="9" t="str">
        <x:f>'Evaluation Plan'!L78</x:f>
        <x:v>Neutral-axis independent compositional-transfer scene</x:v>
      </x:c>
      <x:c r="M78" s="9" t="str">
        <x:f>'Evaluation Plan'!M78</x:f>
        <x:v>green pen</x:v>
      </x:c>
      <x:c r="N78" s="9" t="str">
        <x:f>'Evaluation Plan'!N78</x:f>
        <x:v>red block</x:v>
      </x:c>
      <x:c r="O78" s="9" t="str">
        <x:f>'Evaluation Plan'!O78</x:f>
        <x:v>None</x:v>
      </x:c>
      <x:c r="P78" s="9" t="n">
        <x:f>'Evaluation Plan'!P78</x:f>
        <x:v>3</x:v>
      </x:c>
      <x:c r="Q78" s="9" t="str">
        <x:f>'Evaluation Plan'!Q78</x:f>
        <x:v>Build the listed neutral-axis scene and save the first frame.</x:v>
      </x:c>
      <x:c r="R78" s="10" t="str">
        <x:f>'Evaluation Plan'!R78</x:f>
        <x:v>Independent held-out-composition scene. Source episode 240 supplies target recognition/manipulation under the trained prompt “Place the green pen next to the red block.”. The orthogonal start removes the opposite-side shortcut.</x:v>
      </x:c>
      <x:c r="S78" s="10" t="str">
        <x:f>IF(ISBLANK('Evaluation Plan'!S78),"",'Evaluation Plan'!S78)</x:f>
      </x:c>
    </x:row>
    <x:row r="79" ht="72" customHeight="1">
      <x:c r="A79" s="24" t="str">
        <x:v>Not collected</x:v>
      </x:c>
      <x:c r="B79" s="24" t="n">
        <x:f>'Evaluation Plan'!B79</x:f>
        <x:v>77</x:v>
      </x:c>
      <x:c r="C79" s="25" t="str">
        <x:f>'Evaluation Plan'!C79</x:f>
        <x:v>Place the green pen next to the red block.</x:v>
      </x:c>
      <x:c r="D79" s="25" t="str">
        <x:f>'Evaluation Plan'!D79</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9" s="24" t="n">
        <x:f>IF(ISBLANK('Evaluation Plan'!E79),"",'Evaluation Plan'!E79)</x:f>
        <x:v>76</x:v>
      </x:c>
      <x:c r="F79" s="24" t="str">
        <x:f>'Evaluation Plan'!F79</x:f>
        <x:v>240</x:v>
      </x:c>
      <x:c r="G79" s="24" t="str">
        <x:f>'Evaluation Plan'!G79</x:f>
        <x:v>green pen → 2–8 cm edge gap near red block; no directional sector required.</x:v>
      </x:c>
      <x:c r="H79" s="25"/>
      <x:c r="I79" s="24" t="str">
        <x:f>'Evaluation Plan'!I79</x:f>
        <x:v>Matched manipulation control</x:v>
      </x:c>
      <x:c r="J79" s="24" t="str">
        <x:f>'Evaluation Plan'!J79</x:f>
        <x:v>RP-CT-N09</x:v>
      </x:c>
      <x:c r="K79" s="24" t="str">
        <x:f>'Evaluation Plan'!K79</x:f>
        <x:v>right</x:v>
      </x:c>
      <x:c r="L79" s="24" t="str">
        <x:f>'Evaluation Plan'!L79</x:f>
        <x:v>Exact-scene masked manipulation control</x:v>
      </x:c>
      <x:c r="M79" s="24" t="str">
        <x:f>'Evaluation Plan'!M79</x:f>
        <x:v>green pen</x:v>
      </x:c>
      <x:c r="N79" s="24" t="str">
        <x:f>'Evaluation Plan'!N79</x:f>
        <x:v>red block</x:v>
      </x:c>
      <x:c r="O79" s="24" t="str">
        <x:f>'Evaluation Plan'!O79</x:f>
        <x:v>None</x:v>
      </x:c>
      <x:c r="P79" s="24" t="n">
        <x:f>'Evaluation Plan'!P79</x:f>
        <x:v>3</x:v>
      </x:c>
      <x:c r="Q79" s="24" t="str">
        <x:f>'Evaluation Plan'!Q79</x:f>
        <x:v>Reset P1 to its marked pose; preserve the exact scene and use the trained control instruction.</x:v>
      </x:c>
      <x:c r="R79" s="25" t="str">
        <x:f>'Evaluation Plan'!R79</x:f>
        <x:v>Exact-scene control using the final training prompt from episode 240. The target, reference, distractors, camera, and robot start match the paired transfer row.</x:v>
      </x:c>
      <x:c r="S79" s="25" t="str">
        <x:f>IF(ISBLANK('Evaluation Plan'!S79),"",'Evaluation Plan'!S79)</x:f>
      </x:c>
    </x:row>
    <x:row r="80" ht="72" customHeight="1">
      <x:c r="A80" s="9" t="str">
        <x:v>Not collected</x:v>
      </x:c>
      <x:c r="B80" s="9" t="n">
        <x:f>'Evaluation Plan'!B80</x:f>
        <x:v>78</x:v>
      </x:c>
      <x:c r="C80" s="10" t="str">
        <x:f>'Evaluation Plan'!C80</x:f>
        <x:v>Position the green pen on the robot's right-hand side of the red block.</x:v>
      </x:c>
      <x:c r="D80" s="10" t="str">
        <x:f>'Evaluation Plan'!D80</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0" s="9" t="n">
        <x:f>IF(ISBLANK('Evaluation Plan'!E80),"",'Evaluation Plan'!E80)</x:f>
        <x:v>76</x:v>
      </x:c>
      <x:c r="F80" s="9" t="str">
        <x:f>'Evaluation Plan'!F80</x:f>
        <x:v>240</x:v>
      </x:c>
      <x:c r="G80" s="9" t="str">
        <x:f>'Evaluation Plan'!G80</x:f>
        <x:v>green pen → 2–8 cm edge gap to the right of red block; centroid direction within ±45°.</x:v>
      </x:c>
      <x:c r="H80" s="10"/>
      <x:c r="I80" s="9" t="str">
        <x:f>'Evaluation Plan'!I80</x:f>
        <x:v>Language robustness</x:v>
      </x:c>
      <x:c r="J80" s="9" t="str">
        <x:f>'Evaluation Plan'!J80</x:f>
        <x:v>RP-CT-N09</x:v>
      </x:c>
      <x:c r="K80" s="9" t="str">
        <x:f>'Evaluation Plan'!K80</x:f>
        <x:v>right</x:v>
      </x:c>
      <x:c r="L80" s="9" t="str">
        <x:f>'Evaluation Plan'!L80</x:f>
        <x:v>Transfer paraphrase of concept/compositional transfer</x:v>
      </x:c>
      <x:c r="M80" s="9" t="str">
        <x:f>'Evaluation Plan'!M80</x:f>
        <x:v>green pen</x:v>
      </x:c>
      <x:c r="N80" s="9" t="str">
        <x:f>'Evaluation Plan'!N80</x:f>
        <x:v>red block</x:v>
      </x:c>
      <x:c r="O80" s="9" t="str">
        <x:f>'Evaluation Plan'!O80</x:f>
        <x:v>None</x:v>
      </x:c>
      <x:c r="P80" s="9" t="n">
        <x:f>'Evaluation Plan'!P80</x:f>
        <x:v>3</x:v>
      </x:c>
      <x:c r="Q80" s="9" t="str">
        <x:f>'Evaluation Plan'!Q80</x:f>
        <x:v>Reset P1 to its marked pose; preserve the exact scene and change only the wording of the transfer instruction.</x:v>
      </x:c>
      <x:c r="R80" s="10" t="str">
        <x:f>'Evaluation Plan'!R80</x:f>
        <x:v>Exact-scene paraphrase of the canonical compositional-transfer instruction.</x:v>
      </x:c>
      <x:c r="S80" s="10" t="str">
        <x:f>IF(ISBLANK('Evaluation Plan'!S80),"",'Evaluation Plan'!S80)</x:f>
      </x:c>
    </x:row>
    <x:row r="81" ht="72" customHeight="1">
      <x:c r="A81" s="24" t="str">
        <x:v>Not collected</x:v>
      </x:c>
      <x:c r="B81" s="24" t="n">
        <x:f>'Evaluation Plan'!B81</x:f>
        <x:v>79</x:v>
      </x:c>
      <x:c r="C81" s="25" t="str">
        <x:f>'Evaluation Plan'!C81</x:f>
        <x:v>Set the green pen down close to the red block.</x:v>
      </x:c>
      <x:c r="D81" s="25" t="str">
        <x:f>'Evaluation Plan'!D81</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1" s="24" t="n">
        <x:f>IF(ISBLANK('Evaluation Plan'!E81),"",'Evaluation Plan'!E81)</x:f>
        <x:v>77</x:v>
      </x:c>
      <x:c r="F81" s="24" t="str">
        <x:f>'Evaluation Plan'!F81</x:f>
        <x:v>240</x:v>
      </x:c>
      <x:c r="G81" s="24" t="str">
        <x:f>'Evaluation Plan'!G81</x:f>
        <x:v>green pen → 2–8 cm edge gap near red block; no directional sector required.</x:v>
      </x:c>
      <x:c r="H81" s="25"/>
      <x:c r="I81" s="24" t="str">
        <x:f>'Evaluation Plan'!I81</x:f>
        <x:v>Language robustness</x:v>
      </x:c>
      <x:c r="J81" s="24" t="str">
        <x:f>'Evaluation Plan'!J81</x:f>
        <x:v>RP-CT-N09</x:v>
      </x:c>
      <x:c r="K81" s="24" t="str">
        <x:f>'Evaluation Plan'!K81</x:f>
        <x:v>right</x:v>
      </x:c>
      <x:c r="L81" s="24" t="str">
        <x:f>'Evaluation Plan'!L81</x:f>
        <x:v>Matched-control paraphrase</x:v>
      </x:c>
      <x:c r="M81" s="24" t="str">
        <x:f>'Evaluation Plan'!M81</x:f>
        <x:v>green pen</x:v>
      </x:c>
      <x:c r="N81" s="24" t="str">
        <x:f>'Evaluation Plan'!N81</x:f>
        <x:v>red block</x:v>
      </x:c>
      <x:c r="O81" s="24" t="str">
        <x:f>'Evaluation Plan'!O81</x:f>
        <x:v>None</x:v>
      </x:c>
      <x:c r="P81" s="24" t="n">
        <x:f>'Evaluation Plan'!P81</x:f>
        <x:v>3</x:v>
      </x:c>
      <x:c r="Q81" s="24" t="str">
        <x:f>'Evaluation Plan'!Q81</x:f>
        <x:v>Reset P1 to its marked pose; preserve the exact scene and change only the wording of the matched-control instruction.</x:v>
      </x:c>
      <x:c r="R81" s="25" t="str">
        <x:f>'Evaluation Plan'!R81</x:f>
        <x:v>Exact-scene paraphrase of the training-supported control from episode 240.</x:v>
      </x:c>
      <x:c r="S81" s="25" t="str">
        <x:f>IF(ISBLANK('Evaluation Plan'!S81),"",'Evaluation Plan'!S81)</x:f>
      </x:c>
    </x:row>
    <x:row r="82" ht="72" customHeight="1">
      <x:c r="A82" s="9" t="str">
        <x:v>Not collected</x:v>
      </x:c>
      <x:c r="B82" s="9" t="n">
        <x:f>'Evaluation Plan'!B82</x:f>
        <x:v>80</x:v>
      </x:c>
      <x:c r="C82" s="10" t="str">
        <x:f>'Evaluation Plan'!C82</x:f>
        <x:v>Place the red block to the right of the green pen.</x:v>
      </x:c>
      <x:c r="D82" s="10" t="str">
        <x:f>'Evaluation Plan'!D82</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2" s="9" t="str">
        <x:f>IF(ISBLANK('Evaluation Plan'!E82),"",'Evaluation Plan'!E82)</x:f>
      </x:c>
      <x:c r="F82" s="9" t="str">
        <x:f>'Evaluation Plan'!F82</x:f>
        <x:v>298</x:v>
      </x:c>
      <x:c r="G82" s="9" t="str">
        <x:f>'Evaluation Plan'!G82</x:f>
        <x:v>red block → 2–8 cm edge gap to the right of green pen; centroid direction within ±45°.</x:v>
      </x:c>
      <x:c r="H82" s="10"/>
      <x:c r="I82" s="9" t="str">
        <x:f>'Evaluation Plan'!I82</x:f>
        <x:v>Concept/compositional transfer</x:v>
      </x:c>
      <x:c r="J82" s="9" t="str">
        <x:f>'Evaluation Plan'!J82</x:f>
        <x:v>RP-CT-N10</x:v>
      </x:c>
      <x:c r="K82" s="9" t="str">
        <x:f>'Evaluation Plan'!K82</x:f>
        <x:v>right</x:v>
      </x:c>
      <x:c r="L82" s="9" t="str">
        <x:f>'Evaluation Plan'!L82</x:f>
        <x:v>Neutral-axis independent compositional-transfer scene</x:v>
      </x:c>
      <x:c r="M82" s="9" t="str">
        <x:f>'Evaluation Plan'!M82</x:f>
        <x:v>red block</x:v>
      </x:c>
      <x:c r="N82" s="9" t="str">
        <x:f>'Evaluation Plan'!N82</x:f>
        <x:v>green pen</x:v>
      </x:c>
      <x:c r="O82" s="9" t="str">
        <x:f>'Evaluation Plan'!O82</x:f>
        <x:v>None</x:v>
      </x:c>
      <x:c r="P82" s="9" t="n">
        <x:f>'Evaluation Plan'!P82</x:f>
        <x:v>4</x:v>
      </x:c>
      <x:c r="Q82" s="9" t="str">
        <x:f>'Evaluation Plan'!Q82</x:f>
        <x:v>Build the listed neutral-axis scene and save the first frame.</x:v>
      </x:c>
      <x:c r="R82" s="10" t="str">
        <x:f>'Evaluation Plan'!R82</x:f>
        <x:v>Independent held-out-composition scene. Source episode 298 supplies target recognition/manipulation under the trained prompt “Put the red block beside the green pen.”. The orthogonal start removes the opposite-side shortcut.</x:v>
      </x:c>
      <x:c r="S82" s="10" t="str">
        <x:f>IF(ISBLANK('Evaluation Plan'!S82),"",'Evaluation Plan'!S82)</x:f>
      </x:c>
    </x:row>
    <x:row r="83" ht="72" customHeight="1">
      <x:c r="A83" s="9" t="str">
        <x:v>Not collected</x:v>
      </x:c>
      <x:c r="B83" s="9" t="n">
        <x:f>'Evaluation Plan'!B83</x:f>
        <x:v>81</x:v>
      </x:c>
      <x:c r="C83" s="10" t="str">
        <x:f>'Evaluation Plan'!C83</x:f>
        <x:v>Put the red block beside the green pen.</x:v>
      </x:c>
      <x:c r="D83" s="10" t="str">
        <x:f>'Evaluation Plan'!D83</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3" s="9" t="n">
        <x:f>IF(ISBLANK('Evaluation Plan'!E83),"",'Evaluation Plan'!E83)</x:f>
        <x:v>80</x:v>
      </x:c>
      <x:c r="F83" s="9" t="str">
        <x:f>'Evaluation Plan'!F83</x:f>
        <x:v>298</x:v>
      </x:c>
      <x:c r="G83" s="9" t="str">
        <x:f>'Evaluation Plan'!G83</x:f>
        <x:v>red block → 2–8 cm edge gap near green pen; no directional sector required.</x:v>
      </x:c>
      <x:c r="H83" s="10"/>
      <x:c r="I83" s="9" t="str">
        <x:f>'Evaluation Plan'!I83</x:f>
        <x:v>Matched manipulation control</x:v>
      </x:c>
      <x:c r="J83" s="9" t="str">
        <x:f>'Evaluation Plan'!J83</x:f>
        <x:v>RP-CT-N10</x:v>
      </x:c>
      <x:c r="K83" s="9" t="str">
        <x:f>'Evaluation Plan'!K83</x:f>
        <x:v>right</x:v>
      </x:c>
      <x:c r="L83" s="9" t="str">
        <x:f>'Evaluation Plan'!L83</x:f>
        <x:v>Exact-scene masked manipulation control</x:v>
      </x:c>
      <x:c r="M83" s="9" t="str">
        <x:f>'Evaluation Plan'!M83</x:f>
        <x:v>red block</x:v>
      </x:c>
      <x:c r="N83" s="9" t="str">
        <x:f>'Evaluation Plan'!N83</x:f>
        <x:v>green pen</x:v>
      </x:c>
      <x:c r="O83" s="9" t="str">
        <x:f>'Evaluation Plan'!O83</x:f>
        <x:v>None</x:v>
      </x:c>
      <x:c r="P83" s="9" t="n">
        <x:f>'Evaluation Plan'!P83</x:f>
        <x:v>4</x:v>
      </x:c>
      <x:c r="Q83" s="9" t="str">
        <x:f>'Evaluation Plan'!Q83</x:f>
        <x:v>Reset P1 to its marked pose; preserve the exact scene and use the trained control instruction.</x:v>
      </x:c>
      <x:c r="R83" s="10" t="str">
        <x:f>'Evaluation Plan'!R83</x:f>
        <x:v>Exact-scene control using the final training prompt from episode 298. The target, reference, distractors, camera, and robot start match the paired transfer row.</x:v>
      </x:c>
      <x:c r="S83" s="10" t="str">
        <x:f>IF(ISBLANK('Evaluation Plan'!S83),"",'Evaluation Plan'!S83)</x:f>
      </x:c>
    </x:row>
    <x:row r="84" ht="72" customHeight="1">
      <x:c r="A84" s="9" t="str">
        <x:v>Not collected</x:v>
      </x:c>
      <x:c r="B84" s="9" t="n">
        <x:f>'Evaluation Plan'!B84</x:f>
        <x:v>82</x:v>
      </x:c>
      <x:c r="C84" s="10" t="str">
        <x:f>'Evaluation Plan'!C84</x:f>
        <x:v>Position the red block on the robot's right-hand side of the green pen.</x:v>
      </x:c>
      <x:c r="D84" s="10" t="str">
        <x:f>'Evaluation Plan'!D84</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4" s="9" t="n">
        <x:f>IF(ISBLANK('Evaluation Plan'!E84),"",'Evaluation Plan'!E84)</x:f>
        <x:v>80</x:v>
      </x:c>
      <x:c r="F84" s="9" t="str">
        <x:f>'Evaluation Plan'!F84</x:f>
        <x:v>298</x:v>
      </x:c>
      <x:c r="G84" s="9" t="str">
        <x:f>'Evaluation Plan'!G84</x:f>
        <x:v>red block → 2–8 cm edge gap to the right of green pen; centroid direction within ±45°.</x:v>
      </x:c>
      <x:c r="H84" s="10"/>
      <x:c r="I84" s="9" t="str">
        <x:f>'Evaluation Plan'!I84</x:f>
        <x:v>Language robustness</x:v>
      </x:c>
      <x:c r="J84" s="9" t="str">
        <x:f>'Evaluation Plan'!J84</x:f>
        <x:v>RP-CT-N10</x:v>
      </x:c>
      <x:c r="K84" s="9" t="str">
        <x:f>'Evaluation Plan'!K84</x:f>
        <x:v>right</x:v>
      </x:c>
      <x:c r="L84" s="9" t="str">
        <x:f>'Evaluation Plan'!L84</x:f>
        <x:v>Transfer paraphrase of concept/compositional transfer</x:v>
      </x:c>
      <x:c r="M84" s="9" t="str">
        <x:f>'Evaluation Plan'!M84</x:f>
        <x:v>red block</x:v>
      </x:c>
      <x:c r="N84" s="9" t="str">
        <x:f>'Evaluation Plan'!N84</x:f>
        <x:v>green pen</x:v>
      </x:c>
      <x:c r="O84" s="9" t="str">
        <x:f>'Evaluation Plan'!O84</x:f>
        <x:v>None</x:v>
      </x:c>
      <x:c r="P84" s="9" t="n">
        <x:f>'Evaluation Plan'!P84</x:f>
        <x:v>4</x:v>
      </x:c>
      <x:c r="Q84" s="9" t="str">
        <x:f>'Evaluation Plan'!Q84</x:f>
        <x:v>Reset P1 to its marked pose; preserve the exact scene and change only the wording of the transfer instruction.</x:v>
      </x:c>
      <x:c r="R84" s="10" t="str">
        <x:f>'Evaluation Plan'!R84</x:f>
        <x:v>Exact-scene paraphrase of the canonical compositional-transfer instruction.</x:v>
      </x:c>
      <x:c r="S84" s="10" t="str">
        <x:f>IF(ISBLANK('Evaluation Plan'!S84),"",'Evaluation Plan'!S84)</x:f>
      </x:c>
    </x:row>
    <x:row r="85" ht="72" customHeight="1">
      <x:c r="A85" s="9" t="str">
        <x:v>Not collected</x:v>
      </x:c>
      <x:c r="B85" s="9" t="n">
        <x:f>'Evaluation Plan'!B85</x:f>
        <x:v>83</x:v>
      </x:c>
      <x:c r="C85" s="10" t="str">
        <x:f>'Evaluation Plan'!C85</x:f>
        <x:v>Set the red block down close to the green pen.</x:v>
      </x:c>
      <x:c r="D85" s="10" t="str">
        <x:f>'Evaluation Plan'!D85</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5" s="9" t="n">
        <x:f>IF(ISBLANK('Evaluation Plan'!E85),"",'Evaluation Plan'!E85)</x:f>
        <x:v>81</x:v>
      </x:c>
      <x:c r="F85" s="9" t="str">
        <x:f>'Evaluation Plan'!F85</x:f>
        <x:v>298</x:v>
      </x:c>
      <x:c r="G85" s="9" t="str">
        <x:f>'Evaluation Plan'!G85</x:f>
        <x:v>red block → 2–8 cm edge gap near green pen; no directional sector required.</x:v>
      </x:c>
      <x:c r="H85" s="10"/>
      <x:c r="I85" s="9" t="str">
        <x:f>'Evaluation Plan'!I85</x:f>
        <x:v>Language robustness</x:v>
      </x:c>
      <x:c r="J85" s="9" t="str">
        <x:f>'Evaluation Plan'!J85</x:f>
        <x:v>RP-CT-N10</x:v>
      </x:c>
      <x:c r="K85" s="9" t="str">
        <x:f>'Evaluation Plan'!K85</x:f>
        <x:v>right</x:v>
      </x:c>
      <x:c r="L85" s="9" t="str">
        <x:f>'Evaluation Plan'!L85</x:f>
        <x:v>Matched-control paraphrase</x:v>
      </x:c>
      <x:c r="M85" s="9" t="str">
        <x:f>'Evaluation Plan'!M85</x:f>
        <x:v>red block</x:v>
      </x:c>
      <x:c r="N85" s="9" t="str">
        <x:f>'Evaluation Plan'!N85</x:f>
        <x:v>green pen</x:v>
      </x:c>
      <x:c r="O85" s="9" t="str">
        <x:f>'Evaluation Plan'!O85</x:f>
        <x:v>None</x:v>
      </x:c>
      <x:c r="P85" s="9" t="n">
        <x:f>'Evaluation Plan'!P85</x:f>
        <x:v>4</x:v>
      </x:c>
      <x:c r="Q85" s="9" t="str">
        <x:f>'Evaluation Plan'!Q85</x:f>
        <x:v>Reset P1 to its marked pose; preserve the exact scene and change only the wording of the matched-control instruction.</x:v>
      </x:c>
      <x:c r="R85" s="10" t="str">
        <x:f>'Evaluation Plan'!R85</x:f>
        <x:v>Exact-scene paraphrase of the training-supported control from episode 298.</x:v>
      </x:c>
      <x:c r="S85" s="10" t="str">
        <x:f>IF(ISBLANK('Evaluation Plan'!S85),"",'Evaluation Plan'!S85)</x:f>
      </x:c>
    </x:row>
    <x:row r="86" ht="72" customHeight="1">
      <x:c r="A86" s="9" t="str">
        <x:v>Not collected</x:v>
      </x:c>
      <x:c r="B86" s="9" t="n">
        <x:f>'Evaluation Plan'!B86</x:f>
        <x:v>84</x:v>
      </x:c>
      <x:c r="C86" s="10" t="str">
        <x:f>'Evaluation Plan'!C86</x:f>
        <x:v>Place the green pen in front of the red block.</x:v>
      </x:c>
      <x:c r="D86" s="10" t="str">
        <x:f>'Evaluation Plan'!D86</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6" s="9" t="str">
        <x:f>IF(ISBLANK('Evaluation Plan'!E86),"",'Evaluation Plan'!E86)</x:f>
      </x:c>
      <x:c r="F86" s="9" t="str">
        <x:f>'Evaluation Plan'!F86</x:f>
        <x:v>202</x:v>
      </x:c>
      <x:c r="G86" s="9" t="str">
        <x:f>'Evaluation Plan'!G86</x:f>
        <x:v>green pen → 2–8 cm edge gap in front of red block; centroid direction within ±45°.</x:v>
      </x:c>
      <x:c r="H86" s="10"/>
      <x:c r="I86" s="9" t="str">
        <x:f>'Evaluation Plan'!I86</x:f>
        <x:v>Concept/compositional transfer</x:v>
      </x:c>
      <x:c r="J86" s="9" t="str">
        <x:f>'Evaluation Plan'!J86</x:f>
        <x:v>RP-CT-N11</x:v>
      </x:c>
      <x:c r="K86" s="9" t="str">
        <x:f>'Evaluation Plan'!K86</x:f>
        <x:v>front</x:v>
      </x:c>
      <x:c r="L86" s="9" t="str">
        <x:f>'Evaluation Plan'!L86</x:f>
        <x:v>Neutral-axis independent compositional-transfer scene</x:v>
      </x:c>
      <x:c r="M86" s="9" t="str">
        <x:f>'Evaluation Plan'!M86</x:f>
        <x:v>green pen</x:v>
      </x:c>
      <x:c r="N86" s="9" t="str">
        <x:f>'Evaluation Plan'!N86</x:f>
        <x:v>red block</x:v>
      </x:c>
      <x:c r="O86" s="9" t="str">
        <x:f>'Evaluation Plan'!O86</x:f>
        <x:v>None</x:v>
      </x:c>
      <x:c r="P86" s="9" t="n">
        <x:f>'Evaluation Plan'!P86</x:f>
        <x:v>4</x:v>
      </x:c>
      <x:c r="Q86" s="9" t="str">
        <x:f>'Evaluation Plan'!Q86</x:f>
        <x:v>Build the listed neutral-axis scene and save the first frame.</x:v>
      </x:c>
      <x:c r="R86" s="10" t="str">
        <x:f>'Evaluation Plan'!R86</x:f>
        <x:v>Independent held-out-composition scene. Source episode 202 supplies target recognition/manipulation under the trained prompt “Put the green pen beside the red block.”. The orthogonal start removes the opposite-side shortcut.</x:v>
      </x:c>
      <x:c r="S86" s="10" t="str">
        <x:f>IF(ISBLANK('Evaluation Plan'!S86),"",'Evaluation Plan'!S86)</x:f>
      </x:c>
    </x:row>
    <x:row r="87" ht="72" customHeight="1">
      <x:c r="A87" s="9" t="str">
        <x:v>Not collected</x:v>
      </x:c>
      <x:c r="B87" s="9" t="n">
        <x:f>'Evaluation Plan'!B87</x:f>
        <x:v>85</x:v>
      </x:c>
      <x:c r="C87" s="10" t="str">
        <x:f>'Evaluation Plan'!C87</x:f>
        <x:v>Put the green pen beside the red block.</x:v>
      </x:c>
      <x:c r="D87" s="10" t="str">
        <x:f>'Evaluation Plan'!D87</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7" s="9" t="n">
        <x:f>IF(ISBLANK('Evaluation Plan'!E87),"",'Evaluation Plan'!E87)</x:f>
        <x:v>84</x:v>
      </x:c>
      <x:c r="F87" s="9" t="str">
        <x:f>'Evaluation Plan'!F87</x:f>
        <x:v>202</x:v>
      </x:c>
      <x:c r="G87" s="9" t="str">
        <x:f>'Evaluation Plan'!G87</x:f>
        <x:v>green pen → 2–8 cm edge gap near red block; no directional sector required.</x:v>
      </x:c>
      <x:c r="H87" s="10"/>
      <x:c r="I87" s="9" t="str">
        <x:f>'Evaluation Plan'!I87</x:f>
        <x:v>Matched manipulation control</x:v>
      </x:c>
      <x:c r="J87" s="9" t="str">
        <x:f>'Evaluation Plan'!J87</x:f>
        <x:v>RP-CT-N11</x:v>
      </x:c>
      <x:c r="K87" s="9" t="str">
        <x:f>'Evaluation Plan'!K87</x:f>
        <x:v>front</x:v>
      </x:c>
      <x:c r="L87" s="9" t="str">
        <x:f>'Evaluation Plan'!L87</x:f>
        <x:v>Exact-scene masked manipulation control</x:v>
      </x:c>
      <x:c r="M87" s="9" t="str">
        <x:f>'Evaluation Plan'!M87</x:f>
        <x:v>green pen</x:v>
      </x:c>
      <x:c r="N87" s="9" t="str">
        <x:f>'Evaluation Plan'!N87</x:f>
        <x:v>red block</x:v>
      </x:c>
      <x:c r="O87" s="9" t="str">
        <x:f>'Evaluation Plan'!O87</x:f>
        <x:v>None</x:v>
      </x:c>
      <x:c r="P87" s="9" t="n">
        <x:f>'Evaluation Plan'!P87</x:f>
        <x:v>4</x:v>
      </x:c>
      <x:c r="Q87" s="9" t="str">
        <x:f>'Evaluation Plan'!Q87</x:f>
        <x:v>Reset P1 to its marked pose; preserve the exact scene and use the trained control instruction.</x:v>
      </x:c>
      <x:c r="R87" s="10" t="str">
        <x:f>'Evaluation Plan'!R87</x:f>
        <x:v>Exact-scene control using the final training prompt from episode 202. The target, reference, distractors, camera, and robot start match the paired transfer row.</x:v>
      </x:c>
      <x:c r="S87" s="10" t="str">
        <x:f>IF(ISBLANK('Evaluation Plan'!S87),"",'Evaluation Plan'!S87)</x:f>
      </x:c>
    </x:row>
    <x:row r="88" ht="72" customHeight="1">
      <x:c r="A88" s="9" t="str">
        <x:v>Not collected</x:v>
      </x:c>
      <x:c r="B88" s="9" t="n">
        <x:f>'Evaluation Plan'!B88</x:f>
        <x:v>86</x:v>
      </x:c>
      <x:c r="C88" s="10" t="str">
        <x:f>'Evaluation Plan'!C88</x:f>
        <x:v>Place the red block in front of the green pen.</x:v>
      </x:c>
      <x:c r="D88" s="10" t="str">
        <x:f>'Evaluation Plan'!D88</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8" s="9" t="str">
        <x:f>IF(ISBLANK('Evaluation Plan'!E88),"",'Evaluation Plan'!E88)</x:f>
      </x:c>
      <x:c r="F88" s="9" t="str">
        <x:f>'Evaluation Plan'!F88</x:f>
        <x:v>261</x:v>
      </x:c>
      <x:c r="G88" s="9" t="str">
        <x:f>'Evaluation Plan'!G88</x:f>
        <x:v>red block → 2–8 cm edge gap in front of green pen; centroid direction within ±45°.</x:v>
      </x:c>
      <x:c r="H88" s="10"/>
      <x:c r="I88" s="9" t="str">
        <x:f>'Evaluation Plan'!I88</x:f>
        <x:v>Concept/compositional transfer</x:v>
      </x:c>
      <x:c r="J88" s="9" t="str">
        <x:f>'Evaluation Plan'!J88</x:f>
        <x:v>RP-CT-N12</x:v>
      </x:c>
      <x:c r="K88" s="9" t="str">
        <x:f>'Evaluation Plan'!K88</x:f>
        <x:v>front</x:v>
      </x:c>
      <x:c r="L88" s="9" t="str">
        <x:f>'Evaluation Plan'!L88</x:f>
        <x:v>Neutral-axis independent compositional-transfer scene</x:v>
      </x:c>
      <x:c r="M88" s="9" t="str">
        <x:f>'Evaluation Plan'!M88</x:f>
        <x:v>red block</x:v>
      </x:c>
      <x:c r="N88" s="9" t="str">
        <x:f>'Evaluation Plan'!N88</x:f>
        <x:v>green pen</x:v>
      </x:c>
      <x:c r="O88" s="9" t="str">
        <x:f>'Evaluation Plan'!O88</x:f>
        <x:v>None</x:v>
      </x:c>
      <x:c r="P88" s="9" t="n">
        <x:f>'Evaluation Plan'!P88</x:f>
        <x:v>3</x:v>
      </x:c>
      <x:c r="Q88" s="9" t="str">
        <x:f>'Evaluation Plan'!Q88</x:f>
        <x:v>Build the listed neutral-axis scene and save the first frame.</x:v>
      </x:c>
      <x:c r="R88" s="10" t="str">
        <x:f>'Evaluation Plan'!R88</x:f>
        <x:v>Independent held-out-composition scene. Source episode 261 supplies target recognition/manipulation under the trained prompt “Place the red block next to the green pen.”. The orthogonal start removes the opposite-side shortcut.</x:v>
      </x:c>
      <x:c r="S88" s="10" t="str">
        <x:f>IF(ISBLANK('Evaluation Plan'!S88),"",'Evaluation Plan'!S88)</x:f>
      </x:c>
    </x:row>
    <x:row r="89" ht="72" customHeight="1">
      <x:c r="A89" s="9" t="str">
        <x:v>Not collected</x:v>
      </x:c>
      <x:c r="B89" s="9" t="n">
        <x:f>'Evaluation Plan'!B89</x:f>
        <x:v>87</x:v>
      </x:c>
      <x:c r="C89" s="10" t="str">
        <x:f>'Evaluation Plan'!C89</x:f>
        <x:v>Place the red block next to the green pen.</x:v>
      </x:c>
      <x:c r="D89" s="10" t="str">
        <x:f>'Evaluation Plan'!D89</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9" s="9" t="n">
        <x:f>IF(ISBLANK('Evaluation Plan'!E89),"",'Evaluation Plan'!E89)</x:f>
        <x:v>86</x:v>
      </x:c>
      <x:c r="F89" s="9" t="str">
        <x:f>'Evaluation Plan'!F89</x:f>
        <x:v>261</x:v>
      </x:c>
      <x:c r="G89" s="9" t="str">
        <x:f>'Evaluation Plan'!G89</x:f>
        <x:v>red block → 2–8 cm edge gap near green pen; no directional sector required.</x:v>
      </x:c>
      <x:c r="H89" s="10"/>
      <x:c r="I89" s="9" t="str">
        <x:f>'Evaluation Plan'!I89</x:f>
        <x:v>Matched manipulation control</x:v>
      </x:c>
      <x:c r="J89" s="9" t="str">
        <x:f>'Evaluation Plan'!J89</x:f>
        <x:v>RP-CT-N12</x:v>
      </x:c>
      <x:c r="K89" s="9" t="str">
        <x:f>'Evaluation Plan'!K89</x:f>
        <x:v>front</x:v>
      </x:c>
      <x:c r="L89" s="9" t="str">
        <x:f>'Evaluation Plan'!L89</x:f>
        <x:v>Exact-scene masked manipulation control</x:v>
      </x:c>
      <x:c r="M89" s="9" t="str">
        <x:f>'Evaluation Plan'!M89</x:f>
        <x:v>red block</x:v>
      </x:c>
      <x:c r="N89" s="9" t="str">
        <x:f>'Evaluation Plan'!N89</x:f>
        <x:v>green pen</x:v>
      </x:c>
      <x:c r="O89" s="9" t="str">
        <x:f>'Evaluation Plan'!O89</x:f>
        <x:v>None</x:v>
      </x:c>
      <x:c r="P89" s="9" t="n">
        <x:f>'Evaluation Plan'!P89</x:f>
        <x:v>3</x:v>
      </x:c>
      <x:c r="Q89" s="9" t="str">
        <x:f>'Evaluation Plan'!Q89</x:f>
        <x:v>Reset P1 to its marked pose; preserve the exact scene and use the trained control instruction.</x:v>
      </x:c>
      <x:c r="R89" s="10" t="str">
        <x:f>'Evaluation Plan'!R89</x:f>
        <x:v>Exact-scene control using the final training prompt from episode 261. The target, reference, distractors, camera, and robot start match the paired transfer row.</x:v>
      </x:c>
      <x:c r="S89" s="10" t="str">
        <x:f>IF(ISBLANK('Evaluation Plan'!S89),"",'Evaluation Plan'!S89)</x:f>
      </x:c>
    </x:row>
    <x:row r="90" ht="72" customHeight="1">
      <x:c r="A90" s="9" t="str">
        <x:v>Not collected</x:v>
      </x:c>
      <x:c r="B90" s="9" t="n">
        <x:f>'Evaluation Plan'!B90</x:f>
        <x:v>88</x:v>
      </x:c>
      <x:c r="C90" s="10" t="str">
        <x:f>'Evaluation Plan'!C90</x:f>
        <x:v>Place the green pen behind the red block.</x:v>
      </x:c>
      <x:c r="D90" s="10" t="str">
        <x:f>'Evaluation Plan'!D90</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0" s="9" t="str">
        <x:f>IF(ISBLANK('Evaluation Plan'!E90),"",'Evaluation Plan'!E90)</x:f>
      </x:c>
      <x:c r="F90" s="9" t="str">
        <x:f>'Evaluation Plan'!F90</x:f>
        <x:v>213</x:v>
      </x:c>
      <x:c r="G90" s="9" t="str">
        <x:f>'Evaluation Plan'!G90</x:f>
        <x:v>green pen → 2–8 cm edge gap behind red block; centroid direction within ±45°.</x:v>
      </x:c>
      <x:c r="H90" s="10"/>
      <x:c r="I90" s="9" t="str">
        <x:f>'Evaluation Plan'!I90</x:f>
        <x:v>Concept/compositional transfer</x:v>
      </x:c>
      <x:c r="J90" s="9" t="str">
        <x:f>'Evaluation Plan'!J90</x:f>
        <x:v>RP-CT-N13</x:v>
      </x:c>
      <x:c r="K90" s="9" t="str">
        <x:f>'Evaluation Plan'!K90</x:f>
        <x:v>behind</x:v>
      </x:c>
      <x:c r="L90" s="9" t="str">
        <x:f>'Evaluation Plan'!L90</x:f>
        <x:v>Neutral-axis independent compositional-transfer scene</x:v>
      </x:c>
      <x:c r="M90" s="9" t="str">
        <x:f>'Evaluation Plan'!M90</x:f>
        <x:v>green pen</x:v>
      </x:c>
      <x:c r="N90" s="9" t="str">
        <x:f>'Evaluation Plan'!N90</x:f>
        <x:v>red block</x:v>
      </x:c>
      <x:c r="O90" s="9" t="str">
        <x:f>'Evaluation Plan'!O90</x:f>
        <x:v>None</x:v>
      </x:c>
      <x:c r="P90" s="9" t="n">
        <x:f>'Evaluation Plan'!P90</x:f>
        <x:v>3</x:v>
      </x:c>
      <x:c r="Q90" s="9" t="str">
        <x:f>'Evaluation Plan'!Q90</x:f>
        <x:v>Build the listed neutral-axis scene and save the first frame.</x:v>
      </x:c>
      <x:c r="R90" s="10" t="str">
        <x:f>'Evaluation Plan'!R90</x:f>
        <x:v>Independent held-out-composition scene. Source episode 213 supplies target recognition/manipulation under the trained prompt “Place the green pen next to the red block.”. The orthogonal start removes the opposite-side shortcut.</x:v>
      </x:c>
      <x:c r="S90" s="10" t="str">
        <x:f>IF(ISBLANK('Evaluation Plan'!S90),"",'Evaluation Plan'!S90)</x:f>
      </x:c>
    </x:row>
    <x:row r="91" ht="72" customHeight="1">
      <x:c r="A91" s="9" t="str">
        <x:v>Not collected</x:v>
      </x:c>
      <x:c r="B91" s="9" t="n">
        <x:f>'Evaluation Plan'!B91</x:f>
        <x:v>89</x:v>
      </x:c>
      <x:c r="C91" s="10" t="str">
        <x:f>'Evaluation Plan'!C91</x:f>
        <x:v>Place the green pen next to the red block.</x:v>
      </x:c>
      <x:c r="D91" s="10" t="str">
        <x:f>'Evaluation Plan'!D91</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1" s="9" t="n">
        <x:f>IF(ISBLANK('Evaluation Plan'!E91),"",'Evaluation Plan'!E91)</x:f>
        <x:v>88</x:v>
      </x:c>
      <x:c r="F91" s="9" t="str">
        <x:f>'Evaluation Plan'!F91</x:f>
        <x:v>213</x:v>
      </x:c>
      <x:c r="G91" s="9" t="str">
        <x:f>'Evaluation Plan'!G91</x:f>
        <x:v>green pen → 2–8 cm edge gap near red block; no directional sector required.</x:v>
      </x:c>
      <x:c r="H91" s="10"/>
      <x:c r="I91" s="9" t="str">
        <x:f>'Evaluation Plan'!I91</x:f>
        <x:v>Matched manipulation control</x:v>
      </x:c>
      <x:c r="J91" s="9" t="str">
        <x:f>'Evaluation Plan'!J91</x:f>
        <x:v>RP-CT-N13</x:v>
      </x:c>
      <x:c r="K91" s="9" t="str">
        <x:f>'Evaluation Plan'!K91</x:f>
        <x:v>behind</x:v>
      </x:c>
      <x:c r="L91" s="9" t="str">
        <x:f>'Evaluation Plan'!L91</x:f>
        <x:v>Exact-scene masked manipulation control</x:v>
      </x:c>
      <x:c r="M91" s="9" t="str">
        <x:f>'Evaluation Plan'!M91</x:f>
        <x:v>green pen</x:v>
      </x:c>
      <x:c r="N91" s="9" t="str">
        <x:f>'Evaluation Plan'!N91</x:f>
        <x:v>red block</x:v>
      </x:c>
      <x:c r="O91" s="9" t="str">
        <x:f>'Evaluation Plan'!O91</x:f>
        <x:v>None</x:v>
      </x:c>
      <x:c r="P91" s="9" t="n">
        <x:f>'Evaluation Plan'!P91</x:f>
        <x:v>3</x:v>
      </x:c>
      <x:c r="Q91" s="9" t="str">
        <x:f>'Evaluation Plan'!Q91</x:f>
        <x:v>Reset P1 to its marked pose; preserve the exact scene and use the trained control instruction.</x:v>
      </x:c>
      <x:c r="R91" s="10" t="str">
        <x:f>'Evaluation Plan'!R91</x:f>
        <x:v>Exact-scene control using the final training prompt from episode 213. The target, reference, distractors, camera, and robot start match the paired transfer row.</x:v>
      </x:c>
      <x:c r="S91" s="10" t="str">
        <x:f>IF(ISBLANK('Evaluation Plan'!S91),"",'Evaluation Plan'!S91)</x:f>
      </x:c>
    </x:row>
    <x:row r="92" ht="72" customHeight="1">
      <x:c r="A92" s="9" t="str">
        <x:v>Not collected</x:v>
      </x:c>
      <x:c r="B92" s="9" t="n">
        <x:f>'Evaluation Plan'!B92</x:f>
        <x:v>90</x:v>
      </x:c>
      <x:c r="C92" s="10" t="str">
        <x:f>'Evaluation Plan'!C92</x:f>
        <x:v>Place the red block behind the green pen.</x:v>
      </x:c>
      <x:c r="D92" s="10" t="str">
        <x:f>'Evaluation Plan'!D92</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2" s="9" t="str">
        <x:f>IF(ISBLANK('Evaluation Plan'!E92),"",'Evaluation Plan'!E92)</x:f>
      </x:c>
      <x:c r="F92" s="9" t="str">
        <x:f>'Evaluation Plan'!F92</x:f>
        <x:v>273</x:v>
      </x:c>
      <x:c r="G92" s="9" t="str">
        <x:f>'Evaluation Plan'!G92</x:f>
        <x:v>red block → 2–8 cm edge gap behind green pen; centroid direction within ±45°.</x:v>
      </x:c>
      <x:c r="H92" s="10"/>
      <x:c r="I92" s="9" t="str">
        <x:f>'Evaluation Plan'!I92</x:f>
        <x:v>Concept/compositional transfer</x:v>
      </x:c>
      <x:c r="J92" s="9" t="str">
        <x:f>'Evaluation Plan'!J92</x:f>
        <x:v>RP-CT-N14</x:v>
      </x:c>
      <x:c r="K92" s="9" t="str">
        <x:f>'Evaluation Plan'!K92</x:f>
        <x:v>behind</x:v>
      </x:c>
      <x:c r="L92" s="9" t="str">
        <x:f>'Evaluation Plan'!L92</x:f>
        <x:v>Neutral-axis independent compositional-transfer scene</x:v>
      </x:c>
      <x:c r="M92" s="9" t="str">
        <x:f>'Evaluation Plan'!M92</x:f>
        <x:v>red block</x:v>
      </x:c>
      <x:c r="N92" s="9" t="str">
        <x:f>'Evaluation Plan'!N92</x:f>
        <x:v>green pen</x:v>
      </x:c>
      <x:c r="O92" s="9" t="str">
        <x:f>'Evaluation Plan'!O92</x:f>
        <x:v>None</x:v>
      </x:c>
      <x:c r="P92" s="9" t="n">
        <x:f>'Evaluation Plan'!P92</x:f>
        <x:v>4</x:v>
      </x:c>
      <x:c r="Q92" s="9" t="str">
        <x:f>'Evaluation Plan'!Q92</x:f>
        <x:v>Build the listed neutral-axis scene and save the first frame.</x:v>
      </x:c>
      <x:c r="R92" s="10" t="str">
        <x:f>'Evaluation Plan'!R92</x:f>
        <x:v>Independent held-out-composition scene. Source episode 273 supplies target recognition/manipulation under the trained prompt “Place the red block next to the green pen.”. The orthogonal start removes the opposite-side shortcut.</x:v>
      </x:c>
      <x:c r="S92" s="10" t="str">
        <x:f>IF(ISBLANK('Evaluation Plan'!S92),"",'Evaluation Plan'!S92)</x:f>
      </x:c>
    </x:row>
    <x:row r="93" ht="72" customHeight="1">
      <x:c r="A93" s="9" t="str">
        <x:v>Not collected</x:v>
      </x:c>
      <x:c r="B93" s="9" t="n">
        <x:f>'Evaluation Plan'!B93</x:f>
        <x:v>91</x:v>
      </x:c>
      <x:c r="C93" s="10" t="str">
        <x:f>'Evaluation Plan'!C93</x:f>
        <x:v>Place the red block next to the green pen.</x:v>
      </x:c>
      <x:c r="D93" s="10" t="str">
        <x:f>'Evaluation Plan'!D93</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3" s="9" t="n">
        <x:f>IF(ISBLANK('Evaluation Plan'!E93),"",'Evaluation Plan'!E93)</x:f>
        <x:v>90</x:v>
      </x:c>
      <x:c r="F93" s="9" t="str">
        <x:f>'Evaluation Plan'!F93</x:f>
        <x:v>273</x:v>
      </x:c>
      <x:c r="G93" s="9" t="str">
        <x:f>'Evaluation Plan'!G93</x:f>
        <x:v>red block → 2–8 cm edge gap near green pen; no directional sector required.</x:v>
      </x:c>
      <x:c r="H93" s="10"/>
      <x:c r="I93" s="9" t="str">
        <x:f>'Evaluation Plan'!I93</x:f>
        <x:v>Matched manipulation control</x:v>
      </x:c>
      <x:c r="J93" s="9" t="str">
        <x:f>'Evaluation Plan'!J93</x:f>
        <x:v>RP-CT-N14</x:v>
      </x:c>
      <x:c r="K93" s="9" t="str">
        <x:f>'Evaluation Plan'!K93</x:f>
        <x:v>behind</x:v>
      </x:c>
      <x:c r="L93" s="9" t="str">
        <x:f>'Evaluation Plan'!L93</x:f>
        <x:v>Exact-scene masked manipulation control</x:v>
      </x:c>
      <x:c r="M93" s="9" t="str">
        <x:f>'Evaluation Plan'!M93</x:f>
        <x:v>red block</x:v>
      </x:c>
      <x:c r="N93" s="9" t="str">
        <x:f>'Evaluation Plan'!N93</x:f>
        <x:v>green pen</x:v>
      </x:c>
      <x:c r="O93" s="9" t="str">
        <x:f>'Evaluation Plan'!O93</x:f>
        <x:v>None</x:v>
      </x:c>
      <x:c r="P93" s="9" t="n">
        <x:f>'Evaluation Plan'!P93</x:f>
        <x:v>4</x:v>
      </x:c>
      <x:c r="Q93" s="9" t="str">
        <x:f>'Evaluation Plan'!Q93</x:f>
        <x:v>Reset P1 to its marked pose; preserve the exact scene and use the trained control instruction.</x:v>
      </x:c>
      <x:c r="R93" s="10" t="str">
        <x:f>'Evaluation Plan'!R93</x:f>
        <x:v>Exact-scene control using the final training prompt from episode 273. The target, reference, distractors, camera, and robot start match the paired transfer row.</x:v>
      </x:c>
      <x:c r="S93" s="10" t="str">
        <x:f>IF(ISBLANK('Evaluation Plan'!S93),"",'Evaluation Plan'!S93)</x:f>
      </x:c>
    </x:row>
    <x:row r="94" ht="72" customHeight="1">
      <x:c r="A94" s="9" t="str">
        <x:v>Not collected</x:v>
      </x:c>
      <x:c r="B94" s="9" t="n">
        <x:f>'Evaluation Plan'!B94</x:f>
        <x:v>92</x:v>
      </x:c>
      <x:c r="C94" s="10" t="str">
        <x:f>'Evaluation Plan'!C94</x:f>
        <x:v>Place the green pen to the left of the red block.</x:v>
      </x:c>
      <x:c r="D94" s="10" t="str">
        <x:f>'Evaluation Plan'!D94</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4" s="9" t="str">
        <x:f>IF(ISBLANK('Evaluation Plan'!E94),"",'Evaluation Plan'!E94)</x:f>
      </x:c>
      <x:c r="F94" s="9" t="str">
        <x:f>'Evaluation Plan'!F94</x:f>
        <x:v>227</x:v>
      </x:c>
      <x:c r="G94" s="9" t="str">
        <x:f>'Evaluation Plan'!G94</x:f>
        <x:v>green pen → 2–8 cm edge gap to the left of red block; centroid direction within ±45°.</x:v>
      </x:c>
      <x:c r="H94" s="10"/>
      <x:c r="I94" s="9" t="str">
        <x:f>'Evaluation Plan'!I94</x:f>
        <x:v>Concept/compositional transfer</x:v>
      </x:c>
      <x:c r="J94" s="9" t="str">
        <x:f>'Evaluation Plan'!J94</x:f>
        <x:v>RP-CT-N15</x:v>
      </x:c>
      <x:c r="K94" s="9" t="str">
        <x:f>'Evaluation Plan'!K94</x:f>
        <x:v>left</x:v>
      </x:c>
      <x:c r="L94" s="9" t="str">
        <x:f>'Evaluation Plan'!L94</x:f>
        <x:v>Neutral-axis independent compositional-transfer scene</x:v>
      </x:c>
      <x:c r="M94" s="9" t="str">
        <x:f>'Evaluation Plan'!M94</x:f>
        <x:v>green pen</x:v>
      </x:c>
      <x:c r="N94" s="9" t="str">
        <x:f>'Evaluation Plan'!N94</x:f>
        <x:v>red block</x:v>
      </x:c>
      <x:c r="O94" s="9" t="str">
        <x:f>'Evaluation Plan'!O94</x:f>
        <x:v>None</x:v>
      </x:c>
      <x:c r="P94" s="9" t="n">
        <x:f>'Evaluation Plan'!P94</x:f>
        <x:v>4</x:v>
      </x:c>
      <x:c r="Q94" s="9" t="str">
        <x:f>'Evaluation Plan'!Q94</x:f>
        <x:v>Build the listed neutral-axis scene and save the first frame.</x:v>
      </x:c>
      <x:c r="R94" s="10" t="str">
        <x:f>'Evaluation Plan'!R94</x:f>
        <x:v>Independent held-out-composition scene. Source episode 227 supplies target recognition/manipulation under the trained prompt “Move the green pen near the red block.”. The orthogonal start removes the opposite-side shortcut.</x:v>
      </x:c>
      <x:c r="S94" s="10" t="str">
        <x:f>IF(ISBLANK('Evaluation Plan'!S94),"",'Evaluation Plan'!S94)</x:f>
      </x:c>
    </x:row>
    <x:row r="95" ht="72" customHeight="1">
      <x:c r="A95" s="9" t="str">
        <x:v>Not collected</x:v>
      </x:c>
      <x:c r="B95" s="9" t="n">
        <x:f>'Evaluation Plan'!B95</x:f>
        <x:v>93</x:v>
      </x:c>
      <x:c r="C95" s="10" t="str">
        <x:f>'Evaluation Plan'!C95</x:f>
        <x:v>Move the green pen near the red block.</x:v>
      </x:c>
      <x:c r="D95" s="10" t="str">
        <x:f>'Evaluation Plan'!D95</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5" s="9" t="n">
        <x:f>IF(ISBLANK('Evaluation Plan'!E95),"",'Evaluation Plan'!E95)</x:f>
        <x:v>92</x:v>
      </x:c>
      <x:c r="F95" s="9" t="str">
        <x:f>'Evaluation Plan'!F95</x:f>
        <x:v>227</x:v>
      </x:c>
      <x:c r="G95" s="9" t="str">
        <x:f>'Evaluation Plan'!G95</x:f>
        <x:v>green pen → 2–8 cm edge gap near red block; no directional sector required.</x:v>
      </x:c>
      <x:c r="H95" s="10"/>
      <x:c r="I95" s="9" t="str">
        <x:f>'Evaluation Plan'!I95</x:f>
        <x:v>Matched manipulation control</x:v>
      </x:c>
      <x:c r="J95" s="9" t="str">
        <x:f>'Evaluation Plan'!J95</x:f>
        <x:v>RP-CT-N15</x:v>
      </x:c>
      <x:c r="K95" s="9" t="str">
        <x:f>'Evaluation Plan'!K95</x:f>
        <x:v>left</x:v>
      </x:c>
      <x:c r="L95" s="9" t="str">
        <x:f>'Evaluation Plan'!L95</x:f>
        <x:v>Exact-scene masked manipulation control</x:v>
      </x:c>
      <x:c r="M95" s="9" t="str">
        <x:f>'Evaluation Plan'!M95</x:f>
        <x:v>green pen</x:v>
      </x:c>
      <x:c r="N95" s="9" t="str">
        <x:f>'Evaluation Plan'!N95</x:f>
        <x:v>red block</x:v>
      </x:c>
      <x:c r="O95" s="9" t="str">
        <x:f>'Evaluation Plan'!O95</x:f>
        <x:v>None</x:v>
      </x:c>
      <x:c r="P95" s="9" t="n">
        <x:f>'Evaluation Plan'!P95</x:f>
        <x:v>4</x:v>
      </x:c>
      <x:c r="Q95" s="9" t="str">
        <x:f>'Evaluation Plan'!Q95</x:f>
        <x:v>Reset P1 to its marked pose; preserve the exact scene and use the trained control instruction.</x:v>
      </x:c>
      <x:c r="R95" s="10" t="str">
        <x:f>'Evaluation Plan'!R95</x:f>
        <x:v>Exact-scene control using the final training prompt from episode 227. The target, reference, distractors, camera, and robot start match the paired transfer row.</x:v>
      </x:c>
      <x:c r="S95" s="10" t="str">
        <x:f>IF(ISBLANK('Evaluation Plan'!S95),"",'Evaluation Plan'!S95)</x:f>
      </x:c>
    </x:row>
    <x:row r="96" ht="72" customHeight="1">
      <x:c r="A96" s="9" t="str">
        <x:v>Not collected</x:v>
      </x:c>
      <x:c r="B96" s="9" t="n">
        <x:f>'Evaluation Plan'!B96</x:f>
        <x:v>94</x:v>
      </x:c>
      <x:c r="C96" s="10" t="str">
        <x:f>'Evaluation Plan'!C96</x:f>
        <x:v>Place the red block to the left of the green pen.</x:v>
      </x:c>
      <x:c r="D96" s="10" t="str">
        <x:f>'Evaluation Plan'!D96</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6" s="9" t="str">
        <x:f>IF(ISBLANK('Evaluation Plan'!E96),"",'Evaluation Plan'!E96)</x:f>
      </x:c>
      <x:c r="F96" s="9" t="str">
        <x:f>'Evaluation Plan'!F96</x:f>
        <x:v>286</x:v>
      </x:c>
      <x:c r="G96" s="9" t="str">
        <x:f>'Evaluation Plan'!G96</x:f>
        <x:v>red block → 2–8 cm edge gap to the left of green pen; centroid direction within ±45°.</x:v>
      </x:c>
      <x:c r="H96" s="10"/>
      <x:c r="I96" s="9" t="str">
        <x:f>'Evaluation Plan'!I96</x:f>
        <x:v>Concept/compositional transfer</x:v>
      </x:c>
      <x:c r="J96" s="9" t="str">
        <x:f>'Evaluation Plan'!J96</x:f>
        <x:v>RP-CT-N16</x:v>
      </x:c>
      <x:c r="K96" s="9" t="str">
        <x:f>'Evaluation Plan'!K96</x:f>
        <x:v>left</x:v>
      </x:c>
      <x:c r="L96" s="9" t="str">
        <x:f>'Evaluation Plan'!L96</x:f>
        <x:v>Neutral-axis independent compositional-transfer scene</x:v>
      </x:c>
      <x:c r="M96" s="9" t="str">
        <x:f>'Evaluation Plan'!M96</x:f>
        <x:v>red block</x:v>
      </x:c>
      <x:c r="N96" s="9" t="str">
        <x:f>'Evaluation Plan'!N96</x:f>
        <x:v>green pen</x:v>
      </x:c>
      <x:c r="O96" s="9" t="str">
        <x:f>'Evaluation Plan'!O96</x:f>
        <x:v>None</x:v>
      </x:c>
      <x:c r="P96" s="9" t="n">
        <x:f>'Evaluation Plan'!P96</x:f>
        <x:v>3</x:v>
      </x:c>
      <x:c r="Q96" s="9" t="str">
        <x:f>'Evaluation Plan'!Q96</x:f>
        <x:v>Build the listed neutral-axis scene and save the first frame.</x:v>
      </x:c>
      <x:c r="R96" s="10" t="str">
        <x:f>'Evaluation Plan'!R96</x:f>
        <x:v>Independent held-out-composition scene. Source episode 286 supplies target recognition/manipulation under the trained prompt “Put the red block beside the green pen.”. The orthogonal start removes the opposite-side shortcut.</x:v>
      </x:c>
      <x:c r="S96" s="10" t="str">
        <x:f>IF(ISBLANK('Evaluation Plan'!S96),"",'Evaluation Plan'!S96)</x:f>
      </x:c>
    </x:row>
    <x:row r="97" ht="72" customHeight="1">
      <x:c r="A97" s="9" t="str">
        <x:v>Not collected</x:v>
      </x:c>
      <x:c r="B97" s="9" t="n">
        <x:f>'Evaluation Plan'!B97</x:f>
        <x:v>95</x:v>
      </x:c>
      <x:c r="C97" s="10" t="str">
        <x:f>'Evaluation Plan'!C97</x:f>
        <x:v>Put the red block beside the green pen.</x:v>
      </x:c>
      <x:c r="D97" s="10" t="str">
        <x:f>'Evaluation Plan'!D97</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7" s="9" t="n">
        <x:f>IF(ISBLANK('Evaluation Plan'!E97),"",'Evaluation Plan'!E97)</x:f>
        <x:v>94</x:v>
      </x:c>
      <x:c r="F97" s="9" t="str">
        <x:f>'Evaluation Plan'!F97</x:f>
        <x:v>286</x:v>
      </x:c>
      <x:c r="G97" s="9" t="str">
        <x:f>'Evaluation Plan'!G97</x:f>
        <x:v>red block → 2–8 cm edge gap near green pen; no directional sector required.</x:v>
      </x:c>
      <x:c r="H97" s="10"/>
      <x:c r="I97" s="9" t="str">
        <x:f>'Evaluation Plan'!I97</x:f>
        <x:v>Matched manipulation control</x:v>
      </x:c>
      <x:c r="J97" s="9" t="str">
        <x:f>'Evaluation Plan'!J97</x:f>
        <x:v>RP-CT-N16</x:v>
      </x:c>
      <x:c r="K97" s="9" t="str">
        <x:f>'Evaluation Plan'!K97</x:f>
        <x:v>left</x:v>
      </x:c>
      <x:c r="L97" s="9" t="str">
        <x:f>'Evaluation Plan'!L97</x:f>
        <x:v>Exact-scene masked manipulation control</x:v>
      </x:c>
      <x:c r="M97" s="9" t="str">
        <x:f>'Evaluation Plan'!M97</x:f>
        <x:v>red block</x:v>
      </x:c>
      <x:c r="N97" s="9" t="str">
        <x:f>'Evaluation Plan'!N97</x:f>
        <x:v>green pen</x:v>
      </x:c>
      <x:c r="O97" s="9" t="str">
        <x:f>'Evaluation Plan'!O97</x:f>
        <x:v>None</x:v>
      </x:c>
      <x:c r="P97" s="9" t="n">
        <x:f>'Evaluation Plan'!P97</x:f>
        <x:v>3</x:v>
      </x:c>
      <x:c r="Q97" s="9" t="str">
        <x:f>'Evaluation Plan'!Q97</x:f>
        <x:v>Reset P1 to its marked pose; preserve the exact scene and use the trained control instruction.</x:v>
      </x:c>
      <x:c r="R97" s="10" t="str">
        <x:f>'Evaluation Plan'!R97</x:f>
        <x:v>Exact-scene control using the final training prompt from episode 286. The target, reference, distractors, camera, and robot start match the paired transfer row.</x:v>
      </x:c>
      <x:c r="S97" s="10" t="str">
        <x:f>IF(ISBLANK('Evaluation Plan'!S97),"",'Evaluation Plan'!S97)</x:f>
      </x:c>
    </x:row>
    <x:row r="98" ht="72" customHeight="1">
      <x:c r="A98" s="9" t="str">
        <x:v>Not collected</x:v>
      </x:c>
      <x:c r="B98" s="9" t="n">
        <x:f>'Evaluation Plan'!B98</x:f>
        <x:v>96</x:v>
      </x:c>
      <x:c r="C98" s="10" t="str">
        <x:f>'Evaluation Plan'!C98</x:f>
        <x:v>Place the red block to the left of the green pen.</x:v>
      </x:c>
      <x:c r="D98" s="10" t="str">
        <x:f>'Evaluation Plan'!D98</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8" s="9" t="str">
        <x:f>IF(ISBLANK('Evaluation Plan'!E98),"",'Evaluation Plan'!E98)</x:f>
      </x:c>
      <x:c r="F98" s="9" t="str">
        <x:f>'Evaluation Plan'!F98</x:f>
        <x:v>285</x:v>
      </x:c>
      <x:c r="G98" s="9" t="str">
        <x:f>'Evaluation Plan'!G98</x:f>
        <x:v>red block → 2–8 cm edge gap to the left of green pen; centroid direction within ±45°.</x:v>
      </x:c>
      <x:c r="H98" s="10"/>
      <x:c r="I98" s="9" t="str">
        <x:f>'Evaluation Plan'!I98</x:f>
        <x:v>Concept/compositional transfer</x:v>
      </x:c>
      <x:c r="J98" s="9" t="str">
        <x:f>'Evaluation Plan'!J98</x:f>
        <x:v>RP-CT-N17</x:v>
      </x:c>
      <x:c r="K98" s="9" t="str">
        <x:f>'Evaluation Plan'!K98</x:f>
        <x:v>left</x:v>
      </x:c>
      <x:c r="L98" s="9" t="str">
        <x:f>'Evaluation Plan'!L98</x:f>
        <x:v>Neutral-axis independent compositional-transfer scene</x:v>
      </x:c>
      <x:c r="M98" s="9" t="str">
        <x:f>'Evaluation Plan'!M98</x:f>
        <x:v>red block</x:v>
      </x:c>
      <x:c r="N98" s="9" t="str">
        <x:f>'Evaluation Plan'!N98</x:f>
        <x:v>green pen</x:v>
      </x:c>
      <x:c r="O98" s="9" t="str">
        <x:f>'Evaluation Plan'!O98</x:f>
        <x:v>None</x:v>
      </x:c>
      <x:c r="P98" s="9" t="n">
        <x:f>'Evaluation Plan'!P98</x:f>
        <x:v>4</x:v>
      </x:c>
      <x:c r="Q98" s="9" t="str">
        <x:f>'Evaluation Plan'!Q98</x:f>
        <x:v>Build the listed neutral-axis scene and save the first frame.</x:v>
      </x:c>
      <x:c r="R98" s="10" t="str">
        <x:f>'Evaluation Plan'!R98</x:f>
        <x:v>Independent held-out-composition scene. Source episode 285 supplies target recognition/manipulation under the trained prompt “Place the red block next to the green pen.”. The orthogonal start removes the opposite-side shortcut.</x:v>
      </x:c>
      <x:c r="S98" s="10" t="str">
        <x:f>IF(ISBLANK('Evaluation Plan'!S98),"",'Evaluation Plan'!S98)</x:f>
      </x:c>
    </x:row>
    <x:row r="99" ht="72" customHeight="1">
      <x:c r="A99" s="9" t="str">
        <x:v>Not collected</x:v>
      </x:c>
      <x:c r="B99" s="9" t="n">
        <x:f>'Evaluation Plan'!B99</x:f>
        <x:v>97</x:v>
      </x:c>
      <x:c r="C99" s="10" t="str">
        <x:f>'Evaluation Plan'!C99</x:f>
        <x:v>Place the red block next to the green pen.</x:v>
      </x:c>
      <x:c r="D99" s="10" t="str">
        <x:f>'Evaluation Plan'!D99</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9" s="9" t="n">
        <x:f>IF(ISBLANK('Evaluation Plan'!E99),"",'Evaluation Plan'!E99)</x:f>
        <x:v>96</x:v>
      </x:c>
      <x:c r="F99" s="9" t="str">
        <x:f>'Evaluation Plan'!F99</x:f>
        <x:v>285</x:v>
      </x:c>
      <x:c r="G99" s="9" t="str">
        <x:f>'Evaluation Plan'!G99</x:f>
        <x:v>red block → 2–8 cm edge gap near green pen; no directional sector required.</x:v>
      </x:c>
      <x:c r="H99" s="10"/>
      <x:c r="I99" s="9" t="str">
        <x:f>'Evaluation Plan'!I99</x:f>
        <x:v>Matched manipulation control</x:v>
      </x:c>
      <x:c r="J99" s="9" t="str">
        <x:f>'Evaluation Plan'!J99</x:f>
        <x:v>RP-CT-N17</x:v>
      </x:c>
      <x:c r="K99" s="9" t="str">
        <x:f>'Evaluation Plan'!K99</x:f>
        <x:v>left</x:v>
      </x:c>
      <x:c r="L99" s="9" t="str">
        <x:f>'Evaluation Plan'!L99</x:f>
        <x:v>Exact-scene masked manipulation control</x:v>
      </x:c>
      <x:c r="M99" s="9" t="str">
        <x:f>'Evaluation Plan'!M99</x:f>
        <x:v>red block</x:v>
      </x:c>
      <x:c r="N99" s="9" t="str">
        <x:f>'Evaluation Plan'!N99</x:f>
        <x:v>green pen</x:v>
      </x:c>
      <x:c r="O99" s="9" t="str">
        <x:f>'Evaluation Plan'!O99</x:f>
        <x:v>None</x:v>
      </x:c>
      <x:c r="P99" s="9" t="n">
        <x:f>'Evaluation Plan'!P99</x:f>
        <x:v>4</x:v>
      </x:c>
      <x:c r="Q99" s="9" t="str">
        <x:f>'Evaluation Plan'!Q99</x:f>
        <x:v>Reset P1 to its marked pose; preserve the exact scene and use the trained control instruction.</x:v>
      </x:c>
      <x:c r="R99" s="10" t="str">
        <x:f>'Evaluation Plan'!R99</x:f>
        <x:v>Exact-scene control using the final training prompt from episode 285. The target, reference, distractors, camera, and robot start match the paired transfer row.</x:v>
      </x:c>
      <x:c r="S99" s="10" t="str">
        <x:f>IF(ISBLANK('Evaluation Plan'!S99),"",'Evaluation Plan'!S99)</x:f>
      </x:c>
    </x:row>
    <x:row r="100" ht="72" customHeight="1">
      <x:c r="A100" s="9" t="str">
        <x:v>Not collected</x:v>
      </x:c>
      <x:c r="B100" s="9" t="n">
        <x:f>'Evaluation Plan'!B100</x:f>
        <x:v>98</x:v>
      </x:c>
      <x:c r="C100" s="10" t="str">
        <x:f>'Evaluation Plan'!C100</x:f>
        <x:v>Place the green pen to the right of the red block.</x:v>
      </x:c>
      <x:c r="D100" s="10" t="str">
        <x:f>'Evaluation Plan'!D100</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0" s="9" t="str">
        <x:f>IF(ISBLANK('Evaluation Plan'!E100),"",'Evaluation Plan'!E100)</x:f>
      </x:c>
      <x:c r="F100" s="9" t="str">
        <x:f>'Evaluation Plan'!F100</x:f>
        <x:v>238</x:v>
      </x:c>
      <x:c r="G100" s="9" t="str">
        <x:f>'Evaluation Plan'!G100</x:f>
        <x:v>green pen → 2–8 cm edge gap to the right of red block; centroid direction within ±45°.</x:v>
      </x:c>
      <x:c r="H100" s="10"/>
      <x:c r="I100" s="9" t="str">
        <x:f>'Evaluation Plan'!I100</x:f>
        <x:v>Concept/compositional transfer</x:v>
      </x:c>
      <x:c r="J100" s="9" t="str">
        <x:f>'Evaluation Plan'!J100</x:f>
        <x:v>RP-CT-N18</x:v>
      </x:c>
      <x:c r="K100" s="9" t="str">
        <x:f>'Evaluation Plan'!K100</x:f>
        <x:v>right</x:v>
      </x:c>
      <x:c r="L100" s="9" t="str">
        <x:f>'Evaluation Plan'!L100</x:f>
        <x:v>Neutral-axis independent compositional-transfer scene</x:v>
      </x:c>
      <x:c r="M100" s="9" t="str">
        <x:f>'Evaluation Plan'!M100</x:f>
        <x:v>green pen</x:v>
      </x:c>
      <x:c r="N100" s="9" t="str">
        <x:f>'Evaluation Plan'!N100</x:f>
        <x:v>red block</x:v>
      </x:c>
      <x:c r="O100" s="9" t="str">
        <x:f>'Evaluation Plan'!O100</x:f>
        <x:v>None</x:v>
      </x:c>
      <x:c r="P100" s="9" t="n">
        <x:f>'Evaluation Plan'!P100</x:f>
        <x:v>3</x:v>
      </x:c>
      <x:c r="Q100" s="9" t="str">
        <x:f>'Evaluation Plan'!Q100</x:f>
        <x:v>Build the listed neutral-axis scene and save the first frame.</x:v>
      </x:c>
      <x:c r="R100" s="10" t="str">
        <x:f>'Evaluation Plan'!R100</x:f>
        <x:v>Independent held-out-composition scene. Source episode 238 supplies target recognition/manipulation under the trained prompt “Put the green pen beside the red block.”. The orthogonal start removes the opposite-side shortcut.</x:v>
      </x:c>
      <x:c r="S100" s="10" t="str">
        <x:f>IF(ISBLANK('Evaluation Plan'!S100),"",'Evaluation Plan'!S100)</x:f>
      </x:c>
    </x:row>
    <x:row r="101" ht="72" customHeight="1">
      <x:c r="A101" s="9" t="str">
        <x:v>Not collected</x:v>
      </x:c>
      <x:c r="B101" s="9" t="n">
        <x:f>'Evaluation Plan'!B101</x:f>
        <x:v>99</x:v>
      </x:c>
      <x:c r="C101" s="10" t="str">
        <x:f>'Evaluation Plan'!C101</x:f>
        <x:v>Put the green pen beside the red block.</x:v>
      </x:c>
      <x:c r="D101" s="10" t="str">
        <x:f>'Evaluation Plan'!D101</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1" s="9" t="n">
        <x:f>IF(ISBLANK('Evaluation Plan'!E101),"",'Evaluation Plan'!E101)</x:f>
        <x:v>98</x:v>
      </x:c>
      <x:c r="F101" s="9" t="str">
        <x:f>'Evaluation Plan'!F101</x:f>
        <x:v>238</x:v>
      </x:c>
      <x:c r="G101" s="9" t="str">
        <x:f>'Evaluation Plan'!G101</x:f>
        <x:v>green pen → 2–8 cm edge gap near red block; no directional sector required.</x:v>
      </x:c>
      <x:c r="H101" s="10"/>
      <x:c r="I101" s="9" t="str">
        <x:f>'Evaluation Plan'!I101</x:f>
        <x:v>Matched manipulation control</x:v>
      </x:c>
      <x:c r="J101" s="9" t="str">
        <x:f>'Evaluation Plan'!J101</x:f>
        <x:v>RP-CT-N18</x:v>
      </x:c>
      <x:c r="K101" s="9" t="str">
        <x:f>'Evaluation Plan'!K101</x:f>
        <x:v>right</x:v>
      </x:c>
      <x:c r="L101" s="9" t="str">
        <x:f>'Evaluation Plan'!L101</x:f>
        <x:v>Exact-scene masked manipulation control</x:v>
      </x:c>
      <x:c r="M101" s="9" t="str">
        <x:f>'Evaluation Plan'!M101</x:f>
        <x:v>green pen</x:v>
      </x:c>
      <x:c r="N101" s="9" t="str">
        <x:f>'Evaluation Plan'!N101</x:f>
        <x:v>red block</x:v>
      </x:c>
      <x:c r="O101" s="9" t="str">
        <x:f>'Evaluation Plan'!O101</x:f>
        <x:v>None</x:v>
      </x:c>
      <x:c r="P101" s="9" t="n">
        <x:f>'Evaluation Plan'!P101</x:f>
        <x:v>3</x:v>
      </x:c>
      <x:c r="Q101" s="9" t="str">
        <x:f>'Evaluation Plan'!Q101</x:f>
        <x:v>Reset P1 to its marked pose; preserve the exact scene and use the trained control instruction.</x:v>
      </x:c>
      <x:c r="R101" s="10" t="str">
        <x:f>'Evaluation Plan'!R101</x:f>
        <x:v>Exact-scene control using the final training prompt from episode 238. The target, reference, distractors, camera, and robot start match the paired transfer row.</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2" s="9" t="str">
        <x:f>IF(ISBLANK('Evaluation Plan'!E102),"",'Evaluation Plan'!E102)</x:f>
      </x:c>
      <x:c r="F102" s="9" t="str">
        <x:f>'Evaluation Plan'!F102</x:f>
        <x:v>239</x:v>
      </x:c>
      <x:c r="G102" s="9" t="str">
        <x:f>'Evaluation Plan'!G102</x:f>
        <x:v>green pen → 2–8 cm edge gap to the right of red block; centroid direction within ±45°.</x:v>
      </x:c>
      <x:c r="H102" s="10"/>
      <x:c r="I102" s="9" t="str">
        <x:f>'Evaluation Plan'!I102</x:f>
        <x:v>Concept/compositional transfer</x:v>
      </x:c>
      <x:c r="J102" s="9" t="str">
        <x:f>'Evaluation Plan'!J102</x:f>
        <x:v>RP-CT-N19</x:v>
      </x:c>
      <x:c r="K102" s="9" t="str">
        <x:f>'Evaluation Plan'!K102</x:f>
        <x:v>right</x:v>
      </x:c>
      <x:c r="L102" s="9" t="str">
        <x:f>'Evaluation Plan'!L102</x:f>
        <x:v>Neutral-axis independent compositional-transfer scene</x:v>
      </x:c>
      <x:c r="M102" s="9" t="str">
        <x:f>'Evaluation Plan'!M102</x:f>
        <x:v>green pen</x:v>
      </x:c>
      <x:c r="N102" s="9" t="str">
        <x:f>'Evaluation Plan'!N102</x:f>
        <x:v>red block</x:v>
      </x:c>
      <x:c r="O102" s="9" t="str">
        <x:f>'Evaluation Plan'!O102</x:f>
        <x:v>None</x:v>
      </x:c>
      <x:c r="P102" s="9" t="n">
        <x:f>'Evaluation Plan'!P102</x:f>
        <x:v>4</x:v>
      </x:c>
      <x:c r="Q102" s="9" t="str">
        <x:f>'Evaluation Plan'!Q102</x:f>
        <x:v>Build the listed neutral-axis scene and save the first frame.</x:v>
      </x:c>
      <x:c r="R102" s="10" t="str">
        <x:f>'Evaluation Plan'!R102</x:f>
        <x:v>Independent held-out-composition scene. Source episode 239 supplies target recognition/manipulation under the trained prompt “Move the green pen near the red block.”. The orthogonal start removes the opposite-side shortcut.</x:v>
      </x:c>
      <x:c r="S102" s="10" t="str">
        <x:f>IF(ISBLANK('Evaluation Plan'!S102),"",'Evaluation Plan'!S102)</x:f>
      </x:c>
    </x:row>
    <x:row r="103" ht="72" customHeight="1">
      <x:c r="A103" s="9" t="str">
        <x:v>Not collected</x:v>
      </x:c>
      <x:c r="B103" s="9" t="n">
        <x:f>'Evaluation Plan'!B103</x:f>
        <x:v>101</x:v>
      </x:c>
      <x:c r="C103" s="10" t="str">
        <x:f>'Evaluation Plan'!C103</x:f>
        <x:v>Move the green pen near the red block.</x:v>
      </x:c>
      <x:c r="D103" s="10" t="str">
        <x:f>'Evaluation Plan'!D103</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3" s="9" t="n">
        <x:f>IF(ISBLANK('Evaluation Plan'!E103),"",'Evaluation Plan'!E103)</x:f>
        <x:v>100</x:v>
      </x:c>
      <x:c r="F103" s="9" t="str">
        <x:f>'Evaluation Plan'!F103</x:f>
        <x:v>239</x:v>
      </x:c>
      <x:c r="G103" s="9" t="str">
        <x:f>'Evaluation Plan'!G103</x:f>
        <x:v>green pen → 2–8 cm edge gap near red block; no directional sector required.</x:v>
      </x:c>
      <x:c r="H103" s="10"/>
      <x:c r="I103" s="9" t="str">
        <x:f>'Evaluation Plan'!I103</x:f>
        <x:v>Matched manipulation control</x:v>
      </x:c>
      <x:c r="J103" s="9" t="str">
        <x:f>'Evaluation Plan'!J103</x:f>
        <x:v>RP-CT-N19</x:v>
      </x:c>
      <x:c r="K103" s="9" t="str">
        <x:f>'Evaluation Plan'!K103</x:f>
        <x:v>right</x:v>
      </x:c>
      <x:c r="L103" s="9" t="str">
        <x:f>'Evaluation Plan'!L103</x:f>
        <x:v>Exact-scene masked manipulation control</x:v>
      </x:c>
      <x:c r="M103" s="9" t="str">
        <x:f>'Evaluation Plan'!M103</x:f>
        <x:v>green pen</x:v>
      </x:c>
      <x:c r="N103" s="9" t="str">
        <x:f>'Evaluation Plan'!N103</x:f>
        <x:v>red block</x:v>
      </x:c>
      <x:c r="O103" s="9" t="str">
        <x:f>'Evaluation Plan'!O103</x:f>
        <x:v>None</x:v>
      </x:c>
      <x:c r="P103" s="9" t="n">
        <x:f>'Evaluation Plan'!P103</x:f>
        <x:v>4</x:v>
      </x:c>
      <x:c r="Q103" s="9" t="str">
        <x:f>'Evaluation Plan'!Q103</x:f>
        <x:v>Reset P1 to its marked pose; preserve the exact scene and use the trained control instruction.</x:v>
      </x:c>
      <x:c r="R103" s="10" t="str">
        <x:f>'Evaluation Plan'!R103</x:f>
        <x:v>Exact-scene control using the final training prompt from episode 239. The target, reference, distractors, camera, and robot start match the paired transfer row.</x:v>
      </x:c>
      <x:c r="S103" s="10" t="str">
        <x:f>IF(ISBLANK('Evaluation Plan'!S103),"",'Evaluation Plan'!S103)</x:f>
      </x:c>
    </x:row>
    <x:row r="104" ht="72" customHeight="1">
      <x:c r="A104" s="9" t="str">
        <x:v>Not collected</x:v>
      </x:c>
      <x:c r="B104" s="9" t="n">
        <x:f>'Evaluation Plan'!B104</x:f>
        <x:v>102</x:v>
      </x:c>
      <x:c r="C104" s="10" t="str">
        <x:f>'Evaluation Plan'!C104</x:f>
        <x:v>Place the red block to the right of the green pen.</x:v>
      </x:c>
      <x:c r="D104" s="10" t="str">
        <x:f>'Evaluation Plan'!D104</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4" s="9" t="str">
        <x:f>IF(ISBLANK('Evaluation Plan'!E104),"",'Evaluation Plan'!E104)</x:f>
      </x:c>
      <x:c r="F104" s="9" t="str">
        <x:f>'Evaluation Plan'!F104</x:f>
        <x:v>299</x:v>
      </x:c>
      <x:c r="G104" s="9" t="str">
        <x:f>'Evaluation Plan'!G104</x:f>
        <x:v>red block → 2–8 cm edge gap to the right of green pen; centroid direction within ±45°.</x:v>
      </x:c>
      <x:c r="H104" s="10"/>
      <x:c r="I104" s="9" t="str">
        <x:f>'Evaluation Plan'!I104</x:f>
        <x:v>Concept/compositional transfer</x:v>
      </x:c>
      <x:c r="J104" s="9" t="str">
        <x:f>'Evaluation Plan'!J104</x:f>
        <x:v>RP-CT-N20</x:v>
      </x:c>
      <x:c r="K104" s="9" t="str">
        <x:f>'Evaluation Plan'!K104</x:f>
        <x:v>right</x:v>
      </x:c>
      <x:c r="L104" s="9" t="str">
        <x:f>'Evaluation Plan'!L104</x:f>
        <x:v>Neutral-axis independent compositional-transfer scene</x:v>
      </x:c>
      <x:c r="M104" s="9" t="str">
        <x:f>'Evaluation Plan'!M104</x:f>
        <x:v>red block</x:v>
      </x:c>
      <x:c r="N104" s="9" t="str">
        <x:f>'Evaluation Plan'!N104</x:f>
        <x:v>green pen</x:v>
      </x:c>
      <x:c r="O104" s="9" t="str">
        <x:f>'Evaluation Plan'!O104</x:f>
        <x:v>None</x:v>
      </x:c>
      <x:c r="P104" s="9" t="n">
        <x:f>'Evaluation Plan'!P104</x:f>
        <x:v>3</x:v>
      </x:c>
      <x:c r="Q104" s="9" t="str">
        <x:f>'Evaluation Plan'!Q104</x:f>
        <x:v>Build the listed neutral-axis scene and save the first frame.</x:v>
      </x:c>
      <x:c r="R104" s="10" t="str">
        <x:f>'Evaluation Plan'!R104</x:f>
        <x:v>Independent held-out-composition scene. Source episode 299 supplies target recognition/manipulation under the trained prompt “Move the red block near the green pen.”. The orthogonal start removes the opposite-side shortcut.</x:v>
      </x:c>
      <x:c r="S104" s="10" t="str">
        <x:f>IF(ISBLANK('Evaluation Plan'!S104),"",'Evaluation Plan'!S104)</x:f>
      </x:c>
    </x:row>
    <x:row r="105" ht="72" customHeight="1">
      <x:c r="A105" s="9" t="str">
        <x:v>Not collected</x:v>
      </x:c>
      <x:c r="B105" s="9" t="n">
        <x:f>'Evaluation Plan'!B105</x:f>
        <x:v>103</x:v>
      </x:c>
      <x:c r="C105" s="10" t="str">
        <x:f>'Evaluation Plan'!C105</x:f>
        <x:v>Move the red block near the green pen.</x:v>
      </x:c>
      <x:c r="D105" s="10" t="str">
        <x:f>'Evaluation Plan'!D105</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5" s="9" t="n">
        <x:f>IF(ISBLANK('Evaluation Plan'!E105),"",'Evaluation Plan'!E105)</x:f>
        <x:v>102</x:v>
      </x:c>
      <x:c r="F105" s="9" t="str">
        <x:f>'Evaluation Plan'!F105</x:f>
        <x:v>299</x:v>
      </x:c>
      <x:c r="G105" s="9" t="str">
        <x:f>'Evaluation Plan'!G105</x:f>
        <x:v>red block → 2–8 cm edge gap near green pen; no directional sector required.</x:v>
      </x:c>
      <x:c r="H105" s="10"/>
      <x:c r="I105" s="9" t="str">
        <x:f>'Evaluation Plan'!I105</x:f>
        <x:v>Matched manipulation control</x:v>
      </x:c>
      <x:c r="J105" s="9" t="str">
        <x:f>'Evaluation Plan'!J105</x:f>
        <x:v>RP-CT-N20</x:v>
      </x:c>
      <x:c r="K105" s="9" t="str">
        <x:f>'Evaluation Plan'!K105</x:f>
        <x:v>right</x:v>
      </x:c>
      <x:c r="L105" s="9" t="str">
        <x:f>'Evaluation Plan'!L105</x:f>
        <x:v>Exact-scene masked manipulation control</x:v>
      </x:c>
      <x:c r="M105" s="9" t="str">
        <x:f>'Evaluation Plan'!M105</x:f>
        <x:v>red block</x:v>
      </x:c>
      <x:c r="N105" s="9" t="str">
        <x:f>'Evaluation Plan'!N105</x:f>
        <x:v>green pen</x:v>
      </x:c>
      <x:c r="O105" s="9" t="str">
        <x:f>'Evaluation Plan'!O105</x:f>
        <x:v>None</x:v>
      </x:c>
      <x:c r="P105" s="9" t="n">
        <x:f>'Evaluation Plan'!P105</x:f>
        <x:v>3</x:v>
      </x:c>
      <x:c r="Q105" s="9" t="str">
        <x:f>'Evaluation Plan'!Q105</x:f>
        <x:v>Reset P1 to its marked pose; preserve the exact scene and use the trained control instruction.</x:v>
      </x:c>
      <x:c r="R105" s="10" t="str">
        <x:f>'Evaluation Plan'!R105</x:f>
        <x:v>Exact-scene control using the final training prompt from episode 299. The target, reference, distractors, camera, and robot start match the paired transfer row.</x:v>
      </x:c>
      <x:c r="S105" s="10" t="str">
        <x:f>IF(ISBLANK('Evaluation Plan'!S105),"",'Evaluation Plan'!S105)</x:f>
      </x:c>
    </x:row>
    <x:row r="106" ht="72" customHeight="1">
      <x:c r="A106" s="9" t="str">
        <x:v>Not collected</x:v>
      </x:c>
      <x:c r="B106" s="9" t="n">
        <x:f>'Evaluation Plan'!B106</x:f>
        <x:v>104</x:v>
      </x:c>
      <x:c r="C106" s="10" t="str">
        <x:f>'Evaluation Plan'!C106</x:f>
        <x:v>Place the green pen in front of the red block.</x:v>
      </x:c>
      <x:c r="D106" s="10" t="str">
        <x:f>'Evaluation Plan'!D106</x:f>
        <x:v>P1 green pen 24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106" s="9" t="str">
        <x:f>IF(ISBLANK('Evaluation Plan'!E106),"",'Evaluation Plan'!E106)</x:f>
      </x:c>
      <x:c r="F106" s="9" t="str">
        <x:f>'Evaluation Plan'!F106</x:f>
        <x:v>203</x:v>
      </x:c>
      <x:c r="G106" s="9" t="str">
        <x:f>'Evaluation Plan'!G106</x:f>
        <x:v>green pen → 2–8 cm edge gap in front of red block; centroid direction within ±45°.</x:v>
      </x:c>
      <x:c r="H106" s="10"/>
      <x:c r="I106" s="9" t="str">
        <x:f>'Evaluation Plan'!I106</x:f>
        <x:v>Concept/compositional transfer</x:v>
      </x:c>
      <x:c r="J106" s="9" t="str">
        <x:f>'Evaluation Plan'!J106</x:f>
        <x:v>RP-CT-N21</x:v>
      </x:c>
      <x:c r="K106" s="9" t="str">
        <x:f>'Evaluation Plan'!K106</x:f>
        <x:v>front</x:v>
      </x:c>
      <x:c r="L106" s="9" t="str">
        <x:f>'Evaluation Plan'!L106</x:f>
        <x:v>Neutral-axis independent compositional-transfer scene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neutral-axis scene and save the first frame.</x:v>
      </x:c>
      <x:c r="R106" s="10" t="str">
        <x:f>'Evaluation Plan'!R106</x:f>
        <x:v>Independent held-out-composition scene. Source episode 203 supplies target recognition/manipulation under the trained prompt “Move the green pen near the red block.”. The orthogonal start removes the opposite-side shortcut.</x:v>
      </x:c>
      <x:c r="S106" s="10" t="str">
        <x:f>IF(ISBLANK('Evaluation Plan'!S106),"",'Evaluation Plan'!S106)</x:f>
      </x:c>
    </x:row>
    <x:row r="107" ht="72" customHeight="1">
      <x:c r="A107" s="9" t="str">
        <x:v>Not collected</x:v>
      </x:c>
      <x:c r="B107" s="9" t="n">
        <x:f>'Evaluation Plan'!B107</x:f>
        <x:v>105</x:v>
      </x:c>
      <x:c r="C107" s="10" t="str">
        <x:f>'Evaluation Plan'!C107</x:f>
        <x:v>Place the red block in front of the green pen.</x:v>
      </x:c>
      <x:c r="D107" s="10" t="str">
        <x:f>'Evaluation Plan'!D107</x:f>
        <x:v>P1 red block 18 cm to the robot-right of P2; P2 green pen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107" s="9" t="str">
        <x:f>IF(ISBLANK('Evaluation Plan'!E107),"",'Evaluation Plan'!E107)</x:f>
      </x:c>
      <x:c r="F107" s="9" t="str">
        <x:f>'Evaluation Plan'!F107</x:f>
        <x:v>260</x:v>
      </x:c>
      <x:c r="G107" s="9" t="str">
        <x:f>'Evaluation Plan'!G107</x:f>
        <x:v>red block → 2–8 cm edge gap in front of green pen; centroid direction within ±45°.</x:v>
      </x:c>
      <x:c r="H107" s="10"/>
      <x:c r="I107" s="9" t="str">
        <x:f>'Evaluation Plan'!I107</x:f>
        <x:v>Concept/compositional transfer</x:v>
      </x:c>
      <x:c r="J107" s="9" t="str">
        <x:f>'Evaluation Plan'!J107</x:f>
        <x:v>RP-CT-N22</x:v>
      </x:c>
      <x:c r="K107" s="9" t="str">
        <x:f>'Evaluation Plan'!K107</x:f>
        <x:v>front</x:v>
      </x:c>
      <x:c r="L107" s="9" t="str">
        <x:f>'Evaluation Plan'!L107</x:f>
        <x:v>Neutral-axis independent compositional-transfer scene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neutral-axis scene and save the first frame.</x:v>
      </x:c>
      <x:c r="R107" s="10" t="str">
        <x:f>'Evaluation Plan'!R107</x:f>
        <x:v>Independent held-out-composition scene. Source episode 260 supplies target recognition/manipulation under the trained prompt “Move the red block near the green pen.”. The orthogonal start removes the opposite-side shortcut.</x:v>
      </x:c>
      <x:c r="S107" s="10" t="str">
        <x:f>IF(ISBLANK('Evaluation Plan'!S107),"",'Evaluation Plan'!S107)</x:f>
      </x:c>
    </x:row>
    <x:row r="108" ht="72" customHeight="1">
      <x:c r="A108" s="9" t="str">
        <x:v>Not collected</x:v>
      </x:c>
      <x:c r="B108" s="9" t="n">
        <x:f>'Evaluation Plan'!B108</x:f>
        <x:v>106</x:v>
      </x:c>
      <x:c r="C108" s="10" t="str">
        <x:f>'Evaluation Plan'!C108</x:f>
        <x:v>Place the green pen behind the red block.</x:v>
      </x:c>
      <x:c r="D108" s="10" t="str">
        <x:f>'Evaluation Plan'!D108</x:f>
        <x:v>P1 green pen 21 cm to the robot-left of P2; P2 red block at R3 (5 cm robot-right of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108" s="9" t="str">
        <x:f>IF(ISBLANK('Evaluation Plan'!E108),"",'Evaluation Plan'!E108)</x:f>
      </x:c>
      <x:c r="F108" s="9" t="str">
        <x:f>'Evaluation Plan'!F108</x:f>
        <x:v>214</x:v>
      </x:c>
      <x:c r="G108" s="9" t="str">
        <x:f>'Evaluation Plan'!G108</x:f>
        <x:v>green pen → 2–8 cm edge gap behind red block; centroid direction within ±45°.</x:v>
      </x:c>
      <x:c r="H108" s="10"/>
      <x:c r="I108" s="9" t="str">
        <x:f>'Evaluation Plan'!I108</x:f>
        <x:v>Concept/compositional transfer</x:v>
      </x:c>
      <x:c r="J108" s="9" t="str">
        <x:f>'Evaluation Plan'!J108</x:f>
        <x:v>RP-CT-N23</x:v>
      </x:c>
      <x:c r="K108" s="9" t="str">
        <x:f>'Evaluation Plan'!K108</x:f>
        <x:v>behind</x:v>
      </x:c>
      <x:c r="L108" s="9" t="str">
        <x:f>'Evaluation Plan'!L108</x:f>
        <x:v>Neutral-axis independent compositional-transfer scene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neutral-axis scene and save the first frame.</x:v>
      </x:c>
      <x:c r="R108" s="10" t="str">
        <x:f>'Evaluation Plan'!R108</x:f>
        <x:v>Independent held-out-composition scene. Source episode 214 supplies target recognition/manipulation under the trained prompt “Put the green pen beside the red block.”. The orthogonal start removes the opposite-side shortcut.</x:v>
      </x:c>
      <x:c r="S108" s="10" t="str">
        <x:f>IF(ISBLANK('Evaluation Plan'!S108),"",'Evaluation Plan'!S108)</x:f>
      </x:c>
    </x:row>
    <x:row r="109" ht="72" customHeight="1">
      <x:c r="A109" s="9" t="str">
        <x:v>Not collected</x:v>
      </x:c>
      <x:c r="B109" s="9" t="n">
        <x:f>'Evaluation Plan'!B109</x:f>
        <x:v>107</x:v>
      </x:c>
      <x:c r="C109" s="10" t="str">
        <x:f>'Evaluation Plan'!C109</x:f>
        <x:v>Place the red block behind the green pen.</x:v>
      </x:c>
      <x:c r="D109" s="10" t="str">
        <x:f>'Evaluation Plan'!D109</x:f>
        <x:v>P1 red block 24 cm to the robot-right of P2; P2 green pen at R4 (5 cm toward the robot from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109" s="9" t="str">
        <x:f>IF(ISBLANK('Evaluation Plan'!E109),"",'Evaluation Plan'!E109)</x:f>
      </x:c>
      <x:c r="F109" s="9" t="str">
        <x:f>'Evaluation Plan'!F109</x:f>
        <x:v>274</x:v>
      </x:c>
      <x:c r="G109" s="9" t="str">
        <x:f>'Evaluation Plan'!G109</x:f>
        <x:v>red block → 2–8 cm edge gap behind green pen; centroid direction within ±45°.</x:v>
      </x:c>
      <x:c r="H109" s="10"/>
      <x:c r="I109" s="9" t="str">
        <x:f>'Evaluation Plan'!I109</x:f>
        <x:v>Concept/compositional transfer</x:v>
      </x:c>
      <x:c r="J109" s="9" t="str">
        <x:f>'Evaluation Plan'!J109</x:f>
        <x:v>RP-CT-N24</x:v>
      </x:c>
      <x:c r="K109" s="9" t="str">
        <x:f>'Evaluation Plan'!K109</x:f>
        <x:v>behind</x:v>
      </x:c>
      <x:c r="L109" s="9" t="str">
        <x:f>'Evaluation Plan'!L109</x:f>
        <x:v>Neutral-axis independent compositional-transfer scene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neutral-axis scene and save the first frame.</x:v>
      </x:c>
      <x:c r="R109" s="10" t="str">
        <x:f>'Evaluation Plan'!R109</x:f>
        <x:v>Independent held-out-composition scene. Source episode 274 supplies target recognition/manipulation under the trained prompt “Put the red block beside the green pen.”. The orthogonal start removes the opposite-side shortcut.</x:v>
      </x:c>
      <x:c r="S109" s="10" t="str">
        <x:f>IF(ISBLANK('Evaluation Plan'!S109),"",'Evaluation Plan'!S109)</x:f>
      </x:c>
    </x:row>
    <x:row r="110" ht="72" customHeight="1">
      <x:c r="A110" s="9" t="str">
        <x:v>Not collected</x:v>
      </x:c>
      <x:c r="B110" s="9" t="n">
        <x:f>'Evaluation Plan'!B110</x:f>
        <x:v>108</x:v>
      </x:c>
      <x:c r="C110" s="10" t="str">
        <x:f>'Evaluation Plan'!C110</x:f>
        <x:v>Place the green pen to the left of the red block.</x:v>
      </x:c>
      <x:c r="D110" s="10" t="str">
        <x:f>'Evaluation Plan'!D110</x:f>
        <x:v>P1 green pen 18 cm in front of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110" s="9" t="str">
        <x:f>IF(ISBLANK('Evaluation Plan'!E110),"",'Evaluation Plan'!E110)</x:f>
      </x:c>
      <x:c r="F110" s="9" t="str">
        <x:f>'Evaluation Plan'!F110</x:f>
        <x:v>226</x:v>
      </x:c>
      <x:c r="G110" s="9" t="str">
        <x:f>'Evaluation Plan'!G110</x:f>
        <x:v>green pen → 2–8 cm edge gap to the left of red block; centroid direction within ±45°.</x:v>
      </x:c>
      <x:c r="H110" s="10"/>
      <x:c r="I110" s="9" t="str">
        <x:f>'Evaluation Plan'!I110</x:f>
        <x:v>Concept/compositional transfer</x:v>
      </x:c>
      <x:c r="J110" s="9" t="str">
        <x:f>'Evaluation Plan'!J110</x:f>
        <x:v>RP-CT-N25</x:v>
      </x:c>
      <x:c r="K110" s="9" t="str">
        <x:f>'Evaluation Plan'!K110</x:f>
        <x:v>left</x:v>
      </x:c>
      <x:c r="L110" s="9" t="str">
        <x:f>'Evaluation Plan'!L110</x:f>
        <x:v>Neutral-axis independent compositional-transfer scene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neutral-axis scene and save the first frame.</x:v>
      </x:c>
      <x:c r="R110" s="10" t="str">
        <x:f>'Evaluation Plan'!R110</x:f>
        <x:v>Independent held-out-composition scene. Source episode 226 supplies target recognition/manipulation under the trained prompt “Put the green pen beside the red block.”. The orthogonal start removes the opposite-side shortcut.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red block 21 cm behind P2; P2 green pen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RP-CT-N26</x:v>
      </x:c>
      <x:c r="K111" s="9" t="str">
        <x:f>'Evaluation Plan'!K111</x:f>
        <x:v>right</x:v>
      </x:c>
      <x:c r="L111" s="9" t="str">
        <x:f>'Evaluation Plan'!L111</x:f>
        <x:v>Neutral-axis independent compositional-transfer scene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neutral-axis scene and save the first frame.</x:v>
      </x:c>
      <x:c r="R111" s="10" t="str">
        <x:f>'Evaluation Plan'!R111</x:f>
        <x:v>Independent held-out-composition scene. Source episode 298 supplies target recognition/manipulation under the trained prompt “Put the red block beside the green pen.”. The orthogonal start removes the opposite-side shortcut.</x:v>
      </x:c>
      <x:c r="S111" s="10" t="str">
        <x:f>IF(ISBLANK('Evaluation Plan'!S111),"",'Evaluation Plan'!S111)</x:f>
      </x:c>
    </x:row>
    <x:row r="112" ht="72" customHeight="1">
      <x:c r="A112" s="9" t="str">
        <x:v>Not collected</x:v>
      </x:c>
      <x:c r="B112" s="9" t="n">
        <x:f>'Evaluation Plan'!B112</x:f>
        <x:v>110</x:v>
      </x:c>
      <x:c r="C112" s="10" t="str">
        <x:f>'Evaluation Plan'!C112</x:f>
        <x:v>Place the juggling ball in front of the pink marker.</x:v>
      </x:c>
      <x:c r="D112" s="10" t="str">
        <x:f>'Evaluation Plan'!D112</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2" s="9" t="str">
        <x:f>IF(ISBLANK('Evaluation Plan'!E112),"",'Evaluation Plan'!E112)</x:f>
      </x:c>
      <x:c r="F112" s="9" t="str">
        <x:f>'Evaluation Plan'!F112</x:f>
        <x:v>1100 (juggling-ball exposure); 204 (front relation)</x:v>
      </x:c>
      <x:c r="G112" s="9" t="str">
        <x:f>'Evaluation Plan'!G112</x:f>
        <x:v>juggling ball → 2–8 cm edge gap in front of pink marker; centroid direction within ±45°.</x:v>
      </x:c>
      <x:c r="H112" s="10"/>
      <x:c r="I112" s="9" t="str">
        <x:f>'Evaluation Plan'!I112</x:f>
        <x:v>Cross-task-object directional reasoning</x:v>
      </x:c>
      <x:c r="J112" s="9" t="str">
        <x:f>'Evaluation Plan'!J112</x:f>
        <x:v>RP-XT-CF01</x:v>
      </x:c>
      <x:c r="K112" s="9" t="str">
        <x:f>'Evaluation Plan'!K112</x:f>
        <x:v>front</x:v>
      </x:c>
      <x:c r="L112" s="9" t="str">
        <x:f>'Evaluation Plan'!L112</x:f>
        <x:v>Four-way cross-task counterfactual: front/behind polarity × juggling-ball target/reference role</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neutral-axis scene and save the first frame.</x:v>
      </x:c>
      <x:c r="R112" s="10" t="str">
        <x:f>'Evaluation Plan'!R112</x:f>
        <x:v>The juggling ball is globally familiar but absent from Relational Placement training. This exact-scene family crosses direction with its target role and contains no direct-name control.</x:v>
      </x:c>
      <x:c r="S112" s="10" t="str">
        <x:f>IF(ISBLANK('Evaluation Plan'!S112),"",'Evaluation Plan'!S112)</x:f>
      </x:c>
    </x:row>
    <x:row r="113" ht="72" customHeight="1">
      <x:c r="A113" s="24" t="str">
        <x:v>Not collected</x:v>
      </x:c>
      <x:c r="B113" s="24" t="n">
        <x:f>'Evaluation Plan'!B113</x:f>
        <x:v>111</x:v>
      </x:c>
      <x:c r="C113" s="25" t="str">
        <x:f>'Evaluation Plan'!C113</x:f>
        <x:v>Place the juggling ball behind the pink marker.</x:v>
      </x:c>
      <x:c r="D113" s="25" t="str">
        <x:f>'Evaluation Plan'!D113</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3" s="24" t="n">
        <x:f>IF(ISBLANK('Evaluation Plan'!E113),"",'Evaluation Plan'!E113)</x:f>
        <x:v>110</x:v>
      </x:c>
      <x:c r="F113" s="24" t="str">
        <x:f>'Evaluation Plan'!F113</x:f>
        <x:v>1100 (juggling-ball exposure); 217 (behind relation)</x:v>
      </x:c>
      <x:c r="G113" s="24" t="str">
        <x:f>'Evaluation Plan'!G113</x:f>
        <x:v>juggling ball → 2–8 cm edge gap behind pink marker; centroid direction within ±45°.</x:v>
      </x:c>
      <x:c r="H113" s="25"/>
      <x:c r="I113" s="24" t="str">
        <x:f>'Evaluation Plan'!I113</x:f>
        <x:v>Cross-task-object directional reasoning</x:v>
      </x:c>
      <x:c r="J113" s="24" t="str">
        <x:f>'Evaluation Plan'!J113</x:f>
        <x:v>RP-XT-CF01</x:v>
      </x:c>
      <x:c r="K113" s="24" t="str">
        <x:f>'Evaluation Plan'!K113</x:f>
        <x:v>behind</x:v>
      </x:c>
      <x:c r="L113" s="24" t="str">
        <x:f>'Evaluation Plan'!L113</x:f>
        <x:v>Four-way cross-task counterfactual: front/behind polarity × juggling-ball target/reference role</x:v>
      </x:c>
      <x:c r="M113" s="24" t="str">
        <x:f>'Evaluation Plan'!M113</x:f>
        <x:v>juggling ball</x:v>
      </x:c>
      <x:c r="N113" s="24" t="str">
        <x:f>'Evaluation Plan'!N113</x:f>
        <x:v>pink marker</x:v>
      </x:c>
      <x:c r="O113" s="24" t="str">
        <x:f>'Evaluation Plan'!O113</x:f>
        <x:v>Target</x:v>
      </x:c>
      <x:c r="P113" s="24" t="n">
        <x:f>'Evaluation Plan'!P113</x:f>
        <x:v>3</x:v>
      </x:c>
      <x:c r="Q113" s="24" t="str">
        <x:f>'Evaluation Plan'!Q113</x:f>
        <x:v>Reset every manipulated core object to its marked pose; preserve the exact scene and change only the instruction.</x:v>
      </x:c>
      <x:c r="R113" s="25" t="str">
        <x:f>'Evaluation Plan'!R113</x:f>
        <x:v>The juggling ball is globally familiar but absent from Relational Placement training. This exact-scene family crosses direction with its target role and contains no direct-name control.</x:v>
      </x:c>
      <x:c r="S113" s="25" t="str">
        <x:f>IF(ISBLANK('Evaluation Plan'!S113),"",'Evaluation Plan'!S113)</x:f>
      </x:c>
    </x:row>
    <x:row r="114" ht="72" customHeight="1">
      <x:c r="A114" s="9" t="str">
        <x:v>Not collected</x:v>
      </x:c>
      <x:c r="B114" s="9" t="n">
        <x:f>'Evaluation Plan'!B114</x:f>
        <x:v>112</x:v>
      </x:c>
      <x:c r="C114" s="10" t="str">
        <x:f>'Evaluation Plan'!C114</x:f>
        <x:v>Place the pink marker in front of the juggling ball.</x:v>
      </x:c>
      <x:c r="D114" s="10" t="str">
        <x:f>'Evaluation Plan'!D114</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4" s="9" t="n">
        <x:f>IF(ISBLANK('Evaluation Plan'!E114),"",'Evaluation Plan'!E114)</x:f>
        <x:v>110</x:v>
      </x:c>
      <x:c r="F114" s="9" t="str">
        <x:f>'Evaluation Plan'!F114</x:f>
        <x:v>1100 (juggling-ball exposure); 305 (front relation with pink marker as target)</x:v>
      </x:c>
      <x:c r="G114" s="9" t="str">
        <x:f>'Evaluation Plan'!G114</x:f>
        <x:v>pink marker → 2–8 cm edge gap in front of juggling ball; centroid direction within ±45°.</x:v>
      </x:c>
      <x:c r="H114" s="10"/>
      <x:c r="I114" s="9" t="str">
        <x:f>'Evaluation Plan'!I114</x:f>
        <x:v>Cross-task-object directional reasoning</x:v>
      </x:c>
      <x:c r="J114" s="9" t="str">
        <x:f>'Evaluation Plan'!J114</x:f>
        <x:v>RP-XT-CF01</x:v>
      </x:c>
      <x:c r="K114" s="9" t="str">
        <x:f>'Evaluation Plan'!K114</x:f>
        <x:v>front</x:v>
      </x:c>
      <x:c r="L114" s="9" t="str">
        <x:f>'Evaluation Plan'!L114</x:f>
        <x:v>Four-way cross-task counterfactual: front/behind polarity × juggling-ball target/reference role</x:v>
      </x:c>
      <x:c r="M114" s="9" t="str">
        <x:f>'Evaluation Plan'!M114</x:f>
        <x:v>pink marker</x:v>
      </x:c>
      <x:c r="N114" s="9" t="str">
        <x:f>'Evaluation Plan'!N114</x:f>
        <x:v>juggling ball</x:v>
      </x:c>
      <x:c r="O114" s="9" t="str">
        <x:f>'Evaluation Plan'!O114</x:f>
        <x:v>Reference</x:v>
      </x:c>
      <x:c r="P114" s="9" t="n">
        <x:f>'Evaluation Plan'!P114</x:f>
        <x:v>3</x:v>
      </x:c>
      <x:c r="Q114" s="9" t="str">
        <x:f>'Evaluation Plan'!Q114</x:f>
        <x:v>Reset every manipulated core object to its marked pose; preserve the exact scene and change only the instruction.</x:v>
      </x:c>
      <x:c r="R114" s="10" t="str">
        <x:f>'Evaluation Plan'!R114</x:f>
        <x:v>The juggling ball is globally familiar but absent from Relational Placement training. This exact-scene family crosses direction with its reference role and contains no direct-name control.</x:v>
      </x:c>
      <x:c r="S114" s="10" t="str">
        <x:f>IF(ISBLANK('Evaluation Plan'!S114),"",'Evaluation Plan'!S114)</x:f>
      </x:c>
    </x:row>
    <x:row r="115" ht="72" customHeight="1">
      <x:c r="A115" s="24" t="str">
        <x:v>Not collected</x:v>
      </x:c>
      <x:c r="B115" s="24" t="n">
        <x:f>'Evaluation Plan'!B115</x:f>
        <x:v>113</x:v>
      </x:c>
      <x:c r="C115" s="25" t="str">
        <x:f>'Evaluation Plan'!C115</x:f>
        <x:v>Place the pink marker behind the juggling ball.</x:v>
      </x:c>
      <x:c r="D115" s="25" t="str">
        <x:f>'Evaluation Plan'!D115</x:f>
        <x:v>P1 juggling ball 18 cm to the robot-left of P2; P2 pink marker at R1 (table center); P3 green pen 20 cm diagonally robot-right and in front of P2. All coordinates are from the robot's perspective. The juggling-ball/pink-marker pair begins on the left–right axis, so all four front/behind prompts begin unsatisfied; keep both 2–8 cm goal regions clear.</x:v>
      </x:c>
      <x:c r="E115" s="24" t="n">
        <x:f>IF(ISBLANK('Evaluation Plan'!E115),"",'Evaluation Plan'!E115)</x:f>
        <x:v>110</x:v>
      </x:c>
      <x:c r="F115" s="24" t="str">
        <x:f>'Evaluation Plan'!F115</x:f>
        <x:v>1100 (juggling-ball exposure); 317 (behind relation with pink marker as target)</x:v>
      </x:c>
      <x:c r="G115" s="24" t="str">
        <x:f>'Evaluation Plan'!G115</x:f>
        <x:v>pink marker → 2–8 cm edge gap behind juggling ball; centroid direction within ±45°.</x:v>
      </x:c>
      <x:c r="H115" s="25"/>
      <x:c r="I115" s="24" t="str">
        <x:f>'Evaluation Plan'!I115</x:f>
        <x:v>Cross-task-object directional reasoning</x:v>
      </x:c>
      <x:c r="J115" s="24" t="str">
        <x:f>'Evaluation Plan'!J115</x:f>
        <x:v>RP-XT-CF01</x:v>
      </x:c>
      <x:c r="K115" s="24" t="str">
        <x:f>'Evaluation Plan'!K115</x:f>
        <x:v>behind</x:v>
      </x:c>
      <x:c r="L115" s="24" t="str">
        <x:f>'Evaluation Plan'!L115</x:f>
        <x:v>Four-way cross-task counterfactual: front/behind polarity × juggling-ball target/reference role</x:v>
      </x:c>
      <x:c r="M115" s="24" t="str">
        <x:f>'Evaluation Plan'!M115</x:f>
        <x:v>pink marker</x:v>
      </x:c>
      <x:c r="N115" s="24" t="str">
        <x:f>'Evaluation Plan'!N115</x:f>
        <x:v>juggling ball</x:v>
      </x:c>
      <x:c r="O115" s="24" t="str">
        <x:f>'Evaluation Plan'!O115</x:f>
        <x:v>Reference</x:v>
      </x:c>
      <x:c r="P115" s="24" t="n">
        <x:f>'Evaluation Plan'!P115</x:f>
        <x:v>3</x:v>
      </x:c>
      <x:c r="Q115" s="24" t="str">
        <x:f>'Evaluation Plan'!Q115</x:f>
        <x:v>Reset every manipulated core object to its marked pose; preserve the exact scene and change only the instruction.</x:v>
      </x:c>
      <x:c r="R115" s="25" t="str">
        <x:f>'Evaluation Plan'!R115</x:f>
        <x:v>The juggling ball is globally familiar but absent from Relational Placement training. This exact-scene family crosses direction with its reference role and contains no direct-name control.</x:v>
      </x:c>
      <x:c r="S115" s="25" t="str">
        <x:f>IF(ISBLANK('Evaluation Plan'!S115),"",'Evaluation Plan'!S115)</x:f>
      </x:c>
    </x:row>
    <x:row r="116" ht="72" customHeight="1">
      <x:c r="A116" s="9" t="str">
        <x:v>Not collected</x:v>
      </x:c>
      <x:c r="B116" s="9" t="n">
        <x:f>'Evaluation Plan'!B116</x:f>
        <x:v>114</x:v>
      </x:c>
      <x:c r="C116" s="10" t="str">
        <x:f>'Evaluation Plan'!C116</x:f>
        <x:v>Place the juggling ball in front of the blue block.</x:v>
      </x:c>
      <x:c r="D116" s="10" t="str">
        <x:f>'Evaluation Plan'!D116</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6" s="9" t="str">
        <x:f>IF(ISBLANK('Evaluation Plan'!E116),"",'Evaluation Plan'!E116)</x:f>
      </x:c>
      <x:c r="F116" s="9" t="str">
        <x:f>'Evaluation Plan'!F116</x:f>
        <x:v>1101 (juggling-ball exposure); 208 (front relation)</x:v>
      </x:c>
      <x:c r="G116" s="9" t="str">
        <x:f>'Evaluation Plan'!G116</x:f>
        <x:v>juggling ball → 2–8 cm edge gap in front of blue block; centroid direction within ±45°.</x:v>
      </x:c>
      <x:c r="H116" s="10"/>
      <x:c r="I116" s="9" t="str">
        <x:f>'Evaluation Plan'!I116</x:f>
        <x:v>Cross-task-object directional reasoning</x:v>
      </x:c>
      <x:c r="J116" s="9" t="str">
        <x:f>'Evaluation Plan'!J116</x:f>
        <x:v>RP-XT-CF02</x:v>
      </x:c>
      <x:c r="K116" s="9" t="str">
        <x:f>'Evaluation Plan'!K116</x:f>
        <x:v>front</x:v>
      </x:c>
      <x:c r="L116" s="9" t="str">
        <x:f>'Evaluation Plan'!L116</x:f>
        <x:v>Four-way cross-task counterfactual: front/behind polarity × juggling-ball target/reference role</x:v>
      </x:c>
      <x:c r="M116" s="9" t="str">
        <x:f>'Evaluation Plan'!M116</x:f>
        <x:v>juggling ball</x:v>
      </x:c>
      <x:c r="N116" s="9" t="str">
        <x:f>'Evaluation Plan'!N116</x:f>
        <x:v>blue block</x:v>
      </x:c>
      <x:c r="O116" s="9" t="str">
        <x:f>'Evaluation Plan'!O116</x:f>
        <x:v>Target</x:v>
      </x:c>
      <x:c r="P116" s="9" t="n">
        <x:f>'Evaluation Plan'!P116</x:f>
        <x:v>4</x:v>
      </x:c>
      <x:c r="Q116" s="9" t="str">
        <x:f>'Evaluation Plan'!Q116</x:f>
        <x:v>Build the listed neutral-axis scene and save the first frame.</x:v>
      </x:c>
      <x:c r="R116" s="10" t="str">
        <x:f>'Evaluation Plan'!R116</x:f>
        <x:v>The juggling ball is globally familiar but absent from Relational Placement training. This exact-scene family crosses direction with its target role and contains no direct-name control.</x:v>
      </x:c>
      <x:c r="S116" s="10" t="str">
        <x:f>IF(ISBLANK('Evaluation Plan'!S116),"",'Evaluation Plan'!S116)</x:f>
      </x:c>
    </x:row>
    <x:row r="117" ht="72" customHeight="1">
      <x:c r="A117" s="24" t="str">
        <x:v>Not collected</x:v>
      </x:c>
      <x:c r="B117" s="24" t="n">
        <x:f>'Evaluation Plan'!B117</x:f>
        <x:v>115</x:v>
      </x:c>
      <x:c r="C117" s="25" t="str">
        <x:f>'Evaluation Plan'!C117</x:f>
        <x:v>Place the juggling ball behind the blue block.</x:v>
      </x:c>
      <x:c r="D117" s="25" t="str">
        <x:f>'Evaluation Plan'!D117</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7" s="24" t="n">
        <x:f>IF(ISBLANK('Evaluation Plan'!E117),"",'Evaluation Plan'!E117)</x:f>
        <x:v>114</x:v>
      </x:c>
      <x:c r="F117" s="24" t="str">
        <x:f>'Evaluation Plan'!F117</x:f>
        <x:v>1101 (juggling-ball exposure); 221 (behind relation)</x:v>
      </x:c>
      <x:c r="G117" s="24" t="str">
        <x:f>'Evaluation Plan'!G117</x:f>
        <x:v>juggling ball → 2–8 cm edge gap behind blue block; centroid direction within ±45°.</x:v>
      </x:c>
      <x:c r="H117" s="25"/>
      <x:c r="I117" s="24" t="str">
        <x:f>'Evaluation Plan'!I117</x:f>
        <x:v>Cross-task-object directional reasoning</x:v>
      </x:c>
      <x:c r="J117" s="24" t="str">
        <x:f>'Evaluation Plan'!J117</x:f>
        <x:v>RP-XT-CF02</x:v>
      </x:c>
      <x:c r="K117" s="24" t="str">
        <x:f>'Evaluation Plan'!K117</x:f>
        <x:v>behind</x:v>
      </x:c>
      <x:c r="L117" s="24" t="str">
        <x:f>'Evaluation Plan'!L117</x:f>
        <x:v>Four-way cross-task counterfactual: front/behind polarity × juggling-ball target/reference role</x:v>
      </x:c>
      <x:c r="M117" s="24" t="str">
        <x:f>'Evaluation Plan'!M117</x:f>
        <x:v>juggling ball</x:v>
      </x:c>
      <x:c r="N117" s="24" t="str">
        <x:f>'Evaluation Plan'!N117</x:f>
        <x:v>blue block</x:v>
      </x:c>
      <x:c r="O117" s="24" t="str">
        <x:f>'Evaluation Plan'!O117</x:f>
        <x:v>Target</x:v>
      </x:c>
      <x:c r="P117" s="24" t="n">
        <x:f>'Evaluation Plan'!P117</x:f>
        <x:v>4</x:v>
      </x:c>
      <x:c r="Q117" s="24" t="str">
        <x:f>'Evaluation Plan'!Q117</x:f>
        <x:v>Reset every manipulated core object to its marked pose; preserve the exact scene and change only the instruction.</x:v>
      </x:c>
      <x:c r="R117" s="25" t="str">
        <x:f>'Evaluation Plan'!R117</x:f>
        <x:v>The juggling ball is globally familiar but absent from Relational Placement training. This exact-scene family crosses direction with its target role and contains no direct-name control.</x:v>
      </x:c>
      <x:c r="S117" s="25" t="str">
        <x:f>IF(ISBLANK('Evaluation Plan'!S117),"",'Evaluation Plan'!S117)</x:f>
      </x:c>
    </x:row>
    <x:row r="118" ht="72" customHeight="1">
      <x:c r="A118" s="9" t="str">
        <x:v>Not collected</x:v>
      </x:c>
      <x:c r="B118" s="9" t="n">
        <x:f>'Evaluation Plan'!B118</x:f>
        <x:v>116</x:v>
      </x:c>
      <x:c r="C118" s="10" t="str">
        <x:f>'Evaluation Plan'!C118</x:f>
        <x:v>Place the blue block in front of the juggling ball.</x:v>
      </x:c>
      <x:c r="D118" s="10" t="str">
        <x:f>'Evaluation Plan'!D118</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8" s="9" t="n">
        <x:f>IF(ISBLANK('Evaluation Plan'!E118),"",'Evaluation Plan'!E118)</x:f>
        <x:v>114</x:v>
      </x:c>
      <x:c r="F118" s="9" t="str">
        <x:f>'Evaluation Plan'!F118</x:f>
        <x:v>1101 (juggling-ball exposure); 350 (front relation with blue block as target)</x:v>
      </x:c>
      <x:c r="G118" s="9" t="str">
        <x:f>'Evaluation Plan'!G118</x:f>
        <x:v>blue block → 2–8 cm edge gap in front of juggling ball; centroid direction within ±45°.</x:v>
      </x:c>
      <x:c r="H118" s="10"/>
      <x:c r="I118" s="9" t="str">
        <x:f>'Evaluation Plan'!I118</x:f>
        <x:v>Cross-task-object directional reasoning</x:v>
      </x:c>
      <x:c r="J118" s="9" t="str">
        <x:f>'Evaluation Plan'!J118</x:f>
        <x:v>RP-XT-CF02</x:v>
      </x:c>
      <x:c r="K118" s="9" t="str">
        <x:f>'Evaluation Plan'!K118</x:f>
        <x:v>front</x:v>
      </x:c>
      <x:c r="L118" s="9" t="str">
        <x:f>'Evaluation Plan'!L118</x:f>
        <x:v>Four-way cross-task counterfactual: front/behind polarity × juggling-ball target/reference role</x:v>
      </x:c>
      <x:c r="M118" s="9" t="str">
        <x:f>'Evaluation Plan'!M118</x:f>
        <x:v>blue block</x:v>
      </x:c>
      <x:c r="N118" s="9" t="str">
        <x:f>'Evaluation Plan'!N118</x:f>
        <x:v>juggling ball</x:v>
      </x:c>
      <x:c r="O118" s="9" t="str">
        <x:f>'Evaluation Plan'!O118</x:f>
        <x:v>Reference</x:v>
      </x:c>
      <x:c r="P118" s="9" t="n">
        <x:f>'Evaluation Plan'!P118</x:f>
        <x:v>4</x:v>
      </x:c>
      <x:c r="Q118" s="9" t="str">
        <x:f>'Evaluation Plan'!Q118</x:f>
        <x:v>Reset every manipulated core object to its marked pose; preserve the exact scene and change only the instruction.</x:v>
      </x:c>
      <x:c r="R118" s="10" t="str">
        <x:f>'Evaluation Plan'!R118</x:f>
        <x:v>The juggling ball is globally familiar but absent from Relational Placement training. This exact-scene family crosses direction with its reference role and contains no direct-name control.</x:v>
      </x:c>
      <x:c r="S118" s="10" t="str">
        <x:f>IF(ISBLANK('Evaluation Plan'!S118),"",'Evaluation Plan'!S118)</x:f>
      </x:c>
    </x:row>
    <x:row r="119" ht="72" customHeight="1">
      <x:c r="A119" s="24" t="str">
        <x:v>Not collected</x:v>
      </x:c>
      <x:c r="B119" s="24" t="n">
        <x:f>'Evaluation Plan'!B119</x:f>
        <x:v>117</x:v>
      </x:c>
      <x:c r="C119" s="25" t="str">
        <x:f>'Evaluation Plan'!C119</x:f>
        <x:v>Place the blue block behind the juggling ball.</x:v>
      </x:c>
      <x:c r="D119" s="25" t="str">
        <x:f>'Evaluation Plan'!D119</x:f>
        <x:v>P1 juggling ball 21 cm to the robot-right of P2; P2 blue block at R2 (5 cm robot-left of table center); P3 red block 20 cm diagonally robot-left and behind P2; P4 pink marker 27 cm diagonally robot-right and in front of P2. All coordinates are from the robot's perspective. The juggling-ball/blue-block pair begins on the left–right axis, so all four front/behind prompts begin unsatisfied; keep both 2–8 cm goal regions clear.</x:v>
      </x:c>
      <x:c r="E119" s="24" t="n">
        <x:f>IF(ISBLANK('Evaluation Plan'!E119),"",'Evaluation Plan'!E119)</x:f>
        <x:v>114</x:v>
      </x:c>
      <x:c r="F119" s="24" t="str">
        <x:f>'Evaluation Plan'!F119</x:f>
        <x:v>1101 (juggling-ball exposure); 362 (behind relation with blue block as target)</x:v>
      </x:c>
      <x:c r="G119" s="24" t="str">
        <x:f>'Evaluation Plan'!G119</x:f>
        <x:v>blue block → 2–8 cm edge gap behind juggling ball; centroid direction within ±45°.</x:v>
      </x:c>
      <x:c r="H119" s="25"/>
      <x:c r="I119" s="24" t="str">
        <x:f>'Evaluation Plan'!I119</x:f>
        <x:v>Cross-task-object directional reasoning</x:v>
      </x:c>
      <x:c r="J119" s="24" t="str">
        <x:f>'Evaluation Plan'!J119</x:f>
        <x:v>RP-XT-CF02</x:v>
      </x:c>
      <x:c r="K119" s="24" t="str">
        <x:f>'Evaluation Plan'!K119</x:f>
        <x:v>behind</x:v>
      </x:c>
      <x:c r="L119" s="24" t="str">
        <x:f>'Evaluation Plan'!L119</x:f>
        <x:v>Four-way cross-task counterfactual: front/behind polarity × juggling-ball target/reference role</x:v>
      </x:c>
      <x:c r="M119" s="24" t="str">
        <x:f>'Evaluation Plan'!M119</x:f>
        <x:v>blue block</x:v>
      </x:c>
      <x:c r="N119" s="24" t="str">
        <x:f>'Evaluation Plan'!N119</x:f>
        <x:v>juggling ball</x:v>
      </x:c>
      <x:c r="O119" s="24" t="str">
        <x:f>'Evaluation Plan'!O119</x:f>
        <x:v>Reference</x:v>
      </x:c>
      <x:c r="P119" s="24" t="n">
        <x:f>'Evaluation Plan'!P119</x:f>
        <x:v>4</x:v>
      </x:c>
      <x:c r="Q119" s="24" t="str">
        <x:f>'Evaluation Plan'!Q119</x:f>
        <x:v>Reset every manipulated core object to its marked pose; preserve the exact scene and change only the instruction.</x:v>
      </x:c>
      <x:c r="R119" s="25" t="str">
        <x:f>'Evaluation Plan'!R119</x:f>
        <x:v>The juggling ball is globally familiar but absent from Relational Placement training. This exact-scene family crosses direction with its reference role and contains no direct-name control.</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green pen.</x:v>
      </x:c>
      <x:c r="D120" s="10" t="str">
        <x:f>'Evaluation Plan'!D120</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0" s="9" t="str">
        <x:f>IF(ISBLANK('Evaluation Plan'!E120),"",'Evaluation Plan'!E120)</x:f>
      </x:c>
      <x:c r="F120" s="9" t="str">
        <x:f>'Evaluation Plan'!F120</x:f>
        <x:v>1102 (juggling-ball exposure); 229 (left relation)</x:v>
      </x:c>
      <x:c r="G120" s="9" t="str">
        <x:f>'Evaluation Plan'!G120</x:f>
        <x:v>juggling ball → 2–8 cm edge gap to the left of green pen; centroid direction within ±45°.</x:v>
      </x:c>
      <x:c r="H120" s="10"/>
      <x:c r="I120" s="9" t="str">
        <x:f>'Evaluation Plan'!I120</x:f>
        <x:v>Cross-task-object directional reasoning</x:v>
      </x:c>
      <x:c r="J120" s="9" t="str">
        <x:f>'Evaluation Plan'!J120</x:f>
        <x:v>RP-XT-CF03</x:v>
      </x:c>
      <x:c r="K120" s="9" t="str">
        <x:f>'Evaluation Plan'!K120</x:f>
        <x:v>left</x:v>
      </x:c>
      <x:c r="L120" s="9" t="str">
        <x:f>'Evaluation Plan'!L120</x:f>
        <x:v>Four-way cross-task counterfactual: left/right polarity × juggling-ball target/reference role</x:v>
      </x:c>
      <x:c r="M120" s="9" t="str">
        <x:f>'Evaluation Plan'!M120</x:f>
        <x:v>juggling ball</x:v>
      </x:c>
      <x:c r="N120" s="9" t="str">
        <x:f>'Evaluation Plan'!N120</x:f>
        <x:v>green pen</x:v>
      </x:c>
      <x:c r="O120" s="9" t="str">
        <x:f>'Evaluation Plan'!O120</x:f>
        <x:v>Target</x:v>
      </x:c>
      <x:c r="P120" s="9" t="n">
        <x:f>'Evaluation Plan'!P120</x:f>
        <x:v>3</x:v>
      </x:c>
      <x:c r="Q120" s="9" t="str">
        <x:f>'Evaluation Plan'!Q120</x:f>
        <x:v>Build the listed neutral-axis scene and save the first frame.</x:v>
      </x:c>
      <x:c r="R120" s="10" t="str">
        <x:f>'Evaluation Plan'!R120</x:f>
        <x:v>The juggling ball is globally familiar but absent from Relational Placement training. This exact-scene family crosses direction with its target role and contains no direct-name control.</x:v>
      </x:c>
      <x:c r="S120" s="10" t="str">
        <x:f>IF(ISBLANK('Evaluation Plan'!S120),"",'Evaluation Plan'!S120)</x:f>
      </x:c>
    </x:row>
    <x:row r="121" ht="72" customHeight="1">
      <x:c r="A121" s="24" t="str">
        <x:v>Not collected</x:v>
      </x:c>
      <x:c r="B121" s="24" t="n">
        <x:f>'Evaluation Plan'!B121</x:f>
        <x:v>119</x:v>
      </x:c>
      <x:c r="C121" s="25" t="str">
        <x:f>'Evaluation Plan'!C121</x:f>
        <x:v>Place the juggling ball to the right of the green pen.</x:v>
      </x:c>
      <x:c r="D121" s="25" t="str">
        <x:f>'Evaluation Plan'!D121</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1" s="24" t="n">
        <x:f>IF(ISBLANK('Evaluation Plan'!E121),"",'Evaluation Plan'!E121)</x:f>
        <x:v>118</x:v>
      </x:c>
      <x:c r="F121" s="24" t="str">
        <x:f>'Evaluation Plan'!F121</x:f>
        <x:v>1102 (juggling-ball exposure); 243 (right relation)</x:v>
      </x:c>
      <x:c r="G121" s="24" t="str">
        <x:f>'Evaluation Plan'!G121</x:f>
        <x:v>juggling ball → 2–8 cm edge gap to the right of green pen; centroid direction within ±45°.</x:v>
      </x:c>
      <x:c r="H121" s="25"/>
      <x:c r="I121" s="24" t="str">
        <x:f>'Evaluation Plan'!I121</x:f>
        <x:v>Cross-task-object directional reasoning</x:v>
      </x:c>
      <x:c r="J121" s="24" t="str">
        <x:f>'Evaluation Plan'!J121</x:f>
        <x:v>RP-XT-CF03</x:v>
      </x:c>
      <x:c r="K121" s="24" t="str">
        <x:f>'Evaluation Plan'!K121</x:f>
        <x:v>right</x:v>
      </x:c>
      <x:c r="L121" s="24" t="str">
        <x:f>'Evaluation Plan'!L121</x:f>
        <x:v>Four-way cross-task counterfactual: left/right polarity × juggling-ball target/reference role</x:v>
      </x:c>
      <x:c r="M121" s="24" t="str">
        <x:f>'Evaluation Plan'!M121</x:f>
        <x:v>juggling ball</x:v>
      </x:c>
      <x:c r="N121" s="24" t="str">
        <x:f>'Evaluation Plan'!N121</x:f>
        <x:v>green pen</x:v>
      </x:c>
      <x:c r="O121" s="24" t="str">
        <x:f>'Evaluation Plan'!O121</x:f>
        <x:v>Target</x:v>
      </x:c>
      <x:c r="P121" s="24" t="n">
        <x:f>'Evaluation Plan'!P121</x:f>
        <x:v>3</x:v>
      </x:c>
      <x:c r="Q121" s="24" t="str">
        <x:f>'Evaluation Plan'!Q121</x:f>
        <x:v>Reset every manipulated core object to its marked pose; preserve the exact scene and change only the instruction.</x:v>
      </x:c>
      <x:c r="R121" s="25" t="str">
        <x:f>'Evaluation Plan'!R121</x:f>
        <x:v>The juggling ball is globally familiar but absent from Relational Placement training. This exact-scene family crosses direction with its target role and contains no direct-name control.</x:v>
      </x:c>
      <x:c r="S121" s="25" t="str">
        <x:f>IF(ISBLANK('Evaluation Plan'!S121),"",'Evaluation Plan'!S121)</x:f>
      </x:c>
    </x:row>
    <x:row r="122" ht="72" customHeight="1">
      <x:c r="A122" s="9" t="str">
        <x:v>Not collected</x:v>
      </x:c>
      <x:c r="B122" s="9" t="n">
        <x:f>'Evaluation Plan'!B122</x:f>
        <x:v>120</x:v>
      </x:c>
      <x:c r="C122" s="10" t="str">
        <x:f>'Evaluation Plan'!C122</x:f>
        <x:v>Place the green pen to the left of the juggling ball.</x:v>
      </x:c>
      <x:c r="D122" s="10" t="str">
        <x:f>'Evaluation Plan'!D122</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2" s="9" t="n">
        <x:f>IF(ISBLANK('Evaluation Plan'!E122),"",'Evaluation Plan'!E122)</x:f>
        <x:v>118</x:v>
      </x:c>
      <x:c r="F122" s="9" t="str">
        <x:f>'Evaluation Plan'!F122</x:f>
        <x:v>1102 (juggling-ball exposure); 229 (left relation with green pen as target)</x:v>
      </x:c>
      <x:c r="G122" s="9" t="str">
        <x:f>'Evaluation Plan'!G122</x:f>
        <x:v>green pen → 2–8 cm edge gap to the left of juggling ball; centroid direction within ±45°.</x:v>
      </x:c>
      <x:c r="H122" s="10"/>
      <x:c r="I122" s="9" t="str">
        <x:f>'Evaluation Plan'!I122</x:f>
        <x:v>Cross-task-object directional reasoning</x:v>
      </x:c>
      <x:c r="J122" s="9" t="str">
        <x:f>'Evaluation Plan'!J122</x:f>
        <x:v>RP-XT-CF03</x:v>
      </x:c>
      <x:c r="K122" s="9" t="str">
        <x:f>'Evaluation Plan'!K122</x:f>
        <x:v>left</x:v>
      </x:c>
      <x:c r="L122" s="9" t="str">
        <x:f>'Evaluation Plan'!L122</x:f>
        <x:v>Four-way cross-task counterfactual: left/right polarity × juggling-ball target/reference role</x:v>
      </x:c>
      <x:c r="M122" s="9" t="str">
        <x:f>'Evaluation Plan'!M122</x:f>
        <x:v>green pen</x:v>
      </x:c>
      <x:c r="N122" s="9" t="str">
        <x:f>'Evaluation Plan'!N122</x:f>
        <x:v>juggling ball</x:v>
      </x:c>
      <x:c r="O122" s="9" t="str">
        <x:f>'Evaluation Plan'!O122</x:f>
        <x:v>Reference</x:v>
      </x:c>
      <x:c r="P122" s="9" t="n">
        <x:f>'Evaluation Plan'!P122</x:f>
        <x:v>3</x:v>
      </x:c>
      <x:c r="Q122" s="9" t="str">
        <x:f>'Evaluation Plan'!Q122</x:f>
        <x:v>Reset every manipulated core object to its marked pose; preserve the exact scene and change only the instruction.</x:v>
      </x:c>
      <x:c r="R122" s="10" t="str">
        <x:f>'Evaluation Plan'!R122</x:f>
        <x:v>The juggling ball is globally familiar but absent from Relational Placement training. This exact-scene family crosses direction with its reference role and contains no direct-name control.</x:v>
      </x:c>
      <x:c r="S122" s="10" t="str">
        <x:f>IF(ISBLANK('Evaluation Plan'!S122),"",'Evaluation Plan'!S122)</x:f>
      </x:c>
    </x:row>
    <x:row r="123" ht="72" customHeight="1">
      <x:c r="A123" s="24" t="str">
        <x:v>Not collected</x:v>
      </x:c>
      <x:c r="B123" s="24" t="n">
        <x:f>'Evaluation Plan'!B123</x:f>
        <x:v>121</x:v>
      </x:c>
      <x:c r="C123" s="25" t="str">
        <x:f>'Evaluation Plan'!C123</x:f>
        <x:v>Place the green pen to the right of the juggling ball.</x:v>
      </x:c>
      <x:c r="D123" s="25" t="str">
        <x:f>'Evaluation Plan'!D123</x:f>
        <x:v>P1 juggling ball 18 cm in front of P2; P2 green pen at R3 (5 cm robot-right of table center); P3 blue block 20 cm diagonally robot-left and behind P2. All coordinates are from the robot's perspective. The juggling-ball/green-pen pair begins on the front–behind axis, so all four left/right prompts begin unsatisfied; keep both 2–8 cm goal regions clear.</x:v>
      </x:c>
      <x:c r="E123" s="24" t="n">
        <x:f>IF(ISBLANK('Evaluation Plan'!E123),"",'Evaluation Plan'!E123)</x:f>
        <x:v>118</x:v>
      </x:c>
      <x:c r="F123" s="24" t="str">
        <x:f>'Evaluation Plan'!F123</x:f>
        <x:v>1102 (juggling-ball exposure); 243 (right relation with green pen as target)</x:v>
      </x:c>
      <x:c r="G123" s="24" t="str">
        <x:f>'Evaluation Plan'!G123</x:f>
        <x:v>green pen → 2–8 cm edge gap to the right of juggling ball; centroid direction within ±45°.</x:v>
      </x:c>
      <x:c r="H123" s="25"/>
      <x:c r="I123" s="24" t="str">
        <x:f>'Evaluation Plan'!I123</x:f>
        <x:v>Cross-task-object directional reasoning</x:v>
      </x:c>
      <x:c r="J123" s="24" t="str">
        <x:f>'Evaluation Plan'!J123</x:f>
        <x:v>RP-XT-CF03</x:v>
      </x:c>
      <x:c r="K123" s="24" t="str">
        <x:f>'Evaluation Plan'!K123</x:f>
        <x:v>right</x:v>
      </x:c>
      <x:c r="L123" s="24" t="str">
        <x:f>'Evaluation Plan'!L123</x:f>
        <x:v>Four-way cross-task counterfactual: left/right polarity × juggling-ball target/reference role</x:v>
      </x:c>
      <x:c r="M123" s="24" t="str">
        <x:f>'Evaluation Plan'!M123</x:f>
        <x:v>green pen</x:v>
      </x:c>
      <x:c r="N123" s="24" t="str">
        <x:f>'Evaluation Plan'!N123</x:f>
        <x:v>juggling ball</x:v>
      </x:c>
      <x:c r="O123" s="24" t="str">
        <x:f>'Evaluation Plan'!O123</x:f>
        <x:v>Reference</x:v>
      </x:c>
      <x:c r="P123" s="24" t="n">
        <x:f>'Evaluation Plan'!P123</x:f>
        <x:v>3</x:v>
      </x:c>
      <x:c r="Q123" s="24" t="str">
        <x:f>'Evaluation Plan'!Q123</x:f>
        <x:v>Reset every manipulated core object to its marked pose; preserve the exact scene and change only the instruction.</x:v>
      </x:c>
      <x:c r="R123" s="25" t="str">
        <x:f>'Evaluation Plan'!R123</x:f>
        <x:v>The juggling ball is globally familiar but absent from Relational Placement training. This exact-scene family crosses direction with its reference role and contains no direct-name control.</x:v>
      </x:c>
      <x:c r="S123" s="25" t="str">
        <x:f>IF(ISBLANK('Evaluation Plan'!S123),"",'Evaluation Plan'!S123)</x:f>
      </x:c>
    </x:row>
    <x:row r="124" ht="72" customHeight="1">
      <x:c r="A124" s="9" t="str">
        <x:v>Not collected</x:v>
      </x:c>
      <x:c r="B124" s="9" t="n">
        <x:f>'Evaluation Plan'!B124</x:f>
        <x:v>122</x:v>
      </x:c>
      <x:c r="C124" s="10" t="str">
        <x:f>'Evaluation Plan'!C124</x:f>
        <x:v>Place the juggling ball to the left of the red block.</x:v>
      </x:c>
      <x:c r="D124" s="10" t="str">
        <x:f>'Evaluation Plan'!D124</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4" s="9" t="str">
        <x:f>IF(ISBLANK('Evaluation Plan'!E124),"",'Evaluation Plan'!E124)</x:f>
      </x:c>
      <x:c r="F124" s="9" t="str">
        <x:f>'Evaluation Plan'!F124</x:f>
        <x:v>1103 (juggling-ball exposure); 275 (left relation)</x:v>
      </x:c>
      <x:c r="G124" s="9" t="str">
        <x:f>'Evaluation Plan'!G124</x:f>
        <x:v>juggling ball → 2–8 cm edge gap to the left of red block; centroid direction within ±45°.</x:v>
      </x:c>
      <x:c r="H124" s="10"/>
      <x:c r="I124" s="9" t="str">
        <x:f>'Evaluation Plan'!I124</x:f>
        <x:v>Cross-task-object directional reasoning</x:v>
      </x:c>
      <x:c r="J124" s="9" t="str">
        <x:f>'Evaluation Plan'!J124</x:f>
        <x:v>RP-XT-CF04</x:v>
      </x:c>
      <x:c r="K124" s="9" t="str">
        <x:f>'Evaluation Plan'!K124</x:f>
        <x:v>left</x:v>
      </x:c>
      <x:c r="L124" s="9" t="str">
        <x:f>'Evaluation Plan'!L124</x:f>
        <x:v>Four-way cross-task counterfactual: left/right polarity × juggling-ball target/reference role</x:v>
      </x:c>
      <x:c r="M124" s="9" t="str">
        <x:f>'Evaluation Plan'!M124</x:f>
        <x:v>juggling ball</x:v>
      </x:c>
      <x:c r="N124" s="9" t="str">
        <x:f>'Evaluation Plan'!N124</x:f>
        <x:v>red block</x:v>
      </x:c>
      <x:c r="O124" s="9" t="str">
        <x:f>'Evaluation Plan'!O124</x:f>
        <x:v>Target</x:v>
      </x:c>
      <x:c r="P124" s="9" t="n">
        <x:f>'Evaluation Plan'!P124</x:f>
        <x:v>4</x:v>
      </x:c>
      <x:c r="Q124" s="9" t="str">
        <x:f>'Evaluation Plan'!Q124</x:f>
        <x:v>Build the listed neutral-axis scene and save the first frame.</x:v>
      </x:c>
      <x:c r="R124" s="10" t="str">
        <x:f>'Evaluation Plan'!R124</x:f>
        <x:v>The juggling ball is globally familiar but absent from Relational Placement training. This exact-scene family crosses direction with its target role and contains no direct-name control.</x:v>
      </x:c>
      <x:c r="S124" s="10" t="str">
        <x:f>IF(ISBLANK('Evaluation Plan'!S124),"",'Evaluation Plan'!S124)</x:f>
      </x:c>
    </x:row>
    <x:row r="125" ht="72" customHeight="1">
      <x:c r="A125" s="24" t="str">
        <x:v>Not collected</x:v>
      </x:c>
      <x:c r="B125" s="24" t="n">
        <x:f>'Evaluation Plan'!B125</x:f>
        <x:v>123</x:v>
      </x:c>
      <x:c r="C125" s="25" t="str">
        <x:f>'Evaluation Plan'!C125</x:f>
        <x:v>Place the juggling ball to the right of the red block.</x:v>
      </x:c>
      <x:c r="D125" s="25" t="str">
        <x:f>'Evaluation Plan'!D125</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5" s="24" t="n">
        <x:f>IF(ISBLANK('Evaluation Plan'!E125),"",'Evaluation Plan'!E125)</x:f>
        <x:v>122</x:v>
      </x:c>
      <x:c r="F125" s="24" t="str">
        <x:f>'Evaluation Plan'!F125</x:f>
        <x:v>1103 (juggling-ball exposure); 287 (right relation)</x:v>
      </x:c>
      <x:c r="G125" s="24" t="str">
        <x:f>'Evaluation Plan'!G125</x:f>
        <x:v>juggling ball → 2–8 cm edge gap to the right of red block; centroid direction within ±45°.</x:v>
      </x:c>
      <x:c r="H125" s="25"/>
      <x:c r="I125" s="24" t="str">
        <x:f>'Evaluation Plan'!I125</x:f>
        <x:v>Cross-task-object directional reasoning</x:v>
      </x:c>
      <x:c r="J125" s="24" t="str">
        <x:f>'Evaluation Plan'!J125</x:f>
        <x:v>RP-XT-CF04</x:v>
      </x:c>
      <x:c r="K125" s="24" t="str">
        <x:f>'Evaluation Plan'!K125</x:f>
        <x:v>right</x:v>
      </x:c>
      <x:c r="L125" s="24" t="str">
        <x:f>'Evaluation Plan'!L125</x:f>
        <x:v>Four-way cross-task counterfactual: left/right polarity × juggling-ball target/reference role</x:v>
      </x:c>
      <x:c r="M125" s="24" t="str">
        <x:f>'Evaluation Plan'!M125</x:f>
        <x:v>juggling ball</x:v>
      </x:c>
      <x:c r="N125" s="24" t="str">
        <x:f>'Evaluation Plan'!N125</x:f>
        <x:v>red block</x:v>
      </x:c>
      <x:c r="O125" s="24" t="str">
        <x:f>'Evaluation Plan'!O125</x:f>
        <x:v>Target</x:v>
      </x:c>
      <x:c r="P125" s="24" t="n">
        <x:f>'Evaluation Plan'!P125</x:f>
        <x:v>4</x:v>
      </x:c>
      <x:c r="Q125" s="24" t="str">
        <x:f>'Evaluation Plan'!Q125</x:f>
        <x:v>Reset every manipulated core object to its marked pose; preserve the exact scene and change only the instruction.</x:v>
      </x:c>
      <x:c r="R125" s="25" t="str">
        <x:f>'Evaluation Plan'!R125</x:f>
        <x:v>The juggling ball is globally familiar but absent from Relational Placement training. This exact-scene family crosses direction with its target role and contains no direct-name control.</x:v>
      </x:c>
      <x:c r="S125" s="25" t="str">
        <x:f>IF(ISBLANK('Evaluation Plan'!S125),"",'Evaluation Plan'!S125)</x:f>
      </x:c>
    </x:row>
    <x:row r="126" ht="72" customHeight="1">
      <x:c r="A126" s="9" t="str">
        <x:v>Not collected</x:v>
      </x:c>
      <x:c r="B126" s="9" t="n">
        <x:f>'Evaluation Plan'!B126</x:f>
        <x:v>124</x:v>
      </x:c>
      <x:c r="C126" s="10" t="str">
        <x:f>'Evaluation Plan'!C126</x:f>
        <x:v>Place the red block to the left of the juggling ball.</x:v>
      </x:c>
      <x:c r="D126" s="10" t="str">
        <x:f>'Evaluation Plan'!D126</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6" s="9" t="n">
        <x:f>IF(ISBLANK('Evaluation Plan'!E126),"",'Evaluation Plan'!E126)</x:f>
        <x:v>122</x:v>
      </x:c>
      <x:c r="F126" s="9" t="str">
        <x:f>'Evaluation Plan'!F126</x:f>
        <x:v>1103 (juggling-ball exposure); 275 (left relation with red block as target)</x:v>
      </x:c>
      <x:c r="G126" s="9" t="str">
        <x:f>'Evaluation Plan'!G126</x:f>
        <x:v>red block → 2–8 cm edge gap to the left of juggling ball; centroid direction within ±45°.</x:v>
      </x:c>
      <x:c r="H126" s="10"/>
      <x:c r="I126" s="9" t="str">
        <x:f>'Evaluation Plan'!I126</x:f>
        <x:v>Cross-task-object directional reasoning</x:v>
      </x:c>
      <x:c r="J126" s="9" t="str">
        <x:f>'Evaluation Plan'!J126</x:f>
        <x:v>RP-XT-CF04</x:v>
      </x:c>
      <x:c r="K126" s="9" t="str">
        <x:f>'Evaluation Plan'!K126</x:f>
        <x:v>left</x:v>
      </x:c>
      <x:c r="L126" s="9" t="str">
        <x:f>'Evaluation Plan'!L126</x:f>
        <x:v>Four-way cross-task counterfactual: left/right polarity × juggling-ball target/reference role</x:v>
      </x:c>
      <x:c r="M126" s="9" t="str">
        <x:f>'Evaluation Plan'!M126</x:f>
        <x:v>red block</x:v>
      </x:c>
      <x:c r="N126" s="9" t="str">
        <x:f>'Evaluation Plan'!N126</x:f>
        <x:v>juggling ball</x:v>
      </x:c>
      <x:c r="O126" s="9" t="str">
        <x:f>'Evaluation Plan'!O126</x:f>
        <x:v>Reference</x:v>
      </x:c>
      <x:c r="P126" s="9" t="n">
        <x:f>'Evaluation Plan'!P126</x:f>
        <x:v>4</x:v>
      </x:c>
      <x:c r="Q126" s="9" t="str">
        <x:f>'Evaluation Plan'!Q126</x:f>
        <x:v>Reset every manipulated core object to its marked pose; preserve the exact scene and change only the instruction.</x:v>
      </x:c>
      <x:c r="R126" s="10" t="str">
        <x:f>'Evaluation Plan'!R126</x:f>
        <x:v>The juggling ball is globally familiar but absent from Relational Placement training. This exact-scene family crosses direction with its reference role and contains no direct-name control.</x:v>
      </x:c>
      <x:c r="S126" s="10" t="str">
        <x:f>IF(ISBLANK('Evaluation Plan'!S126),"",'Evaluation Plan'!S126)</x:f>
      </x:c>
    </x:row>
    <x:row r="127" ht="72" customHeight="1">
      <x:c r="A127" s="24" t="str">
        <x:v>Not collected</x:v>
      </x:c>
      <x:c r="B127" s="24" t="n">
        <x:f>'Evaluation Plan'!B127</x:f>
        <x:v>125</x:v>
      </x:c>
      <x:c r="C127" s="25" t="str">
        <x:f>'Evaluation Plan'!C127</x:f>
        <x:v>Place the red block to the right of the juggling ball.</x:v>
      </x:c>
      <x:c r="D127" s="25" t="str">
        <x:f>'Evaluation Plan'!D127</x:f>
        <x:v>P1 juggling ball 21 cm behind P2; P2 red block at R4 (5 cm toward the robot from table center); P3 pink marker 20 cm diagonally robot-right and in front of P2; P4 blue block 27 cm diagonally robot-left and behind P2. All coordinates are from the robot's perspective. The juggling-ball/red-block pair begins on the front–behind axis, so all four left/right prompts begin unsatisfied; keep both 2–8 cm goal regions clear.</x:v>
      </x:c>
      <x:c r="E127" s="24" t="n">
        <x:f>IF(ISBLANK('Evaluation Plan'!E127),"",'Evaluation Plan'!E127)</x:f>
        <x:v>122</x:v>
      </x:c>
      <x:c r="F127" s="24" t="str">
        <x:f>'Evaluation Plan'!F127</x:f>
        <x:v>1103 (juggling-ball exposure); 287 (right relation with red block as target)</x:v>
      </x:c>
      <x:c r="G127" s="24" t="str">
        <x:f>'Evaluation Plan'!G127</x:f>
        <x:v>red block → 2–8 cm edge gap to the right of juggling ball; centroid direction within ±45°.</x:v>
      </x:c>
      <x:c r="H127" s="25"/>
      <x:c r="I127" s="24" t="str">
        <x:f>'Evaluation Plan'!I127</x:f>
        <x:v>Cross-task-object directional reasoning</x:v>
      </x:c>
      <x:c r="J127" s="24" t="str">
        <x:f>'Evaluation Plan'!J127</x:f>
        <x:v>RP-XT-CF04</x:v>
      </x:c>
      <x:c r="K127" s="24" t="str">
        <x:f>'Evaluation Plan'!K127</x:f>
        <x:v>right</x:v>
      </x:c>
      <x:c r="L127" s="24" t="str">
        <x:f>'Evaluation Plan'!L127</x:f>
        <x:v>Four-way cross-task counterfactual: left/right polarity × juggling-ball target/reference role</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every manipulated core object to its marked pose; preserve the exact scene and change only the instruction.</x:v>
      </x:c>
      <x:c r="R127" s="25" t="str">
        <x:f>'Evaluation Plan'!R127</x:f>
        <x:v>The juggling ball is globally familiar but absent from Relational Placement training. This exact-scene family crosses direction with its reference role and contains no direct-name control.</x:v>
      </x:c>
      <x:c r="S127" s="25" t="str">
        <x:f>IF(ISBLANK('Evaluation Plan'!S127),"",'Evaluation Plan'!S127)</x:f>
      </x:c>
    </x:row>
    <x:row r="128" ht="72" customHeight="1">
      <x:c r="A128" s="9" t="str">
        <x:v>Not collected</x:v>
      </x:c>
      <x:c r="B128" s="9" t="n">
        <x:f>'Evaluation Plan'!B128</x:f>
        <x:v>126</x:v>
      </x:c>
      <x:c r="C128" s="10" t="str">
        <x:f>'Evaluation Plan'!C128</x:f>
        <x:v>Place the juggling ball in front of the red block.</x:v>
      </x:c>
      <x:c r="D128" s="10" t="str">
        <x:f>'Evaluation Plan'!D128</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28" s="9" t="str">
        <x:f>IF(ISBLANK('Evaluation Plan'!E128),"",'Evaluation Plan'!E128)</x:f>
      </x:c>
      <x:c r="F128" s="9" t="str">
        <x:f>'Evaluation Plan'!F128</x:f>
        <x:v>1104 (juggling-ball exposure); 254 (front relation)</x:v>
      </x:c>
      <x:c r="G128" s="9" t="str">
        <x:f>'Evaluation Plan'!G128</x:f>
        <x:v>juggling ball → 2–8 cm edge gap in front of red block; centroid direction within ±45°.</x:v>
      </x:c>
      <x:c r="H128" s="10"/>
      <x:c r="I128" s="9" t="str">
        <x:f>'Evaluation Plan'!I128</x:f>
        <x:v>Cross-task-object directional reasoning</x:v>
      </x:c>
      <x:c r="J128" s="9" t="str">
        <x:f>'Evaluation Plan'!J128</x:f>
        <x:v>RP-XT-CF05</x:v>
      </x:c>
      <x:c r="K128" s="9" t="str">
        <x:f>'Evaluation Plan'!K128</x:f>
        <x:v>front</x:v>
      </x:c>
      <x:c r="L128" s="9" t="str">
        <x:f>'Evaluation Plan'!L128</x:f>
        <x:v>Four-prompt mixed-axis cross-task counterfactual with two juggling-ball targets and two references</x:v>
      </x:c>
      <x:c r="M128" s="9" t="str">
        <x:f>'Evaluation Plan'!M128</x:f>
        <x:v>juggling ball</x:v>
      </x:c>
      <x:c r="N128" s="9" t="str">
        <x:f>'Evaluation Plan'!N128</x:f>
        <x:v>red block</x:v>
      </x:c>
      <x:c r="O128" s="9" t="str">
        <x:f>'Evaluation Plan'!O128</x:f>
        <x:v>Target</x:v>
      </x:c>
      <x:c r="P128" s="9" t="n">
        <x:f>'Evaluation Plan'!P128</x:f>
        <x:v>4</x:v>
      </x:c>
      <x:c r="Q128" s="9" t="str">
        <x:f>'Evaluation Plan'!Q128</x:f>
        <x:v>Build the listed neutral-axis scene and save the first frame.</x:v>
      </x:c>
      <x:c r="R128" s="10" t="str">
        <x:f>'Evaluation Plan'!R128</x:f>
        <x:v>The juggling ball is globally familiar but absent from Relational Placement training. This exact-scene family crosses direction with its target role and contains no direct-name control.</x:v>
      </x:c>
      <x:c r="S128" s="10" t="str">
        <x:f>IF(ISBLANK('Evaluation Plan'!S128),"",'Evaluation Plan'!S128)</x:f>
      </x:c>
    </x:row>
    <x:row r="129" ht="72" customHeight="1">
      <x:c r="A129" s="24" t="str">
        <x:v>Not collected</x:v>
      </x:c>
      <x:c r="B129" s="24" t="n">
        <x:f>'Evaluation Plan'!B129</x:f>
        <x:v>127</x:v>
      </x:c>
      <x:c r="C129" s="25" t="str">
        <x:f>'Evaluation Plan'!C129</x:f>
        <x:v>Place the red block behind the juggling ball.</x:v>
      </x:c>
      <x:c r="D129" s="25" t="str">
        <x:f>'Evaluation Plan'!D129</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29" s="24" t="n">
        <x:f>IF(ISBLANK('Evaluation Plan'!E129),"",'Evaluation Plan'!E129)</x:f>
        <x:v>126</x:v>
      </x:c>
      <x:c r="F129" s="24" t="str">
        <x:f>'Evaluation Plan'!F129</x:f>
        <x:v>1104 (juggling-ball exposure); 270 (behind relation with red block as target)</x:v>
      </x:c>
      <x:c r="G129" s="24" t="str">
        <x:f>'Evaluation Plan'!G129</x:f>
        <x:v>red block → 2–8 cm edge gap behind juggling ball; centroid direction within ±45°.</x:v>
      </x:c>
      <x:c r="H129" s="25"/>
      <x:c r="I129" s="24" t="str">
        <x:f>'Evaluation Plan'!I129</x:f>
        <x:v>Cross-task-object directional reasoning</x:v>
      </x:c>
      <x:c r="J129" s="24" t="str">
        <x:f>'Evaluation Plan'!J129</x:f>
        <x:v>RP-XT-CF05</x:v>
      </x:c>
      <x:c r="K129" s="24" t="str">
        <x:f>'Evaluation Plan'!K129</x:f>
        <x:v>behind</x:v>
      </x:c>
      <x:c r="L129" s="24" t="str">
        <x:f>'Evaluation Plan'!L129</x:f>
        <x:v>Four-prompt mixed-axis cross-task counterfactual with two juggling-ball targets and two references</x:v>
      </x:c>
      <x:c r="M129" s="24" t="str">
        <x:f>'Evaluation Plan'!M129</x:f>
        <x:v>red block</x:v>
      </x:c>
      <x:c r="N129" s="24" t="str">
        <x:f>'Evaluation Plan'!N129</x:f>
        <x:v>juggling ball</x:v>
      </x:c>
      <x:c r="O129" s="24" t="str">
        <x:f>'Evaluation Plan'!O129</x:f>
        <x:v>Reference</x:v>
      </x:c>
      <x:c r="P129" s="24" t="n">
        <x:f>'Evaluation Plan'!P129</x:f>
        <x:v>4</x:v>
      </x:c>
      <x:c r="Q129" s="24" t="str">
        <x:f>'Evaluation Plan'!Q129</x:f>
        <x:v>Reset every manipulated core object to its marked pose; preserve the exact scene and change only the instruction.</x:v>
      </x:c>
      <x:c r="R129" s="25" t="str">
        <x:f>'Evaluation Plan'!R129</x:f>
        <x:v>The juggling ball is globally familiar but absent from Relational Placement training. This exact-scene family crosses direction with its reference role and contains no direct-name control.</x:v>
      </x:c>
      <x:c r="S129" s="25" t="str">
        <x:f>IF(ISBLANK('Evaluation Plan'!S129),"",'Evaluation Plan'!S129)</x:f>
      </x:c>
    </x:row>
    <x:row r="130" ht="72" customHeight="1">
      <x:c r="A130" s="9" t="str">
        <x:v>Not collected</x:v>
      </x:c>
      <x:c r="B130" s="9" t="n">
        <x:f>'Evaluation Plan'!B130</x:f>
        <x:v>128</x:v>
      </x:c>
      <x:c r="C130" s="10" t="str">
        <x:f>'Evaluation Plan'!C130</x:f>
        <x:v>Place the juggling ball to the left of the green pen.</x:v>
      </x:c>
      <x:c r="D130" s="10" t="str">
        <x:f>'Evaluation Plan'!D130</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30" s="9" t="n">
        <x:f>IF(ISBLANK('Evaluation Plan'!E130),"",'Evaluation Plan'!E130)</x:f>
        <x:v>126</x:v>
      </x:c>
      <x:c r="F130" s="9" t="str">
        <x:f>'Evaluation Plan'!F130</x:f>
        <x:v>1104 (juggling-ball exposure); 229 (left relation)</x:v>
      </x:c>
      <x:c r="G130" s="9" t="str">
        <x:f>'Evaluation Plan'!G130</x:f>
        <x:v>juggling ball → 2–8 cm edge gap to the left of green pen; centroid direction within ±45°.</x:v>
      </x:c>
      <x:c r="H130" s="10"/>
      <x:c r="I130" s="9" t="str">
        <x:f>'Evaluation Plan'!I130</x:f>
        <x:v>Cross-task-object directional reasoning</x:v>
      </x:c>
      <x:c r="J130" s="9" t="str">
        <x:f>'Evaluation Plan'!J130</x:f>
        <x:v>RP-XT-CF05</x:v>
      </x:c>
      <x:c r="K130" s="9" t="str">
        <x:f>'Evaluation Plan'!K130</x:f>
        <x:v>left</x:v>
      </x:c>
      <x:c r="L130" s="9" t="str">
        <x:f>'Evaluation Plan'!L130</x:f>
        <x:v>Four-prompt mixed-axis cross-task counterfactual with two juggling-ball targets and two references</x:v>
      </x:c>
      <x:c r="M130" s="9" t="str">
        <x:f>'Evaluation Plan'!M130</x:f>
        <x:v>juggling ball</x:v>
      </x:c>
      <x:c r="N130" s="9" t="str">
        <x:f>'Evaluation Plan'!N130</x:f>
        <x:v>green pen</x:v>
      </x:c>
      <x:c r="O130" s="9" t="str">
        <x:f>'Evaluation Plan'!O130</x:f>
        <x:v>Target</x:v>
      </x:c>
      <x:c r="P130" s="9" t="n">
        <x:f>'Evaluation Plan'!P130</x:f>
        <x:v>4</x:v>
      </x:c>
      <x:c r="Q130" s="9" t="str">
        <x:f>'Evaluation Plan'!Q130</x:f>
        <x:v>Reset every manipulated core object to its marked pose; preserve the exact scene and change only the instruction.</x:v>
      </x:c>
      <x:c r="R130" s="10" t="str">
        <x:f>'Evaluation Plan'!R130</x:f>
        <x:v>The juggling ball is globally familiar but absent from Relational Placement training. This exact-scene family crosses direction with its target role and contains no direct-name control.</x:v>
      </x:c>
      <x:c r="S130" s="10" t="str">
        <x:f>IF(ISBLANK('Evaluation Plan'!S130),"",'Evaluation Plan'!S130)</x:f>
      </x:c>
    </x:row>
    <x:row r="131" ht="72" customHeight="1">
      <x:c r="A131" s="24" t="str">
        <x:v>Not collected</x:v>
      </x:c>
      <x:c r="B131" s="24" t="n">
        <x:f>'Evaluation Plan'!B131</x:f>
        <x:v>129</x:v>
      </x:c>
      <x:c r="C131" s="25" t="str">
        <x:f>'Evaluation Plan'!C131</x:f>
        <x:v>Place the green pen to the right of the juggling ball.</x:v>
      </x:c>
      <x:c r="D131" s="25" t="str">
        <x:f>'Evaluation Plan'!D131</x:f>
        <x:v>P1 juggling ball at R5 (5 cm away from the robot from table center); P2 red block 18 cm robot-left of P1; P3 green pen 18 cm behind P1; P4 blue block 27 cm diagonally robot-right and in front of P1. All coordinates are from the robot's perspective. The juggling-ball/red-block pair lies on the left–right axis and the juggling-ball/green-pen pair lies on the front–behind axis, so every listed prompt begins unsatisfied; keep all 2–8 cm goal regions clear.</x:v>
      </x:c>
      <x:c r="E131" s="24" t="n">
        <x:f>IF(ISBLANK('Evaluation Plan'!E131),"",'Evaluation Plan'!E131)</x:f>
        <x:v>126</x:v>
      </x:c>
      <x:c r="F131" s="24" t="str">
        <x:f>'Evaluation Plan'!F131</x:f>
        <x:v>1104 (juggling-ball exposure); 243 (right relation with green pen as target)</x:v>
      </x:c>
      <x:c r="G131" s="24" t="str">
        <x:f>'Evaluation Plan'!G131</x:f>
        <x:v>green pen → 2–8 cm edge gap to the right of juggling ball; centroid direction within ±45°.</x:v>
      </x:c>
      <x:c r="H131" s="25"/>
      <x:c r="I131" s="24" t="str">
        <x:f>'Evaluation Plan'!I131</x:f>
        <x:v>Cross-task-object directional reasoning</x:v>
      </x:c>
      <x:c r="J131" s="24" t="str">
        <x:f>'Evaluation Plan'!J131</x:f>
        <x:v>RP-XT-CF05</x:v>
      </x:c>
      <x:c r="K131" s="24" t="str">
        <x:f>'Evaluation Plan'!K131</x:f>
        <x:v>right</x:v>
      </x:c>
      <x:c r="L131" s="24" t="str">
        <x:f>'Evaluation Plan'!L131</x:f>
        <x:v>Four-prompt mixed-axis cross-task counterfactual with two juggling-ball targets and two references</x:v>
      </x:c>
      <x:c r="M131" s="24" t="str">
        <x:f>'Evaluation Plan'!M131</x:f>
        <x:v>green pen</x:v>
      </x:c>
      <x:c r="N131" s="24" t="str">
        <x:f>'Evaluation Plan'!N131</x:f>
        <x:v>juggling ball</x:v>
      </x:c>
      <x:c r="O131" s="24" t="str">
        <x:f>'Evaluation Plan'!O131</x:f>
        <x:v>Reference</x:v>
      </x:c>
      <x:c r="P131" s="24" t="n">
        <x:f>'Evaluation Plan'!P131</x:f>
        <x:v>4</x:v>
      </x:c>
      <x:c r="Q131" s="24" t="str">
        <x:f>'Evaluation Plan'!Q131</x:f>
        <x:v>Reset every manipulated core object to its marked pose; preserve the exact scene and change only the instruction.</x:v>
      </x:c>
      <x:c r="R131" s="25" t="str">
        <x:f>'Evaluation Plan'!R131</x:f>
        <x:v>The juggling ball is globally familiar but absent from Relational Placement training. This exact-scene family crosses direction with its reference role and contains no direct-name control.</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26" priority="1">
      <x:formula>$A2="Success"</x:formula>
    </x:cfRule>
    <x:cfRule type="expression" dxfId="27" priority="2">
      <x:formula>$A2="Failure"</x:formula>
    </x:cfRule>
  </x:conditionalFormatting>
  <x:conditionalFormatting sqref="I2:I151">
    <x:cfRule type="containsText" dxfId="28" priority="3" operator="containsText" text="In-distribution"/>
    <x:cfRule type="containsText" dxfId="29" priority="4" operator="containsText" text="Concept/compositional"/>
    <x:cfRule type="containsText" dxfId="30" priority="5" operator="containsText" text="Matched manipulation"/>
    <x:cfRule type="containsText" dxfId="31" priority="6" operator="containsText" text="Language robustness"/>
    <x:cfRule type="containsText" dxfId="32" priority="7" operator="containsText" text="Cross-task"/>
    <x:cfRule type="containsText" dxfId="33" priority="8" operator="containsText" text="Goal already"/>
  </x:conditionalFormatting>
  <x:conditionalFormatting sqref="A2:S171">
    <x:cfRule type="expression" dxfId="101" priority="9">
      <x:formula>$A2="Success"</x:formula>
    </x:cfRule>
    <x:cfRule type="expression" dxfId="102" priority="10">
      <x:formula>$A2="Failure"</x:formula>
    </x:cfRule>
  </x:conditionalFormatting>
  <x:conditionalFormatting sqref="I2:I171">
    <x:cfRule type="containsText" dxfId="103" priority="11" operator="containsText" text="In-distribution"/>
    <x:cfRule type="containsText" dxfId="104" priority="12" operator="containsText" text="Concept/compositional"/>
    <x:cfRule type="containsText" dxfId="105" priority="13" operator="containsText" text="Matched manipulation"/>
    <x:cfRule type="containsText" dxfId="106" priority="14" operator="containsText" text="Language robustness"/>
    <x:cfRule type="containsText" dxfId="107" priority="15" operator="containsText" text="Cross-task"/>
    <x:cfRule type="containsText" dxfId="108" priority="16" operator="containsText" text="Goal already"/>
    <x:cfRule type="containsText" dxfId="109"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0f7dde0c6ece4511"/>
  </x:tableParts>
</x:worksheet>
</file>