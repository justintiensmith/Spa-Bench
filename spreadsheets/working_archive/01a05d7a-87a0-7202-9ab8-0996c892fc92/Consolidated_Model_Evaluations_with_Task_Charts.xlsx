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978f81c5fd914743" /></Relationships>
</file>

<file path=xl/workbook.xml><?xml version="1.0" encoding="utf-8"?>
<x:workbook xmlns:x="http://schemas.openxmlformats.org/spreadsheetml/2006/main">
  <x:sheets>
    <x:sheet xmlns:r="http://schemas.openxmlformats.org/officeDocument/2006/relationships" name="Results" sheetId="1" r:id="R0b24e08632644752"/>
    <x:sheet xmlns:r="http://schemas.openxmlformats.org/officeDocument/2006/relationships" name="Read Me" sheetId="2" r:id="Re3cdbf8cced64a83"/>
    <x:sheet xmlns:r="http://schemas.openxmlformats.org/officeDocument/2006/relationships" name="VLA-0" sheetId="3" r:id="R7439e6d4c2f24f34"/>
    <x:sheet xmlns:r="http://schemas.openxmlformats.org/officeDocument/2006/relationships" name="GR00T Vision" sheetId="4" r:id="R929a202c219d4374"/>
    <x:sheet xmlns:r="http://schemas.openxmlformats.org/officeDocument/2006/relationships" name="GR00T Full" sheetId="5" r:id="R12c40cbf22d44025"/>
    <x:sheet xmlns:r="http://schemas.openxmlformats.org/officeDocument/2006/relationships" name="MolmoAct2" sheetId="6" r:id="R3e03bb3dba13470d"/>
    <x:sheet xmlns:r="http://schemas.openxmlformats.org/officeDocument/2006/relationships" name="Pi0.5" sheetId="7" r:id="Rf09eca30957d4d21"/>
    <x:sheet xmlns:r="http://schemas.openxmlformats.org/officeDocument/2006/relationships" name="GR00T Action-Only" sheetId="8" r:id="R07a6efdb08594182"/>
    <x:sheet xmlns:r="http://schemas.openxmlformats.org/officeDocument/2006/relationships" name="Analysis Data" sheetId="9" r:id="Rfbe87221782b47f4"/>
    <x:sheet xmlns:r="http://schemas.openxmlformats.org/officeDocument/2006/relationships" name="Task Charts" sheetId="10" r:id="R042d684c534f4f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9">
    <x:font>
      <x:sz val="11"/>
      <x:name val="Carlito"/>
    </x:font>
    <x:font>
      <x:b/>
      <x:sz val="10"/>
      <x:color rgb="FFFFFFFF"/>
      <x:name val="Carlito"/>
    </x:font>
    <x:font>
      <x:sz val="9"/>
      <x:color rgb="FF26323D"/>
      <x:name val="Carlito"/>
    </x:font>
    <x:font>
      <x:b/>
      <x:sz val="11"/>
      <x:color rgb="FFFFFFFF"/>
      <x:name val="Carlito"/>
    </x:font>
    <x:font>
      <x:b/>
      <x:sz val="18"/>
      <x:color rgb="FFFFFFFF"/>
      <x:name val="Carlito"/>
    </x:font>
    <x:font>
      <x:i/>
      <x:sz val="11"/>
      <x:color rgb="FF26323D"/>
      <x:name val="Carlito"/>
    </x:font>
    <x:font>
      <x:b/>
      <x:sz val="9"/>
      <x:color rgb="FFFFFFFF"/>
      <x:name val="Carlito"/>
    </x:font>
    <x:font>
      <x:sz val="8"/>
      <x:color rgb="FF26323D"/>
      <x:name val="Carlito"/>
    </x:font>
    <x:font>
      <x:i/>
      <x:sz val="9"/>
      <x:color rgb="FF26323D"/>
      <x:name val="Carlito"/>
    </x:font>
    <x:font>
      <x:b/>
      <x:sz val="17"/>
      <x:color rgb="FFFFFFFF"/>
      <x:name val="Carlito"/>
    </x:font>
    <x:font>
      <x:sz val="10"/>
      <x:color rgb="FF26323D"/>
      <x:name val="Carlito"/>
    </x:font>
    <x:font>
      <x:b/>
      <x:sz val="10"/>
      <x:color rgb="FF173B5E"/>
      <x:name val="Carlito"/>
    </x:font>
    <x:font>
      <x:b/>
      <x:sz val="10"/>
      <x:color rgb="FF7A4B00"/>
      <x:name val="Carlito"/>
    </x:font>
    <x:font>
      <x:b/>
      <x:sz val="18"/>
      <x:color rgb="FFFFFFFF"/>
      <x:name val="Aptos Display"/>
    </x:font>
    <x:font>
      <x:i/>
      <x:sz val="10"/>
      <x:color rgb="FF405563"/>
      <x:name val="Aptos"/>
    </x:font>
    <x:font>
      <x:b/>
      <x:sz val="11"/>
      <x:color rgb="FF173F5F"/>
      <x:name val="Aptos"/>
    </x:font>
    <x:font>
      <x:sz val="8"/>
      <x:color rgb="FF243746"/>
      <x:name val="Aptos"/>
    </x:font>
    <x:font>
      <x:b/>
      <x:sz val="8"/>
      <x:color rgb="FFFFFFFF"/>
      <x:name val="Aptos"/>
    </x:font>
    <x:font>
      <x:b/>
      <x:sz val="8"/>
      <x:color rgb="FF173F5F"/>
      <x:name val="Aptos"/>
    </x:font>
  </x:fonts>
  <x:fills count="16">
    <x:fill>
      <x:patternFill patternType="none"/>
    </x:fill>
    <x:fill>
      <x:patternFill patternType="gray125"/>
    </x:fill>
    <x:fill>
      <x:patternFill patternType="solid">
        <x:fgColor rgb="FF245D83"/>
      </x:patternFill>
    </x:fill>
    <x:fill>
      <x:patternFill patternType="solid">
        <x:fgColor rgb="FF173B5E"/>
      </x:patternFill>
    </x:fill>
    <x:fill>
      <x:patternFill patternType="solid">
        <x:fgColor rgb="FFEAF3F8"/>
      </x:patternFill>
    </x:fill>
    <x:fill>
      <x:patternFill patternType="solid">
        <x:fgColor rgb="FF6B7280"/>
      </x:patternFill>
    </x:fill>
    <x:fill>
      <x:patternFill patternType="solid">
        <x:fgColor rgb="FF2563EB"/>
      </x:patternFill>
    </x:fill>
    <x:fill>
      <x:patternFill patternType="solid">
        <x:fgColor rgb="FF7C3AED"/>
      </x:patternFill>
    </x:fill>
    <x:fill>
      <x:patternFill patternType="solid">
        <x:fgColor rgb="FFD97706"/>
      </x:patternFill>
    </x:fill>
    <x:fill>
      <x:patternFill patternType="solid">
        <x:fgColor rgb="FF059669"/>
      </x:patternFill>
    </x:fill>
    <x:fill>
      <x:patternFill patternType="solid">
        <x:fgColor rgb="FFFFFFFF"/>
      </x:patternFill>
    </x:fill>
    <x:fill>
      <x:patternFill patternType="solid">
        <x:fgColor rgb="FFFFF4CE"/>
      </x:patternFill>
    </x:fill>
    <x:fill>
      <x:patternFill patternType="solid">
        <x:fgColor rgb="FF173F5F"/>
      </x:patternFill>
    </x:fill>
    <x:fill>
      <x:patternFill patternType="solid">
        <x:fgColor rgb="FFEAF3F8"/>
      </x:patternFill>
    </x:fill>
    <x:fill>
      <x:patternFill patternType="solid">
        <x:fgColor rgb="FFD9EAF2"/>
      </x:patternFill>
    </x:fill>
    <x:fill>
      <x:patternFill patternType="solid">
        <x:fgColor rgb="FF245F80"/>
      </x:patternFill>
    </x:fill>
  </x:fills>
  <x:borders count="10">
    <x:border/>
    <x:border>
      <x:left style="thin">
        <x:color rgb="FFB8CBD9"/>
      </x:left>
      <x:right style="thin">
        <x:color rgb="FFB8CBD9"/>
      </x:right>
      <x:top style="thin">
        <x:color rgb="FFB8CBD9"/>
      </x:top>
      <x:bottom style="thin">
        <x:color rgb="FFB8CBD9"/>
      </x:bottom>
    </x:border>
    <x:border>
      <x:left style="thin">
        <x:color rgb="FFC9D8E4"/>
      </x:left>
      <x:right style="thin">
        <x:color rgb="FFC9D8E4"/>
      </x:right>
      <x:top style="thin">
        <x:color rgb="FFC9D8E4"/>
      </x:top>
      <x:bottom style="thin">
        <x:color rgb="FFC9D8E4"/>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173B5E"/>
      </x:left>
      <x:top style="thin">
        <x:color rgb="FF173B5E"/>
      </x:top>
      <x:bottom style="thin">
        <x:color rgb="FF173B5E"/>
      </x:bottom>
    </x:border>
    <x:border>
      <x:top style="thin">
        <x:color rgb="FF173B5E"/>
      </x:top>
      <x:bottom style="thin">
        <x:color rgb="FF173B5E"/>
      </x:bottom>
    </x:border>
    <x:border>
      <x:right style="thin">
        <x:color rgb="FF173B5E"/>
      </x:right>
      <x:top style="thin">
        <x:color rgb="FF173B5E"/>
      </x:top>
      <x:bottom style="thin">
        <x:color rgb="FF173B5E"/>
      </x:bottom>
    </x:border>
    <x:border>
      <x:left style="thin">
        <x:color rgb="FFC7D8E5"/>
      </x:left>
      <x:right style="thin">
        <x:color rgb="FFC7D8E5"/>
      </x:right>
      <x:top style="thin">
        <x:color rgb="FFC7D8E5"/>
      </x:top>
      <x:bottom style="thin">
        <x:color rgb="FFC7D8E5"/>
      </x:bottom>
    </x:border>
  </x:borders>
  <x:cellStyleXfs count="1">
    <x:xf numFmtId="0" fontId="0" fillId="0" borderId="0"/>
  </x:cellStyleXfs>
  <x:cellXfs count="1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0" fontId="0" fillId="0" borderId="0" xfId="0" applyNumberFormat="1" applyFont="1" applyFill="1" applyBorder="1"/>
    <x:xf numFmtId="202" fontId="0" fillId="0" borderId="0" xfId="0" applyNumberFormat="1" applyFont="1" applyFill="1" applyBorder="1"/>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0" borderId="2" xfId="0" applyNumberFormat="1" applyFont="1" applyFill="1" applyBorder="1"/>
    <x:xf numFmtId="0" fontId="0" fillId="2" borderId="2" xfId="0" applyNumberFormat="1" applyFont="1" applyFill="1" applyBorder="1"/>
    <x:xf numFmtId="0" fontId="3" fillId="2" borderId="2" xfId="0" applyNumberFormat="1" applyFont="1" applyFill="1" applyBorder="1"/>
    <x:xf numFmtId="202" fontId="0" fillId="0" borderId="2"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3" xfId="0" applyNumberFormat="1" applyFont="1" applyFill="1" applyBorder="1" applyAlignment="1">
      <x:alignment horizontal="center"/>
    </x:xf>
    <x:xf numFmtId="0" fontId="6" fillId="5" borderId="4" xfId="0" applyNumberFormat="1" applyFont="1" applyFill="1" applyBorder="1" applyAlignment="1">
      <x:alignment horizontal="center"/>
    </x:xf>
    <x:xf numFmtId="0" fontId="6" fillId="5" borderId="5" xfId="0" applyNumberFormat="1" applyFont="1" applyFill="1" applyBorder="1" applyAlignment="1">
      <x:alignment horizontal="center"/>
    </x:xf>
    <x:xf numFmtId="0" fontId="6" fillId="5" borderId="3" xfId="0" applyNumberFormat="1" applyFont="1" applyFill="1" applyBorder="1" applyAlignment="1">
      <x:alignment horizontal="center" vertical="center"/>
    </x:xf>
    <x:xf numFmtId="0" fontId="6" fillId="5" borderId="4"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3"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3" xfId="0" applyNumberFormat="1" applyFont="1" applyFill="1" applyBorder="1" applyAlignment="1">
      <x:alignment horizontal="center"/>
    </x:xf>
    <x:xf numFmtId="0" fontId="6" fillId="7" borderId="4" xfId="0" applyNumberFormat="1" applyFont="1" applyFill="1" applyBorder="1" applyAlignment="1">
      <x:alignment horizontal="center"/>
    </x:xf>
    <x:xf numFmtId="0" fontId="6" fillId="7" borderId="5" xfId="0" applyNumberFormat="1" applyFont="1" applyFill="1" applyBorder="1" applyAlignment="1">
      <x:alignment horizontal="center"/>
    </x:xf>
    <x:xf numFmtId="0" fontId="6" fillId="7" borderId="3" xfId="0" applyNumberFormat="1" applyFont="1" applyFill="1" applyBorder="1" applyAlignment="1">
      <x:alignment horizontal="center" vertical="center"/>
    </x:xf>
    <x:xf numFmtId="0" fontId="6" fillId="7" borderId="4" xfId="0" applyNumberFormat="1" applyFont="1" applyFill="1" applyBorder="1" applyAlignment="1">
      <x:alignment horizontal="center" vertical="center"/>
    </x:xf>
    <x:xf numFmtId="0" fontId="6" fillId="7" borderId="5"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3" xfId="0" applyNumberFormat="1" applyFont="1" applyFill="1" applyBorder="1"/>
    <x:xf numFmtId="0" fontId="6" fillId="8" borderId="4" xfId="0" applyNumberFormat="1" applyFont="1" applyFill="1" applyBorder="1"/>
    <x:xf numFmtId="0" fontId="6" fillId="8" borderId="5" xfId="0" applyNumberFormat="1" applyFont="1" applyFill="1" applyBorder="1"/>
    <x:xf numFmtId="0" fontId="6" fillId="8" borderId="3" xfId="0" applyNumberFormat="1" applyFont="1" applyFill="1" applyBorder="1" applyAlignment="1">
      <x:alignment horizontal="center"/>
    </x:xf>
    <x:xf numFmtId="0" fontId="6" fillId="8" borderId="4" xfId="0" applyNumberFormat="1" applyFont="1" applyFill="1" applyBorder="1" applyAlignment="1">
      <x:alignment horizontal="center"/>
    </x:xf>
    <x:xf numFmtId="0" fontId="6" fillId="8" borderId="5" xfId="0" applyNumberFormat="1" applyFont="1" applyFill="1" applyBorder="1" applyAlignment="1">
      <x:alignment horizontal="center"/>
    </x:xf>
    <x:xf numFmtId="0" fontId="6" fillId="8" borderId="3" xfId="0" applyNumberFormat="1" applyFont="1" applyFill="1" applyBorder="1" applyAlignment="1">
      <x:alignment horizontal="center" vertical="center"/>
    </x:xf>
    <x:xf numFmtId="0" fontId="6" fillId="8" borderId="4" xfId="0" applyNumberFormat="1" applyFont="1" applyFill="1" applyBorder="1" applyAlignment="1">
      <x:alignment horizontal="center" vertical="center"/>
    </x:xf>
    <x:xf numFmtId="0" fontId="6" fillId="8" borderId="5"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3" xfId="0" applyNumberFormat="1" applyFont="1" applyFill="1" applyBorder="1"/>
    <x:xf numFmtId="0" fontId="6" fillId="9" borderId="4" xfId="0" applyNumberFormat="1" applyFont="1" applyFill="1" applyBorder="1"/>
    <x:xf numFmtId="0" fontId="6" fillId="9" borderId="5" xfId="0" applyNumberFormat="1" applyFont="1" applyFill="1" applyBorder="1"/>
    <x:xf numFmtId="0" fontId="6" fillId="9" borderId="3" xfId="0" applyNumberFormat="1" applyFont="1" applyFill="1" applyBorder="1" applyAlignment="1">
      <x:alignment horizontal="center"/>
    </x:xf>
    <x:xf numFmtId="0" fontId="6" fillId="9" borderId="4" xfId="0" applyNumberFormat="1" applyFont="1" applyFill="1" applyBorder="1" applyAlignment="1">
      <x:alignment horizontal="center"/>
    </x:xf>
    <x:xf numFmtId="0" fontId="6" fillId="9" borderId="5" xfId="0" applyNumberFormat="1" applyFont="1" applyFill="1" applyBorder="1" applyAlignment="1">
      <x:alignment horizontal="center"/>
    </x:xf>
    <x:xf numFmtId="0" fontId="6" fillId="9" borderId="3" xfId="0" applyNumberFormat="1" applyFont="1" applyFill="1" applyBorder="1" applyAlignment="1">
      <x:alignment horizontal="center" vertical="center"/>
    </x:xf>
    <x:xf numFmtId="0" fontId="6" fillId="9" borderId="4" xfId="0" applyNumberFormat="1" applyFont="1" applyFill="1" applyBorder="1" applyAlignment="1">
      <x:alignment horizontal="center" vertical="center"/>
    </x:xf>
    <x:xf numFmtId="0" fontId="6" fillId="9" borderId="5" xfId="0" applyNumberFormat="1" applyFont="1" applyFill="1" applyBorder="1" applyAlignment="1">
      <x:alignment horizontal="center" vertical="center"/>
    </x:xf>
    <x:xf numFmtId="0" fontId="2" fillId="0" borderId="2" xfId="0" applyNumberFormat="1" applyFont="1" applyFill="1" applyBorder="1"/>
    <x:xf numFmtId="200" fontId="2" fillId="0" borderId="2" xfId="0" applyNumberFormat="1" applyFont="1" applyFill="1" applyBorder="1"/>
    <x:xf numFmtId="202" fontId="2" fillId="0" borderId="2" xfId="0" applyNumberFormat="1" applyFont="1" applyFill="1" applyBorder="1"/>
    <x:xf numFmtId="0" fontId="7" fillId="0" borderId="0" xfId="0" applyNumberFormat="1" applyFont="1" applyFill="1" applyBorder="1"/>
    <x:xf numFmtId="0" fontId="7" fillId="0" borderId="2" xfId="0" applyNumberFormat="1" applyFont="1" applyFill="1" applyBorder="1"/>
    <x:xf numFmtId="0" fontId="7" fillId="0" borderId="2" xfId="0" applyNumberFormat="1" applyFont="1" applyFill="1" applyBorder="1" applyAlignment="1">
      <x:alignment wrapText="1"/>
    </x:xf>
    <x:xf numFmtId="0" fontId="7" fillId="0" borderId="2" xfId="0" applyNumberFormat="1" applyFont="1" applyFill="1" applyBorder="1" applyAlignment="1">
      <x:alignment vertical="center" wrapText="1"/>
    </x:xf>
    <x:xf numFmtId="0" fontId="7" fillId="0" borderId="2" xfId="0" applyNumberFormat="1" applyFont="1" applyFill="1" applyBorder="1" applyAlignment="1">
      <x:alignment horizontal="center" vertical="center" wrapText="1"/>
    </x:xf>
    <x:xf numFmtId="0" fontId="8" fillId="4" borderId="0" xfId="0" applyNumberFormat="1" applyFont="1" applyFill="1" applyBorder="1"/>
    <x:xf numFmtId="0" fontId="8" fillId="4" borderId="0" xfId="0" applyNumberFormat="1" applyFont="1" applyFill="1" applyBorder="1" applyAlignment="1">
      <x:alignment vertical="center"/>
    </x:xf>
    <x:xf numFmtId="0" fontId="0" fillId="10" borderId="0" xfId="0" applyNumberFormat="1" applyFont="1" applyFill="1" applyBorder="1"/>
    <x:xf numFmtId="0" fontId="9" fillId="3" borderId="0" xfId="0" applyNumberFormat="1" applyFont="1" applyFill="1" applyBorder="1"/>
    <x:xf numFmtId="0" fontId="9" fillId="3" borderId="0" xfId="0" applyNumberFormat="1" applyFont="1" applyFill="1" applyBorder="1" applyAlignment="1">
      <x:alignment vertical="center"/>
    </x:xf>
    <x:xf numFmtId="0" fontId="3" fillId="3" borderId="0"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6" xfId="0" applyNumberFormat="1" applyFont="1" applyFill="1" applyBorder="1" applyAlignment="1">
      <x:alignment vertical="center"/>
    </x:xf>
    <x:xf numFmtId="0" fontId="3" fillId="3" borderId="7" xfId="0" applyNumberFormat="1" applyFont="1" applyFill="1" applyBorder="1" applyAlignment="1">
      <x:alignment vertical="center"/>
    </x:xf>
    <x:xf numFmtId="0" fontId="3" fillId="3" borderId="8" xfId="0" applyNumberFormat="1" applyFont="1" applyFill="1" applyBorder="1" applyAlignment="1">
      <x:alignment vertical="center"/>
    </x:xf>
    <x:xf numFmtId="0" fontId="10" fillId="10" borderId="0" xfId="0" applyNumberFormat="1" applyFont="1" applyFill="1" applyBorder="1"/>
    <x:xf numFmtId="0" fontId="10" fillId="10" borderId="2" xfId="0" applyNumberFormat="1" applyFont="1" applyFill="1" applyBorder="1"/>
    <x:xf numFmtId="0" fontId="10" fillId="10" borderId="2" xfId="0" applyNumberFormat="1" applyFont="1" applyFill="1" applyBorder="1" applyAlignment="1">
      <x:alignment wrapText="1"/>
    </x:xf>
    <x:xf numFmtId="0" fontId="10" fillId="10" borderId="2" xfId="0" applyNumberFormat="1" applyFont="1" applyFill="1" applyBorder="1" applyAlignment="1">
      <x:alignment vertical="top" wrapText="1"/>
    </x:xf>
    <x:xf numFmtId="0" fontId="10" fillId="4" borderId="2" xfId="0" applyNumberFormat="1" applyFont="1" applyFill="1" applyBorder="1" applyAlignment="1">
      <x:alignment vertical="top" wrapText="1"/>
    </x:xf>
    <x:xf numFmtId="0" fontId="11" fillId="4" borderId="2" xfId="0" applyNumberFormat="1" applyFont="1" applyFill="1" applyBorder="1" applyAlignment="1">
      <x:alignment vertical="top" wrapText="1"/>
    </x:xf>
    <x:xf numFmtId="0" fontId="10" fillId="10" borderId="2" xfId="0" applyNumberFormat="1" applyFont="1" applyFill="1" applyBorder="1" applyAlignment="1">
      <x:alignment vertical="center" wrapText="1"/>
    </x:xf>
    <x:xf numFmtId="200" fontId="10" fillId="10" borderId="2" xfId="0" applyNumberFormat="1" applyFont="1" applyFill="1" applyBorder="1" applyAlignment="1">
      <x:alignment vertical="center" wrapText="1"/>
    </x:xf>
    <x:xf numFmtId="0" fontId="10" fillId="11" borderId="2" xfId="0" applyNumberFormat="1" applyFont="1" applyFill="1" applyBorder="1" applyAlignment="1">
      <x:alignment vertical="top" wrapText="1"/>
    </x:xf>
    <x:xf numFmtId="0" fontId="12" fillId="11" borderId="2" xfId="0" applyNumberFormat="1" applyFont="1" applyFill="1" applyBorder="1" applyAlignment="1">
      <x:alignment vertical="top"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horizontal="left"/>
    </x:xf>
    <x:xf numFmtId="0" fontId="13" fillId="12" borderId="0" xfId="0" applyNumberFormat="1" applyFont="1" applyFill="1" applyBorder="1" applyAlignment="1">
      <x:alignment horizontal="left" vertical="center"/>
    </x:xf>
    <x:xf numFmtId="0" fontId="0" fillId="13" borderId="0" xfId="0" applyNumberFormat="1" applyFont="1" applyFill="1" applyBorder="1"/>
    <x:xf numFmtId="0" fontId="14" fillId="13" borderId="0" xfId="0" applyNumberFormat="1" applyFont="1" applyFill="1" applyBorder="1"/>
    <x:xf numFmtId="0" fontId="14" fillId="13" borderId="0" xfId="0" applyNumberFormat="1" applyFont="1" applyFill="1" applyBorder="1" applyAlignment="1">
      <x:alignment wrapText="1"/>
    </x:xf>
    <x:xf numFmtId="0" fontId="14" fillId="13" borderId="0" xfId="0" applyNumberFormat="1" applyFont="1" applyFill="1" applyBorder="1" applyAlignment="1">
      <x:alignment vertical="center" wrapText="1"/>
    </x:xf>
    <x:xf numFmtId="0" fontId="0" fillId="14" borderId="0" xfId="0" applyNumberFormat="1" applyFont="1" applyFill="1" applyBorder="1"/>
    <x:xf numFmtId="0" fontId="15" fillId="14" borderId="0" xfId="0" applyNumberFormat="1" applyFont="1" applyFill="1" applyBorder="1"/>
    <x:xf numFmtId="0" fontId="15" fillId="14" borderId="0" xfId="0" applyNumberFormat="1" applyFont="1" applyFill="1" applyBorder="1" applyAlignment="1">
      <x:alignment horizontal="left"/>
    </x:xf>
    <x:xf numFmtId="0" fontId="15" fillId="14" borderId="0" xfId="0" applyNumberFormat="1" applyFont="1" applyFill="1" applyBorder="1" applyAlignment="1">
      <x:alignment horizontal="left" vertical="center"/>
    </x:xf>
    <x:xf numFmtId="0" fontId="16" fillId="0" borderId="0" xfId="0" applyNumberFormat="1" applyFont="1" applyFill="1" applyBorder="1"/>
    <x:xf numFmtId="0" fontId="16" fillId="0" borderId="9" xfId="0" applyNumberFormat="1" applyFont="1" applyFill="1" applyBorder="1"/>
    <x:xf numFmtId="0" fontId="16" fillId="0" borderId="9" xfId="0" applyNumberFormat="1" applyFont="1" applyFill="1" applyBorder="1" applyAlignment="1">
      <x:alignment vertical="center"/>
    </x:xf>
    <x:xf numFmtId="0" fontId="16" fillId="15" borderId="9" xfId="0" applyNumberFormat="1" applyFont="1" applyFill="1" applyBorder="1" applyAlignment="1">
      <x:alignment vertical="center"/>
    </x:xf>
    <x:xf numFmtId="0" fontId="17" fillId="15" borderId="9" xfId="0" applyNumberFormat="1" applyFont="1" applyFill="1" applyBorder="1" applyAlignment="1">
      <x:alignment vertical="center"/>
    </x:xf>
    <x:xf numFmtId="0" fontId="17" fillId="15" borderId="9" xfId="0" applyNumberFormat="1" applyFont="1" applyFill="1" applyBorder="1" applyAlignment="1">
      <x:alignment vertical="center" wrapText="1"/>
    </x:xf>
    <x:xf numFmtId="0" fontId="17" fillId="15" borderId="9" xfId="0" applyNumberFormat="1" applyFont="1" applyFill="1" applyBorder="1" applyAlignment="1">
      <x:alignment horizontal="center" vertical="center" wrapText="1"/>
    </x:xf>
    <x:xf numFmtId="0" fontId="16" fillId="13" borderId="9" xfId="0" applyNumberFormat="1" applyFont="1" applyFill="1" applyBorder="1" applyAlignment="1">
      <x:alignment vertical="center"/>
    </x:xf>
    <x:xf numFmtId="0" fontId="18" fillId="13" borderId="9" xfId="0" applyNumberFormat="1" applyFont="1" applyFill="1" applyBorder="1" applyAlignment="1">
      <x:alignment vertical="center"/>
    </x:xf>
    <x:xf numFmtId="202" fontId="16" fillId="0" borderId="9" xfId="0" applyNumberFormat="1" applyFont="1" applyFill="1" applyBorder="1" applyAlignment="1">
      <x:alignment vertical="center"/>
    </x:xf>
    <x:xf numFmtId="202" fontId="16" fillId="0" borderId="9" xfId="0" applyNumberFormat="1" applyFont="1" applyFill="1" applyBorder="1" applyAlignment="1">
      <x:alignment horizontal="center" vertical="center"/>
    </x:xf>
    <x:xf numFmtId="200" fontId="16" fillId="0" borderId="9" xfId="0" applyNumberFormat="1" applyFont="1" applyFill="1" applyBorder="1" applyAlignment="1">
      <x:alignment vertical="center"/>
    </x:xf>
    <x:xf numFmtId="200" fontId="16" fillId="0" borderId="9" xfId="0" applyNumberFormat="1" applyFont="1" applyFill="1" applyBorder="1" applyAlignment="1">
      <x:alignment horizontal="center" vertical="center"/>
    </x:xf>
  </x:cellXfs>
  <x:cellStyles count="1">
    <x:cellStyle name="Normal" xfId="0"/>
  </x:cellStyles>
  <x:dxfs count="12">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b9dc508106455a" /><Relationship Type="http://schemas.openxmlformats.org/officeDocument/2006/relationships/theme" Target="/xl/theme/theme1.xml" Id="R423b8e20157549ea" /><Relationship Type="http://schemas.openxmlformats.org/officeDocument/2006/relationships/sharedStrings" Target="/xl/sharedStrings.xml" Id="Rf51390ccb6104cbd" /><Relationship Type="http://schemas.openxmlformats.org/officeDocument/2006/relationships/worksheet" Target="/xl/worksheets/sheet1.xml" Id="R0b24e08632644752" /><Relationship Type="http://schemas.openxmlformats.org/officeDocument/2006/relationships/worksheet" Target="/xl/worksheets/sheet2.xml" Id="Re3cdbf8cced64a83" /><Relationship Type="http://schemas.openxmlformats.org/officeDocument/2006/relationships/worksheet" Target="/xl/worksheets/sheet3.xml" Id="R7439e6d4c2f24f34" /><Relationship Type="http://schemas.openxmlformats.org/officeDocument/2006/relationships/worksheet" Target="/xl/worksheets/sheet4.xml" Id="R929a202c219d4374" /><Relationship Type="http://schemas.openxmlformats.org/officeDocument/2006/relationships/worksheet" Target="/xl/worksheets/sheet5.xml" Id="R12c40cbf22d44025" /><Relationship Type="http://schemas.openxmlformats.org/officeDocument/2006/relationships/worksheet" Target="/xl/worksheets/sheet6.xml" Id="R3e03bb3dba13470d" /><Relationship Type="http://schemas.openxmlformats.org/officeDocument/2006/relationships/worksheet" Target="/xl/worksheets/sheet7.xml" Id="Rf09eca30957d4d21" /><Relationship Type="http://schemas.openxmlformats.org/officeDocument/2006/relationships/worksheet" Target="/xl/worksheets/sheet8.xml" Id="R07a6efdb08594182" /><Relationship Type="http://schemas.openxmlformats.org/officeDocument/2006/relationships/worksheet" Target="/xl/worksheets/sheet9.xml" Id="Rfbe87221782b47f4" /><Relationship Type="http://schemas.openxmlformats.org/officeDocument/2006/relationships/worksheet" Target="/xl/worksheets/sheet10.xml" Id="R042d684c534f4f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98fe4af9d73d4db3" /><Relationship Type="http://schemas.openxmlformats.org/officeDocument/2006/relationships/chart" Target="/xl/drawings/charts/chart2.xml" Id="Rc2308862f31f4cb6" /><Relationship Type="http://schemas.openxmlformats.org/officeDocument/2006/relationships/chart" Target="/xl/drawings/charts/chart3.xml" Id="Rf71701091ca740bd" /><Relationship Type="http://schemas.openxmlformats.org/officeDocument/2006/relationships/chart" Target="/xl/drawings/charts/chart4.xml" Id="R43d49aad55474e4e" /></Relationships>
</file>

<file path=xl/drawings/_rels/drawing2.xml.rels>&#65279;<?xml version="1.0" encoding="utf-8"?><Relationships xmlns="http://schemas.openxmlformats.org/package/2006/relationships"><Relationship Type="http://schemas.openxmlformats.org/officeDocument/2006/relationships/chart" Target="/xl/drawings/charts/chart5.xml" Id="Reb2dbd46b4ee4365" /><Relationship Type="http://schemas.openxmlformats.org/officeDocument/2006/relationships/chart" Target="/xl/drawings/charts/chart6.xml" Id="Re489aa3d8bb7492b" /><Relationship Type="http://schemas.openxmlformats.org/officeDocument/2006/relationships/chart" Target="/xl/drawings/charts/chart7.xml" Id="R9acbd0d798b74076" /><Relationship Type="http://schemas.openxmlformats.org/officeDocument/2006/relationships/chart" Target="/xl/drawings/charts/chart8.xml" Id="R50a10bb1eb2b4c1b" /><Relationship Type="http://schemas.openxmlformats.org/officeDocument/2006/relationships/chart" Target="/xl/drawings/charts/chart9.xml" Id="R2f40c2504ed84a03" /><Relationship Type="http://schemas.openxmlformats.org/officeDocument/2006/relationships/chart" Target="/xl/drawings/charts/chart10.xml" Id="R0313070dae7241ef" /><Relationship Type="http://schemas.openxmlformats.org/officeDocument/2006/relationships/chart" Target="/xl/drawings/charts/chart11.xml" Id="R01d7d3bba54b429a" /><Relationship Type="http://schemas.openxmlformats.org/officeDocument/2006/relationships/chart" Target="/xl/drawings/charts/chart12.xml" Id="R64bba42bbadb4df6" /><Relationship Type="http://schemas.openxmlformats.org/officeDocument/2006/relationships/chart" Target="/xl/drawings/charts/chart13.xml" Id="R3603f818bc8248bd" /><Relationship Type="http://schemas.openxmlformats.org/officeDocument/2006/relationships/chart" Target="/xl/drawings/charts/chart14.xml" Id="Rd46baae60d6447c3" /><Relationship Type="http://schemas.openxmlformats.org/officeDocument/2006/relationships/chart" Target="/xl/drawings/charts/chart15.xml" Id="R318d8ac48635409b" /><Relationship Type="http://schemas.openxmlformats.org/officeDocument/2006/relationships/chart" Target="/xl/drawings/charts/chart16.xml" Id="R07e1ed5d278947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In-distribution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Data'!$R$2:$R$2</c:f>
              <c:numCache>
                <c:formatCode>0%</c:formatCode>
                <c:ptCount val="0"/>
              </c:numCache>
            </c:numRef>
          </c:val>
        </c:ser>
        <c:ser>
          <c:idx val="1"/>
          <c:order val="1"/>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Data'!$S$2:$S$2</c:f>
              <c:numCache>
                <c:formatCode>0%</c:formatCode>
                <c:ptCount val="0"/>
              </c:numCache>
            </c:numRef>
          </c:val>
        </c:ser>
        <c:ser>
          <c:idx val="2"/>
          <c:order val="2"/>
          <c:tx>
            <c:v>GR00T-N1.7 Full FT</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Data'!$T$2:$T$2</c:f>
              <c:numCache>
                <c:formatCode>0%</c:formatCode>
                <c:ptCount val="0"/>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Data'!$U$2:$U$2</c:f>
              <c:numCache>
                <c:formatCode>0%</c:formatCode>
                <c:ptCount val="0"/>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Data'!$V$2:$V$2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Concept transfer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Data'!$R$6:$R$6</c:f>
              <c:numCache>
                <c:formatCode>0%</c:formatCode>
                <c:ptCount val="0"/>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Data'!$S$6:$S$6</c:f>
              <c:numCache>
                <c:formatCode>0%</c:formatCode>
                <c:ptCount val="0"/>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Data'!$T$6:$T$6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In-distribution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Data'!$R$10:$R$15</c:f>
              <c:numCache>
                <c:formatCode>0%</c:formatCode>
                <c:ptCount val="0"/>
              </c:numCache>
            </c:numRef>
          </c:val>
        </c:ser>
        <c:ser>
          <c:idx val="1"/>
          <c:order val="1"/>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Data'!$S$10:$S$15</c:f>
              <c:numCache>
                <c:formatCode>0%</c:formatCode>
                <c:ptCount val="0"/>
              </c:numCache>
            </c:numRef>
          </c:val>
        </c:ser>
        <c:ser>
          <c:idx val="2"/>
          <c:order val="2"/>
          <c:tx>
            <c:v>GR00T-N1.7 Full FT</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Data'!$T$10:$T$15</c:f>
              <c:numCache>
                <c:formatCode>0%</c:formatCode>
                <c:ptCount val="0"/>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Data'!$U$10:$U$15</c:f>
              <c:numCache>
                <c:formatCode>0%</c:formatCode>
                <c:ptCount val="0"/>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Data'!$V$10:$V$15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Concept transfer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Data'!$R$19:$R$24</c:f>
              <c:numCache>
                <c:formatCode>0%</c:formatCode>
                <c:ptCount val="0"/>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Data'!$S$19:$S$24</c:f>
              <c:numCache>
                <c:formatCode>0%</c:formatCode>
                <c:ptCount val="0"/>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Data'!$T$19:$T$24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Counting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Charts'!$A$19</c:f>
              <c:strCache>
                <c:ptCount val="0"/>
              </c:strCache>
            </c:strRef>
          </c:cat>
          <c:val>
            <c:numRef>
              <c:f>'Task Charts'!$B$19</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Charts'!$A$19</c:f>
              <c:strCache>
                <c:ptCount val="0"/>
              </c:strCache>
            </c:strRef>
          </c:cat>
          <c:val>
            <c:numRef>
              <c:f>'Task Charts'!$C$19</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Charts'!$A$19</c:f>
              <c:strCache>
                <c:ptCount val="0"/>
              </c:strCache>
            </c:strRef>
          </c:cat>
          <c:val>
            <c:numRef>
              <c:f>'Task Charts'!$D$19</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Charts'!$A$19</c:f>
              <c:strCache>
                <c:ptCount val="0"/>
              </c:strCache>
            </c:strRef>
          </c:cat>
          <c:val>
            <c:numRef>
              <c:f>'Task Charts'!$E$19</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Charts'!$A$19</c:f>
              <c:strCache>
                <c:ptCount val="0"/>
              </c:strCache>
            </c:strRef>
          </c:cat>
          <c:val>
            <c:numRef>
              <c:f>'Task Charts'!$F$19</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Ordinal Reference Ordering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Charts'!$J$19</c:f>
              <c:strCache>
                <c:ptCount val="0"/>
              </c:strCache>
            </c:strRef>
          </c:cat>
          <c:val>
            <c:numRef>
              <c:f>'Task Charts'!$K$19</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Charts'!$J$19</c:f>
              <c:strCache>
                <c:ptCount val="0"/>
              </c:strCache>
            </c:strRef>
          </c:cat>
          <c:val>
            <c:numRef>
              <c:f>'Task Charts'!$L$19</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Charts'!$J$19</c:f>
              <c:strCache>
                <c:ptCount val="0"/>
              </c:strCache>
            </c:strRef>
          </c:cat>
          <c:val>
            <c:numRef>
              <c:f>'Task Charts'!$M$19</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Charts'!$J$19</c:f>
              <c:strCache>
                <c:ptCount val="0"/>
              </c:strCache>
            </c:strRef>
          </c:cat>
          <c:val>
            <c:numRef>
              <c:f>'Task Charts'!$N$19</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Charts'!$J$19</c:f>
              <c:strCache>
                <c:ptCount val="0"/>
              </c:strCache>
            </c:strRef>
          </c:cat>
          <c:val>
            <c:numRef>
              <c:f>'Task Charts'!$O$19</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Relational Placement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Charts'!$S$19</c:f>
              <c:strCache>
                <c:ptCount val="0"/>
              </c:strCache>
            </c:strRef>
          </c:cat>
          <c:val>
            <c:numRef>
              <c:f>'Task Charts'!$T$19</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Charts'!$S$19</c:f>
              <c:strCache>
                <c:ptCount val="0"/>
              </c:strCache>
            </c:strRef>
          </c:cat>
          <c:val>
            <c:numRef>
              <c:f>'Task Charts'!$U$19</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Charts'!$S$19</c:f>
              <c:strCache>
                <c:ptCount val="0"/>
              </c:strCache>
            </c:strRef>
          </c:cat>
          <c:val>
            <c:numRef>
              <c:f>'Task Charts'!$V$19</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Charts'!$S$19</c:f>
              <c:strCache>
                <c:ptCount val="0"/>
              </c:strCache>
            </c:strRef>
          </c:cat>
          <c:val>
            <c:numRef>
              <c:f>'Task Charts'!$W$19</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Charts'!$S$19</c:f>
              <c:strCache>
                <c:ptCount val="0"/>
              </c:strCache>
            </c:strRef>
          </c:cat>
          <c:val>
            <c:numRef>
              <c:f>'Task Charts'!$X$19</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State Recognition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Charts'!$A$43</c:f>
              <c:strCache>
                <c:ptCount val="0"/>
              </c:strCache>
            </c:strRef>
          </c:cat>
          <c:val>
            <c:numRef>
              <c:f>'Task Charts'!$B$43</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Charts'!$A$43</c:f>
              <c:strCache>
                <c:ptCount val="0"/>
              </c:strCache>
            </c:strRef>
          </c:cat>
          <c:val>
            <c:numRef>
              <c:f>'Task Charts'!$C$43</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Charts'!$A$43</c:f>
              <c:strCache>
                <c:ptCount val="0"/>
              </c:strCache>
            </c:strRef>
          </c:cat>
          <c:val>
            <c:numRef>
              <c:f>'Task Charts'!$D$43</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Charts'!$A$43</c:f>
              <c:strCache>
                <c:ptCount val="0"/>
              </c:strCache>
            </c:strRef>
          </c:cat>
          <c:val>
            <c:numRef>
              <c:f>'Task Charts'!$E$43</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Charts'!$A$43</c:f>
              <c:strCache>
                <c:ptCount val="0"/>
              </c:strCache>
            </c:strRef>
          </c:cat>
          <c:val>
            <c:numRef>
              <c:f>'Task Charts'!$F$43</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Size Recognition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Charts'!$J$43</c:f>
              <c:strCache>
                <c:ptCount val="0"/>
              </c:strCache>
            </c:strRef>
          </c:cat>
          <c:val>
            <c:numRef>
              <c:f>'Task Charts'!$K$43</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Charts'!$J$43</c:f>
              <c:strCache>
                <c:ptCount val="0"/>
              </c:strCache>
            </c:strRef>
          </c:cat>
          <c:val>
            <c:numRef>
              <c:f>'Task Charts'!$L$43</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Charts'!$J$43</c:f>
              <c:strCache>
                <c:ptCount val="0"/>
              </c:strCache>
            </c:strRef>
          </c:cat>
          <c:val>
            <c:numRef>
              <c:f>'Task Charts'!$M$43</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Charts'!$J$43</c:f>
              <c:strCache>
                <c:ptCount val="0"/>
              </c:strCache>
            </c:strRef>
          </c:cat>
          <c:val>
            <c:numRef>
              <c:f>'Task Charts'!$N$43</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Charts'!$J$43</c:f>
              <c:strCache>
                <c:ptCount val="0"/>
              </c:strCache>
            </c:strRef>
          </c:cat>
          <c:val>
            <c:numRef>
              <c:f>'Task Charts'!$O$43</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Referential Disambiguation - In-distribution</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VLA-0</c:v>
          </c:tx>
          <c:spPr>
            <a:solidFill xmlns:a="http://schemas.openxmlformats.org/drawingml/2006/main">
              <a:srgbClr val="747C8B"/>
            </a:solidFill>
            <a:ln xmlns:a="http://schemas.openxmlformats.org/drawingml/2006/main" w="4763">
              <a:solidFill>
                <a:srgbClr val="747C8B"/>
              </a:solidFill>
              <a:prstDash val="solid"/>
            </a:ln>
          </c:spPr>
          <c:cat>
            <c:strRef>
              <c:f>'Task Charts'!$S$43</c:f>
              <c:strCache>
                <c:ptCount val="0"/>
              </c:strCache>
            </c:strRef>
          </c:cat>
          <c:val>
            <c:numRef>
              <c:f>'Task Charts'!$T$43</c:f>
              <c:numCache>
                <c:formatCode>0%</c:formatCode>
                <c:ptCount val="0"/>
              </c:numCache>
            </c:numRef>
          </c:val>
        </c:ser>
        <c:ser>
          <c:idx val="1"/>
          <c:order val="1"/>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Charts'!$S$43</c:f>
              <c:strCache>
                <c:ptCount val="0"/>
              </c:strCache>
            </c:strRef>
          </c:cat>
          <c:val>
            <c:numRef>
              <c:f>'Task Charts'!$U$43</c:f>
              <c:numCache>
                <c:formatCode>0%</c:formatCode>
                <c:ptCount val="0"/>
              </c:numCache>
            </c:numRef>
          </c:val>
        </c:ser>
        <c:ser>
          <c:idx val="2"/>
          <c:order val="2"/>
          <c:tx>
            <c:v>GR00T-N1.7 Full FT</c:v>
          </c:tx>
          <c:spPr>
            <a:solidFill xmlns:a="http://schemas.openxmlformats.org/drawingml/2006/main">
              <a:srgbClr val="7C3AED"/>
            </a:solidFill>
            <a:ln xmlns:a="http://schemas.openxmlformats.org/drawingml/2006/main" w="4763">
              <a:solidFill>
                <a:srgbClr val="7C3AED"/>
              </a:solidFill>
              <a:prstDash val="solid"/>
            </a:ln>
          </c:spPr>
          <c:cat>
            <c:strRef>
              <c:f>'Task Charts'!$S$43</c:f>
              <c:strCache>
                <c:ptCount val="0"/>
              </c:strCache>
            </c:strRef>
          </c:cat>
          <c:val>
            <c:numRef>
              <c:f>'Task Charts'!$V$43</c:f>
              <c:numCache>
                <c:formatCode>0%</c:formatCode>
                <c:ptCount val="0"/>
              </c:numCache>
            </c:numRef>
          </c:val>
        </c:ser>
        <c:ser>
          <c:idx val="3"/>
          <c:order val="3"/>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Charts'!$S$43</c:f>
              <c:strCache>
                <c:ptCount val="0"/>
              </c:strCache>
            </c:strRef>
          </c:cat>
          <c:val>
            <c:numRef>
              <c:f>'Task Charts'!$W$43</c:f>
              <c:numCache>
                <c:formatCode>0%</c:formatCode>
                <c:ptCount val="0"/>
              </c:numCache>
            </c:numRef>
          </c:val>
        </c:ser>
        <c:ser>
          <c:idx val="4"/>
          <c:order val="4"/>
          <c:tx>
            <c:v>Pi0.5</c:v>
          </c:tx>
          <c:spPr>
            <a:solidFill xmlns:a="http://schemas.openxmlformats.org/drawingml/2006/main">
              <a:srgbClr val="07966F"/>
            </a:solidFill>
            <a:ln xmlns:a="http://schemas.openxmlformats.org/drawingml/2006/main" w="4763">
              <a:solidFill>
                <a:srgbClr val="07966F"/>
              </a:solidFill>
              <a:prstDash val="solid"/>
            </a:ln>
          </c:spPr>
          <c:cat>
            <c:strRef>
              <c:f>'Task Charts'!$S$43</c:f>
              <c:strCache>
                <c:ptCount val="0"/>
              </c:strCache>
            </c:strRef>
          </c:cat>
          <c:val>
            <c:numRef>
              <c:f>'Task Charts'!$X$43</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Counting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Charts'!$A$68</c:f>
              <c:strCache>
                <c:ptCount val="0"/>
              </c:strCache>
            </c:strRef>
          </c:cat>
          <c:val>
            <c:numRef>
              <c:f>'Task Charts'!$B$68</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Charts'!$A$68</c:f>
              <c:strCache>
                <c:ptCount val="0"/>
              </c:strCache>
            </c:strRef>
          </c:cat>
          <c:val>
            <c:numRef>
              <c:f>'Task Charts'!$C$68</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Charts'!$A$68</c:f>
              <c:strCache>
                <c:ptCount val="0"/>
              </c:strCache>
            </c:strRef>
          </c:cat>
          <c:val>
            <c:numRef>
              <c:f>'Task Charts'!$D$68</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Ordinal Reference Ordering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Charts'!$J$68</c:f>
              <c:strCache>
                <c:ptCount val="0"/>
              </c:strCache>
            </c:strRef>
          </c:cat>
          <c:val>
            <c:numRef>
              <c:f>'Task Charts'!$K$68</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Charts'!$J$68</c:f>
              <c:strCache>
                <c:ptCount val="0"/>
              </c:strCache>
            </c:strRef>
          </c:cat>
          <c:val>
            <c:numRef>
              <c:f>'Task Charts'!$L$68</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Charts'!$J$68</c:f>
              <c:strCache>
                <c:ptCount val="0"/>
              </c:strCache>
            </c:strRef>
          </c:cat>
          <c:val>
            <c:numRef>
              <c:f>'Task Charts'!$M$68</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Relational Placement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Charts'!$S$68</c:f>
              <c:strCache>
                <c:ptCount val="0"/>
              </c:strCache>
            </c:strRef>
          </c:cat>
          <c:val>
            <c:numRef>
              <c:f>'Task Charts'!$T$68</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Charts'!$S$68</c:f>
              <c:strCache>
                <c:ptCount val="0"/>
              </c:strCache>
            </c:strRef>
          </c:cat>
          <c:val>
            <c:numRef>
              <c:f>'Task Charts'!$U$68</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Charts'!$S$68</c:f>
              <c:strCache>
                <c:ptCount val="0"/>
              </c:strCache>
            </c:strRef>
          </c:cat>
          <c:val>
            <c:numRef>
              <c:f>'Task Charts'!$V$68</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State Recognition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Charts'!$A$92</c:f>
              <c:strCache>
                <c:ptCount val="0"/>
              </c:strCache>
            </c:strRef>
          </c:cat>
          <c:val>
            <c:numRef>
              <c:f>'Task Charts'!$B$92</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Charts'!$A$92</c:f>
              <c:strCache>
                <c:ptCount val="0"/>
              </c:strCache>
            </c:strRef>
          </c:cat>
          <c:val>
            <c:numRef>
              <c:f>'Task Charts'!$C$92</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Charts'!$A$92</c:f>
              <c:strCache>
                <c:ptCount val="0"/>
              </c:strCache>
            </c:strRef>
          </c:cat>
          <c:val>
            <c:numRef>
              <c:f>'Task Charts'!$D$92</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Size Recognition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Charts'!$J$92</c:f>
              <c:strCache>
                <c:ptCount val="0"/>
              </c:strCache>
            </c:strRef>
          </c:cat>
          <c:val>
            <c:numRef>
              <c:f>'Task Charts'!$K$92</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Charts'!$J$92</c:f>
              <c:strCache>
                <c:ptCount val="0"/>
              </c:strCache>
            </c:strRef>
          </c:cat>
          <c:val>
            <c:numRef>
              <c:f>'Task Charts'!$L$92</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Charts'!$J$92</c:f>
              <c:strCache>
                <c:ptCount val="0"/>
              </c:strCache>
            </c:strRef>
          </c:cat>
          <c:val>
            <c:numRef>
              <c:f>'Task Charts'!$M$92</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b="1"/>
              <a:t>Referential Disambiguation - Compositional transfer</a:t>
            </a:r>
          </a:p>
        </c:rich>
      </c:tx>
      <c:overlay val="0"/>
      <c:txPr>
        <a:bodyPr xmlns:a="http://schemas.openxmlformats.org/drawingml/2006/main" anchorCtr="1"/>
        <a:lstStyle xmlns:a="http://schemas.openxmlformats.org/drawingml/2006/main"/>
        <a:p xmlns:a="http://schemas.openxmlformats.org/drawingml/2006/main">
          <a:pPr>
            <a:defRPr sz="975" b="1"/>
          </a:pPr>
        </a:p>
      </c:txPr>
    </c:title>
    <c:plotArea>
      <c:barChart>
        <c:barDir val="col"/>
        <c:grouping val="clustered"/>
        <c:varyColors val="0"/>
        <c:ser>
          <c:idx val="0"/>
          <c:order val="0"/>
          <c:tx>
            <c:v>GR00T-N1.7 Vision</c:v>
          </c:tx>
          <c:spPr>
            <a:solidFill xmlns:a="http://schemas.openxmlformats.org/drawingml/2006/main">
              <a:srgbClr val="2563EB"/>
            </a:solidFill>
            <a:ln xmlns:a="http://schemas.openxmlformats.org/drawingml/2006/main" w="4763">
              <a:solidFill>
                <a:srgbClr val="2563EB"/>
              </a:solidFill>
              <a:prstDash val="solid"/>
            </a:ln>
          </c:spPr>
          <c:cat>
            <c:strRef>
              <c:f>'Task Charts'!$S$92</c:f>
              <c:strCache>
                <c:ptCount val="0"/>
              </c:strCache>
            </c:strRef>
          </c:cat>
          <c:val>
            <c:numRef>
              <c:f>'Task Charts'!$T$92</c:f>
              <c:numCache>
                <c:formatCode>0%</c:formatCode>
                <c:ptCount val="0"/>
              </c:numCache>
            </c:numRef>
          </c:val>
        </c:ser>
        <c:ser>
          <c:idx val="1"/>
          <c:order val="1"/>
          <c:tx>
            <c:v>MolmoAct2</c:v>
          </c:tx>
          <c:spPr>
            <a:solidFill xmlns:a="http://schemas.openxmlformats.org/drawingml/2006/main">
              <a:srgbClr val="E47700"/>
            </a:solidFill>
            <a:ln xmlns:a="http://schemas.openxmlformats.org/drawingml/2006/main" w="4763">
              <a:solidFill>
                <a:srgbClr val="E47700"/>
              </a:solidFill>
              <a:prstDash val="solid"/>
            </a:ln>
          </c:spPr>
          <c:cat>
            <c:strRef>
              <c:f>'Task Charts'!$S$92</c:f>
              <c:strCache>
                <c:ptCount val="0"/>
              </c:strCache>
            </c:strRef>
          </c:cat>
          <c:val>
            <c:numRef>
              <c:f>'Task Charts'!$U$92</c:f>
              <c:numCache>
                <c:formatCode>0%</c:formatCode>
                <c:ptCount val="0"/>
              </c:numCache>
            </c:numRef>
          </c:val>
        </c:ser>
        <c:ser>
          <c:idx val="2"/>
          <c:order val="2"/>
          <c:tx>
            <c:v>Pi0.5</c:v>
          </c:tx>
          <c:spPr>
            <a:solidFill xmlns:a="http://schemas.openxmlformats.org/drawingml/2006/main">
              <a:srgbClr val="07966F"/>
            </a:solidFill>
            <a:ln xmlns:a="http://schemas.openxmlformats.org/drawingml/2006/main" w="4763">
              <a:solidFill>
                <a:srgbClr val="07966F"/>
              </a:solidFill>
              <a:prstDash val="solid"/>
            </a:ln>
          </c:spPr>
          <c:cat>
            <c:strRef>
              <c:f>'Task Charts'!$S$92</c:f>
              <c:strCache>
                <c:ptCount val="0"/>
              </c:strCache>
            </c:strRef>
          </c:cat>
          <c:val>
            <c:numRef>
              <c:f>'Task Charts'!$V$92</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675" b="1"/>
              </a:pPr>
            </a:p>
          </c:txPr>
          <c:dLblPos val="outEnd"/>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one"/>
        <c:spPr>
          <a:ln xmlns:a="http://schemas.openxmlformats.org/drawingml/2006/main" w="7144">
            <a:solidFill>
              <a:srgbClr val="55636B"/>
            </a:solidFill>
            <a:prstDash val="solid"/>
          </a:ln>
        </c:spPr>
        <c:crossAx val="48672768"/>
      </c:catAx>
      <c:valAx>
        <c:axId val="48672768"/>
        <c:scaling>
          <c:orientation val="minMax"/>
          <c:max val="1"/>
          <c:min val="0"/>
        </c:scaling>
        <c:delete val="0"/>
        <c:axPos val="l"/>
        <c:majorGridlines>
          <c:spPr>
            <a:ln xmlns:a="http://schemas.openxmlformats.org/drawingml/2006/main" w="4763">
              <a:solidFill>
                <a:srgbClr val="D9E3E8"/>
              </a:solidFill>
              <a:prstDash val="dash"/>
            </a:ln>
          </c:spPr>
        </c:majorGridlines>
        <c:title>
          <c:tx>
            <c:rich>
              <a:bodyPr xmlns:a="http://schemas.openxmlformats.org/drawingml/2006/main"/>
              <a:lstStyle xmlns:a="http://schemas.openxmlformats.org/drawingml/2006/main"/>
              <a:p xmlns:a="http://schemas.openxmlformats.org/drawingml/2006/main">
                <a:r>
                  <a:rPr sz="675"/>
                  <a:t>Success rate</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majorUnit val="0.2"/>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fe4af9d73d4db3"/>
        </a:graphicData>
      </a:graphic>
    </xdr:graphicFrame>
    <xdr:clientData/>
  </xdr:twoCellAnchor>
  <xdr:twoCellAnchor>
    <xdr:from>
      <xdr:col>11</xdr:col>
      <xdr:colOff>0</xdr:colOff>
      <xdr:row>5</xdr:row>
      <xdr:rowOff>0</xdr:rowOff>
    </xdr:from>
    <xdr:to>
      <xdr:col>21</xdr:col>
      <xdr:colOff>0</xdr:colOff>
      <xdr:row>18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308862f31f4cb6"/>
        </a:graphicData>
      </a:graphic>
    </xdr:graphicFrame>
    <xdr:clientData/>
  </xdr:twoCellAnchor>
  <xdr:twoCellAnchor>
    <xdr:from>
      <xdr:col>0</xdr:col>
      <xdr:colOff>0</xdr:colOff>
      <xdr:row>29</xdr:row>
      <xdr:rowOff>0</xdr:rowOff>
    </xdr:from>
    <xdr:to>
      <xdr:col>10</xdr:col>
      <xdr:colOff>0</xdr:colOff>
      <xdr:row>47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1701091ca740bd"/>
        </a:graphicData>
      </a:graphic>
    </xdr:graphicFrame>
    <xdr:clientData/>
  </xdr:twoCellAnchor>
  <xdr:twoCellAnchor>
    <xdr:from>
      <xdr:col>11</xdr:col>
      <xdr:colOff>0</xdr:colOff>
      <xdr:row>29</xdr:row>
      <xdr:rowOff>0</xdr:rowOff>
    </xdr:from>
    <xdr:to>
      <xdr:col>21</xdr:col>
      <xdr:colOff>0</xdr:colOff>
      <xdr:row>47</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d49aad55474e4e"/>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3</xdr:row>
      <xdr:rowOff>0</xdr:rowOff>
    </xdr:from>
    <xdr:to>
      <xdr:col>8</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2dbd46b4ee4365"/>
        </a:graphicData>
      </a:graphic>
    </xdr:graphicFrame>
    <xdr:clientData/>
  </xdr:twoCellAnchor>
  <xdr:twoCellAnchor>
    <xdr:from>
      <xdr:col>9</xdr:col>
      <xdr:colOff>0</xdr:colOff>
      <xdr:row>3</xdr:row>
      <xdr:rowOff>0</xdr:rowOff>
    </xdr:from>
    <xdr:to>
      <xdr:col>17</xdr:col>
      <xdr:colOff>0</xdr:colOff>
      <xdr:row>16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89aa3d8bb7492b"/>
        </a:graphicData>
      </a:graphic>
    </xdr:graphicFrame>
    <xdr:clientData/>
  </xdr:twoCellAnchor>
  <xdr:twoCellAnchor>
    <xdr:from>
      <xdr:col>18</xdr:col>
      <xdr:colOff>0</xdr:colOff>
      <xdr:row>3</xdr:row>
      <xdr:rowOff>0</xdr:rowOff>
    </xdr:from>
    <xdr:to>
      <xdr:col>26</xdr:col>
      <xdr:colOff>0</xdr:colOff>
      <xdr:row>16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cbd0d798b74076"/>
        </a:graphicData>
      </a:graphic>
    </xdr:graphicFrame>
    <xdr:clientData/>
  </xdr:twoCellAnchor>
  <xdr:twoCellAnchor>
    <xdr:from>
      <xdr:col>0</xdr:col>
      <xdr:colOff>0</xdr:colOff>
      <xdr:row>27</xdr:row>
      <xdr:rowOff>0</xdr:rowOff>
    </xdr:from>
    <xdr:to>
      <xdr:col>8</xdr:col>
      <xdr:colOff>0</xdr:colOff>
      <xdr:row>40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a10bb1eb2b4c1b"/>
        </a:graphicData>
      </a:graphic>
    </xdr:graphicFrame>
    <xdr:clientData/>
  </xdr:twoCellAnchor>
  <xdr:twoCellAnchor>
    <xdr:from>
      <xdr:col>9</xdr:col>
      <xdr:colOff>0</xdr:colOff>
      <xdr:row>27</xdr:row>
      <xdr:rowOff>0</xdr:rowOff>
    </xdr:from>
    <xdr:to>
      <xdr:col>17</xdr:col>
      <xdr:colOff>0</xdr:colOff>
      <xdr:row>40</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40c2504ed84a03"/>
        </a:graphicData>
      </a:graphic>
    </xdr:graphicFrame>
    <xdr:clientData/>
  </xdr:twoCellAnchor>
  <xdr:twoCellAnchor>
    <xdr:from>
      <xdr:col>18</xdr:col>
      <xdr:colOff>0</xdr:colOff>
      <xdr:row>27</xdr:row>
      <xdr:rowOff>0</xdr:rowOff>
    </xdr:from>
    <xdr:to>
      <xdr:col>26</xdr:col>
      <xdr:colOff>0</xdr:colOff>
      <xdr:row>40</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13070dae7241ef"/>
        </a:graphicData>
      </a:graphic>
    </xdr:graphicFrame>
    <xdr:clientData/>
  </xdr:twoCellAnchor>
  <xdr:twoCellAnchor>
    <xdr:from>
      <xdr:col>0</xdr:col>
      <xdr:colOff>0</xdr:colOff>
      <xdr:row>52</xdr:row>
      <xdr:rowOff>0</xdr:rowOff>
    </xdr:from>
    <xdr:to>
      <xdr:col>8</xdr:col>
      <xdr:colOff>0</xdr:colOff>
      <xdr:row>65</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d7d3bba54b429a"/>
        </a:graphicData>
      </a:graphic>
    </xdr:graphicFrame>
    <xdr:clientData/>
  </xdr:twoCellAnchor>
  <xdr:twoCellAnchor>
    <xdr:from>
      <xdr:col>9</xdr:col>
      <xdr:colOff>0</xdr:colOff>
      <xdr:row>52</xdr:row>
      <xdr:rowOff>0</xdr:rowOff>
    </xdr:from>
    <xdr:to>
      <xdr:col>17</xdr:col>
      <xdr:colOff>0</xdr:colOff>
      <xdr:row>65</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bba42bbadb4df6"/>
        </a:graphicData>
      </a:graphic>
    </xdr:graphicFrame>
    <xdr:clientData/>
  </xdr:twoCellAnchor>
  <xdr:twoCellAnchor>
    <xdr:from>
      <xdr:col>18</xdr:col>
      <xdr:colOff>0</xdr:colOff>
      <xdr:row>52</xdr:row>
      <xdr:rowOff>0</xdr:rowOff>
    </xdr:from>
    <xdr:to>
      <xdr:col>26</xdr:col>
      <xdr:colOff>0</xdr:colOff>
      <xdr:row>65</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03f818bc8248bd"/>
        </a:graphicData>
      </a:graphic>
    </xdr:graphicFrame>
    <xdr:clientData/>
  </xdr:twoCellAnchor>
  <xdr:twoCellAnchor>
    <xdr:from>
      <xdr:col>0</xdr:col>
      <xdr:colOff>0</xdr:colOff>
      <xdr:row>76</xdr:row>
      <xdr:rowOff>0</xdr:rowOff>
    </xdr:from>
    <xdr:to>
      <xdr:col>8</xdr:col>
      <xdr:colOff>0</xdr:colOff>
      <xdr:row>89</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6baae60d6447c3"/>
        </a:graphicData>
      </a:graphic>
    </xdr:graphicFrame>
    <xdr:clientData/>
  </xdr:twoCellAnchor>
  <xdr:twoCellAnchor>
    <xdr:from>
      <xdr:col>9</xdr:col>
      <xdr:colOff>0</xdr:colOff>
      <xdr:row>76</xdr:row>
      <xdr:rowOff>0</xdr:rowOff>
    </xdr:from>
    <xdr:to>
      <xdr:col>17</xdr:col>
      <xdr:colOff>0</xdr:colOff>
      <xdr:row>89</xdr:row>
      <xdr:rowOff>0</xdr:rowOff>
    </xdr:to>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8d8ac48635409b"/>
        </a:graphicData>
      </a:graphic>
    </xdr:graphicFrame>
    <xdr:clientData/>
  </xdr:twoCellAnchor>
  <xdr:twoCellAnchor>
    <xdr:from>
      <xdr:col>18</xdr:col>
      <xdr:colOff>0</xdr:colOff>
      <xdr:row>76</xdr:row>
      <xdr:rowOff>0</xdr:rowOff>
    </xdr:from>
    <xdr:to>
      <xdr:col>26</xdr:col>
      <xdr:colOff>0</xdr:colOff>
      <xdr:row>89</xdr:row>
      <xdr:rowOff>0</xdr:rowOff>
    </xdr:to>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e1ed5d27894778"/>
        </a:graphicData>
      </a:graphic>
    </xdr:graphicFrame>
    <xdr:clientData/>
  </xdr:twoCellAnchor>
</xdr:wsDr>
</file>

<file path=xl/tables/table1.xml><?xml version="1.0" encoding="utf-8"?>
<x:table xmlns:x="http://schemas.openxmlformats.org/spreadsheetml/2006/main" id="1" name="VLA0Evaluations" displayName="VLA0Evaluations" ref="A1:AN73"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2.xml><?xml version="1.0" encoding="utf-8"?>
<x:table xmlns:x="http://schemas.openxmlformats.org/spreadsheetml/2006/main" id="2" name="GR00TVisionEvaluations" displayName="GR00TVision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3.xml><?xml version="1.0" encoding="utf-8"?>
<x:table xmlns:x="http://schemas.openxmlformats.org/spreadsheetml/2006/main" id="3" name="GR00TFullEvaluations" displayName="GR00TFullEvaluations" ref="A1:AN120"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4.xml><?xml version="1.0" encoding="utf-8"?>
<x:table xmlns:x="http://schemas.openxmlformats.org/spreadsheetml/2006/main" id="4" name="MolmoAct2Evaluations" displayName="MolmoAct2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5.xml><?xml version="1.0" encoding="utf-8"?>
<x:table xmlns:x="http://schemas.openxmlformats.org/spreadsheetml/2006/main" id="5" name="Pi05Evaluations" displayName="Pi05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6.xml><?xml version="1.0" encoding="utf-8"?>
<x:table xmlns:x="http://schemas.openxmlformats.org/spreadsheetml/2006/main" id="6" name="GR00TActionOnlyEvaluations" displayName="GR00TActionOnlyEvaluations" ref="A1:AN2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7.xml><?xml version="1.0" encoding="utf-8"?>
<x:table xmlns:x="http://schemas.openxmlformats.org/spreadsheetml/2006/main" id="7" name="ResultsAnalysisTable" displayName="ResultsAnalysisTable" ref="A1:M57" headerRowCount="1" totalsRowCount="0" totalsRowShown="0">
  <x:tableColumns count="13">
    <x:tableColumn id="1" name="Segment"/>
    <x:tableColumn id="2" name="Task"/>
    <x:tableColumn id="3" name="Model"/>
    <x:tableColumn id="4" name="Model Sheet"/>
    <x:tableColumn id="5" name="Success"/>
    <x:tableColumn id="6" name="Failure"/>
    <x:tableColumn id="7" name="Scored"/>
    <x:tableColumn id="8" name="Success Rate"/>
    <x:tableColumn id="9" name="Wilson Center"/>
    <x:tableColumn id="10" name="Wilson Half-width"/>
    <x:tableColumn id="11" name="CI Lower"/>
    <x:tableColumn id="12" name="CI Upper"/>
    <x:tableColumn id="13" name="Wilson 95% C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1ad5805050641ed" /></Relationships>
</file>

<file path=xl/worksheets/_rels/sheet3.xml.rels>&#65279;<?xml version="1.0" encoding="utf-8"?><Relationships xmlns="http://schemas.openxmlformats.org/package/2006/relationships"><Relationship Type="http://schemas.openxmlformats.org/officeDocument/2006/relationships/table" Target="/xl/tables/table1.xml" Id="R3cfd669e995a4d30" /></Relationships>
</file>

<file path=xl/worksheets/_rels/sheet4.xml.rels>&#65279;<?xml version="1.0" encoding="utf-8"?><Relationships xmlns="http://schemas.openxmlformats.org/package/2006/relationships"><Relationship Type="http://schemas.openxmlformats.org/officeDocument/2006/relationships/table" Target="/xl/tables/table2.xml" Id="Rac50bc882e0f416e" /></Relationships>
</file>

<file path=xl/worksheets/_rels/sheet5.xml.rels>&#65279;<?xml version="1.0" encoding="utf-8"?><Relationships xmlns="http://schemas.openxmlformats.org/package/2006/relationships"><Relationship Type="http://schemas.openxmlformats.org/officeDocument/2006/relationships/table" Target="/xl/tables/table3.xml" Id="R65cb3b40736d4cfe" /></Relationships>
</file>

<file path=xl/worksheets/_rels/sheet6.xml.rels>&#65279;<?xml version="1.0" encoding="utf-8"?><Relationships xmlns="http://schemas.openxmlformats.org/package/2006/relationships"><Relationship Type="http://schemas.openxmlformats.org/officeDocument/2006/relationships/table" Target="/xl/tables/table4.xml" Id="Rb1b9ed6b89e3431e" /></Relationships>
</file>

<file path=xl/worksheets/_rels/sheet7.xml.rels>&#65279;<?xml version="1.0" encoding="utf-8"?><Relationships xmlns="http://schemas.openxmlformats.org/package/2006/relationships"><Relationship Type="http://schemas.openxmlformats.org/officeDocument/2006/relationships/table" Target="/xl/tables/table5.xml" Id="R0be3543a7c794443" /></Relationships>
</file>

<file path=xl/worksheets/_rels/sheet8.xml.rels>&#65279;<?xml version="1.0" encoding="utf-8"?><Relationships xmlns="http://schemas.openxmlformats.org/package/2006/relationships"><Relationship Type="http://schemas.openxmlformats.org/officeDocument/2006/relationships/table" Target="/xl/tables/table6.xml" Id="R2cce9fd0260f430b" /></Relationships>
</file>

<file path=xl/worksheets/_rels/sheet9.xml.rels>&#65279;<?xml version="1.0" encoding="utf-8"?><Relationships xmlns="http://schemas.openxmlformats.org/package/2006/relationships"><Relationship Type="http://schemas.openxmlformats.org/officeDocument/2006/relationships/table" Target="/xl/tables/table7.xml" Id="Rd39687246e33489f" /></Relationships>
</file>

<file path=xl/worksheets/_rels/sheet10.xml.rels>&#65279;<?xml version="1.0" encoding="utf-8"?><Relationships xmlns="http://schemas.openxmlformats.org/package/2006/relationships"><Relationship Type="http://schemas.openxmlformats.org/officeDocument/2006/relationships/drawing" Target="/xl/drawings/drawing2.xml" Id="Rd1beba8a4f244432" /></Relationships>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21"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s>
  <x:sheetData>
    <x:row r="1" ht="36" customHeight="1">
      <x:c r="A1" s="28" t="str">
        <x:v>CONSOLIDATED ROBOT EVALUATION RESULTS</x:v>
      </x:c>
      <x:c r="B1" s="28"/>
      <x:c r="C1" s="28"/>
      <x:c r="D1" s="28"/>
      <x:c r="E1" s="28"/>
      <x:c r="F1" s="28"/>
      <x:c r="G1" s="28"/>
      <x:c r="H1" s="28"/>
      <x:c r="I1" s="28"/>
      <x:c r="J1" s="28"/>
      <x:c r="K1" s="28"/>
      <x:c r="L1" s="28"/>
      <x:c r="M1" s="28"/>
      <x:c r="N1" s="28"/>
      <x:c r="O1" s="28"/>
      <x:c r="P1" s="28"/>
      <x:c r="Q1" s="28"/>
      <x:c r="R1" s="28"/>
      <x:c r="S1" s="28"/>
      <x:c r="T1" s="28"/>
      <x:c r="U1" s="28"/>
    </x:row>
    <x:row r="2" ht="24" customHeight="1">
      <x:c r="A2" s="31" t="str">
        <x:v>Success rates use scored evaluations only. Confidence intervals are two-sided Wilson 95% intervals (z = 1.96).</x:v>
      </x:c>
      <x:c r="B2" s="31"/>
      <x:c r="C2" s="31"/>
      <x:c r="D2" s="31"/>
      <x:c r="E2" s="31"/>
      <x:c r="F2" s="31"/>
      <x:c r="G2" s="31"/>
      <x:c r="H2" s="31"/>
      <x:c r="I2" s="31"/>
      <x:c r="J2" s="31"/>
      <x:c r="K2" s="31"/>
      <x:c r="L2" s="31"/>
      <x:c r="M2" s="31"/>
      <x:c r="N2" s="31"/>
      <x:c r="O2" s="31"/>
      <x:c r="P2" s="31"/>
      <x:c r="Q2" s="31"/>
      <x:c r="R2" s="31"/>
      <x:c r="S2" s="31"/>
      <x:c r="T2" s="31"/>
      <x:c r="U2" s="31"/>
    </x:row>
    <x:row r="4" ht="28" customHeight="1">
      <x:c r="A4" s="40" t="str">
        <x:v>VLA-0</x:v>
      </x:c>
      <x:c r="B4" s="41"/>
      <x:c r="C4" s="41"/>
      <x:c r="D4" s="42"/>
      <x:c r="E4" s="51" t="str">
        <x:v>GR00T-N1.7 (vision only)</x:v>
      </x:c>
      <x:c r="F4" s="52"/>
      <x:c r="G4" s="52"/>
      <x:c r="H4" s="53"/>
      <x:c r="I4" s="62" t="str">
        <x:v>GR00T-N1.7 (full finetune)</x:v>
      </x:c>
      <x:c r="J4" s="63"/>
      <x:c r="K4" s="63"/>
      <x:c r="L4" s="64"/>
      <x:c r="M4" s="73" t="str">
        <x:v>MolmoAct2</x:v>
      </x:c>
      <x:c r="N4" s="74"/>
      <x:c r="O4" s="74"/>
      <x:c r="P4" s="75"/>
      <x:c r="Q4" s="84" t="str">
        <x:v>Pi0.5</x:v>
      </x:c>
      <x:c r="R4" s="85"/>
      <x:c r="S4" s="85"/>
      <x:c r="T4" s="85"/>
      <x:c r="U4" s="86"/>
    </x:row>
    <x:row r="20" ht="22" customHeight="1">
      <x:c r="A20" s="6" t="str">
        <x:v>Model</x:v>
      </x:c>
      <x:c r="B20" s="6" t="str">
        <x:v>Success</x:v>
      </x:c>
      <x:c r="C20" s="6" t="str">
        <x:v>Scored</x:v>
      </x:c>
      <x:c r="D20" s="6" t="str">
        <x:v>Rate</x:v>
      </x:c>
      <x:c r="E20" s="6" t="str">
        <x:v>CI Lower</x:v>
      </x:c>
      <x:c r="F20" s="6" t="str">
        <x:v>CI Upper</x:v>
      </x:c>
      <x:c r="G20" s="6" t="str">
        <x:v>Wilson 95% CI</x:v>
      </x:c>
      <x:c r="L20" s="6" t="str">
        <x:v>Model</x:v>
      </x:c>
      <x:c r="M20" s="6" t="str">
        <x:v>Success</x:v>
      </x:c>
      <x:c r="N20" s="6" t="str">
        <x:v>Scored</x:v>
      </x:c>
      <x:c r="O20" s="6" t="str">
        <x:v>Rate</x:v>
      </x:c>
      <x:c r="P20" s="6" t="str">
        <x:v>CI Lower</x:v>
      </x:c>
      <x:c r="Q20" s="6" t="str">
        <x:v>CI Upper</x:v>
      </x:c>
      <x:c r="R20" s="6" t="str">
        <x:v>Wilson 95% CI</x:v>
      </x:c>
    </x:row>
    <x:row r="21" ht="22" customHeight="1">
      <x:c r="A21" s="87" t="str">
        <x:v>VLA-0</x:v>
      </x:c>
      <x:c r="B21" s="88" t="n">
        <x:f>'Analysis Data'!E2</x:f>
        <x:v>0</x:v>
      </x:c>
      <x:c r="C21" s="88" t="n">
        <x:f>'Analysis Data'!G2</x:f>
        <x:v>72</x:v>
      </x:c>
      <x:c r="D21" s="89" t="n">
        <x:f>'Analysis Data'!H2</x:f>
        <x:v>0</x:v>
      </x:c>
      <x:c r="E21" s="89" t="n">
        <x:f>'Analysis Data'!K2</x:f>
        <x:v>0</x:v>
      </x:c>
      <x:c r="F21" s="89" t="n">
        <x:f>'Analysis Data'!L2</x:f>
        <x:v>0.05065293981139638</x:v>
      </x:c>
      <x:c r="G21" s="87" t="str">
        <x:f>'Analysis Data'!M2</x:f>
        <x:v>0.0% – 5.1%</x:v>
      </x:c>
      <x:c r="L21" s="87" t="str">
        <x:v>GR00T-N1.7 (vision only)</x:v>
      </x:c>
      <x:c r="M21" s="88" t="n">
        <x:f>'Analysis Data'!E7</x:f>
        <x:v>133</x:v>
      </x:c>
      <x:c r="N21" s="88" t="n">
        <x:f>'Analysis Data'!G7</x:f>
        <x:v>300</x:v>
      </x:c>
      <x:c r="O21" s="89" t="n">
        <x:f>'Analysis Data'!H7</x:f>
        <x:v>0.44333333333333336</x:v>
      </x:c>
      <x:c r="P21" s="89" t="n">
        <x:f>'Analysis Data'!K7</x:f>
        <x:v>0.388185929862749</x:v>
      </x:c>
      <x:c r="Q21" s="89" t="n">
        <x:f>'Analysis Data'!L7</x:f>
        <x:v>0.4999136588703277</x:v>
      </x:c>
      <x:c r="R21" s="87" t="str">
        <x:f>'Analysis Data'!M7</x:f>
        <x:v>38.8% – 50.0%</x:v>
      </x:c>
    </x:row>
    <x:row r="22" ht="22" customHeight="1">
      <x:c r="A22" s="87" t="str">
        <x:v>GR00T-N1.7 (vision only)</x:v>
      </x:c>
      <x:c r="B22" s="88" t="n">
        <x:f>'Analysis Data'!E3</x:f>
        <x:v>81</x:v>
      </x:c>
      <x:c r="C22" s="88" t="n">
        <x:f>'Analysis Data'!G3</x:f>
        <x:v>120</x:v>
      </x:c>
      <x:c r="D22" s="89" t="n">
        <x:f>'Analysis Data'!H3</x:f>
        <x:v>0.675</x:v>
      </x:c>
      <x:c r="E22" s="89" t="n">
        <x:f>'Analysis Data'!K3</x:f>
        <x:v>0.5869001692187791</x:v>
      </x:c>
      <x:c r="F22" s="89" t="n">
        <x:f>'Analysis Data'!L3</x:f>
        <x:v>0.7522427359116458</x:v>
      </x:c>
      <x:c r="G22" s="87" t="str">
        <x:f>'Analysis Data'!M3</x:f>
        <x:v>58.7% – 75.2%</x:v>
      </x:c>
      <x:c r="L22" s="87" t="str">
        <x:v>MolmoAct2</x:v>
      </x:c>
      <x:c r="M22" s="88" t="n">
        <x:f>'Analysis Data'!E8</x:f>
        <x:v>156</x:v>
      </x:c>
      <x:c r="N22" s="88" t="n">
        <x:f>'Analysis Data'!G8</x:f>
        <x:v>300</x:v>
      </x:c>
      <x:c r="O22" s="89" t="n">
        <x:f>'Analysis Data'!H8</x:f>
        <x:v>0.52</x:v>
      </x:c>
      <x:c r="P22" s="89" t="n">
        <x:f>'Analysis Data'!K8</x:f>
        <x:v>0.46357005360167935</x:v>
      </x:c>
      <x:c r="Q22" s="89" t="n">
        <x:f>'Analysis Data'!L8</x:f>
        <x:v>0.5759242091984114</x:v>
      </x:c>
      <x:c r="R22" s="87" t="str">
        <x:f>'Analysis Data'!M8</x:f>
        <x:v>46.4% – 57.6%</x:v>
      </x:c>
    </x:row>
    <x:row r="23" ht="22" customHeight="1">
      <x:c r="A23" s="87" t="str">
        <x:v>GR00T-N1.7 (full finetune)</x:v>
      </x:c>
      <x:c r="B23" s="88" t="n">
        <x:f>'Analysis Data'!E4</x:f>
        <x:v>25</x:v>
      </x:c>
      <x:c r="C23" s="88" t="n">
        <x:f>'Analysis Data'!G4</x:f>
        <x:v>119</x:v>
      </x:c>
      <x:c r="D23" s="89" t="n">
        <x:f>'Analysis Data'!H4</x:f>
        <x:v>0.21008403361344538</x:v>
      </x:c>
      <x:c r="E23" s="89" t="n">
        <x:f>'Analysis Data'!K4</x:f>
        <x:v>0.14654279199949025</x:v>
      </x:c>
      <x:c r="F23" s="89" t="n">
        <x:f>'Analysis Data'!L4</x:f>
        <x:v>0.29175823957287617</x:v>
      </x:c>
      <x:c r="G23" s="87" t="str">
        <x:f>'Analysis Data'!M4</x:f>
        <x:v>14.7% – 29.2%</x:v>
      </x:c>
      <x:c r="L23" s="87" t="str">
        <x:v>Pi0.5</x:v>
      </x:c>
      <x:c r="M23" s="88" t="n">
        <x:f>'Analysis Data'!E9</x:f>
        <x:v>122</x:v>
      </x:c>
      <x:c r="N23" s="88" t="n">
        <x:f>'Analysis Data'!G9</x:f>
        <x:v>300</x:v>
      </x:c>
      <x:c r="O23" s="89" t="n">
        <x:f>'Analysis Data'!H9</x:f>
        <x:v>0.4066666666666667</x:v>
      </x:c>
      <x:c r="P23" s="89" t="n">
        <x:f>'Analysis Data'!K9</x:f>
        <x:v>0.3526007999029206</x:v>
      </x:c>
      <x:c r="Q23" s="89" t="n">
        <x:f>'Analysis Data'!L9</x:f>
        <x:v>0.4630926403633234</x:v>
      </x:c>
      <x:c r="R23" s="87" t="str">
        <x:f>'Analysis Data'!M9</x:f>
        <x:v>35.3% – 46.3%</x:v>
      </x:c>
    </x:row>
    <x:row r="24" ht="22" customHeight="1">
      <x:c r="A24" s="87" t="str">
        <x:v>MolmoAct2</x:v>
      </x:c>
      <x:c r="B24" s="88" t="n">
        <x:f>'Analysis Data'!E5</x:f>
        <x:v>87</x:v>
      </x:c>
      <x:c r="C24" s="88" t="n">
        <x:f>'Analysis Data'!G5</x:f>
        <x:v>120</x:v>
      </x:c>
      <x:c r="D24" s="89" t="n">
        <x:f>'Analysis Data'!H5</x:f>
        <x:v>0.725</x:v>
      </x:c>
      <x:c r="E24" s="89" t="n">
        <x:f>'Analysis Data'!K5</x:f>
        <x:v>0.6390686764395932</x:v>
      </x:c>
      <x:c r="F24" s="89" t="n">
        <x:f>'Analysis Data'!L5</x:f>
        <x:v>0.7969722015852385</x:v>
      </x:c>
      <x:c r="G24" s="87" t="str">
        <x:f>'Analysis Data'!M5</x:f>
        <x:v>63.9% – 79.7%</x:v>
      </x:c>
    </x:row>
    <x:row r="25" ht="22" customHeight="1">
      <x:c r="A25" s="87" t="str">
        <x:v>Pi0.5</x:v>
      </x:c>
      <x:c r="B25" s="88" t="n">
        <x:f>'Analysis Data'!E6</x:f>
        <x:v>82</x:v>
      </x:c>
      <x:c r="C25" s="88" t="n">
        <x:f>'Analysis Data'!G6</x:f>
        <x:v>120</x:v>
      </x:c>
      <x:c r="D25" s="89" t="n">
        <x:f>'Analysis Data'!H6</x:f>
        <x:v>0.6833333333333333</x:v>
      </x:c>
      <x:c r="E25" s="89" t="n">
        <x:f>'Analysis Data'!K6</x:f>
        <x:v>0.595519646541652</x:v>
      </x:c>
      <x:c r="F25" s="89" t="n">
        <x:f>'Analysis Data'!L6</x:f>
        <x:v>0.7597729207378406</x:v>
      </x:c>
      <x:c r="G25" s="87" t="str">
        <x:f>'Analysis Data'!M6</x:f>
        <x:v>59.6% – 76.0%</x:v>
      </x:c>
    </x:row>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c r="A50" s="6" t="str">
        <x:v>Task</x:v>
      </x:c>
      <x:c r="B50" s="6" t="str">
        <x:v>VLA-0</x:v>
      </x:c>
      <x:c r="C50" s="6" t="str">
        <x:v>GR00T-N1.7 Vision</x:v>
      </x:c>
      <x:c r="D50" s="6" t="str">
        <x:v>GR00T-N1.7 Full FT</x:v>
      </x:c>
      <x:c r="E50" s="6" t="str">
        <x:v>MolmoAct2</x:v>
      </x:c>
      <x:c r="F50" s="6" t="str">
        <x:v>Pi0.5</x:v>
      </x:c>
      <x:c r="L50" s="6" t="str">
        <x:v>Task</x:v>
      </x:c>
      <x:c r="M50" s="6" t="str">
        <x:v>GR00T-N1.7 Vision</x:v>
      </x:c>
      <x:c r="N50" s="6" t="str">
        <x:v>MolmoAct2</x:v>
      </x:c>
      <x:c r="O50" s="6" t="str">
        <x:v>Pi0.5</x:v>
      </x:c>
    </x:row>
    <x:row r="51" ht="22" customHeight="1">
      <x:c r="A51" s="93" t="str">
        <x:v>State Recognition</x:v>
      </x:c>
      <x:c r="B51" s="94" t="str">
        <x:f>TEXT('Analysis Data'!H10,"0.0%")&amp;" ["&amp;'Analysis Data'!M10&amp;"]"</x:f>
        <x:v>0.0% [0.0% – 27.8%]</x:v>
      </x:c>
      <x:c r="C51" s="94" t="str">
        <x:f>TEXT('Analysis Data'!H11,"0.0%")&amp;" ["&amp;'Analysis Data'!M11&amp;"]"</x:f>
        <x:v>85.0% [64.0% – 94.8%]</x:v>
      </x:c>
      <x:c r="D51" s="94" t="str">
        <x:f>TEXT('Analysis Data'!H12,"0.0%")&amp;" ["&amp;'Analysis Data'!M12&amp;"]"</x:f>
        <x:v>20.0% [8.1% – 41.6%]</x:v>
      </x:c>
      <x:c r="E51" s="94" t="str">
        <x:f>TEXT('Analysis Data'!H13,"0.0%")&amp;" ["&amp;'Analysis Data'!M13&amp;"]"</x:f>
        <x:v>90.0% [69.9% – 97.2%]</x:v>
      </x:c>
      <x:c r="F51" s="94" t="str">
        <x:f>TEXT('Analysis Data'!H14,"0.0%")&amp;" ["&amp;'Analysis Data'!M14&amp;"]"</x:f>
        <x:v>80.0% [58.4% – 91.9%]</x:v>
      </x:c>
      <x:c r="L51" s="93" t="str">
        <x:v>State Recognition</x:v>
      </x:c>
      <x:c r="M51" s="94" t="str">
        <x:f>TEXT('Analysis Data'!H40,"0.0%")&amp;" ["&amp;'Analysis Data'!M40&amp;"]"</x:f>
        <x:v>34.0% [22.4% – 47.8%]</x:v>
      </x:c>
      <x:c r="N51" s="94" t="str">
        <x:f>TEXT('Analysis Data'!H41,"0.0%")&amp;" ["&amp;'Analysis Data'!M41&amp;"]"</x:f>
        <x:v>76.0% [62.6% – 85.7%]</x:v>
      </x:c>
      <x:c r="O51" s="94" t="str">
        <x:f>TEXT('Analysis Data'!H42,"0.0%")&amp;" ["&amp;'Analysis Data'!M42&amp;"]"</x:f>
        <x:v>36.0% [24.1% – 49.9%]</x:v>
      </x:c>
    </x:row>
    <x:row r="52" ht="22" customHeight="1">
      <x:c r="A52" s="93" t="str">
        <x:v>Counting</x:v>
      </x:c>
      <x:c r="B52" s="94" t="str">
        <x:f>TEXT('Analysis Data'!H15,"0.0%")&amp;" ["&amp;'Analysis Data'!M15&amp;"]"</x:f>
        <x:v>0.0% [0.0% – 27.8%]</x:v>
      </x:c>
      <x:c r="C52" s="94" t="str">
        <x:f>TEXT('Analysis Data'!H16,"0.0%")&amp;" ["&amp;'Analysis Data'!M16&amp;"]"</x:f>
        <x:v>60.0% [38.7% – 78.1%]</x:v>
      </x:c>
      <x:c r="D52" s="94" t="str">
        <x:f>TEXT('Analysis Data'!H17,"0.0%")&amp;" ["&amp;'Analysis Data'!M17&amp;"]"</x:f>
        <x:v>36.8% [19.1% – 59.0%]</x:v>
      </x:c>
      <x:c r="E52" s="94" t="str">
        <x:f>TEXT('Analysis Data'!H18,"0.0%")&amp;" ["&amp;'Analysis Data'!M18&amp;"]"</x:f>
        <x:v>60.0% [38.7% – 78.1%]</x:v>
      </x:c>
      <x:c r="F52" s="94" t="str">
        <x:f>TEXT('Analysis Data'!H19,"0.0%")&amp;" ["&amp;'Analysis Data'!M19&amp;"]"</x:f>
        <x:v>55.0% [34.2% – 74.2%]</x:v>
      </x:c>
      <x:c r="L52" s="93" t="str">
        <x:v>Counting</x:v>
      </x:c>
      <x:c r="M52" s="94" t="str">
        <x:f>TEXT('Analysis Data'!H43,"0.0%")&amp;" ["&amp;'Analysis Data'!M43&amp;"]"</x:f>
        <x:v>0.0% [0.0% – 7.1%]</x:v>
      </x:c>
      <x:c r="N52" s="94" t="str">
        <x:f>TEXT('Analysis Data'!H44,"0.0%")&amp;" ["&amp;'Analysis Data'!M44&amp;"]"</x:f>
        <x:v>0.0% [0.0% – 7.1%]</x:v>
      </x:c>
      <x:c r="O52" s="94" t="str">
        <x:f>TEXT('Analysis Data'!H45,"0.0%")&amp;" ["&amp;'Analysis Data'!M45&amp;"]"</x:f>
        <x:v>0.0% [0.0% – 7.1%]</x:v>
      </x:c>
    </x:row>
    <x:row r="53" ht="22" customHeight="1">
      <x:c r="A53" s="93" t="str">
        <x:v>Ordinal Reference Ordering</x:v>
      </x:c>
      <x:c r="B53" s="94" t="str">
        <x:f>TEXT('Analysis Data'!H20,"0.0%")&amp;" ["&amp;'Analysis Data'!M20&amp;"]"</x:f>
        <x:v>0.0% [0.0% – 27.8%]</x:v>
      </x:c>
      <x:c r="C53" s="94" t="str">
        <x:f>TEXT('Analysis Data'!H21,"0.0%")&amp;" ["&amp;'Analysis Data'!M21&amp;"]"</x:f>
        <x:v>45.0% [25.8% – 65.8%]</x:v>
      </x:c>
      <x:c r="D53" s="94" t="str">
        <x:f>TEXT('Analysis Data'!H22,"0.0%")&amp;" ["&amp;'Analysis Data'!M22&amp;"]"</x:f>
        <x:v>15.0% [5.2% – 36.0%]</x:v>
      </x:c>
      <x:c r="E53" s="94" t="str">
        <x:f>TEXT('Analysis Data'!H23,"0.0%")&amp;" ["&amp;'Analysis Data'!M23&amp;"]"</x:f>
        <x:v>50.0% [29.9% – 70.1%]</x:v>
      </x:c>
      <x:c r="F53" s="94" t="str">
        <x:f>TEXT('Analysis Data'!H24,"0.0%")&amp;" ["&amp;'Analysis Data'!M24&amp;"]"</x:f>
        <x:v>35.0% [18.1% – 56.7%]</x:v>
      </x:c>
      <x:c r="L53" s="93" t="str">
        <x:v>Ordinal Reference Ordering</x:v>
      </x:c>
      <x:c r="M53" s="94" t="str">
        <x:f>TEXT('Analysis Data'!H46,"0.0%")&amp;" ["&amp;'Analysis Data'!M46&amp;"]"</x:f>
        <x:v>42.0% [29.4% – 55.8%]</x:v>
      </x:c>
      <x:c r="N53" s="94" t="str">
        <x:f>TEXT('Analysis Data'!H47,"0.0%")&amp;" ["&amp;'Analysis Data'!M47&amp;"]"</x:f>
        <x:v>54.0% [40.4% – 67.0%]</x:v>
      </x:c>
      <x:c r="O53" s="94" t="str">
        <x:f>TEXT('Analysis Data'!H48,"0.0%")&amp;" ["&amp;'Analysis Data'!M48&amp;"]"</x:f>
        <x:v>46.0% [33.0% – 59.6%]</x:v>
      </x:c>
    </x:row>
    <x:row r="54" ht="22" customHeight="1">
      <x:c r="A54" s="93" t="str">
        <x:v>Relational Placement</x:v>
      </x:c>
      <x:c r="B54" s="94" t="str">
        <x:f>TEXT('Analysis Data'!H25,"0.0%")&amp;" ["&amp;'Analysis Data'!M25&amp;"]"</x:f>
        <x:v>0.0% [0.0% – 24.3%]</x:v>
      </x:c>
      <x:c r="C54" s="94" t="str">
        <x:f>TEXT('Analysis Data'!H26,"0.0%")&amp;" ["&amp;'Analysis Data'!M26&amp;"]"</x:f>
        <x:v>70.0% [48.1% – 85.5%]</x:v>
      </x:c>
      <x:c r="D54" s="94" t="str">
        <x:f>TEXT('Analysis Data'!H27,"0.0%")&amp;" ["&amp;'Analysis Data'!M27&amp;"]"</x:f>
        <x:v>0.0% [0.0% – 16.1%]</x:v>
      </x:c>
      <x:c r="E54" s="94" t="str">
        <x:f>TEXT('Analysis Data'!H28,"0.0%")&amp;" ["&amp;'Analysis Data'!M28&amp;"]"</x:f>
        <x:v>80.0% [58.4% – 91.9%]</x:v>
      </x:c>
      <x:c r="F54" s="94" t="str">
        <x:f>TEXT('Analysis Data'!H29,"0.0%")&amp;" ["&amp;'Analysis Data'!M29&amp;"]"</x:f>
        <x:v>65.0% [43.3% – 81.9%]</x:v>
      </x:c>
      <x:c r="L54" s="93" t="str">
        <x:v>Relational Placement</x:v>
      </x:c>
      <x:c r="M54" s="94" t="str">
        <x:f>TEXT('Analysis Data'!H49,"0.0%")&amp;" ["&amp;'Analysis Data'!M49&amp;"]"</x:f>
        <x:v>78.0% [64.8% – 87.2%]</x:v>
      </x:c>
      <x:c r="N54" s="94" t="str">
        <x:f>TEXT('Analysis Data'!H50,"0.0%")&amp;" ["&amp;'Analysis Data'!M50&amp;"]"</x:f>
        <x:v>50.0% [36.6% – 63.4%]</x:v>
      </x:c>
      <x:c r="O54" s="94" t="str">
        <x:f>TEXT('Analysis Data'!H51,"0.0%")&amp;" ["&amp;'Analysis Data'!M51&amp;"]"</x:f>
        <x:v>72.0% [58.3% – 82.5%]</x:v>
      </x:c>
    </x:row>
    <x:row r="55" ht="22" customHeight="1">
      <x:c r="A55" s="93" t="str">
        <x:v>Referential Disambiguation</x:v>
      </x:c>
      <x:c r="B55" s="94" t="str">
        <x:f>TEXT('Analysis Data'!H30,"0.0%")&amp;" ["&amp;'Analysis Data'!M30&amp;"]"</x:f>
        <x:v>0.0% [0.0% – 27.8%]</x:v>
      </x:c>
      <x:c r="C55" s="94" t="str">
        <x:f>TEXT('Analysis Data'!H31,"0.0%")&amp;" ["&amp;'Analysis Data'!M31&amp;"]"</x:f>
        <x:v>60.0% [38.7% – 78.1%]</x:v>
      </x:c>
      <x:c r="D55" s="94" t="str">
        <x:f>TEXT('Analysis Data'!H32,"0.0%")&amp;" ["&amp;'Analysis Data'!M32&amp;"]"</x:f>
        <x:v>20.0% [8.1% – 41.6%]</x:v>
      </x:c>
      <x:c r="E55" s="94" t="str">
        <x:f>TEXT('Analysis Data'!H33,"0.0%")&amp;" ["&amp;'Analysis Data'!M33&amp;"]"</x:f>
        <x:v>75.0% [53.1% – 88.8%]</x:v>
      </x:c>
      <x:c r="F55" s="94" t="str">
        <x:f>TEXT('Analysis Data'!H34,"0.0%")&amp;" ["&amp;'Analysis Data'!M34&amp;"]"</x:f>
        <x:v>80.0% [58.4% – 91.9%]</x:v>
      </x:c>
      <x:c r="L55" s="93" t="str">
        <x:v>Referential Disambiguation</x:v>
      </x:c>
      <x:c r="M55" s="94" t="str">
        <x:f>TEXT('Analysis Data'!H52,"0.0%")&amp;" ["&amp;'Analysis Data'!M52&amp;"]"</x:f>
        <x:v>54.0% [40.4% – 67.0%]</x:v>
      </x:c>
      <x:c r="N55" s="94" t="str">
        <x:f>TEXT('Analysis Data'!H53,"0.0%")&amp;" ["&amp;'Analysis Data'!M53&amp;"]"</x:f>
        <x:v>68.0% [54.2% – 79.2%]</x:v>
      </x:c>
      <x:c r="O55" s="94" t="str">
        <x:f>TEXT('Analysis Data'!H54,"0.0%")&amp;" ["&amp;'Analysis Data'!M54&amp;"]"</x:f>
        <x:v>36.0% [24.1% – 49.9%]</x:v>
      </x:c>
    </x:row>
    <x:row r="56" ht="22" customHeight="1">
      <x:c r="A56" s="93" t="str">
        <x:v>Size Recognition</x:v>
      </x:c>
      <x:c r="B56" s="94" t="str">
        <x:f>TEXT('Analysis Data'!H35,"0.0%")&amp;" ["&amp;'Analysis Data'!M35&amp;"]"</x:f>
        <x:v>0.0% [0.0% – 16.1%]</x:v>
      </x:c>
      <x:c r="C56" s="94" t="str">
        <x:f>TEXT('Analysis Data'!H36,"0.0%")&amp;" ["&amp;'Analysis Data'!M36&amp;"]"</x:f>
        <x:v>85.0% [64.0% – 94.8%]</x:v>
      </x:c>
      <x:c r="D56" s="94" t="str">
        <x:f>TEXT('Analysis Data'!H37,"0.0%")&amp;" ["&amp;'Analysis Data'!M37&amp;"]"</x:f>
        <x:v>35.0% [18.1% – 56.7%]</x:v>
      </x:c>
      <x:c r="E56" s="94" t="str">
        <x:f>TEXT('Analysis Data'!H38,"0.0%")&amp;" ["&amp;'Analysis Data'!M38&amp;"]"</x:f>
        <x:v>80.0% [58.4% – 91.9%]</x:v>
      </x:c>
      <x:c r="F56" s="94" t="str">
        <x:f>TEXT('Analysis Data'!H39,"0.0%")&amp;" ["&amp;'Analysis Data'!M39&amp;"]"</x:f>
        <x:v>95.0% [76.4% – 99.1%]</x:v>
      </x:c>
      <x:c r="L56" s="93" t="str">
        <x:v>Size Recognition</x:v>
      </x:c>
      <x:c r="M56" s="94" t="str">
        <x:f>TEXT('Analysis Data'!H55,"0.0%")&amp;" ["&amp;'Analysis Data'!M55&amp;"]"</x:f>
        <x:v>58.0% [44.2% – 70.6%]</x:v>
      </x:c>
      <x:c r="N56" s="94" t="str">
        <x:f>TEXT('Analysis Data'!H56,"0.0%")&amp;" ["&amp;'Analysis Data'!M56&amp;"]"</x:f>
        <x:v>64.0% [50.1% – 75.9%]</x:v>
      </x:c>
      <x:c r="O56" s="94" t="str">
        <x:f>TEXT('Analysis Data'!H57,"0.0%")&amp;" ["&amp;'Analysis Data'!M57&amp;"]"</x:f>
        <x:v>54.0% [40.4% – 67.0%]</x:v>
      </x:c>
    </x:row>
    <x:row r="57" ht="24" customHeight="1">
      <x:c r="A57" s="96" t="str">
        <x:v>CI matrix cells show: success rate [Wilson 95% lower bound – upper bound]. Exact success and scored counts are retained in Analysis Data.</x:v>
      </x:c>
      <x:c r="B57" s="96"/>
      <x:c r="C57" s="96"/>
      <x:c r="D57" s="96"/>
      <x:c r="E57" s="96"/>
      <x:c r="F57" s="96"/>
      <x:c r="G57" s="96"/>
      <x:c r="H57" s="96"/>
      <x:c r="I57" s="96"/>
      <x:c r="J57" s="96"/>
      <x:c r="K57" s="96"/>
      <x:c r="L57" s="96"/>
      <x:c r="M57" s="96"/>
      <x:c r="N57" s="96"/>
      <x:c r="O57" s="96"/>
      <x:c r="P57" s="96"/>
      <x:c r="Q57" s="96"/>
      <x:c r="R57" s="96"/>
      <x:c r="S57" s="96"/>
      <x:c r="T57" s="96"/>
      <x:c r="U57" s="96"/>
    </x:row>
  </x:sheetData>
  <x:mergeCells>
    <x:mergeCell ref="A1:U1"/>
    <x:mergeCell ref="A2:U2"/>
    <x:mergeCell ref="A4:D4"/>
    <x:mergeCell ref="E4:H4"/>
    <x:mergeCell ref="I4:L4"/>
    <x:mergeCell ref="M4:P4"/>
    <x:mergeCell ref="Q4:U4"/>
    <x:mergeCell ref="A57:U57"/>
  </x:mergeCells>
  <x:pageMargins left="0.7" right="0.7" top="0.75" bottom="0.75" header="0.3" footer="0.3"/>
  <x:drawing xmlns:r="http://schemas.openxmlformats.org/officeDocument/2006/relationships" r:id="R41ad5805050641ed"/>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 min="3" max="3" width="18" hidden="0" customWidth="1"/>
    <x:col min="4" max="4" width="18" hidden="0" customWidth="1"/>
    <x:col min="5" max="5" width="8" hidden="0" customWidth="1"/>
    <x:col min="6" max="6" width="8" hidden="0" customWidth="1"/>
    <x:col min="7" max="7" width="8" hidden="0" customWidth="1"/>
    <x:col min="8" max="8" width="8" hidden="0" customWidth="1"/>
  </x:cols>
  <x:sheetData>
    <x:row r="1" ht="34" customHeight="1">
      <x:c r="A1" s="99" t="str">
        <x:v>CONSOLIDATED EVALUATION WORKBOOK — GUIDE</x:v>
      </x:c>
      <x:c r="B1" s="99"/>
      <x:c r="C1" s="99"/>
      <x:c r="D1" s="99"/>
      <x:c r="E1" s="99"/>
      <x:c r="F1" s="99"/>
      <x:c r="G1" s="99"/>
      <x:c r="H1" s="99"/>
    </x:row>
    <x:row r="2">
      <x:c r="A2" s="97"/>
      <x:c r="B2" s="97"/>
      <x:c r="C2" s="97"/>
      <x:c r="D2" s="97"/>
      <x:c r="E2" s="97"/>
      <x:c r="F2" s="97"/>
      <x:c r="G2" s="97"/>
      <x:c r="H2" s="97"/>
    </x:row>
    <x:row r="3">
      <x:c r="A3" s="104" t="str">
        <x:v>INCLUSION AND NORMALIZATION RULES</x:v>
      </x:c>
      <x:c r="B3" s="105"/>
      <x:c r="C3" s="105"/>
      <x:c r="D3" s="105"/>
      <x:c r="E3" s="105"/>
      <x:c r="F3" s="105"/>
      <x:c r="G3" s="105"/>
      <x:c r="H3" s="106"/>
    </x:row>
    <x:row r="4" ht="42" customHeight="1">
      <x:c r="A4" s="112" t="str">
        <x:v>Scored rows</x:v>
      </x:c>
      <x:c r="B4" s="110" t="str">
        <x:v>Only Success and Failure rows are included; Not collected and blank artifacts are excluded.</x:v>
      </x:c>
      <x:c r="C4" s="97"/>
      <x:c r="D4" s="97"/>
      <x:c r="E4" s="97"/>
      <x:c r="F4" s="97"/>
      <x:c r="G4" s="97"/>
      <x:c r="H4" s="97"/>
    </x:row>
    <x:row r="5" ht="42" customHeight="1">
      <x:c r="A5" s="112" t="str">
        <x:v>Size Recognition</x:v>
      </x:c>
      <x:c r="B5" s="110" t="str">
        <x:v>The 20 Goal already satisfied / no movement rows are excluded, leaving 130 planned rows for complete models.</x:v>
      </x:c>
      <x:c r="C5" s="97"/>
      <x:c r="D5" s="97"/>
      <x:c r="E5" s="97"/>
      <x:c r="F5" s="97"/>
      <x:c r="G5" s="97"/>
      <x:c r="H5" s="97"/>
    </x:row>
    <x:row r="6" ht="42" customHeight="1">
      <x:c r="A6" s="112" t="str">
        <x:v>Task metadata</x:v>
      </x:c>
      <x:c r="B6" s="110" t="str">
        <x:v>Prompt, scene, condition, and design fields come from each workbook's Evaluation Plan; model sheets contribute Status and Observations.</x:v>
      </x:c>
      <x:c r="C6" s="97"/>
      <x:c r="D6" s="97"/>
      <x:c r="E6" s="97"/>
      <x:c r="F6" s="97"/>
      <x:c r="G6" s="97"/>
      <x:c r="H6" s="97"/>
    </x:row>
    <x:row r="7" ht="42" customHeight="1">
      <x:c r="A7" s="112" t="str">
        <x:v>Scene Setup</x:v>
      </x:c>
      <x:c r="B7" s="110" t="str">
        <x:v>All source variants are consolidated into one Scene Setup column.</x:v>
      </x:c>
      <x:c r="C7" s="97"/>
      <x:c r="D7" s="97"/>
      <x:c r="E7" s="97"/>
      <x:c r="F7" s="97"/>
      <x:c r="G7" s="97"/>
      <x:c r="H7" s="97"/>
    </x:row>
    <x:row r="8" ht="42" customHeight="1">
      <x:c r="A8" s="112" t="str">
        <x:v>Ordinal setup</x:v>
      </x:c>
      <x:c r="B8" s="110" t="str">
        <x:v>Simplified to robot-left-to-right labels, e.g. L1: blue tape ball, L2: green highlighter.</x:v>
      </x:c>
      <x:c r="C8" s="97"/>
      <x:c r="D8" s="97"/>
      <x:c r="E8" s="97"/>
      <x:c r="F8" s="97"/>
      <x:c r="G8" s="97"/>
      <x:c r="H8" s="97"/>
    </x:row>
    <x:row r="9" ht="42" customHeight="1">
      <x:c r="A9" s="112" t="str">
        <x:v>Relational setup</x:v>
      </x:c>
      <x:c r="B9" s="110" t="str">
        <x:v>Simplified to a comma-separated object list; positional prose is removed.</x:v>
      </x:c>
      <x:c r="C9" s="97"/>
      <x:c r="D9" s="97"/>
      <x:c r="E9" s="97"/>
      <x:c r="F9" s="97"/>
      <x:c r="G9" s="97"/>
      <x:c r="H9" s="97"/>
    </x:row>
    <x:row r="10">
      <x:c r="A10" s="97"/>
      <x:c r="B10" s="97"/>
      <x:c r="C10" s="97"/>
      <x:c r="D10" s="97"/>
      <x:c r="E10" s="97"/>
      <x:c r="F10" s="97"/>
      <x:c r="G10" s="97"/>
      <x:c r="H10" s="97"/>
    </x:row>
    <x:row r="11">
      <x:c r="A11" s="104" t="str">
        <x:v>MODEL SHEETS</x:v>
      </x:c>
      <x:c r="B11" s="105"/>
      <x:c r="C11" s="105"/>
      <x:c r="D11" s="105"/>
      <x:c r="E11" s="105"/>
      <x:c r="F11" s="105"/>
      <x:c r="G11" s="105"/>
      <x:c r="H11" s="106"/>
    </x:row>
    <x:row r="12">
      <x:c r="A12" s="6" t="str">
        <x:v>Model</x:v>
      </x:c>
      <x:c r="B12" s="6" t="str">
        <x:v>Worksheet</x:v>
      </x:c>
      <x:c r="C12" s="6" t="str">
        <x:v>Scored evaluations</x:v>
      </x:c>
      <x:c r="D12" s="6" t="str">
        <x:v>Tasks represented</x:v>
      </x:c>
      <x:c r="E12" s="97"/>
      <x:c r="F12" s="97"/>
      <x:c r="G12" s="97"/>
      <x:c r="H12" s="97"/>
    </x:row>
    <x:row r="13" ht="24" customHeight="1">
      <x:c r="A13" s="113" t="str">
        <x:v>VLA-0</x:v>
      </x:c>
      <x:c r="B13" s="113" t="str">
        <x:v>VLA-0</x:v>
      </x:c>
      <x:c r="C13" s="114" t="n">
        <x:f>COUNTA('VLA-0'!$A$2:$A$73)</x:f>
        <x:v>72</x:v>
      </x:c>
      <x:c r="D13" s="114" t="n">
        <x:v>6</x:v>
      </x:c>
      <x:c r="E13" s="97"/>
      <x:c r="F13" s="97"/>
      <x:c r="G13" s="97"/>
      <x:c r="H13" s="97"/>
    </x:row>
    <x:row r="14" ht="24" customHeight="1">
      <x:c r="A14" s="113" t="str">
        <x:v>GR00T-N1.7 (vision only)</x:v>
      </x:c>
      <x:c r="B14" s="113" t="str">
        <x:v>GR00T Vision</x:v>
      </x:c>
      <x:c r="C14" s="114" t="n">
        <x:f>COUNTA('GR00T Vision'!$A$2:$A$901)</x:f>
        <x:v>900</x:v>
      </x:c>
      <x:c r="D14" s="114" t="n">
        <x:v>6</x:v>
      </x:c>
      <x:c r="E14" s="97"/>
      <x:c r="F14" s="97"/>
      <x:c r="G14" s="97"/>
      <x:c r="H14" s="97"/>
    </x:row>
    <x:row r="15" ht="24" customHeight="1">
      <x:c r="A15" s="113" t="str">
        <x:v>GR00T-N1.7 (full finetune)</x:v>
      </x:c>
      <x:c r="B15" s="113" t="str">
        <x:v>GR00T Full</x:v>
      </x:c>
      <x:c r="C15" s="114" t="n">
        <x:f>COUNTA('GR00T Full'!$A$2:$A$120)</x:f>
        <x:v>119</x:v>
      </x:c>
      <x:c r="D15" s="114" t="n">
        <x:v>6</x:v>
      </x:c>
      <x:c r="E15" s="97"/>
      <x:c r="F15" s="97"/>
      <x:c r="G15" s="97"/>
      <x:c r="H15" s="97"/>
    </x:row>
    <x:row r="16" ht="24" customHeight="1">
      <x:c r="A16" s="113" t="str">
        <x:v>MolmoAct2</x:v>
      </x:c>
      <x:c r="B16" s="113" t="str">
        <x:v>MolmoAct2</x:v>
      </x:c>
      <x:c r="C16" s="114" t="n">
        <x:f>COUNTA('MolmoAct2'!$A$2:$A$901)</x:f>
        <x:v>900</x:v>
      </x:c>
      <x:c r="D16" s="114" t="n">
        <x:v>6</x:v>
      </x:c>
      <x:c r="E16" s="97"/>
      <x:c r="F16" s="97"/>
      <x:c r="G16" s="97"/>
      <x:c r="H16" s="97"/>
    </x:row>
    <x:row r="17" ht="24" customHeight="1">
      <x:c r="A17" s="113" t="str">
        <x:v>Pi0.5</x:v>
      </x:c>
      <x:c r="B17" s="113" t="str">
        <x:v>Pi0.5</x:v>
      </x:c>
      <x:c r="C17" s="114" t="n">
        <x:f>COUNTA('Pi0.5'!$A$2:$A$901)</x:f>
        <x:v>900</x:v>
      </x:c>
      <x:c r="D17" s="114" t="n">
        <x:v>6</x:v>
      </x:c>
      <x:c r="E17" s="97"/>
      <x:c r="F17" s="97"/>
      <x:c r="G17" s="97"/>
      <x:c r="H17" s="97"/>
    </x:row>
    <x:row r="18" ht="24" customHeight="1">
      <x:c r="A18" s="113" t="str">
        <x:v>GR00T-N1.7 (action only, 1 epoch)</x:v>
      </x:c>
      <x:c r="B18" s="113" t="str">
        <x:v>GR00T Action-Only</x:v>
      </x:c>
      <x:c r="C18" s="114" t="n">
        <x:f>COUNTA('GR00T Action-Only'!$A$2:$A$21)</x:f>
        <x:v>20</x:v>
      </x:c>
      <x:c r="D18" s="114" t="n">
        <x:v>1</x:v>
      </x:c>
      <x:c r="E18" s="97"/>
      <x:c r="F18" s="97"/>
      <x:c r="G18" s="97"/>
      <x:c r="H18" s="97"/>
    </x:row>
    <x:row r="19">
      <x:c r="A19" s="97"/>
      <x:c r="B19" s="97"/>
      <x:c r="C19" s="97"/>
      <x:c r="D19" s="97"/>
      <x:c r="E19" s="97"/>
      <x:c r="F19" s="97"/>
      <x:c r="G19" s="97"/>
      <x:c r="H19" s="97"/>
    </x:row>
    <x:row r="20">
      <x:c r="A20" s="104" t="str">
        <x:v>RESULTS AND CONFIDENCE INTERVALS</x:v>
      </x:c>
      <x:c r="B20" s="105"/>
      <x:c r="C20" s="105"/>
      <x:c r="D20" s="105"/>
      <x:c r="E20" s="105"/>
      <x:c r="F20" s="105"/>
      <x:c r="G20" s="105"/>
      <x:c r="H20" s="106"/>
    </x:row>
    <x:row r="21" ht="42" customHeight="1">
      <x:c r="A21" s="112" t="str">
        <x:v>Success rate</x:v>
      </x:c>
      <x:c r="B21" s="110" t="str">
        <x:v>Success ÷ (Success + Failure). Because model sheets contain scored rows only, every consolidated row contributes to the denominator for its condition.</x:v>
      </x:c>
      <x:c r="C21" s="97"/>
      <x:c r="D21" s="97"/>
      <x:c r="E21" s="97"/>
      <x:c r="F21" s="97"/>
      <x:c r="G21" s="97"/>
      <x:c r="H21" s="97"/>
    </x:row>
    <x:row r="22" ht="42" customHeight="1">
      <x:c r="A22" s="112" t="str">
        <x:v>In-distribution</x:v>
      </x:c>
      <x:c r="B22" s="110" t="str">
        <x:v>Condition = In-distribution concept baseline.</x:v>
      </x:c>
      <x:c r="C22" s="97"/>
      <x:c r="D22" s="97"/>
      <x:c r="E22" s="97"/>
      <x:c r="F22" s="97"/>
      <x:c r="G22" s="97"/>
      <x:c r="H22" s="97"/>
    </x:row>
    <x:row r="23" ht="42" customHeight="1">
      <x:c r="A23" s="112" t="str">
        <x:v>Concept transfer</x:v>
      </x:c>
      <x:c r="B23" s="110" t="str">
        <x:v>Condition = Concept/compositional transfer.</x:v>
      </x:c>
      <x:c r="C23" s="97"/>
      <x:c r="D23" s="97"/>
      <x:c r="E23" s="97"/>
      <x:c r="F23" s="97"/>
      <x:c r="G23" s="97"/>
      <x:c r="H23" s="97"/>
    </x:row>
    <x:row r="24" ht="42" customHeight="1">
      <x:c r="A24" s="112" t="str">
        <x:v>Confidence interval</x:v>
      </x:c>
      <x:c r="B24" s="110" t="str">
        <x:v>Two-sided Wilson score interval at 95% confidence using z = 1.96. Exact lower and upper bounds are available in Results and Analysis Data.</x:v>
      </x:c>
      <x:c r="C24" s="97"/>
      <x:c r="D24" s="97"/>
      <x:c r="E24" s="97"/>
      <x:c r="F24" s="97"/>
      <x:c r="G24" s="97"/>
      <x:c r="H24" s="97"/>
    </x:row>
    <x:row r="25">
      <x:c r="A25" s="97"/>
      <x:c r="B25" s="97"/>
      <x:c r="C25" s="97"/>
      <x:c r="D25" s="97"/>
      <x:c r="E25" s="97"/>
      <x:c r="F25" s="97"/>
      <x:c r="G25" s="97"/>
      <x:c r="H25" s="97"/>
    </x:row>
    <x:row r="26">
      <x:c r="A26" s="104" t="str">
        <x:v>RESOLVED SOURCE DISCREPANCIES</x:v>
      </x:c>
      <x:c r="B26" s="105"/>
      <x:c r="C26" s="105"/>
      <x:c r="D26" s="105"/>
      <x:c r="E26" s="105"/>
      <x:c r="F26" s="105"/>
      <x:c r="G26" s="105"/>
      <x:c r="H26" s="106"/>
    </x:row>
    <x:row r="27" ht="42" customHeight="1">
      <x:c r="A27" s="116" t="str">
        <x:v>Mislabeled Status headers</x:v>
      </x:c>
      <x:c r="B27" s="110" t="str">
        <x:v>MolmoAct2 Counting used pi; vision-only Referential Disambiguation used Column 1. Both are normalized to Status.</x:v>
      </x:c>
      <x:c r="C27" s="97"/>
      <x:c r="D27" s="97"/>
      <x:c r="E27" s="97"/>
      <x:c r="F27" s="97"/>
      <x:c r="G27" s="97"/>
      <x:c r="H27" s="97"/>
    </x:row>
    <x:row r="28" ht="42" customHeight="1">
      <x:c r="A28" s="116" t="str">
        <x:v>Reference Episode drift</x:v>
      </x:c>
      <x:c r="B28" s="110" t="str">
        <x:v>Several copied result sheets disagreed with their Evaluation Plan. The Evaluation Plan value is used consistently.</x:v>
      </x:c>
      <x:c r="C28" s="97"/>
      <x:c r="D28" s="97"/>
      <x:c r="E28" s="97"/>
      <x:c r="F28" s="97"/>
      <x:c r="G28" s="97"/>
      <x:c r="H28" s="97"/>
    </x:row>
    <x:row r="29" ht="42" customHeight="1">
      <x:c r="A29" s="116" t="str">
        <x:v>Relational Molmo setup</x:v>
      </x:c>
      <x:c r="B29" s="110" t="str">
        <x:v>Eighteen result rows contained Full table in the setup field; the Evaluation Plan restores the task definition before object-only simplification.</x:v>
      </x:c>
      <x:c r="C29" s="97"/>
      <x:c r="D29" s="97"/>
      <x:c r="E29" s="97"/>
      <x:c r="F29" s="97"/>
      <x:c r="G29" s="97"/>
      <x:c r="H29" s="97"/>
    </x:row>
  </x:sheetData>
  <x:mergeCells>
    <x:mergeCell ref="A1:H1"/>
    <x:mergeCell ref="A3:H3"/>
    <x:mergeCell ref="A11:H11"/>
    <x:mergeCell ref="A20:H20"/>
    <x:mergeCell ref="A26:H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went for striped cup and knocked it over</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VLA0 Results</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went for upside-down white cup and didn't even grip it</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VLA0 Results</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correctly went for the closed striped cup but then drift to grabbing empty space between the striped cup and white cup. Also started moving to the left of the workspace, pushing the white cup.</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VLA0 Results</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went for the brown cup and then kind of was moving in between the brown cup and upright striped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VLA0 Results</x:v>
      </x:c>
      <x:c r="AM5" s="9" t="n">
        <x:v>5</x:v>
      </x:c>
      <x:c r="AN5" s="9" t="n">
        <x:v>5</x:v>
      </x:c>
    </x:row>
    <x:row r="6">
      <x:c r="A6" s="9" t="str">
        <x:v>Failure</x:v>
      </x:c>
      <x:c r="B6" s="9" t="str">
        <x:v>State Recognition</x:v>
      </x:c>
      <x:c r="C6" s="10" t="n">
        <x:v>4</x:v>
      </x:c>
      <x:c r="D6" s="9" t="str">
        <x:v>Put the open brown cup in the bowl.</x:v>
      </x:c>
      <x:c r="E6" s="9" t="str">
        <x:v>brown cup B (O, RU); brown cup A (C, RU); glass spice container A (O, RU)</x:v>
      </x:c>
      <x:c r="F6" s="9" t="str">
        <x:v>brown cup B</x:v>
      </x:c>
      <x:c r="G6" s="9" t="str">
        <x:v>went for open glass container. had it between grippers, but didn't close the grippers</x:v>
      </x:c>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VLA0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VLA0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grasped thin air</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VLA0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t="str">
        <x:v>was facing closed spice container, but didn't do anything; kind of froze</x:v>
      </x:c>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VLA0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didn't move</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VLA0 Results</x:v>
      </x:c>
      <x:c r="AM10" s="9" t="n">
        <x:v>10</x:v>
      </x:c>
      <x:c r="AN10" s="9" t="n">
        <x:v>10</x:v>
      </x:c>
    </x:row>
    <x:row r="11">
      <x:c r="A11" s="9" t="str">
        <x:v>Failure</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t="str">
        <x:v>went for upright glass spice container, but didn't grip it; was reaching around the right side of the container</x:v>
      </x:c>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VLA0 Results</x:v>
      </x:c>
      <x:c r="AM11" s="9" t="n">
        <x:v>11</x:v>
      </x:c>
      <x:c r="AN11" s="9" t="n">
        <x:v>11</x:v>
      </x:c>
    </x:row>
    <x:row r="12">
      <x:c r="A12" s="9" t="str">
        <x:v>Failure</x:v>
      </x:c>
      <x:c r="B12" s="9" t="str">
        <x:v>Counting</x:v>
      </x:c>
      <x:c r="C12" s="10" t="n">
        <x:v>0</x:v>
      </x:c>
      <x:c r="D12" s="9" t="str">
        <x:v>Leave exactly one object in the bowl.</x:v>
      </x:c>
      <x:c r="E12" s="9" t="str">
        <x:v>Bowl objects: [none] | Table objects: [blue pen, yellow block, green pencil sharpener]</x:v>
      </x:c>
      <x:c r="F12" s="9" t="str">
        <x:v>ADD any one table object; finish with 1 object in the bowl</x:v>
      </x:c>
      <x:c r="G12" s="9" t="str">
        <x:v>didn't move</x:v>
      </x:c>
      <x:c r="H12" s="9" t="str">
        <x:v>In-distribution concept baseline</x:v>
      </x:c>
      <x:c r="I12" s="9" t="str">
        <x:v>ID-F01</x:v>
      </x:c>
      <x:c r="J12" s="9" t="str">
        <x:v>In-distribution: one via trained 0→1 addition</x:v>
      </x:c>
      <x:c r="K12" s="9"/>
      <x:c r="L12" s="9" t="str">
        <x:v>801</x:v>
      </x:c>
      <x:c r="M12" s="9" t="str">
        <x:v>Exact trained cell: prompt, count transition, and scene-object membership match; physical layout is not copied exactly.</x:v>
      </x:c>
      <x:c r="N12" s="9" t="n">
        <x:v>1</x:v>
      </x:c>
      <x:c r="O12" s="9" t="str">
        <x:v>Recreate the listed bowl/table membership from training episode 801.</x:v>
      </x:c>
      <x:c r="P12" s="9" t="str">
        <x:v>Exact trained count transition and scene-object membership. Any object that reaches the requested final count is acceptable.</x:v>
      </x:c>
      <x:c r="Q12" s="9"/>
      <x:c r="R12" s="10"/>
      <x:c r="S12" s="10"/>
      <x:c r="T12" s="9"/>
      <x:c r="U12" s="9"/>
      <x:c r="V12" s="9"/>
      <x:c r="W12" s="9" t="str">
        <x:v>ID-F01</x:v>
      </x:c>
      <x:c r="X12" s="10" t="n">
        <x:v>0</x:v>
      </x:c>
      <x:c r="Y12" s="10" t="n">
        <x:v>1</x:v>
      </x:c>
      <x:c r="Z12" s="9" t="str">
        <x:v>ADD</x:v>
      </x:c>
      <x:c r="AA12" s="9"/>
      <x:c r="AB12" s="9"/>
      <x:c r="AC12" s="9"/>
      <x:c r="AD12" s="9"/>
      <x:c r="AE12" s="9"/>
      <x:c r="AF12" s="9"/>
      <x:c r="AG12" s="9"/>
      <x:c r="AH12" s="9"/>
      <x:c r="AI12" s="11"/>
      <x:c r="AJ12" s="9"/>
      <x:c r="AK12" s="9" t="str">
        <x:v>Eval_Counting.xlsm</x:v>
      </x:c>
      <x:c r="AL12" s="9" t="str">
        <x:v>VLA0 Results</x:v>
      </x:c>
      <x:c r="AM12" s="9" t="n">
        <x:v>2</x:v>
      </x:c>
      <x:c r="AN12" s="9" t="n">
        <x:v>2</x:v>
      </x:c>
    </x:row>
    <x:row r="13">
      <x:c r="A13" s="9" t="str">
        <x:v>Failure</x:v>
      </x:c>
      <x:c r="B13" s="9" t="str">
        <x:v>Counting</x:v>
      </x:c>
      <x:c r="C13" s="10" t="n">
        <x:v>1</x:v>
      </x:c>
      <x:c r="D13" s="9" t="str">
        <x:v>Adjust the bowl so that it contains two objects.</x:v>
      </x:c>
      <x:c r="E13" s="9" t="str">
        <x:v>Bowl objects: [yellow block] | Table objects: [blue pen, green pencil sharpener]</x:v>
      </x:c>
      <x:c r="F13" s="9" t="str">
        <x:v>ADD any one table object; finish with 2 objects in the bowl</x:v>
      </x:c>
      <x:c r="G13" s="9" t="str">
        <x:v>tried to pick the blue pen, but didn't even open the gripper</x:v>
      </x:c>
      <x:c r="H13" s="9" t="str">
        <x:v>In-distribution concept baseline</x:v>
      </x:c>
      <x:c r="I13" s="9" t="str">
        <x:v>ID-F01</x:v>
      </x:c>
      <x:c r="J13" s="9" t="str">
        <x:v>In-distribution: two via trained 1→2 addition</x:v>
      </x:c>
      <x:c r="K13" s="9"/>
      <x:c r="L13" s="9" t="str">
        <x:v>809</x:v>
      </x:c>
      <x:c r="M13" s="9" t="str">
        <x:v>Exact trained cell: prompt, count transition, and scene-object membership match; physical layout is not copied exactly.</x:v>
      </x:c>
      <x:c r="N13" s="9" t="n">
        <x:v>1</x:v>
      </x:c>
      <x:c r="O13" s="9" t="str">
        <x:v>Recreate the listed bowl/table membership from training episode 809.</x:v>
      </x:c>
      <x:c r="P13" s="9" t="str">
        <x:v>Exact trained count transition and scene-object membership. Any object that reaches the requested final count is acceptable.</x:v>
      </x:c>
      <x:c r="Q13" s="9"/>
      <x:c r="R13" s="10"/>
      <x:c r="S13" s="10"/>
      <x:c r="T13" s="9"/>
      <x:c r="U13" s="9"/>
      <x:c r="V13" s="9"/>
      <x:c r="W13" s="9" t="str">
        <x:v>ID-F01</x:v>
      </x:c>
      <x:c r="X13" s="10" t="n">
        <x:v>1</x:v>
      </x:c>
      <x:c r="Y13" s="10" t="n">
        <x:v>2</x:v>
      </x:c>
      <x:c r="Z13" s="9" t="str">
        <x:v>ADD</x:v>
      </x:c>
      <x:c r="AA13" s="9"/>
      <x:c r="AB13" s="9"/>
      <x:c r="AC13" s="9"/>
      <x:c r="AD13" s="9"/>
      <x:c r="AE13" s="9"/>
      <x:c r="AF13" s="9"/>
      <x:c r="AG13" s="9"/>
      <x:c r="AH13" s="9"/>
      <x:c r="AI13" s="11"/>
      <x:c r="AJ13" s="9"/>
      <x:c r="AK13" s="9" t="str">
        <x:v>Eval_Counting.xlsm</x:v>
      </x:c>
      <x:c r="AL13" s="9" t="str">
        <x:v>VLA0 Results</x:v>
      </x:c>
      <x:c r="AM13" s="9" t="n">
        <x:v>3</x:v>
      </x:c>
      <x:c r="AN13" s="9" t="n">
        <x:v>3</x:v>
      </x:c>
    </x:row>
    <x:row r="14">
      <x:c r="A14" s="9" t="str">
        <x:v>Failure</x:v>
      </x:c>
      <x:c r="B14" s="9" t="str">
        <x:v>Counting</x:v>
      </x:c>
      <x:c r="C14" s="10" t="n">
        <x:v>2</x:v>
      </x:c>
      <x:c r="D14" s="9" t="str">
        <x:v>Leave exactly three objects in the bowl.</x:v>
      </x:c>
      <x:c r="E14" s="9" t="str">
        <x:v>Bowl objects: [blue pen, yellow block, green pencil sharpener, airplane toy without propellers] | Table objects: [none]</x:v>
      </x:c>
      <x:c r="F14" s="9" t="str">
        <x:v>REMOVE any one bowl object; finish with 3 objects in the bowl</x:v>
      </x:c>
      <x:c r="G14" s="9" t="str">
        <x:v>started gripping in middle of workspace like it's going for a soda can or cup</x:v>
      </x:c>
      <x:c r="H14" s="9" t="str">
        <x:v>In-distribution concept baseline</x:v>
      </x:c>
      <x:c r="I14" s="9" t="str">
        <x:v>ID-F01</x:v>
      </x:c>
      <x:c r="J14" s="9" t="str">
        <x:v>In-distribution: three via trained 4→3 removal</x:v>
      </x:c>
      <x:c r="K14" s="9"/>
      <x:c r="L14" s="9" t="str">
        <x:v>843</x:v>
      </x:c>
      <x:c r="M14" s="9" t="str">
        <x:v>Exact trained cell: prompt, count transition, and scene-object membership match; physical layout is not copied exactly.</x:v>
      </x:c>
      <x:c r="N14" s="9" t="n">
        <x:v>1</x:v>
      </x:c>
      <x:c r="O14" s="9" t="str">
        <x:v>Recreate the listed bowl/table membership from training episode 843.</x:v>
      </x:c>
      <x:c r="P14" s="9" t="str">
        <x:v>Exact trained count transition and scene-object membership. Any object that reaches the requested final count is acceptable.</x:v>
      </x:c>
      <x:c r="Q14" s="9"/>
      <x:c r="R14" s="10"/>
      <x:c r="S14" s="10"/>
      <x:c r="T14" s="9"/>
      <x:c r="U14" s="9"/>
      <x:c r="V14" s="9"/>
      <x:c r="W14" s="9" t="str">
        <x:v>ID-F01</x:v>
      </x:c>
      <x:c r="X14" s="10" t="n">
        <x:v>4</x:v>
      </x:c>
      <x:c r="Y14" s="10" t="n">
        <x:v>3</x:v>
      </x:c>
      <x:c r="Z14" s="9" t="str">
        <x:v>REMOVE</x:v>
      </x:c>
      <x:c r="AA14" s="9"/>
      <x:c r="AB14" s="9"/>
      <x:c r="AC14" s="9"/>
      <x:c r="AD14" s="9"/>
      <x:c r="AE14" s="9"/>
      <x:c r="AF14" s="9"/>
      <x:c r="AG14" s="9"/>
      <x:c r="AH14" s="9"/>
      <x:c r="AI14" s="11"/>
      <x:c r="AJ14" s="9"/>
      <x:c r="AK14" s="9" t="str">
        <x:v>Eval_Counting.xlsm</x:v>
      </x:c>
      <x:c r="AL14" s="9" t="str">
        <x:v>VLA0 Results</x:v>
      </x:c>
      <x:c r="AM14" s="9" t="n">
        <x:v>4</x:v>
      </x:c>
      <x:c r="AN14" s="9" t="n">
        <x:v>4</x:v>
      </x:c>
    </x:row>
    <x:row r="15">
      <x:c r="A15" s="9" t="str">
        <x:v>Failure</x:v>
      </x:c>
      <x:c r="B15" s="9" t="str">
        <x:v>Counting</x:v>
      </x:c>
      <x:c r="C15" s="10" t="n">
        <x:v>3</x:v>
      </x:c>
      <x:c r="D15" s="9" t="str">
        <x:v>Adjust the bowl so that it contains zero objects.</x:v>
      </x:c>
      <x:c r="E15" s="9" t="str">
        <x:v>Bowl objects: [blue pen] | Table objects: [green pencil sharpener, airplane toy without propellers]</x:v>
      </x:c>
      <x:c r="F15" s="9" t="str">
        <x:v>REMOVE the only bowl object; finish with 0 objects in the bowl</x:v>
      </x:c>
      <x:c r="G15" s="9" t="str">
        <x:v>didn't move</x:v>
      </x:c>
      <x:c r="H15" s="9" t="str">
        <x:v>In-distribution concept baseline</x:v>
      </x:c>
      <x:c r="I15" s="9" t="str">
        <x:v>ID-F01</x:v>
      </x:c>
      <x:c r="J15" s="9" t="str">
        <x:v>In-distribution: zero via trained 1→0 removal</x:v>
      </x:c>
      <x:c r="K15" s="9"/>
      <x:c r="L15" s="9" t="str">
        <x:v>826</x:v>
      </x:c>
      <x:c r="M15" s="9" t="str">
        <x:v>Exact trained cell: prompt, count transition, and scene-object membership match; physical layout is not copied exactly.</x:v>
      </x:c>
      <x:c r="N15" s="9" t="n">
        <x:v>1</x:v>
      </x:c>
      <x:c r="O15" s="9" t="str">
        <x:v>Recreate the listed bowl/table membership from training episode 826.</x:v>
      </x:c>
      <x:c r="P15" s="9" t="str">
        <x:v>Exact trained count transition and scene-object membership. Any object that reaches the requested final count is acceptable.</x:v>
      </x:c>
      <x:c r="Q15" s="9"/>
      <x:c r="R15" s="10"/>
      <x:c r="S15" s="10"/>
      <x:c r="T15" s="9"/>
      <x:c r="U15" s="9"/>
      <x:c r="V15" s="9"/>
      <x:c r="W15" s="9" t="str">
        <x:v>ID-F01</x:v>
      </x:c>
      <x:c r="X15" s="10" t="n">
        <x:v>1</x:v>
      </x:c>
      <x:c r="Y15" s="10" t="n">
        <x:v>0</x:v>
      </x:c>
      <x:c r="Z15" s="9" t="str">
        <x:v>REMOVE</x:v>
      </x:c>
      <x:c r="AA15" s="9"/>
      <x:c r="AB15" s="9"/>
      <x:c r="AC15" s="9"/>
      <x:c r="AD15" s="9"/>
      <x:c r="AE15" s="9"/>
      <x:c r="AF15" s="9"/>
      <x:c r="AG15" s="9"/>
      <x:c r="AH15" s="9"/>
      <x:c r="AI15" s="11"/>
      <x:c r="AJ15" s="9"/>
      <x:c r="AK15" s="9" t="str">
        <x:v>Eval_Counting.xlsm</x:v>
      </x:c>
      <x:c r="AL15" s="9" t="str">
        <x:v>VLA0 Results</x:v>
      </x:c>
      <x:c r="AM15" s="9" t="n">
        <x:v>5</x:v>
      </x:c>
      <x:c r="AN15" s="9" t="n">
        <x:v>5</x:v>
      </x:c>
    </x:row>
    <x:row r="16">
      <x:c r="A16" s="9" t="str">
        <x:v>Failure</x:v>
      </x:c>
      <x:c r="B16" s="9" t="str">
        <x:v>Counting</x:v>
      </x:c>
      <x:c r="C16" s="10" t="n">
        <x:v>4</x:v>
      </x:c>
      <x:c r="D16" s="9" t="str">
        <x:v>Leave exactly one object in the bowl.</x:v>
      </x:c>
      <x:c r="E16" s="9" t="str">
        <x:v>Bowl objects: [none] | Table objects: [yellow block, blue pen]</x:v>
      </x:c>
      <x:c r="F16" s="9" t="str">
        <x:v>ADD any one table object; finish with 1 object in the bowl</x:v>
      </x:c>
      <x:c r="G16" s="9" t="str">
        <x:v>went to middle of workspace and couldn't grab anything</x:v>
      </x:c>
      <x:c r="H16" s="9" t="str">
        <x:v>In-distribution concept baseline</x:v>
      </x:c>
      <x:c r="I16" s="9" t="str">
        <x:v>ID-F02</x:v>
      </x:c>
      <x:c r="J16" s="9" t="str">
        <x:v>In-distribution: one via trained 0→1 addition</x:v>
      </x:c>
      <x:c r="K16" s="9"/>
      <x:c r="L16" s="9" t="str">
        <x:v>852</x:v>
      </x:c>
      <x:c r="M16" s="9" t="str">
        <x:v>Exact trained cell: prompt, count transition, and scene-object membership match; physical layout is not copied exactly.</x:v>
      </x:c>
      <x:c r="N16" s="9" t="n">
        <x:v>1</x:v>
      </x:c>
      <x:c r="O16" s="9" t="str">
        <x:v>Recreate the listed bowl/table membership from training episode 852.</x:v>
      </x:c>
      <x:c r="P16" s="9" t="str">
        <x:v>Exact trained count transition and scene-object membership. Any object that reaches the requested final count is acceptable.</x:v>
      </x:c>
      <x:c r="Q16" s="9"/>
      <x:c r="R16" s="10"/>
      <x:c r="S16" s="10"/>
      <x:c r="T16" s="9"/>
      <x:c r="U16" s="9"/>
      <x:c r="V16" s="9"/>
      <x:c r="W16" s="9" t="str">
        <x:v>ID-F02</x:v>
      </x:c>
      <x:c r="X16" s="10" t="n">
        <x:v>0</x:v>
      </x:c>
      <x:c r="Y16" s="10" t="n">
        <x:v>1</x:v>
      </x:c>
      <x:c r="Z16" s="9" t="str">
        <x:v>ADD</x:v>
      </x:c>
      <x:c r="AA16" s="9"/>
      <x:c r="AB16" s="9"/>
      <x:c r="AC16" s="9"/>
      <x:c r="AD16" s="9"/>
      <x:c r="AE16" s="9"/>
      <x:c r="AF16" s="9"/>
      <x:c r="AG16" s="9"/>
      <x:c r="AH16" s="9"/>
      <x:c r="AI16" s="11"/>
      <x:c r="AJ16" s="9"/>
      <x:c r="AK16" s="9" t="str">
        <x:v>Eval_Counting.xlsm</x:v>
      </x:c>
      <x:c r="AL16" s="9" t="str">
        <x:v>VLA0 Results</x:v>
      </x:c>
      <x:c r="AM16" s="9" t="n">
        <x:v>6</x:v>
      </x:c>
      <x:c r="AN16" s="9" t="n">
        <x:v>6</x:v>
      </x:c>
    </x:row>
    <x:row r="17">
      <x:c r="A17" s="9" t="str">
        <x:v>Failure</x:v>
      </x:c>
      <x:c r="B17" s="9" t="str">
        <x:v>Counting</x:v>
      </x:c>
      <x:c r="C17" s="10" t="n">
        <x:v>5</x:v>
      </x:c>
      <x:c r="D17" s="9" t="str">
        <x:v>Adjust the bowl so that it contains two objects.</x:v>
      </x:c>
      <x:c r="E17" s="9" t="str">
        <x:v>Bowl objects: [green pencil sharpener] | Table objects: [yellow block, airplane toy without propellers]</x:v>
      </x:c>
      <x:c r="F17" s="9" t="str">
        <x:v>ADD any one table object; finish with 2 objects in the bowl</x:v>
      </x:c>
      <x:c r="G17" s="9" t="str">
        <x:v>went to the yellow block, but couldn't grab it</x:v>
      </x:c>
      <x:c r="H17" s="9" t="str">
        <x:v>In-distribution concept baseline</x:v>
      </x:c>
      <x:c r="I17" s="9" t="str">
        <x:v>ID-F02</x:v>
      </x:c>
      <x:c r="J17" s="9" t="str">
        <x:v>In-distribution: two via trained 1→2 addition</x:v>
      </x:c>
      <x:c r="K17" s="9"/>
      <x:c r="L17" s="9" t="str">
        <x:v>859</x:v>
      </x:c>
      <x:c r="M17" s="9" t="str">
        <x:v>Exact trained cell: prompt, count transition, and scene-object membership match; physical layout is not copied exactly.</x:v>
      </x:c>
      <x:c r="N17" s="9" t="n">
        <x:v>1</x:v>
      </x:c>
      <x:c r="O17" s="9" t="str">
        <x:v>Recreate the listed bowl/table membership from training episode 859.</x:v>
      </x:c>
      <x:c r="P17" s="9" t="str">
        <x:v>Exact trained count transition and scene-object membership. Any object that reaches the requested final count is acceptable.</x:v>
      </x:c>
      <x:c r="Q17" s="9"/>
      <x:c r="R17" s="10"/>
      <x:c r="S17" s="10"/>
      <x:c r="T17" s="9"/>
      <x:c r="U17" s="9"/>
      <x:c r="V17" s="9"/>
      <x:c r="W17" s="9" t="str">
        <x:v>ID-F02</x:v>
      </x:c>
      <x:c r="X17" s="10" t="n">
        <x:v>1</x:v>
      </x:c>
      <x:c r="Y17" s="10" t="n">
        <x:v>2</x:v>
      </x:c>
      <x:c r="Z17" s="9" t="str">
        <x:v>ADD</x:v>
      </x:c>
      <x:c r="AA17" s="9"/>
      <x:c r="AB17" s="9"/>
      <x:c r="AC17" s="9"/>
      <x:c r="AD17" s="9"/>
      <x:c r="AE17" s="9"/>
      <x:c r="AF17" s="9"/>
      <x:c r="AG17" s="9"/>
      <x:c r="AH17" s="9"/>
      <x:c r="AI17" s="11"/>
      <x:c r="AJ17" s="9"/>
      <x:c r="AK17" s="9" t="str">
        <x:v>Eval_Counting.xlsm</x:v>
      </x:c>
      <x:c r="AL17" s="9" t="str">
        <x:v>VLA0 Results</x:v>
      </x:c>
      <x:c r="AM17" s="9" t="n">
        <x:v>7</x:v>
      </x:c>
      <x:c r="AN17" s="9" t="n">
        <x:v>7</x:v>
      </x:c>
    </x:row>
    <x:row r="18">
      <x:c r="A18" s="9" t="str">
        <x:v>Failure</x:v>
      </x:c>
      <x:c r="B18" s="9" t="str">
        <x:v>Counting</x:v>
      </x:c>
      <x:c r="C18" s="10" t="n">
        <x:v>6</x:v>
      </x:c>
      <x:c r="D18" s="9" t="str">
        <x:v>Leave exactly three objects in the bowl.</x:v>
      </x:c>
      <x:c r="E18" s="9" t="str">
        <x:v>Bowl objects: [yellow block, green pencil sharpener, airplane toy without propellers, blue pen] | Table objects: [none]</x:v>
      </x:c>
      <x:c r="F18" s="9" t="str">
        <x:v>REMOVE any one bowl object; finish with 3 objects in the bowl</x:v>
      </x:c>
      <x:c r="G18" s="9" t="str">
        <x:v>Went to bowl but couldn't grab anything</x:v>
      </x:c>
      <x:c r="H18" s="9" t="str">
        <x:v>In-distribution concept baseline</x:v>
      </x:c>
      <x:c r="I18" s="9" t="str">
        <x:v>ID-F02</x:v>
      </x:c>
      <x:c r="J18" s="9" t="str">
        <x:v>In-distribution: three via trained 4→3 removal</x:v>
      </x:c>
      <x:c r="K18" s="9"/>
      <x:c r="L18" s="9" t="str">
        <x:v>893</x:v>
      </x:c>
      <x:c r="M18" s="9" t="str">
        <x:v>Exact trained cell: prompt, count transition, and scene-object membership match; physical layout is not copied exactly.</x:v>
      </x:c>
      <x:c r="N18" s="9" t="n">
        <x:v>1</x:v>
      </x:c>
      <x:c r="O18" s="9" t="str">
        <x:v>Recreate the listed bowl/table membership from training episode 893.</x:v>
      </x:c>
      <x:c r="P18" s="9" t="str">
        <x:v>Exact trained count transition and scene-object membership. Any object that reaches the requested final count is acceptable.</x:v>
      </x:c>
      <x:c r="Q18" s="9"/>
      <x:c r="R18" s="10"/>
      <x:c r="S18" s="10"/>
      <x:c r="T18" s="9"/>
      <x:c r="U18" s="9"/>
      <x:c r="V18" s="9"/>
      <x:c r="W18" s="9" t="str">
        <x:v>ID-F02</x:v>
      </x:c>
      <x:c r="X18" s="10" t="n">
        <x:v>4</x:v>
      </x:c>
      <x:c r="Y18" s="10" t="n">
        <x:v>3</x:v>
      </x:c>
      <x:c r="Z18" s="9" t="str">
        <x:v>REMOVE</x:v>
      </x:c>
      <x:c r="AA18" s="9"/>
      <x:c r="AB18" s="9"/>
      <x:c r="AC18" s="9"/>
      <x:c r="AD18" s="9"/>
      <x:c r="AE18" s="9"/>
      <x:c r="AF18" s="9"/>
      <x:c r="AG18" s="9"/>
      <x:c r="AH18" s="9"/>
      <x:c r="AI18" s="11"/>
      <x:c r="AJ18" s="9"/>
      <x:c r="AK18" s="9" t="str">
        <x:v>Eval_Counting.xlsm</x:v>
      </x:c>
      <x:c r="AL18" s="9" t="str">
        <x:v>VLA0 Results</x:v>
      </x:c>
      <x:c r="AM18" s="9" t="n">
        <x:v>8</x:v>
      </x:c>
      <x:c r="AN18" s="9" t="n">
        <x:v>8</x:v>
      </x:c>
    </x:row>
    <x:row r="19">
      <x:c r="A19" s="9" t="str">
        <x:v>Failure</x:v>
      </x:c>
      <x:c r="B19" s="9" t="str">
        <x:v>Counting</x:v>
      </x:c>
      <x:c r="C19" s="10" t="n">
        <x:v>7</x:v>
      </x:c>
      <x:c r="D19" s="9" t="str">
        <x:v>Adjust the bowl so that it contains zero objects.</x:v>
      </x:c>
      <x:c r="E19" s="9" t="str">
        <x:v>Bowl objects: [yellow block] | Table objects: [blue pen]</x:v>
      </x:c>
      <x:c r="F19" s="9" t="str">
        <x:v>REMOVE the only bowl object; finish with 0 objects in the bowl</x:v>
      </x:c>
      <x:c r="G19" s="9" t="str">
        <x:v>didn't move</x:v>
      </x:c>
      <x:c r="H19" s="9" t="str">
        <x:v>In-distribution concept baseline</x:v>
      </x:c>
      <x:c r="I19" s="9" t="str">
        <x:v>ID-F02</x:v>
      </x:c>
      <x:c r="J19" s="9" t="str">
        <x:v>In-distribution: zero via trained 1→0 removal</x:v>
      </x:c>
      <x:c r="K19" s="9"/>
      <x:c r="L19" s="9" t="str">
        <x:v>878</x:v>
      </x:c>
      <x:c r="M19" s="9" t="str">
        <x:v>Exact trained cell: prompt, count transition, and scene-object membership match; physical layout is not copied exactly.</x:v>
      </x:c>
      <x:c r="N19" s="9" t="n">
        <x:v>1</x:v>
      </x:c>
      <x:c r="O19" s="9" t="str">
        <x:v>Recreate the listed bowl/table membership from training episode 878.</x:v>
      </x:c>
      <x:c r="P19" s="9" t="str">
        <x:v>Exact trained count transition and scene-object membership. Any object that reaches the requested final count is acceptable.</x:v>
      </x:c>
      <x:c r="Q19" s="9"/>
      <x:c r="R19" s="10"/>
      <x:c r="S19" s="10"/>
      <x:c r="T19" s="9"/>
      <x:c r="U19" s="9"/>
      <x:c r="V19" s="9"/>
      <x:c r="W19" s="9" t="str">
        <x:v>ID-F02</x:v>
      </x:c>
      <x:c r="X19" s="10" t="n">
        <x:v>1</x:v>
      </x:c>
      <x:c r="Y19" s="10" t="n">
        <x:v>0</x:v>
      </x:c>
      <x:c r="Z19" s="9" t="str">
        <x:v>REMOVE</x:v>
      </x:c>
      <x:c r="AA19" s="9"/>
      <x:c r="AB19" s="9"/>
      <x:c r="AC19" s="9"/>
      <x:c r="AD19" s="9"/>
      <x:c r="AE19" s="9"/>
      <x:c r="AF19" s="9"/>
      <x:c r="AG19" s="9"/>
      <x:c r="AH19" s="9"/>
      <x:c r="AI19" s="11"/>
      <x:c r="AJ19" s="9"/>
      <x:c r="AK19" s="9" t="str">
        <x:v>Eval_Counting.xlsm</x:v>
      </x:c>
      <x:c r="AL19" s="9" t="str">
        <x:v>VLA0 Results</x:v>
      </x:c>
      <x:c r="AM19" s="9" t="n">
        <x:v>9</x:v>
      </x:c>
      <x:c r="AN19" s="9" t="n">
        <x:v>9</x:v>
      </x:c>
    </x:row>
    <x:row r="20">
      <x:c r="A20" s="9" t="str">
        <x:v>Failure</x:v>
      </x:c>
      <x:c r="B20" s="9" t="str">
        <x:v>Counting</x:v>
      </x:c>
      <x:c r="C20" s="10" t="n">
        <x:v>8</x:v>
      </x:c>
      <x:c r="D20" s="9" t="str">
        <x:v>Leave exactly one object in the bowl.</x:v>
      </x:c>
      <x:c r="E20" s="9" t="str">
        <x:v>Bowl objects: [none] | Table objects: [green pencil sharpener, yellow block]</x:v>
      </x:c>
      <x:c r="F20" s="9" t="str">
        <x:v>ADD any one table object; finish with 1 object in the bowl</x:v>
      </x:c>
      <x:c r="G20" s="9" t="str">
        <x:v>went towards the yellow block which is on the right side of workspace but didn't grab it</x:v>
      </x:c>
      <x:c r="H20" s="9" t="str">
        <x:v>In-distribution concept baseline</x:v>
      </x:c>
      <x:c r="I20" s="9" t="str">
        <x:v>ID-F03</x:v>
      </x:c>
      <x:c r="J20" s="9" t="str">
        <x:v>In-distribution: one via trained 0→1 addition</x:v>
      </x:c>
      <x:c r="K20" s="9"/>
      <x:c r="L20" s="9" t="str">
        <x:v>902</x:v>
      </x:c>
      <x:c r="M20" s="9" t="str">
        <x:v>Exact trained cell: prompt, count transition, and scene-object membership match; physical layout is not copied exactly.</x:v>
      </x:c>
      <x:c r="N20" s="9" t="n">
        <x:v>1</x:v>
      </x:c>
      <x:c r="O20" s="9" t="str">
        <x:v>Recreate the listed bowl/table membership from training episode 902.</x:v>
      </x:c>
      <x:c r="P20" s="9" t="str">
        <x:v>Exact trained count transition and scene-object membership. Any object that reaches the requested final count is acceptable.</x:v>
      </x:c>
      <x:c r="Q20" s="9"/>
      <x:c r="R20" s="10"/>
      <x:c r="S20" s="10"/>
      <x:c r="T20" s="9"/>
      <x:c r="U20" s="9"/>
      <x:c r="V20" s="9"/>
      <x:c r="W20" s="9" t="str">
        <x:v>ID-F03</x:v>
      </x:c>
      <x:c r="X20" s="10" t="n">
        <x:v>0</x:v>
      </x:c>
      <x:c r="Y20" s="10" t="n">
        <x:v>1</x:v>
      </x:c>
      <x:c r="Z20" s="9" t="str">
        <x:v>ADD</x:v>
      </x:c>
      <x:c r="AA20" s="9"/>
      <x:c r="AB20" s="9"/>
      <x:c r="AC20" s="9"/>
      <x:c r="AD20" s="9"/>
      <x:c r="AE20" s="9"/>
      <x:c r="AF20" s="9"/>
      <x:c r="AG20" s="9"/>
      <x:c r="AH20" s="9"/>
      <x:c r="AI20" s="11"/>
      <x:c r="AJ20" s="9"/>
      <x:c r="AK20" s="9" t="str">
        <x:v>Eval_Counting.xlsm</x:v>
      </x:c>
      <x:c r="AL20" s="9" t="str">
        <x:v>VLA0 Results</x:v>
      </x:c>
      <x:c r="AM20" s="9" t="n">
        <x:v>10</x:v>
      </x:c>
      <x:c r="AN20" s="9" t="n">
        <x:v>10</x:v>
      </x:c>
    </x:row>
    <x:row r="21">
      <x:c r="A21" s="9" t="str">
        <x:v>Failure</x:v>
      </x:c>
      <x:c r="B21" s="9" t="str">
        <x:v>Counting</x:v>
      </x:c>
      <x:c r="C21" s="10" t="n">
        <x:v>9</x:v>
      </x:c>
      <x:c r="D21" s="9" t="str">
        <x:v>Adjust the bowl so that it contains two objects.</x:v>
      </x:c>
      <x:c r="E21" s="9" t="str">
        <x:v>Bowl objects: [blue pen] | Table objects: [green pencil sharpener, airplane toy without propellers]</x:v>
      </x:c>
      <x:c r="F21" s="9" t="str">
        <x:v>ADD any one table object; finish with 2 objects in the bowl</x:v>
      </x:c>
      <x:c r="G21" s="9" t="str">
        <x:v>went to airplane toy but couldn't grab it</x:v>
      </x:c>
      <x:c r="H21" s="9" t="str">
        <x:v>In-distribution concept baseline</x:v>
      </x:c>
      <x:c r="I21" s="9" t="str">
        <x:v>ID-F03</x:v>
      </x:c>
      <x:c r="J21" s="9" t="str">
        <x:v>In-distribution: two via trained 1→2 addition</x:v>
      </x:c>
      <x:c r="K21" s="9"/>
      <x:c r="L21" s="9" t="str">
        <x:v>909</x:v>
      </x:c>
      <x:c r="M21" s="9" t="str">
        <x:v>Exact trained cell: prompt, count transition, and scene-object membership match; physical layout is not copied exactly.</x:v>
      </x:c>
      <x:c r="N21" s="9" t="n">
        <x:v>1</x:v>
      </x:c>
      <x:c r="O21" s="9" t="str">
        <x:v>Recreate the listed bowl/table membership from training episode 909.</x:v>
      </x:c>
      <x:c r="P21" s="9" t="str">
        <x:v>Exact trained count transition and scene-object membership. Any object that reaches the requested final count is acceptable.</x:v>
      </x:c>
      <x:c r="Q21" s="9"/>
      <x:c r="R21" s="10"/>
      <x:c r="S21" s="10"/>
      <x:c r="T21" s="9"/>
      <x:c r="U21" s="9"/>
      <x:c r="V21" s="9"/>
      <x:c r="W21" s="9" t="str">
        <x:v>ID-F03</x:v>
      </x:c>
      <x:c r="X21" s="10" t="n">
        <x:v>1</x:v>
      </x:c>
      <x:c r="Y21" s="10" t="n">
        <x:v>2</x:v>
      </x:c>
      <x:c r="Z21" s="9" t="str">
        <x:v>ADD</x:v>
      </x:c>
      <x:c r="AA21" s="9"/>
      <x:c r="AB21" s="9"/>
      <x:c r="AC21" s="9"/>
      <x:c r="AD21" s="9"/>
      <x:c r="AE21" s="9"/>
      <x:c r="AF21" s="9"/>
      <x:c r="AG21" s="9"/>
      <x:c r="AH21" s="9"/>
      <x:c r="AI21" s="11"/>
      <x:c r="AJ21" s="9"/>
      <x:c r="AK21" s="9" t="str">
        <x:v>Eval_Counting.xlsm</x:v>
      </x:c>
      <x:c r="AL21" s="9" t="str">
        <x:v>VLA0 Results</x:v>
      </x:c>
      <x:c r="AM21" s="9" t="n">
        <x:v>11</x:v>
      </x:c>
      <x:c r="AN21" s="9" t="n">
        <x:v>11</x:v>
      </x:c>
    </x:row>
    <x:row r="22">
      <x:c r="A22" s="9" t="str">
        <x:v>Failure</x:v>
      </x:c>
      <x:c r="B22" s="9" t="str">
        <x:v>Ordinal Reference Ordering</x:v>
      </x:c>
      <x:c r="C22" s="10" t="n">
        <x:v>0</x:v>
      </x:c>
      <x:c r="D22" s="9" t="str">
        <x:v>Put the second object from the right in the bowl.</x:v>
      </x:c>
      <x:c r="E22" s="9" t="str">
        <x:v>L1: blue tape ball, L2: airplane toy with propellers</x:v>
      </x:c>
      <x:c r="F22" s="9" t="str">
        <x:v>blue tape ball</x:v>
      </x:c>
      <x:c r="G22" s="9" t="str">
        <x:v>just jittered around the home position</x:v>
      </x:c>
      <x:c r="H22" s="9" t="str">
        <x:v>In-distribution concept baseline</x:v>
      </x:c>
      <x:c r="I22" s="9" t="str">
        <x:v>ID-EXACT01</x:v>
      </x:c>
      <x:c r="J22" s="9" t="str">
        <x:v>Exact training recreation — source episode 658</x:v>
      </x:c>
      <x:c r="K22" s="9"/>
      <x:c r="L22" s="9"/>
      <x:c r="M22" s="9"/>
      <x:c r="N22" s="9" t="str">
        <x:v>1 — In-distribution baselines</x:v>
      </x:c>
      <x:c r="O22" s="9" t="str">
        <x:v>Independently recreate the prompt and ordered object list from training episode 658; do not reuse the preceding baseline scene.</x:v>
      </x:c>
      <x:c r="P22" s="9" t="str">
        <x:v>Exact final prompt and complete left-to-right object order from explicit training episode 658: blue tape ball | airplane toy with propellers.</x:v>
      </x:c>
      <x:c r="Q22" s="9"/>
      <x:c r="R22" s="10" t="n">
        <x:v>2</x:v>
      </x:c>
      <x:c r="S22" s="10"/>
      <x:c r="T22" s="9"/>
      <x:c r="U22" s="9"/>
      <x:c r="V22" s="9"/>
      <x:c r="W22" s="9" t="str">
        <x:v>None — independent exact training recreation</x:v>
      </x:c>
      <x:c r="X22" s="10"/>
      <x:c r="Y22" s="10"/>
      <x:c r="Z22" s="9"/>
      <x:c r="AA22" s="9" t="str">
        <x:v>L1</x:v>
      </x:c>
      <x:c r="AB22" s="9" t="str">
        <x:v>second from right</x:v>
      </x:c>
      <x:c r="AC22" s="9"/>
      <x:c r="AD22" s="9"/>
      <x:c r="AE22" s="9"/>
      <x:c r="AF22" s="9"/>
      <x:c r="AG22" s="9"/>
      <x:c r="AH22" s="9"/>
      <x:c r="AI22" s="11"/>
      <x:c r="AJ22" s="9"/>
      <x:c r="AK22" s="9" t="str">
        <x:v>Eval_Ordinal_Reference_Ordering.xlsm</x:v>
      </x:c>
      <x:c r="AL22" s="9" t="str">
        <x:v>VLA0</x:v>
      </x:c>
      <x:c r="AM22" s="9" t="n">
        <x:v>2</x:v>
      </x:c>
      <x:c r="AN22" s="9" t="n">
        <x:v>2</x:v>
      </x:c>
    </x:row>
    <x:row r="23">
      <x:c r="A23" s="9" t="str">
        <x:v>Failure</x:v>
      </x:c>
      <x:c r="B23" s="9" t="str">
        <x:v>Ordinal Reference Ordering</x:v>
      </x:c>
      <x:c r="C23" s="10" t="n">
        <x:v>1</x:v>
      </x:c>
      <x:c r="D23" s="9" t="str">
        <x:v>Put the second object from the left in the bowl.</x:v>
      </x:c>
      <x:c r="E23" s="9" t="str">
        <x:v>L1: blue tape ball, L2: airplane toy with propellers</x:v>
      </x:c>
      <x:c r="F23" s="9" t="str">
        <x:v>airplane toy with propellers</x:v>
      </x:c>
      <x:c r="G23" s="9" t="str">
        <x:v>went to airplane toy but didn't pick it up</x:v>
      </x:c>
      <x:c r="H23" s="9" t="str">
        <x:v>In-distribution concept baseline</x:v>
      </x:c>
      <x:c r="I23" s="9" t="str">
        <x:v>ID-EXACT02</x:v>
      </x:c>
      <x:c r="J23" s="9" t="str">
        <x:v>Exact training recreation — source episode 619</x:v>
      </x:c>
      <x:c r="K23" s="9"/>
      <x:c r="L23" s="9"/>
      <x:c r="M23" s="9"/>
      <x:c r="N23" s="9" t="str">
        <x:v>1 — In-distribution baselines</x:v>
      </x:c>
      <x:c r="O23" s="9" t="str">
        <x:v>Independently recreate the prompt and ordered object list from training episode 619; do not reuse the preceding baseline scene.</x:v>
      </x:c>
      <x:c r="P23" s="9" t="str">
        <x:v>Exact final prompt and complete left-to-right object order from explicit training episode 619: blue tape ball | airplane toy with propellers.</x:v>
      </x:c>
      <x:c r="Q23" s="9"/>
      <x:c r="R23" s="10" t="n">
        <x:v>2</x:v>
      </x:c>
      <x:c r="S23" s="10"/>
      <x:c r="T23" s="9"/>
      <x:c r="U23" s="9"/>
      <x:c r="V23" s="9"/>
      <x:c r="W23" s="9" t="str">
        <x:v>None — independent exact training recreation</x:v>
      </x:c>
      <x:c r="X23" s="10"/>
      <x:c r="Y23" s="10"/>
      <x:c r="Z23" s="9"/>
      <x:c r="AA23" s="9" t="str">
        <x:v>L2</x:v>
      </x:c>
      <x:c r="AB23" s="9" t="str">
        <x:v>second from left</x:v>
      </x:c>
      <x:c r="AC23" s="9"/>
      <x:c r="AD23" s="9"/>
      <x:c r="AE23" s="9"/>
      <x:c r="AF23" s="9"/>
      <x:c r="AG23" s="9"/>
      <x:c r="AH23" s="9"/>
      <x:c r="AI23" s="11"/>
      <x:c r="AJ23" s="9"/>
      <x:c r="AK23" s="9" t="str">
        <x:v>Eval_Ordinal_Reference_Ordering.xlsm</x:v>
      </x:c>
      <x:c r="AL23" s="9" t="str">
        <x:v>VLA0</x:v>
      </x:c>
      <x:c r="AM23" s="9" t="n">
        <x:v>3</x:v>
      </x:c>
      <x:c r="AN23" s="9" t="n">
        <x:v>3</x:v>
      </x:c>
    </x:row>
    <x:row r="24">
      <x:c r="A24" s="9" t="str">
        <x:v>Failure</x:v>
      </x:c>
      <x:c r="B24" s="9" t="str">
        <x:v>Ordinal Reference Ordering</x:v>
      </x:c>
      <x:c r="C24" s="10" t="n">
        <x:v>2</x:v>
      </x:c>
      <x:c r="D24" s="9" t="str">
        <x:v>Move the second item counted from the left into the bowl.</x:v>
      </x:c>
      <x:c r="E24" s="9" t="str">
        <x:v>L1: airplane toy with propellers, L2: green highlighter</x:v>
      </x:c>
      <x:c r="F24" s="9" t="str">
        <x:v>green highlighter</x:v>
      </x:c>
      <x:c r="G24" s="9" t="str">
        <x:v>went to airplane toy but didn't pick it up</x:v>
      </x:c>
      <x:c r="H24" s="9" t="str">
        <x:v>In-distribution concept baseline</x:v>
      </x:c>
      <x:c r="I24" s="9" t="str">
        <x:v>ID-EXACT03</x:v>
      </x:c>
      <x:c r="J24" s="9" t="str">
        <x:v>Exact training recreation — source episode 719</x:v>
      </x:c>
      <x:c r="K24" s="9"/>
      <x:c r="L24" s="9"/>
      <x:c r="M24" s="9"/>
      <x:c r="N24" s="9" t="str">
        <x:v>1 — In-distribution baselines</x:v>
      </x:c>
      <x:c r="O24" s="9" t="str">
        <x:v>Independently recreate the prompt and ordered object list from training episode 719; do not reuse the preceding baseline scene.</x:v>
      </x:c>
      <x:c r="P24" s="9" t="str">
        <x:v>Exact final prompt and complete left-to-right object order from explicit training episode 719: airplane toy with propellers | green highlighter.</x:v>
      </x:c>
      <x:c r="Q24" s="9"/>
      <x:c r="R24" s="10" t="n">
        <x:v>2</x:v>
      </x:c>
      <x:c r="S24" s="10"/>
      <x:c r="T24" s="9"/>
      <x:c r="U24" s="9"/>
      <x:c r="V24" s="9"/>
      <x:c r="W24" s="9" t="str">
        <x:v>None — independent exact training recreation</x:v>
      </x:c>
      <x:c r="X24" s="10"/>
      <x:c r="Y24" s="10"/>
      <x:c r="Z24" s="9"/>
      <x:c r="AA24" s="9" t="str">
        <x:v>L2</x:v>
      </x:c>
      <x:c r="AB24" s="9" t="str">
        <x:v>second from left</x:v>
      </x:c>
      <x:c r="AC24" s="9"/>
      <x:c r="AD24" s="9"/>
      <x:c r="AE24" s="9"/>
      <x:c r="AF24" s="9"/>
      <x:c r="AG24" s="9"/>
      <x:c r="AH24" s="9"/>
      <x:c r="AI24" s="11"/>
      <x:c r="AJ24" s="9"/>
      <x:c r="AK24" s="9" t="str">
        <x:v>Eval_Ordinal_Reference_Ordering.xlsm</x:v>
      </x:c>
      <x:c r="AL24" s="9" t="str">
        <x:v>VLA0</x:v>
      </x:c>
      <x:c r="AM24" s="9" t="n">
        <x:v>4</x:v>
      </x:c>
      <x:c r="AN24" s="9" t="n">
        <x:v>4</x:v>
      </x:c>
    </x:row>
    <x:row r="25">
      <x:c r="A25" s="9" t="str">
        <x:v>Failure</x:v>
      </x:c>
      <x:c r="B25" s="9" t="str">
        <x:v>Ordinal Reference Ordering</x:v>
      </x:c>
      <x:c r="C25" s="10" t="n">
        <x:v>3</x:v>
      </x:c>
      <x:c r="D25" s="9" t="str">
        <x:v>Move the second item counted from the right into the bowl.</x:v>
      </x:c>
      <x:c r="E25" s="9" t="str">
        <x:v>L1: yellow pen, L2: airplane toy with propellers</x:v>
      </x:c>
      <x:c r="F25" s="9" t="str">
        <x:v>yellow pen</x:v>
      </x:c>
      <x:c r="G25" s="9" t="str">
        <x:v>moved to middle of the workspace again</x:v>
      </x:c>
      <x:c r="H25" s="9" t="str">
        <x:v>In-distribution concept baseline</x:v>
      </x:c>
      <x:c r="I25" s="9" t="str">
        <x:v>ID-EXACT04</x:v>
      </x:c>
      <x:c r="J25" s="9" t="str">
        <x:v>Exact training recreation — source episode 758</x:v>
      </x:c>
      <x:c r="K25" s="9"/>
      <x:c r="L25" s="9"/>
      <x:c r="M25" s="9"/>
      <x:c r="N25" s="9" t="str">
        <x:v>1 — In-distribution baselines</x:v>
      </x:c>
      <x:c r="O25" s="9" t="str">
        <x:v>Independently recreate the prompt and ordered object list from training episode 758; do not reuse the preceding baseline scene.</x:v>
      </x:c>
      <x:c r="P25" s="9" t="str">
        <x:v>Exact final prompt and complete left-to-right object order from explicit training episode 758: yellow pen | airplane toy with propellers.</x:v>
      </x:c>
      <x:c r="Q25" s="9"/>
      <x:c r="R25" s="10" t="n">
        <x:v>2</x:v>
      </x:c>
      <x:c r="S25" s="10"/>
      <x:c r="T25" s="9"/>
      <x:c r="U25" s="9"/>
      <x:c r="V25" s="9"/>
      <x:c r="W25" s="9" t="str">
        <x:v>None — independent exact training recreation</x:v>
      </x:c>
      <x:c r="X25" s="10"/>
      <x:c r="Y25" s="10"/>
      <x:c r="Z25" s="9"/>
      <x:c r="AA25" s="9" t="str">
        <x:v>L1</x:v>
      </x:c>
      <x:c r="AB25" s="9" t="str">
        <x:v>second from right</x:v>
      </x:c>
      <x:c r="AC25" s="9"/>
      <x:c r="AD25" s="9"/>
      <x:c r="AE25" s="9"/>
      <x:c r="AF25" s="9"/>
      <x:c r="AG25" s="9"/>
      <x:c r="AH25" s="9"/>
      <x:c r="AI25" s="11"/>
      <x:c r="AJ25" s="9"/>
      <x:c r="AK25" s="9" t="str">
        <x:v>Eval_Ordinal_Reference_Ordering.xlsm</x:v>
      </x:c>
      <x:c r="AL25" s="9" t="str">
        <x:v>VLA0</x:v>
      </x:c>
      <x:c r="AM25" s="9" t="n">
        <x:v>5</x:v>
      </x:c>
      <x:c r="AN25" s="9" t="n">
        <x:v>5</x:v>
      </x:c>
    </x:row>
    <x:row r="26">
      <x:c r="A26" s="9" t="str">
        <x:v>Failure</x:v>
      </x:c>
      <x:c r="B26" s="9" t="str">
        <x:v>Ordinal Reference Ordering</x:v>
      </x:c>
      <x:c r="C26" s="10" t="n">
        <x:v>4</x:v>
      </x:c>
      <x:c r="D26" s="9" t="str">
        <x:v>Put the third object from the right in the bowl.</x:v>
      </x:c>
      <x:c r="E26" s="9" t="str">
        <x:v>L1: airplane toy with propellers, L2: yellow pen, L3: blue tape ball</x:v>
      </x:c>
      <x:c r="F26" s="9" t="str">
        <x:v>airplane toy with propellers</x:v>
      </x:c>
      <x:c r="G26" s="9" t="str">
        <x:v>went for yellow pen but didn't grasp it. seems to just be moving the arm to the middle of the workspace</x:v>
      </x:c>
      <x:c r="H26" s="9" t="str">
        <x:v>In-distribution concept baseline</x:v>
      </x:c>
      <x:c r="I26" s="9" t="str">
        <x:v>ID-EXACT05</x:v>
      </x:c>
      <x:c r="J26" s="9" t="str">
        <x:v>Exact training recreation — source episode 604</x:v>
      </x:c>
      <x:c r="K26" s="9"/>
      <x:c r="L26" s="9"/>
      <x:c r="M26" s="9"/>
      <x:c r="N26" s="9" t="str">
        <x:v>1 — In-distribution baselines</x:v>
      </x:c>
      <x:c r="O26" s="9" t="str">
        <x:v>Independently recreate the prompt and ordered object list from training episode 604; do not reuse the preceding baseline scene.</x:v>
      </x:c>
      <x:c r="P26" s="9" t="str">
        <x:v>Exact final prompt and complete left-to-right object order from explicit training episode 604: airplane toy with propellers | yellow pen | blue tape ball.</x:v>
      </x:c>
      <x:c r="Q26" s="9"/>
      <x:c r="R26" s="10" t="n">
        <x:v>3</x:v>
      </x:c>
      <x:c r="S26" s="10"/>
      <x:c r="T26" s="9"/>
      <x:c r="U26" s="9"/>
      <x:c r="V26" s="9"/>
      <x:c r="W26" s="9" t="str">
        <x:v>None — independent exact training recreation</x:v>
      </x:c>
      <x:c r="X26" s="10"/>
      <x:c r="Y26" s="10"/>
      <x:c r="Z26" s="9"/>
      <x:c r="AA26" s="9" t="str">
        <x:v>L1</x:v>
      </x:c>
      <x:c r="AB26" s="9" t="str">
        <x:v>third from right</x:v>
      </x:c>
      <x:c r="AC26" s="9"/>
      <x:c r="AD26" s="9"/>
      <x:c r="AE26" s="9"/>
      <x:c r="AF26" s="9"/>
      <x:c r="AG26" s="9"/>
      <x:c r="AH26" s="9"/>
      <x:c r="AI26" s="11"/>
      <x:c r="AJ26" s="9"/>
      <x:c r="AK26" s="9" t="str">
        <x:v>Eval_Ordinal_Reference_Ordering.xlsm</x:v>
      </x:c>
      <x:c r="AL26" s="9" t="str">
        <x:v>VLA0</x:v>
      </x:c>
      <x:c r="AM26" s="9" t="n">
        <x:v>6</x:v>
      </x:c>
      <x:c r="AN26" s="9" t="n">
        <x:v>6</x:v>
      </x:c>
    </x:row>
    <x:row r="27">
      <x:c r="A27" s="9" t="str">
        <x:v>Failure</x:v>
      </x:c>
      <x:c r="B27" s="9" t="str">
        <x:v>Ordinal Reference Ordering</x:v>
      </x:c>
      <x:c r="C27" s="10" t="n">
        <x:v>5</x:v>
      </x:c>
      <x:c r="D27" s="9" t="str">
        <x:v>Put the object that is first from the right in the bowl.</x:v>
      </x:c>
      <x:c r="E27" s="9" t="str">
        <x:v>L1: airplane toy with propellers, L2: green highlighter, L3: blue tape ball</x:v>
      </x:c>
      <x:c r="F27" s="9" t="str">
        <x:v>blue tape ball</x:v>
      </x:c>
      <x:c r="G27" s="9" t="str">
        <x:v>went for blue tape ball which actually wasn't in center of workspace; the green pen was in the center. couldn't pick up the tape ball</x:v>
      </x:c>
      <x:c r="H27" s="9" t="str">
        <x:v>In-distribution concept baseline</x:v>
      </x:c>
      <x:c r="I27" s="9" t="str">
        <x:v>ID-EXACT06</x:v>
      </x:c>
      <x:c r="J27" s="9" t="str">
        <x:v>Exact training recreation — source episode 679</x:v>
      </x:c>
      <x:c r="K27" s="9"/>
      <x:c r="L27" s="9"/>
      <x:c r="M27" s="9"/>
      <x:c r="N27" s="9" t="str">
        <x:v>1 — In-distribution baselines</x:v>
      </x:c>
      <x:c r="O27" s="9" t="str">
        <x:v>Independently recreate the prompt and ordered object list from training episode 679; do not reuse the preceding baseline scene.</x:v>
      </x:c>
      <x:c r="P27" s="9" t="str">
        <x:v>Exact final prompt and complete left-to-right object order from explicit training episode 679: airplane toy with propellers | green highlighter | blue tape ball.</x:v>
      </x:c>
      <x:c r="Q27" s="9"/>
      <x:c r="R27" s="10" t="n">
        <x:v>3</x:v>
      </x:c>
      <x:c r="S27" s="10"/>
      <x:c r="T27" s="9"/>
      <x:c r="U27" s="9"/>
      <x:c r="V27" s="9"/>
      <x:c r="W27" s="9" t="str">
        <x:v>None — independent exact training recreation</x:v>
      </x:c>
      <x:c r="X27" s="10"/>
      <x:c r="Y27" s="10"/>
      <x:c r="Z27" s="9"/>
      <x:c r="AA27" s="9" t="str">
        <x:v>L3</x:v>
      </x:c>
      <x:c r="AB27" s="9" t="str">
        <x:v>first from right</x:v>
      </x:c>
      <x:c r="AC27" s="9"/>
      <x:c r="AD27" s="9"/>
      <x:c r="AE27" s="9"/>
      <x:c r="AF27" s="9"/>
      <x:c r="AG27" s="9"/>
      <x:c r="AH27" s="9"/>
      <x:c r="AI27" s="11"/>
      <x:c r="AJ27" s="9"/>
      <x:c r="AK27" s="9" t="str">
        <x:v>Eval_Ordinal_Reference_Ordering.xlsm</x:v>
      </x:c>
      <x:c r="AL27" s="9" t="str">
        <x:v>VLA0</x:v>
      </x:c>
      <x:c r="AM27" s="9" t="n">
        <x:v>7</x:v>
      </x:c>
      <x:c r="AN27" s="9" t="n">
        <x:v>7</x:v>
      </x:c>
    </x:row>
    <x:row r="28">
      <x:c r="A28" s="9" t="str">
        <x:v>Failure</x:v>
      </x:c>
      <x:c r="B28" s="9" t="str">
        <x:v>Ordinal Reference Ordering</x:v>
      </x:c>
      <x:c r="C28" s="10" t="n">
        <x:v>6</x:v>
      </x:c>
      <x:c r="D28" s="9" t="str">
        <x:v>Put the object that is third from the left in the bowl.</x:v>
      </x:c>
      <x:c r="E28" s="9" t="str">
        <x:v>L1: green highlighter, L2: blue tape ball, L3: yellow pen</x:v>
      </x:c>
      <x:c r="F28" s="9" t="str">
        <x:v>yellow pen</x:v>
      </x:c>
      <x:c r="G28" s="9" t="str">
        <x:v>went to green highlighter but didn't pick it up</x:v>
      </x:c>
      <x:c r="H28" s="9" t="str">
        <x:v>In-distribution concept baseline</x:v>
      </x:c>
      <x:c r="I28" s="9" t="str">
        <x:v>ID-EXACT07</x:v>
      </x:c>
      <x:c r="J28" s="9" t="str">
        <x:v>Exact training recreation — source episode 784</x:v>
      </x:c>
      <x:c r="K28" s="9"/>
      <x:c r="L28" s="9"/>
      <x:c r="M28" s="9"/>
      <x:c r="N28" s="9" t="str">
        <x:v>1 — In-distribution baselines</x:v>
      </x:c>
      <x:c r="O28" s="9" t="str">
        <x:v>Independently recreate the prompt and ordered object list from training episode 784; do not reuse the preceding baseline scene.</x:v>
      </x:c>
      <x:c r="P28" s="9" t="str">
        <x:v>Exact final prompt and complete left-to-right object order from explicit training episode 784: green highlighter | blue tape ball | yellow pen.</x:v>
      </x:c>
      <x:c r="Q28" s="9"/>
      <x:c r="R28" s="10" t="n">
        <x:v>3</x:v>
      </x:c>
      <x:c r="S28" s="10"/>
      <x:c r="T28" s="9"/>
      <x:c r="U28" s="9"/>
      <x:c r="V28" s="9"/>
      <x:c r="W28" s="9" t="str">
        <x:v>None — independent exact training recreation</x:v>
      </x:c>
      <x:c r="X28" s="10"/>
      <x:c r="Y28" s="10"/>
      <x:c r="Z28" s="9"/>
      <x:c r="AA28" s="9" t="str">
        <x:v>L3</x:v>
      </x:c>
      <x:c r="AB28" s="9" t="str">
        <x:v>third from left</x:v>
      </x:c>
      <x:c r="AC28" s="9"/>
      <x:c r="AD28" s="9"/>
      <x:c r="AE28" s="9"/>
      <x:c r="AF28" s="9"/>
      <x:c r="AG28" s="9"/>
      <x:c r="AH28" s="9"/>
      <x:c r="AI28" s="11"/>
      <x:c r="AJ28" s="9"/>
      <x:c r="AK28" s="9" t="str">
        <x:v>Eval_Ordinal_Reference_Ordering.xlsm</x:v>
      </x:c>
      <x:c r="AL28" s="9" t="str">
        <x:v>VLA0</x:v>
      </x:c>
      <x:c r="AM28" s="9" t="n">
        <x:v>8</x:v>
      </x:c>
      <x:c r="AN28" s="9" t="n">
        <x:v>8</x:v>
      </x:c>
    </x:row>
    <x:row r="29">
      <x:c r="A29" s="9" t="str">
        <x:v>Failure</x:v>
      </x:c>
      <x:c r="B29" s="9" t="str">
        <x:v>Ordinal Reference Ordering</x:v>
      </x:c>
      <x:c r="C29" s="10" t="n">
        <x:v>7</x:v>
      </x:c>
      <x:c r="D29" s="9" t="str">
        <x:v>Put the first object from the left in the bowl.</x:v>
      </x:c>
      <x:c r="E29" s="9" t="str">
        <x:v>L1: green highlighter, L2: airplane toy with propellers, L3: blue tape ball</x:v>
      </x:c>
      <x:c r="F29" s="9" t="str">
        <x:v>green highlighter</x:v>
      </x:c>
      <x:c r="G29" s="9" t="str">
        <x:v>went towards the green highlighter, but couldn't pick it up</x:v>
      </x:c>
      <x:c r="H29" s="9" t="str">
        <x:v>In-distribution concept baseline</x:v>
      </x:c>
      <x:c r="I29" s="9" t="str">
        <x:v>ID-EXACT08</x:v>
      </x:c>
      <x:c r="J29" s="9" t="str">
        <x:v>Exact training recreation — source episode 706</x:v>
      </x:c>
      <x:c r="K29" s="9"/>
      <x:c r="L29" s="9"/>
      <x:c r="M29" s="9"/>
      <x:c r="N29" s="9" t="str">
        <x:v>1 — In-distribution baselines</x:v>
      </x:c>
      <x:c r="O29" s="9" t="str">
        <x:v>Independently recreate the prompt and ordered object list from training episode 706; do not reuse the preceding baseline scene.</x:v>
      </x:c>
      <x:c r="P29" s="9" t="str">
        <x:v>Exact final prompt and complete left-to-right object order from explicit training episode 706: green highlighter | airplane toy with propellers | blue tape ball.</x:v>
      </x:c>
      <x:c r="Q29" s="9"/>
      <x:c r="R29" s="10" t="n">
        <x:v>3</x:v>
      </x:c>
      <x:c r="S29" s="10"/>
      <x:c r="T29" s="9"/>
      <x:c r="U29" s="9"/>
      <x:c r="V29" s="9"/>
      <x:c r="W29" s="9" t="str">
        <x:v>None — independent exact training recreation</x:v>
      </x:c>
      <x:c r="X29" s="10"/>
      <x:c r="Y29" s="10"/>
      <x:c r="Z29" s="9"/>
      <x:c r="AA29" s="9" t="str">
        <x:v>L1</x:v>
      </x:c>
      <x:c r="AB29" s="9" t="str">
        <x:v>first from left</x:v>
      </x:c>
      <x:c r="AC29" s="9"/>
      <x:c r="AD29" s="9"/>
      <x:c r="AE29" s="9"/>
      <x:c r="AF29" s="9"/>
      <x:c r="AG29" s="9"/>
      <x:c r="AH29" s="9"/>
      <x:c r="AI29" s="11"/>
      <x:c r="AJ29" s="9"/>
      <x:c r="AK29" s="9" t="str">
        <x:v>Eval_Ordinal_Reference_Ordering.xlsm</x:v>
      </x:c>
      <x:c r="AL29" s="9" t="str">
        <x:v>VLA0</x:v>
      </x:c>
      <x:c r="AM29" s="9" t="n">
        <x:v>9</x:v>
      </x:c>
      <x:c r="AN29" s="9" t="n">
        <x:v>9</x:v>
      </x:c>
    </x:row>
    <x:row r="30">
      <x:c r="A30" s="9" t="str">
        <x:v>Failure</x:v>
      </x:c>
      <x:c r="B30" s="9" t="str">
        <x:v>Ordinal Reference Ordering</x:v>
      </x:c>
      <x:c r="C30" s="10" t="n">
        <x:v>8</x:v>
      </x:c>
      <x:c r="D30" s="9" t="str">
        <x:v>Put the fourth object from the right in the bowl.</x:v>
      </x:c>
      <x:c r="E30" s="9" t="str">
        <x:v>L1: blue tape ball, L2: green highlighter, L3: airplane toy with propellers, L4: yellow pen</x:v>
      </x:c>
      <x:c r="F30" s="9" t="str">
        <x:v>blue tape ball</x:v>
      </x:c>
      <x:c r="G30" s="9" t="str">
        <x:v>went for green highlighter/sort of towards the blue tape ball</x:v>
      </x:c>
      <x:c r="H30" s="9" t="str">
        <x:v>In-distribution concept baseline</x:v>
      </x:c>
      <x:c r="I30" s="9" t="str">
        <x:v>ID-EXACT09</x:v>
      </x:c>
      <x:c r="J30" s="9" t="str">
        <x:v>Exact training recreation — source episode 652</x:v>
      </x:c>
      <x:c r="K30" s="9"/>
      <x:c r="L30" s="9"/>
      <x:c r="M30" s="9"/>
      <x:c r="N30" s="9" t="str">
        <x:v>1 — In-distribution baselines</x:v>
      </x:c>
      <x:c r="O30" s="9" t="str">
        <x:v>Independently recreate the prompt and ordered object list from training episode 652; do not reuse the preceding baseline scene.</x:v>
      </x:c>
      <x:c r="P30" s="9" t="str">
        <x:v>Exact final prompt and complete left-to-right object order from explicit training episode 652: blue tape ball | green highlighter | airplane toy with propellers | yellow pen.</x:v>
      </x:c>
      <x:c r="Q30" s="9"/>
      <x:c r="R30" s="10" t="n">
        <x:v>4</x:v>
      </x:c>
      <x:c r="S30" s="10"/>
      <x:c r="T30" s="9"/>
      <x:c r="U30" s="9"/>
      <x:c r="V30" s="9"/>
      <x:c r="W30" s="9" t="str">
        <x:v>None — independent exact training recreation</x:v>
      </x:c>
      <x:c r="X30" s="10"/>
      <x:c r="Y30" s="10"/>
      <x:c r="Z30" s="9"/>
      <x:c r="AA30" s="9" t="str">
        <x:v>L1</x:v>
      </x:c>
      <x:c r="AB30" s="9" t="str">
        <x:v>fourth from right</x:v>
      </x:c>
      <x:c r="AC30" s="9"/>
      <x:c r="AD30" s="9"/>
      <x:c r="AE30" s="9"/>
      <x:c r="AF30" s="9"/>
      <x:c r="AG30" s="9"/>
      <x:c r="AH30" s="9"/>
      <x:c r="AI30" s="11"/>
      <x:c r="AJ30" s="9"/>
      <x:c r="AK30" s="9" t="str">
        <x:v>Eval_Ordinal_Reference_Ordering.xlsm</x:v>
      </x:c>
      <x:c r="AL30" s="9" t="str">
        <x:v>VLA0</x:v>
      </x:c>
      <x:c r="AM30" s="9" t="n">
        <x:v>10</x:v>
      </x:c>
      <x:c r="AN30" s="9" t="n">
        <x:v>10</x:v>
      </x:c>
    </x:row>
    <x:row r="31">
      <x:c r="A31" s="9" t="str">
        <x:v>Failure</x:v>
      </x:c>
      <x:c r="B31" s="9" t="str">
        <x:v>Ordinal Reference Ordering</x:v>
      </x:c>
      <x:c r="C31" s="10" t="n">
        <x:v>9</x:v>
      </x:c>
      <x:c r="D31" s="9" t="str">
        <x:v>Put the second object from the left in the bowl.</x:v>
      </x:c>
      <x:c r="E31" s="9" t="str">
        <x:v>L1: blue tape ball, L2: airplane toy with propellers, L3: yellow pen, L4: green highlighter</x:v>
      </x:c>
      <x:c r="F31" s="9" t="str">
        <x:v>airplane toy with propellers</x:v>
      </x:c>
      <x:c r="G31" s="9" t="str">
        <x:v>went towards airplane toy but didn't grasp it</x:v>
      </x:c>
      <x:c r="H31" s="9" t="str">
        <x:v>In-distribution concept baseline</x:v>
      </x:c>
      <x:c r="I31" s="9" t="str">
        <x:v>ID-EXACT10</x:v>
      </x:c>
      <x:c r="J31" s="9" t="str">
        <x:v>Exact training recreation — source episode 614</x:v>
      </x:c>
      <x:c r="K31" s="9"/>
      <x:c r="L31" s="9"/>
      <x:c r="M31" s="9"/>
      <x:c r="N31" s="9" t="str">
        <x:v>1 — In-distribution baselines</x:v>
      </x:c>
      <x:c r="O31" s="9" t="str">
        <x:v>Independently recreate the prompt and ordered object list from training episode 614; do not reuse the preceding baseline scene.</x:v>
      </x:c>
      <x:c r="P31" s="9" t="str">
        <x:v>Exact final prompt and complete left-to-right object order from explicit training episode 614: blue tape ball | airplane toy with propellers | yellow pen | green highlighter.</x:v>
      </x:c>
      <x:c r="Q31" s="9"/>
      <x:c r="R31" s="10" t="n">
        <x:v>4</x:v>
      </x:c>
      <x:c r="S31" s="10"/>
      <x:c r="T31" s="9"/>
      <x:c r="U31" s="9"/>
      <x:c r="V31" s="9"/>
      <x:c r="W31" s="9" t="str">
        <x:v>None — independent exact training recreation</x:v>
      </x:c>
      <x:c r="X31" s="10"/>
      <x:c r="Y31" s="10"/>
      <x:c r="Z31" s="9"/>
      <x:c r="AA31" s="9" t="str">
        <x:v>L2</x:v>
      </x:c>
      <x:c r="AB31" s="9" t="str">
        <x:v>second from left</x:v>
      </x:c>
      <x:c r="AC31" s="9"/>
      <x:c r="AD31" s="9"/>
      <x:c r="AE31" s="9"/>
      <x:c r="AF31" s="9"/>
      <x:c r="AG31" s="9"/>
      <x:c r="AH31" s="9"/>
      <x:c r="AI31" s="11"/>
      <x:c r="AJ31" s="9"/>
      <x:c r="AK31" s="9" t="str">
        <x:v>Eval_Ordinal_Reference_Ordering.xlsm</x:v>
      </x:c>
      <x:c r="AL31" s="9" t="str">
        <x:v>VLA0</x:v>
      </x:c>
      <x:c r="AM31" s="9" t="n">
        <x:v>11</x:v>
      </x:c>
      <x:c r="AN31" s="9" t="n">
        <x:v>11</x:v>
      </x:c>
    </x:row>
    <x:row r="32">
      <x:c r="A32" s="9" t="str">
        <x:v>Failure</x:v>
      </x:c>
      <x:c r="B32" s="9" t="str">
        <x:v>Relational Placement</x:v>
      </x:c>
      <x:c r="C32" s="10" t="n">
        <x:v>0</x:v>
      </x:c>
      <x:c r="D32" s="9" t="str">
        <x:v>Move the green pen to the front of the pink marker.</x:v>
      </x:c>
      <x:c r="E32" s="9" t="str">
        <x:v>green pen, pink marker, red block</x:v>
      </x:c>
      <x:c r="F32" s="9" t="str">
        <x:v>green pen → 2–8 cm edge gap in front of pink marker; centroid direction within ±45°.</x:v>
      </x:c>
      <x:c r="G32" s="9" t="str">
        <x:v>went for red block but didn't even pick it up</x:v>
      </x:c>
      <x:c r="H32" s="9" t="str">
        <x:v>In-distribution concept baseline</x:v>
      </x:c>
      <x:c r="I32" s="9" t="str">
        <x:v>RP-ID-CF01</x:v>
      </x:c>
      <x:c r="J32" s="9" t="str">
        <x:v>Four-way trained-cell counterfactual: front/behind polarity × target/reference role</x:v>
      </x:c>
      <x:c r="K32" s="9"/>
      <x:c r="L32" s="9" t="str">
        <x:v>204</x:v>
      </x:c>
      <x:c r="M32" s="9"/>
      <x:c r="N32" s="9"/>
      <x:c r="O32" s="9" t="str">
        <x:v>Build the listed neutral scene and save the first frame.</x:v>
      </x:c>
      <x:c r="P32" s="9" t="str">
        <x:v>Exact explicitly trained ordered relation-object cell from training episode 204. The four adjacent prompts share one initially unsatisfied scene.</x:v>
      </x:c>
      <x:c r="Q32" s="9"/>
      <x:c r="R32" s="10" t="n">
        <x:v>3</x:v>
      </x:c>
      <x:c r="S32" s="10"/>
      <x:c r="T32" s="9"/>
      <x:c r="U32" s="9"/>
      <x:c r="V32" s="9"/>
      <x:c r="W32" s="9"/>
      <x:c r="X32" s="10"/>
      <x:c r="Y32" s="10"/>
      <x:c r="Z32" s="9"/>
      <x:c r="AA32" s="9"/>
      <x:c r="AB32" s="9"/>
      <x:c r="AC32" s="9" t="str">
        <x:v>front</x:v>
      </x:c>
      <x:c r="AD32" s="9" t="str">
        <x:v>green pen</x:v>
      </x:c>
      <x:c r="AE32" s="9" t="str">
        <x:v>pink marker</x:v>
      </x:c>
      <x:c r="AF32" s="9" t="str">
        <x:v>None</x:v>
      </x:c>
      <x:c r="AG32" s="9"/>
      <x:c r="AH32" s="9"/>
      <x:c r="AI32" s="11"/>
      <x:c r="AJ32" s="9"/>
      <x:c r="AK32" s="9" t="str">
        <x:v>Eval_Relational_Placement (1).xlsm</x:v>
      </x:c>
      <x:c r="AL32" s="9" t="str">
        <x:v>VLA0</x:v>
      </x:c>
      <x:c r="AM32" s="9" t="n">
        <x:v>2</x:v>
      </x:c>
      <x:c r="AN32" s="9" t="n">
        <x:v>2</x:v>
      </x:c>
    </x:row>
    <x:row r="33">
      <x:c r="A33" s="9" t="str">
        <x:v>Failure</x:v>
      </x:c>
      <x:c r="B33" s="9" t="str">
        <x:v>Relational Placement</x:v>
      </x:c>
      <x:c r="C33" s="10" t="n">
        <x:v>1</x:v>
      </x:c>
      <x:c r="D33" s="9" t="str">
        <x:v>Move the green pen to the back of the pink marker.</x:v>
      </x:c>
      <x:c r="E33" s="9" t="str">
        <x:v>green pen, pink marker, red block</x:v>
      </x:c>
      <x:c r="F33" s="9" t="str">
        <x:v>green pen → 2–8 cm edge gap behind pink marker; centroid direction within ±45°.</x:v>
      </x:c>
      <x:c r="G33" s="9" t="str">
        <x:v>didn't move</x:v>
      </x:c>
      <x:c r="H33" s="9" t="str">
        <x:v>In-distribution concept baseline</x:v>
      </x:c>
      <x:c r="I33" s="9" t="str">
        <x:v>RP-ID-CF01</x:v>
      </x:c>
      <x:c r="J33" s="9" t="str">
        <x:v>Four-way trained-cell counterfactual: front/behind polarity × target/reference role</x:v>
      </x:c>
      <x:c r="K33" s="9" t="n">
        <x:v>0</x:v>
      </x:c>
      <x:c r="L33" s="9" t="str">
        <x:v>217</x:v>
      </x:c>
      <x:c r="M33" s="9"/>
      <x:c r="N33" s="9"/>
      <x:c r="O33" s="9" t="str">
        <x:v>Reset the moved object to its marked pose; preserve the exact scene and change only the instruction.</x:v>
      </x:c>
      <x:c r="P33" s="9" t="str">
        <x:v>Exact explicitly trained ordered relation-object cell from training episode 217. The four adjacent prompts share one initially unsatisfied scene.</x:v>
      </x:c>
      <x:c r="Q33" s="9"/>
      <x:c r="R33" s="10" t="n">
        <x:v>3</x:v>
      </x:c>
      <x:c r="S33" s="10"/>
      <x:c r="T33" s="9"/>
      <x:c r="U33" s="9"/>
      <x:c r="V33" s="9"/>
      <x:c r="W33" s="9"/>
      <x:c r="X33" s="10"/>
      <x:c r="Y33" s="10"/>
      <x:c r="Z33" s="9"/>
      <x:c r="AA33" s="9"/>
      <x:c r="AB33" s="9"/>
      <x:c r="AC33" s="9" t="str">
        <x:v>behind</x:v>
      </x:c>
      <x:c r="AD33" s="9" t="str">
        <x:v>green pen</x:v>
      </x:c>
      <x:c r="AE33" s="9" t="str">
        <x:v>pink marker</x:v>
      </x:c>
      <x:c r="AF33" s="9" t="str">
        <x:v>None</x:v>
      </x:c>
      <x:c r="AG33" s="9"/>
      <x:c r="AH33" s="9"/>
      <x:c r="AI33" s="11"/>
      <x:c r="AJ33" s="9"/>
      <x:c r="AK33" s="9" t="str">
        <x:v>Eval_Relational_Placement (1).xlsm</x:v>
      </x:c>
      <x:c r="AL33" s="9" t="str">
        <x:v>VLA0</x:v>
      </x:c>
      <x:c r="AM33" s="9" t="n">
        <x:v>3</x:v>
      </x:c>
      <x:c r="AN33" s="9" t="n">
        <x:v>3</x:v>
      </x:c>
    </x:row>
    <x:row r="34">
      <x:c r="A34" s="9" t="str">
        <x:v>Failure</x:v>
      </x:c>
      <x:c r="B34" s="9" t="str">
        <x:v>Relational Placement</x:v>
      </x:c>
      <x:c r="C34" s="10" t="n">
        <x:v>2</x:v>
      </x:c>
      <x:c r="D34" s="9" t="str">
        <x:v>Move the pink marker to the front of the green pen.</x:v>
      </x:c>
      <x:c r="E34" s="9" t="str">
        <x:v>green pen, pink marker, red block</x:v>
      </x:c>
      <x:c r="F34" s="9" t="str">
        <x:v>pink marker → 2–8 cm edge gap in front of green pen; centroid direction within ±45°.</x:v>
      </x:c>
      <x:c r="G34" s="9" t="str">
        <x:v>went for red block again; didn't move it or anything</x:v>
      </x:c>
      <x:c r="H34" s="9" t="str">
        <x:v>In-distribution concept baseline</x:v>
      </x:c>
      <x:c r="I34" s="9" t="str">
        <x:v>RP-ID-CF01</x:v>
      </x:c>
      <x:c r="J34" s="9" t="str">
        <x:v>Four-way trained-cell counterfactual: front/behind polarity × target/reference role</x:v>
      </x:c>
      <x:c r="K34" s="9" t="n">
        <x:v>0</x:v>
      </x:c>
      <x:c r="L34" s="9" t="str">
        <x:v>305</x:v>
      </x:c>
      <x:c r="M34" s="9"/>
      <x:c r="N34" s="9"/>
      <x:c r="O34" s="9" t="str">
        <x:v>Reset the moved object to its marked pose; preserve the exact scene and change only the instruction.</x:v>
      </x:c>
      <x:c r="P34" s="9" t="str">
        <x:v>Exact explicitly trained ordered relation-object cell from training episode 305. The four adjacent prompts share one initially unsatisfied scene.</x:v>
      </x:c>
      <x:c r="Q34" s="9"/>
      <x:c r="R34" s="10" t="n">
        <x:v>3</x:v>
      </x:c>
      <x:c r="S34" s="10"/>
      <x:c r="T34" s="9"/>
      <x:c r="U34" s="9"/>
      <x:c r="V34" s="9"/>
      <x:c r="W34" s="9"/>
      <x:c r="X34" s="10"/>
      <x:c r="Y34" s="10"/>
      <x:c r="Z34" s="9"/>
      <x:c r="AA34" s="9"/>
      <x:c r="AB34" s="9"/>
      <x:c r="AC34" s="9" t="str">
        <x:v>front</x:v>
      </x:c>
      <x:c r="AD34" s="9" t="str">
        <x:v>pink marker</x:v>
      </x:c>
      <x:c r="AE34" s="9" t="str">
        <x:v>green pen</x:v>
      </x:c>
      <x:c r="AF34" s="9" t="str">
        <x:v>None</x:v>
      </x:c>
      <x:c r="AG34" s="9"/>
      <x:c r="AH34" s="9"/>
      <x:c r="AI34" s="11"/>
      <x:c r="AJ34" s="9"/>
      <x:c r="AK34" s="9" t="str">
        <x:v>Eval_Relational_Placement (1).xlsm</x:v>
      </x:c>
      <x:c r="AL34" s="9" t="str">
        <x:v>VLA0</x:v>
      </x:c>
      <x:c r="AM34" s="9" t="n">
        <x:v>4</x:v>
      </x:c>
      <x:c r="AN34" s="9" t="n">
        <x:v>4</x:v>
      </x:c>
    </x:row>
    <x:row r="35">
      <x:c r="A35" s="9" t="str">
        <x:v>Failure</x:v>
      </x:c>
      <x:c r="B35" s="9" t="str">
        <x:v>Relational Placement</x:v>
      </x:c>
      <x:c r="C35" s="10" t="n">
        <x:v>3</x:v>
      </x:c>
      <x:c r="D35" s="9" t="str">
        <x:v>Move the pink marker to the back of the green pen.</x:v>
      </x:c>
      <x:c r="E35" s="9" t="str">
        <x:v>green pen, pink marker, red block</x:v>
      </x:c>
      <x:c r="F35" s="9" t="str">
        <x:v>pink marker → 2–8 cm edge gap behind green pen; centroid direction within ±45°.</x:v>
      </x:c>
      <x:c r="G35" s="9" t="str">
        <x:v>kind of jittered around home</x:v>
      </x:c>
      <x:c r="H35" s="9" t="str">
        <x:v>In-distribution concept baseline</x:v>
      </x:c>
      <x:c r="I35" s="9" t="str">
        <x:v>RP-ID-CF01</x:v>
      </x:c>
      <x:c r="J35" s="9" t="str">
        <x:v>Four-way trained-cell counterfactual: front/behind polarity × target/reference role</x:v>
      </x:c>
      <x:c r="K35" s="9" t="n">
        <x:v>0</x:v>
      </x:c>
      <x:c r="L35" s="9" t="str">
        <x:v>317</x:v>
      </x:c>
      <x:c r="M35" s="9"/>
      <x:c r="N35" s="9"/>
      <x:c r="O35" s="9" t="str">
        <x:v>Reset the moved object to its marked pose; preserve the exact scene and change only the instruction.</x:v>
      </x:c>
      <x:c r="P35" s="9" t="str">
        <x:v>Exact explicitly trained ordered relation-object cell from training episode 317. The four adjacent prompts share one initially unsatisfied scene.</x:v>
      </x:c>
      <x:c r="Q35" s="9"/>
      <x:c r="R35" s="10" t="n">
        <x:v>3</x:v>
      </x:c>
      <x:c r="S35" s="10"/>
      <x:c r="T35" s="9"/>
      <x:c r="U35" s="9"/>
      <x:c r="V35" s="9"/>
      <x:c r="W35" s="9"/>
      <x:c r="X35" s="10"/>
      <x:c r="Y35" s="10"/>
      <x:c r="Z35" s="9"/>
      <x:c r="AA35" s="9"/>
      <x:c r="AB35" s="9"/>
      <x:c r="AC35" s="9" t="str">
        <x:v>behind</x:v>
      </x:c>
      <x:c r="AD35" s="9" t="str">
        <x:v>pink marker</x:v>
      </x:c>
      <x:c r="AE35" s="9" t="str">
        <x:v>green pen</x:v>
      </x:c>
      <x:c r="AF35" s="9" t="str">
        <x:v>None</x:v>
      </x:c>
      <x:c r="AG35" s="9"/>
      <x:c r="AH35" s="9"/>
      <x:c r="AI35" s="11"/>
      <x:c r="AJ35" s="9"/>
      <x:c r="AK35" s="9" t="str">
        <x:v>Eval_Relational_Placement (1).xlsm</x:v>
      </x:c>
      <x:c r="AL35" s="9" t="str">
        <x:v>VLA0</x:v>
      </x:c>
      <x:c r="AM35" s="9" t="n">
        <x:v>5</x:v>
      </x:c>
      <x:c r="AN35" s="9" t="n">
        <x:v>5</x:v>
      </x:c>
    </x:row>
    <x:row r="36">
      <x:c r="A36" s="9" t="str">
        <x:v>Failure</x:v>
      </x:c>
      <x:c r="B36" s="9" t="str">
        <x:v>Relational Placement</x:v>
      </x:c>
      <x:c r="C36" s="10" t="n">
        <x:v>4</x:v>
      </x:c>
      <x:c r="D36" s="9" t="str">
        <x:v>Move the green pen to the front of the blue block.</x:v>
      </x:c>
      <x:c r="E36" s="9" t="str">
        <x:v>green pen, blue block, pink marker, red block</x:v>
      </x:c>
      <x:c r="F36" s="9" t="str">
        <x:v>green pen → 2–8 cm edge gap in front of blue block; centroid direction within ±45°.</x:v>
      </x:c>
      <x:c r="G36" s="9" t="str">
        <x:v>went for pink pen but didn't pick it </x:v>
      </x:c>
      <x:c r="H36" s="9" t="str">
        <x:v>In-distribution concept baseline</x:v>
      </x:c>
      <x:c r="I36" s="9" t="str">
        <x:v>RP-ID-CF02</x:v>
      </x:c>
      <x:c r="J36" s="9" t="str">
        <x:v>Four-way trained-cell counterfactual: front/behind polarity × target/reference role</x:v>
      </x:c>
      <x:c r="K36" s="9"/>
      <x:c r="L36" s="9" t="str">
        <x:v>208</x:v>
      </x:c>
      <x:c r="M36" s="9"/>
      <x:c r="N36" s="9"/>
      <x:c r="O36" s="9" t="str">
        <x:v>Build the listed neutral scene and save the first frame.</x:v>
      </x:c>
      <x:c r="P36" s="9" t="str">
        <x:v>Exact explicitly trained ordered relation-object cell from training episode 208. The four adjacent prompts share one initially unsatisfied scene.</x:v>
      </x:c>
      <x:c r="Q36" s="9"/>
      <x:c r="R36" s="10" t="n">
        <x:v>4</x:v>
      </x:c>
      <x:c r="S36" s="10"/>
      <x:c r="T36" s="9"/>
      <x:c r="U36" s="9"/>
      <x:c r="V36" s="9"/>
      <x:c r="W36" s="9"/>
      <x:c r="X36" s="10"/>
      <x:c r="Y36" s="10"/>
      <x:c r="Z36" s="9"/>
      <x:c r="AA36" s="9"/>
      <x:c r="AB36" s="9"/>
      <x:c r="AC36" s="9" t="str">
        <x:v>front</x:v>
      </x:c>
      <x:c r="AD36" s="9" t="str">
        <x:v>green pen</x:v>
      </x:c>
      <x:c r="AE36" s="9" t="str">
        <x:v>blue block</x:v>
      </x:c>
      <x:c r="AF36" s="9" t="str">
        <x:v>None</x:v>
      </x:c>
      <x:c r="AG36" s="9"/>
      <x:c r="AH36" s="9"/>
      <x:c r="AI36" s="11"/>
      <x:c r="AJ36" s="9"/>
      <x:c r="AK36" s="9" t="str">
        <x:v>Eval_Relational_Placement (1).xlsm</x:v>
      </x:c>
      <x:c r="AL36" s="9" t="str">
        <x:v>VLA0</x:v>
      </x:c>
      <x:c r="AM36" s="9" t="n">
        <x:v>6</x:v>
      </x:c>
      <x:c r="AN36" s="9" t="n">
        <x:v>6</x:v>
      </x:c>
    </x:row>
    <x:row r="37">
      <x:c r="A37" s="9" t="str">
        <x:v>Failure</x:v>
      </x:c>
      <x:c r="B37" s="9" t="str">
        <x:v>Relational Placement</x:v>
      </x:c>
      <x:c r="C37" s="10" t="n">
        <x:v>5</x:v>
      </x:c>
      <x:c r="D37" s="9" t="str">
        <x:v>Move the green pen to the back of the blue block.</x:v>
      </x:c>
      <x:c r="E37" s="9" t="str">
        <x:v>green pen, blue block, pink marker, red block</x:v>
      </x:c>
      <x:c r="F37" s="9" t="str">
        <x:v>green pen → 2–8 cm edge gap behind blue block; centroid direction within ±45°.</x:v>
      </x:c>
      <x:c r="G37" s="9" t="str">
        <x:v>similar trajectory as before</x:v>
      </x:c>
      <x:c r="H37" s="9" t="str">
        <x:v>In-distribution concept baseline</x:v>
      </x:c>
      <x:c r="I37" s="9" t="str">
        <x:v>RP-ID-CF02</x:v>
      </x:c>
      <x:c r="J37" s="9" t="str">
        <x:v>Four-way trained-cell counterfactual: front/behind polarity × target/reference role</x:v>
      </x:c>
      <x:c r="K37" s="9" t="n">
        <x:v>4</x:v>
      </x:c>
      <x:c r="L37" s="9" t="str">
        <x:v>221</x:v>
      </x:c>
      <x:c r="M37" s="9"/>
      <x:c r="N37" s="9"/>
      <x:c r="O37" s="9" t="str">
        <x:v>Reset the moved object to its marked pose; preserve the exact scene and change only the instruction.</x:v>
      </x:c>
      <x:c r="P37" s="9" t="str">
        <x:v>Exact explicitly trained ordered relation-object cell from training episode 221. The four adjacent prompts share one initially unsatisfied scene.</x:v>
      </x:c>
      <x:c r="Q37" s="9"/>
      <x:c r="R37" s="10" t="n">
        <x:v>4</x:v>
      </x:c>
      <x:c r="S37" s="10"/>
      <x:c r="T37" s="9"/>
      <x:c r="U37" s="9"/>
      <x:c r="V37" s="9"/>
      <x:c r="W37" s="9"/>
      <x:c r="X37" s="10"/>
      <x:c r="Y37" s="10"/>
      <x:c r="Z37" s="9"/>
      <x:c r="AA37" s="9"/>
      <x:c r="AB37" s="9"/>
      <x:c r="AC37" s="9" t="str">
        <x:v>behind</x:v>
      </x:c>
      <x:c r="AD37" s="9" t="str">
        <x:v>green pen</x:v>
      </x:c>
      <x:c r="AE37" s="9" t="str">
        <x:v>blue block</x:v>
      </x:c>
      <x:c r="AF37" s="9" t="str">
        <x:v>None</x:v>
      </x:c>
      <x:c r="AG37" s="9"/>
      <x:c r="AH37" s="9"/>
      <x:c r="AI37" s="11"/>
      <x:c r="AJ37" s="9"/>
      <x:c r="AK37" s="9" t="str">
        <x:v>Eval_Relational_Placement (1).xlsm</x:v>
      </x:c>
      <x:c r="AL37" s="9" t="str">
        <x:v>VLA0</x:v>
      </x:c>
      <x:c r="AM37" s="9" t="n">
        <x:v>7</x:v>
      </x:c>
      <x:c r="AN37" s="9" t="n">
        <x:v>7</x:v>
      </x:c>
    </x:row>
    <x:row r="38">
      <x:c r="A38" s="9" t="str">
        <x:v>Failure</x:v>
      </x:c>
      <x:c r="B38" s="9" t="str">
        <x:v>Relational Placement</x:v>
      </x:c>
      <x:c r="C38" s="10" t="n">
        <x:v>6</x:v>
      </x:c>
      <x:c r="D38" s="9" t="str">
        <x:v>Put the blue block on the table in front of the green pen.</x:v>
      </x:c>
      <x:c r="E38" s="9" t="str">
        <x:v>green pen, blue block, pink marker, red block</x:v>
      </x:c>
      <x:c r="F38" s="9" t="str">
        <x:v>blue block → 2–8 cm edge gap in front of green pen; centroid direction within ±45°.</x:v>
      </x:c>
      <x:c r="G38" s="9" t="str">
        <x:v>went to green pen then returned home</x:v>
      </x:c>
      <x:c r="H38" s="9" t="str">
        <x:v>In-distribution concept baseline</x:v>
      </x:c>
      <x:c r="I38" s="9" t="str">
        <x:v>RP-ID-CF02</x:v>
      </x:c>
      <x:c r="J38" s="9" t="str">
        <x:v>Four-way trained-cell counterfactual: front/behind polarity × target/reference role</x:v>
      </x:c>
      <x:c r="K38" s="9" t="n">
        <x:v>4</x:v>
      </x:c>
      <x:c r="L38" s="9" t="str">
        <x:v>350</x:v>
      </x:c>
      <x:c r="M38" s="9"/>
      <x:c r="N38" s="9"/>
      <x:c r="O38" s="9" t="str">
        <x:v>Reset the moved object to its marked pose; preserve the exact scene and change only the instruction.</x:v>
      </x:c>
      <x:c r="P38" s="9" t="str">
        <x:v>Exact explicitly trained ordered relation-object cell from training episode 350. The four adjacent prompts share one initially unsatisfied scene.</x:v>
      </x:c>
      <x:c r="Q38" s="9"/>
      <x:c r="R38" s="10" t="n">
        <x:v>4</x:v>
      </x:c>
      <x:c r="S38" s="10"/>
      <x:c r="T38" s="9"/>
      <x:c r="U38" s="9"/>
      <x:c r="V38" s="9"/>
      <x:c r="W38" s="9"/>
      <x:c r="X38" s="10"/>
      <x:c r="Y38" s="10"/>
      <x:c r="Z38" s="9"/>
      <x:c r="AA38" s="9"/>
      <x:c r="AB38" s="9"/>
      <x:c r="AC38" s="9" t="str">
        <x:v>front</x:v>
      </x:c>
      <x:c r="AD38" s="9" t="str">
        <x:v>blue block</x:v>
      </x:c>
      <x:c r="AE38" s="9" t="str">
        <x:v>green pen</x:v>
      </x:c>
      <x:c r="AF38" s="9" t="str">
        <x:v>None</x:v>
      </x:c>
      <x:c r="AG38" s="9"/>
      <x:c r="AH38" s="9"/>
      <x:c r="AI38" s="11"/>
      <x:c r="AJ38" s="9"/>
      <x:c r="AK38" s="9" t="str">
        <x:v>Eval_Relational_Placement (1).xlsm</x:v>
      </x:c>
      <x:c r="AL38" s="9" t="str">
        <x:v>VLA0</x:v>
      </x:c>
      <x:c r="AM38" s="9" t="n">
        <x:v>8</x:v>
      </x:c>
      <x:c r="AN38" s="9" t="n">
        <x:v>8</x:v>
      </x:c>
    </x:row>
    <x:row r="39">
      <x:c r="A39" s="9" t="str">
        <x:v>Failure</x:v>
      </x:c>
      <x:c r="B39" s="9" t="str">
        <x:v>Relational Placement</x:v>
      </x:c>
      <x:c r="C39" s="10" t="n">
        <x:v>7</x:v>
      </x:c>
      <x:c r="D39" s="9" t="str">
        <x:v>Put the blue block on the table behind the green pen.</x:v>
      </x:c>
      <x:c r="E39" s="9" t="str">
        <x:v>green pen, blue block, pink marker, red block</x:v>
      </x:c>
      <x:c r="F39" s="9" t="str">
        <x:v>blue block → 2–8 cm edge gap behind green pen; centroid direction within ±45°.</x:v>
      </x:c>
      <x:c r="G39" s="9" t="str">
        <x:v>didn't move</x:v>
      </x:c>
      <x:c r="H39" s="9" t="str">
        <x:v>In-distribution concept baseline</x:v>
      </x:c>
      <x:c r="I39" s="9" t="str">
        <x:v>RP-ID-CF02</x:v>
      </x:c>
      <x:c r="J39" s="9" t="str">
        <x:v>Four-way trained-cell counterfactual: front/behind polarity × target/reference role</x:v>
      </x:c>
      <x:c r="K39" s="9" t="n">
        <x:v>4</x:v>
      </x:c>
      <x:c r="L39" s="9" t="str">
        <x:v>362</x:v>
      </x:c>
      <x:c r="M39" s="9"/>
      <x:c r="N39" s="9"/>
      <x:c r="O39" s="9" t="str">
        <x:v>Reset the moved object to its marked pose; preserve the exact scene and change only the instruction.</x:v>
      </x:c>
      <x:c r="P39" s="9" t="str">
        <x:v>Exact explicitly trained ordered relation-object cell from training episode 362. The four adjacent prompts share one initially unsatisfied scene.</x:v>
      </x:c>
      <x:c r="Q39" s="9"/>
      <x:c r="R39" s="10" t="n">
        <x:v>4</x:v>
      </x:c>
      <x:c r="S39" s="10"/>
      <x:c r="T39" s="9"/>
      <x:c r="U39" s="9"/>
      <x:c r="V39" s="9"/>
      <x:c r="W39" s="9"/>
      <x:c r="X39" s="10"/>
      <x:c r="Y39" s="10"/>
      <x:c r="Z39" s="9"/>
      <x:c r="AA39" s="9"/>
      <x:c r="AB39" s="9"/>
      <x:c r="AC39" s="9" t="str">
        <x:v>behind</x:v>
      </x:c>
      <x:c r="AD39" s="9" t="str">
        <x:v>blue block</x:v>
      </x:c>
      <x:c r="AE39" s="9" t="str">
        <x:v>green pen</x:v>
      </x:c>
      <x:c r="AF39" s="9" t="str">
        <x:v>None</x:v>
      </x:c>
      <x:c r="AG39" s="9"/>
      <x:c r="AH39" s="9"/>
      <x:c r="AI39" s="11"/>
      <x:c r="AJ39" s="9"/>
      <x:c r="AK39" s="9" t="str">
        <x:v>Eval_Relational_Placement (1).xlsm</x:v>
      </x:c>
      <x:c r="AL39" s="9" t="str">
        <x:v>VLA0</x:v>
      </x:c>
      <x:c r="AM39" s="9" t="n">
        <x:v>9</x:v>
      </x:c>
      <x:c r="AN39" s="9" t="n">
        <x:v>9</x:v>
      </x:c>
    </x:row>
    <x:row r="40">
      <x:c r="A40" s="9" t="str">
        <x:v>Failure</x:v>
      </x:c>
      <x:c r="B40" s="9" t="str">
        <x:v>Relational Placement</x:v>
      </x:c>
      <x:c r="C40" s="10" t="n">
        <x:v>8</x:v>
      </x:c>
      <x:c r="D40" s="9" t="str">
        <x:v>Place the red block to the left of the pink marker.</x:v>
      </x:c>
      <x:c r="E40" s="9" t="str">
        <x:v>red block, pink marker, blue block</x:v>
      </x:c>
      <x:c r="F40" s="9" t="str">
        <x:v>red block → 2–8 cm edge gap to the left of pink marker; centroid direction within ±45°.</x:v>
      </x:c>
      <x:c r="G40" s="9" t="str">
        <x:v>was gripping around the middle of the workspace; between blue and red block; did move towards the blue block; but couldn't pick it up</x:v>
      </x:c>
      <x:c r="H40" s="9" t="str">
        <x:v>In-distribution concept baseline</x:v>
      </x:c>
      <x:c r="I40" s="9" t="str">
        <x:v>RP-ID-CF03</x:v>
      </x:c>
      <x:c r="J40" s="9" t="str">
        <x:v>Four-way trained-cell counterfactual: left/right polarity × target/reference role</x:v>
      </x:c>
      <x:c r="K40" s="9"/>
      <x:c r="L40" s="9" t="str">
        <x:v>275</x:v>
      </x:c>
      <x:c r="M40" s="9"/>
      <x:c r="N40" s="9"/>
      <x:c r="O40" s="9" t="str">
        <x:v>Build the listed neutral scene and save the first frame.</x:v>
      </x:c>
      <x:c r="P40" s="9" t="str">
        <x:v>Exact explicitly trained ordered relation-object cell from training episode 275. The four adjacent prompts share one initially unsatisfied scene.</x:v>
      </x:c>
      <x:c r="Q40" s="9"/>
      <x:c r="R40" s="10" t="n">
        <x:v>3</x:v>
      </x:c>
      <x:c r="S40" s="10"/>
      <x:c r="T40" s="9"/>
      <x:c r="U40" s="9"/>
      <x:c r="V40" s="9"/>
      <x:c r="W40" s="9"/>
      <x:c r="X40" s="10"/>
      <x:c r="Y40" s="10"/>
      <x:c r="Z40" s="9"/>
      <x:c r="AA40" s="9"/>
      <x:c r="AB40" s="9"/>
      <x:c r="AC40" s="9" t="str">
        <x:v>left</x:v>
      </x:c>
      <x:c r="AD40" s="9" t="str">
        <x:v>red block</x:v>
      </x:c>
      <x:c r="AE40" s="9" t="str">
        <x:v>pink marker</x:v>
      </x:c>
      <x:c r="AF40" s="9" t="str">
        <x:v>None</x:v>
      </x:c>
      <x:c r="AG40" s="9"/>
      <x:c r="AH40" s="9"/>
      <x:c r="AI40" s="11"/>
      <x:c r="AJ40" s="9"/>
      <x:c r="AK40" s="9" t="str">
        <x:v>Eval_Relational_Placement (1).xlsm</x:v>
      </x:c>
      <x:c r="AL40" s="9" t="str">
        <x:v>VLA0</x:v>
      </x:c>
      <x:c r="AM40" s="9" t="n">
        <x:v>10</x:v>
      </x:c>
      <x:c r="AN40" s="9" t="n">
        <x:v>10</x:v>
      </x:c>
    </x:row>
    <x:row r="41">
      <x:c r="A41" s="9" t="str">
        <x:v>Failure</x:v>
      </x:c>
      <x:c r="B41" s="9" t="str">
        <x:v>Relational Placement</x:v>
      </x:c>
      <x:c r="C41" s="10" t="n">
        <x:v>9</x:v>
      </x:c>
      <x:c r="D41" s="9" t="str">
        <x:v>Place the red block to the right of the pink marker.</x:v>
      </x:c>
      <x:c r="E41" s="9" t="str">
        <x:v>red block, pink marker, blue block</x:v>
      </x:c>
      <x:c r="F41" s="9" t="str">
        <x:v>red block → 2–8 cm edge gap to the right of pink marker; centroid direction within ±45°.</x:v>
      </x:c>
      <x:c r="G41" s="9" t="str">
        <x:v>went for blue block</x:v>
      </x:c>
      <x:c r="H41" s="9" t="str">
        <x:v>In-distribution concept baseline</x:v>
      </x:c>
      <x:c r="I41" s="9" t="str">
        <x:v>RP-ID-CF03</x:v>
      </x:c>
      <x:c r="J41" s="9" t="str">
        <x:v>Four-way trained-cell counterfactual: left/right polarity × target/reference role</x:v>
      </x:c>
      <x:c r="K41" s="9" t="n">
        <x:v>8</x:v>
      </x:c>
      <x:c r="L41" s="9" t="str">
        <x:v>287</x:v>
      </x:c>
      <x:c r="M41" s="9"/>
      <x:c r="N41" s="9"/>
      <x:c r="O41" s="9" t="str">
        <x:v>Reset the moved object to its marked pose; preserve the exact scene and change only the instruction.</x:v>
      </x:c>
      <x:c r="P41" s="9" t="str">
        <x:v>Exact explicitly trained ordered relation-object cell from training episode 287. The four adjacent prompts share one initially unsatisfied scene.</x:v>
      </x:c>
      <x:c r="Q41" s="9"/>
      <x:c r="R41" s="10" t="n">
        <x:v>3</x:v>
      </x:c>
      <x:c r="S41" s="10"/>
      <x:c r="T41" s="9"/>
      <x:c r="U41" s="9"/>
      <x:c r="V41" s="9"/>
      <x:c r="W41" s="9"/>
      <x:c r="X41" s="10"/>
      <x:c r="Y41" s="10"/>
      <x:c r="Z41" s="9"/>
      <x:c r="AA41" s="9"/>
      <x:c r="AB41" s="9"/>
      <x:c r="AC41" s="9" t="str">
        <x:v>right</x:v>
      </x:c>
      <x:c r="AD41" s="9" t="str">
        <x:v>red block</x:v>
      </x:c>
      <x:c r="AE41" s="9" t="str">
        <x:v>pink marker</x:v>
      </x:c>
      <x:c r="AF41" s="9" t="str">
        <x:v>None</x:v>
      </x:c>
      <x:c r="AG41" s="9"/>
      <x:c r="AH41" s="9"/>
      <x:c r="AI41" s="11"/>
      <x:c r="AJ41" s="9"/>
      <x:c r="AK41" s="9" t="str">
        <x:v>Eval_Relational_Placement (1).xlsm</x:v>
      </x:c>
      <x:c r="AL41" s="9" t="str">
        <x:v>VLA0</x:v>
      </x:c>
      <x:c r="AM41" s="9" t="n">
        <x:v>11</x:v>
      </x:c>
      <x:c r="AN41" s="9" t="n">
        <x:v>11</x:v>
      </x:c>
    </x:row>
    <x:row r="42">
      <x:c r="A42" s="9" t="str">
        <x:v>Failure</x:v>
      </x:c>
      <x:c r="B42" s="9" t="str">
        <x:v>Relational Placement</x:v>
      </x:c>
      <x:c r="C42" s="10" t="n">
        <x:v>10</x:v>
      </x:c>
      <x:c r="D42" s="9" t="str">
        <x:v>Place the pink marker to the left of the red block.</x:v>
      </x:c>
      <x:c r="E42" s="9" t="str">
        <x:v>red block, pink marker, blue block</x:v>
      </x:c>
      <x:c r="F42" s="9" t="str">
        <x:v>pink marker → 2–8 cm edge gap to the left of red block; centroid direction within ±45°.</x:v>
      </x:c>
      <x:c r="G42" s="9" t="str">
        <x:v>went for red block but couldn't pick it</x:v>
      </x:c>
      <x:c r="H42" s="9" t="str">
        <x:v>In-distribution concept baseline</x:v>
      </x:c>
      <x:c r="I42" s="9" t="str">
        <x:v>RP-ID-CF03</x:v>
      </x:c>
      <x:c r="J42" s="9" t="str">
        <x:v>Four-way trained-cell counterfactual: left/right polarity × target/reference role</x:v>
      </x:c>
      <x:c r="K42" s="9" t="n">
        <x:v>8</x:v>
      </x:c>
      <x:c r="L42" s="9" t="str">
        <x:v>333</x:v>
      </x:c>
      <x:c r="M42" s="9"/>
      <x:c r="N42" s="9"/>
      <x:c r="O42" s="9" t="str">
        <x:v>Reset the moved object to its marked pose; preserve the exact scene and change only the instruction.</x:v>
      </x:c>
      <x:c r="P42" s="9" t="str">
        <x:v>Exact explicitly trained ordered relation-object cell from training episode 333. The four adjacent prompts share one initially unsatisfied scene.</x:v>
      </x:c>
      <x:c r="Q42" s="9"/>
      <x:c r="R42" s="10" t="n">
        <x:v>3</x:v>
      </x:c>
      <x:c r="S42" s="10"/>
      <x:c r="T42" s="9"/>
      <x:c r="U42" s="9"/>
      <x:c r="V42" s="9"/>
      <x:c r="W42" s="9"/>
      <x:c r="X42" s="10"/>
      <x:c r="Y42" s="10"/>
      <x:c r="Z42" s="9"/>
      <x:c r="AA42" s="9"/>
      <x:c r="AB42" s="9"/>
      <x:c r="AC42" s="9" t="str">
        <x:v>left</x:v>
      </x:c>
      <x:c r="AD42" s="9" t="str">
        <x:v>pink marker</x:v>
      </x:c>
      <x:c r="AE42" s="9" t="str">
        <x:v>red block</x:v>
      </x:c>
      <x:c r="AF42" s="9" t="str">
        <x:v>None</x:v>
      </x:c>
      <x:c r="AG42" s="9"/>
      <x:c r="AH42" s="9"/>
      <x:c r="AI42" s="11"/>
      <x:c r="AJ42" s="9"/>
      <x:c r="AK42" s="9" t="str">
        <x:v>Eval_Relational_Placement (1).xlsm</x:v>
      </x:c>
      <x:c r="AL42" s="9" t="str">
        <x:v>VLA0</x:v>
      </x:c>
      <x:c r="AM42" s="9" t="n">
        <x:v>12</x:v>
      </x:c>
      <x:c r="AN42" s="9" t="n">
        <x:v>12</x:v>
      </x:c>
    </x:row>
    <x:row r="43">
      <x:c r="A43" s="9" t="str">
        <x:v>Failure</x:v>
      </x:c>
      <x:c r="B43" s="9" t="str">
        <x:v>Relational Placement</x:v>
      </x:c>
      <x:c r="C43" s="10" t="n">
        <x:v>11</x:v>
      </x:c>
      <x:c r="D43" s="9" t="str">
        <x:v>Place the pink marker to the right of the red block.</x:v>
      </x:c>
      <x:c r="E43" s="9" t="str">
        <x:v>red block, pink marker, blue block</x:v>
      </x:c>
      <x:c r="F43" s="9" t="str">
        <x:v>pink marker → 2–8 cm edge gap to the right of red block; centroid direction within ±45°.</x:v>
      </x:c>
      <x:c r="G43" s="9" t="str">
        <x:v>didn't move</x:v>
      </x:c>
      <x:c r="H43" s="9" t="str">
        <x:v>In-distribution concept baseline</x:v>
      </x:c>
      <x:c r="I43" s="9" t="str">
        <x:v>RP-ID-CF03</x:v>
      </x:c>
      <x:c r="J43" s="9" t="str">
        <x:v>Four-way trained-cell counterfactual: left/right polarity × target/reference role</x:v>
      </x:c>
      <x:c r="K43" s="9" t="n">
        <x:v>8</x:v>
      </x:c>
      <x:c r="L43" s="9" t="str">
        <x:v>346</x:v>
      </x:c>
      <x:c r="M43" s="9"/>
      <x:c r="N43" s="9"/>
      <x:c r="O43" s="9" t="str">
        <x:v>Reset the moved object to its marked pose; preserve the exact scene and change only the instruction.</x:v>
      </x:c>
      <x:c r="P43" s="9" t="str">
        <x:v>Exact explicitly trained ordered relation-object cell from training episode 346. The four adjacent prompts share one initially unsatisfied scene.</x:v>
      </x:c>
      <x:c r="Q43" s="9"/>
      <x:c r="R43" s="10" t="n">
        <x:v>3</x:v>
      </x:c>
      <x:c r="S43" s="10"/>
      <x:c r="T43" s="9"/>
      <x:c r="U43" s="9"/>
      <x:c r="V43" s="9"/>
      <x:c r="W43" s="9"/>
      <x:c r="X43" s="10"/>
      <x:c r="Y43" s="10"/>
      <x:c r="Z43" s="9"/>
      <x:c r="AA43" s="9"/>
      <x:c r="AB43" s="9"/>
      <x:c r="AC43" s="9" t="str">
        <x:v>right</x:v>
      </x:c>
      <x:c r="AD43" s="9" t="str">
        <x:v>pink marker</x:v>
      </x:c>
      <x:c r="AE43" s="9" t="str">
        <x:v>red block</x:v>
      </x:c>
      <x:c r="AF43" s="9" t="str">
        <x:v>None</x:v>
      </x:c>
      <x:c r="AG43" s="9"/>
      <x:c r="AH43" s="9"/>
      <x:c r="AI43" s="11"/>
      <x:c r="AJ43" s="9"/>
      <x:c r="AK43" s="9" t="str">
        <x:v>Eval_Relational_Placement (1).xlsm</x:v>
      </x:c>
      <x:c r="AL43" s="9" t="str">
        <x:v>VLA0</x:v>
      </x:c>
      <x:c r="AM43" s="9" t="n">
        <x:v>13</x:v>
      </x:c>
      <x:c r="AN43" s="9" t="n">
        <x:v>13</x:v>
      </x:c>
    </x:row>
    <x:row r="44">
      <x:c r="A44" s="9" t="str">
        <x:v>Failure</x:v>
      </x:c>
      <x:c r="B44" s="9" t="str">
        <x:v>Referential Disambiguation</x:v>
      </x:c>
      <x:c r="C44" s="10" t="n">
        <x:v>0</x:v>
      </x:c>
      <x:c r="D44" s="9" t="str">
        <x:v>Move the crushed soda can lying between the green pencil sharpener and the green pen into the bowl.</x:v>
      </x:c>
      <x:c r="E44" s="9" t="str">
        <x:v>crushed Coke can; crushed Pepsi can; green pencil sharpener; green pen</x:v>
      </x:c>
      <x:c r="F44" s="9" t="str">
        <x:v>crushed Coke can</x:v>
      </x:c>
      <x:c r="G44" s="9" t="str">
        <x:v>moved wrist up a bit but didn't move to a can </x:v>
      </x:c>
      <x:c r="H44" s="9" t="str">
        <x:v>In-distribution concept baseline</x:v>
      </x:c>
      <x:c r="I44" s="9" t="str">
        <x:v>RD-ID01</x:v>
      </x:c>
      <x:c r="J44" s="9" t="str">
        <x:v>Exact training-supported relation × candidate-category baseline</x:v>
      </x:c>
      <x:c r="K44" s="9"/>
      <x:c r="L44" s="9" t="str">
        <x:v>430</x:v>
      </x:c>
      <x:c r="M44" s="9" t="str">
        <x:v>Exact manifest cell: prompt, relation × candidate-category combination, target identity, and object membership are explicitly represented in training; physical positions are manually recreated with a clear margin.</x:v>
      </x:c>
      <x:c r="N44" s="9" t="n">
        <x:v>1</x:v>
      </x:c>
      <x:c r="O44" s="9" t="str">
        <x:v>Place the 4 listed objects. Arrange Expected Target as the unique answer to the prompt; keep the bowl empty.</x:v>
      </x:c>
      <x:c r="P44" s="9" t="str">
        <x:v>The relation, candidate category, target identity, and object membership occur together in the cited training episode.</x:v>
      </x:c>
      <x:c r="Q44" s="9"/>
      <x:c r="R44" s="10" t="n">
        <x:v>4</x:v>
      </x:c>
      <x:c r="S44" s="10" t="n">
        <x:v>1</x:v>
      </x:c>
      <x:c r="T44" s="9" t="str">
        <x:v>Empty</x:v>
      </x:c>
      <x:c r="U44" s="9"/>
      <x:c r="V44" s="9"/>
      <x:c r="W44" s="9"/>
      <x:c r="X44" s="10"/>
      <x:c r="Y44" s="10"/>
      <x:c r="Z44" s="9"/>
      <x:c r="AA44" s="9"/>
      <x:c r="AB44" s="9" t="str">
        <x:v>between</x:v>
      </x:c>
      <x:c r="AC44" s="9"/>
      <x:c r="AD44" s="9"/>
      <x:c r="AE44" s="9"/>
      <x:c r="AF44" s="9"/>
      <x:c r="AG44" s="9" t="str">
        <x:v>crushed soda can</x:v>
      </x:c>
      <x:c r="AH44" s="9"/>
      <x:c r="AI44" s="11"/>
      <x:c r="AJ44" s="9"/>
      <x:c r="AK44" s="9" t="str">
        <x:v>Eval_Referential_Disambiguation.xlsm</x:v>
      </x:c>
      <x:c r="AL44" s="9" t="str">
        <x:v>VLA0 Results</x:v>
      </x:c>
      <x:c r="AM44" s="9" t="n">
        <x:v>2</x:v>
      </x:c>
      <x:c r="AN44" s="9" t="n">
        <x:v>2</x:v>
      </x:c>
    </x:row>
    <x:row r="45">
      <x:c r="A45" s="9" t="str">
        <x:v>Failure</x:v>
      </x:c>
      <x:c r="B45" s="9" t="str">
        <x:v>Referential Disambiguation</x:v>
      </x:c>
      <x:c r="C45" s="10" t="n">
        <x:v>1</x:v>
      </x:c>
      <x:c r="D45" s="9" t="str">
        <x:v>Pick up the crushed soda can positioned between the airplane toy with propellers and the green pen, then place it in the bowl.</x:v>
      </x:c>
      <x:c r="E45" s="9" t="str">
        <x:v>crushed Coke can; crushed Pepsi can; airplane toy with propellers; green pen; green pencil sharpener</x:v>
      </x:c>
      <x:c r="F45" s="9" t="str">
        <x:v>crushed Coke can</x:v>
      </x:c>
      <x:c r="G45" s="9" t="str">
        <x:v>went to coke can, but didn't open gripper to actually grab it; stayed pretty still when it was by the coke can </x:v>
      </x:c>
      <x:c r="H45" s="9" t="str">
        <x:v>In-distribution concept baseline</x:v>
      </x:c>
      <x:c r="I45" s="9" t="str">
        <x:v>RD-ID02</x:v>
      </x:c>
      <x:c r="J45" s="9" t="str">
        <x:v>Exact training-supported relation × candidate-category baseline</x:v>
      </x:c>
      <x:c r="K45" s="9"/>
      <x:c r="L45" s="9" t="str">
        <x:v>432</x:v>
      </x:c>
      <x:c r="M45" s="9" t="str">
        <x:v>Exact manifest cell: prompt, relation × candidate-category combination, target identity, and object membership are explicitly represented in training; physical positions are manually recreated with a clear margin.</x:v>
      </x:c>
      <x:c r="N45" s="9" t="n">
        <x:v>1</x:v>
      </x:c>
      <x:c r="O45" s="9" t="str">
        <x:v>Place the 5 listed objects. Arrange Expected Target as the unique answer to the prompt; keep the bowl empty.</x:v>
      </x:c>
      <x:c r="P45" s="9" t="str">
        <x:v>The relation, candidate category, target identity, and object membership occur together in the cited training episode.</x:v>
      </x:c>
      <x:c r="Q45" s="9"/>
      <x:c r="R45" s="10" t="n">
        <x:v>5</x:v>
      </x:c>
      <x:c r="S45" s="10" t="n">
        <x:v>1</x:v>
      </x:c>
      <x:c r="T45" s="9" t="str">
        <x:v>Empty</x:v>
      </x:c>
      <x:c r="U45" s="9"/>
      <x:c r="V45" s="9"/>
      <x:c r="W45" s="9"/>
      <x:c r="X45" s="10"/>
      <x:c r="Y45" s="10"/>
      <x:c r="Z45" s="9"/>
      <x:c r="AA45" s="9"/>
      <x:c r="AB45" s="9" t="str">
        <x:v>between</x:v>
      </x:c>
      <x:c r="AC45" s="9"/>
      <x:c r="AD45" s="9"/>
      <x:c r="AE45" s="9"/>
      <x:c r="AF45" s="9"/>
      <x:c r="AG45" s="9" t="str">
        <x:v>crushed soda can</x:v>
      </x:c>
      <x:c r="AH45" s="9"/>
      <x:c r="AI45" s="11"/>
      <x:c r="AJ45" s="9"/>
      <x:c r="AK45" s="9" t="str">
        <x:v>Eval_Referential_Disambiguation.xlsm</x:v>
      </x:c>
      <x:c r="AL45" s="9" t="str">
        <x:v>VLA0 Results</x:v>
      </x:c>
      <x:c r="AM45" s="9" t="n">
        <x:v>3</x:v>
      </x:c>
      <x:c r="AN45" s="9" t="n">
        <x:v>3</x:v>
      </x:c>
    </x:row>
    <x:row r="46">
      <x:c r="A46" s="9" t="str">
        <x:v>Failure</x:v>
      </x:c>
      <x:c r="B46" s="9" t="str">
        <x:v>Referential Disambiguation</x:v>
      </x:c>
      <x:c r="C46" s="10" t="n">
        <x:v>2</x:v>
      </x:c>
      <x:c r="D46" s="9" t="str">
        <x:v>Pick up the crushed soda can positioned between the airplane toy with propellers and the green pencil sharpener, then place it in the bowl.</x:v>
      </x:c>
      <x:c r="E46" s="9" t="str">
        <x:v>crushed Coke can; crushed Pepsi can; airplane toy with propellers; green pencil sharpener</x:v>
      </x:c>
      <x:c r="F46" s="9" t="str">
        <x:v>crushed Coke can</x:v>
      </x:c>
      <x:c r="G46" s="9" t="str">
        <x:v>didn't start moving to the coke can until end of episode; once got gripper around coke can, didn't seem like it was gonna close</x:v>
      </x:c>
      <x:c r="H46" s="9" t="str">
        <x:v>In-distribution concept baseline</x:v>
      </x:c>
      <x:c r="I46" s="9" t="str">
        <x:v>RD-ID03</x:v>
      </x:c>
      <x:c r="J46" s="9" t="str">
        <x:v>Exact training-supported relation × candidate-category baseline</x:v>
      </x:c>
      <x:c r="K46" s="9"/>
      <x:c r="L46" s="9" t="str">
        <x:v>431</x:v>
      </x:c>
      <x:c r="M46" s="9" t="str">
        <x:v>Exact manifest cell: prompt, relation × candidate-category combination, target identity, and object membership are explicitly represented in training; physical positions are manually recreated with a clear margin.</x:v>
      </x:c>
      <x:c r="N46" s="9" t="n">
        <x:v>1</x:v>
      </x:c>
      <x:c r="O46" s="9" t="str">
        <x:v>Place the 4 listed objects. Arrange Expected Target as the unique answer to the prompt; keep the bowl empty.</x:v>
      </x:c>
      <x:c r="P46" s="9" t="str">
        <x:v>The relation, candidate category, target identity, and object membership occur together in the cited training episode.</x:v>
      </x:c>
      <x:c r="Q46" s="9"/>
      <x:c r="R46" s="10" t="n">
        <x:v>4</x:v>
      </x:c>
      <x:c r="S46" s="10" t="n">
        <x:v>1</x:v>
      </x:c>
      <x:c r="T46" s="9" t="str">
        <x:v>Empty</x:v>
      </x:c>
      <x:c r="U46" s="9"/>
      <x:c r="V46" s="9"/>
      <x:c r="W46" s="9"/>
      <x:c r="X46" s="10"/>
      <x:c r="Y46" s="10"/>
      <x:c r="Z46" s="9"/>
      <x:c r="AA46" s="9"/>
      <x:c r="AB46" s="9" t="str">
        <x:v>between</x:v>
      </x:c>
      <x:c r="AC46" s="9"/>
      <x:c r="AD46" s="9"/>
      <x:c r="AE46" s="9"/>
      <x:c r="AF46" s="9"/>
      <x:c r="AG46" s="9" t="str">
        <x:v>crushed soda can</x:v>
      </x:c>
      <x:c r="AH46" s="9"/>
      <x:c r="AI46" s="11"/>
      <x:c r="AJ46" s="9"/>
      <x:c r="AK46" s="9" t="str">
        <x:v>Eval_Referential_Disambiguation.xlsm</x:v>
      </x:c>
      <x:c r="AL46" s="9" t="str">
        <x:v>VLA0 Results</x:v>
      </x:c>
      <x:c r="AM46" s="9" t="n">
        <x:v>4</x:v>
      </x:c>
      <x:c r="AN46" s="9" t="n">
        <x:v>4</x:v>
      </x:c>
    </x:row>
    <x:row r="47">
      <x:c r="A47" s="9" t="str">
        <x:v>Failure</x:v>
      </x:c>
      <x:c r="B47" s="9" t="str">
        <x:v>Referential Disambiguation</x:v>
      </x:c>
      <x:c r="C47" s="10" t="n">
        <x:v>3</x:v>
      </x:c>
      <x:c r="D47" s="9" t="str">
        <x:v>Pick up the crushed soda can furthest from the green pen and place it in the bowl.</x:v>
      </x:c>
      <x:c r="E47" s="9" t="str">
        <x:v>crushed Coke can; crushed Pepsi can; green pen</x:v>
      </x:c>
      <x:c r="F47" s="9" t="str">
        <x:v>crushed Pepsi can</x:v>
      </x:c>
      <x:c r="G47" s="9" t="str">
        <x:v>turned towards pepsi can sort of, but then started gripping in middle of nowhere between the pepsi can and coke can; drifted closer to coke can until it push the coke can to the left</x:v>
      </x:c>
      <x:c r="H47" s="9" t="str">
        <x:v>In-distribution concept baseline</x:v>
      </x:c>
      <x:c r="I47" s="9" t="str">
        <x:v>RD-ID04</x:v>
      </x:c>
      <x:c r="J47" s="9" t="str">
        <x:v>Exact training-supported relation × candidate-category baseline</x:v>
      </x:c>
      <x:c r="K47" s="9"/>
      <x:c r="L47" s="9" t="str">
        <x:v>415</x:v>
      </x:c>
      <x:c r="M47" s="9" t="str">
        <x:v>Exact manifest cell: prompt, relation × candidate-category combination, target identity, and object membership are explicitly represented in training; physical positions are manually recreated with a clear margin.</x:v>
      </x:c>
      <x:c r="N47" s="9" t="n">
        <x:v>1</x:v>
      </x:c>
      <x:c r="O47" s="9" t="str">
        <x:v>Place the 3 listed objects. Arrange Expected Target as the unique answer to the prompt; keep the bowl empty.</x:v>
      </x:c>
      <x:c r="P47" s="9" t="str">
        <x:v>The relation, candidate category, target identity, and object membership occur together in the cited training episode.</x:v>
      </x:c>
      <x:c r="Q47" s="9"/>
      <x:c r="R47" s="10" t="n">
        <x:v>3</x:v>
      </x:c>
      <x:c r="S47" s="10" t="n">
        <x:v>1</x:v>
      </x:c>
      <x:c r="T47" s="9" t="str">
        <x:v>Empty</x:v>
      </x:c>
      <x:c r="U47" s="9"/>
      <x:c r="V47" s="9"/>
      <x:c r="W47" s="9"/>
      <x:c r="X47" s="10"/>
      <x:c r="Y47" s="10"/>
      <x:c r="Z47" s="9"/>
      <x:c r="AA47" s="9"/>
      <x:c r="AB47" s="9" t="str">
        <x:v>furthest</x:v>
      </x:c>
      <x:c r="AC47" s="9"/>
      <x:c r="AD47" s="9"/>
      <x:c r="AE47" s="9"/>
      <x:c r="AF47" s="9"/>
      <x:c r="AG47" s="9" t="str">
        <x:v>crushed soda can</x:v>
      </x:c>
      <x:c r="AH47" s="9"/>
      <x:c r="AI47" s="11"/>
      <x:c r="AJ47" s="9"/>
      <x:c r="AK47" s="9" t="str">
        <x:v>Eval_Referential_Disambiguation.xlsm</x:v>
      </x:c>
      <x:c r="AL47" s="9" t="str">
        <x:v>VLA0 Results</x:v>
      </x:c>
      <x:c r="AM47" s="9" t="n">
        <x:v>5</x:v>
      </x:c>
      <x:c r="AN47" s="9" t="n">
        <x:v>5</x:v>
      </x:c>
    </x:row>
    <x:row r="48">
      <x:c r="A48" s="9" t="str">
        <x:v>Failure</x:v>
      </x:c>
      <x:c r="B48" s="9" t="str">
        <x:v>Referential Disambiguation</x:v>
      </x:c>
      <x:c r="C48" s="10" t="n">
        <x:v>4</x:v>
      </x:c>
      <x:c r="D48" s="9" t="str">
        <x:v>Pick up the crushed soda can furthest from the yellow pen and place it in the bowl.</x:v>
      </x:c>
      <x:c r="E48" s="9" t="str">
        <x:v>crushed Coke can; crushed Pepsi can; yellow pen; airplane toy with propellers</x:v>
      </x:c>
      <x:c r="F48" s="9" t="str">
        <x:v>crushed Coke can</x:v>
      </x:c>
      <x:c r="G48" s="9" t="str">
        <x:v>went to coke can in correct gripping strategy, but with grippers closed</x:v>
      </x:c>
      <x:c r="H48" s="9" t="str">
        <x:v>In-distribution concept baseline</x:v>
      </x:c>
      <x:c r="I48" s="9" t="str">
        <x:v>RD-ID05</x:v>
      </x:c>
      <x:c r="J48" s="9" t="str">
        <x:v>Exact training-supported relation × candidate-category baseline</x:v>
      </x:c>
      <x:c r="K48" s="9"/>
      <x:c r="L48" s="9" t="str">
        <x:v>416</x:v>
      </x:c>
      <x:c r="M48" s="9" t="str">
        <x:v>Exact manifest cell: prompt, relation × candidate-category combination, target identity, and object membership are explicitly represented in training; physical positions are manually recreated with a clear margin.</x:v>
      </x:c>
      <x:c r="N48" s="9" t="n">
        <x:v>1</x:v>
      </x:c>
      <x:c r="O48" s="9" t="str">
        <x:v>Place the 4 listed objects. Arrange Expected Target as the unique answer to the prompt; keep the bowl empty.</x:v>
      </x:c>
      <x:c r="P48" s="9" t="str">
        <x:v>The relation, candidate category, target identity, and object membership occur together in the cited training episode.</x:v>
      </x:c>
      <x:c r="Q48" s="9"/>
      <x:c r="R48" s="10" t="n">
        <x:v>4</x:v>
      </x:c>
      <x:c r="S48" s="10" t="n">
        <x:v>1</x:v>
      </x:c>
      <x:c r="T48" s="9" t="str">
        <x:v>Empty</x:v>
      </x:c>
      <x:c r="U48" s="9"/>
      <x:c r="V48" s="9"/>
      <x:c r="W48" s="9"/>
      <x:c r="X48" s="10"/>
      <x:c r="Y48" s="10"/>
      <x:c r="Z48" s="9"/>
      <x:c r="AA48" s="9"/>
      <x:c r="AB48" s="9" t="str">
        <x:v>furthest</x:v>
      </x:c>
      <x:c r="AC48" s="9"/>
      <x:c r="AD48" s="9"/>
      <x:c r="AE48" s="9"/>
      <x:c r="AF48" s="9"/>
      <x:c r="AG48" s="9" t="str">
        <x:v>crushed soda can</x:v>
      </x:c>
      <x:c r="AH48" s="9"/>
      <x:c r="AI48" s="11"/>
      <x:c r="AJ48" s="9"/>
      <x:c r="AK48" s="9" t="str">
        <x:v>Eval_Referential_Disambiguation.xlsm</x:v>
      </x:c>
      <x:c r="AL48" s="9" t="str">
        <x:v>VLA0 Results</x:v>
      </x:c>
      <x:c r="AM48" s="9" t="n">
        <x:v>6</x:v>
      </x:c>
      <x:c r="AN48" s="9" t="n">
        <x:v>6</x:v>
      </x:c>
    </x:row>
    <x:row r="49">
      <x:c r="A49" s="9" t="str">
        <x:v>Failure</x:v>
      </x:c>
      <x:c r="B49" s="9" t="str">
        <x:v>Referential Disambiguation</x:v>
      </x:c>
      <x:c r="C49" s="10" t="n">
        <x:v>5</x:v>
      </x:c>
      <x:c r="D49" s="9" t="str">
        <x:v>Pick up the pencil sharpener nearest to the crushed Coke can and place it in the bowl.</x:v>
      </x:c>
      <x:c r="E49" s="9" t="str">
        <x:v>green pencil sharpener; red pencil sharpener; crushed Coke can</x:v>
      </x:c>
      <x:c r="F49" s="9" t="str">
        <x:v>green pencil sharpener</x:v>
      </x:c>
      <x:c r="G49" s="9" t="str">
        <x:v>went for red pencil sharpener, but couldn't get it</x:v>
      </x:c>
      <x:c r="H49" s="9" t="str">
        <x:v>In-distribution concept baseline</x:v>
      </x:c>
      <x:c r="I49" s="9" t="str">
        <x:v>RD-ID06</x:v>
      </x:c>
      <x:c r="J49" s="9" t="str">
        <x:v>Exact training-supported relation × candidate-category baseline</x:v>
      </x:c>
      <x:c r="K49" s="9"/>
      <x:c r="L49" s="9" t="str">
        <x:v>450</x:v>
      </x:c>
      <x:c r="M49" s="9" t="str">
        <x:v>Exact manifest cell: prompt, relation × candidate-category combination, target identity, and object membership are explicitly represented in training; physical positions are manually recreated with a clear margin.</x:v>
      </x:c>
      <x:c r="N49" s="9" t="n">
        <x:v>1</x:v>
      </x:c>
      <x:c r="O49" s="9" t="str">
        <x:v>Place the 3 listed objects. Arrange Expected Target as the unique answer to the prompt; keep the bowl empty.</x:v>
      </x:c>
      <x:c r="P49" s="9" t="str">
        <x:v>The relation, candidate category, target identity, and object membership occur together in the cited training episode.</x:v>
      </x:c>
      <x:c r="Q49" s="9"/>
      <x:c r="R49" s="10" t="n">
        <x:v>3</x:v>
      </x:c>
      <x:c r="S49" s="10" t="n">
        <x:v>1</x:v>
      </x:c>
      <x:c r="T49" s="9" t="str">
        <x:v>Empty</x:v>
      </x:c>
      <x:c r="U49" s="9"/>
      <x:c r="V49" s="9"/>
      <x:c r="W49" s="9"/>
      <x:c r="X49" s="10"/>
      <x:c r="Y49" s="10"/>
      <x:c r="Z49" s="9"/>
      <x:c r="AA49" s="9"/>
      <x:c r="AB49" s="9" t="str">
        <x:v>closest</x:v>
      </x:c>
      <x:c r="AC49" s="9"/>
      <x:c r="AD49" s="9"/>
      <x:c r="AE49" s="9"/>
      <x:c r="AF49" s="9"/>
      <x:c r="AG49" s="9" t="str">
        <x:v>pencil sharpener</x:v>
      </x:c>
      <x:c r="AH49" s="9"/>
      <x:c r="AI49" s="11"/>
      <x:c r="AJ49" s="9"/>
      <x:c r="AK49" s="9" t="str">
        <x:v>Eval_Referential_Disambiguation.xlsm</x:v>
      </x:c>
      <x:c r="AL49" s="9" t="str">
        <x:v>VLA0 Results</x:v>
      </x:c>
      <x:c r="AM49" s="9" t="n">
        <x:v>7</x:v>
      </x:c>
      <x:c r="AN49" s="9" t="n">
        <x:v>7</x:v>
      </x:c>
    </x:row>
    <x:row r="50">
      <x:c r="A50" s="9" t="str">
        <x:v>Failure</x:v>
      </x:c>
      <x:c r="B50" s="9" t="str">
        <x:v>Referential Disambiguation</x:v>
      </x:c>
      <x:c r="C50" s="10" t="n">
        <x:v>6</x:v>
      </x:c>
      <x:c r="D50" s="9" t="str">
        <x:v>Move the pencil sharpener that is closest to the crushed Pepsi can into the bowl.</x:v>
      </x:c>
      <x:c r="E50" s="9" t="str">
        <x:v>green pencil sharpener; red pencil sharpener; crushed Pepsi can; airplane toy with propellers</x:v>
      </x:c>
      <x:c r="F50" s="9" t="str">
        <x:v>red pencil sharpener</x:v>
      </x:c>
      <x:c r="G50" s="9" t="str">
        <x:v>started going to the pepsi can with top down gripping position, then suddenly jerked up to soada can gripping strategy; knocked the soda can out of the workspace</x:v>
      </x:c>
      <x:c r="H50" s="9" t="str">
        <x:v>In-distribution concept baseline</x:v>
      </x:c>
      <x:c r="I50" s="9" t="str">
        <x:v>RD-ID07</x:v>
      </x:c>
      <x:c r="J50" s="9" t="str">
        <x:v>Exact training-supported relation × candidate-category baseline</x:v>
      </x:c>
      <x:c r="K50" s="9"/>
      <x:c r="L50" s="9" t="str">
        <x:v>451</x:v>
      </x:c>
      <x:c r="M50" s="9" t="str">
        <x:v>Exact manifest cell: prompt, relation × candidate-category combination, target identity, and object membership are explicitly represented in training; physical positions are manually recreated with a clear margin.</x:v>
      </x:c>
      <x:c r="N50" s="9" t="n">
        <x:v>1</x:v>
      </x:c>
      <x:c r="O50" s="9" t="str">
        <x:v>Place the 4 listed objects. Arrange Expected Target as the unique answer to the prompt; keep the bowl empty.</x:v>
      </x:c>
      <x:c r="P50" s="9" t="str">
        <x:v>The relation, candidate category, target identity, and object membership occur together in the cited training episode.</x:v>
      </x:c>
      <x:c r="Q50" s="9"/>
      <x:c r="R50" s="10" t="n">
        <x:v>4</x:v>
      </x:c>
      <x:c r="S50" s="10" t="n">
        <x:v>1</x:v>
      </x:c>
      <x:c r="T50" s="9" t="str">
        <x:v>Empty</x:v>
      </x:c>
      <x:c r="U50" s="9"/>
      <x:c r="V50" s="9"/>
      <x:c r="W50" s="9"/>
      <x:c r="X50" s="10"/>
      <x:c r="Y50" s="10"/>
      <x:c r="Z50" s="9"/>
      <x:c r="AA50" s="9"/>
      <x:c r="AB50" s="9" t="str">
        <x:v>closest</x:v>
      </x:c>
      <x:c r="AC50" s="9"/>
      <x:c r="AD50" s="9"/>
      <x:c r="AE50" s="9"/>
      <x:c r="AF50" s="9"/>
      <x:c r="AG50" s="9" t="str">
        <x:v>pencil sharpener</x:v>
      </x:c>
      <x:c r="AH50" s="9"/>
      <x:c r="AI50" s="11"/>
      <x:c r="AJ50" s="9"/>
      <x:c r="AK50" s="9" t="str">
        <x:v>Eval_Referential_Disambiguation.xlsm</x:v>
      </x:c>
      <x:c r="AL50" s="9" t="str">
        <x:v>VLA0 Results</x:v>
      </x:c>
      <x:c r="AM50" s="9" t="n">
        <x:v>8</x:v>
      </x:c>
      <x:c r="AN50" s="9" t="n">
        <x:v>8</x:v>
      </x:c>
    </x:row>
    <x:row r="51">
      <x:c r="A51" s="9" t="str">
        <x:v>Failure</x:v>
      </x:c>
      <x:c r="B51" s="9" t="str">
        <x:v>Referential Disambiguation</x:v>
      </x:c>
      <x:c r="C51" s="10" t="n">
        <x:v>7</x:v>
      </x:c>
      <x:c r="D51" s="9" t="str">
        <x:v>Move the pencil sharpener that is closest to the green pen into the bowl.</x:v>
      </x:c>
      <x:c r="E51" s="9" t="str">
        <x:v>green pencil sharpener; red pencil sharpener; green pen</x:v>
      </x:c>
      <x:c r="F51" s="9" t="str">
        <x:v>green pencil sharpener</x:v>
      </x:c>
      <x:c r="G51" s="9" t="str">
        <x:v>almost gripped the green sharpener, but after closing gripper, couldn't recover</x:v>
      </x:c>
      <x:c r="H51" s="9" t="str">
        <x:v>In-distribution concept baseline</x:v>
      </x:c>
      <x:c r="I51" s="9" t="str">
        <x:v>RD-ID08</x:v>
      </x:c>
      <x:c r="J51" s="9" t="str">
        <x:v>Exact training-supported relation × candidate-category baseline</x:v>
      </x:c>
      <x:c r="K51" s="9"/>
      <x:c r="L51" s="9" t="str">
        <x:v>452</x:v>
      </x:c>
      <x:c r="M51" s="9" t="str">
        <x:v>Exact manifest cell: prompt, relation × candidate-category combination, target identity, and object membership are explicitly represented in training; physical positions are manually recreated with a clear margin.</x:v>
      </x:c>
      <x:c r="N51" s="9" t="n">
        <x:v>1</x:v>
      </x:c>
      <x:c r="O51" s="9" t="str">
        <x:v>Place the 3 listed objects. Arrange Expected Target as the unique answer to the prompt; keep the bowl empty.</x:v>
      </x:c>
      <x:c r="P51" s="9" t="str">
        <x:v>The relation, candidate category, target identity, and object membership occur together in the cited training episode.</x:v>
      </x:c>
      <x:c r="Q51" s="9"/>
      <x:c r="R51" s="10" t="n">
        <x:v>3</x:v>
      </x:c>
      <x:c r="S51" s="10" t="n">
        <x:v>1</x:v>
      </x:c>
      <x:c r="T51" s="9" t="str">
        <x:v>Empty</x:v>
      </x:c>
      <x:c r="U51" s="9"/>
      <x:c r="V51" s="9"/>
      <x:c r="W51" s="9"/>
      <x:c r="X51" s="10"/>
      <x:c r="Y51" s="10"/>
      <x:c r="Z51" s="9"/>
      <x:c r="AA51" s="9"/>
      <x:c r="AB51" s="9" t="str">
        <x:v>closest</x:v>
      </x:c>
      <x:c r="AC51" s="9"/>
      <x:c r="AD51" s="9"/>
      <x:c r="AE51" s="9"/>
      <x:c r="AF51" s="9"/>
      <x:c r="AG51" s="9" t="str">
        <x:v>pencil sharpener</x:v>
      </x:c>
      <x:c r="AH51" s="9"/>
      <x:c r="AI51" s="11"/>
      <x:c r="AJ51" s="9"/>
      <x:c r="AK51" s="9" t="str">
        <x:v>Eval_Referential_Disambiguation.xlsm</x:v>
      </x:c>
      <x:c r="AL51" s="9" t="str">
        <x:v>VLA0 Results</x:v>
      </x:c>
      <x:c r="AM51" s="9" t="n">
        <x:v>9</x:v>
      </x:c>
      <x:c r="AN51" s="9" t="n">
        <x:v>9</x:v>
      </x:c>
    </x:row>
    <x:row r="52">
      <x:c r="A52" s="9" t="str">
        <x:v>Failure</x:v>
      </x:c>
      <x:c r="B52" s="9" t="str">
        <x:v>Referential Disambiguation</x:v>
      </x:c>
      <x:c r="C52" s="10" t="n">
        <x:v>8</x:v>
      </x:c>
      <x:c r="D52" s="9" t="str">
        <x:v>Pick up the pencil sharpener furthest from the yellow pen and place it in the bowl.</x:v>
      </x:c>
      <x:c r="E52" s="9" t="str">
        <x:v>green pencil sharpener; red pencil sharpener; yellow pen; airplane toy without propellers</x:v>
      </x:c>
      <x:c r="F52" s="9" t="str">
        <x:v>green pencil sharpener</x:v>
      </x:c>
      <x:c r="G52" s="9" t="str">
        <x:v>went towards teh yellow pen, but couldn't grip it</x:v>
      </x:c>
      <x:c r="H52" s="9" t="str">
        <x:v>In-distribution concept baseline</x:v>
      </x:c>
      <x:c r="I52" s="9" t="str">
        <x:v>RD-ID09</x:v>
      </x:c>
      <x:c r="J52" s="9" t="str">
        <x:v>Exact training-supported relation × candidate-category baseline</x:v>
      </x:c>
      <x:c r="K52" s="9"/>
      <x:c r="L52" s="9" t="str">
        <x:v>466</x:v>
      </x:c>
      <x:c r="M52" s="9" t="str">
        <x:v>Exact manifest cell: prompt, relation × candidate-category combination, target identity, and object membership are explicitly represented in training; physical positions are manually recreated with a clear margin.</x:v>
      </x:c>
      <x:c r="N52" s="9" t="n">
        <x:v>1</x:v>
      </x:c>
      <x:c r="O52" s="9" t="str">
        <x:v>Place the 4 listed objects. Arrange Expected Target as the unique answer to the prompt; keep the bowl empty.</x:v>
      </x:c>
      <x:c r="P52" s="9" t="str">
        <x:v>The relation, candidate category, target identity, and object membership occur together in the cited training episode.</x:v>
      </x:c>
      <x:c r="Q52" s="9"/>
      <x:c r="R52" s="10" t="n">
        <x:v>4</x:v>
      </x:c>
      <x:c r="S52" s="10" t="n">
        <x:v>1</x:v>
      </x:c>
      <x:c r="T52" s="9" t="str">
        <x:v>Empty</x:v>
      </x:c>
      <x:c r="U52" s="9"/>
      <x:c r="V52" s="9"/>
      <x:c r="W52" s="9"/>
      <x:c r="X52" s="10"/>
      <x:c r="Y52" s="10"/>
      <x:c r="Z52" s="9"/>
      <x:c r="AA52" s="9"/>
      <x:c r="AB52" s="9" t="str">
        <x:v>furthest</x:v>
      </x:c>
      <x:c r="AC52" s="9"/>
      <x:c r="AD52" s="9"/>
      <x:c r="AE52" s="9"/>
      <x:c r="AF52" s="9"/>
      <x:c r="AG52" s="9" t="str">
        <x:v>pencil sharpener</x:v>
      </x:c>
      <x:c r="AH52" s="9"/>
      <x:c r="AI52" s="11"/>
      <x:c r="AJ52" s="9"/>
      <x:c r="AK52" s="9" t="str">
        <x:v>Eval_Referential_Disambiguation.xlsm</x:v>
      </x:c>
      <x:c r="AL52" s="9" t="str">
        <x:v>VLA0 Results</x:v>
      </x:c>
      <x:c r="AM52" s="9" t="n">
        <x:v>10</x:v>
      </x:c>
      <x:c r="AN52" s="9" t="n">
        <x:v>10</x:v>
      </x:c>
    </x:row>
    <x:row r="53">
      <x:c r="A53" s="9" t="str">
        <x:v>Failure</x:v>
      </x:c>
      <x:c r="B53" s="9" t="str">
        <x:v>Referential Disambiguation</x:v>
      </x:c>
      <x:c r="C53" s="10" t="n">
        <x:v>9</x:v>
      </x:c>
      <x:c r="D53" s="9" t="str">
        <x:v>Pick up the pencil sharpener furthest from the green pen and place it in the bowl.</x:v>
      </x:c>
      <x:c r="E53" s="9" t="str">
        <x:v>green pencil sharpener; red pencil sharpener; green pen</x:v>
      </x:c>
      <x:c r="F53" s="9" t="str">
        <x:v>red pencil sharpener</x:v>
      </x:c>
      <x:c r="G53" s="9" t="str">
        <x:v>went for the red pencil sharpener; couldn't pick up</x:v>
      </x:c>
      <x:c r="H53" s="9" t="str">
        <x:v>In-distribution concept baseline</x:v>
      </x:c>
      <x:c r="I53" s="9" t="str">
        <x:v>RD-ID10</x:v>
      </x:c>
      <x:c r="J53" s="9" t="str">
        <x:v>Exact training-supported relation × candidate-category baseline</x:v>
      </x:c>
      <x:c r="K53" s="9"/>
      <x:c r="L53" s="9" t="str">
        <x:v>465</x:v>
      </x:c>
      <x:c r="M53" s="9" t="str">
        <x:v>Exact manifest cell: prompt, relation × candidate-category combination, target identity, and object membership are explicitly represented in training; physical positions are manually recreated with a clear margin.</x:v>
      </x:c>
      <x:c r="N53" s="9" t="n">
        <x:v>1</x:v>
      </x:c>
      <x:c r="O53" s="9" t="str">
        <x:v>Place the 3 listed objects. Arrange Expected Target as the unique answer to the prompt; keep the bowl empty.</x:v>
      </x:c>
      <x:c r="P53" s="9" t="str">
        <x:v>The relation, candidate category, target identity, and object membership occur together in the cited training episode.</x:v>
      </x:c>
      <x:c r="Q53" s="9"/>
      <x:c r="R53" s="10" t="n">
        <x:v>3</x:v>
      </x:c>
      <x:c r="S53" s="10" t="n">
        <x:v>1</x:v>
      </x:c>
      <x:c r="T53" s="9" t="str">
        <x:v>Empty</x:v>
      </x:c>
      <x:c r="U53" s="9"/>
      <x:c r="V53" s="9"/>
      <x:c r="W53" s="9"/>
      <x:c r="X53" s="10"/>
      <x:c r="Y53" s="10"/>
      <x:c r="Z53" s="9"/>
      <x:c r="AA53" s="9"/>
      <x:c r="AB53" s="9" t="str">
        <x:v>furthest</x:v>
      </x:c>
      <x:c r="AC53" s="9"/>
      <x:c r="AD53" s="9"/>
      <x:c r="AE53" s="9"/>
      <x:c r="AF53" s="9"/>
      <x:c r="AG53" s="9" t="str">
        <x:v>pencil sharpener</x:v>
      </x:c>
      <x:c r="AH53" s="9"/>
      <x:c r="AI53" s="11"/>
      <x:c r="AJ53" s="9"/>
      <x:c r="AK53" s="9" t="str">
        <x:v>Eval_Referential_Disambiguation.xlsm</x:v>
      </x:c>
      <x:c r="AL53" s="9" t="str">
        <x:v>VLA0 Results</x:v>
      </x:c>
      <x:c r="AM53" s="9" t="n">
        <x:v>11</x:v>
      </x:c>
      <x:c r="AN53" s="9" t="n">
        <x:v>11</x:v>
      </x:c>
    </x:row>
    <x:row r="54">
      <x:c r="A54" s="9" t="str">
        <x:v>Failure</x:v>
      </x:c>
      <x:c r="B54" s="9" t="str">
        <x:v>Size Recognition</x:v>
      </x:c>
      <x:c r="C54" s="10" t="n">
        <x:v>0</x:v>
      </x:c>
      <x:c r="D54" s="9" t="str">
        <x:v>Move the object that is smallest into the bowl.</x:v>
      </x:c>
      <x:c r="E54" s="9" t="str">
        <x:v>Bowl: empty. Table, robot-left→robot-right: P1 red pencil sharpener; P2 green block; P3 juggling ball; P4 crushed Pepsi can. Adjacent centers 8 cm apart; row centered on the workspace; all objects fully visible and grasp paths clear.</x:v>
      </x:c>
      <x:c r="F54" s="9" t="str">
        <x:v>MOVE red pencil sharpener to bowl</x:v>
      </x:c>
      <x:c r="G54" s="9" t="str">
        <x:v>moved towards the red pencil sharpener, but didn't open gripper to pick it up.</x:v>
      </x:c>
      <x:c r="H54" s="9" t="str">
        <x:v>In-distribution concept baseline</x:v>
      </x:c>
      <x:c r="I54" s="9" t="str">
        <x:v>SZ-ID-SH01</x:v>
      </x:c>
      <x:c r="J54" s="9" t="str">
        <x:v>smallest</x:v>
      </x:c>
      <x:c r="K54" s="9"/>
      <x:c r="L54" s="9" t="str">
        <x:v>1005</x:v>
      </x:c>
      <x:c r="M54" s="9"/>
      <x:c r="N54" s="9"/>
      <x:c r="O54" s="9" t="str">
        <x:v>Build the listed manifest-supported scene.</x:v>
      </x:c>
      <x:c r="P54" s="9" t="str">
        <x:v>Exact prompt and object composition from training episode 1005; this establishes the familiar smallest × red pencil sharpener cell.</x:v>
      </x:c>
      <x:c r="Q54" s="9"/>
      <x:c r="R54" s="10" t="n">
        <x:v>4</x:v>
      </x:c>
      <x:c r="S54" s="10"/>
      <x:c r="T54" s="9"/>
      <x:c r="U54" s="9"/>
      <x:c r="V54" s="9"/>
      <x:c r="W54" s="9"/>
      <x:c r="X54" s="10"/>
      <x:c r="Y54" s="10"/>
      <x:c r="Z54" s="9"/>
      <x:c r="AA54" s="9"/>
      <x:c r="AB54" s="9"/>
      <x:c r="AC54" s="9"/>
      <x:c r="AD54" s="9" t="str">
        <x:v>red pencil sharpener</x:v>
      </x:c>
      <x:c r="AE54" s="9"/>
      <x:c r="AF54" s="9"/>
      <x:c r="AG54" s="9"/>
      <x:c r="AH54" s="9" t="str">
        <x:v>Left</x:v>
      </x:c>
      <x:c r="AI54" s="11" t="n">
        <x:v>8</x:v>
      </x:c>
      <x:c r="AJ54" s="9" t="str">
        <x:v>Explicitly trained smallest × red pencil sharpener</x:v>
      </x:c>
      <x:c r="AK54" s="9" t="str">
        <x:v>Eval_Size_Recognition (1).xlsm</x:v>
      </x:c>
      <x:c r="AL54" s="9" t="str">
        <x:v>VLA-0 Results</x:v>
      </x:c>
      <x:c r="AM54" s="9" t="n">
        <x:v>2</x:v>
      </x:c>
      <x:c r="AN54" s="9" t="n">
        <x:v>2</x:v>
      </x:c>
    </x:row>
    <x:row r="55">
      <x:c r="A55" s="9" t="str">
        <x:v>Failure</x:v>
      </x:c>
      <x:c r="B55" s="9" t="str">
        <x:v>Size Recognition</x:v>
      </x:c>
      <x:c r="C55" s="10" t="n">
        <x:v>1</x:v>
      </x:c>
      <x:c r="D55" s="9" t="str">
        <x:v>Pick up the smallest item and place it in the bowl.</x:v>
      </x:c>
      <x:c r="E55" s="9" t="str">
        <x:v>Bowl: empty. Table, robot-left→robot-right: P1 crushed Pepsi can; P2 juggling ball; P3 green block. Adjacent centers 12 cm apart; row shifted 4 cm toward robot-left; all objects fully visible and grasp paths clear.</x:v>
      </x:c>
      <x:c r="F55" s="9" t="str">
        <x:v>MOVE green block to bowl</x:v>
      </x:c>
      <x:c r="G55" s="9" t="str">
        <x:v>also went towards the green block, but didn't go to the top of it; didn't open grippers properly to try and pick it up</x:v>
      </x:c>
      <x:c r="H55" s="9" t="str">
        <x:v>In-distribution concept baseline</x:v>
      </x:c>
      <x:c r="I55" s="9" t="str">
        <x:v>SZ-ID-GB01</x:v>
      </x:c>
      <x:c r="J55" s="9" t="str">
        <x:v>smallest</x:v>
      </x:c>
      <x:c r="K55" s="9"/>
      <x:c r="L55" s="9" t="str">
        <x:v>1050</x:v>
      </x:c>
      <x:c r="M55" s="9"/>
      <x:c r="N55" s="9"/>
      <x:c r="O55" s="9" t="str">
        <x:v>Build the listed manifest-supported scene.</x:v>
      </x:c>
      <x:c r="P55" s="9" t="str">
        <x:v>Exact prompt and object composition from training episode 1050; this establishes the familiar smallest × green block cell.</x:v>
      </x:c>
      <x:c r="Q55" s="9"/>
      <x:c r="R55" s="10" t="n">
        <x:v>3</x:v>
      </x:c>
      <x:c r="S55" s="10"/>
      <x:c r="T55" s="9"/>
      <x:c r="U55" s="9"/>
      <x:c r="V55" s="9"/>
      <x:c r="W55" s="9"/>
      <x:c r="X55" s="10"/>
      <x:c r="Y55" s="10"/>
      <x:c r="Z55" s="9"/>
      <x:c r="AA55" s="9"/>
      <x:c r="AB55" s="9"/>
      <x:c r="AC55" s="9"/>
      <x:c r="AD55" s="9" t="str">
        <x:v>green block</x:v>
      </x:c>
      <x:c r="AE55" s="9"/>
      <x:c r="AF55" s="9"/>
      <x:c r="AG55" s="9"/>
      <x:c r="AH55" s="9" t="str">
        <x:v>Right</x:v>
      </x:c>
      <x:c r="AI55" s="11" t="n">
        <x:v>12</x:v>
      </x:c>
      <x:c r="AJ55" s="9" t="str">
        <x:v>Explicitly trained smallest × green block</x:v>
      </x:c>
      <x:c r="AK55" s="9" t="str">
        <x:v>Eval_Size_Recognition (1).xlsm</x:v>
      </x:c>
      <x:c r="AL55" s="9" t="str">
        <x:v>VLA-0 Results</x:v>
      </x:c>
      <x:c r="AM55" s="9" t="n">
        <x:v>3</x:v>
      </x:c>
      <x:c r="AN55" s="9" t="n">
        <x:v>3</x:v>
      </x:c>
    </x:row>
    <x:row r="56">
      <x:c r="A56" s="9" t="str">
        <x:v>Failure</x:v>
      </x:c>
      <x:c r="B56" s="9" t="str">
        <x:v>Size Recognition</x:v>
      </x:c>
      <x:c r="C56" s="10" t="n">
        <x:v>2</x:v>
      </x:c>
      <x:c r="D56" s="9" t="str">
        <x:v>Put the largest object in the bowl.</x:v>
      </x:c>
      <x:c r="E56" s="9" t="str">
        <x:v>Bowl: empty. Table, robot-left→robot-right: P1 juggling ball; P2 red pencil sharpener; P3 green block. Adjacent centers 16 cm apart; row shifted 4 cm toward robot-right; all objects fully visible and grasp paths clear.</x:v>
      </x:c>
      <x:c r="F56" s="9" t="str">
        <x:v>MOVE juggling ball to bowl</x:v>
      </x:c>
      <x:c r="G56" s="9" t="str">
        <x:v>went between the red pencil sharpener and green block, but didn't pick anything up</x:v>
      </x:c>
      <x:c r="H56" s="9" t="str">
        <x:v>In-distribution concept baseline</x:v>
      </x:c>
      <x:c r="I56" s="9" t="str">
        <x:v>SZ-ID-JB01</x:v>
      </x:c>
      <x:c r="J56" s="9" t="str">
        <x:v>largest</x:v>
      </x:c>
      <x:c r="K56" s="9"/>
      <x:c r="L56" s="9" t="str">
        <x:v>1125</x:v>
      </x:c>
      <x:c r="M56" s="9"/>
      <x:c r="N56" s="9"/>
      <x:c r="O56" s="9" t="str">
        <x:v>Build the listed manifest-supported scene.</x:v>
      </x:c>
      <x:c r="P56" s="9" t="str">
        <x:v>Exact prompt and object composition from training episode 1125; this establishes the familiar largest × juggling ball cell.</x:v>
      </x:c>
      <x:c r="Q56" s="9"/>
      <x:c r="R56" s="10" t="n">
        <x:v>3</x:v>
      </x:c>
      <x:c r="S56" s="10"/>
      <x:c r="T56" s="9"/>
      <x:c r="U56" s="9"/>
      <x:c r="V56" s="9"/>
      <x:c r="W56" s="9"/>
      <x:c r="X56" s="10"/>
      <x:c r="Y56" s="10"/>
      <x:c r="Z56" s="9"/>
      <x:c r="AA56" s="9"/>
      <x:c r="AB56" s="9"/>
      <x:c r="AC56" s="9"/>
      <x:c r="AD56" s="9" t="str">
        <x:v>juggling ball</x:v>
      </x:c>
      <x:c r="AE56" s="9"/>
      <x:c r="AF56" s="9"/>
      <x:c r="AG56" s="9"/>
      <x:c r="AH56" s="9" t="str">
        <x:v>Left</x:v>
      </x:c>
      <x:c r="AI56" s="11" t="n">
        <x:v>16</x:v>
      </x:c>
      <x:c r="AJ56" s="9" t="str">
        <x:v>Explicitly trained largest × juggling ball</x:v>
      </x:c>
      <x:c r="AK56" s="9" t="str">
        <x:v>Eval_Size_Recognition (1).xlsm</x:v>
      </x:c>
      <x:c r="AL56" s="9" t="str">
        <x:v>VLA-0 Results</x:v>
      </x:c>
      <x:c r="AM56" s="9" t="n">
        <x:v>4</x:v>
      </x:c>
      <x:c r="AN56" s="9" t="n">
        <x:v>4</x:v>
      </x:c>
    </x:row>
    <x:row r="57">
      <x:c r="A57" s="9" t="str">
        <x:v>Failure</x:v>
      </x:c>
      <x:c r="B57" s="9" t="str">
        <x:v>Size Recognition</x:v>
      </x:c>
      <x:c r="C57" s="10" t="n">
        <x:v>3</x:v>
      </x:c>
      <x:c r="D57" s="9" t="str">
        <x:v>Pick up the largest item and place it in the bowl.</x:v>
      </x:c>
      <x:c r="E57" s="9" t="str">
        <x:v>Bowl: empty. Table, robot-left→robot-right: P1 red pencil sharpener; P2 green block; P3 juggling ball; P4 crushed Pepsi can. Adjacent centers 8 cm apart; row shifted 4 cm toward the robot; all objects fully visible and grasp paths clear.</x:v>
      </x:c>
      <x:c r="F57" s="9" t="str">
        <x:v>MOVE crushed Pepsi can to bowl</x:v>
      </x:c>
      <x:c r="G57" s="9" t="str">
        <x:v>went into the gripping strategy for the can, but didn't open the gripper to pick it up</x:v>
      </x:c>
      <x:c r="H57" s="9" t="str">
        <x:v>In-distribution concept baseline</x:v>
      </x:c>
      <x:c r="I57" s="9" t="str">
        <x:v>SZ-ID-PC01</x:v>
      </x:c>
      <x:c r="J57" s="9" t="str">
        <x:v>largest</x:v>
      </x:c>
      <x:c r="K57" s="9"/>
      <x:c r="L57" s="9" t="str">
        <x:v>1155</x:v>
      </x:c>
      <x:c r="M57" s="9"/>
      <x:c r="N57" s="9"/>
      <x:c r="O57" s="9" t="str">
        <x:v>Build the listed manifest-supported scene.</x:v>
      </x:c>
      <x:c r="P57" s="9" t="str">
        <x:v>Exact prompt and object composition from training episode 1155; this establishes the familiar largest × crushed Pepsi can cell.</x:v>
      </x:c>
      <x:c r="Q57" s="9"/>
      <x:c r="R57" s="10" t="n">
        <x:v>4</x:v>
      </x:c>
      <x:c r="S57" s="10"/>
      <x:c r="T57" s="9"/>
      <x:c r="U57" s="9"/>
      <x:c r="V57" s="9"/>
      <x:c r="W57" s="9"/>
      <x:c r="X57" s="10"/>
      <x:c r="Y57" s="10"/>
      <x:c r="Z57" s="9"/>
      <x:c r="AA57" s="9"/>
      <x:c r="AB57" s="9"/>
      <x:c r="AC57" s="9"/>
      <x:c r="AD57" s="9" t="str">
        <x:v>crushed Pepsi can</x:v>
      </x:c>
      <x:c r="AE57" s="9"/>
      <x:c r="AF57" s="9"/>
      <x:c r="AG57" s="9"/>
      <x:c r="AH57" s="9" t="str">
        <x:v>Right</x:v>
      </x:c>
      <x:c r="AI57" s="11" t="n">
        <x:v>8</x:v>
      </x:c>
      <x:c r="AJ57" s="9" t="str">
        <x:v>Explicitly trained largest × crushed Pepsi can</x:v>
      </x:c>
      <x:c r="AK57" s="9" t="str">
        <x:v>Eval_Size_Recognition (1).xlsm</x:v>
      </x:c>
      <x:c r="AL57" s="9" t="str">
        <x:v>VLA-0 Results</x:v>
      </x:c>
      <x:c r="AM57" s="9" t="n">
        <x:v>5</x:v>
      </x:c>
      <x:c r="AN57" s="9" t="n">
        <x:v>5</x:v>
      </x:c>
    </x:row>
    <x:row r="58">
      <x:c r="A58" s="9" t="str">
        <x:v>Failure</x:v>
      </x:c>
      <x:c r="B58" s="9" t="str">
        <x:v>Size Recognition</x:v>
      </x:c>
      <x:c r="C58" s="10" t="n">
        <x:v>4</x:v>
      </x:c>
      <x:c r="D58" s="9" t="str">
        <x:v>Pick up the smallest item and place it in the bowl.</x:v>
      </x:c>
      <x:c r="E58" s="9" t="str">
        <x:v>Bowl: empty. Table, robot-left→robot-right: P1 juggling ball; P2 crushed Pepsi can; P3 green block; P4 red pencil sharpener. Adjacent centers 12 cm apart; row shifted 4 cm toward robot-left; all objects fully visible and grasp paths clear.</x:v>
      </x:c>
      <x:c r="F58" s="9" t="str">
        <x:v>MOVE red pencil sharpener to bowl</x:v>
      </x:c>
      <x:c r="G58" s="9" t="str">
        <x:v>went to pepsi can, but with non soda can gripping strategy</x:v>
      </x:c>
      <x:c r="H58" s="9" t="str">
        <x:v>In-distribution concept baseline</x:v>
      </x:c>
      <x:c r="I58" s="9" t="str">
        <x:v>SZ-ID-SH02</x:v>
      </x:c>
      <x:c r="J58" s="9" t="str">
        <x:v>smallest</x:v>
      </x:c>
      <x:c r="K58" s="9"/>
      <x:c r="L58" s="9" t="str">
        <x:v>1006</x:v>
      </x:c>
      <x:c r="M58" s="9"/>
      <x:c r="N58" s="9"/>
      <x:c r="O58" s="9" t="str">
        <x:v>Build the listed manifest-supported scene.</x:v>
      </x:c>
      <x:c r="P58" s="9" t="str">
        <x:v>Exact prompt and object composition from training episode 1006; this establishes the familiar smallest × red pencil sharpener cell.</x:v>
      </x:c>
      <x:c r="Q58" s="9"/>
      <x:c r="R58" s="10" t="n">
        <x:v>4</x:v>
      </x:c>
      <x:c r="S58" s="10"/>
      <x:c r="T58" s="9"/>
      <x:c r="U58" s="9"/>
      <x:c r="V58" s="9"/>
      <x:c r="W58" s="9"/>
      <x:c r="X58" s="10"/>
      <x:c r="Y58" s="10"/>
      <x:c r="Z58" s="9"/>
      <x:c r="AA58" s="9"/>
      <x:c r="AB58" s="9"/>
      <x:c r="AC58" s="9"/>
      <x:c r="AD58" s="9" t="str">
        <x:v>red pencil sharpener</x:v>
      </x:c>
      <x:c r="AE58" s="9"/>
      <x:c r="AF58" s="9"/>
      <x:c r="AG58" s="9"/>
      <x:c r="AH58" s="9" t="str">
        <x:v>Right</x:v>
      </x:c>
      <x:c r="AI58" s="11" t="n">
        <x:v>12</x:v>
      </x:c>
      <x:c r="AJ58" s="9" t="str">
        <x:v>Explicitly trained smallest × red pencil sharpener</x:v>
      </x:c>
      <x:c r="AK58" s="9" t="str">
        <x:v>Eval_Size_Recognition (1).xlsm</x:v>
      </x:c>
      <x:c r="AL58" s="9" t="str">
        <x:v>VLA-0 Results</x:v>
      </x:c>
      <x:c r="AM58" s="9" t="n">
        <x:v>6</x:v>
      </x:c>
      <x:c r="AN58" s="9" t="n">
        <x:v>6</x:v>
      </x:c>
    </x:row>
    <x:row r="59">
      <x:c r="A59" s="9" t="str">
        <x:v>Failure</x:v>
      </x:c>
      <x:c r="B59" s="9" t="str">
        <x:v>Size Recognition</x:v>
      </x:c>
      <x:c r="C59" s="10" t="n">
        <x:v>5</x:v>
      </x:c>
      <x:c r="D59" s="9" t="str">
        <x:v>Pick up the smallest item and place it in the bowl.</x:v>
      </x:c>
      <x:c r="E59" s="9" t="str">
        <x:v>Bowl: empty. Table, robot-left→robot-right: P1 green block; P2 juggling ball; P3 crushed Pepsi can. Adjacent centers 16 cm apart; row shifted 4 cm toward robot-right; all objects fully visible and grasp paths clear.</x:v>
      </x:c>
      <x:c r="F59" s="9" t="str">
        <x:v>MOVE green block to bowl</x:v>
      </x:c>
      <x:c r="G59" s="9" t="str">
        <x:v>went to middle of workspace, but didn't grab anything</x:v>
      </x:c>
      <x:c r="H59" s="9" t="str">
        <x:v>In-distribution concept baseline</x:v>
      </x:c>
      <x:c r="I59" s="9" t="str">
        <x:v>SZ-ID-GB02</x:v>
      </x:c>
      <x:c r="J59" s="9" t="str">
        <x:v>smallest</x:v>
      </x:c>
      <x:c r="K59" s="9"/>
      <x:c r="L59" s="9" t="str">
        <x:v>1051</x:v>
      </x:c>
      <x:c r="M59" s="9"/>
      <x:c r="N59" s="9"/>
      <x:c r="O59" s="9" t="str">
        <x:v>Build the listed manifest-supported scene.</x:v>
      </x:c>
      <x:c r="P59" s="9" t="str">
        <x:v>Exact prompt and object composition from training episode 1051; this establishes the familiar smallest × green block cell.</x:v>
      </x:c>
      <x:c r="Q59" s="9"/>
      <x:c r="R59" s="10" t="n">
        <x:v>3</x:v>
      </x:c>
      <x:c r="S59" s="10"/>
      <x:c r="T59" s="9"/>
      <x:c r="U59" s="9"/>
      <x:c r="V59" s="9"/>
      <x:c r="W59" s="9"/>
      <x:c r="X59" s="10"/>
      <x:c r="Y59" s="10"/>
      <x:c r="Z59" s="9"/>
      <x:c r="AA59" s="9"/>
      <x:c r="AB59" s="9"/>
      <x:c r="AC59" s="9"/>
      <x:c r="AD59" s="9" t="str">
        <x:v>green block</x:v>
      </x:c>
      <x:c r="AE59" s="9"/>
      <x:c r="AF59" s="9"/>
      <x:c r="AG59" s="9"/>
      <x:c r="AH59" s="9" t="str">
        <x:v>Left</x:v>
      </x:c>
      <x:c r="AI59" s="11" t="n">
        <x:v>16</x:v>
      </x:c>
      <x:c r="AJ59" s="9" t="str">
        <x:v>Explicitly trained smallest × green block</x:v>
      </x:c>
      <x:c r="AK59" s="9" t="str">
        <x:v>Eval_Size_Recognition (1).xlsm</x:v>
      </x:c>
      <x:c r="AL59" s="9" t="str">
        <x:v>VLA-0 Results</x:v>
      </x:c>
      <x:c r="AM59" s="9" t="n">
        <x:v>7</x:v>
      </x:c>
      <x:c r="AN59" s="9" t="n">
        <x:v>7</x:v>
      </x:c>
    </x:row>
    <x:row r="60">
      <x:c r="A60" s="9" t="str">
        <x:v>Failure</x:v>
      </x:c>
      <x:c r="B60" s="9" t="str">
        <x:v>Size Recognition</x:v>
      </x:c>
      <x:c r="C60" s="10" t="n">
        <x:v>6</x:v>
      </x:c>
      <x:c r="D60" s="9" t="str">
        <x:v>Pick up the largest item and place it in the bowl.</x:v>
      </x:c>
      <x:c r="E60" s="9" t="str">
        <x:v>Bowl: empty. Table, robot-left→robot-right: P1 green block; P2 red pencil sharpener; P3 juggling ball. Adjacent centers 8 cm apart; row shifted 4 cm toward the robot; all objects fully visible and grasp paths clear.</x:v>
      </x:c>
      <x:c r="F60" s="9" t="str">
        <x:v>MOVE juggling ball to bowl</x:v>
      </x:c>
      <x:c r="G60" s="9" t="str">
        <x:v>did go to the juggling ball but couldn't grip it</x:v>
      </x:c>
      <x:c r="H60" s="9" t="str">
        <x:v>In-distribution concept baseline</x:v>
      </x:c>
      <x:c r="I60" s="9" t="str">
        <x:v>SZ-ID-JB02</x:v>
      </x:c>
      <x:c r="J60" s="9" t="str">
        <x:v>largest</x:v>
      </x:c>
      <x:c r="K60" s="9"/>
      <x:c r="L60" s="9" t="str">
        <x:v>1126</x:v>
      </x:c>
      <x:c r="M60" s="9"/>
      <x:c r="N60" s="9"/>
      <x:c r="O60" s="9" t="str">
        <x:v>Build the listed manifest-supported scene.</x:v>
      </x:c>
      <x:c r="P60" s="9" t="str">
        <x:v>Exact prompt and object composition from training episode 1126; this establishes the familiar largest × juggling ball cell.</x:v>
      </x:c>
      <x:c r="Q60" s="9"/>
      <x:c r="R60" s="10" t="n">
        <x:v>3</x:v>
      </x:c>
      <x:c r="S60" s="10"/>
      <x:c r="T60" s="9"/>
      <x:c r="U60" s="9"/>
      <x:c r="V60" s="9"/>
      <x:c r="W60" s="9"/>
      <x:c r="X60" s="10"/>
      <x:c r="Y60" s="10"/>
      <x:c r="Z60" s="9"/>
      <x:c r="AA60" s="9"/>
      <x:c r="AB60" s="9"/>
      <x:c r="AC60" s="9"/>
      <x:c r="AD60" s="9" t="str">
        <x:v>juggling ball</x:v>
      </x:c>
      <x:c r="AE60" s="9"/>
      <x:c r="AF60" s="9"/>
      <x:c r="AG60" s="9"/>
      <x:c r="AH60" s="9" t="str">
        <x:v>Right</x:v>
      </x:c>
      <x:c r="AI60" s="11" t="n">
        <x:v>8</x:v>
      </x:c>
      <x:c r="AJ60" s="9" t="str">
        <x:v>Explicitly trained largest × juggling ball</x:v>
      </x:c>
      <x:c r="AK60" s="9" t="str">
        <x:v>Eval_Size_Recognition (1).xlsm</x:v>
      </x:c>
      <x:c r="AL60" s="9" t="str">
        <x:v>VLA-0 Results</x:v>
      </x:c>
      <x:c r="AM60" s="9" t="n">
        <x:v>8</x:v>
      </x:c>
      <x:c r="AN60" s="9" t="n">
        <x:v>8</x:v>
      </x:c>
    </x:row>
    <x:row r="61">
      <x:c r="A61" s="9" t="str">
        <x:v>Failure</x:v>
      </x:c>
      <x:c r="B61" s="9" t="str">
        <x:v>Size Recognition</x:v>
      </x:c>
      <x:c r="C61" s="10" t="n">
        <x:v>7</x:v>
      </x:c>
      <x:c r="D61" s="9" t="str">
        <x:v>Move the object that is largest into the bowl.</x:v>
      </x:c>
      <x:c r="E61" s="9" t="str">
        <x:v>Bowl: empty. Table, robot-left→robot-right: P1 crushed Pepsi can; P2 green block; P3 juggling ball; P4 red pencil sharpener. Adjacent centers 12 cm apart; row shifted 4 cm away from the robot; all objects fully visible and grasp paths clear.</x:v>
      </x:c>
      <x:c r="F61" s="9" t="str">
        <x:v>MOVE crushed Pepsi can to bowl</x:v>
      </x:c>
      <x:c r="G61" s="9" t="str">
        <x:v>turned to juggling ball with soda can gripping strategy; didn't grip the juggling ball</x:v>
      </x:c>
      <x:c r="H61" s="9" t="str">
        <x:v>In-distribution concept baseline</x:v>
      </x:c>
      <x:c r="I61" s="9" t="str">
        <x:v>SZ-ID-PC02</x:v>
      </x:c>
      <x:c r="J61" s="9" t="str">
        <x:v>largest</x:v>
      </x:c>
      <x:c r="K61" s="9"/>
      <x:c r="L61" s="9" t="str">
        <x:v>1156</x:v>
      </x:c>
      <x:c r="M61" s="9"/>
      <x:c r="N61" s="9"/>
      <x:c r="O61" s="9" t="str">
        <x:v>Build the listed manifest-supported scene.</x:v>
      </x:c>
      <x:c r="P61" s="9" t="str">
        <x:v>Exact prompt and object composition from training episode 1156; this establishes the familiar largest × crushed Pepsi can cell.</x:v>
      </x:c>
      <x:c r="Q61" s="9"/>
      <x:c r="R61" s="10" t="n">
        <x:v>4</x:v>
      </x:c>
      <x:c r="S61" s="10"/>
      <x:c r="T61" s="9"/>
      <x:c r="U61" s="9"/>
      <x:c r="V61" s="9"/>
      <x:c r="W61" s="9"/>
      <x:c r="X61" s="10"/>
      <x:c r="Y61" s="10"/>
      <x:c r="Z61" s="9"/>
      <x:c r="AA61" s="9"/>
      <x:c r="AB61" s="9"/>
      <x:c r="AC61" s="9"/>
      <x:c r="AD61" s="9" t="str">
        <x:v>crushed Pepsi can</x:v>
      </x:c>
      <x:c r="AE61" s="9"/>
      <x:c r="AF61" s="9"/>
      <x:c r="AG61" s="9"/>
      <x:c r="AH61" s="9" t="str">
        <x:v>Left</x:v>
      </x:c>
      <x:c r="AI61" s="11" t="n">
        <x:v>12</x:v>
      </x:c>
      <x:c r="AJ61" s="9" t="str">
        <x:v>Explicitly trained largest × crushed Pepsi can</x:v>
      </x:c>
      <x:c r="AK61" s="9" t="str">
        <x:v>Eval_Size_Recognition (1).xlsm</x:v>
      </x:c>
      <x:c r="AL61" s="9" t="str">
        <x:v>VLA-0 Results</x:v>
      </x:c>
      <x:c r="AM61" s="9" t="n">
        <x:v>9</x:v>
      </x:c>
      <x:c r="AN61" s="9" t="n">
        <x:v>9</x:v>
      </x:c>
    </x:row>
    <x:row r="62">
      <x:c r="A62" s="9" t="str">
        <x:v>Failure</x:v>
      </x:c>
      <x:c r="B62" s="9" t="str">
        <x:v>Size Recognition</x:v>
      </x:c>
      <x:c r="C62" s="10" t="n">
        <x:v>8</x:v>
      </x:c>
      <x:c r="D62" s="9" t="str">
        <x:v>Move the object that is smallest into the bowl.</x:v>
      </x:c>
      <x:c r="E62" s="9" t="str">
        <x:v>Bowl: empty. Table, robot-left→robot-right: P1 red pencil sharpener; P2 crushed Pepsi can; P3 green block; P4 juggling ball. Adjacent centers 16 cm apart; row shifted 4 cm toward robot-right; all objects fully visible and grasp paths clear.</x:v>
      </x:c>
      <x:c r="F62" s="9" t="str">
        <x:v>MOVE red pencil sharpener to bowl</x:v>
      </x:c>
      <x:c r="G62" s="9" t="str">
        <x:v>kind of went for green block</x:v>
      </x:c>
      <x:c r="H62" s="9" t="str">
        <x:v>In-distribution concept baseline</x:v>
      </x:c>
      <x:c r="I62" s="9" t="str">
        <x:v>SZ-ID-SH03</x:v>
      </x:c>
      <x:c r="J62" s="9" t="str">
        <x:v>smallest</x:v>
      </x:c>
      <x:c r="K62" s="9"/>
      <x:c r="L62" s="9" t="str">
        <x:v>1007</x:v>
      </x:c>
      <x:c r="M62" s="9"/>
      <x:c r="N62" s="9"/>
      <x:c r="O62" s="9" t="str">
        <x:v>Build the listed manifest-supported scene.</x:v>
      </x:c>
      <x:c r="P62" s="9" t="str">
        <x:v>Exact prompt and object composition from training episode 1007; this establishes the familiar smallest × red pencil sharpener cell.</x:v>
      </x:c>
      <x:c r="Q62" s="9"/>
      <x:c r="R62" s="10" t="n">
        <x:v>4</x:v>
      </x:c>
      <x:c r="S62" s="10"/>
      <x:c r="T62" s="9"/>
      <x:c r="U62" s="9"/>
      <x:c r="V62" s="9"/>
      <x:c r="W62" s="9"/>
      <x:c r="X62" s="10"/>
      <x:c r="Y62" s="10"/>
      <x:c r="Z62" s="9"/>
      <x:c r="AA62" s="9"/>
      <x:c r="AB62" s="9"/>
      <x:c r="AC62" s="9"/>
      <x:c r="AD62" s="9" t="str">
        <x:v>red pencil sharpener</x:v>
      </x:c>
      <x:c r="AE62" s="9"/>
      <x:c r="AF62" s="9"/>
      <x:c r="AG62" s="9"/>
      <x:c r="AH62" s="9" t="str">
        <x:v>Left</x:v>
      </x:c>
      <x:c r="AI62" s="11" t="n">
        <x:v>16</x:v>
      </x:c>
      <x:c r="AJ62" s="9" t="str">
        <x:v>Explicitly trained smallest × red pencil sharpener</x:v>
      </x:c>
      <x:c r="AK62" s="9" t="str">
        <x:v>Eval_Size_Recognition (1).xlsm</x:v>
      </x:c>
      <x:c r="AL62" s="9" t="str">
        <x:v>VLA-0 Results</x:v>
      </x:c>
      <x:c r="AM62" s="9" t="n">
        <x:v>10</x:v>
      </x:c>
      <x:c r="AN62" s="9" t="n">
        <x:v>10</x:v>
      </x:c>
    </x:row>
    <x:row r="63">
      <x:c r="A63" s="9" t="str">
        <x:v>Failure</x:v>
      </x:c>
      <x:c r="B63" s="9" t="str">
        <x:v>Size Recognition</x:v>
      </x:c>
      <x:c r="C63" s="10" t="n">
        <x:v>9</x:v>
      </x:c>
      <x:c r="D63" s="9" t="str">
        <x:v>Put the smallest object in the bowl.</x:v>
      </x:c>
      <x:c r="E63" s="9" t="str">
        <x:v>Bowl: empty. Table, robot-left→robot-right: P1 crushed Pepsi can; P2 juggling ball; P3 green block. Adjacent centers 8 cm apart; row shifted 4 cm toward the robot; all objects fully visible and grasp paths clear.</x:v>
      </x:c>
      <x:c r="F63" s="9" t="str">
        <x:v>MOVE green block to bowl</x:v>
      </x:c>
      <x:c r="G63" s="9" t="str">
        <x:v>went to juggling ball and could not pick up</x:v>
      </x:c>
      <x:c r="H63" s="9" t="str">
        <x:v>In-distribution concept baseline</x:v>
      </x:c>
      <x:c r="I63" s="9" t="str">
        <x:v>SZ-ID-GB03</x:v>
      </x:c>
      <x:c r="J63" s="9" t="str">
        <x:v>smallest</x:v>
      </x:c>
      <x:c r="K63" s="9"/>
      <x:c r="L63" s="9" t="str">
        <x:v>1052</x:v>
      </x:c>
      <x:c r="M63" s="9"/>
      <x:c r="N63" s="9"/>
      <x:c r="O63" s="9" t="str">
        <x:v>Build the listed manifest-supported scene.</x:v>
      </x:c>
      <x:c r="P63" s="9" t="str">
        <x:v>Exact prompt and object composition from training episode 1052; this establishes the familiar smallest × green block cell.</x:v>
      </x:c>
      <x:c r="Q63" s="9"/>
      <x:c r="R63" s="10" t="n">
        <x:v>3</x:v>
      </x:c>
      <x:c r="S63" s="10"/>
      <x:c r="T63" s="9"/>
      <x:c r="U63" s="9"/>
      <x:c r="V63" s="9"/>
      <x:c r="W63" s="9"/>
      <x:c r="X63" s="10"/>
      <x:c r="Y63" s="10"/>
      <x:c r="Z63" s="9"/>
      <x:c r="AA63" s="9"/>
      <x:c r="AB63" s="9"/>
      <x:c r="AC63" s="9"/>
      <x:c r="AD63" s="9" t="str">
        <x:v>green block</x:v>
      </x:c>
      <x:c r="AE63" s="9"/>
      <x:c r="AF63" s="9"/>
      <x:c r="AG63" s="9"/>
      <x:c r="AH63" s="9" t="str">
        <x:v>Right</x:v>
      </x:c>
      <x:c r="AI63" s="11" t="n">
        <x:v>8</x:v>
      </x:c>
      <x:c r="AJ63" s="9" t="str">
        <x:v>Explicitly trained smallest × green block</x:v>
      </x:c>
      <x:c r="AK63" s="9" t="str">
        <x:v>Eval_Size_Recognition (1).xlsm</x:v>
      </x:c>
      <x:c r="AL63" s="9" t="str">
        <x:v>VLA-0 Results</x:v>
      </x:c>
      <x:c r="AM63" s="9" t="n">
        <x:v>11</x:v>
      </x:c>
      <x:c r="AN63" s="9" t="n">
        <x:v>11</x:v>
      </x:c>
    </x:row>
    <x:row r="64">
      <x:c r="A64" s="9" t="str">
        <x:v>Failure</x:v>
      </x:c>
      <x:c r="B64" s="9" t="str">
        <x:v>Size Recognition</x:v>
      </x:c>
      <x:c r="C64" s="10" t="n">
        <x:v>10</x:v>
      </x:c>
      <x:c r="D64" s="9" t="str">
        <x:v>Pick up the largest item and place it in the bowl.</x:v>
      </x:c>
      <x:c r="E64" s="9" t="str">
        <x:v>Bowl: empty. Table, robot-left→robot-right: P1 juggling ball; P2 red pencil sharpener; P3 green block. Adjacent centers 12 cm apart; row shifted 4 cm away from the robot; all objects fully visible and grasp paths clear.</x:v>
      </x:c>
      <x:c r="F64" s="9" t="str">
        <x:v>MOVE juggling ball to bowl</x:v>
      </x:c>
      <x:c r="G64" s="9" t="str">
        <x:v>went to red pencil sharpener and did not move</x:v>
      </x:c>
      <x:c r="H64" s="9" t="str">
        <x:v>In-distribution concept baseline</x:v>
      </x:c>
      <x:c r="I64" s="9" t="str">
        <x:v>SZ-ID-JB03</x:v>
      </x:c>
      <x:c r="J64" s="9" t="str">
        <x:v>largest</x:v>
      </x:c>
      <x:c r="K64" s="9"/>
      <x:c r="L64" s="9" t="str">
        <x:v>1127</x:v>
      </x:c>
      <x:c r="M64" s="9"/>
      <x:c r="N64" s="9"/>
      <x:c r="O64" s="9" t="str">
        <x:v>Build the listed manifest-supported scene.</x:v>
      </x:c>
      <x:c r="P64" s="9" t="str">
        <x:v>Exact prompt and object composition from training episode 1127; this establishes the familiar largest × juggling ball cell.</x:v>
      </x:c>
      <x:c r="Q64" s="9"/>
      <x:c r="R64" s="10" t="n">
        <x:v>3</x:v>
      </x:c>
      <x:c r="S64" s="10"/>
      <x:c r="T64" s="9"/>
      <x:c r="U64" s="9"/>
      <x:c r="V64" s="9"/>
      <x:c r="W64" s="9"/>
      <x:c r="X64" s="10"/>
      <x:c r="Y64" s="10"/>
      <x:c r="Z64" s="9"/>
      <x:c r="AA64" s="9"/>
      <x:c r="AB64" s="9"/>
      <x:c r="AC64" s="9"/>
      <x:c r="AD64" s="9" t="str">
        <x:v>juggling ball</x:v>
      </x:c>
      <x:c r="AE64" s="9"/>
      <x:c r="AF64" s="9"/>
      <x:c r="AG64" s="9"/>
      <x:c r="AH64" s="9" t="str">
        <x:v>Left</x:v>
      </x:c>
      <x:c r="AI64" s="11" t="n">
        <x:v>12</x:v>
      </x:c>
      <x:c r="AJ64" s="9" t="str">
        <x:v>Explicitly trained largest × juggling ball</x:v>
      </x:c>
      <x:c r="AK64" s="9" t="str">
        <x:v>Eval_Size_Recognition (1).xlsm</x:v>
      </x:c>
      <x:c r="AL64" s="9" t="str">
        <x:v>VLA-0 Results</x:v>
      </x:c>
      <x:c r="AM64" s="9" t="n">
        <x:v>12</x:v>
      </x:c>
      <x:c r="AN64" s="9" t="n">
        <x:v>12</x:v>
      </x:c>
    </x:row>
    <x:row r="65">
      <x:c r="A65" s="9" t="str">
        <x:v>Failure</x:v>
      </x:c>
      <x:c r="B65" s="9" t="str">
        <x:v>Size Recognition</x:v>
      </x:c>
      <x:c r="C65" s="10" t="n">
        <x:v>11</x:v>
      </x:c>
      <x:c r="D65" s="9" t="str">
        <x:v>Put the largest object in the bowl.</x:v>
      </x:c>
      <x:c r="E65" s="9" t="str">
        <x:v>Bowl: empty. Table, robot-left→robot-right: P1 juggling ball; P2 red pencil sharpener; P3 green block; P4 crushed Pepsi can. Adjacent centers 16 cm apart; row centered on the workspace; all objects fully visible and grasp paths clear.</x:v>
      </x:c>
      <x:c r="F65" s="9" t="str">
        <x:v>MOVE crushed Pepsi can to bowl</x:v>
      </x:c>
      <x:c r="G65" s="9" t="str">
        <x:v>went into the can gripping strategy but didn't get it</x:v>
      </x:c>
      <x:c r="H65" s="9" t="str">
        <x:v>In-distribution concept baseline</x:v>
      </x:c>
      <x:c r="I65" s="9" t="str">
        <x:v>SZ-ID-PC03</x:v>
      </x:c>
      <x:c r="J65" s="9" t="str">
        <x:v>largest</x:v>
      </x:c>
      <x:c r="K65" s="9"/>
      <x:c r="L65" s="9" t="str">
        <x:v>1157</x:v>
      </x:c>
      <x:c r="M65" s="9"/>
      <x:c r="N65" s="9"/>
      <x:c r="O65" s="9" t="str">
        <x:v>Build the listed manifest-supported scene.</x:v>
      </x:c>
      <x:c r="P65" s="9" t="str">
        <x:v>Exact prompt and object composition from training episode 1157; this establishes the familiar largest × crushed Pepsi can cell.</x:v>
      </x:c>
      <x:c r="Q65" s="9"/>
      <x:c r="R65" s="10" t="n">
        <x:v>4</x:v>
      </x:c>
      <x:c r="S65" s="10"/>
      <x:c r="T65" s="9"/>
      <x:c r="U65" s="9"/>
      <x:c r="V65" s="9"/>
      <x:c r="W65" s="9"/>
      <x:c r="X65" s="10"/>
      <x:c r="Y65" s="10"/>
      <x:c r="Z65" s="9"/>
      <x:c r="AA65" s="9"/>
      <x:c r="AB65" s="9"/>
      <x:c r="AC65" s="9"/>
      <x:c r="AD65" s="9" t="str">
        <x:v>crushed Pepsi can</x:v>
      </x:c>
      <x:c r="AE65" s="9"/>
      <x:c r="AF65" s="9"/>
      <x:c r="AG65" s="9"/>
      <x:c r="AH65" s="9" t="str">
        <x:v>Right</x:v>
      </x:c>
      <x:c r="AI65" s="11" t="n">
        <x:v>16</x:v>
      </x:c>
      <x:c r="AJ65" s="9" t="str">
        <x:v>Explicitly trained largest × crushed Pepsi can</x:v>
      </x:c>
      <x:c r="AK65" s="9" t="str">
        <x:v>Eval_Size_Recognition (1).xlsm</x:v>
      </x:c>
      <x:c r="AL65" s="9" t="str">
        <x:v>VLA-0 Results</x:v>
      </x:c>
      <x:c r="AM65" s="9" t="n">
        <x:v>13</x:v>
      </x:c>
      <x:c r="AN65" s="9" t="n">
        <x:v>13</x:v>
      </x:c>
    </x:row>
    <x:row r="66">
      <x:c r="A66" s="9" t="str">
        <x:v>Failure</x:v>
      </x:c>
      <x:c r="B66" s="9" t="str">
        <x:v>Size Recognition</x:v>
      </x:c>
      <x:c r="C66" s="10" t="n">
        <x:v>12</x:v>
      </x:c>
      <x:c r="D66" s="9" t="str">
        <x:v>Put the smallest object in the bowl.</x:v>
      </x:c>
      <x:c r="E66" s="9" t="str">
        <x:v>Bowl: empty. Table, robot-left→robot-right: P1 green block; P2 juggling ball; P3 crushed Pepsi can; P4 red pencil sharpener. Adjacent centers 8 cm apart; row shifted 4 cm toward the robot; all objects fully visible and grasp paths clear.</x:v>
      </x:c>
      <x:c r="F66" s="9" t="str">
        <x:v>MOVE red pencil sharpener to bowl</x:v>
      </x:c>
      <x:c r="G66" s="9"/>
      <x:c r="H66" s="9" t="str">
        <x:v>In-distribution concept baseline</x:v>
      </x:c>
      <x:c r="I66" s="9" t="str">
        <x:v>SZ-ID-SH04</x:v>
      </x:c>
      <x:c r="J66" s="9" t="str">
        <x:v>smallest</x:v>
      </x:c>
      <x:c r="K66" s="9"/>
      <x:c r="L66" s="9" t="str">
        <x:v>1008</x:v>
      </x:c>
      <x:c r="M66" s="9"/>
      <x:c r="N66" s="9"/>
      <x:c r="O66" s="9" t="str">
        <x:v>Build the listed manifest-supported scene.</x:v>
      </x:c>
      <x:c r="P66" s="9" t="str">
        <x:v>Exact prompt and object composition from training episode 1008; this establishes the familiar smallest × red pencil sharpener cell.</x:v>
      </x:c>
      <x:c r="Q66" s="9"/>
      <x:c r="R66" s="10" t="n">
        <x:v>4</x:v>
      </x:c>
      <x:c r="S66" s="10"/>
      <x:c r="T66" s="9"/>
      <x:c r="U66" s="9"/>
      <x:c r="V66" s="9"/>
      <x:c r="W66" s="9"/>
      <x:c r="X66" s="10"/>
      <x:c r="Y66" s="10"/>
      <x:c r="Z66" s="9"/>
      <x:c r="AA66" s="9"/>
      <x:c r="AB66" s="9"/>
      <x:c r="AC66" s="9"/>
      <x:c r="AD66" s="9" t="str">
        <x:v>red pencil sharpener</x:v>
      </x:c>
      <x:c r="AE66" s="9"/>
      <x:c r="AF66" s="9"/>
      <x:c r="AG66" s="9"/>
      <x:c r="AH66" s="9" t="str">
        <x:v>Right</x:v>
      </x:c>
      <x:c r="AI66" s="11" t="n">
        <x:v>8</x:v>
      </x:c>
      <x:c r="AJ66" s="9" t="str">
        <x:v>Explicitly trained smallest × red pencil sharpener</x:v>
      </x:c>
      <x:c r="AK66" s="9" t="str">
        <x:v>Eval_Size_Recognition (1).xlsm</x:v>
      </x:c>
      <x:c r="AL66" s="9" t="str">
        <x:v>VLA-0 Results</x:v>
      </x:c>
      <x:c r="AM66" s="9" t="n">
        <x:v>14</x:v>
      </x:c>
      <x:c r="AN66" s="9" t="n">
        <x:v>14</x:v>
      </x:c>
    </x:row>
    <x:row r="67">
      <x:c r="A67" s="9" t="str">
        <x:v>Failure</x:v>
      </x:c>
      <x:c r="B67" s="9" t="str">
        <x:v>Size Recognition</x:v>
      </x:c>
      <x:c r="C67" s="10" t="n">
        <x:v>13</x:v>
      </x:c>
      <x:c r="D67" s="9" t="str">
        <x:v>Put the smallest object in the bowl.</x:v>
      </x:c>
      <x:c r="E67" s="9" t="str">
        <x:v>Bowl: empty. Table, robot-left→robot-right: P1 green block; P2 juggling ball; P3 crushed Pepsi can. Adjacent centers 12 cm apart; row shifted 4 cm away from the robot; all objects fully visible and grasp paths clear.</x:v>
      </x:c>
      <x:c r="F67" s="9" t="str">
        <x:v>MOVE green block to bowl</x:v>
      </x:c>
      <x:c r="G67" s="9" t="str">
        <x:v>slowly rotated towards right but didn't do anything</x:v>
      </x:c>
      <x:c r="H67" s="9" t="str">
        <x:v>In-distribution concept baseline</x:v>
      </x:c>
      <x:c r="I67" s="9" t="str">
        <x:v>SZ-ID-GB04</x:v>
      </x:c>
      <x:c r="J67" s="9" t="str">
        <x:v>smallest</x:v>
      </x:c>
      <x:c r="K67" s="9"/>
      <x:c r="L67" s="9" t="str">
        <x:v>1053</x:v>
      </x:c>
      <x:c r="M67" s="9"/>
      <x:c r="N67" s="9"/>
      <x:c r="O67" s="9" t="str">
        <x:v>Build the listed manifest-supported scene.</x:v>
      </x:c>
      <x:c r="P67" s="9" t="str">
        <x:v>Exact prompt and object composition from training episode 1053; this establishes the familiar smallest × green block cell.</x:v>
      </x:c>
      <x:c r="Q67" s="9"/>
      <x:c r="R67" s="10" t="n">
        <x:v>3</x:v>
      </x:c>
      <x:c r="S67" s="10"/>
      <x:c r="T67" s="9"/>
      <x:c r="U67" s="9"/>
      <x:c r="V67" s="9"/>
      <x:c r="W67" s="9"/>
      <x:c r="X67" s="10"/>
      <x:c r="Y67" s="10"/>
      <x:c r="Z67" s="9"/>
      <x:c r="AA67" s="9"/>
      <x:c r="AB67" s="9"/>
      <x:c r="AC67" s="9"/>
      <x:c r="AD67" s="9" t="str">
        <x:v>green block</x:v>
      </x:c>
      <x:c r="AE67" s="9"/>
      <x:c r="AF67" s="9"/>
      <x:c r="AG67" s="9"/>
      <x:c r="AH67" s="9" t="str">
        <x:v>Left</x:v>
      </x:c>
      <x:c r="AI67" s="11" t="n">
        <x:v>12</x:v>
      </x:c>
      <x:c r="AJ67" s="9" t="str">
        <x:v>Explicitly trained smallest × green block</x:v>
      </x:c>
      <x:c r="AK67" s="9" t="str">
        <x:v>Eval_Size_Recognition (1).xlsm</x:v>
      </x:c>
      <x:c r="AL67" s="9" t="str">
        <x:v>VLA-0 Results</x:v>
      </x:c>
      <x:c r="AM67" s="9" t="n">
        <x:v>15</x:v>
      </x:c>
      <x:c r="AN67" s="9" t="n">
        <x:v>15</x:v>
      </x:c>
    </x:row>
    <x:row r="68">
      <x:c r="A68" s="9" t="str">
        <x:v>Failure</x:v>
      </x:c>
      <x:c r="B68" s="9" t="str">
        <x:v>Size Recognition</x:v>
      </x:c>
      <x:c r="C68" s="10" t="n">
        <x:v>14</x:v>
      </x:c>
      <x:c r="D68" s="9" t="str">
        <x:v>Pick up the largest item and place it in the bowl.</x:v>
      </x:c>
      <x:c r="E68" s="9" t="str">
        <x:v>Bowl: empty. Table, robot-left→robot-right: P1 green block; P2 red pencil sharpener; P3 juggling ball. Adjacent centers 16 cm apart; row centered on the workspace; all objects fully visible and grasp paths clear.</x:v>
      </x:c>
      <x:c r="F68" s="9" t="str">
        <x:v>MOVE juggling ball to bowl</x:v>
      </x:c>
      <x:c r="G68" s="9" t="str">
        <x:v>went for the green block, but couldn't grab it</x:v>
      </x:c>
      <x:c r="H68" s="9" t="str">
        <x:v>In-distribution concept baseline</x:v>
      </x:c>
      <x:c r="I68" s="9" t="str">
        <x:v>SZ-ID-JB04</x:v>
      </x:c>
      <x:c r="J68" s="9" t="str">
        <x:v>largest</x:v>
      </x:c>
      <x:c r="K68" s="9"/>
      <x:c r="L68" s="9" t="str">
        <x:v>1128</x:v>
      </x:c>
      <x:c r="M68" s="9"/>
      <x:c r="N68" s="9"/>
      <x:c r="O68" s="9" t="str">
        <x:v>Build the listed manifest-supported scene.</x:v>
      </x:c>
      <x:c r="P68" s="9" t="str">
        <x:v>Exact prompt and object composition from training episode 1128; this establishes the familiar largest × juggling ball cell.</x:v>
      </x:c>
      <x:c r="Q68" s="9"/>
      <x:c r="R68" s="10" t="n">
        <x:v>3</x:v>
      </x:c>
      <x:c r="S68" s="10"/>
      <x:c r="T68" s="9"/>
      <x:c r="U68" s="9"/>
      <x:c r="V68" s="9"/>
      <x:c r="W68" s="9"/>
      <x:c r="X68" s="10"/>
      <x:c r="Y68" s="10"/>
      <x:c r="Z68" s="9"/>
      <x:c r="AA68" s="9"/>
      <x:c r="AB68" s="9"/>
      <x:c r="AC68" s="9"/>
      <x:c r="AD68" s="9" t="str">
        <x:v>juggling ball</x:v>
      </x:c>
      <x:c r="AE68" s="9"/>
      <x:c r="AF68" s="9"/>
      <x:c r="AG68" s="9"/>
      <x:c r="AH68" s="9" t="str">
        <x:v>Right</x:v>
      </x:c>
      <x:c r="AI68" s="11" t="n">
        <x:v>16</x:v>
      </x:c>
      <x:c r="AJ68" s="9" t="str">
        <x:v>Explicitly trained largest × juggling ball</x:v>
      </x:c>
      <x:c r="AK68" s="9" t="str">
        <x:v>Eval_Size_Recognition (1).xlsm</x:v>
      </x:c>
      <x:c r="AL68" s="9" t="str">
        <x:v>VLA-0 Results</x:v>
      </x:c>
      <x:c r="AM68" s="9" t="n">
        <x:v>16</x:v>
      </x:c>
      <x:c r="AN68" s="9" t="n">
        <x:v>16</x:v>
      </x:c>
    </x:row>
    <x:row r="69">
      <x:c r="A69" s="9" t="str">
        <x:v>Failure</x:v>
      </x:c>
      <x:c r="B69" s="9" t="str">
        <x:v>Size Recognition</x:v>
      </x:c>
      <x:c r="C69" s="10" t="n">
        <x:v>15</x:v>
      </x:c>
      <x:c r="D69" s="9" t="str">
        <x:v>Put the largest object in the bowl.</x:v>
      </x:c>
      <x:c r="E69" s="9" t="str">
        <x:v>Bowl: empty. Table, robot-left→robot-right: P1 crushed Pepsi can; P2 red pencil sharpener; P3 green block; P4 juggling ball. Adjacent centers 8 cm apart; row shifted 4 cm toward robot-left; all objects fully visible and grasp paths clear.</x:v>
      </x:c>
      <x:c r="F69" s="9" t="str">
        <x:v>MOVE crushed Pepsi can to bowl</x:v>
      </x:c>
      <x:c r="G69" s="9" t="str">
        <x:v>didn't rotate far enough to the right to grab the soda can. Had the right gripping strategy but was going to pencil sharpener</x:v>
      </x:c>
      <x:c r="H69" s="9" t="str">
        <x:v>In-distribution concept baseline</x:v>
      </x:c>
      <x:c r="I69" s="9" t="str">
        <x:v>SZ-ID-PC04</x:v>
      </x:c>
      <x:c r="J69" s="9" t="str">
        <x:v>largest</x:v>
      </x:c>
      <x:c r="K69" s="9"/>
      <x:c r="L69" s="9" t="str">
        <x:v>1158</x:v>
      </x:c>
      <x:c r="M69" s="9"/>
      <x:c r="N69" s="9"/>
      <x:c r="O69" s="9" t="str">
        <x:v>Build the listed manifest-supported scene.</x:v>
      </x:c>
      <x:c r="P69" s="9" t="str">
        <x:v>Exact prompt and object composition from training episode 1158; this establishes the familiar largest × crushed Pepsi can cell.</x:v>
      </x:c>
      <x:c r="Q69" s="9"/>
      <x:c r="R69" s="10" t="n">
        <x:v>4</x:v>
      </x:c>
      <x:c r="S69" s="10"/>
      <x:c r="T69" s="9"/>
      <x:c r="U69" s="9"/>
      <x:c r="V69" s="9"/>
      <x:c r="W69" s="9"/>
      <x:c r="X69" s="10"/>
      <x:c r="Y69" s="10"/>
      <x:c r="Z69" s="9"/>
      <x:c r="AA69" s="9"/>
      <x:c r="AB69" s="9"/>
      <x:c r="AC69" s="9"/>
      <x:c r="AD69" s="9" t="str">
        <x:v>crushed Pepsi can</x:v>
      </x:c>
      <x:c r="AE69" s="9"/>
      <x:c r="AF69" s="9"/>
      <x:c r="AG69" s="9"/>
      <x:c r="AH69" s="9" t="str">
        <x:v>Left</x:v>
      </x:c>
      <x:c r="AI69" s="11" t="n">
        <x:v>8</x:v>
      </x:c>
      <x:c r="AJ69" s="9" t="str">
        <x:v>Explicitly trained largest × crushed Pepsi can</x:v>
      </x:c>
      <x:c r="AK69" s="9" t="str">
        <x:v>Eval_Size_Recognition (1).xlsm</x:v>
      </x:c>
      <x:c r="AL69" s="9" t="str">
        <x:v>VLA-0 Results</x:v>
      </x:c>
      <x:c r="AM69" s="9" t="n">
        <x:v>17</x:v>
      </x:c>
      <x:c r="AN69" s="9" t="n">
        <x:v>17</x:v>
      </x:c>
    </x:row>
    <x:row r="70">
      <x:c r="A70" s="9" t="str">
        <x:v>Failure</x:v>
      </x:c>
      <x:c r="B70" s="9" t="str">
        <x:v>Size Recognition</x:v>
      </x:c>
      <x:c r="C70" s="10" t="n">
        <x:v>16</x:v>
      </x:c>
      <x:c r="D70" s="9" t="str">
        <x:v>Move the object that is smallest into the bowl.</x:v>
      </x:c>
      <x:c r="E70" s="9" t="str">
        <x:v>Bowl: empty. Table, robot-left→robot-right: P1 red pencil sharpener; P2 juggling ball; P3 crushed Pepsi can; P4 green block. Adjacent centers 12 cm apart; row shifted 4 cm away from the robot; all objects fully visible and grasp paths clear.</x:v>
      </x:c>
      <x:c r="F70" s="9" t="str">
        <x:v>MOVE red pencil sharpener to bowl</x:v>
      </x:c>
      <x:c r="G70" s="9" t="str">
        <x:v>went for juggling ball, then aggressively lifted wrist up and rolled it out of the workspace</x:v>
      </x:c>
      <x:c r="H70" s="9" t="str">
        <x:v>In-distribution concept baseline</x:v>
      </x:c>
      <x:c r="I70" s="9" t="str">
        <x:v>SZ-ID-SH05</x:v>
      </x:c>
      <x:c r="J70" s="9" t="str">
        <x:v>smallest</x:v>
      </x:c>
      <x:c r="K70" s="9"/>
      <x:c r="L70" s="9" t="str">
        <x:v>1009</x:v>
      </x:c>
      <x:c r="M70" s="9"/>
      <x:c r="N70" s="9"/>
      <x:c r="O70" s="9" t="str">
        <x:v>Build the listed manifest-supported scene.</x:v>
      </x:c>
      <x:c r="P70" s="9" t="str">
        <x:v>Exact prompt and object composition from training episode 1009; this establishes the familiar smallest × red pencil sharpener cell.</x:v>
      </x:c>
      <x:c r="Q70" s="9"/>
      <x:c r="R70" s="10" t="n">
        <x:v>4</x:v>
      </x:c>
      <x:c r="S70" s="10"/>
      <x:c r="T70" s="9"/>
      <x:c r="U70" s="9"/>
      <x:c r="V70" s="9"/>
      <x:c r="W70" s="9"/>
      <x:c r="X70" s="10"/>
      <x:c r="Y70" s="10"/>
      <x:c r="Z70" s="9"/>
      <x:c r="AA70" s="9"/>
      <x:c r="AB70" s="9"/>
      <x:c r="AC70" s="9"/>
      <x:c r="AD70" s="9" t="str">
        <x:v>red pencil sharpener</x:v>
      </x:c>
      <x:c r="AE70" s="9"/>
      <x:c r="AF70" s="9"/>
      <x:c r="AG70" s="9"/>
      <x:c r="AH70" s="9" t="str">
        <x:v>Left</x:v>
      </x:c>
      <x:c r="AI70" s="11" t="n">
        <x:v>12</x:v>
      </x:c>
      <x:c r="AJ70" s="9" t="str">
        <x:v>Explicitly trained smallest × red pencil sharpener</x:v>
      </x:c>
      <x:c r="AK70" s="9" t="str">
        <x:v>Eval_Size_Recognition (1).xlsm</x:v>
      </x:c>
      <x:c r="AL70" s="9" t="str">
        <x:v>VLA-0 Results</x:v>
      </x:c>
      <x:c r="AM70" s="9" t="n">
        <x:v>18</x:v>
      </x:c>
      <x:c r="AN70" s="9" t="n">
        <x:v>18</x:v>
      </x:c>
    </x:row>
    <x:row r="71">
      <x:c r="A71" s="9" t="str">
        <x:v>Failure</x:v>
      </x:c>
      <x:c r="B71" s="9" t="str">
        <x:v>Size Recognition</x:v>
      </x:c>
      <x:c r="C71" s="10" t="n">
        <x:v>17</x:v>
      </x:c>
      <x:c r="D71" s="9" t="str">
        <x:v>Put the smallest object in the bowl.</x:v>
      </x:c>
      <x:c r="E71" s="9" t="str">
        <x:v>Bowl: empty. Table, robot-left→robot-right: P1 crushed Pepsi can; P2 juggling ball; P3 green block. Adjacent centers 16 cm apart; row centered on the workspace; all objects fully visible and grasp paths clear.</x:v>
      </x:c>
      <x:c r="F71" s="9" t="str">
        <x:v>MOVE green block to bowl</x:v>
      </x:c>
      <x:c r="G71" s="9" t="str">
        <x:v>moved to the green block, but didn't open up the gripper to pick it up </x:v>
      </x:c>
      <x:c r="H71" s="9" t="str">
        <x:v>In-distribution concept baseline</x:v>
      </x:c>
      <x:c r="I71" s="9" t="str">
        <x:v>SZ-ID-GB05</x:v>
      </x:c>
      <x:c r="J71" s="9" t="str">
        <x:v>smallest</x:v>
      </x:c>
      <x:c r="K71" s="9"/>
      <x:c r="L71" s="9" t="str">
        <x:v>1054</x:v>
      </x:c>
      <x:c r="M71" s="9"/>
      <x:c r="N71" s="9"/>
      <x:c r="O71" s="9" t="str">
        <x:v>Build the listed manifest-supported scene.</x:v>
      </x:c>
      <x:c r="P71" s="9" t="str">
        <x:v>Exact prompt and object composition from training episode 1054; this establishes the familiar smallest × green block cell.</x:v>
      </x:c>
      <x:c r="Q71" s="9"/>
      <x:c r="R71" s="10" t="n">
        <x:v>3</x:v>
      </x:c>
      <x:c r="S71" s="10"/>
      <x:c r="T71" s="9"/>
      <x:c r="U71" s="9"/>
      <x:c r="V71" s="9"/>
      <x:c r="W71" s="9"/>
      <x:c r="X71" s="10"/>
      <x:c r="Y71" s="10"/>
      <x:c r="Z71" s="9"/>
      <x:c r="AA71" s="9"/>
      <x:c r="AB71" s="9"/>
      <x:c r="AC71" s="9"/>
      <x:c r="AD71" s="9" t="str">
        <x:v>green block</x:v>
      </x:c>
      <x:c r="AE71" s="9"/>
      <x:c r="AF71" s="9"/>
      <x:c r="AG71" s="9"/>
      <x:c r="AH71" s="9" t="str">
        <x:v>Right</x:v>
      </x:c>
      <x:c r="AI71" s="11" t="n">
        <x:v>16</x:v>
      </x:c>
      <x:c r="AJ71" s="9" t="str">
        <x:v>Explicitly trained smallest × green block</x:v>
      </x:c>
      <x:c r="AK71" s="9" t="str">
        <x:v>Eval_Size_Recognition (1).xlsm</x:v>
      </x:c>
      <x:c r="AL71" s="9" t="str">
        <x:v>VLA-0 Results</x:v>
      </x:c>
      <x:c r="AM71" s="9" t="n">
        <x:v>19</x:v>
      </x:c>
      <x:c r="AN71" s="9" t="n">
        <x:v>19</x:v>
      </x:c>
    </x:row>
    <x:row r="72">
      <x:c r="A72" s="9" t="str">
        <x:v>Failure</x:v>
      </x:c>
      <x:c r="B72" s="9" t="str">
        <x:v>Size Recognition</x:v>
      </x:c>
      <x:c r="C72" s="10" t="n">
        <x:v>18</x:v>
      </x:c>
      <x:c r="D72" s="9" t="str">
        <x:v>Put the largest object in the bowl.</x:v>
      </x:c>
      <x:c r="E72" s="9" t="str">
        <x:v>Bowl: empty. Table, robot-left→robot-right: P1 juggling ball; P2 red pencil sharpener; P3 green block. Adjacent centers 8 cm apart; row shifted 4 cm toward robot-left; all objects fully visible and grasp paths clear.</x:v>
      </x:c>
      <x:c r="F72" s="9" t="str">
        <x:v>MOVE juggling ball to bowl</x:v>
      </x:c>
      <x:c r="G72" s="9" t="str">
        <x:v>tried to pick the red pencil sharpener and couldn't</x:v>
      </x:c>
      <x:c r="H72" s="9" t="str">
        <x:v>In-distribution concept baseline</x:v>
      </x:c>
      <x:c r="I72" s="9" t="str">
        <x:v>SZ-ID-JB05</x:v>
      </x:c>
      <x:c r="J72" s="9" t="str">
        <x:v>largest</x:v>
      </x:c>
      <x:c r="K72" s="9"/>
      <x:c r="L72" s="9" t="str">
        <x:v>1129</x:v>
      </x:c>
      <x:c r="M72" s="9"/>
      <x:c r="N72" s="9"/>
      <x:c r="O72" s="9" t="str">
        <x:v>Build the listed manifest-supported scene.</x:v>
      </x:c>
      <x:c r="P72" s="9" t="str">
        <x:v>Exact prompt and object composition from training episode 1129; this establishes the familiar largest × juggling ball cell.</x:v>
      </x:c>
      <x:c r="Q72" s="9"/>
      <x:c r="R72" s="10" t="n">
        <x:v>3</x:v>
      </x:c>
      <x:c r="S72" s="10"/>
      <x:c r="T72" s="9"/>
      <x:c r="U72" s="9"/>
      <x:c r="V72" s="9"/>
      <x:c r="W72" s="9"/>
      <x:c r="X72" s="10"/>
      <x:c r="Y72" s="10"/>
      <x:c r="Z72" s="9"/>
      <x:c r="AA72" s="9"/>
      <x:c r="AB72" s="9"/>
      <x:c r="AC72" s="9"/>
      <x:c r="AD72" s="9" t="str">
        <x:v>juggling ball</x:v>
      </x:c>
      <x:c r="AE72" s="9"/>
      <x:c r="AF72" s="9"/>
      <x:c r="AG72" s="9"/>
      <x:c r="AH72" s="9" t="str">
        <x:v>Left</x:v>
      </x:c>
      <x:c r="AI72" s="11" t="n">
        <x:v>8</x:v>
      </x:c>
      <x:c r="AJ72" s="9" t="str">
        <x:v>Explicitly trained largest × juggling ball</x:v>
      </x:c>
      <x:c r="AK72" s="9" t="str">
        <x:v>Eval_Size_Recognition (1).xlsm</x:v>
      </x:c>
      <x:c r="AL72" s="9" t="str">
        <x:v>VLA-0 Results</x:v>
      </x:c>
      <x:c r="AM72" s="9" t="n">
        <x:v>20</x:v>
      </x:c>
      <x:c r="AN72" s="9" t="n">
        <x:v>20</x:v>
      </x:c>
    </x:row>
    <x:row r="73">
      <x:c r="A73" s="9" t="str">
        <x:v>Failure</x:v>
      </x:c>
      <x:c r="B73" s="9" t="str">
        <x:v>Size Recognition</x:v>
      </x:c>
      <x:c r="C73" s="10" t="n">
        <x:v>19</x:v>
      </x:c>
      <x:c r="D73" s="9" t="str">
        <x:v>Move the object that is largest into the bowl.</x:v>
      </x:c>
      <x:c r="E73" s="9" t="str">
        <x:v>Bowl: empty. Table, robot-left→robot-right: P1 green block; P2 juggling ball; P3 red pencil sharpener; P4 crushed Pepsi can. Adjacent centers 12 cm apart; row shifted 4 cm toward robot-right; all objects fully visible and grasp paths clear.</x:v>
      </x:c>
      <x:c r="F73" s="9" t="str">
        <x:v>MOVE crushed Pepsi can to bowl</x:v>
      </x:c>
      <x:c r="G73" s="9" t="str">
        <x:v>moved between the pepsi can and juggling ball with soda can gripping technique.</x:v>
      </x:c>
      <x:c r="H73" s="9" t="str">
        <x:v>In-distribution concept baseline</x:v>
      </x:c>
      <x:c r="I73" s="9" t="str">
        <x:v>SZ-ID-PC05</x:v>
      </x:c>
      <x:c r="J73" s="9" t="str">
        <x:v>largest</x:v>
      </x:c>
      <x:c r="K73" s="9"/>
      <x:c r="L73" s="9" t="str">
        <x:v>1159</x:v>
      </x:c>
      <x:c r="M73" s="9"/>
      <x:c r="N73" s="9"/>
      <x:c r="O73" s="9" t="str">
        <x:v>Build the listed manifest-supported scene.</x:v>
      </x:c>
      <x:c r="P73" s="9" t="str">
        <x:v>Exact prompt and object composition from training episode 1159; this establishes the familiar largest × crushed Pepsi can cell.</x:v>
      </x:c>
      <x:c r="Q73" s="9"/>
      <x:c r="R73" s="10" t="n">
        <x:v>4</x:v>
      </x:c>
      <x:c r="S73" s="10"/>
      <x:c r="T73" s="9"/>
      <x:c r="U73" s="9"/>
      <x:c r="V73" s="9"/>
      <x:c r="W73" s="9"/>
      <x:c r="X73" s="10"/>
      <x:c r="Y73" s="10"/>
      <x:c r="Z73" s="9"/>
      <x:c r="AA73" s="9"/>
      <x:c r="AB73" s="9"/>
      <x:c r="AC73" s="9"/>
      <x:c r="AD73" s="9" t="str">
        <x:v>crushed Pepsi can</x:v>
      </x:c>
      <x:c r="AE73" s="9"/>
      <x:c r="AF73" s="9"/>
      <x:c r="AG73" s="9"/>
      <x:c r="AH73" s="9" t="str">
        <x:v>Right</x:v>
      </x:c>
      <x:c r="AI73" s="11" t="n">
        <x:v>12</x:v>
      </x:c>
      <x:c r="AJ73" s="9" t="str">
        <x:v>Explicitly trained largest × crushed Pepsi can</x:v>
      </x:c>
      <x:c r="AK73" s="9" t="str">
        <x:v>Eval_Size_Recognition (1).xlsm</x:v>
      </x:c>
      <x:c r="AL73" s="9" t="str">
        <x:v>VLA-0 Results</x:v>
      </x:c>
      <x:c r="AM73" s="9" t="n">
        <x:v>21</x:v>
      </x:c>
      <x:c r="AN73" s="9" t="n">
        <x:v>21</x:v>
      </x:c>
    </x:row>
  </x:sheetData>
  <x:conditionalFormatting sqref="A2:A73">
    <x:cfRule type="containsText" dxfId="0" priority="1" operator="containsText" text="Success"/>
    <x:cfRule type="containsText" dxfId="1" priority="2" operator="containsText" text="Failure"/>
  </x:conditionalFormatting>
  <x:dataValidations count="1">
    <x:dataValidation type="list" sqref="A2:A73">
      <x:formula1>"Success,Failure"</x:formula1>
    </x:dataValidation>
  </x:dataValidations>
  <x:pageMargins left="0.7" right="0.7" top="0.75" bottom="0.75" header="0.3" footer="0.3"/>
  <x:tableParts count="1">
    <x:tablePart xmlns:r="http://schemas.openxmlformats.org/officeDocument/2006/relationships" r:id="R3cfd669e995a4d3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vision only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vision only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vision only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vision only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vision only Results</x:v>
      </x:c>
      <x:c r="AM6" s="9" t="n">
        <x:v>6</x:v>
      </x:c>
      <x:c r="AN6" s="9" t="n">
        <x:v>6</x:v>
      </x:c>
    </x:row>
    <x:row r="7">
      <x:c r="A7" s="9" t="str">
        <x:v>Success</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vision only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picked upside down cup</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vision only Results</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vision only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grabbed open one and hesitated to move to bowl; after taking the open one, moved the closed one to the bowl too. IDK if this count as a success or not</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vision only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vision only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popped cap off</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vision only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vision only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vision only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vision only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vision only Results</x:v>
      </x:c>
      <x:c r="AM16" s="9" t="n">
        <x:v>16</x:v>
      </x:c>
      <x:c r="AN16" s="9" t="n">
        <x:v>16</x:v>
      </x:c>
    </x:row>
    <x:row r="17">
      <x:c r="A17" s="9" t="str">
        <x:v>Success</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vision only Results</x:v>
      </x:c>
      <x:c r="AM17" s="9" t="n">
        <x:v>17</x:v>
      </x:c>
      <x:c r="AN17" s="9" t="n">
        <x:v>17</x:v>
      </x:c>
    </x:row>
    <x:row r="18">
      <x:c r="A18" s="9" t="str">
        <x:v>Failure</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t="str">
        <x:v>picked upright cup</x:v>
      </x:c>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vision only Results</x:v>
      </x:c>
      <x:c r="AM18" s="9" t="n">
        <x:v>18</x:v>
      </x:c>
      <x:c r="AN18" s="9" t="n">
        <x:v>18</x:v>
      </x:c>
    </x:row>
    <x:row r="19">
      <x:c r="A19" s="9" t="str">
        <x:v>Success</x:v>
      </x:c>
      <x:c r="B19" s="9" t="str">
        <x:v>State Recognition</x:v>
      </x:c>
      <x:c r="C19" s="10" t="n">
        <x:v>17</x:v>
      </x:c>
      <x:c r="D19" s="9" t="str">
        <x:v>Place the upright brown cup in the bowl.</x:v>
      </x:c>
      <x:c r="E19" s="9" t="str">
        <x:v>brown cup A (C, RU); brown cup B (C, UD); glass spice container B (C, UD)</x:v>
      </x:c>
      <x:c r="F19" s="9" t="str">
        <x:v>brown cup A</x:v>
      </x:c>
      <x:c r="G19" s="9"/>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vision only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vision only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vision only Results</x:v>
      </x:c>
      <x:c r="AM21" s="9" t="n">
        <x:v>21</x:v>
      </x:c>
      <x:c r="AN21" s="9" t="n">
        <x:v>21</x:v>
      </x:c>
    </x:row>
    <x:row r="22">
      <x:c r="A22" s="9" t="str">
        <x:v>Failure</x:v>
      </x:c>
      <x:c r="B22" s="9" t="str">
        <x:v>State Recognition</x:v>
      </x:c>
      <x:c r="C22" s="10" t="n">
        <x:v>20</x:v>
      </x:c>
      <x:c r="D22" s="9" t="str">
        <x:v>Place the upside-down white cup in the bowl.</x:v>
      </x:c>
      <x:c r="E22" s="9" t="str">
        <x:v>white cup A (C, UD); white cup B (C, RU)</x:v>
      </x:c>
      <x:c r="F22" s="9" t="str">
        <x:v>white cup A</x:v>
      </x:c>
      <x:c r="G22" s="9" t="str">
        <x:v>picked upright cup</x:v>
      </x:c>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GR00T vision only Results</x:v>
      </x:c>
      <x:c r="AM22" s="9" t="n">
        <x:v>22</x:v>
      </x:c>
      <x:c r="AN22" s="9" t="n">
        <x:v>22</x:v>
      </x:c>
    </x:row>
    <x:row r="23">
      <x:c r="A23" s="9" t="str">
        <x:v>Failure</x:v>
      </x:c>
      <x:c r="B23" s="9" t="str">
        <x:v>State Recognition</x:v>
      </x:c>
      <x:c r="C23" s="10" t="n">
        <x:v>21</x:v>
      </x:c>
      <x:c r="D23" s="9" t="str">
        <x:v>Put a white cup in the bowl.</x:v>
      </x:c>
      <x:c r="E23" s="9" t="str">
        <x:v>white cup A (C, UD); yellow-white striped cup A (C, RU)</x:v>
      </x:c>
      <x:c r="F23" s="9" t="str">
        <x:v>white cup A</x:v>
      </x:c>
      <x:c r="G23" s="9" t="str">
        <x:v>didn't move</x:v>
      </x:c>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GR00T vision only Results</x:v>
      </x:c>
      <x:c r="AM23" s="9" t="n">
        <x:v>23</x:v>
      </x:c>
      <x:c r="AN23" s="9" t="n">
        <x:v>23</x:v>
      </x:c>
    </x:row>
    <x:row r="24">
      <x:c r="A24" s="9" t="str">
        <x:v>Failure</x:v>
      </x:c>
      <x:c r="B24" s="9" t="str">
        <x:v>State Recognition</x:v>
      </x:c>
      <x:c r="C24" s="10" t="n">
        <x:v>22</x:v>
      </x:c>
      <x:c r="D24" s="9" t="str">
        <x:v>Move the inverted white cup into the bowl.</x:v>
      </x:c>
      <x:c r="E24" s="9" t="str">
        <x:v>white cup A (C, UD); white cup B (C, RU)</x:v>
      </x:c>
      <x:c r="F24" s="9" t="str">
        <x:v>white cup A</x:v>
      </x:c>
      <x:c r="G24" s="9" t="str">
        <x:v>picked upright cup</x:v>
      </x:c>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GR00T vision only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GR00T vision only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GR00T vision only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GR00T vision only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GR00T vision only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GR00T vision only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picked upside down container</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GR00T vision only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GR00T vision only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picked upside down container</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GR00T vision only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GR00T vision only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GR00T vision only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GR00T vision only Results</x:v>
      </x:c>
      <x:c r="AM35" s="9" t="n">
        <x:v>35</x:v>
      </x:c>
      <x:c r="AN35" s="9" t="n">
        <x:v>35</x:v>
      </x:c>
    </x:row>
    <x:row r="36">
      <x:c r="A36" s="9" t="str">
        <x:v>Success</x:v>
      </x:c>
      <x:c r="B36" s="9" t="str">
        <x:v>State Recognition</x:v>
      </x:c>
      <x:c r="C36" s="10" t="n">
        <x:v>34</x:v>
      </x:c>
      <x:c r="D36" s="9" t="str">
        <x:v>Move the inverted white cup into the bowl.</x:v>
      </x:c>
      <x:c r="E36" s="9" t="str">
        <x:v>white cup A (O, UD); white cup B (O, RU); brown cup A (C, RU)</x:v>
      </x:c>
      <x:c r="F36" s="9" t="str">
        <x:v>white cup A</x:v>
      </x:c>
      <x:c r="G36" s="9"/>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GR00T vision only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GR00T vision only Results</x:v>
      </x:c>
      <x:c r="AM37" s="9" t="n">
        <x:v>37</x:v>
      </x:c>
      <x:c r="AN37" s="9" t="n">
        <x:v>37</x:v>
      </x:c>
    </x:row>
    <x:row r="38">
      <x:c r="A38" s="9" t="str">
        <x:v>Success</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GR00T vision only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GR00T vision only Results</x:v>
      </x:c>
      <x:c r="AM39" s="9" t="n">
        <x:v>39</x:v>
      </x:c>
      <x:c r="AN39" s="9" t="n">
        <x:v>39</x:v>
      </x:c>
    </x:row>
    <x:row r="40">
      <x:c r="A40" s="9" t="str">
        <x:v>Failure</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t="str">
        <x:v>got open cup</x:v>
      </x:c>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GR00T vision only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GR00T vision only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picked closed striped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GR00T vision only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GR00T vision only Results</x:v>
      </x:c>
      <x:c r="AM43" s="9" t="n">
        <x:v>43</x:v>
      </x:c>
      <x:c r="AN43" s="9" t="n">
        <x:v>43</x:v>
      </x:c>
    </x:row>
    <x:row r="44">
      <x:c r="A44" s="9" t="str">
        <x:v>Failure</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t="str">
        <x:v>picked closed striped cup</x:v>
      </x:c>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GR00T vision only Results</x:v>
      </x:c>
      <x:c r="AM44" s="9" t="n">
        <x:v>44</x:v>
      </x:c>
      <x:c r="AN44" s="9" t="n">
        <x:v>44</x:v>
      </x:c>
    </x:row>
    <x:row r="45">
      <x:c r="A45" s="9" t="str">
        <x:v>Failure</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t="str">
        <x:v>picked brown cup</x:v>
      </x:c>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GR00T vision only Results</x:v>
      </x:c>
      <x:c r="AM45" s="9" t="n">
        <x:v>45</x:v>
      </x:c>
      <x:c r="AN45" s="9" t="n">
        <x:v>45</x:v>
      </x:c>
    </x:row>
    <x:row r="46">
      <x:c r="A46" s="9" t="str">
        <x:v>Failure</x:v>
      </x:c>
      <x:c r="B46" s="9" t="str">
        <x:v>State Recognition</x:v>
      </x:c>
      <x:c r="C46" s="10" t="n">
        <x:v>44</x:v>
      </x:c>
      <x:c r="D46" s="9" t="str">
        <x:v>Place the closed brown cup in the bowl.</x:v>
      </x:c>
      <x:c r="E46" s="9" t="str">
        <x:v>brown cup A (C, RU); brown cup B (O, RU)</x:v>
      </x:c>
      <x:c r="F46" s="9" t="str">
        <x:v>brown cup A</x:v>
      </x:c>
      <x:c r="G46" s="9" t="str">
        <x:v>picked open cup</x:v>
      </x:c>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GR00T vision only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GR00T vision only Results</x:v>
      </x:c>
      <x:c r="AM47" s="9" t="n">
        <x:v>47</x:v>
      </x:c>
      <x:c r="AN47" s="9" t="n">
        <x:v>47</x:v>
      </x:c>
    </x:row>
    <x:row r="48">
      <x:c r="A48" s="9" t="str">
        <x:v>Failure</x:v>
      </x:c>
      <x:c r="B48" s="9" t="str">
        <x:v>State Recognition</x:v>
      </x:c>
      <x:c r="C48" s="10" t="n">
        <x:v>46</x:v>
      </x:c>
      <x:c r="D48" s="9" t="str">
        <x:v>Move the brown cup whose opening is covered into the bowl.</x:v>
      </x:c>
      <x:c r="E48" s="9" t="str">
        <x:v>brown cup A (C, RU); brown cup B (O, RU)</x:v>
      </x:c>
      <x:c r="F48" s="9" t="str">
        <x:v>brown cup A</x:v>
      </x:c>
      <x:c r="G48" s="9" t="str">
        <x:v>picked open cup</x:v>
      </x:c>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GR00T vision only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GR00T vision only Results</x:v>
      </x:c>
      <x:c r="AM49" s="9" t="n">
        <x:v>49</x:v>
      </x:c>
      <x:c r="AN49" s="9" t="n">
        <x:v>49</x:v>
      </x:c>
    </x:row>
    <x:row r="50">
      <x:c r="A50" s="9" t="str">
        <x:v>Failure</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t="str">
        <x:v>picked upside down container</x:v>
      </x:c>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GR00T vision only Results</x:v>
      </x:c>
      <x:c r="AM50" s="9" t="n">
        <x:v>50</x:v>
      </x:c>
      <x:c r="AN50" s="9" t="n">
        <x:v>50</x:v>
      </x:c>
    </x:row>
    <x:row r="51">
      <x:c r="A51" s="9" t="str">
        <x:v>Success</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GR00T vision only Results</x:v>
      </x:c>
      <x:c r="AM51" s="9" t="n">
        <x:v>51</x:v>
      </x:c>
      <x:c r="AN51" s="9" t="n">
        <x:v>51</x:v>
      </x:c>
    </x:row>
    <x:row r="52">
      <x:c r="A52" s="9" t="str">
        <x:v>Success</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GR00T vision only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GR00T vision only Results</x:v>
      </x:c>
      <x:c r="AM53" s="9" t="n">
        <x:v>53</x:v>
      </x:c>
      <x:c r="AN53" s="9" t="n">
        <x:v>53</x:v>
      </x:c>
    </x:row>
    <x:row r="54">
      <x:c r="A54" s="9" t="str">
        <x:v>Failure</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t="str">
        <x:v>picked upright cup</x:v>
      </x:c>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GR00T vision only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t="str">
        <x:v>popped lid off</x:v>
      </x:c>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GR00T vision only Results</x:v>
      </x:c>
      <x:c r="AM55" s="9" t="n">
        <x:v>55</x:v>
      </x:c>
      <x:c r="AN55" s="9" t="n">
        <x:v>55</x:v>
      </x:c>
    </x:row>
    <x:row r="56">
      <x:c r="A56" s="9" t="str">
        <x:v>Failure</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t="str">
        <x:v>picked upright cup</x:v>
      </x:c>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GR00T vision only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GR00T vision only Results</x:v>
      </x:c>
      <x:c r="AM57" s="9" t="n">
        <x:v>57</x:v>
      </x:c>
      <x:c r="AN57" s="9" t="n">
        <x:v>57</x:v>
      </x:c>
    </x:row>
    <x:row r="58">
      <x:c r="A58" s="9" t="str">
        <x:v>Success</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GR00T vision only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GR00T vision only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GR00T vision only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GR00T vision only Results</x:v>
      </x:c>
      <x:c r="AM61" s="9" t="n">
        <x:v>61</x:v>
      </x:c>
      <x:c r="AN61" s="9" t="n">
        <x:v>61</x:v>
      </x:c>
    </x:row>
    <x:row r="62">
      <x:c r="A62" s="9" t="str">
        <x:v>Failure</x:v>
      </x:c>
      <x:c r="B62" s="9" t="str">
        <x:v>State Recognition</x:v>
      </x:c>
      <x:c r="C62" s="10" t="n">
        <x:v>60</x:v>
      </x:c>
      <x:c r="D62" s="9" t="str">
        <x:v>Place the closed brown cup in the bowl.</x:v>
      </x:c>
      <x:c r="E62" s="9" t="str">
        <x:v>brown cup A (C, RU); brown cup B (O, RU); yellow-white striped cup A (C, RU)</x:v>
      </x:c>
      <x:c r="F62" s="9" t="str">
        <x:v>brown cup A</x:v>
      </x:c>
      <x:c r="G62" s="9" t="str">
        <x:v>picked the open cup</x:v>
      </x:c>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GR00T vision only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GR00T vision only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upside down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GR00T vision only Results</x:v>
      </x:c>
      <x:c r="AM64" s="9" t="n">
        <x:v>64</x:v>
      </x:c>
      <x:c r="AN64" s="9" t="n">
        <x:v>64</x:v>
      </x:c>
    </x:row>
    <x:row r="65">
      <x:c r="A65" s="9" t="str">
        <x:v>Success</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GR00T vision only Results</x:v>
      </x:c>
      <x:c r="AM65" s="9" t="n">
        <x:v>65</x:v>
      </x:c>
      <x:c r="AN65" s="9" t="n">
        <x:v>65</x:v>
      </x:c>
    </x:row>
    <x:row r="66">
      <x:c r="A66" s="9" t="str">
        <x:v>Success</x:v>
      </x:c>
      <x:c r="B66" s="9" t="str">
        <x:v>State Recognition</x:v>
      </x:c>
      <x:c r="C66" s="10" t="n">
        <x:v>64</x:v>
      </x:c>
      <x:c r="D66" s="9" t="str">
        <x:v>Place the upside-down white cup in the bowl.</x:v>
      </x:c>
      <x:c r="E66" s="9" t="str">
        <x:v>white cup A (O, UD); white cup B (O, RU)</x:v>
      </x:c>
      <x:c r="F66" s="9" t="str">
        <x:v>white cup A</x:v>
      </x:c>
      <x:c r="G66" s="9"/>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GR00T vision only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GR00T vision only Results</x:v>
      </x:c>
      <x:c r="AM67" s="9" t="n">
        <x:v>67</x:v>
      </x:c>
      <x:c r="AN67" s="9" t="n">
        <x:v>67</x:v>
      </x:c>
    </x:row>
    <x:row r="68">
      <x:c r="A68" s="9" t="str">
        <x:v>Failure</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t="str">
        <x:v>picked closed striped cup</x:v>
      </x:c>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GR00T vision only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GR00T vision only Results</x:v>
      </x:c>
      <x:c r="AM69" s="9" t="n">
        <x:v>69</x:v>
      </x:c>
      <x:c r="AN69" s="9" t="n">
        <x:v>69</x:v>
      </x:c>
    </x:row>
    <x:row r="70">
      <x:c r="A70" s="9" t="str">
        <x:v>Failure</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t="str">
        <x:v>placed open brown cup in the bowl</x:v>
      </x:c>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GR00T vision only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GR00T vision only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GR00T vision only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GR00T vision only Results</x:v>
      </x:c>
      <x:c r="AM73" s="9" t="n">
        <x:v>73</x:v>
      </x:c>
      <x:c r="AN73" s="9" t="n">
        <x:v>73</x:v>
      </x:c>
    </x:row>
    <x:row r="74">
      <x:c r="A74" s="9" t="str">
        <x:v>Failure</x:v>
      </x:c>
      <x:c r="B74" s="9" t="str">
        <x:v>State Recognition</x:v>
      </x:c>
      <x:c r="C74" s="10" t="n">
        <x:v>72</x:v>
      </x:c>
      <x:c r="D74" s="9" t="str">
        <x:v>Place the upside-down white cup in the bowl.</x:v>
      </x:c>
      <x:c r="E74" s="9" t="str">
        <x:v>white cup A (C, UD); white cup B (C, RU); brown cup A (C, RU)</x:v>
      </x:c>
      <x:c r="F74" s="9" t="str">
        <x:v>white cup A</x:v>
      </x:c>
      <x:c r="G74" s="9" t="str">
        <x:v>picked upright</x:v>
      </x:c>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GR00T vision only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GR00T vision only Results</x:v>
      </x:c>
      <x:c r="AM75" s="9" t="n">
        <x:v>75</x:v>
      </x:c>
      <x:c r="AN75" s="9" t="n">
        <x:v>75</x:v>
      </x:c>
    </x:row>
    <x:row r="76">
      <x:c r="A76" s="9" t="str">
        <x:v>Success</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GR00T vision only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GR00T vision only Results</x:v>
      </x:c>
      <x:c r="AM77" s="9" t="n">
        <x:v>77</x:v>
      </x:c>
      <x:c r="AN77" s="9" t="n">
        <x:v>77</x:v>
      </x:c>
    </x:row>
    <x:row r="78">
      <x:c r="A78" s="9" t="str">
        <x:v>Failure</x:v>
      </x:c>
      <x:c r="B78" s="9" t="str">
        <x:v>State Recognition</x:v>
      </x:c>
      <x:c r="C78" s="10" t="n">
        <x:v>76</x:v>
      </x:c>
      <x:c r="D78" s="9" t="str">
        <x:v>Place the closed brown cup in the bowl.</x:v>
      </x:c>
      <x:c r="E78" s="9" t="str">
        <x:v>brown cup A (C, RU); brown cup B (O, RU)</x:v>
      </x:c>
      <x:c r="F78" s="9" t="str">
        <x:v>brown cup A</x:v>
      </x:c>
      <x:c r="G78" s="9" t="str">
        <x:v>picked open brown cup</x:v>
      </x:c>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GR00T vision only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GR00T vision only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upside down spice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GR00T vision only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GR00T vision only Results</x:v>
      </x:c>
      <x:c r="AM81" s="9" t="n">
        <x:v>81</x:v>
      </x:c>
      <x:c r="AN81" s="9" t="n">
        <x:v>81</x:v>
      </x:c>
    </x:row>
    <x:row r="82">
      <x:c r="A82" s="9" t="str">
        <x:v>Success</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GR00T vision only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GR00T vision only Results</x:v>
      </x:c>
      <x:c r="AM83" s="9" t="n">
        <x:v>83</x:v>
      </x:c>
      <x:c r="AN83" s="9" t="n">
        <x:v>83</x:v>
      </x:c>
    </x:row>
    <x:row r="84">
      <x:c r="A84" s="9" t="str">
        <x:v>Failure</x:v>
      </x:c>
      <x:c r="B84" s="9" t="str">
        <x:v>State Recognition</x:v>
      </x:c>
      <x:c r="C84" s="10" t="n">
        <x:v>82</x:v>
      </x:c>
      <x:c r="D84" s="9" t="str">
        <x:v>Place the closed brown cup in the bowl.</x:v>
      </x:c>
      <x:c r="E84" s="9" t="str">
        <x:v>brown cup A (C, RU); brown cup B (O, RU); yellow-white striped cup A (C, RU)</x:v>
      </x:c>
      <x:c r="F84" s="9" t="str">
        <x:v>brown cup A</x:v>
      </x:c>
      <x:c r="G84" s="9" t="str">
        <x:v>picked the open brown cup</x:v>
      </x:c>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GR00T vision only Results</x:v>
      </x:c>
      <x:c r="AM84" s="9" t="n">
        <x:v>84</x:v>
      </x:c>
      <x:c r="AN84" s="9" t="n">
        <x:v>84</x:v>
      </x:c>
    </x:row>
    <x:row r="85">
      <x:c r="A85" s="9" t="str">
        <x:v>Failure</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t="str">
        <x:v>picked upside down container</x:v>
      </x:c>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GR00T vision only Results</x:v>
      </x:c>
      <x:c r="AM85" s="9" t="n">
        <x:v>85</x:v>
      </x:c>
      <x:c r="AN85" s="9" t="n">
        <x:v>85</x:v>
      </x:c>
    </x:row>
    <x:row r="86">
      <x:c r="A86" s="9" t="str">
        <x:v>Failure</x:v>
      </x:c>
      <x:c r="B86" s="9" t="str">
        <x:v>State Recognition</x:v>
      </x:c>
      <x:c r="C86" s="10" t="n">
        <x:v>84</x:v>
      </x:c>
      <x:c r="D86" s="9" t="str">
        <x:v>Place the upside-down white cup in the bowl.</x:v>
      </x:c>
      <x:c r="E86" s="9" t="str">
        <x:v>white cup A (C, UD); white cup B (C, RU)</x:v>
      </x:c>
      <x:c r="F86" s="9" t="str">
        <x:v>white cup A</x:v>
      </x:c>
      <x:c r="G86" s="9" t="str">
        <x:v>picked upright cup; popped off lid</x:v>
      </x:c>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GR00T vision only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GR00T vision only Results</x:v>
      </x:c>
      <x:c r="AM87" s="9" t="n">
        <x:v>87</x:v>
      </x:c>
      <x:c r="AN87" s="9" t="n">
        <x:v>87</x:v>
      </x:c>
    </x:row>
    <x:row r="88">
      <x:c r="A88" s="9" t="str">
        <x:v>Failure</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picked open brown cup</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GR00T vision only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upside down container</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GR00T vision only Results</x:v>
      </x:c>
      <x:c r="AM89" s="9" t="n">
        <x:v>89</x:v>
      </x:c>
      <x:c r="AN89" s="9" t="n">
        <x:v>89</x:v>
      </x:c>
    </x:row>
    <x:row r="90">
      <x:c r="A90" s="9" t="str">
        <x:v>Failure</x:v>
      </x:c>
      <x:c r="B90" s="9" t="str">
        <x:v>State Recognition</x:v>
      </x:c>
      <x:c r="C90" s="10" t="n">
        <x:v>88</x:v>
      </x:c>
      <x:c r="D90" s="9" t="str">
        <x:v>Place the upside-down white cup in the bowl.</x:v>
      </x:c>
      <x:c r="E90" s="9" t="str">
        <x:v>white cup A (O, UD); white cup B (O, RU); brown cup A (C, RU)</x:v>
      </x:c>
      <x:c r="F90" s="9" t="str">
        <x:v>white cup A</x:v>
      </x:c>
      <x:c r="G90" s="9" t="str">
        <x:v>picked upright white cup</x:v>
      </x:c>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GR00T vision only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GR00T vision only Results</x:v>
      </x:c>
      <x:c r="AM91" s="9" t="n">
        <x:v>91</x:v>
      </x:c>
      <x:c r="AN91" s="9" t="n">
        <x:v>91</x:v>
      </x:c>
    </x:row>
    <x:row r="92">
      <x:c r="A92" s="9" t="str">
        <x:v>Failure</x:v>
      </x:c>
      <x:c r="B92" s="9" t="str">
        <x:v>State Recognition</x:v>
      </x:c>
      <x:c r="C92" s="10" t="n">
        <x:v>90</x:v>
      </x:c>
      <x:c r="D92" s="9" t="str">
        <x:v>Place the closed brown cup in the bowl.</x:v>
      </x:c>
      <x:c r="E92" s="9" t="str">
        <x:v>brown cup A (C, RU); brown cup B (O, RU)</x:v>
      </x:c>
      <x:c r="F92" s="9" t="str">
        <x:v>brown cup A</x:v>
      </x:c>
      <x:c r="G92" s="9" t="str">
        <x:v>picked open cup</x:v>
      </x:c>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GR00T vision only Results</x:v>
      </x:c>
      <x:c r="AM92" s="9" t="n">
        <x:v>92</x:v>
      </x:c>
      <x:c r="AN92" s="9" t="n">
        <x:v>92</x:v>
      </x:c>
    </x:row>
    <x:row r="93">
      <x:c r="A93" s="9" t="str">
        <x:v>Success</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GR00T vision only Results</x:v>
      </x:c>
      <x:c r="AM93" s="9" t="n">
        <x:v>93</x:v>
      </x:c>
      <x:c r="AN93" s="9" t="n">
        <x:v>93</x:v>
      </x:c>
    </x:row>
    <x:row r="94">
      <x:c r="A94" s="9" t="str">
        <x:v>Success</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GR00T vision only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GR00T vision only Results</x:v>
      </x:c>
      <x:c r="AM95" s="9" t="n">
        <x:v>95</x:v>
      </x:c>
      <x:c r="AN95" s="9" t="n">
        <x:v>95</x:v>
      </x:c>
    </x:row>
    <x:row r="96">
      <x:c r="A96" s="9" t="str">
        <x:v>Failure</x:v>
      </x:c>
      <x:c r="B96" s="9" t="str">
        <x:v>State Recognition</x:v>
      </x:c>
      <x:c r="C96" s="10" t="n">
        <x:v>94</x:v>
      </x:c>
      <x:c r="D96" s="9" t="str">
        <x:v>Place the closed brown cup in the bowl.</x:v>
      </x:c>
      <x:c r="E96" s="9" t="str">
        <x:v>brown cup A (C, RU); brown cup B (O, RU); yellow-white striped cup A (C, RU)</x:v>
      </x:c>
      <x:c r="F96" s="9" t="str">
        <x:v>brown cup A</x:v>
      </x:c>
      <x:c r="G96" s="9" t="str">
        <x:v>picked open brown cup</x:v>
      </x:c>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GR00T vision only Results</x:v>
      </x:c>
      <x:c r="AM96" s="9" t="n">
        <x:v>96</x:v>
      </x:c>
      <x:c r="AN96" s="9" t="n">
        <x:v>96</x:v>
      </x:c>
    </x:row>
    <x:row r="97">
      <x:c r="A97" s="9" t="str">
        <x:v>Failure</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t="str">
        <x:v>picked the upside down container</x:v>
      </x:c>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GR00T vision only Results</x:v>
      </x:c>
      <x:c r="AM97" s="9" t="n">
        <x:v>97</x:v>
      </x:c>
      <x:c r="AN97" s="9" t="n">
        <x:v>97</x:v>
      </x:c>
    </x:row>
    <x:row r="98">
      <x:c r="A98" s="9" t="str">
        <x:v>Success</x:v>
      </x:c>
      <x:c r="B98" s="9" t="str">
        <x:v>State Recognition</x:v>
      </x:c>
      <x:c r="C98" s="10" t="n">
        <x:v>96</x:v>
      </x:c>
      <x:c r="D98" s="9" t="str">
        <x:v>Place the upside-down white cup in the bowl.</x:v>
      </x:c>
      <x:c r="E98" s="9" t="str">
        <x:v>white cup A (O, UD); white cup B (O, RU)</x:v>
      </x:c>
      <x:c r="F98" s="9" t="str">
        <x:v>white cup A</x:v>
      </x:c>
      <x:c r="G98" s="9"/>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GR00T vision only Results</x:v>
      </x:c>
      <x:c r="AM98" s="9" t="n">
        <x:v>98</x:v>
      </x:c>
      <x:c r="AN98" s="9" t="n">
        <x:v>98</x:v>
      </x:c>
    </x:row>
    <x:row r="99">
      <x:c r="A99" s="9" t="str">
        <x:v>Failure</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t="str">
        <x:v>picked closed striped cup</x:v>
      </x:c>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GR00T vision only Results</x:v>
      </x:c>
      <x:c r="AM99" s="9" t="n">
        <x:v>99</x:v>
      </x:c>
      <x:c r="AN99" s="9" t="n">
        <x:v>99</x:v>
      </x:c>
    </x:row>
    <x:row r="100">
      <x:c r="A100" s="9" t="str">
        <x:v>Failure</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t="str">
        <x:v>picked open brown cup</x:v>
      </x:c>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GR00T vision only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cup</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GR00T vision only Results</x:v>
      </x:c>
      <x:c r="AM101" s="9" t="n">
        <x:v>101</x:v>
      </x:c>
      <x:c r="AN101" s="9" t="n">
        <x:v>101</x:v>
      </x:c>
    </x:row>
    <x:row r="102">
      <x:c r="A102" s="9" t="str">
        <x:v>Failure</x:v>
      </x:c>
      <x:c r="B102" s="9" t="str">
        <x:v>State Recognition</x:v>
      </x:c>
      <x:c r="C102" s="10" t="n">
        <x:v>100</x:v>
      </x:c>
      <x:c r="D102" s="9" t="str">
        <x:v>Place the upside-down white cup in the bowl.</x:v>
      </x:c>
      <x:c r="E102" s="9" t="str">
        <x:v>white cup A (C, UD); white cup B (C, RU); brown cup A (C, RU)</x:v>
      </x:c>
      <x:c r="F102" s="9" t="str">
        <x:v>white cup A</x:v>
      </x:c>
      <x:c r="G102" s="9" t="str">
        <x:v>picked upright cup</x:v>
      </x:c>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GR00T vision only Results</x:v>
      </x:c>
      <x:c r="AM102" s="9" t="n">
        <x:v>102</x:v>
      </x:c>
      <x:c r="AN102" s="9" t="n">
        <x:v>102</x:v>
      </x:c>
    </x:row>
    <x:row r="103">
      <x:c r="A103" s="9" t="str">
        <x:v>Failure</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picked closed striped cup</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GR00T vision only Results</x:v>
      </x:c>
      <x:c r="AM103" s="9" t="n">
        <x:v>103</x:v>
      </x:c>
      <x:c r="AN103" s="9" t="n">
        <x:v>103</x:v>
      </x:c>
    </x:row>
    <x:row r="104">
      <x:c r="A104" s="9" t="str">
        <x:v>Failure</x:v>
      </x:c>
      <x:c r="B104" s="9" t="str">
        <x:v>State Recognition</x:v>
      </x:c>
      <x:c r="C104" s="10" t="n">
        <x:v>102</x:v>
      </x:c>
      <x:c r="D104" s="9" t="str">
        <x:v>Place the closed brown cup in the bowl.</x:v>
      </x:c>
      <x:c r="E104" s="9" t="str">
        <x:v>brown cup A (C, RU); brown cup B (O, RU)</x:v>
      </x:c>
      <x:c r="F104" s="9" t="str">
        <x:v>brown cup A</x:v>
      </x:c>
      <x:c r="G104" s="9" t="str">
        <x:v>picked open brown cup</x:v>
      </x:c>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GR00T vision only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container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GR00T vision only Results</x:v>
      </x:c>
      <x:c r="AM105" s="9" t="n">
        <x:v>105</x:v>
      </x:c>
      <x:c r="AN105" s="9" t="n">
        <x:v>105</x:v>
      </x:c>
    </x:row>
    <x:row r="106">
      <x:c r="A106" s="9" t="str">
        <x:v>Failure</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t="str">
        <x:v>picked upright cup</x:v>
      </x:c>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GR00T vision only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GR00T vision only Results</x:v>
      </x:c>
      <x:c r="AM107" s="9" t="n">
        <x:v>107</x:v>
      </x:c>
      <x:c r="AN107" s="9" t="n">
        <x:v>107</x:v>
      </x:c>
    </x:row>
    <x:row r="108">
      <x:c r="A108" s="9" t="str">
        <x:v>Failure</x:v>
      </x:c>
      <x:c r="B108" s="9" t="str">
        <x:v>State Recognition</x:v>
      </x:c>
      <x:c r="C108" s="10" t="n">
        <x:v>106</x:v>
      </x:c>
      <x:c r="D108" s="9" t="str">
        <x:v>Place the closed brown cup in the bowl.</x:v>
      </x:c>
      <x:c r="E108" s="9" t="str">
        <x:v>brown cup A (C, RU); brown cup B (O, RU); yellow-white striped cup A (C, RU)</x:v>
      </x:c>
      <x:c r="F108" s="9" t="str">
        <x:v>brown cup A</x:v>
      </x:c>
      <x:c r="G108" s="9" t="str">
        <x:v>picked open brown cup</x:v>
      </x:c>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GR00T vision only Results</x:v>
      </x:c>
      <x:c r="AM108" s="9" t="n">
        <x:v>108</x:v>
      </x:c>
      <x:c r="AN108" s="9" t="n">
        <x:v>108</x:v>
      </x:c>
    </x:row>
    <x:row r="109">
      <x:c r="A109" s="9" t="str">
        <x:v>Failure</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picked upside down container</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GR00T vision only Results</x:v>
      </x:c>
      <x:c r="AM109" s="9" t="n">
        <x:v>109</x:v>
      </x:c>
      <x:c r="AN109" s="9" t="n">
        <x:v>109</x:v>
      </x:c>
    </x:row>
    <x:row r="110">
      <x:c r="A110" s="9" t="str">
        <x:v>Success</x:v>
      </x:c>
      <x:c r="B110" s="9" t="str">
        <x:v>State Recognition</x:v>
      </x:c>
      <x:c r="C110" s="10" t="n">
        <x:v>108</x:v>
      </x:c>
      <x:c r="D110" s="9" t="str">
        <x:v>Place the upside-down white cup in the bowl.</x:v>
      </x:c>
      <x:c r="E110" s="9" t="str">
        <x:v>white cup A (C, UD); white cup B (C, RU)</x:v>
      </x:c>
      <x:c r="F110" s="9" t="str">
        <x:v>white cup A</x:v>
      </x:c>
      <x:c r="G110" s="9" t="str">
        <x:v>popped off lid</x:v>
      </x:c>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GR00T vision only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the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GR00T vision only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GR00T vision only Results</x:v>
      </x:c>
      <x:c r="AM112" s="9" t="n">
        <x:v>112</x:v>
      </x:c>
      <x:c r="AN112" s="9" t="n">
        <x:v>112</x:v>
      </x:c>
    </x:row>
    <x:row r="113">
      <x:c r="A113" s="9" t="str">
        <x:v>Success</x:v>
      </x:c>
      <x:c r="B113" s="9" t="str">
        <x:v>State Recognition</x:v>
      </x:c>
      <x:c r="C113" s="10" t="n">
        <x:v>111</x:v>
      </x:c>
      <x:c r="D113" s="9" t="str">
        <x:v>Place the open black cup in the bowl.</x:v>
      </x:c>
      <x:c r="E113" s="9" t="str">
        <x:v>black cup A (C, RU); black cup B (O, RU)</x:v>
      </x:c>
      <x:c r="F113" s="9" t="str">
        <x:v>black cup B</x:v>
      </x:c>
      <x:c r="G113" s="9"/>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GR00T vision only Results</x:v>
      </x:c>
      <x:c r="AM113" s="9" t="n">
        <x:v>113</x:v>
      </x:c>
      <x:c r="AN113" s="9" t="n">
        <x:v>113</x:v>
      </x:c>
    </x:row>
    <x:row r="114">
      <x:c r="A114" s="9" t="str">
        <x:v>Failure</x:v>
      </x:c>
      <x:c r="B114" s="9" t="str">
        <x:v>State Recognition</x:v>
      </x:c>
      <x:c r="C114" s="10" t="n">
        <x:v>112</x:v>
      </x:c>
      <x:c r="D114" s="9" t="str">
        <x:v>Place the upside-down black cup in the bowl.</x:v>
      </x:c>
      <x:c r="E114" s="9" t="str">
        <x:v>black cup A (C, UD); black cup B (C, RU); yellow-white striped cup B (O, UD)</x:v>
      </x:c>
      <x:c r="F114" s="9" t="str">
        <x:v>black cup A</x:v>
      </x:c>
      <x:c r="G114" s="9" t="str">
        <x:v>tried to pick upright cup but couldn't failed reasoning and grasping</x:v>
      </x:c>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GR00T vision only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GR00T vision only Results</x:v>
      </x:c>
      <x:c r="AM115" s="9" t="n">
        <x:v>115</x:v>
      </x:c>
      <x:c r="AN115" s="9" t="n">
        <x:v>115</x:v>
      </x:c>
    </x:row>
    <x:row r="116">
      <x:c r="A116" s="9" t="str">
        <x:v>Success</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GR00T vision only Results</x:v>
      </x:c>
      <x:c r="AM116" s="9" t="n">
        <x:v>116</x:v>
      </x:c>
      <x:c r="AN116" s="9" t="n">
        <x:v>116</x:v>
      </x:c>
    </x:row>
    <x:row r="117">
      <x:c r="A117" s="9" t="str">
        <x:v>Failure</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t="str">
        <x:v>picked the closed black cup</x:v>
      </x:c>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GR00T vision only Results</x:v>
      </x:c>
      <x:c r="AM117" s="9" t="n">
        <x:v>117</x:v>
      </x:c>
      <x:c r="AN117" s="9" t="n">
        <x:v>117</x:v>
      </x:c>
    </x:row>
    <x:row r="118">
      <x:c r="A118" s="9" t="str">
        <x:v>Failure</x:v>
      </x:c>
      <x:c r="B118" s="9" t="str">
        <x:v>State Recognition</x:v>
      </x:c>
      <x:c r="C118" s="10" t="n">
        <x:v>116</x:v>
      </x:c>
      <x:c r="D118" s="9" t="str">
        <x:v>Place the upside-down black cup in the bowl.</x:v>
      </x:c>
      <x:c r="E118" s="9" t="str">
        <x:v>black cup A (O, RU); black cup B (O, UD)</x:v>
      </x:c>
      <x:c r="F118" s="9" t="str">
        <x:v>black cup B</x:v>
      </x:c>
      <x:c r="G118" s="9" t="str">
        <x:v>picked upright cup</x:v>
      </x:c>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GR00T vision only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GR00T vision only Results</x:v>
      </x:c>
      <x:c r="AM119" s="9" t="n">
        <x:v>119</x:v>
      </x:c>
      <x:c r="AN119" s="9" t="n">
        <x:v>119</x:v>
      </x:c>
    </x:row>
    <x:row r="120">
      <x:c r="A120" s="9" t="str">
        <x:v>Failure</x:v>
      </x:c>
      <x:c r="B120" s="9" t="str">
        <x:v>State Recognition</x:v>
      </x:c>
      <x:c r="C120" s="10" t="n">
        <x:v>118</x:v>
      </x:c>
      <x:c r="D120" s="9" t="str">
        <x:v>Place the closed black cup in the bowl.</x:v>
      </x:c>
      <x:c r="E120" s="9" t="str">
        <x:v>black cup A (C, RU); black cup B (O, RU); white cup A (C, RU)</x:v>
      </x:c>
      <x:c r="F120" s="9" t="str">
        <x:v>black cup A</x:v>
      </x:c>
      <x:c r="G120" s="9" t="str">
        <x:v>tried to pick closed white cup, but didn't grasp it</x:v>
      </x:c>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GR00T vision only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picked the closed white cup</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GR00T vision only Results</x:v>
      </x:c>
      <x:c r="AM121" s="9" t="n">
        <x:v>121</x:v>
      </x:c>
      <x:c r="AN121" s="9" t="n">
        <x:v>121</x:v>
      </x:c>
    </x:row>
    <x:row r="122">
      <x:c r="A122" s="9" t="str">
        <x:v>Failure</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t="str">
        <x:v>picked upright black cup</x:v>
      </x:c>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GR00T vision only Results</x:v>
      </x:c>
      <x:c r="AM122" s="9" t="n">
        <x:v>122</x:v>
      </x:c>
      <x:c r="AN122" s="9" t="n">
        <x:v>122</x:v>
      </x:c>
    </x:row>
    <x:row r="123">
      <x:c r="A123" s="9" t="str">
        <x:v>Success</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GR00T vision only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t="str">
        <x:v>struggled to grasp but did get it</x:v>
      </x:c>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GR00T vision only Results</x:v>
      </x:c>
      <x:c r="AM124" s="9" t="n">
        <x:v>124</x:v>
      </x:c>
      <x:c r="AN124" s="9" t="n">
        <x:v>124</x:v>
      </x:c>
    </x:row>
    <x:row r="125">
      <x:c r="A125" s="9" t="str">
        <x:v>Failure</x:v>
      </x:c>
      <x:c r="B125" s="9" t="str">
        <x:v>State Recognition</x:v>
      </x:c>
      <x:c r="C125" s="10" t="n">
        <x:v>123</x:v>
      </x:c>
      <x:c r="D125" s="9" t="str">
        <x:v>Place the open black cup in the bowl.</x:v>
      </x:c>
      <x:c r="E125" s="9" t="str">
        <x:v>black cup A (O, RU); black cup B (C, RU)</x:v>
      </x:c>
      <x:c r="F125" s="9" t="str">
        <x:v>black cup A</x:v>
      </x:c>
      <x:c r="G125" s="9" t="str">
        <x:v>picked closed cup</x:v>
      </x:c>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GR00T vision only Results</x:v>
      </x:c>
      <x:c r="AM125" s="9" t="n">
        <x:v>125</x:v>
      </x:c>
      <x:c r="AN125" s="9" t="n">
        <x:v>125</x:v>
      </x:c>
    </x:row>
    <x:row r="126">
      <x:c r="A126" s="9" t="str">
        <x:v>Failure</x:v>
      </x:c>
      <x:c r="B126" s="9" t="str">
        <x:v>State Recognition</x:v>
      </x:c>
      <x:c r="C126" s="10" t="n">
        <x:v>124</x:v>
      </x:c>
      <x:c r="D126" s="9" t="str">
        <x:v>Place the upside-down black cup in the bowl.</x:v>
      </x:c>
      <x:c r="E126" s="9" t="str">
        <x:v>black cup A (O, RU); black cup B (O, UD); glass spice container B (O, UD)</x:v>
      </x:c>
      <x:c r="F126" s="9" t="str">
        <x:v>black cup B</x:v>
      </x:c>
      <x:c r="G126" s="9" t="str">
        <x:v>picked the upright</x:v>
      </x:c>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GR00T vision only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GR00T vision only Results</x:v>
      </x:c>
      <x:c r="AM127" s="9" t="n">
        <x:v>127</x:v>
      </x:c>
      <x:c r="AN127" s="9" t="n">
        <x:v>127</x:v>
      </x:c>
    </x:row>
    <x:row r="128">
      <x:c r="A128" s="9" t="str">
        <x:v>Failure</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t="str">
        <x:v>tried to pick closed white cup but couldn't</x:v>
      </x:c>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GR00T vision only Results</x:v>
      </x:c>
      <x:c r="AM128" s="9" t="n">
        <x:v>128</x:v>
      </x:c>
      <x:c r="AN128" s="9" t="n">
        <x:v>128</x:v>
      </x:c>
    </x:row>
    <x:row r="129">
      <x:c r="A129" s="9" t="str">
        <x:v>Failure</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t="str">
        <x:v>picked the closed white cup</x:v>
      </x:c>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GR00T vision only Results</x:v>
      </x:c>
      <x:c r="AM129" s="9" t="n">
        <x:v>129</x:v>
      </x:c>
      <x:c r="AN129" s="9" t="n">
        <x:v>129</x:v>
      </x:c>
    </x:row>
    <x:row r="130">
      <x:c r="A130" s="9" t="str">
        <x:v>Failure</x:v>
      </x:c>
      <x:c r="B130" s="9" t="str">
        <x:v>State Recognition</x:v>
      </x:c>
      <x:c r="C130" s="10" t="n">
        <x:v>128</x:v>
      </x:c>
      <x:c r="D130" s="9" t="str">
        <x:v>Place the upside-down black cup in the bowl.</x:v>
      </x:c>
      <x:c r="E130" s="9" t="str">
        <x:v>black cup A (C, UD); black cup B (C, RU); yellow-white striped cup B (O, UD)</x:v>
      </x:c>
      <x:c r="F130" s="9" t="str">
        <x:v>black cup A</x:v>
      </x:c>
      <x:c r="G130" s="9" t="str">
        <x:v>picked the upright cup</x:v>
      </x:c>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GR00T vision only Results</x:v>
      </x:c>
      <x:c r="AM130" s="9" t="n">
        <x:v>130</x:v>
      </x:c>
      <x:c r="AN130" s="9" t="n">
        <x:v>130</x:v>
      </x:c>
    </x:row>
    <x:row r="131">
      <x:c r="A131" s="9" t="str">
        <x:v>Success</x:v>
      </x:c>
      <x:c r="B131" s="9" t="str">
        <x:v>State Recognition</x:v>
      </x:c>
      <x:c r="C131" s="10" t="n">
        <x:v>129</x:v>
      </x:c>
      <x:c r="D131" s="9" t="str">
        <x:v>Place the upright black cup in the bowl.</x:v>
      </x:c>
      <x:c r="E131" s="9" t="str">
        <x:v>black cup A (C, UD); black cup B (C, RU); yellow-white striped cup B (O, UD)</x:v>
      </x:c>
      <x:c r="F131" s="9" t="str">
        <x:v>black cup B</x:v>
      </x:c>
      <x:c r="G131" s="9"/>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GR00T vision only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the open cup closer to the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GR00T vision only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picked the striped cup furthest from the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GR00T vision only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brown cup closest to the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GR00T vision only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picked container further from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GR00T vision only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picked the cup closer to the bowl</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GR00T vision only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the upside down white cup</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GR00T vision only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cup closest to bowl</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GR00T vision only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the container further from the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GR00T vision only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picked upside down white cup furthest from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GR00T vision only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picked cup furthest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GR00T vision only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placed the upside down brown cup furthest from the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GR00T vision only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picked conatiner further from bowl</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GR00T vision only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cup closest to the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GR00T vision only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GR00T vision only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t="str">
        <x:v>picked brown cup furthest from bowl</x:v>
      </x:c>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GR00T vision only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furthest container from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GR00T vision only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white cup furthest from bowl; popped off lid</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GR00T vision only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the striped cup closest to the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GR00T vision only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picked brown cup furthest from bowl; lid popped off</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GR00T vision only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the container closest to the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GR00T vision only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the yellow block</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GR00T vision only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didn't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GR00T vision only Results</x:v>
      </x:c>
      <x:c r="AM153" s="9" t="n">
        <x:v>3</x:v>
      </x:c>
      <x:c r="AN153" s="9" t="n">
        <x:v>3</x:v>
      </x:c>
    </x:row>
    <x:row r="154">
      <x:c r="A154" s="9" t="str">
        <x:v>Failure</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picked both the airplane toy and green pencil sharpener simulataneously so left two items int he bowl</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GR00T vision only Results</x:v>
      </x:c>
      <x:c r="AM154" s="9" t="n">
        <x:v>4</x:v>
      </x:c>
      <x:c r="AN154" s="9" t="n">
        <x:v>4</x:v>
      </x:c>
    </x:row>
    <x:row r="155">
      <x:c r="A155" s="9" t="str">
        <x:v>Success</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GR00T vision only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GR00T vision only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tried to pick yellow block but couldn't</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GR00T vision only Results</x:v>
      </x:c>
      <x:c r="AM157" s="9" t="n">
        <x:v>7</x:v>
      </x:c>
      <x:c r="AN157" s="9" t="n">
        <x:v>7</x:v>
      </x:c>
    </x:row>
    <x:row r="158">
      <x:c r="A158" s="9" t="str">
        <x:v>Failure</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t="str">
        <x:v>went to bowl, but couldn't grab anything</x:v>
      </x:c>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GR00T vision only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GR00T vision only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GR00T vision only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went for the airplane toy 5 times, but never moved it.</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GR00T vision only Results</x:v>
      </x:c>
      <x:c r="AM161" s="9" t="n">
        <x:v>11</x:v>
      </x:c>
      <x:c r="AN161" s="9" t="n">
        <x:v>11</x:v>
      </x:c>
    </x:row>
    <x:row r="162">
      <x:c r="A162" s="9" t="str">
        <x:v>Failure</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went to bowl but couldn't pick anything up</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GR00T vision only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GR00T vision only Results</x:v>
      </x:c>
      <x:c r="AM163" s="9" t="n">
        <x:v>13</x:v>
      </x:c>
      <x:c r="AN163" s="9" t="n">
        <x:v>13</x:v>
      </x:c>
    </x:row>
    <x:row r="164">
      <x:c r="A164" s="9" t="str">
        <x:v>Success</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GR00T vision only Results</x:v>
      </x:c>
      <x:c r="AM164" s="9" t="n">
        <x:v>14</x:v>
      </x:c>
      <x:c r="AN164" s="9" t="n">
        <x:v>14</x:v>
      </x:c>
    </x:row>
    <x:row r="165">
      <x:c r="A165" s="9" t="str">
        <x:v>Success</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GR00T vision only Results</x:v>
      </x:c>
      <x:c r="AM165" s="9" t="n">
        <x:v>15</x:v>
      </x:c>
      <x:c r="AN165" s="9" t="n">
        <x:v>15</x:v>
      </x:c>
    </x:row>
    <x:row r="166">
      <x:c r="A166" s="9" t="str">
        <x:v>Failure</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t="str">
        <x:v>went to bowl but couldn't remove anything</x:v>
      </x:c>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GR00T vision only Results</x:v>
      </x:c>
      <x:c r="AM166" s="9" t="n">
        <x:v>16</x:v>
      </x:c>
      <x:c r="AN166" s="9" t="n">
        <x:v>16</x:v>
      </x:c>
    </x:row>
    <x:row r="167">
      <x:c r="A167" s="9" t="str">
        <x:v>Success</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GR00T vision only Results</x:v>
      </x:c>
      <x:c r="AM167" s="9" t="n">
        <x:v>17</x:v>
      </x:c>
      <x:c r="AN167" s="9" t="n">
        <x:v>17</x:v>
      </x:c>
    </x:row>
    <x:row r="168">
      <x:c r="A168" s="9" t="str">
        <x:v>Success</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GR00T vision only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didn't move</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GR00T vision only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GR00T vision only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GR00T vision only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GR00T vision only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GR00T vision only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GR00T vision only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didn't move</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GR00T vision only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GR00T vision only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GR00T vision only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GR00T vision only Results</x:v>
      </x:c>
      <x:c r="AM178" s="9" t="n">
        <x:v>28</x:v>
      </x:c>
      <x:c r="AN178" s="9" t="n">
        <x:v>28</x:v>
      </x:c>
    </x:row>
    <x:row r="179">
      <x:c r="A179" s="9" t="str">
        <x:v>Failure</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went to bowl but couldn't take the pen out</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GR00T vision only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didn't move</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GR00T vision only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went to bowl but couldn't take the pen out</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GR00T vision only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GR00T vision only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GR00T vision only Results</x:v>
      </x:c>
      <x:c r="AM183" s="9" t="n">
        <x:v>33</x:v>
      </x:c>
      <x:c r="AN183" s="9" t="n">
        <x:v>33</x:v>
      </x:c>
    </x:row>
    <x:row r="184">
      <x:c r="A184" s="9" t="str">
        <x:v>Failure</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t="str">
        <x:v>didn't move</x:v>
      </x:c>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GR00T vision only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GR00T vision only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GR00T vision only Results</x:v>
      </x:c>
      <x:c r="AM186" s="9" t="n">
        <x:v>36</x:v>
      </x:c>
      <x:c r="AN186" s="9" t="n">
        <x:v>36</x:v>
      </x:c>
    </x:row>
    <x:row r="187">
      <x:c r="A187" s="9" t="str">
        <x:v>Failure</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t="str">
        <x:v>didn't move</x:v>
      </x:c>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GR00T vision only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GR00T vision only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t="str">
        <x:v>didn't move</x:v>
      </x:c>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GR00T vision only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GR00T vision only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GR00T vision only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GR00T vision only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GR00T vision only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GR00T vision only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GR00T vision only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tried to remove the yellow block</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GR00T vision only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went to the bowl</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GR00T vision only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t="str">
        <x:v>didn't move</x:v>
      </x:c>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GR00T vision only Results</x:v>
      </x:c>
      <x:c r="AM198" s="9" t="n">
        <x:v>48</x:v>
      </x:c>
      <x:c r="AN198" s="9" t="n">
        <x:v>48</x:v>
      </x:c>
    </x:row>
    <x:row r="199">
      <x:c r="A199" s="9" t="str">
        <x:v>Success</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GR00T vision only Results</x:v>
      </x:c>
      <x:c r="AM199" s="9" t="n">
        <x:v>49</x:v>
      </x:c>
      <x:c r="AN199" s="9" t="n">
        <x:v>49</x:v>
      </x:c>
    </x:row>
    <x:row r="200">
      <x:c r="A200" s="9" t="str">
        <x:v>Failure</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t="str">
        <x:v>tried to get the airplane toy out of the bowl, but didn't </x:v>
      </x:c>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GR00T vision only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t="str">
        <x:v>didn't move</x:v>
      </x:c>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GR00T vision only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t="str">
        <x:v>didn't move</x:v>
      </x:c>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GR00T vision only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t="str">
        <x:v>didn't move</x:v>
      </x:c>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GR00T vision only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t="str">
        <x:v>didn't move</x:v>
      </x:c>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GR00T vision only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t="str">
        <x:v>didn't move</x:v>
      </x:c>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GR00T vision only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GR00T vision only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GR00T vision only Results</x:v>
      </x:c>
      <x:c r="AM207" s="9" t="n">
        <x:v>57</x:v>
      </x:c>
      <x:c r="AN207" s="9" t="n">
        <x:v>57</x:v>
      </x:c>
    </x:row>
    <x:row r="208">
      <x:c r="A208" s="9" t="str">
        <x:v>Success</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GR00T vision only Results</x:v>
      </x:c>
      <x:c r="AM208" s="9" t="n">
        <x:v>58</x:v>
      </x:c>
      <x:c r="AN208" s="9" t="n">
        <x:v>58</x:v>
      </x:c>
    </x:row>
    <x:row r="209">
      <x:c r="A209" s="9" t="str">
        <x:v>Failure</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t="str">
        <x:v>picked up the green highlighter and moved it closer to the bowl, but didn't put it in . Went back for green highlighter, but couldn't grab it</x:v>
      </x:c>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GR00T vision only Results</x:v>
      </x:c>
      <x:c r="AM209" s="9" t="n">
        <x:v>59</x:v>
      </x:c>
      <x:c r="AN209" s="9" t="n">
        <x:v>59</x:v>
      </x:c>
    </x:row>
    <x:row r="210">
      <x:c r="A210" s="9" t="str">
        <x:v>Success</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GR00T vision only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GR00T vision only Results</x:v>
      </x:c>
      <x:c r="AM211" s="9" t="n">
        <x:v>61</x:v>
      </x:c>
      <x:c r="AN211" s="9" t="n">
        <x:v>61</x:v>
      </x:c>
    </x:row>
    <x:row r="212">
      <x:c r="A212" s="9" t="str">
        <x:v>Success</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GR00T vision only Results</x:v>
      </x:c>
      <x:c r="AM212" s="9" t="n">
        <x:v>62</x:v>
      </x:c>
      <x:c r="AN212" s="9" t="n">
        <x:v>62</x:v>
      </x:c>
    </x:row>
    <x:row r="213">
      <x:c r="A213" s="9" t="str">
        <x:v>Success</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GR00T vision only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GR00T vision only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GR00T vision only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GR00T vision only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GR00T vision only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GR00T vision only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GR00T vision only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GR00T vision only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removed the blue pen and left the yellow block in the bowl</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GR00T vision only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GR00T vision only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GR00T vision only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GR00T vision only Results</x:v>
      </x:c>
      <x:c r="AM224" s="9" t="n">
        <x:v>74</x:v>
      </x:c>
      <x:c r="AN224" s="9" t="n">
        <x:v>74</x:v>
      </x:c>
    </x:row>
    <x:row r="225">
      <x:c r="A225" s="9" t="str">
        <x:v>Success</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GR00T vision only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picked the pen first, then tried to pick the green pencil sharpener, but timed out </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GR00T vision only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GR00T vision only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didn't move</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GR00T vision only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GR00T vision only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GR00T vision only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GR00T vision only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went to the highlighter and was pinching it hten went back home. Then proceded to go back and forth to the green highlighter 3 times</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GR00T vision only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GR00T vision only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GR00T vision only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GR00T vision only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GR00T vision only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GR00T vision only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GR00T vision only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GR00T vision only Results</x:v>
      </x:c>
      <x:c r="AM239" s="9" t="n">
        <x:v>89</x:v>
      </x:c>
      <x:c r="AN239" s="9" t="n">
        <x:v>89</x:v>
      </x:c>
    </x:row>
    <x:row r="240">
      <x:c r="A240" s="9" t="str">
        <x:v>Failure</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t="str">
        <x:v>succeeded reasoning; got the block to the bowl, but didn't return home</x:v>
      </x:c>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GR00T vision only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GR00T vision only Results</x:v>
      </x:c>
      <x:c r="AM241" s="9" t="n">
        <x:v>91</x:v>
      </x:c>
      <x:c r="AN241" s="9" t="n">
        <x:v>91</x:v>
      </x:c>
    </x:row>
    <x:row r="242">
      <x:c r="A242" s="9" t="str">
        <x:v>Failure</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t="str">
        <x:v>didn't move</x:v>
      </x:c>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GR00T vision only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didn't move</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GR00T vision only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GR00T vision only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GR00T vision only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GR00T vision only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GR00T vision only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GR00T vision only Results</x:v>
      </x:c>
      <x:c r="AM248" s="9" t="n">
        <x:v>98</x:v>
      </x:c>
      <x:c r="AN248" s="9" t="n">
        <x:v>98</x:v>
      </x:c>
    </x:row>
    <x:row r="249">
      <x:c r="A249" s="9" t="str">
        <x:v>Success</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GR00T vision only Results</x:v>
      </x:c>
      <x:c r="AM249" s="9" t="n">
        <x:v>99</x:v>
      </x:c>
      <x:c r="AN249" s="9" t="n">
        <x:v>99</x:v>
      </x:c>
    </x:row>
    <x:row r="250">
      <x:c r="A250" s="9" t="str">
        <x:v>Failure</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t="str">
        <x:v>succeeded reasoning; tried to pick the yellow block but couldn't</x:v>
      </x:c>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GR00T vision only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GR00T vision only Results</x:v>
      </x:c>
      <x:c r="AM251" s="9" t="n">
        <x:v>101</x:v>
      </x:c>
      <x:c r="AN251" s="9" t="n">
        <x:v>101</x:v>
      </x:c>
    </x:row>
    <x:row r="252">
      <x:c r="A252" s="9" t="str">
        <x:v>Failure</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took out the green pencil sharpener</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GR00T vision only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GR00T vision only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GR00T vision only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GR00T vision only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GR00T vision only Results</x:v>
      </x:c>
      <x:c r="AM256" s="9" t="n">
        <x:v>106</x:v>
      </x:c>
      <x:c r="AN256" s="9" t="n">
        <x:v>106</x:v>
      </x:c>
    </x:row>
    <x:row r="257">
      <x:c r="A257" s="9" t="str">
        <x:v>Success</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GR00T vision only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GR00T vision only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GR00T vision only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GR00T vision only Results</x:v>
      </x:c>
      <x:c r="AM260" s="9" t="n">
        <x:v>110</x:v>
      </x:c>
      <x:c r="AN260" s="9" t="n">
        <x:v>110</x:v>
      </x:c>
    </x:row>
    <x:row r="261">
      <x:c r="A261" s="9" t="str">
        <x:v>Failure</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t="str">
        <x:v>didn't move</x:v>
      </x:c>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GR00T vision only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GR00T vision only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GR00T vision only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GR00T vision only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GR00T vision only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GR00T vision only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GR00T vision only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GR00T vision only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GR00T vision only Results</x:v>
      </x:c>
      <x:c r="AM269" s="9" t="n">
        <x:v>119</x:v>
      </x:c>
      <x:c r="AN269" s="9" t="n">
        <x:v>119</x:v>
      </x:c>
    </x:row>
    <x:row r="270">
      <x:c r="A270" s="9" t="str">
        <x:v>Success</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GR00T vision only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GR00T vision only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GR00T vision only Results</x:v>
      </x:c>
      <x:c r="AM272" s="9" t="n">
        <x:v>122</x:v>
      </x:c>
      <x:c r="AN272" s="9" t="n">
        <x:v>122</x:v>
      </x:c>
    </x:row>
    <x:row r="273">
      <x:c r="A273" s="9" t="str">
        <x:v>Success</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GR00T vision only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GR00T vision only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GR00T vision only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GR00T vision only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put the green highlighter in and then took out the airplane toy</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GR00T vision only Results</x:v>
      </x:c>
      <x:c r="AM277" s="9" t="n">
        <x:v>127</x:v>
      </x:c>
      <x:c r="AN277" s="9" t="n">
        <x:v>127</x:v>
      </x:c>
    </x:row>
    <x:row r="278">
      <x:c r="A278" s="9" t="str">
        <x:v>Failure</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t="str">
        <x:v>put the green highlighter in the bowl and then took it out. the robot then drifted to the right edge of workspace</x:v>
      </x:c>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GR00T vision only Results</x:v>
      </x:c>
      <x:c r="AM278" s="9" t="n">
        <x:v>128</x:v>
      </x:c>
      <x:c r="AN278" s="9" t="n">
        <x:v>128</x:v>
      </x:c>
    </x:row>
    <x:row r="279">
      <x:c r="A279" s="9" t="str">
        <x:v>Success</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GR00T vision only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GR00T vision only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GR00T vision only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GR00T vision only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GR00T vision only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t="str">
        <x:v>didn't move</x:v>
      </x:c>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GR00T vision only Results</x:v>
      </x:c>
      <x:c r="AM284" s="9" t="n">
        <x:v>134</x:v>
      </x:c>
      <x:c r="AN284" s="9" t="n">
        <x:v>134</x:v>
      </x:c>
    </x:row>
    <x:row r="285">
      <x:c r="A285" s="9" t="str">
        <x:v>Success</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GR00T vision only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t="str">
        <x:v>didn't move</x:v>
      </x:c>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GR00T vision only Results</x:v>
      </x:c>
      <x:c r="AM286" s="9" t="n">
        <x:v>136</x:v>
      </x:c>
      <x:c r="AN286" s="9" t="n">
        <x:v>136</x:v>
      </x:c>
    </x:row>
    <x:row r="287">
      <x:c r="A287" s="9" t="str">
        <x:v>Failure</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t="str">
        <x:v>knocked the airplane out of range and then the arm drifted to the right edge of the workspace</x:v>
      </x:c>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GR00T vision only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went to the bowl, but couldn't grab the blue pen</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GR00T vision only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GR00T vision only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took pencil sharpener out</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GR00T vision only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t="str">
        <x:v>didn't move</x:v>
      </x:c>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GR00T vision only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GR00T vision only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GR00T vision only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took the blue pen out</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GR00T vision only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GR00T vision only Results</x:v>
      </x:c>
      <x:c r="AM295" s="9" t="n">
        <x:v>145</x:v>
      </x:c>
      <x:c r="AN295" s="9" t="n">
        <x:v>145</x:v>
      </x:c>
    </x:row>
    <x:row r="296">
      <x:c r="A296" s="9" t="str">
        <x:v>Success</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GR00T vision only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GR00T vision only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GR00T vision only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GR00T vision only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GR00T vision only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GR00T vision only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picked the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GR00T visual only Results</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GR00T visual only Results</x:v>
      </x:c>
      <x:c r="AM303" s="9" t="n">
        <x:v>3</x:v>
      </x:c>
      <x:c r="AN303" s="9" t="n">
        <x:v>3</x:v>
      </x:c>
    </x:row>
    <x:row r="304">
      <x:c r="A304" s="9" t="str">
        <x:v>Success</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GR00T visual only Results</x:v>
      </x:c>
      <x:c r="AM304" s="9" t="n">
        <x:v>4</x:v>
      </x:c>
      <x:c r="AN304" s="9" t="n">
        <x:v>4</x:v>
      </x:c>
    </x:row>
    <x:row r="305">
      <x:c r="A305" s="9" t="str">
        <x:v>Success</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failed reasoning; tried to grasp the airplane toy and failed, then in recovery, got the yellow pen</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GR00T visual only Results</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yellow pen</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GR00T visual only Results</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GR00T visual only Results</x:v>
      </x:c>
      <x:c r="AM307" s="9" t="n">
        <x:v>7</x:v>
      </x:c>
      <x:c r="AN307" s="9" t="n">
        <x:v>7</x:v>
      </x:c>
    </x:row>
    <x:row r="308">
      <x:c r="A308" s="9" t="str">
        <x:v>Failure</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t="str">
        <x:v>picked tape ball</x:v>
      </x:c>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GR00T visual only Results</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t="str">
        <x:v>succeeded reasoning; picked the green highlighter badly at first and dropped it and then recovered</x:v>
      </x:c>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GR00T visual only Results</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went for airplane toy but couldn't get it; knocked it out of range</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GR00T visual only Results</x:v>
      </x:c>
      <x:c r="AM310" s="9" t="n">
        <x:v>10</x:v>
      </x:c>
      <x:c r="AN310" s="9" t="n">
        <x:v>10</x:v>
      </x:c>
    </x:row>
    <x:row r="311">
      <x:c r="A311" s="9" t="str">
        <x:v>Failure</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t="str">
        <x:v>picked the yellow pen</x:v>
      </x:c>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GR00T visual only Results</x:v>
      </x:c>
      <x:c r="AM311" s="9" t="n">
        <x:v>11</x:v>
      </x:c>
      <x:c r="AN311" s="9" t="n">
        <x:v>11</x:v>
      </x:c>
    </x:row>
    <x:row r="312">
      <x:c r="A312" s="9" t="str">
        <x:v>Failure</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t="str">
        <x:v>succeeded reasoning but picked the yellow pen from the edge and dropped it; couldn't recover</x:v>
      </x:c>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GR00T visual only Results</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picked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GR00T visual only Results</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picked airplane toy</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GR00T visual only Results</x:v>
      </x:c>
      <x:c r="AM314" s="9" t="n">
        <x:v>14</x:v>
      </x:c>
      <x:c r="AN314" s="9" t="n">
        <x:v>14</x:v>
      </x:c>
    </x:row>
    <x:row r="315">
      <x:c r="A315" s="9" t="str">
        <x:v>Failure</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t="str">
        <x:v>went for the yellow pen but didn't grab it</x:v>
      </x:c>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GR00T visual only Results</x:v>
      </x:c>
      <x:c r="AM315" s="9" t="n">
        <x:v>15</x:v>
      </x:c>
      <x:c r="AN315" s="9" t="n">
        <x:v>15</x:v>
      </x:c>
    </x:row>
    <x:row r="316">
      <x:c r="A316" s="9" t="str">
        <x:v>Success</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GR00T visual only Results</x:v>
      </x:c>
      <x:c r="AM316" s="9" t="n">
        <x:v>16</x:v>
      </x:c>
      <x:c r="AN316" s="9" t="n">
        <x:v>16</x:v>
      </x:c>
    </x:row>
    <x:row r="317">
      <x:c r="A317" s="9" t="str">
        <x:v>Failure</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t="str">
        <x:v>picked the yellow pen</x:v>
      </x:c>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GR00T visual only Results</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airplane toy; hesitated for a long time before taking it to the bowl</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GR00T visual only Results</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GR00T visual only Results</x:v>
      </x:c>
      <x:c r="AM319" s="9" t="n">
        <x:v>19</x:v>
      </x:c>
      <x:c r="AN319" s="9" t="n">
        <x:v>19</x:v>
      </x:c>
    </x:row>
    <x:row r="320">
      <x:c r="A320" s="9" t="str">
        <x:v>Success</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GR00T visual only Results</x:v>
      </x:c>
      <x:c r="AM320" s="9" t="n">
        <x:v>20</x:v>
      </x:c>
      <x:c r="AN320" s="9" t="n">
        <x:v>20</x:v>
      </x:c>
    </x:row>
    <x:row r="321">
      <x:c r="A321" s="9" t="str">
        <x:v>Success</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GR00T visual only Results</x:v>
      </x:c>
      <x:c r="AM321" s="9" t="n">
        <x:v>21</x:v>
      </x:c>
      <x:c r="AN321" s="9" t="n">
        <x:v>21</x:v>
      </x:c>
    </x:row>
    <x:row r="322">
      <x:c r="A322" s="9" t="str">
        <x:v>Failure</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t="str">
        <x:v>picked tape ball</x:v>
      </x:c>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GR00T visual only Results</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GR00T visual only Results</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GR00T visual only Results</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GR00T visual only Results</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GR00T visual only Results</x:v>
      </x:c>
      <x:c r="AM326" s="9" t="n">
        <x:v>26</x:v>
      </x:c>
      <x:c r="AN326" s="9" t="n">
        <x:v>26</x:v>
      </x:c>
    </x:row>
    <x:row r="327">
      <x:c r="A327" s="9" t="str">
        <x:v>Success</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GR00T visual only Results</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GR00T visual only Results</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GR00T visual only Results</x:v>
      </x:c>
      <x:c r="AM329" s="9" t="n">
        <x:v>29</x:v>
      </x:c>
      <x:c r="AN329" s="9" t="n">
        <x:v>29</x:v>
      </x:c>
    </x:row>
    <x:row r="330">
      <x:c r="A330" s="9" t="str">
        <x:v>Failure</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t="str">
        <x:v>picked green highlighter</x:v>
      </x:c>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GR00T visual only Results</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GR00T visual only Results</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GR00T visual only Results</x:v>
      </x:c>
      <x:c r="AM332" s="9" t="n">
        <x:v>32</x:v>
      </x:c>
      <x:c r="AN332" s="9" t="n">
        <x:v>32</x:v>
      </x:c>
    </x:row>
    <x:row r="333">
      <x:c r="A333" s="9" t="str">
        <x:v>Failure</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t="str">
        <x:v>succeeded reasoning and was trying to grab airplane toy, and couldn't during recovery, picked the green highlighter</x:v>
      </x:c>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GR00T visual only Results</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GR00T visual only Results</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tried picking the airplane toy, couldn't then grabbed the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GR00T visual only Results</x:v>
      </x:c>
      <x:c r="AM335" s="9" t="n">
        <x:v>35</x:v>
      </x:c>
      <x:c r="AN335" s="9" t="n">
        <x:v>35</x:v>
      </x:c>
    </x:row>
    <x:row r="336">
      <x:c r="A336" s="9" t="str">
        <x:v>Failure</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t="str">
        <x:v>succeeded reasoning; went for the blue tape ball, but knocked it out of range and couldn't recover</x:v>
      </x:c>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GR00T visual only Results</x:v>
      </x:c>
      <x:c r="AM336" s="9" t="n">
        <x:v>36</x:v>
      </x:c>
      <x:c r="AN336" s="9" t="n">
        <x:v>36</x:v>
      </x:c>
    </x:row>
    <x:row r="337">
      <x:c r="A337" s="9" t="str">
        <x:v>Success</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GR00T visual only Results</x:v>
      </x:c>
      <x:c r="AM337" s="9" t="n">
        <x:v>37</x:v>
      </x:c>
      <x:c r="AN337" s="9" t="n">
        <x:v>37</x:v>
      </x:c>
    </x:row>
    <x:row r="338">
      <x:c r="A338" s="9" t="str">
        <x:v>Failure</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t="str">
        <x:v>picked the yellow pen</x:v>
      </x:c>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GR00T visual only Results</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GR00T visual only Results</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got gripper on the green highlighter, but couldn't pick it up</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GR00T visual only Results</x:v>
      </x:c>
      <x:c r="AM340" s="9" t="n">
        <x:v>40</x:v>
      </x:c>
      <x:c r="AN340" s="9" t="n">
        <x:v>40</x:v>
      </x:c>
    </x:row>
    <x:row r="341">
      <x:c r="A341" s="9" t="str">
        <x:v>Success</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GR00T visual only Results</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GR00T visual only Results</x:v>
      </x:c>
      <x:c r="AM342" s="9" t="n">
        <x:v>42</x:v>
      </x:c>
      <x:c r="AN342" s="9" t="n">
        <x:v>42</x:v>
      </x:c>
    </x:row>
    <x:row r="343">
      <x:c r="A343" s="9" t="str">
        <x:v>Failure</x:v>
      </x:c>
      <x:c r="B343" s="9" t="str">
        <x:v>Ordinal Reference Ordering</x:v>
      </x:c>
      <x:c r="C343" s="10" t="n">
        <x:v>41</x:v>
      </x:c>
      <x:c r="D343" s="9" t="str">
        <x:v>Count from the left; place item number 2 in the bowl.</x:v>
      </x:c>
      <x:c r="E343" s="9" t="str">
        <x:v>L1: green highlighter, L2: yellow pen</x:v>
      </x:c>
      <x:c r="F343" s="9" t="str">
        <x:v>yellow pen</x:v>
      </x:c>
      <x:c r="G343" s="9" t="str">
        <x:v>got gripper on the green highlighter and then didn't move</x:v>
      </x:c>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GR00T visual only Results</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GR00T visual only Results</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GR00T visual only Results</x:v>
      </x:c>
      <x:c r="AM345" s="9" t="n">
        <x:v>45</x:v>
      </x:c>
      <x:c r="AN345" s="9" t="n">
        <x:v>45</x:v>
      </x:c>
    </x:row>
    <x:row r="346">
      <x:c r="A346" s="9" t="str">
        <x:v>Success</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GR00T visual only Results</x:v>
      </x:c>
      <x:c r="AM346" s="9" t="n">
        <x:v>46</x:v>
      </x:c>
      <x:c r="AN346" s="9" t="n">
        <x:v>46</x:v>
      </x:c>
    </x:row>
    <x:row r="347">
      <x:c r="A347" s="9" t="str">
        <x:v>Success</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GR00T visual only Results</x:v>
      </x:c>
      <x:c r="AM347" s="9" t="n">
        <x:v>47</x:v>
      </x:c>
      <x:c r="AN347" s="9" t="n">
        <x:v>47</x:v>
      </x:c>
    </x:row>
    <x:row r="348">
      <x:c r="A348" s="9" t="str">
        <x:v>Success</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GR00T visual only Results</x:v>
      </x:c>
      <x:c r="AM348" s="9" t="n">
        <x:v>48</x:v>
      </x:c>
      <x:c r="AN348" s="9" t="n">
        <x:v>48</x:v>
      </x:c>
    </x:row>
    <x:row r="349">
      <x:c r="A349" s="9" t="str">
        <x:v>Success</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GR00T visual only Results</x:v>
      </x:c>
      <x:c r="AM349" s="9" t="n">
        <x:v>49</x:v>
      </x:c>
      <x:c r="AN349" s="9" t="n">
        <x:v>49</x:v>
      </x:c>
    </x:row>
    <x:row r="350">
      <x:c r="A350" s="9" t="str">
        <x:v>Success</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GR00T visual only Results</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picked green highlighter</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GR00T visual only Results</x:v>
      </x:c>
      <x:c r="AM351" s="9" t="n">
        <x:v>51</x:v>
      </x:c>
      <x:c r="AN351" s="9" t="n">
        <x:v>51</x:v>
      </x:c>
    </x:row>
    <x:row r="352">
      <x:c r="A352" s="9" t="str">
        <x:v>Success</x:v>
      </x:c>
      <x:c r="B352" s="9" t="str">
        <x:v>Ordinal Reference Ordering</x:v>
      </x:c>
      <x:c r="C352" s="10" t="n">
        <x:v>50</x:v>
      </x:c>
      <x:c r="D352" s="9" t="str">
        <x:v>Put the yellow pen in the bowl.</x:v>
      </x:c>
      <x:c r="E352" s="9" t="str">
        <x:v>L1: yellow pen, L2: airplane toy with propellers, L3: green highlighter</x:v>
      </x:c>
      <x:c r="F352" s="9" t="str">
        <x:v>yellow pen</x:v>
      </x:c>
      <x:c r="G352" s="9"/>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GR00T visual only Results</x:v>
      </x:c>
      <x:c r="AM352" s="9" t="n">
        <x:v>52</x:v>
      </x:c>
      <x:c r="AN352" s="9" t="n">
        <x:v>52</x:v>
      </x:c>
    </x:row>
    <x:row r="353">
      <x:c r="A353" s="9" t="str">
        <x:v>Failure</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picked the airplane toy</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GR00T visual only Results</x:v>
      </x:c>
      <x:c r="AM353" s="9" t="n">
        <x:v>53</x:v>
      </x:c>
      <x:c r="AN353" s="9" t="n">
        <x:v>53</x:v>
      </x:c>
    </x:row>
    <x:row r="354">
      <x:c r="A354" s="9" t="str">
        <x:v>Failure</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t="str">
        <x:v>picked blue tape ball</x:v>
      </x:c>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GR00T visual only Results</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GR00T visual only Results</x:v>
      </x:c>
      <x:c r="AM355" s="9" t="n">
        <x:v>55</x:v>
      </x:c>
      <x:c r="AN355" s="9" t="n">
        <x:v>55</x:v>
      </x:c>
    </x:row>
    <x:row r="356">
      <x:c r="A356" s="9" t="str">
        <x:v>Failure</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t="str">
        <x:v>picked green highlighter</x:v>
      </x:c>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GR00T visual only Results</x:v>
      </x:c>
      <x:c r="AM356" s="9" t="n">
        <x:v>56</x:v>
      </x:c>
      <x:c r="AN356" s="9" t="n">
        <x:v>56</x:v>
      </x:c>
    </x:row>
    <x:row r="357">
      <x:c r="A357" s="9" t="str">
        <x:v>Failure</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t="str">
        <x:v>picked blue tape ball</x:v>
      </x:c>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GR00T visual only Results</x:v>
      </x:c>
      <x:c r="AM357" s="9" t="n">
        <x:v>57</x:v>
      </x:c>
      <x:c r="AN357" s="9" t="n">
        <x:v>57</x:v>
      </x:c>
    </x:row>
    <x:row r="358">
      <x:c r="A358" s="9" t="str">
        <x:v>Failure</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t="str">
        <x:v>succeeded in going to the tape ball but didn't grasp it; knocked it out of range</x:v>
      </x:c>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GR00T visual only Results</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picked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GR00T visual only Results</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GR00T visual only Results</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picked yellow pen</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GR00T visual only Results</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GR00T visual only Results</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GR00T visual only Results</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GR00T visual only Results</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blue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GR00T visual only Results</x:v>
      </x:c>
      <x:c r="AM365" s="9" t="n">
        <x:v>65</x:v>
      </x:c>
      <x:c r="AN365" s="9" t="n">
        <x:v>65</x:v>
      </x:c>
    </x:row>
    <x:row r="366">
      <x:c r="A366" s="9" t="str">
        <x:v>Failure</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t="str">
        <x:v>picked airplane toy</x:v>
      </x:c>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GR00T visual only Results</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GR00T visual only Results</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GR00T visual only Results</x:v>
      </x:c>
      <x:c r="AM368" s="9" t="n">
        <x:v>68</x:v>
      </x:c>
      <x:c r="AN368" s="9" t="n">
        <x:v>68</x:v>
      </x:c>
    </x:row>
    <x:row r="369">
      <x:c r="A369" s="9" t="str">
        <x:v>Success</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GR00T visual only Results</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green highlighter</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GR00T visual only Results</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GR00T visual only Results</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GR00T visual only Results</x:v>
      </x:c>
      <x:c r="AM372" s="9" t="n">
        <x:v>72</x:v>
      </x:c>
      <x:c r="AN372" s="9" t="n">
        <x:v>72</x:v>
      </x:c>
    </x:row>
    <x:row r="373">
      <x:c r="A373" s="9" t="str">
        <x:v>Failure</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t="str">
        <x:v>picked airplane toy</x:v>
      </x:c>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GR00T visual only Results</x:v>
      </x:c>
      <x:c r="AM373" s="9" t="n">
        <x:v>73</x:v>
      </x:c>
      <x:c r="AN373" s="9" t="n">
        <x:v>73</x:v>
      </x:c>
    </x:row>
    <x:row r="374">
      <x:c r="A374" s="9" t="str">
        <x:v>Failure</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t="str">
        <x:v>picked yellow pen</x:v>
      </x:c>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GR00T visual only Results</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GR00T visual only Results</x:v>
      </x:c>
      <x:c r="AM375" s="9" t="n">
        <x:v>75</x:v>
      </x:c>
      <x:c r="AN375" s="9" t="n">
        <x:v>75</x:v>
      </x:c>
    </x:row>
    <x:row r="376">
      <x:c r="A376" s="9" t="str">
        <x:v>Success</x:v>
      </x:c>
      <x:c r="B376" s="9" t="str">
        <x:v>Ordinal Reference Ordering</x:v>
      </x:c>
      <x:c r="C376" s="10" t="n">
        <x:v>74</x:v>
      </x:c>
      <x:c r="D376" s="9" t="str">
        <x:v>Move the yellow pen into the bowl.</x:v>
      </x:c>
      <x:c r="E376" s="9" t="str">
        <x:v>L1: airplane toy with propellers, L2: yellow pen</x:v>
      </x:c>
      <x:c r="F376" s="9" t="str">
        <x:v>yellow pen</x:v>
      </x:c>
      <x:c r="G376" s="9"/>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GR00T visual only Results</x:v>
      </x:c>
      <x:c r="AM376" s="9" t="n">
        <x:v>76</x:v>
      </x:c>
      <x:c r="AN376" s="9" t="n">
        <x:v>76</x:v>
      </x:c>
    </x:row>
    <x:row r="377">
      <x:c r="A377" s="9" t="str">
        <x:v>Success</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GR00T visual only Results</x:v>
      </x:c>
      <x:c r="AM377" s="9" t="n">
        <x:v>77</x:v>
      </x:c>
      <x:c r="AN377" s="9" t="n">
        <x:v>77</x:v>
      </x:c>
    </x:row>
    <x:row r="378">
      <x:c r="A378" s="9" t="str">
        <x:v>Success</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GR00T visual only Results</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GR00T visual only Results</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GR00T visual only Results</x:v>
      </x:c>
      <x:c r="AM380" s="9" t="n">
        <x:v>80</x:v>
      </x:c>
      <x:c r="AN380" s="9" t="n">
        <x:v>80</x:v>
      </x:c>
    </x:row>
    <x:row r="381">
      <x:c r="A381" s="9" t="str">
        <x:v>Failure</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t="str">
        <x:v>picked the green highlighter</x:v>
      </x:c>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GR00T visual only Results</x:v>
      </x:c>
      <x:c r="AM381" s="9" t="n">
        <x:v>81</x:v>
      </x:c>
      <x:c r="AN381" s="9" t="n">
        <x:v>81</x:v>
      </x:c>
    </x:row>
    <x:row r="382">
      <x:c r="A382" s="9" t="str">
        <x:v>Failure</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t="str">
        <x:v>succeeded reasoning. tried to get the airplane toy, but knocked it and during recovery got the blue tape ball</x:v>
      </x:c>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GR00T visual only Results</x:v>
      </x:c>
      <x:c r="AM382" s="9" t="n">
        <x:v>82</x:v>
      </x:c>
      <x:c r="AN382" s="9" t="n">
        <x:v>82</x:v>
      </x:c>
    </x:row>
    <x:row r="383">
      <x:c r="A383" s="9" t="str">
        <x:v>Failure</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succeeded reasoning, but overgripped and the tape ball flew away</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GR00T visual only Results</x:v>
      </x:c>
      <x:c r="AM383" s="9" t="n">
        <x:v>83</x:v>
      </x:c>
      <x:c r="AN383" s="9" t="n">
        <x:v>83</x:v>
      </x:c>
    </x:row>
    <x:row r="384">
      <x:c r="A384" s="9" t="str">
        <x:v>Success</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GR00T visual only Results</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picked airplane toy</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GR00T visual only Results</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GR00T visual only Results</x:v>
      </x:c>
      <x:c r="AM386" s="9" t="n">
        <x:v>86</x:v>
      </x:c>
      <x:c r="AN386" s="9" t="n">
        <x:v>86</x:v>
      </x:c>
    </x:row>
    <x:row r="387">
      <x:c r="A387" s="9" t="str">
        <x:v>Success</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GR00T visual only Results</x:v>
      </x:c>
      <x:c r="AM387" s="9" t="n">
        <x:v>87</x:v>
      </x:c>
      <x:c r="AN387" s="9" t="n">
        <x:v>87</x:v>
      </x:c>
    </x:row>
    <x:row r="388">
      <x:c r="A388" s="9" t="str">
        <x:v>Success</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GR00T visual only Results</x:v>
      </x:c>
      <x:c r="AM388" s="9" t="n">
        <x:v>88</x:v>
      </x:c>
      <x:c r="AN388" s="9" t="n">
        <x:v>88</x:v>
      </x:c>
    </x:row>
    <x:row r="389">
      <x:c r="A389" s="9" t="str">
        <x:v>Failure</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t="str">
        <x:v>picked yellow pen</x:v>
      </x:c>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GR00T visual only Results</x:v>
      </x:c>
      <x:c r="AM389" s="9" t="n">
        <x:v>89</x:v>
      </x:c>
      <x:c r="AN389" s="9" t="n">
        <x:v>89</x:v>
      </x:c>
    </x:row>
    <x:row r="390">
      <x:c r="A390" s="9" t="str">
        <x:v>Success</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GR00T visual only Results</x:v>
      </x:c>
      <x:c r="AM390" s="9" t="n">
        <x:v>90</x:v>
      </x:c>
      <x:c r="AN390" s="9" t="n">
        <x:v>90</x:v>
      </x:c>
    </x:row>
    <x:row r="391">
      <x:c r="A391" s="9" t="str">
        <x:v>Failure</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t="str">
        <x:v>picked airplane toy</x:v>
      </x:c>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GR00T visual only Results</x:v>
      </x:c>
      <x:c r="AM391" s="9" t="n">
        <x:v>91</x:v>
      </x:c>
      <x:c r="AN391" s="9" t="n">
        <x:v>91</x:v>
      </x:c>
    </x:row>
    <x:row r="392">
      <x:c r="A392" s="9" t="str">
        <x:v>Failure</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t="str">
        <x:v>tried to pick airplane toy and then misgripped and during recovery got the tape ball</x:v>
      </x:c>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GR00T visual only Results</x:v>
      </x:c>
      <x:c r="AM392" s="9" t="n">
        <x:v>92</x:v>
      </x:c>
      <x:c r="AN392" s="9" t="n">
        <x:v>92</x:v>
      </x:c>
    </x:row>
    <x:row r="393">
      <x:c r="A393" s="9" t="str">
        <x:v>Failure</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t="str">
        <x:v>picked the green highlighter</x:v>
      </x:c>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GR00T visual only Results</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GR00T visual only Results</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GR00T visual only Results</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GR00T visual only Results</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green highlighter</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GR00T visual only Results</x:v>
      </x:c>
      <x:c r="AM397" s="9" t="n">
        <x:v>97</x:v>
      </x:c>
      <x:c r="AN397" s="9" t="n">
        <x:v>97</x:v>
      </x:c>
    </x:row>
    <x:row r="398">
      <x:c r="A398" s="9" t="str">
        <x:v>Failure</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t="str">
        <x:v>picked green highlighter</x:v>
      </x:c>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GR00T visual only Results</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blue tape ball</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GR00T visual only Results</x:v>
      </x:c>
      <x:c r="AM399" s="9" t="n">
        <x:v>99</x:v>
      </x:c>
      <x:c r="AN399" s="9" t="n">
        <x:v>99</x:v>
      </x:c>
    </x:row>
    <x:row r="400">
      <x:c r="A400" s="9" t="str">
        <x:v>Failure</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t="str">
        <x:v>went to the right edge of workspace and jittered around</x:v>
      </x:c>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GR00T visual only Results</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t="str">
        <x:v>picked yellow pen</x:v>
      </x:c>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GR00T visual only Results</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GR00T visual only Results</x:v>
      </x:c>
      <x:c r="AM402" s="9" t="n">
        <x:v>102</x:v>
      </x:c>
      <x:c r="AN402" s="9" t="n">
        <x:v>102</x:v>
      </x:c>
    </x:row>
    <x:row r="403">
      <x:c r="A403" s="9" t="str">
        <x:v>Success</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GR00T visual only Results</x:v>
      </x:c>
      <x:c r="AM403" s="9" t="n">
        <x:v>103</x:v>
      </x:c>
      <x:c r="AN403" s="9" t="n">
        <x:v>103</x:v>
      </x:c>
    </x:row>
    <x:row r="404">
      <x:c r="A404" s="9" t="str">
        <x:v>Success</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GR00T visual only Results</x:v>
      </x:c>
      <x:c r="AM404" s="9" t="n">
        <x:v>104</x:v>
      </x:c>
      <x:c r="AN404" s="9" t="n">
        <x:v>104</x:v>
      </x:c>
    </x:row>
    <x:row r="405">
      <x:c r="A405" s="9" t="str">
        <x:v>Success</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GR00T visual only Results</x:v>
      </x:c>
      <x:c r="AM405" s="9" t="n">
        <x:v>105</x:v>
      </x:c>
      <x:c r="AN405" s="9" t="n">
        <x:v>105</x:v>
      </x:c>
    </x:row>
    <x:row r="406">
      <x:c r="A406" s="9" t="str">
        <x:v>Failure</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t="str">
        <x:v>picked blue tape ball</x:v>
      </x:c>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GR00T visual only Results</x:v>
      </x:c>
      <x:c r="AM406" s="9" t="n">
        <x:v>106</x:v>
      </x:c>
      <x:c r="AN406" s="9" t="n">
        <x:v>106</x:v>
      </x:c>
    </x:row>
    <x:row r="407">
      <x:c r="A407" s="9" t="str">
        <x:v>Success</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GR00T visual only Results</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GR00T visual only Results</x:v>
      </x:c>
      <x:c r="AM408" s="9" t="n">
        <x:v>108</x:v>
      </x:c>
      <x:c r="AN408" s="9" t="n">
        <x:v>108</x:v>
      </x:c>
    </x:row>
    <x:row r="409">
      <x:c r="A409" s="9" t="str">
        <x:v>Failure</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t="str">
        <x:v>picked green highlighter</x:v>
      </x:c>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GR00T visual only Results</x:v>
      </x:c>
      <x:c r="AM409" s="9" t="n">
        <x:v>109</x:v>
      </x:c>
      <x:c r="AN409" s="9" t="n">
        <x:v>109</x:v>
      </x:c>
    </x:row>
    <x:row r="410">
      <x:c r="A410" s="9" t="str">
        <x:v>Success</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GR00T visual only Results</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tried picking green highlighter and couldn't</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GR00T visual only Results</x:v>
      </x:c>
      <x:c r="AM411" s="9" t="n">
        <x:v>111</x:v>
      </x:c>
      <x:c r="AN411" s="9" t="n">
        <x:v>111</x:v>
      </x:c>
    </x:row>
    <x:row r="412">
      <x:c r="A412" s="9" t="str">
        <x:v>Success</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GR00T visual only Results</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GR00T visual only Results</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GR00T visual only Results</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GR00T visual only Results</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went towards the red block then drifted to green highlighter and took it</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GR00T visual only Results</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GR00T visual only Results</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yellow pen</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GR00T visual only Results</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GR00T visual only Results</x:v>
      </x:c>
      <x:c r="AM419" s="9" t="n">
        <x:v>119</x:v>
      </x:c>
      <x:c r="AN419" s="9" t="n">
        <x:v>119</x:v>
      </x:c>
    </x:row>
    <x:row r="420">
      <x:c r="A420" s="9" t="str">
        <x:v>Failure</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t="str">
        <x:v>picked green highlighter</x:v>
      </x:c>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GR00T visual only Results</x:v>
      </x:c>
      <x:c r="AM420" s="9" t="n">
        <x:v>120</x:v>
      </x:c>
      <x:c r="AN420" s="9" t="n">
        <x:v>120</x:v>
      </x:c>
    </x:row>
    <x:row r="421">
      <x:c r="A421" s="9" t="str">
        <x:v>Success</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GR00T visual only Results</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GR00T visual only Results</x:v>
      </x:c>
      <x:c r="AM422" s="9" t="n">
        <x:v>122</x:v>
      </x:c>
      <x:c r="AN422" s="9" t="n">
        <x:v>122</x:v>
      </x:c>
    </x:row>
    <x:row r="423">
      <x:c r="A423" s="9" t="str">
        <x:v>Success</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GR00T visual only Results</x:v>
      </x:c>
      <x:c r="AM423" s="9" t="n">
        <x:v>123</x:v>
      </x:c>
      <x:c r="AN423" s="9" t="n">
        <x:v>123</x:v>
      </x:c>
    </x:row>
    <x:row r="424">
      <x:c r="A424" s="9" t="str">
        <x:v>Success</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GR00T visual only Results</x:v>
      </x:c>
      <x:c r="AM424" s="9" t="n">
        <x:v>124</x:v>
      </x:c>
      <x:c r="AN424" s="9" t="n">
        <x:v>124</x:v>
      </x:c>
    </x:row>
    <x:row r="425">
      <x:c r="A425" s="9" t="str">
        <x:v>Success</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GR00T visual only Results</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the red block; seemed to be trying to pick the yellow pen but drifted to the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GR00T visual only Results</x:v>
      </x:c>
      <x:c r="AM426" s="9" t="n">
        <x:v>126</x:v>
      </x:c>
      <x:c r="AN426" s="9" t="n">
        <x:v>126</x:v>
      </x:c>
    </x:row>
    <x:row r="427">
      <x:c r="A427" s="9" t="str">
        <x:v>Failure</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t="str">
        <x:v>picked yellow pen</x:v>
      </x:c>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GR00T visual only Results</x:v>
      </x:c>
      <x:c r="AM427" s="9" t="n">
        <x:v>127</x:v>
      </x:c>
      <x:c r="AN427" s="9" t="n">
        <x:v>127</x:v>
      </x:c>
    </x:row>
    <x:row r="428">
      <x:c r="A428" s="9" t="str">
        <x:v>Success</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GR00T visual only Results</x:v>
      </x:c>
      <x:c r="AM428" s="9" t="n">
        <x:v>128</x:v>
      </x:c>
      <x:c r="AN428" s="9" t="n">
        <x:v>128</x:v>
      </x:c>
    </x:row>
    <x:row r="429">
      <x:c r="A429" s="9" t="str">
        <x:v>Success</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failed reasoning; tried ot pick the blue tape ball and missed and then got the green highlighter</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GR00T visual only Results</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red block</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GR00T visual only Results</x:v>
      </x:c>
      <x:c r="AM430" s="9" t="n">
        <x:v>130</x:v>
      </x:c>
      <x:c r="AN430" s="9" t="n">
        <x:v>130</x:v>
      </x:c>
    </x:row>
    <x:row r="431">
      <x:c r="A431" s="9" t="str">
        <x:v>Success</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GR00T visual only Results</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the green highlighter</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GR00T visual only Results</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tape ball</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GR00T visual only Results</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green highlighter</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GR00T visual only Results</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blue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GR00T visual only Results</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the yellow pen</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GR00T visual only Results</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the airplane toy</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GR00T visual only Results</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the yellow pen</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GR00T visual only Results</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the airplane toy; hesitated before moving the airplane toy to the bowl</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GR00T visual only Results</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blue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GR00T visual only Results</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the yellow pen</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GR00T visual only Results</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the blue tape ball</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GR00T visual only Results</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the blue tape ball</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GR00T visual only Results</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the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GR00T visual only Results</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the yellow pen</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GR00T visual only Results</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the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GR00T visual only Results</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tried to pick the green highlighter but couldn't</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GR00T visual only Results</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picked airplane toy</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GR00T visual only Results</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picked yellow pen</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GR00T visual only Results</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the airplane toy</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GR00T visual only Results</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tried to pick airplane toy; then picked the green highlighter</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GR00T visual only Results</x:v>
      </x:c>
      <x:c r="AM451" s="9" t="n">
        <x:v>151</x:v>
      </x:c>
      <x:c r="AN451" s="9" t="n">
        <x:v>151</x:v>
      </x:c>
    </x:row>
    <x:row r="452">
      <x:c r="A452" s="9" t="str">
        <x:v>Failure</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t="str">
        <x:v>moved the green pen in front of the pink marker, but didn't let go of it; success reasoning</x:v>
      </x:c>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GR00T vision-only Results</x:v>
      </x:c>
      <x:c r="AM452" s="9" t="n">
        <x:v>2</x:v>
      </x:c>
      <x:c r="AN452" s="9" t="n">
        <x:v>2</x:v>
      </x:c>
    </x:row>
    <x:row r="453">
      <x:c r="A453" s="9" t="str">
        <x:v>Failure</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t="str">
        <x:v>went to the green pen 2 times before grabbing it. Did end up moving it to the back of the pink pen, but didn't let go. Successful reasoning</x:v>
      </x:c>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GR00T vision-only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t="str">
        <x:v>went to the green pen 2 times before grabbing it. Did end up moving it to the back of the pink pen, but didn't let go. Successful reasoning</x:v>
      </x:c>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GR00T vision-only Results</x:v>
      </x:c>
      <x:c r="AM454" s="9" t="n">
        <x:v>4</x:v>
      </x:c>
      <x:c r="AN454" s="9" t="n">
        <x:v>4</x:v>
      </x:c>
    </x:row>
    <x:row r="455">
      <x:c r="A455" s="9" t="str">
        <x:v>Failure</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t="str">
        <x:v>moved pink marker more towards the back of the red block</x:v>
      </x:c>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GR00T vision-only Results</x:v>
      </x:c>
      <x:c r="AM455" s="9" t="n">
        <x:v>5</x:v>
      </x:c>
      <x:c r="AN455" s="9" t="n">
        <x:v>5</x:v>
      </x:c>
    </x:row>
    <x:row r="456">
      <x:c r="A456" s="9" t="str">
        <x:v>Success</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GR00T vision-only Results</x:v>
      </x:c>
      <x:c r="AM456" s="9" t="n">
        <x:v>6</x:v>
      </x:c>
      <x:c r="AN456" s="9" t="n">
        <x:v>6</x:v>
      </x:c>
    </x:row>
    <x:row r="457">
      <x:c r="A457" s="9" t="str">
        <x:v>Failure</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t="str">
        <x:v>put the green pen on top of the blue block, then didn't let go of the green pen</x:v>
      </x:c>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GR00T vision-only Results</x:v>
      </x:c>
      <x:c r="AM457" s="9" t="n">
        <x:v>7</x:v>
      </x:c>
      <x:c r="AN457" s="9" t="n">
        <x:v>7</x:v>
      </x:c>
    </x:row>
    <x:row r="458">
      <x:c r="A458" s="9" t="str">
        <x:v>Success</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GR00T vision-only Results</x:v>
      </x:c>
      <x:c r="AM458" s="9" t="n">
        <x:v>8</x:v>
      </x:c>
      <x:c r="AN458" s="9" t="n">
        <x:v>8</x:v>
      </x:c>
    </x:row>
    <x:row r="459">
      <x:c r="A459" s="9" t="str">
        <x:v>Success</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GR00T vision-only Results</x:v>
      </x:c>
      <x:c r="AM459" s="9" t="n">
        <x:v>9</x:v>
      </x:c>
      <x:c r="AN459" s="9" t="n">
        <x:v>9</x:v>
      </x:c>
    </x:row>
    <x:row r="460">
      <x:c r="A460" s="9" t="str">
        <x:v>Success</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GR00T vision-only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GR00T vision-only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GR00T vision-only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GR00T vision-only Results</x:v>
      </x:c>
      <x:c r="AM463" s="9" t="n">
        <x:v>13</x:v>
      </x:c>
      <x:c r="AN463" s="9" t="n">
        <x:v>13</x:v>
      </x:c>
    </x:row>
    <x:row r="464">
      <x:c r="A464" s="9" t="str">
        <x:v>Success</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GR00T vision-only Results</x:v>
      </x:c>
      <x:c r="AM464" s="9" t="n">
        <x:v>14</x:v>
      </x:c>
      <x:c r="AN464" s="9" t="n">
        <x:v>14</x:v>
      </x:c>
    </x:row>
    <x:row r="465">
      <x:c r="A465" s="9" t="str">
        <x:v>Failure</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t="str">
        <x:v>couldn't grasp the red block</x:v>
      </x:c>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GR00T vision-only Results</x:v>
      </x:c>
      <x:c r="AM465" s="9" t="n">
        <x:v>15</x:v>
      </x:c>
      <x:c r="AN465" s="9" t="n">
        <x:v>15</x:v>
      </x:c>
    </x:row>
    <x:row r="466">
      <x:c r="A466" s="9" t="str">
        <x:v>Failure</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t="str">
        <x:v>succeeded reasoning; moved the blue block to the left of the red block but couldn't let go of the blue block</x:v>
      </x:c>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GR00T vision-only Results</x:v>
      </x:c>
      <x:c r="AM466" s="9" t="n">
        <x:v>16</x:v>
      </x:c>
      <x:c r="AN466" s="9" t="n">
        <x:v>16</x:v>
      </x:c>
    </x:row>
    <x:row r="467">
      <x:c r="A467" s="9" t="str">
        <x:v>Success</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GR00T vision-only Results</x:v>
      </x:c>
      <x:c r="AM467" s="9" t="n">
        <x:v>17</x:v>
      </x:c>
      <x:c r="AN467" s="9" t="n">
        <x:v>17</x:v>
      </x:c>
    </x:row>
    <x:row r="468">
      <x:c r="A468" s="9" t="str">
        <x:v>Success</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GR00T vision-only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GR00T vision-only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GR00T vision-only Results</x:v>
      </x:c>
      <x:c r="AM470" s="9" t="n">
        <x:v>20</x:v>
      </x:c>
      <x:c r="AN470" s="9" t="n">
        <x:v>20</x:v>
      </x:c>
    </x:row>
    <x:row r="471">
      <x:c r="A471" s="9" t="str">
        <x:v>Success</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GR00T vision-only Results</x:v>
      </x:c>
      <x:c r="AM471" s="9" t="n">
        <x:v>21</x:v>
      </x:c>
      <x:c r="AN471" s="9" t="n">
        <x:v>21</x:v>
      </x:c>
    </x:row>
    <x:row r="472">
      <x:c r="A472" s="9" t="str">
        <x:v>Failure</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t="str">
        <x:v>succeeded reasoning; moved green pen to the front of the red block but didn't let go</x:v>
      </x:c>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GR00T vision-only Results</x:v>
      </x:c>
      <x:c r="AM472" s="9" t="n">
        <x:v>22</x:v>
      </x:c>
      <x:c r="AN472" s="9" t="n">
        <x:v>22</x:v>
      </x:c>
    </x:row>
    <x:row r="473">
      <x:c r="A473" s="9" t="str">
        <x:v>Success</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GR00T vision-only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GR00T vision-only Results</x:v>
      </x:c>
      <x:c r="AM474" s="9" t="n">
        <x:v>24</x:v>
      </x:c>
      <x:c r="AN474" s="9" t="n">
        <x:v>24</x:v>
      </x:c>
    </x:row>
    <x:row r="475">
      <x:c r="A475" s="9" t="str">
        <x:v>Success</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GR00T vision-only Results</x:v>
      </x:c>
      <x:c r="AM475" s="9" t="n">
        <x:v>25</x:v>
      </x:c>
      <x:c r="AN475" s="9" t="n">
        <x:v>25</x:v>
      </x:c>
    </x:row>
    <x:row r="476">
      <x:c r="A476" s="9" t="str">
        <x:v>Success</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GR00T vision-only Results</x:v>
      </x:c>
      <x:c r="AM476" s="9" t="n">
        <x:v>26</x:v>
      </x:c>
      <x:c r="AN476" s="9" t="n">
        <x:v>26</x:v>
      </x:c>
    </x:row>
    <x:row r="477">
      <x:c r="A477" s="9" t="str">
        <x:v>Success</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GR00T vision-only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GR00T vision-only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t="str">
        <x:v>more to the right of the pink marker but also back of green pen. I'll count it</x:v>
      </x:c>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GR00T vision-only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GR00T vision-only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picked the pen funny and dropped it to the right of the red block; did go back to pick it up, but timed out</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GR00T vision-only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GR00T vision-only Results</x:v>
      </x:c>
      <x:c r="AM482" s="9" t="n">
        <x:v>32</x:v>
      </x:c>
      <x:c r="AN482" s="9" t="n">
        <x:v>32</x:v>
      </x:c>
    </x:row>
    <x:row r="483">
      <x:c r="A483" s="9" t="str">
        <x:v>Success</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GR00T vision-only Results</x:v>
      </x:c>
      <x:c r="AM483" s="9" t="n">
        <x:v>33</x:v>
      </x:c>
      <x:c r="AN483" s="9" t="n">
        <x:v>33</x:v>
      </x:c>
    </x:row>
    <x:row r="484">
      <x:c r="A484" s="9" t="str">
        <x:v>Failure</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t="str">
        <x:v>moved towards the red block but was at the back and never moved to the left; didn't let go of object and timed out</x:v>
      </x:c>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GR00T vision-only Results</x:v>
      </x:c>
      <x:c r="AM484" s="9" t="n">
        <x:v>34</x:v>
      </x:c>
      <x:c r="AN484" s="9" t="n">
        <x:v>34</x:v>
      </x:c>
    </x:row>
    <x:row r="485">
      <x:c r="A485" s="9" t="str">
        <x:v>Success</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GR00T vision-only Results</x:v>
      </x:c>
      <x:c r="AM485" s="9" t="n">
        <x:v>35</x:v>
      </x:c>
      <x:c r="AN485" s="9" t="n">
        <x:v>35</x:v>
      </x:c>
    </x:row>
    <x:row r="486">
      <x:c r="A486" s="9" t="str">
        <x:v>Success</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didn't fully go home, but I'll count it. Struggled on the release</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GR00T vision-only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GR00T vision-only Results</x:v>
      </x:c>
      <x:c r="AM487" s="9" t="n">
        <x:v>37</x:v>
      </x:c>
      <x:c r="AN487" s="9" t="n">
        <x:v>37</x:v>
      </x:c>
    </x:row>
    <x:row r="488">
      <x:c r="A488" s="9" t="str">
        <x:v>Success</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GR00T vision-only Results</x:v>
      </x:c>
      <x:c r="AM488" s="9" t="n">
        <x:v>38</x:v>
      </x:c>
      <x:c r="AN488" s="9" t="n">
        <x:v>38</x:v>
      </x:c>
    </x:row>
    <x:row r="489">
      <x:c r="A489" s="9" t="str">
        <x:v>Success</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GR00T vision-only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GR00T vision-only Results</x:v>
      </x:c>
      <x:c r="AM490" s="9" t="n">
        <x:v>40</x:v>
      </x:c>
      <x:c r="AN490" s="9" t="n">
        <x:v>40</x:v>
      </x:c>
    </x:row>
    <x:row r="491">
      <x:c r="A491" s="9" t="str">
        <x:v>Success</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GR00T vision-only Results</x:v>
      </x:c>
      <x:c r="AM491" s="9" t="n">
        <x:v>41</x:v>
      </x:c>
      <x:c r="AN491" s="9" t="n">
        <x:v>41</x:v>
      </x:c>
    </x:row>
    <x:row r="492">
      <x:c r="A492" s="9" t="str">
        <x:v>Success</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GR00T vision-only Results</x:v>
      </x:c>
      <x:c r="AM492" s="9" t="n">
        <x:v>42</x:v>
      </x:c>
      <x:c r="AN492" s="9" t="n">
        <x:v>42</x:v>
      </x:c>
    </x:row>
    <x:row r="493">
      <x:c r="A493" s="9" t="str">
        <x:v>Success</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GR00T vision-only Results</x:v>
      </x:c>
      <x:c r="AM493" s="9" t="n">
        <x:v>43</x:v>
      </x:c>
      <x:c r="AN493" s="9" t="n">
        <x:v>43</x:v>
      </x:c>
    </x:row>
    <x:row r="494">
      <x:c r="A494" s="9" t="str">
        <x:v>Success</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GR00T vision-only Results</x:v>
      </x:c>
      <x:c r="AM494" s="9" t="n">
        <x:v>44</x:v>
      </x:c>
      <x:c r="AN494" s="9" t="n">
        <x:v>44</x:v>
      </x:c>
    </x:row>
    <x:row r="495">
      <x:c r="A495" s="9" t="str">
        <x:v>Success</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GR00T vision-only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GR00T vision-only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t="str">
        <x:v>leaning on the block; leaning on the right side</x:v>
      </x:c>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GR00T vision-only Results</x:v>
      </x:c>
      <x:c r="AM497" s="9" t="n">
        <x:v>47</x:v>
      </x:c>
      <x:c r="AN497" s="9" t="n">
        <x:v>47</x:v>
      </x:c>
    </x:row>
    <x:row r="498">
      <x:c r="A498" s="9" t="str">
        <x:v>Failure</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t="str">
        <x:v>leaning on the block; leaning on the right side</x:v>
      </x:c>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GR00T vision-only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t="str">
        <x:v>leaning on the block; leaning on the right side</x:v>
      </x:c>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GR00T vision-only Results</x:v>
      </x:c>
      <x:c r="AM499" s="9" t="n">
        <x:v>49</x:v>
      </x:c>
      <x:c r="AN499" s="9" t="n">
        <x:v>49</x:v>
      </x:c>
    </x:row>
    <x:row r="500">
      <x:c r="A500" s="9" t="str">
        <x:v>Success</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GR00T vision-only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t="str">
        <x:v>placed behind</x:v>
      </x:c>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GR00T vision-only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to the left; technically robot facing in this set up so maybe it is a success...</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GR00T vision-only Results</x:v>
      </x:c>
      <x:c r="AM502" s="9" t="n">
        <x:v>52</x:v>
      </x:c>
      <x:c r="AN502" s="9" t="n">
        <x:v>52</x:v>
      </x:c>
    </x:row>
    <x:row r="503">
      <x:c r="A503" s="9" t="str">
        <x:v>Failure</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t="str">
        <x:v>didn't let go of the pen; had it on top of the red block</x:v>
      </x:c>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GR00T vision-only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t="str">
        <x:v>struggled to release the block</x:v>
      </x:c>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GR00T vision-only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behind/left since knocked the pen</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GR00T vision-only Results</x:v>
      </x:c>
      <x:c r="AM505" s="9" t="n">
        <x:v>55</x:v>
      </x:c>
      <x:c r="AN505" s="9" t="n">
        <x:v>55</x:v>
      </x:c>
    </x:row>
    <x:row r="506">
      <x:c r="A506" s="9" t="str">
        <x:v>Failure</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behind</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GR00T vision-only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GR00T vision-only Results</x:v>
      </x:c>
      <x:c r="AM507" s="9" t="n">
        <x:v>57</x:v>
      </x:c>
      <x:c r="AN507" s="9" t="n">
        <x:v>57</x:v>
      </x:c>
    </x:row>
    <x:row r="508">
      <x:c r="A508" s="9" t="str">
        <x:v>Failure</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t="str">
        <x:v>grasped green pen funny and was recovering, but ran out of time</x:v>
      </x:c>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GR00T vision-only Results</x:v>
      </x:c>
      <x:c r="AM508" s="9" t="n">
        <x:v>58</x:v>
      </x:c>
      <x:c r="AN508" s="9" t="n">
        <x:v>58</x:v>
      </x:c>
    </x:row>
    <x:row r="509">
      <x:c r="A509" s="9" t="str">
        <x:v>Success</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put pen on the block but didn't let go until end of episode. didn't fully go home but I'll count it; put pen on the left side, leaning on the block</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GR00T vision-only Results</x:v>
      </x:c>
      <x:c r="AM509" s="9" t="n">
        <x:v>59</x:v>
      </x:c>
      <x:c r="AN509" s="9" t="n">
        <x:v>59</x:v>
      </x:c>
    </x:row>
    <x:row r="510">
      <x:c r="A510" s="9" t="str">
        <x:v>Failure</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t="str">
        <x:v>also put pen on the block and pushed the block; didn't let go of the pen</x:v>
      </x:c>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GR00T vision-only Results</x:v>
      </x:c>
      <x:c r="AM510" s="9" t="n">
        <x:v>60</x:v>
      </x:c>
      <x:c r="AN510" s="9" t="n">
        <x:v>60</x:v>
      </x:c>
    </x:row>
    <x:row r="511">
      <x:c r="A511" s="9" t="str">
        <x:v>Failure</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t="str">
        <x:v>also put pen on the block and pushed the block; let go of the pen and fell in front of the block</x:v>
      </x:c>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GR00T vision-only Results</x:v>
      </x:c>
      <x:c r="AM511" s="9" t="n">
        <x:v>61</x:v>
      </x:c>
      <x:c r="AN511" s="9" t="n">
        <x:v>61</x:v>
      </x:c>
    </x:row>
    <x:row r="512">
      <x:c r="A512" s="9" t="str">
        <x:v>Failure</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t="str">
        <x:v>couldn't even pick up the red block</x:v>
      </x:c>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GR00T vision-only Results</x:v>
      </x:c>
      <x:c r="AM512" s="9" t="n">
        <x:v>62</x:v>
      </x:c>
      <x:c r="AN512" s="9" t="n">
        <x:v>62</x:v>
      </x:c>
    </x:row>
    <x:row r="513">
      <x:c r="A513" s="9" t="str">
        <x:v>Failure</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t="str">
        <x:v>succeeded reasoning; couldn't let go of the red block</x:v>
      </x:c>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GR00T vision-only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GR00T vision-only Results</x:v>
      </x:c>
      <x:c r="AM514" s="9" t="n">
        <x:v>64</x:v>
      </x:c>
      <x:c r="AN514" s="9" t="n">
        <x:v>64</x:v>
      </x:c>
    </x:row>
    <x:row r="515">
      <x:c r="A515" s="9" t="str">
        <x:v>Failure</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overgripped and block sputtered close to green pen, but robot didn't return home</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GR00T vision-only Results</x:v>
      </x:c>
      <x:c r="AM515" s="9" t="n">
        <x:v>65</x:v>
      </x:c>
      <x:c r="AN515" s="9" t="n">
        <x:v>65</x:v>
      </x:c>
    </x:row>
    <x:row r="516">
      <x:c r="A516" s="9" t="str">
        <x:v>Failure</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t="str">
        <x:v>kept pinching the block when it was on the table; didn't return home; succeeded reasoning</x:v>
      </x:c>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GR00T vision-only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front of pen</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GR00T vision-only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GR00T vision-only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put in front of pen</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GR00T vision-only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GR00T vision-only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GR00T vision-only Results</x:v>
      </x:c>
      <x:c r="AM521" s="9" t="n">
        <x:v>71</x:v>
      </x:c>
      <x:c r="AN521" s="9" t="n">
        <x:v>71</x:v>
      </x:c>
    </x:row>
    <x:row r="522">
      <x:c r="A522" s="9" t="str">
        <x:v>Success</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GR00T vision-only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placed in front</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GR00T vision-only Results</x:v>
      </x:c>
      <x:c r="AM523" s="9" t="n">
        <x:v>73</x:v>
      </x:c>
      <x:c r="AN523" s="9" t="n">
        <x:v>73</x:v>
      </x:c>
    </x:row>
    <x:row r="524">
      <x:c r="A524" s="9" t="str">
        <x:v>Success</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GR00T vision-only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on left</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GR00T vision-only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GR00T vision-only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left</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GR00T vision-only Results</x:v>
      </x:c>
      <x:c r="AM527" s="9" t="n">
        <x:v>77</x:v>
      </x:c>
      <x:c r="AN527" s="9" t="n">
        <x:v>77</x:v>
      </x:c>
    </x:row>
    <x:row r="528">
      <x:c r="A528" s="9" t="str">
        <x:v>Success</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GR00T vision-only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GR00T vision-only Results</x:v>
      </x:c>
      <x:c r="AM529" s="9" t="n">
        <x:v>79</x:v>
      </x:c>
      <x:c r="AN529" s="9" t="n">
        <x:v>79</x:v>
      </x:c>
    </x:row>
    <x:row r="530">
      <x:c r="A530" s="9" t="str">
        <x:v>Success</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GR00T vision-only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pushed the red block with pen in gripper. green pen ended up on the right of the red block</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GR00T vision-only Results</x:v>
      </x:c>
      <x:c r="AM531" s="9" t="n">
        <x:v>81</x:v>
      </x:c>
      <x:c r="AN531" s="9" t="n">
        <x:v>81</x:v>
      </x:c>
    </x:row>
    <x:row r="532">
      <x:c r="A532" s="9" t="str">
        <x:v>Success</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t="str">
        <x:v>took a long timme to go home after putting the block to the right of the pen</x:v>
      </x:c>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GR00T vision-only Results</x:v>
      </x:c>
      <x:c r="AM532" s="9" t="n">
        <x:v>82</x:v>
      </x:c>
      <x:c r="AN532" s="9" t="n">
        <x:v>82</x:v>
      </x:c>
    </x:row>
    <x:row r="533">
      <x:c r="A533" s="9" t="str">
        <x:v>Success</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GR00T vision-only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on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GR00T vision-only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t="str">
        <x:v>placed on the left</x:v>
      </x:c>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GR00T vision-only Results</x:v>
      </x:c>
      <x:c r="AM535" s="9" t="n">
        <x:v>85</x:v>
      </x:c>
      <x:c r="AN535" s="9" t="n">
        <x:v>85</x:v>
      </x:c>
    </x:row>
    <x:row r="536">
      <x:c r="A536" s="9" t="str">
        <x:v>Failure</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t="str">
        <x:v>placed more toward the left</x:v>
      </x:c>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GR00T vision-only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to the right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GR00T vision-only Results</x:v>
      </x:c>
      <x:c r="AM537" s="9" t="n">
        <x:v>87</x:v>
      </x:c>
      <x:c r="AN537" s="9" t="n">
        <x:v>87</x:v>
      </x:c>
    </x:row>
    <x:row r="538">
      <x:c r="A538" s="9" t="str">
        <x:v>Failure</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t="str">
        <x:v>succeeded reasoning; put the red block in front of the green pen, but didn't return to home position </x:v>
      </x:c>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GR00T vision-only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t="str">
        <x:v>did place the red block in front of the green pen</x:v>
      </x:c>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GR00T vision-only Results</x:v>
      </x:c>
      <x:c r="AM539" s="9" t="n">
        <x:v>89</x:v>
      </x:c>
      <x:c r="AN539" s="9" t="n">
        <x:v>89</x:v>
      </x:c>
    </x:row>
    <x:row r="540">
      <x:c r="A540" s="9" t="str">
        <x:v>Failure</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t="str">
        <x:v>placed behind the pink marker and then didn't return to home position</x:v>
      </x:c>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GR00T vision-only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in front of the red block</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GR00T vision-only Results</x:v>
      </x:c>
      <x:c r="AM541" s="9" t="n">
        <x:v>91</x:v>
      </x:c>
      <x:c r="AN541" s="9" t="n">
        <x:v>91</x:v>
      </x:c>
    </x:row>
    <x:row r="542">
      <x:c r="A542" s="9" t="str">
        <x:v>Success</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t="str">
        <x:v>succeeded in reasoning and struggled to go home</x:v>
      </x:c>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GR00T vision-only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placed in front of the red block</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GR00T vision-only Results</x:v>
      </x:c>
      <x:c r="AM543" s="9" t="n">
        <x:v>93</x:v>
      </x:c>
      <x:c r="AN543" s="9" t="n">
        <x:v>93</x:v>
      </x:c>
    </x:row>
    <x:row r="544">
      <x:c r="A544" s="9" t="str">
        <x:v>Failure</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t="str">
        <x:v>succeeded reasoning; and moved the pen to the left, but couldn't release it</x:v>
      </x:c>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GR00T vision-only Results</x:v>
      </x:c>
      <x:c r="AM544" s="9" t="n">
        <x:v>94</x:v>
      </x:c>
      <x:c r="AN544" s="9" t="n">
        <x:v>94</x:v>
      </x:c>
    </x:row>
    <x:row r="545">
      <x:c r="A545" s="9" t="str">
        <x:v>Success</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t="str">
        <x:v>placed green pen behind the red block</x:v>
      </x:c>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GR00T vision-only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t="str">
        <x:v>closer to the right of the pink marker; started to go to red block after returning home, but didn't actually move the red block</x:v>
      </x:c>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GR00T vision-only Results</x:v>
      </x:c>
      <x:c r="AM546" s="9" t="n">
        <x:v>96</x:v>
      </x:c>
      <x:c r="AN546" s="9" t="n">
        <x:v>96</x:v>
      </x:c>
    </x:row>
    <x:row r="547">
      <x:c r="A547" s="9" t="str">
        <x:v>Success</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placed on the left</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GR00T vision-only Results</x:v>
      </x:c>
      <x:c r="AM547" s="9" t="n">
        <x:v>97</x:v>
      </x:c>
      <x:c r="AN547" s="9" t="n">
        <x:v>97</x:v>
      </x:c>
    </x:row>
    <x:row r="548">
      <x:c r="A548" s="9" t="str">
        <x:v>Success</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GR00T vision-only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also placed on the left; struggled to release again</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GR00T vision-only Results</x:v>
      </x:c>
      <x:c r="AM549" s="9" t="n">
        <x:v>99</x:v>
      </x:c>
      <x:c r="AN549" s="9" t="n">
        <x:v>99</x:v>
      </x:c>
    </x:row>
    <x:row r="550">
      <x:c r="A550" s="9" t="str">
        <x:v>Success</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GR00T vision-only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on the left</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GR00T vision-only Results</x:v>
      </x:c>
      <x:c r="AM551" s="9" t="n">
        <x:v>101</x:v>
      </x:c>
      <x:c r="AN551" s="9" t="n">
        <x:v>101</x:v>
      </x:c>
    </x:row>
    <x:row r="552">
      <x:c r="A552" s="9" t="str">
        <x:v>Failure</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t="str">
        <x:v>brought the green pen to the red block then held it for a while and dropped it in front/left of the red block</x:v>
      </x:c>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GR00T vision-only Results</x:v>
      </x:c>
      <x:c r="AM552" s="9" t="n">
        <x:v>102</x:v>
      </x:c>
      <x:c r="AN552" s="9" t="n">
        <x:v>102</x:v>
      </x:c>
    </x:row>
    <x:row r="553">
      <x:c r="A553" s="9" t="str">
        <x:v>Failure</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moved the pink marker to the left of the red block, then went and got the green pen. Did end up putting the green pen near the red block, but timed out before releasing it and returning home</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GR00T vision-only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GR00T vision-only Results</x:v>
      </x:c>
      <x:c r="AM554" s="9" t="n">
        <x:v>104</x:v>
      </x:c>
      <x:c r="AN554" s="9" t="n">
        <x:v>104</x:v>
      </x:c>
    </x:row>
    <x:row r="555">
      <x:c r="A555" s="9" t="str">
        <x:v>Failure</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succeeded reasoning and moved it near the green block but didn't release it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GR00T vision-only Results</x:v>
      </x:c>
      <x:c r="AM555" s="9" t="n">
        <x:v>105</x:v>
      </x:c>
      <x:c r="AN555" s="9" t="n">
        <x:v>105</x:v>
      </x:c>
    </x:row>
    <x:row r="556">
      <x:c r="A556" s="9" t="str">
        <x:v>Success</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t="str">
        <x:v>hesitates to go back home</x:v>
      </x:c>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GR00T vision-only Results</x:v>
      </x:c>
      <x:c r="AM556" s="9" t="n">
        <x:v>106</x:v>
      </x:c>
      <x:c r="AN556" s="9" t="n">
        <x:v>106</x:v>
      </x:c>
    </x:row>
    <x:row r="557">
      <x:c r="A557" s="9" t="str">
        <x:v>Success</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GR00T vision-only Results</x:v>
      </x:c>
      <x:c r="AM557" s="9" t="n">
        <x:v>107</x:v>
      </x:c>
      <x:c r="AN557" s="9" t="n">
        <x:v>107</x:v>
      </x:c>
    </x:row>
    <x:row r="558">
      <x:c r="A558" s="9" t="str">
        <x:v>Success</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GR00T vision-only Results</x:v>
      </x:c>
      <x:c r="AM558" s="9" t="n">
        <x:v>108</x:v>
      </x:c>
      <x:c r="AN558" s="9" t="n">
        <x:v>108</x:v>
      </x:c>
    </x:row>
    <x:row r="559">
      <x:c r="A559" s="9" t="str">
        <x:v>Success</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GR00T vision-only Results</x:v>
      </x:c>
      <x:c r="AM559" s="9" t="n">
        <x:v>109</x:v>
      </x:c>
      <x:c r="AN559" s="9" t="n">
        <x:v>109</x:v>
      </x:c>
    </x:row>
    <x:row r="560">
      <x:c r="A560" s="9" t="str">
        <x:v>Success</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GR00T vision-only Results</x:v>
      </x:c>
      <x:c r="AM560" s="9" t="n">
        <x:v>110</x:v>
      </x:c>
      <x:c r="AN560" s="9" t="n">
        <x:v>110</x:v>
      </x:c>
    </x:row>
    <x:row r="561">
      <x:c r="A561" s="9" t="str">
        <x:v>Success</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block leaning on the pen, but I'll count it</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GR00T vision-only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GR00T vision-only Results</x:v>
      </x:c>
      <x:c r="AM562" s="9" t="n">
        <x:v>112</x:v>
      </x:c>
      <x:c r="AN562" s="9" t="n">
        <x:v>112</x:v>
      </x:c>
    </x:row>
    <x:row r="563">
      <x:c r="A563" s="9" t="str">
        <x:v>Success</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struggled to let go of the juggling ball</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GR00T vision-only Results</x:v>
      </x:c>
      <x:c r="AM563" s="9" t="n">
        <x:v>113</x:v>
      </x:c>
      <x:c r="AN563" s="9" t="n">
        <x:v>113</x:v>
      </x:c>
    </x:row>
    <x:row r="564">
      <x:c r="A564" s="9" t="str">
        <x:v>Failure</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t="str">
        <x:v>started to take the pink marker to bowl, but then was sort of drifting back and forth with it in the gripper; didn't end up setting it down anywhere</x:v>
      </x:c>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GR00T vision-only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went to the pink marker 3 times and gripped it 2 times but let go.</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GR00T vision-only Results</x:v>
      </x:c>
      <x:c r="AM565" s="9" t="n">
        <x:v>115</x:v>
      </x:c>
      <x:c r="AN565" s="9" t="n">
        <x:v>115</x:v>
      </x:c>
    </x:row>
    <x:row r="566">
      <x:c r="A566" s="9" t="str">
        <x:v>Success</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GR00T vision-only Results</x:v>
      </x:c>
      <x:c r="AM566" s="9" t="n">
        <x:v>116</x:v>
      </x:c>
      <x:c r="AN566" s="9" t="n">
        <x:v>116</x:v>
      </x:c>
    </x:row>
    <x:row r="567">
      <x:c r="A567" s="9" t="str">
        <x:v>Success</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GR00T vision-only Results</x:v>
      </x:c>
      <x:c r="AM567" s="9" t="n">
        <x:v>117</x:v>
      </x:c>
      <x:c r="AN567" s="9" t="n">
        <x:v>117</x:v>
      </x:c>
    </x:row>
    <x:row r="568">
      <x:c r="A568" s="9" t="str">
        <x:v>Success</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GR00T vision-only Results</x:v>
      </x:c>
      <x:c r="AM568" s="9" t="n">
        <x:v>118</x:v>
      </x:c>
      <x:c r="AN568" s="9" t="n">
        <x:v>118</x:v>
      </x:c>
    </x:row>
    <x:row r="569">
      <x:c r="A569" s="9" t="str">
        <x:v>Failure</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t="str">
        <x:v>kept gripping and releasing the blue block</x:v>
      </x:c>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GR00T vision-only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GR00T vision-only Results</x:v>
      </x:c>
      <x:c r="AM570" s="9" t="n">
        <x:v>120</x:v>
      </x:c>
      <x:c r="AN570" s="9" t="n">
        <x:v>120</x:v>
      </x:c>
    </x:row>
    <x:row r="571">
      <x:c r="A571" s="9" t="str">
        <x:v>Success</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GR00T vision-only Results</x:v>
      </x:c>
      <x:c r="AM571" s="9" t="n">
        <x:v>121</x:v>
      </x:c>
      <x:c r="AN571" s="9" t="n">
        <x:v>121</x:v>
      </x:c>
    </x:row>
    <x:row r="572">
      <x:c r="A572" s="9" t="str">
        <x:v>Success</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front left but I'll count it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GR00T vision-only Results</x:v>
      </x:c>
      <x:c r="AM572" s="9" t="n">
        <x:v>122</x:v>
      </x:c>
      <x:c r="AN572" s="9" t="n">
        <x:v>122</x:v>
      </x:c>
    </x:row>
    <x:row r="573">
      <x:c r="A573" s="9" t="str">
        <x:v>Success</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GR00T vision-only Results</x:v>
      </x:c>
      <x:c r="AM573" s="9" t="n">
        <x:v>123</x:v>
      </x:c>
      <x:c r="AN573" s="9" t="n">
        <x:v>123</x:v>
      </x:c>
    </x:row>
    <x:row r="574">
      <x:c r="A574" s="9" t="str">
        <x:v>Success</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GR00T vision-only Results</x:v>
      </x:c>
      <x:c r="AM574" s="9" t="n">
        <x:v>124</x:v>
      </x:c>
      <x:c r="AN574" s="9" t="n">
        <x:v>124</x:v>
      </x:c>
    </x:row>
    <x:row r="575">
      <x:c r="A575" s="9" t="str">
        <x:v>Failure</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picked the pink marker and was waving it back and forth</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GR00T vision-only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grasped the red block but didn't move it</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GR00T vision-only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red block to the left of juggling ball</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GR00T vision-only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GR00T vision-only Results</x:v>
      </x:c>
      <x:c r="AM578" s="9" t="n">
        <x:v>128</x:v>
      </x:c>
      <x:c r="AN578" s="9" t="n">
        <x:v>128</x:v>
      </x:c>
    </x:row>
    <x:row r="579">
      <x:c r="A579" s="9" t="str">
        <x:v>Failure</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t="str">
        <x:v>moved a bit at the start of the episode and then returned back home</x:v>
      </x:c>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GR00T vision-only Results</x:v>
      </x:c>
      <x:c r="AM579" s="9" t="n">
        <x:v>129</x:v>
      </x:c>
      <x:c r="AN579" s="9" t="n">
        <x:v>129</x:v>
      </x:c>
    </x:row>
    <x:row r="580">
      <x:c r="A580" s="9" t="str">
        <x:v>Failure</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t="str">
        <x:v>didn't move</x:v>
      </x:c>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GR00T vision-only Results</x:v>
      </x:c>
      <x:c r="AM580" s="9" t="n">
        <x:v>130</x:v>
      </x:c>
      <x:c r="AN580" s="9" t="n">
        <x:v>130</x:v>
      </x:c>
    </x:row>
    <x:row r="581">
      <x:c r="A581" s="9" t="str">
        <x:v>Success</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t="str">
        <x:v>placed to the right and went home, but then went back towards juggling ball;  I think it counts</x:v>
      </x:c>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GR00T vision-only Results</x:v>
      </x:c>
      <x:c r="AM581" s="9" t="n">
        <x:v>131</x:v>
      </x:c>
      <x:c r="AN581" s="9" t="n">
        <x:v>131</x:v>
      </x:c>
    </x:row>
    <x:row r="582">
      <x:c r="A582" s="9" t="str">
        <x:v>Success</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GR00T vision-only Results</x:v>
      </x:c>
      <x:c r="AM582" s="9" t="n">
        <x:v>132</x:v>
      </x:c>
      <x:c r="AN582" s="9" t="n">
        <x:v>132</x:v>
      </x:c>
    </x:row>
    <x:row r="583">
      <x:c r="A583" s="9" t="str">
        <x:v>Success</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GR00T vision-only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didn't move</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GR00T vision-only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didn't move</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GR00T vision-only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didn't move</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GR00T vision-only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didn't move</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GR00T vision-only Results</x:v>
      </x:c>
      <x:c r="AM587" s="9" t="n">
        <x:v>137</x:v>
      </x:c>
      <x:c r="AN587" s="9" t="n">
        <x:v>137</x:v>
      </x:c>
    </x:row>
    <x:row r="588">
      <x:c r="A588" s="9" t="str">
        <x:v>Success</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GR00T vision-only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GR00T vision-only Results</x:v>
      </x:c>
      <x:c r="AM589" s="9" t="n">
        <x:v>139</x:v>
      </x:c>
      <x:c r="AN589" s="9" t="n">
        <x:v>139</x:v>
      </x:c>
    </x:row>
    <x:row r="590">
      <x:c r="A590" s="9" t="str">
        <x:v>Success</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GR00T vision-only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moved to blue block 3 times and then returned home; didn't touch the block</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GR00T vision-only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didn't move</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GR00T vision-only Results</x:v>
      </x:c>
      <x:c r="AM592" s="9" t="n">
        <x:v>142</x:v>
      </x:c>
      <x:c r="AN592" s="9" t="n">
        <x:v>142</x:v>
      </x:c>
    </x:row>
    <x:row r="593">
      <x:c r="A593" s="9" t="str">
        <x:v>Success</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GR00T vision-only Results</x:v>
      </x:c>
      <x:c r="AM593" s="9" t="n">
        <x:v>143</x:v>
      </x:c>
      <x:c r="AN593" s="9" t="n">
        <x:v>143</x:v>
      </x:c>
    </x:row>
    <x:row r="594">
      <x:c r="A594" s="9" t="str">
        <x:v>Failure</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t="str">
        <x:v>didn't move</x:v>
      </x:c>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GR00T vision-only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GR00T vision-only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GR00T vision-only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GR00T vision-only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GR00T vision-only Results</x:v>
      </x:c>
      <x:c r="AM598" s="9" t="n">
        <x:v>148</x:v>
      </x:c>
      <x:c r="AN598" s="9" t="n">
        <x:v>148</x:v>
      </x:c>
    </x:row>
    <x:row r="599">
      <x:c r="A599" s="9" t="str">
        <x:v>Success</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GR00T vision-only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didn't move</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GR00T vision-only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moved to the blue block 7 times, but didn't grab it</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GR00T vision-only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moved to the green pen 1 time but didn't grab it</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GR00T vision-only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t="str">
        <x:v>didn't move</x:v>
      </x:c>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GR00T vision-only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GR00T vision-only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GR00T vision-only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GR00T vision-only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GR00T vision-only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GR00T vision-only Results</x:v>
      </x:c>
      <x:c r="AM608" s="9" t="n">
        <x:v>158</x:v>
      </x:c>
      <x:c r="AN608" s="9" t="n">
        <x:v>158</x:v>
      </x:c>
    </x:row>
    <x:row r="609">
      <x:c r="A609" s="9" t="str">
        <x:v>Failure</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didn't move</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GR00T vision-only Results</x:v>
      </x:c>
      <x:c r="AM609" s="9" t="n">
        <x:v>159</x:v>
      </x:c>
      <x:c r="AN609" s="9" t="n">
        <x:v>159</x:v>
      </x:c>
    </x:row>
    <x:row r="610">
      <x:c r="A610" s="9" t="str">
        <x:v>Failure</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t="str">
        <x:v>didn't move</x:v>
      </x:c>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GR00T vision-only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GR00T vision-only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GR00T vision-only Results</x:v>
      </x:c>
      <x:c r="AM612" s="9" t="n">
        <x:v>162</x:v>
      </x:c>
      <x:c r="AN612" s="9" t="n">
        <x:v>162</x:v>
      </x:c>
    </x:row>
    <x:row r="613">
      <x:c r="A613" s="9" t="str">
        <x:v>Success</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GR00T vision-only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GR00T vision-only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GR00T vision-only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GR00T vision-only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t="str">
        <x:v>didn't move</x:v>
      </x:c>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GR00T vision-only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went to the red block 3 times but didn't pick it up</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GR00T vision-only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GR00T vision-only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GR00T vision-only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GR00T vision-only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GR00T vision-only Results</x:v>
      </x:c>
      <x:c r="AM622" s="9" t="n">
        <x:v>2</x:v>
      </x:c>
      <x:c r="AN622" s="9" t="n">
        <x:v>2</x:v>
      </x:c>
    </x:row>
    <x:row r="623">
      <x:c r="A623" s="9" t="str">
        <x:v>Failure</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t="str">
        <x:v>picked pepsi can</x:v>
      </x:c>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GR00T vision-only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GR00T vision-only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GR00T vision-only Results</x:v>
      </x:c>
      <x:c r="AM625" s="9" t="n">
        <x:v>5</x:v>
      </x:c>
      <x:c r="AN625" s="9" t="n">
        <x:v>5</x:v>
      </x:c>
    </x:row>
    <x:row r="626">
      <x:c r="A626" s="9" t="str">
        <x:v>Failure</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t="str">
        <x:v>got pepsi can which was in between the yellow pen and airplane toy; also closest to the yellow pen</x:v>
      </x:c>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GR00T vision-only Results</x:v>
      </x:c>
      <x:c r="AM626" s="9" t="n">
        <x:v>6</x:v>
      </x:c>
      <x:c r="AN626" s="9" t="n">
        <x:v>6</x:v>
      </x:c>
    </x:row>
    <x:row r="627">
      <x:c r="A627" s="9" t="str">
        <x:v>Failure</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t="str">
        <x:v>succeeded reasoning but overgripped the pencil sharpener and it slipped out the gripper. the robot then drifted to the right edge of workspace where it jittered until end of 60 seconds</x:v>
      </x:c>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GR00T vision-only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GR00T vision-only Results</x:v>
      </x:c>
      <x:c r="AM628" s="9" t="n">
        <x:v>8</x:v>
      </x:c>
      <x:c r="AN628" s="9" t="n">
        <x:v>8</x:v>
      </x:c>
    </x:row>
    <x:row r="629">
      <x:c r="A629" s="9" t="str">
        <x:v>Failure</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t="str">
        <x:v>picked the green pen</x:v>
      </x:c>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GR00T vision-only Results</x:v>
      </x:c>
      <x:c r="AM629" s="9" t="n">
        <x:v>9</x:v>
      </x:c>
      <x:c r="AN629" s="9" t="n">
        <x:v>9</x:v>
      </x:c>
    </x:row>
    <x:row r="630">
      <x:c r="A630" s="9" t="str">
        <x:v>Success</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GR00T vision-only Results</x:v>
      </x:c>
      <x:c r="AM630" s="9" t="n">
        <x:v>10</x:v>
      </x:c>
      <x:c r="AN630" s="9" t="n">
        <x:v>10</x:v>
      </x:c>
    </x:row>
    <x:row r="631">
      <x:c r="A631" s="9" t="str">
        <x:v>Success</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GR00T vision-only Results</x:v>
      </x:c>
      <x:c r="AM631" s="9" t="n">
        <x:v>11</x:v>
      </x:c>
      <x:c r="AN631" s="9" t="n">
        <x:v>11</x:v>
      </x:c>
    </x:row>
    <x:row r="632">
      <x:c r="A632" s="9" t="str">
        <x:v>Success</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GR00T vision-only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GR00T vision-only Results</x:v>
      </x:c>
      <x:c r="AM633" s="9" t="n">
        <x:v>13</x:v>
      </x:c>
      <x:c r="AN633" s="9" t="n">
        <x:v>13</x:v>
      </x:c>
    </x:row>
    <x:row r="634">
      <x:c r="A634" s="9" t="str">
        <x:v>Success</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GR00T vision-only Results</x:v>
      </x:c>
      <x:c r="AM634" s="9" t="n">
        <x:v>14</x:v>
      </x:c>
      <x:c r="AN634" s="9" t="n">
        <x:v>14</x:v>
      </x:c>
    </x:row>
    <x:row r="635">
      <x:c r="A635" s="9" t="str">
        <x:v>Success</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GR00T vision-only Results</x:v>
      </x:c>
      <x:c r="AM635" s="9" t="n">
        <x:v>15</x:v>
      </x:c>
      <x:c r="AN635" s="9" t="n">
        <x:v>15</x:v>
      </x:c>
    </x:row>
    <x:row r="636">
      <x:c r="A636" s="9" t="str">
        <x:v>Failure</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t="str">
        <x:v>picked up the yellow pen</x:v>
      </x:c>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GR00T vision-only Results</x:v>
      </x:c>
      <x:c r="AM636" s="9" t="n">
        <x:v>16</x:v>
      </x:c>
      <x:c r="AN636" s="9" t="n">
        <x:v>16</x:v>
      </x:c>
    </x:row>
    <x:row r="637">
      <x:c r="A637" s="9" t="str">
        <x:v>Failure</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t="str">
        <x:v>got yellow pen closest to pepse can or furthest from coke can</x:v>
      </x:c>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GR00T vision-only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GR00T vision-only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GR00T vision-only Results</x:v>
      </x:c>
      <x:c r="AM639" s="9" t="n">
        <x:v>19</x:v>
      </x:c>
      <x:c r="AN639" s="9" t="n">
        <x:v>19</x:v>
      </x:c>
    </x:row>
    <x:row r="640">
      <x:c r="A640" s="9" t="str">
        <x:v>Failure</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t="str">
        <x:v>picked the yellow pen</x:v>
      </x:c>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GR00T vision-only Results</x:v>
      </x:c>
      <x:c r="AM640" s="9" t="n">
        <x:v>20</x:v>
      </x:c>
      <x:c r="AN640" s="9" t="n">
        <x:v>20</x:v>
      </x:c>
    </x:row>
    <x:row r="641">
      <x:c r="A641" s="9" t="str">
        <x:v>Failure</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t="str">
        <x:v>picked the green pen</x:v>
      </x:c>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GR00T vision-only Results</x:v>
      </x:c>
      <x:c r="AM641" s="9" t="n">
        <x:v>21</x:v>
      </x:c>
      <x:c r="AN641" s="9" t="n">
        <x:v>21</x:v>
      </x:c>
    </x:row>
    <x:row r="642">
      <x:c r="A642" s="9" t="str">
        <x:v>Failure</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t="str">
        <x:v>reasoning success. went for the correct airplane toy, dropped it and during recovery went for the other one</x:v>
      </x:c>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GR00T vision-only Results</x:v>
      </x:c>
      <x:c r="AM642" s="9" t="n">
        <x:v>22</x:v>
      </x:c>
      <x:c r="AN642" s="9" t="n">
        <x:v>22</x:v>
      </x:c>
    </x:row>
    <x:row r="643">
      <x:c r="A643" s="9" t="str">
        <x:v>Success</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t="str">
        <x:v>went for the correct airplane toy, dropped it and recovered </x:v>
      </x:c>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GR00T vision-only Results</x:v>
      </x:c>
      <x:c r="AM643" s="9" t="n">
        <x:v>23</x:v>
      </x:c>
      <x:c r="AN643" s="9" t="n">
        <x:v>23</x:v>
      </x:c>
    </x:row>
    <x:row r="644">
      <x:c r="A644" s="9" t="str">
        <x:v>Failure</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t="str">
        <x:v>reasoning success. got the correct toy, but over gripped it and dropped it. never recovered</x:v>
      </x:c>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GR00T vision-only Results</x:v>
      </x:c>
      <x:c r="AM644" s="9" t="n">
        <x:v>24</x:v>
      </x:c>
      <x:c r="AN644" s="9" t="n">
        <x:v>24</x:v>
      </x:c>
    </x:row>
    <x:row r="645">
      <x:c r="A645" s="9" t="str">
        <x:v>Success</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t="str">
        <x:v>dropped and recovered</x:v>
      </x:c>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GR00T vision-only Results</x:v>
      </x:c>
      <x:c r="AM645" s="9" t="n">
        <x:v>25</x:v>
      </x:c>
      <x:c r="AN645" s="9" t="n">
        <x:v>25</x:v>
      </x:c>
    </x:row>
    <x:row r="646">
      <x:c r="A646" s="9" t="str">
        <x:v>Success</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GR00T vision-only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GR00T vision-only Results</x:v>
      </x:c>
      <x:c r="AM647" s="9" t="n">
        <x:v>27</x:v>
      </x:c>
      <x:c r="AN647" s="9" t="n">
        <x:v>27</x:v>
      </x:c>
    </x:row>
    <x:row r="648">
      <x:c r="A648" s="9" t="str">
        <x:v>Success</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GR00T vision-only Results</x:v>
      </x:c>
      <x:c r="AM648" s="9" t="n">
        <x:v>28</x:v>
      </x:c>
      <x:c r="AN648" s="9" t="n">
        <x:v>28</x:v>
      </x:c>
    </x:row>
    <x:row r="649">
      <x:c r="A649" s="9" t="str">
        <x:v>Success</x:v>
      </x:c>
      <x:c r="B649" s="9" t="str">
        <x:v>Referential Disambiguation</x:v>
      </x:c>
      <x:c r="C649" s="10" t="n">
        <x:v>27</x:v>
      </x:c>
      <x:c r="D649" s="9" t="str">
        <x:v>Take the crushed Coke can and set it in the bowl.</x:v>
      </x:c>
      <x:c r="E649" s="9" t="str">
        <x:v>crushed Coke can; crushed Pepsi can; green pen</x:v>
      </x:c>
      <x:c r="F649" s="9" t="str">
        <x:v>crushed Coke can</x:v>
      </x:c>
      <x:c r="G649" s="9"/>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GR00T vision-only Results</x:v>
      </x:c>
      <x:c r="AM649" s="9" t="n">
        <x:v>29</x:v>
      </x:c>
      <x:c r="AN649" s="9" t="n">
        <x:v>29</x:v>
      </x:c>
    </x:row>
    <x:row r="650">
      <x:c r="A650" s="9" t="str">
        <x:v>Failure</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t="str">
        <x:v>succeeded reasoning; went for the green pencil sharpener couldn't grasp then in recovery picked the green pen</x:v>
      </x:c>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GR00T vision-only Results</x:v>
      </x:c>
      <x:c r="AM650" s="9" t="n">
        <x:v>30</x:v>
      </x:c>
      <x:c r="AN650" s="9" t="n">
        <x:v>30</x:v>
      </x:c>
    </x:row>
    <x:row r="651">
      <x:c r="A651" s="9" t="str">
        <x:v>Failure</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t="str">
        <x:v>went to the green pencil sharpener, but couldn't grasp it slowly drifed to the right edge of workspace with it</x:v>
      </x:c>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GR00T vision-only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GR00T vision-only Results</x:v>
      </x:c>
      <x:c r="AM652" s="9" t="n">
        <x:v>32</x:v>
      </x:c>
      <x:c r="AN652" s="9" t="n">
        <x:v>32</x:v>
      </x:c>
    </x:row>
    <x:row r="653">
      <x:c r="A653" s="9" t="str">
        <x:v>Failure</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t="str">
        <x:v>went to the green pencil sharpener, but couldn't grasp it; ended up drifting to the right of the workspace</x:v>
      </x:c>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GR00T vision-only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GR00T vision-only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GR00T vision-only Results</x:v>
      </x:c>
      <x:c r="AM655" s="9" t="n">
        <x:v>35</x:v>
      </x:c>
      <x:c r="AN655" s="9" t="n">
        <x:v>35</x:v>
      </x:c>
    </x:row>
    <x:row r="656">
      <x:c r="A656" s="9" t="str">
        <x:v>Failure</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t="str">
        <x:v>picked green pen</x:v>
      </x:c>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GR00T vision-only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t="str">
        <x:v>picked the non-propellor plane; dropped it and then went for the propellor plane and put it in the bowl; failed reasoning</x:v>
      </x:c>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GR00T vision-only Results</x:v>
      </x:c>
      <x:c r="AM657" s="9" t="n">
        <x:v>37</x:v>
      </x:c>
      <x:c r="AN657" s="9" t="n">
        <x:v>37</x:v>
      </x:c>
    </x:row>
    <x:row r="658">
      <x:c r="A658" s="9" t="str">
        <x:v>Failure</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t="str">
        <x:v>didn't move</x:v>
      </x:c>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GR00T vision-only Results</x:v>
      </x:c>
      <x:c r="AM658" s="9" t="n">
        <x:v>38</x:v>
      </x:c>
      <x:c r="AN658" s="9" t="n">
        <x:v>38</x:v>
      </x:c>
    </x:row>
    <x:row r="659">
      <x:c r="A659" s="9" t="str">
        <x:v>Failure</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t="str">
        <x:v>picked the pepsi can</x:v>
      </x:c>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GR00T vision-only Results</x:v>
      </x:c>
      <x:c r="AM659" s="9" t="n">
        <x:v>39</x:v>
      </x:c>
      <x:c r="AN659" s="9" t="n">
        <x:v>39</x:v>
      </x:c>
    </x:row>
    <x:row r="660">
      <x:c r="A660" s="9" t="str">
        <x:v>Failure</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t="str">
        <x:v>picked the pepsi can; had long pause at start of episode too</x:v>
      </x:c>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GR00T vision-only Results</x:v>
      </x:c>
      <x:c r="AM660" s="9" t="n">
        <x:v>40</x:v>
      </x:c>
      <x:c r="AN660" s="9" t="n">
        <x:v>40</x:v>
      </x:c>
    </x:row>
    <x:row r="661">
      <x:c r="A661" s="9" t="str">
        <x:v>Failure</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t="str">
        <x:v>picked the pepsi can</x:v>
      </x:c>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GR00T vision-only Results</x:v>
      </x:c>
      <x:c r="AM661" s="9" t="n">
        <x:v>41</x:v>
      </x:c>
      <x:c r="AN661" s="9" t="n">
        <x:v>41</x:v>
      </x:c>
    </x:row>
    <x:row r="662">
      <x:c r="A662" s="9" t="str">
        <x:v>Success</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GR00T vision-only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GR00T vision-only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succeeded reasoning' went to the green pencil sharpener, but then moved and couldn't recover</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GR00T vision-only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GR00T vision-only Results</x:v>
      </x:c>
      <x:c r="AM665" s="9" t="n">
        <x:v>45</x:v>
      </x:c>
      <x:c r="AN665" s="9" t="n">
        <x:v>45</x:v>
      </x:c>
    </x:row>
    <x:row r="666">
      <x:c r="A666" s="9" t="str">
        <x:v>Failure</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t="str">
        <x:v>picked the closest one</x:v>
      </x:c>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GR00T vision-only Results</x:v>
      </x:c>
      <x:c r="AM666" s="9" t="n">
        <x:v>46</x:v>
      </x:c>
      <x:c r="AN666" s="9" t="n">
        <x:v>46</x:v>
      </x:c>
    </x:row>
    <x:row r="667">
      <x:c r="A667" s="9" t="str">
        <x:v>Failure</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t="str">
        <x:v>picked the propellor plane</x:v>
      </x:c>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GR00T vision-only Results</x:v>
      </x:c>
      <x:c r="AM667" s="9" t="n">
        <x:v>47</x:v>
      </x:c>
      <x:c r="AN667" s="9" t="n">
        <x:v>47</x:v>
      </x:c>
    </x:row>
    <x:row r="668">
      <x:c r="A668" s="9" t="str">
        <x:v>Success</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t="str">
        <x:v>had a bunch of recoveries</x:v>
      </x:c>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GR00T vision-only Results</x:v>
      </x:c>
      <x:c r="AM668" s="9" t="n">
        <x:v>48</x:v>
      </x:c>
      <x:c r="AN668" s="9" t="n">
        <x:v>48</x:v>
      </x:c>
    </x:row>
    <x:row r="669">
      <x:c r="A669" s="9" t="str">
        <x:v>Failure</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t="str">
        <x:v>succeeded reasoning, but gripped so hard that the toy got knocked off of the table; robot drifted to the right edge of the workspace</x:v>
      </x:c>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GR00T vision-only Results</x:v>
      </x:c>
      <x:c r="AM669" s="9" t="n">
        <x:v>49</x:v>
      </x:c>
      <x:c r="AN669" s="9" t="n">
        <x:v>49</x:v>
      </x:c>
    </x:row>
    <x:row r="670">
      <x:c r="A670" s="9" t="str">
        <x:v>Success</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GR00T vision-only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GR00T vision-only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GR00T vision-only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GR00T vision-only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GR00T vision-only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GR00T vision-only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GR00T vision-only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GR00T vision-only Results</x:v>
      </x:c>
      <x:c r="AM677" s="9" t="n">
        <x:v>57</x:v>
      </x:c>
      <x:c r="AN677" s="9" t="n">
        <x:v>57</x:v>
      </x:c>
    </x:row>
    <x:row r="678">
      <x:c r="A678" s="9" t="str">
        <x:v>Success</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GR00T vision-only Results</x:v>
      </x:c>
      <x:c r="AM678" s="9" t="n">
        <x:v>58</x:v>
      </x:c>
      <x:c r="AN678" s="9" t="n">
        <x:v>58</x:v>
      </x:c>
    </x:row>
    <x:row r="679">
      <x:c r="A679" s="9" t="str">
        <x:v>Failure</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t="str">
        <x:v>succeeded reasoning; knocked the toy right under the robot and couldn't get it. robot drifted off to the right edge</x:v>
      </x:c>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GR00T vision-only Results</x:v>
      </x:c>
      <x:c r="AM679" s="9" t="n">
        <x:v>59</x:v>
      </x:c>
      <x:c r="AN679" s="9" t="n">
        <x:v>59</x:v>
      </x:c>
    </x:row>
    <x:row r="680">
      <x:c r="A680" s="9" t="str">
        <x:v>Failure</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t="str">
        <x:v>succeeded reasoning but couldn't grasp it; knocked out of range</x:v>
      </x:c>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GR00T vision-only Results</x:v>
      </x:c>
      <x:c r="AM680" s="9" t="n">
        <x:v>60</x:v>
      </x:c>
      <x:c r="AN680" s="9" t="n">
        <x:v>60</x:v>
      </x:c>
    </x:row>
    <x:row r="681">
      <x:c r="A681" s="9" t="str">
        <x:v>Failure</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t="str">
        <x:v>succeeded reasoning; knocked the toy right under the robot and couldn't get it. robot drifted off to the right edge</x:v>
      </x:c>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GR00T vision-only Results</x:v>
      </x:c>
      <x:c r="AM681" s="9" t="n">
        <x:v>61</x:v>
      </x:c>
      <x:c r="AN681" s="9" t="n">
        <x:v>61</x:v>
      </x:c>
    </x:row>
    <x:row r="682">
      <x:c r="A682" s="9" t="str">
        <x:v>Failure</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t="str">
        <x:v>succeeded reasoning, but pinched the pepsi can so that it got knocked out of range</x:v>
      </x:c>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GR00T vision-only Results</x:v>
      </x:c>
      <x:c r="AM682" s="9" t="n">
        <x:v>62</x:v>
      </x:c>
      <x:c r="AN682" s="9" t="n">
        <x:v>62</x:v>
      </x:c>
    </x:row>
    <x:row r="683">
      <x:c r="A683" s="9" t="str">
        <x:v>Failure</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picked the coke can</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GR00T vision-only Results</x:v>
      </x:c>
      <x:c r="AM683" s="9" t="n">
        <x:v>63</x:v>
      </x:c>
      <x:c r="AN683" s="9" t="n">
        <x:v>63</x:v>
      </x:c>
    </x:row>
    <x:row r="684">
      <x:c r="A684" s="9" t="str">
        <x:v>Failure</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t="str">
        <x:v>picked the green pen</x:v>
      </x:c>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GR00T vision-only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GR00T vision-only Results</x:v>
      </x:c>
      <x:c r="AM685" s="9" t="n">
        <x:v>65</x:v>
      </x:c>
      <x:c r="AN685" s="9" t="n">
        <x:v>65</x:v>
      </x:c>
    </x:row>
    <x:row r="686">
      <x:c r="A686" s="9" t="str">
        <x:v>Success</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GR00T vision-only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succeeded reasoning, but dropped the airplane toy not inside the bowl and couldn't recover</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GR00T vision-only Results</x:v>
      </x:c>
      <x:c r="AM687" s="9" t="n">
        <x:v>67</x:v>
      </x:c>
      <x:c r="AN687" s="9" t="n">
        <x:v>67</x:v>
      </x:c>
    </x:row>
    <x:row r="688">
      <x:c r="A688" s="9" t="str">
        <x:v>Failure</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t="str">
        <x:v>started going for the coke can but diverted to the pepsi can </x:v>
      </x:c>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GR00T vision-only Results</x:v>
      </x:c>
      <x:c r="AM688" s="9" t="n">
        <x:v>68</x:v>
      </x:c>
      <x:c r="AN688" s="9" t="n">
        <x:v>68</x:v>
      </x:c>
    </x:row>
    <x:row r="689">
      <x:c r="A689" s="9" t="str">
        <x:v>Failure</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t="str">
        <x:v>succeeded reasoning, but pinched the coke can and it flung out of the workspace; didn't move much from where the coke can was</x:v>
      </x:c>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GR00T vision-only Results</x:v>
      </x:c>
      <x:c r="AM689" s="9" t="n">
        <x:v>69</x:v>
      </x:c>
      <x:c r="AN689" s="9" t="n">
        <x:v>69</x:v>
      </x:c>
    </x:row>
    <x:row r="690">
      <x:c r="A690" s="9" t="str">
        <x:v>Success</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GR00T vision-only Results</x:v>
      </x:c>
      <x:c r="AM690" s="9" t="n">
        <x:v>70</x:v>
      </x:c>
      <x:c r="AN690" s="9" t="n">
        <x:v>70</x:v>
      </x:c>
    </x:row>
    <x:row r="691">
      <x:c r="A691" s="9" t="str">
        <x:v>Success</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GR00T vision-only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t="str">
        <x:v>picked on closest to red pencil sharpener but dropped it. during recovery pick the correct one. failed reasoning</x:v>
      </x:c>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GR00T vision-only Results</x:v>
      </x:c>
      <x:c r="AM692" s="9" t="n">
        <x:v>72</x:v>
      </x:c>
      <x:c r="AN692" s="9" t="n">
        <x:v>72</x:v>
      </x:c>
    </x:row>
    <x:row r="693">
      <x:c r="A693" s="9" t="str">
        <x:v>Success</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GR00T vision-only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GR00T vision-only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GR00T vision-only Results</x:v>
      </x:c>
      <x:c r="AM695" s="9" t="n">
        <x:v>75</x:v>
      </x:c>
      <x:c r="AN695" s="9" t="n">
        <x:v>75</x:v>
      </x:c>
    </x:row>
    <x:row r="696">
      <x:c r="A696" s="9" t="str">
        <x:v>Failure</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went for the red pencil sharpener; struggled to grasp, but got it to bowl</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GR00T vision-only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GR00T vision-only Results</x:v>
      </x:c>
      <x:c r="AM697" s="9" t="n">
        <x:v>77</x:v>
      </x:c>
      <x:c r="AN697" s="9" t="n">
        <x:v>77</x:v>
      </x:c>
    </x:row>
    <x:row r="698">
      <x:c r="A698" s="9" t="str">
        <x:v>Failure</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t="str">
        <x:v>succeeded reasoning; knocked the furthest one under the robot from over gripping and during recover got the other airplane toy</x:v>
      </x:c>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GR00T vision-only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GR00T vision-only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GR00T vision-only Results</x:v>
      </x:c>
      <x:c r="AM700" s="9" t="n">
        <x:v>80</x:v>
      </x:c>
      <x:c r="AN700" s="9" t="n">
        <x:v>80</x:v>
      </x:c>
    </x:row>
    <x:row r="701">
      <x:c r="A701" s="9" t="str">
        <x:v>Failure</x:v>
      </x:c>
      <x:c r="B701" s="9" t="str">
        <x:v>Referential Disambiguation</x:v>
      </x:c>
      <x:c r="C701" s="10" t="n">
        <x:v>79</x:v>
      </x:c>
      <x:c r="D701" s="9" t="str">
        <x:v>Move the crushed Pepsi can into the bowl.</x:v>
      </x:c>
      <x:c r="E701" s="9" t="str">
        <x:v>crushed Coke can; crushed Pepsi can; green pen</x:v>
      </x:c>
      <x:c r="F701" s="9" t="str">
        <x:v>crushed Pepsi can</x:v>
      </x:c>
      <x:c r="G701" s="9" t="str">
        <x:v>succeeded reasoning, but pinched the pepsi can just out of reach</x:v>
      </x:c>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GR00T vision-only Results</x:v>
      </x:c>
      <x:c r="AM701" s="9" t="n">
        <x:v>81</x:v>
      </x:c>
      <x:c r="AN701" s="9" t="n">
        <x:v>81</x:v>
      </x:c>
    </x:row>
    <x:row r="702">
      <x:c r="A702" s="9" t="str">
        <x:v>Failure</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t="str">
        <x:v>succeeded reasoning. went for the red pencil sharpener, but couldn't grasp, drifted to the right edge of workspace. did pick the green pen, but dropped it, then went to coke can</x:v>
      </x:c>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GR00T vision-only Results</x:v>
      </x:c>
      <x:c r="AM702" s="9" t="n">
        <x:v>82</x:v>
      </x:c>
      <x:c r="AN702" s="9" t="n">
        <x:v>82</x:v>
      </x:c>
    </x:row>
    <x:row r="703">
      <x:c r="A703" s="9" t="str">
        <x:v>Success</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GR00T vision-only Results</x:v>
      </x:c>
      <x:c r="AM703" s="9" t="n">
        <x:v>83</x:v>
      </x:c>
      <x:c r="AN703" s="9" t="n">
        <x:v>83</x:v>
      </x:c>
    </x:row>
    <x:row r="704">
      <x:c r="A704" s="9" t="str">
        <x:v>Success</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GR00T vision-only Results</x:v>
      </x:c>
      <x:c r="AM704" s="9" t="n">
        <x:v>84</x:v>
      </x:c>
      <x:c r="AN704" s="9" t="n">
        <x:v>84</x:v>
      </x:c>
    </x:row>
    <x:row r="705">
      <x:c r="A705" s="9" t="str">
        <x:v>Success</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GR00T vision-only Results</x:v>
      </x:c>
      <x:c r="AM705" s="9" t="n">
        <x:v>85</x:v>
      </x:c>
      <x:c r="AN705" s="9" t="n">
        <x:v>85</x:v>
      </x:c>
    </x:row>
    <x:row r="706">
      <x:c r="A706" s="9" t="str">
        <x:v>Failure</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t="str">
        <x:v>picked closest</x:v>
      </x:c>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GR00T vision-only Results</x:v>
      </x:c>
      <x:c r="AM706" s="9" t="n">
        <x:v>86</x:v>
      </x:c>
      <x:c r="AN706" s="9" t="n">
        <x:v>86</x:v>
      </x:c>
    </x:row>
    <x:row r="707">
      <x:c r="A707" s="9" t="str">
        <x:v>Success</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GR00T vision-only Results</x:v>
      </x:c>
      <x:c r="AM707" s="9" t="n">
        <x:v>87</x:v>
      </x:c>
      <x:c r="AN707" s="9" t="n">
        <x:v>87</x:v>
      </x:c>
    </x:row>
    <x:row r="708">
      <x:c r="A708" s="9" t="str">
        <x:v>Success</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overgrip</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GR00T vision-only Results</x:v>
      </x:c>
      <x:c r="AM708" s="9" t="n">
        <x:v>88</x:v>
      </x:c>
      <x:c r="AN708" s="9" t="n">
        <x:v>88</x:v>
      </x:c>
    </x:row>
    <x:row r="709">
      <x:c r="A709" s="9" t="str">
        <x:v>Success</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GR00T vision-only Results</x:v>
      </x:c>
      <x:c r="AM709" s="9" t="n">
        <x:v>89</x:v>
      </x:c>
      <x:c r="AN709" s="9" t="n">
        <x:v>89</x:v>
      </x:c>
    </x:row>
    <x:row r="710">
      <x:c r="A710" s="9" t="str">
        <x:v>Success</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GR00T vision-only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succeeded reasoning; tried to get the green pencil sharpener; couldn't and then grabbed the green pen</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GR00T vision-only Results</x:v>
      </x:c>
      <x:c r="AM711" s="9" t="n">
        <x:v>91</x:v>
      </x:c>
      <x:c r="AN711" s="9" t="n">
        <x:v>91</x:v>
      </x:c>
    </x:row>
    <x:row r="712">
      <x:c r="A712" s="9" t="str">
        <x:v>Failure</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t="str">
        <x:v>succeeded reasoning; picked the furthest one, then  dropped it. Tried picking it up again, but couldn't </x:v>
      </x:c>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GR00T vision-only Results</x:v>
      </x:c>
      <x:c r="AM712" s="9" t="n">
        <x:v>92</x:v>
      </x:c>
      <x:c r="AN712" s="9" t="n">
        <x:v>92</x:v>
      </x:c>
    </x:row>
    <x:row r="713">
      <x:c r="A713" s="9" t="str">
        <x:v>Failure</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t="str">
        <x:v>picked the furthest</x:v>
      </x:c>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GR00T vision-only Results</x:v>
      </x:c>
      <x:c r="AM713" s="9" t="n">
        <x:v>93</x:v>
      </x:c>
      <x:c r="AN713" s="9" t="n">
        <x:v>93</x:v>
      </x:c>
    </x:row>
    <x:row r="714">
      <x:c r="A714" s="9" t="str">
        <x:v>Success</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GR00T vision-only Results</x:v>
      </x:c>
      <x:c r="AM714" s="9" t="n">
        <x:v>94</x:v>
      </x:c>
      <x:c r="AN714" s="9" t="n">
        <x:v>94</x:v>
      </x:c>
    </x:row>
    <x:row r="715">
      <x:c r="A715" s="9" t="str">
        <x:v>Failure</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t="str">
        <x:v>picked the closest one</x:v>
      </x:c>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GR00T vision-only Results</x:v>
      </x:c>
      <x:c r="AM715" s="9" t="n">
        <x:v>95</x:v>
      </x:c>
      <x:c r="AN715" s="9" t="n">
        <x:v>95</x:v>
      </x:c>
    </x:row>
    <x:row r="716">
      <x:c r="A716" s="9" t="str">
        <x:v>Success</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GR00T vision-only Results</x:v>
      </x:c>
      <x:c r="AM716" s="9" t="n">
        <x:v>96</x:v>
      </x:c>
      <x:c r="AN716" s="9" t="n">
        <x:v>96</x:v>
      </x:c>
    </x:row>
    <x:row r="717">
      <x:c r="A717" s="9" t="str">
        <x:v>Failure</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t="str">
        <x:v>picked airplane toy without propellors</x:v>
      </x:c>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GR00T vision-only Results</x:v>
      </x:c>
      <x:c r="AM717" s="9" t="n">
        <x:v>97</x:v>
      </x:c>
      <x:c r="AN717" s="9" t="n">
        <x:v>97</x:v>
      </x:c>
    </x:row>
    <x:row r="718">
      <x:c r="A718" s="9" t="str">
        <x:v>Success</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GR00T vision-only Results</x:v>
      </x:c>
      <x:c r="AM718" s="9" t="n">
        <x:v>98</x:v>
      </x:c>
      <x:c r="AN718" s="9" t="n">
        <x:v>98</x:v>
      </x:c>
    </x:row>
    <x:row r="719">
      <x:c r="A719" s="9" t="str">
        <x:v>Success</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GR00T vision-only Results</x:v>
      </x:c>
      <x:c r="AM719" s="9" t="n">
        <x:v>99</x:v>
      </x:c>
      <x:c r="AN719" s="9" t="n">
        <x:v>99</x:v>
      </x:c>
    </x:row>
    <x:row r="720">
      <x:c r="A720" s="9" t="str">
        <x:v>Failure</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t="str">
        <x:v>picked the green pen</x:v>
      </x:c>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GR00T vision-only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GR00T vision-only Results</x:v>
      </x:c>
      <x:c r="AM721" s="9" t="n">
        <x:v>101</x:v>
      </x:c>
      <x:c r="AN721" s="9" t="n">
        <x:v>101</x:v>
      </x:c>
    </x:row>
    <x:row r="722">
      <x:c r="A722" s="9" t="str">
        <x:v>Failure</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t="str">
        <x:v>picked furthest soda can; pepsi can</x:v>
      </x:c>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GR00T vision-only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picked red sharpener</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GR00T vision-only Results</x:v>
      </x:c>
      <x:c r="AM723" s="9" t="n">
        <x:v>103</x:v>
      </x:c>
      <x:c r="AN723" s="9" t="n">
        <x:v>103</x:v>
      </x:c>
    </x:row>
    <x:row r="724">
      <x:c r="A724" s="9" t="str">
        <x:v>Success</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GR00T vision-only Results</x:v>
      </x:c>
      <x:c r="AM724" s="9" t="n">
        <x:v>104</x:v>
      </x:c>
      <x:c r="AN724" s="9" t="n">
        <x:v>104</x:v>
      </x:c>
    </x:row>
    <x:row r="725">
      <x:c r="A725" s="9" t="str">
        <x:v>Success</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GR00T vision-only Results</x:v>
      </x:c>
      <x:c r="AM725" s="9" t="n">
        <x:v>105</x:v>
      </x:c>
      <x:c r="AN725" s="9" t="n">
        <x:v>105</x:v>
      </x:c>
    </x:row>
    <x:row r="726">
      <x:c r="A726" s="9" t="str">
        <x:v>Success</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GR00T vision-only Results</x:v>
      </x:c>
      <x:c r="AM726" s="9" t="n">
        <x:v>106</x:v>
      </x:c>
      <x:c r="AN726" s="9" t="n">
        <x:v>106</x:v>
      </x:c>
    </x:row>
    <x:row r="727">
      <x:c r="A727" s="9" t="str">
        <x:v>Failure</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t="str">
        <x:v>succeeded reasoning, but couldn't grasp the furthest airplane toy</x:v>
      </x:c>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GR00T vision-only Results</x:v>
      </x:c>
      <x:c r="AM727" s="9" t="n">
        <x:v>107</x:v>
      </x:c>
      <x:c r="AN727" s="9" t="n">
        <x:v>107</x:v>
      </x:c>
    </x:row>
    <x:row r="728">
      <x:c r="A728" s="9" t="str">
        <x:v>Failure</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t="str">
        <x:v>picked coke can; furthest</x:v>
      </x:c>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GR00T vision-only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GR00T vision-only Results</x:v>
      </x:c>
      <x:c r="AM729" s="9" t="n">
        <x:v>109</x:v>
      </x:c>
      <x:c r="AN729" s="9" t="n">
        <x:v>109</x:v>
      </x:c>
    </x:row>
    <x:row r="730">
      <x:c r="A730" s="9" t="str">
        <x:v>Failure</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t="str">
        <x:v>picked green pen</x:v>
      </x:c>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GR00T vision-only Results</x:v>
      </x:c>
      <x:c r="AM730" s="9" t="n">
        <x:v>110</x:v>
      </x:c>
      <x:c r="AN730" s="9" t="n">
        <x:v>110</x:v>
      </x:c>
    </x:row>
    <x:row r="731">
      <x:c r="A731" s="9" t="str">
        <x:v>Failure</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t="str">
        <x:v>picked the pepsi can</x:v>
      </x:c>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GR00T vision-only Results</x:v>
      </x:c>
      <x:c r="AM731" s="9" t="n">
        <x:v>111</x:v>
      </x:c>
      <x:c r="AN731" s="9" t="n">
        <x:v>111</x:v>
      </x:c>
    </x:row>
    <x:row r="732">
      <x:c r="A732" s="9" t="str">
        <x:v>Success</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GR00T vision-only Results</x:v>
      </x:c>
      <x:c r="AM732" s="9" t="n">
        <x:v>112</x:v>
      </x:c>
      <x:c r="AN732" s="9" t="n">
        <x:v>112</x:v>
      </x:c>
    </x:row>
    <x:row r="733">
      <x:c r="A733" s="9" t="str">
        <x:v>Failure</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t="str">
        <x:v>succeeded reasonind and went to the blue block but failed grasping</x:v>
      </x:c>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GR00T vision-only Results</x:v>
      </x:c>
      <x:c r="AM733" s="9" t="n">
        <x:v>113</x:v>
      </x:c>
      <x:c r="AN733" s="9" t="n">
        <x:v>113</x:v>
      </x:c>
    </x:row>
    <x:row r="734">
      <x:c r="A734" s="9" t="str">
        <x:v>Failure</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t="str">
        <x:v>succeeded reasonind and went to the blue block but failed grasping; during recovery tried to grab the green pencil sharpener, but failed</x:v>
      </x:c>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GR00T vision-only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the green pencil sharpener</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GR00T vision-only Results</x:v>
      </x:c>
      <x:c r="AM735" s="9" t="n">
        <x:v>115</x:v>
      </x:c>
      <x:c r="AN735" s="9" t="n">
        <x:v>115</x:v>
      </x:c>
    </x:row>
    <x:row r="736">
      <x:c r="A736" s="9" t="str">
        <x:v>Failure</x:v>
      </x:c>
      <x:c r="B736" s="9" t="str">
        <x:v>Referential Disambiguation</x:v>
      </x:c>
      <x:c r="C736" s="10" t="n">
        <x:v>114</x:v>
      </x:c>
      <x:c r="D736" s="9" t="str">
        <x:v>Move the block closest to the green pen into the bowl.</x:v>
      </x:c>
      <x:c r="E736" s="9" t="str">
        <x:v>green block; blue block; green pen</x:v>
      </x:c>
      <x:c r="F736" s="9" t="str">
        <x:v>green block</x:v>
      </x:c>
      <x:c r="G736" s="9" t="str">
        <x:v>picked the green pencil sharpener</x:v>
      </x:c>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GR00T vision-only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GR00T vision-only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GR00T vision-only Results</x:v>
      </x:c>
      <x:c r="AM738" s="9" t="n">
        <x:v>118</x:v>
      </x:c>
      <x:c r="AN738" s="9" t="n">
        <x:v>118</x:v>
      </x:c>
    </x:row>
    <x:row r="739">
      <x:c r="A739" s="9" t="str">
        <x:v>Failure</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t="str">
        <x:v>picked the airplane toy</x:v>
      </x:c>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GR00T vision-only Results</x:v>
      </x:c>
      <x:c r="AM739" s="9" t="n">
        <x:v>119</x:v>
      </x:c>
      <x:c r="AN739" s="9" t="n">
        <x:v>119</x:v>
      </x:c>
    </x:row>
    <x:row r="740">
      <x:c r="A740" s="9" t="str">
        <x:v>Success</x:v>
      </x:c>
      <x:c r="B740" s="9" t="str">
        <x:v>Referential Disambiguation</x:v>
      </x:c>
      <x:c r="C740" s="10" t="n">
        <x:v>118</x:v>
      </x:c>
      <x:c r="D740" s="9" t="str">
        <x:v>Put the block closest to the crushed Coke can in the bowl.</x:v>
      </x:c>
      <x:c r="E740" s="9" t="str">
        <x:v>green block; blue block; crushed Coke can</x:v>
      </x:c>
      <x:c r="F740" s="9" t="str">
        <x:v>green block</x:v>
      </x:c>
      <x:c r="G740" s="9"/>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GR00T vision-only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GR00T vision-only Results</x:v>
      </x:c>
      <x:c r="AM741" s="9" t="n">
        <x:v>121</x:v>
      </x:c>
      <x:c r="AN741" s="9" t="n">
        <x:v>121</x:v>
      </x:c>
    </x:row>
    <x:row r="742">
      <x:c r="A742" s="9" t="str">
        <x:v>Success</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GR00T vision-only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picked blue block again</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GR00T vision-only Results</x:v>
      </x:c>
      <x:c r="AM743" s="9" t="n">
        <x:v>123</x:v>
      </x:c>
      <x:c r="AN743" s="9" t="n">
        <x:v>123</x:v>
      </x:c>
    </x:row>
    <x:row r="744">
      <x:c r="A744" s="9" t="str">
        <x:v>Failure</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t="str">
        <x:v>picked blue block</x:v>
      </x:c>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GR00T vision-only Results</x:v>
      </x:c>
      <x:c r="AM744" s="9" t="n">
        <x:v>124</x:v>
      </x:c>
      <x:c r="AN744" s="9" t="n">
        <x:v>124</x:v>
      </x:c>
    </x:row>
    <x:row r="745">
      <x:c r="A745" s="9" t="str">
        <x:v>Success</x:v>
      </x:c>
      <x:c r="B745" s="9" t="str">
        <x:v>Referential Disambiguation</x:v>
      </x:c>
      <x:c r="C745" s="10" t="n">
        <x:v>123</x:v>
      </x:c>
      <x:c r="D745" s="9" t="str">
        <x:v>Put the block furthest from the green pen in the bowl.</x:v>
      </x:c>
      <x:c r="E745" s="9" t="str">
        <x:v>green block; blue block; green pen; yellow pen</x:v>
      </x:c>
      <x:c r="F745" s="9" t="str">
        <x:v>blue block</x:v>
      </x:c>
      <x:c r="G745" s="9"/>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GR00T vision-only Results</x:v>
      </x:c>
      <x:c r="AM745" s="9" t="n">
        <x:v>125</x:v>
      </x:c>
      <x:c r="AN745" s="9" t="n">
        <x:v>125</x:v>
      </x:c>
    </x:row>
    <x:row r="746">
      <x:c r="A746" s="9" t="str">
        <x:v>Failure</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t="str">
        <x:v>succeeded reasoning; tried picking green block but couldn't and drifted to the right</x:v>
      </x:c>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GR00T vision-only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GR00T vision-only Results</x:v>
      </x:c>
      <x:c r="AM747" s="9" t="n">
        <x:v>127</x:v>
      </x:c>
      <x:c r="AN747" s="9" t="n">
        <x:v>127</x:v>
      </x:c>
    </x:row>
    <x:row r="748">
      <x:c r="A748" s="9" t="str">
        <x:v>Failure</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t="str">
        <x:v>picked blue block</x:v>
      </x:c>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GR00T vision-only Results</x:v>
      </x:c>
      <x:c r="AM748" s="9" t="n">
        <x:v>128</x:v>
      </x:c>
      <x:c r="AN748" s="9" t="n">
        <x:v>128</x:v>
      </x:c>
    </x:row>
    <x:row r="749">
      <x:c r="A749" s="9" t="str">
        <x:v>Failure</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t="str">
        <x:v>picked the red sharpener</x:v>
      </x:c>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GR00T vision-only Results</x:v>
      </x:c>
      <x:c r="AM749" s="9" t="n">
        <x:v>129</x:v>
      </x:c>
      <x:c r="AN749" s="9" t="n">
        <x:v>129</x:v>
      </x:c>
    </x:row>
    <x:row r="750">
      <x:c r="A750" s="9" t="str">
        <x:v>Failure</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t="str">
        <x:v>picked blue block</x:v>
      </x:c>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GR00T vision-only Results</x:v>
      </x:c>
      <x:c r="AM750" s="9" t="n">
        <x:v>130</x:v>
      </x:c>
      <x:c r="AN750" s="9" t="n">
        <x:v>130</x:v>
      </x:c>
    </x:row>
    <x:row r="751">
      <x:c r="A751" s="9" t="str">
        <x:v>Failure</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picked yellow pen</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GR00T vision-only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tried to pick propellor plane like a soda can; didn't actually pick it</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GR00T vision-only Results</x:v>
      </x:c>
      <x:c r="AM752" s="9" t="n">
        <x:v>132</x:v>
      </x:c>
      <x:c r="AN752" s="9" t="n">
        <x:v>132</x:v>
      </x:c>
    </x:row>
    <x:row r="753">
      <x:c r="A753" s="9" t="str">
        <x:v>Failure</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t="str">
        <x:v>picked the green pen which was pen closest to the coke can</x:v>
      </x:c>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GR00T vision-only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the green pen, which was closest pen to the green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GR00T vision-only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airplane toy furthest</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GR00T vision-only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picked the airplane toy without propellors</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GR00T vision-only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non propellor plane</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GR00T vision-only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picked green pen</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GR00T vision-only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picked the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GR00T vision-only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picked the yellow pen</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GR00T vision-only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yellow pen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GR00T vision-only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picked the green pencil sharpener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GR00T vision-only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picked red pencil sharpener; closest sharpener to airplane toy</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GR00T vision-only Results</x:v>
      </x:c>
      <x:c r="AM763" s="9" t="n">
        <x:v>143</x:v>
      </x:c>
      <x:c r="AN763" s="9" t="n">
        <x:v>143</x:v>
      </x:c>
    </x:row>
    <x:row r="764">
      <x:c r="A764" s="9" t="str">
        <x:v>Failure</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t="str">
        <x:v>tried to picked the airplane toy, but dropped it</x:v>
      </x:c>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GR00T vision-only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picked airplane toy closest to coke can</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GR00T vision-only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picked green pencil sharpener</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GR00T vision-only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picked the red pencil sharpener that was furthest from the crushed pepsi can</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GR00T vision-only Results</x:v>
      </x:c>
      <x:c r="AM767" s="9" t="n">
        <x:v>147</x:v>
      </x:c>
      <x:c r="AN767" s="9" t="n">
        <x:v>147</x:v>
      </x:c>
    </x:row>
    <x:row r="768">
      <x:c r="A768" s="9" t="str">
        <x:v>Failure</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picked the yellow pen</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GR00T vision-only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picked the green pen; closest pen to the non-propellor plane</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GR00T vision-only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picked the green pencil sharpener; sharpener between the green pen and crushed pepsi can</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GR00T vision-only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t="str">
        <x:v>tried to pick the airplane toy but couldn't; closest object to the green pen</x:v>
      </x:c>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GR00T vision-only Results</x:v>
      </x:c>
      <x:c r="AM771" s="9" t="n">
        <x:v>151</x:v>
      </x:c>
      <x:c r="AN771" s="9" t="n">
        <x:v>151</x:v>
      </x:c>
    </x:row>
    <x:row r="772">
      <x:c r="A772" s="9" t="str">
        <x:v>Success</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GR00T vision-only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GR00T vision-only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GR00T vision-only Results</x:v>
      </x:c>
      <x:c r="AM774" s="9" t="n">
        <x:v>4</x:v>
      </x:c>
      <x:c r="AN774" s="9" t="n">
        <x:v>4</x:v>
      </x:c>
    </x:row>
    <x:row r="775">
      <x:c r="A775" s="9" t="str">
        <x:v>Failure</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t="str">
        <x:v>successfully went to the pepsi can but didn't close gripper around it. Success on reasoning, failure on grasping</x:v>
      </x:c>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GR00T vision-only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GR00T vision-only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t="str">
        <x:v>over gripped it that is squeezed the block out of the gripper into the bowl instead of dropping it in the bowl</x:v>
      </x:c>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GR00T vision-only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GR00T vision-only Results</x:v>
      </x:c>
      <x:c r="AM778" s="9" t="n">
        <x:v>8</x:v>
      </x:c>
      <x:c r="AN778" s="9" t="n">
        <x:v>8</x:v>
      </x:c>
    </x:row>
    <x:row r="779">
      <x:c r="A779" s="9" t="str">
        <x:v>Success</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GR00T vision-only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GR00T vision-only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GR00T vision-only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GR00T vision-only Results</x:v>
      </x:c>
      <x:c r="AM782" s="9" t="n">
        <x:v>12</x:v>
      </x:c>
      <x:c r="AN782" s="9" t="n">
        <x:v>12</x:v>
      </x:c>
    </x:row>
    <x:row r="783">
      <x:c r="A783" s="9" t="str">
        <x:v>Failure</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t="str">
        <x:v>succeeded resoning in going to the pepsi can, but once it had its grippers around it, it couldn't grasp it</x:v>
      </x:c>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GR00T vision-only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GR00T vision-only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GR00T vision-only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GR00T vision-only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GR00T vision-only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GR00T vision-only Results</x:v>
      </x:c>
      <x:c r="AM788" s="9" t="n">
        <x:v>18</x:v>
      </x:c>
      <x:c r="AN788" s="9" t="n">
        <x:v>18</x:v>
      </x:c>
    </x:row>
    <x:row r="789">
      <x:c r="A789" s="9" t="str">
        <x:v>Failure</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t="str">
        <x:v>successful reasoning, but had a bad grip and it got pushed out of range</x:v>
      </x:c>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GR00T vision-only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GR00T vision-only Results</x:v>
      </x:c>
      <x:c r="AM790" s="9" t="n">
        <x:v>20</x:v>
      </x:c>
      <x:c r="AN790" s="9" t="n">
        <x:v>20</x:v>
      </x:c>
    </x:row>
    <x:row r="791">
      <x:c r="A791" s="9" t="str">
        <x:v>Success</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GR00T vision-only Results</x:v>
      </x:c>
      <x:c r="AM791" s="9" t="n">
        <x:v>21</x:v>
      </x:c>
      <x:c r="AN791" s="9" t="n">
        <x:v>21</x:v>
      </x:c>
    </x:row>
    <x:row r="792">
      <x:c r="A792" s="9" t="str">
        <x:v>Success</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GR00T vision-only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GR00T vision-only Results</x:v>
      </x:c>
      <x:c r="AM793" s="9" t="n">
        <x:v>23</x:v>
      </x:c>
      <x:c r="AN793" s="9" t="n">
        <x:v>23</x:v>
      </x:c>
    </x:row>
    <x:row r="794">
      <x:c r="A794" s="9" t="str">
        <x:v>Success</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GR00T vision-only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GR00T vision-only Results</x:v>
      </x:c>
      <x:c r="AM795" s="9" t="n">
        <x:v>25</x:v>
      </x:c>
      <x:c r="AN795" s="9" t="n">
        <x:v>25</x:v>
      </x:c>
    </x:row>
    <x:row r="796">
      <x:c r="A796" s="9" t="str">
        <x:v>Failure</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t="str">
        <x:v>went for the juggling ball, then drifted off to the right edge of the workspace</x:v>
      </x:c>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GR00T vision-only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GR00T vision-only Results</x:v>
      </x:c>
      <x:c r="AM797" s="9" t="n">
        <x:v>27</x:v>
      </x:c>
      <x:c r="AN797" s="9" t="n">
        <x:v>27</x:v>
      </x:c>
    </x:row>
    <x:row r="798">
      <x:c r="A798" s="9" t="str">
        <x:v>Success</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GR00T vision-only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GR00T vision-only Results</x:v>
      </x:c>
      <x:c r="AM799" s="9" t="n">
        <x:v>29</x:v>
      </x:c>
      <x:c r="AN799" s="9" t="n">
        <x:v>29</x:v>
      </x:c>
    </x:row>
    <x:row r="800">
      <x:c r="A800" s="9" t="str">
        <x:v>Success</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GR00T vision-only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GR00T vision-only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GR00T vision-only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GR00T vision-only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GR00T vision-only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GR00T vision-only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GR00T vision-only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GR00T vision-only Results</x:v>
      </x:c>
      <x:c r="AM807" s="9" t="n">
        <x:v>37</x:v>
      </x:c>
      <x:c r="AN807" s="9" t="n">
        <x:v>37</x:v>
      </x:c>
    </x:row>
    <x:row r="808">
      <x:c r="A808" s="9" t="str">
        <x:v>Success</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GR00T vision-only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GR00T vision-only Results</x:v>
      </x:c>
      <x:c r="AM809" s="9" t="n">
        <x:v>39</x:v>
      </x:c>
      <x:c r="AN809" s="9" t="n">
        <x:v>39</x:v>
      </x:c>
    </x:row>
    <x:row r="810">
      <x:c r="A810" s="9" t="str">
        <x:v>Failure</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t="str">
        <x:v>picked red sharpener</x:v>
      </x:c>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GR00T vision-only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t="str">
        <x:v>knocked the green block, but did get it</x:v>
      </x:c>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GR00T vision-only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GR00T vision-only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GR00T vision-only Results</x:v>
      </x:c>
      <x:c r="AM813" s="9" t="n">
        <x:v>43</x:v>
      </x:c>
      <x:c r="AN813" s="9" t="n">
        <x:v>43</x:v>
      </x:c>
    </x:row>
    <x:row r="814">
      <x:c r="A814" s="9" t="str">
        <x:v>Failure</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t="str">
        <x:v>went to pepsi can, had wrong gripping strategy, knocked it over and never recovered</x:v>
      </x:c>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GR00T vision-only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GR00T vision-only Results</x:v>
      </x:c>
      <x:c r="AM815" s="9" t="n">
        <x:v>45</x:v>
      </x:c>
      <x:c r="AN815" s="9" t="n">
        <x:v>45</x:v>
      </x:c>
    </x:row>
    <x:row r="816">
      <x:c r="A816" s="9" t="str">
        <x:v>Success</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GR00T vision-only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GR00T vision-only Results</x:v>
      </x:c>
      <x:c r="AM817" s="9" t="n">
        <x:v>47</x:v>
      </x:c>
      <x:c r="AN817" s="9" t="n">
        <x:v>47</x:v>
      </x:c>
    </x:row>
    <x:row r="818">
      <x:c r="A818" s="9" t="str">
        <x:v>Success</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GR00T vision-only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GR00T vision-only Results</x:v>
      </x:c>
      <x:c r="AM819" s="9" t="n">
        <x:v>49</x:v>
      </x:c>
      <x:c r="AN819" s="9" t="n">
        <x:v>49</x:v>
      </x:c>
    </x:row>
    <x:row r="820">
      <x:c r="A820" s="9" t="str">
        <x:v>Success</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GR00T vision-only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GR00T vision-only Results</x:v>
      </x:c>
      <x:c r="AM821" s="9" t="n">
        <x:v>51</x:v>
      </x:c>
      <x:c r="AN821" s="9" t="n">
        <x:v>51</x:v>
      </x:c>
    </x:row>
    <x:row r="822">
      <x:c r="A822" s="9" t="str">
        <x:v>Failure</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t="str">
        <x:v>went between the soda can and juggling ball, then couldn't grab the juggling ball; kind of drifted towards it but still failed</x:v>
      </x:c>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GR00T vision-only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GR00T vision-only Results</x:v>
      </x:c>
      <x:c r="AM823" s="9" t="n">
        <x:v>53</x:v>
      </x:c>
      <x:c r="AN823" s="9" t="n">
        <x:v>53</x:v>
      </x:c>
    </x:row>
    <x:row r="824">
      <x:c r="A824" s="9" t="str">
        <x:v>Failure</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t="str">
        <x:v>went towards the green block, but then drifted off to the right edge of workspace and didn't recover</x:v>
      </x:c>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GR00T vision-only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GR00T vision-only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GR00T vision-only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GR00T vision-only Results</x:v>
      </x:c>
      <x:c r="AM827" s="9" t="n">
        <x:v>57</x:v>
      </x:c>
      <x:c r="AN827" s="9" t="n">
        <x:v>57</x:v>
      </x:c>
    </x:row>
    <x:row r="828">
      <x:c r="A828" s="9" t="str">
        <x:v>Success</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GR00T vision-only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GR00T vision-only Results</x:v>
      </x:c>
      <x:c r="AM829" s="9" t="n">
        <x:v>59</x:v>
      </x:c>
      <x:c r="AN829" s="9" t="n">
        <x:v>59</x:v>
      </x:c>
    </x:row>
    <x:row r="830">
      <x:c r="A830" s="9" t="str">
        <x:v>Success</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GR00T vision-only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GR00T vision-only Results</x:v>
      </x:c>
      <x:c r="AM831" s="9" t="n">
        <x:v>61</x:v>
      </x:c>
      <x:c r="AN831" s="9" t="n">
        <x:v>61</x:v>
      </x:c>
    </x:row>
    <x:row r="832">
      <x:c r="A832" s="9" t="str">
        <x:v>Failure</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t="str">
        <x:v>picked in between the two items, knocked green block, then went for red pencil sharpener. Dropped it and tried picking it, but was out of range</x:v>
      </x:c>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GR00T vision-only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GR00T vision-only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GR00T vision-only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GR00T vision-only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went for red pencil sharpener, but couldn't grasp it, difted off to the right edge of the workspace</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GR00T vision-only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GR00T vision-only Results</x:v>
      </x:c>
      <x:c r="AM837" s="9" t="n">
        <x:v>67</x:v>
      </x:c>
      <x:c r="AN837" s="9" t="n">
        <x:v>67</x:v>
      </x:c>
    </x:row>
    <x:row r="838">
      <x:c r="A838" s="9" t="str">
        <x:v>Success</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GR00T vision-only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GR00T vision-only Results</x:v>
      </x:c>
      <x:c r="AM839" s="9" t="n">
        <x:v>69</x:v>
      </x:c>
      <x:c r="AN839" s="9" t="n">
        <x:v>69</x:v>
      </x:c>
    </x:row>
    <x:row r="840">
      <x:c r="A840" s="9" t="str">
        <x:v>Failure</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t="str">
        <x:v>successfull reasoning; failed grasping and knocked the block out of range.</x:v>
      </x:c>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GR00T vision-only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GR00T vision-only Results</x:v>
      </x:c>
      <x:c r="AM841" s="9" t="n">
        <x:v>71</x:v>
      </x:c>
      <x:c r="AN841" s="9" t="n">
        <x:v>71</x:v>
      </x:c>
    </x:row>
    <x:row r="842">
      <x:c r="A842" s="9" t="str">
        <x:v>Failure</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t="str">
        <x:v>went to pepsi can with wrong gripping strategy; froze up once it got there; slowly drifted to the right edge of the workspace</x:v>
      </x:c>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GR00T vision-only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GR00T vision-only Results</x:v>
      </x:c>
      <x:c r="AM843" s="9" t="n">
        <x:v>73</x:v>
      </x:c>
      <x:c r="AN843" s="9" t="n">
        <x:v>73</x:v>
      </x:c>
    </x:row>
    <x:row r="844">
      <x:c r="A844" s="9" t="str">
        <x:v>Success</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GR00T vision-only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GR00T vision-only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GR00T vision-only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GR00T vision-only Results</x:v>
      </x:c>
      <x:c r="AM847" s="9" t="n">
        <x:v>77</x:v>
      </x:c>
      <x:c r="AN847" s="9" t="n">
        <x:v>77</x:v>
      </x:c>
    </x:row>
    <x:row r="848">
      <x:c r="A848" s="9" t="str">
        <x:v>Failure</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t="str">
        <x:v>succeeded reasoning, but overgripped it that the block flung out; drifted to the right edge of the workspace</x:v>
      </x:c>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GR00T vision-only Results</x:v>
      </x:c>
      <x:c r="AM848" s="9" t="n">
        <x:v>78</x:v>
      </x:c>
      <x:c r="AN848" s="9" t="n">
        <x:v>78</x:v>
      </x:c>
    </x:row>
    <x:row r="849">
      <x:c r="A849" s="9" t="str">
        <x:v>Failure</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t="str">
        <x:v>gripped it, but didn't move once it was grouped. Also was overgripping a ton</x:v>
      </x:c>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GR00T vision-only Results</x:v>
      </x:c>
      <x:c r="AM849" s="9" t="n">
        <x:v>79</x:v>
      </x:c>
      <x:c r="AN849" s="9" t="n">
        <x:v>79</x:v>
      </x:c>
    </x:row>
    <x:row r="850">
      <x:c r="A850" s="9" t="str">
        <x:v>Failure</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t="str">
        <x:v>went to pepsi can with wrong gripping strategy; couldn't pick it up</x:v>
      </x:c>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GR00T vision-only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GR00T vision-only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GR00T vision-only Results</x:v>
      </x:c>
      <x:c r="AM852" s="9" t="n">
        <x:v>82</x:v>
      </x:c>
      <x:c r="AN852" s="9" t="n">
        <x:v>82</x:v>
      </x:c>
    </x:row>
    <x:row r="853">
      <x:c r="A853" s="9" t="str">
        <x:v>Success</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GR00T vision-only Results</x:v>
      </x:c>
      <x:c r="AM853" s="9" t="n">
        <x:v>83</x:v>
      </x:c>
      <x:c r="AN853" s="9" t="n">
        <x:v>83</x:v>
      </x:c>
    </x:row>
    <x:row r="854">
      <x:c r="A854" s="9" t="str">
        <x:v>Failure</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t="str">
        <x:v>succeeded reasoning; but overgripping the block and knocked it out of the workspace; then went for the red pencil sharpener, which was technically correct since it wsa the only object in the environment</x:v>
      </x:c>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GR00T vision-only Results</x:v>
      </x:c>
      <x:c r="AM854" s="9" t="n">
        <x:v>84</x:v>
      </x:c>
      <x:c r="AN854" s="9" t="n">
        <x:v>84</x:v>
      </x:c>
    </x:row>
    <x:row r="855">
      <x:c r="A855" s="9" t="str">
        <x:v>Success</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GR00T vision-only Results</x:v>
      </x:c>
      <x:c r="AM855" s="9" t="n">
        <x:v>85</x:v>
      </x:c>
      <x:c r="AN855" s="9" t="n">
        <x:v>85</x:v>
      </x:c>
    </x:row>
    <x:row r="856">
      <x:c r="A856" s="9" t="str">
        <x:v>Success</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GR00T vision-only Results</x:v>
      </x:c>
      <x:c r="AM856" s="9" t="n">
        <x:v>86</x:v>
      </x:c>
      <x:c r="AN856" s="9" t="n">
        <x:v>86</x:v>
      </x:c>
    </x:row>
    <x:row r="857">
      <x:c r="A857" s="9" t="str">
        <x:v>Failure</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successful reasoning; went for the juggling ball, but didn't grab it; ended up drifting off to the right edge of the workspace</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GR00T vision-only Results</x:v>
      </x:c>
      <x:c r="AM857" s="9" t="n">
        <x:v>87</x:v>
      </x:c>
      <x:c r="AN857" s="9" t="n">
        <x:v>87</x:v>
      </x:c>
    </x:row>
    <x:row r="858">
      <x:c r="A858" s="9" t="str">
        <x:v>Failure</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t="str">
        <x:v>drifted to the right of the workspace again</x:v>
      </x:c>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GR00T vision-only Results</x:v>
      </x:c>
      <x:c r="AM858" s="9" t="n">
        <x:v>88</x:v>
      </x:c>
      <x:c r="AN858" s="9" t="n">
        <x:v>88</x:v>
      </x:c>
    </x:row>
    <x:row r="859">
      <x:c r="A859" s="9" t="str">
        <x:v>Failure</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t="str">
        <x:v>went for the pepsi can with wrong gripping strategy then drifted off to the right edge of the workspace</x:v>
      </x:c>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GR00T vision-only Results</x:v>
      </x:c>
      <x:c r="AM859" s="9" t="n">
        <x:v>89</x:v>
      </x:c>
      <x:c r="AN859" s="9" t="n">
        <x:v>89</x:v>
      </x:c>
    </x:row>
    <x:row r="860">
      <x:c r="A860" s="9" t="str">
        <x:v>Success</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GR00T vision-only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GR00T vision-only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picked red pencil sharpener</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GR00T vision-only Results</x:v>
      </x:c>
      <x:c r="AM862" s="9" t="n">
        <x:v>92</x:v>
      </x:c>
      <x:c r="AN862" s="9" t="n">
        <x:v>92</x:v>
      </x:c>
    </x:row>
    <x:row r="863">
      <x:c r="A863" s="9" t="str">
        <x:v>Success</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GR00T vision-only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succeeded reasoning, but knocked the green block out of range and couldn't get it; started to drift to the right edge of the workspace</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GR00T vision-only Results</x:v>
      </x:c>
      <x:c r="AM864" s="9" t="n">
        <x:v>94</x:v>
      </x:c>
      <x:c r="AN864" s="9" t="n">
        <x:v>94</x:v>
      </x:c>
    </x:row>
    <x:row r="865">
      <x:c r="A865" s="9" t="str">
        <x:v>Success</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GR00T vision-only Results</x:v>
      </x:c>
      <x:c r="AM865" s="9" t="n">
        <x:v>95</x:v>
      </x:c>
      <x:c r="AN865" s="9" t="n">
        <x:v>95</x:v>
      </x:c>
    </x:row>
    <x:row r="866">
      <x:c r="A866" s="9" t="str">
        <x:v>Success</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GR00T vision-only Results</x:v>
      </x:c>
      <x:c r="AM866" s="9" t="n">
        <x:v>96</x:v>
      </x:c>
      <x:c r="AN866" s="9" t="n">
        <x:v>96</x:v>
      </x:c>
    </x:row>
    <x:row r="867">
      <x:c r="A867" s="9" t="str">
        <x:v>Failure</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t="str">
        <x:v>succeeded reasoning; went to the juggling ball, but couldn't grasp it; kept drifting to the right</x:v>
      </x:c>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GR00T vision-only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succeeded readoning but overgripped the green block; knocked it off the workspace, then went for pencil sharpener and knocked it out of the workspace as well from overgripping</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GR00T vision-only Results</x:v>
      </x:c>
      <x:c r="AM868" s="9" t="n">
        <x:v>98</x:v>
      </x:c>
      <x:c r="AN868" s="9" t="n">
        <x:v>98</x:v>
      </x:c>
    </x:row>
    <x:row r="869">
      <x:c r="A869" s="9" t="str">
        <x:v>Failure</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t="str">
        <x:v>went to the pepsi can with the wrong gripping strategy; drifted to the right edge of the workspace</x:v>
      </x:c>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GR00T vision-only Results</x:v>
      </x:c>
      <x:c r="AM869" s="9" t="n">
        <x:v>99</x:v>
      </x:c>
      <x:c r="AN869" s="9" t="n">
        <x:v>99</x:v>
      </x:c>
    </x:row>
    <x:row r="870">
      <x:c r="A870" s="9" t="str">
        <x:v>Failure</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t="str">
        <x:v>tried to pick the red pencil sharpener; keeps overgripping</x:v>
      </x:c>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GR00T vision-only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GR00T vision-only Results</x:v>
      </x:c>
      <x:c r="AM871" s="9" t="n">
        <x:v>101</x:v>
      </x:c>
      <x:c r="AN871" s="9" t="n">
        <x:v>101</x:v>
      </x:c>
    </x:row>
    <x:row r="872">
      <x:c r="A872" s="9" t="str">
        <x:v>Success</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GR00T vision-only Results</x:v>
      </x:c>
      <x:c r="AM872" s="9" t="n">
        <x:v>102</x:v>
      </x:c>
      <x:c r="AN872" s="9" t="n">
        <x:v>102</x:v>
      </x:c>
    </x:row>
    <x:row r="873">
      <x:c r="A873" s="9" t="str">
        <x:v>Failure</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t="str">
        <x:v>went for the pepsi can with the wrong gripping strategy</x:v>
      </x:c>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GR00T vision-only Results</x:v>
      </x:c>
      <x:c r="AM873" s="9" t="n">
        <x:v>103</x:v>
      </x:c>
      <x:c r="AN873" s="9" t="n">
        <x:v>103</x:v>
      </x:c>
    </x:row>
    <x:row r="874">
      <x:c r="A874" s="9" t="str">
        <x:v>Success</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GR00T vision-only Results</x:v>
      </x:c>
      <x:c r="AM874" s="9" t="n">
        <x:v>104</x:v>
      </x:c>
      <x:c r="AN874" s="9" t="n">
        <x:v>104</x:v>
      </x:c>
    </x:row>
    <x:row r="875">
      <x:c r="A875" s="9" t="str">
        <x:v>Failure</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t="str">
        <x:v>went to the pepsi can with wrong gripping strategy</x:v>
      </x:c>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GR00T vision-only Results</x:v>
      </x:c>
      <x:c r="AM875" s="9" t="n">
        <x:v>105</x:v>
      </x:c>
      <x:c r="AN875" s="9" t="n">
        <x:v>105</x:v>
      </x:c>
    </x:row>
    <x:row r="876">
      <x:c r="A876" s="9" t="str">
        <x:v>Success</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GR00T vision-only Results</x:v>
      </x:c>
      <x:c r="AM876" s="9" t="n">
        <x:v>106</x:v>
      </x:c>
      <x:c r="AN876" s="9" t="n">
        <x:v>106</x:v>
      </x:c>
    </x:row>
    <x:row r="877">
      <x:c r="A877" s="9" t="str">
        <x:v>Success</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GR00T vision-only Results</x:v>
      </x:c>
      <x:c r="AM877" s="9" t="n">
        <x:v>107</x:v>
      </x:c>
      <x:c r="AN877" s="9" t="n">
        <x:v>107</x:v>
      </x:c>
    </x:row>
    <x:row r="878">
      <x:c r="A878" s="9" t="str">
        <x:v>Success</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GR00T vision-only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GR00T vision-only Results</x:v>
      </x:c>
      <x:c r="AM879" s="9" t="n">
        <x:v>109</x:v>
      </x:c>
      <x:c r="AN879" s="9" t="n">
        <x:v>109</x:v>
      </x:c>
    </x:row>
    <x:row r="880">
      <x:c r="A880" s="9" t="str">
        <x:v>Success</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GR00T vision-only Results</x:v>
      </x:c>
      <x:c r="AM880" s="9" t="n">
        <x:v>110</x:v>
      </x:c>
      <x:c r="AN880" s="9" t="n">
        <x:v>110</x:v>
      </x:c>
    </x:row>
    <x:row r="881">
      <x:c r="A881" s="9" t="str">
        <x:v>Failure</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t="str">
        <x:v>went for the pepsi can with wrong gripping strategy; drifted to the right edge of the workspace</x:v>
      </x:c>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GR00T vision-only Results</x:v>
      </x:c>
      <x:c r="AM881" s="9" t="n">
        <x:v>111</x:v>
      </x:c>
      <x:c r="AN881" s="9" t="n">
        <x:v>111</x:v>
      </x:c>
    </x:row>
    <x:row r="882">
      <x:c r="A882" s="9" t="str">
        <x:v>Failure</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t="str">
        <x:v>picked the red pencil sharpener</x:v>
      </x:c>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GR00T vision-only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GR00T vision-only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GR00T vision-only Results</x:v>
      </x:c>
      <x:c r="AM884" s="9" t="n">
        <x:v>114</x:v>
      </x:c>
      <x:c r="AN884" s="9" t="n">
        <x:v>114</x:v>
      </x:c>
    </x:row>
    <x:row r="885">
      <x:c r="A885" s="9" t="str">
        <x:v>Failure</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t="str">
        <x:v>successful reasoning, but didn't grip the soda can</x:v>
      </x:c>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GR00T vision-only Results</x:v>
      </x:c>
      <x:c r="AM885" s="9" t="n">
        <x:v>115</x:v>
      </x:c>
      <x:c r="AN885" s="9" t="n">
        <x:v>115</x:v>
      </x:c>
    </x:row>
    <x:row r="886">
      <x:c r="A886" s="9" t="str">
        <x:v>Failure</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t="str">
        <x:v>picked the red pencil sharpener</x:v>
      </x:c>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GR00T vision-only Results</x:v>
      </x:c>
      <x:c r="AM886" s="9" t="n">
        <x:v>116</x:v>
      </x:c>
      <x:c r="AN886" s="9" t="n">
        <x:v>116</x:v>
      </x:c>
    </x:row>
    <x:row r="887">
      <x:c r="A887" s="9" t="str">
        <x:v>Failure</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t="str">
        <x:v>picked the airplane toy; dropped it then tried to pick the red pencil sharpener when it was knocked out of range.</x:v>
      </x:c>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GR00T vision-only Results</x:v>
      </x:c>
      <x:c r="AM887" s="9" t="n">
        <x:v>117</x:v>
      </x:c>
      <x:c r="AN887" s="9" t="n">
        <x:v>117</x:v>
      </x:c>
    </x:row>
    <x:row r="888">
      <x:c r="A888" s="9" t="str">
        <x:v>Failure</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t="str">
        <x:v>picked the green block</x:v>
      </x:c>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GR00T vision-only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GR00T vision-only Results</x:v>
      </x:c>
      <x:c r="AM889" s="9" t="n">
        <x:v>119</x:v>
      </x:c>
      <x:c r="AN889" s="9" t="n">
        <x:v>119</x:v>
      </x:c>
    </x:row>
    <x:row r="890">
      <x:c r="A890" s="9" t="str">
        <x:v>Failure</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t="str">
        <x:v>picked the airplane toy, dropped it, then during recovery tried to get the red pencil sharpener but couldn't</x:v>
      </x:c>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GR00T vision-only Results</x:v>
      </x:c>
      <x:c r="AM890" s="9" t="n">
        <x:v>120</x:v>
      </x:c>
      <x:c r="AN890" s="9" t="n">
        <x:v>120</x:v>
      </x:c>
    </x:row>
    <x:row r="891">
      <x:c r="A891" s="9" t="str">
        <x:v>Failure</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t="str">
        <x:v>picked airplane toy</x:v>
      </x:c>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GR00T vision-only Results</x:v>
      </x:c>
      <x:c r="AM891" s="9" t="n">
        <x:v>121</x:v>
      </x:c>
      <x:c r="AN891" s="9" t="n">
        <x:v>121</x:v>
      </x:c>
    </x:row>
    <x:row r="892">
      <x:c r="A892" s="9" t="str">
        <x:v>Failure</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t="str">
        <x:v>picked the green block; grips it so hard!</x:v>
      </x:c>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GR00T vision-only Results</x:v>
      </x:c>
      <x:c r="AM892" s="9" t="n">
        <x:v>122</x:v>
      </x:c>
      <x:c r="AN892" s="9" t="n">
        <x:v>122</x:v>
      </x:c>
    </x:row>
    <x:row r="893">
      <x:c r="A893" s="9" t="str">
        <x:v>Success</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GR00T vision-only Results</x:v>
      </x:c>
      <x:c r="AM893" s="9" t="n">
        <x:v>123</x:v>
      </x:c>
      <x:c r="AN893" s="9" t="n">
        <x:v>123</x:v>
      </x:c>
    </x:row>
    <x:row r="894">
      <x:c r="A894" s="9" t="str">
        <x:v>Success</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GR00T vision-only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Picked the airplane toy again</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GR00T vision-only Results</x:v>
      </x:c>
      <x:c r="AM895" s="9" t="n">
        <x:v>125</x:v>
      </x:c>
      <x:c r="AN895" s="9" t="n">
        <x:v>125</x:v>
      </x:c>
    </x:row>
    <x:row r="896">
      <x:c r="A896" s="9" t="str">
        <x:v>Success</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GR00T vision-only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GR00T vision-only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GR00T vision-only Results</x:v>
      </x:c>
      <x:c r="AM898" s="9" t="n">
        <x:v>128</x:v>
      </x:c>
      <x:c r="AN898" s="9" t="n">
        <x:v>128</x:v>
      </x:c>
    </x:row>
    <x:row r="899">
      <x:c r="A899" s="9" t="str">
        <x:v>Success</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GR00T vision-only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GR00T vision-only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GR00T vision-only Results</x:v>
      </x:c>
      <x:c r="AM901" s="9" t="n">
        <x:v>131</x:v>
      </x:c>
      <x:c r="AN901" s="9" t="n">
        <x:v>131</x:v>
      </x:c>
    </x:row>
  </x:sheetData>
  <x:conditionalFormatting sqref="A2:A901">
    <x:cfRule type="containsText" dxfId="2" priority="1" operator="containsText" text="Success"/>
    <x:cfRule type="containsText" dxfId="3"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ac50bc882e0f41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went for the closed white cup and then ended up knocking it off the table.</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Results</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picked upside down cup</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Results</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picked closed white cup; looked like it was going for the clsoed striped cup, but switched up trajectory at the end</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Results</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picked the closed brown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t="str">
        <x:v>picked the upright cup</x:v>
      </x:c>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Results</x:v>
      </x:c>
      <x:c r="AM7" s="9" t="n">
        <x:v>7</x:v>
      </x:c>
      <x:c r="AN7" s="9" t="n">
        <x:v>7</x:v>
      </x:c>
    </x:row>
    <x:row r="8">
      <x:c r="A8" s="9" t="str">
        <x:v>Success</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t="str">
        <x:v>picked open glass spice container</x:v>
      </x:c>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went for the open open, then tried grasping thin air way on the right of the worksapce.</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Results</x:v>
      </x:c>
      <x:c r="AM10" s="9" t="n">
        <x:v>10</x:v>
      </x:c>
      <x:c r="AN10" s="9" t="n">
        <x:v>10</x:v>
      </x:c>
    </x:row>
    <x:row r="11">
      <x:c r="A11" s="9" t="str">
        <x:v>Failure</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t="str">
        <x:v>picked upright container</x:v>
      </x:c>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Results</x:v>
      </x:c>
      <x:c r="AM11" s="9" t="n">
        <x:v>11</x:v>
      </x:c>
      <x:c r="AN11" s="9" t="n">
        <x:v>11</x:v>
      </x:c>
    </x:row>
    <x:row r="12">
      <x:c r="A12" s="9" t="str">
        <x:v>Failure</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picked closed striped cup</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Results</x:v>
      </x:c>
      <x:c r="AM12" s="9" t="n">
        <x:v>12</x:v>
      </x:c>
      <x:c r="AN12" s="9" t="n">
        <x:v>12</x:v>
      </x:c>
    </x:row>
    <x:row r="13">
      <x:c r="A13" s="9" t="str">
        <x:v>Failure</x:v>
      </x:c>
      <x:c r="B13" s="9" t="str">
        <x:v>State Recognition</x:v>
      </x:c>
      <x:c r="C13" s="10" t="n">
        <x:v>11</x:v>
      </x:c>
      <x:c r="D13" s="9" t="str">
        <x:v>Place the closed white cup in the bowl.</x:v>
      </x:c>
      <x:c r="E13" s="9" t="str">
        <x:v>white cup A (C, RU); white cup B (O, RU); brown cup B (O, RU)</x:v>
      </x:c>
      <x:c r="F13" s="9" t="str">
        <x:v>white cup A</x:v>
      </x:c>
      <x:c r="G13" s="9" t="str">
        <x:v>picked the open brown cup</x:v>
      </x:c>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Results</x:v>
      </x:c>
      <x:c r="AM15" s="9" t="n">
        <x:v>15</x:v>
      </x:c>
      <x:c r="AN15" s="9" t="n">
        <x:v>15</x:v>
      </x:c>
    </x:row>
    <x:row r="16">
      <x:c r="A16" s="9" t="str">
        <x:v>Failure</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t="str">
        <x:v>picked the glass spice container</x:v>
      </x:c>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Results</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picked the upside down cup</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Results</x:v>
      </x:c>
      <x:c r="AM17" s="9" t="n">
        <x:v>17</x:v>
      </x:c>
      <x:c r="AN17" s="9" t="n">
        <x:v>17</x:v>
      </x:c>
    </x:row>
    <x:row r="18">
      <x:c r="A18" s="9" t="str">
        <x:v>Failure</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t="str">
        <x:v>picked the upside down striped cup</x:v>
      </x:c>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Results</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picked the upside down brown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Results</x:v>
      </x:c>
      <x:c r="AM19" s="9" t="n">
        <x:v>19</x:v>
      </x:c>
      <x:c r="AN19" s="9" t="n">
        <x:v>19</x:v>
      </x:c>
    </x:row>
    <x:row r="20">
      <x:c r="A20" s="9" t="str">
        <x:v>Failure</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t="str">
        <x:v>grabbed the open white cup</x:v>
      </x:c>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Results</x:v>
      </x:c>
      <x:c r="AM20" s="9" t="n">
        <x:v>20</x:v>
      </x:c>
      <x:c r="AN20" s="9" t="n">
        <x:v>20</x:v>
      </x:c>
    </x:row>
    <x:row r="21">
      <x:c r="A21" s="9" t="str">
        <x:v>Failure</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t="str">
        <x:v>picked the closed glass spice container, dropped it out of the workspace, then went for the open one, but couldn't pick it.</x:v>
      </x:c>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Results</x:v>
      </x:c>
      <x:c r="AM21" s="9" t="n">
        <x:v>21</x:v>
      </x:c>
      <x:c r="AN21" s="9" t="n">
        <x:v>21</x:v>
      </x:c>
    </x:row>
    <x:row r="22">
      <x:c r="A22" s="9" t="str">
        <x:v>Failure</x:v>
      </x:c>
      <x:c r="B22" s="9" t="str">
        <x:v>Counting</x:v>
      </x:c>
      <x:c r="C22" s="10" t="n">
        <x:v>0</x:v>
      </x:c>
      <x:c r="D22" s="9" t="str">
        <x:v>Leave exactly one object in the bowl.</x:v>
      </x:c>
      <x:c r="E22" s="9" t="str">
        <x:v>Bowl objects: [none] | Table objects: [blue pen, yellow block, green pencil sharpener]</x:v>
      </x:c>
      <x:c r="F22" s="9" t="str">
        <x:v>ADD any one table object; finish with 1 object in the bowl</x:v>
      </x:c>
      <x:c r="G22" s="9" t="str">
        <x:v>picked blue pen and put it in the bowl, then immediately proceded to remove the pen</x:v>
      </x:c>
      <x:c r="H22" s="9" t="str">
        <x:v>In-distribution concept baseline</x:v>
      </x:c>
      <x:c r="I22" s="9" t="str">
        <x:v>ID-F01</x:v>
      </x:c>
      <x:c r="J22" s="9" t="str">
        <x:v>In-distribution: one via trained 0→1 addition</x:v>
      </x:c>
      <x:c r="K22" s="9"/>
      <x:c r="L22" s="9" t="str">
        <x:v>801</x:v>
      </x:c>
      <x:c r="M22" s="9" t="str">
        <x:v>Exact trained cell: prompt, count transition, and scene-object membership match; physical layout is not copied exactly.</x:v>
      </x:c>
      <x:c r="N22" s="9" t="n">
        <x:v>1</x:v>
      </x:c>
      <x:c r="O22" s="9" t="str">
        <x:v>Recreate the listed bowl/table membership from training episode 801.</x:v>
      </x:c>
      <x:c r="P22" s="9" t="str">
        <x:v>Exact trained count transition and scene-object membership. Any object that reaches the requested final count is acceptable.</x:v>
      </x:c>
      <x:c r="Q22" s="9"/>
      <x:c r="R22" s="10"/>
      <x:c r="S22" s="10"/>
      <x:c r="T22" s="9"/>
      <x:c r="U22" s="9"/>
      <x:c r="V22" s="9"/>
      <x:c r="W22" s="9" t="str">
        <x:v>ID-F01</x:v>
      </x:c>
      <x:c r="X22" s="10" t="n">
        <x:v>0</x:v>
      </x:c>
      <x:c r="Y22" s="10" t="n">
        <x:v>1</x:v>
      </x:c>
      <x:c r="Z22" s="9" t="str">
        <x:v>ADD</x:v>
      </x:c>
      <x:c r="AA22" s="9"/>
      <x:c r="AB22" s="9"/>
      <x:c r="AC22" s="9"/>
      <x:c r="AD22" s="9"/>
      <x:c r="AE22" s="9"/>
      <x:c r="AF22" s="9"/>
      <x:c r="AG22" s="9"/>
      <x:c r="AH22" s="9"/>
      <x:c r="AI22" s="11"/>
      <x:c r="AJ22" s="9"/>
      <x:c r="AK22" s="9" t="str">
        <x:v>Eval_Counting.xlsm</x:v>
      </x:c>
      <x:c r="AL22" s="9" t="str">
        <x:v>GR00T</x:v>
      </x:c>
      <x:c r="AM22" s="9" t="n">
        <x:v>2</x:v>
      </x:c>
      <x:c r="AN22" s="9" t="n">
        <x:v>2</x:v>
      </x:c>
    </x:row>
    <x:row r="23">
      <x:c r="A23" s="9" t="str">
        <x:v>Failure</x:v>
      </x:c>
      <x:c r="B23" s="9" t="str">
        <x:v>Counting</x:v>
      </x:c>
      <x:c r="C23" s="10" t="n">
        <x:v>1</x:v>
      </x:c>
      <x:c r="D23" s="9" t="str">
        <x:v>Adjust the bowl so that it contains two objects.</x:v>
      </x:c>
      <x:c r="E23" s="9" t="str">
        <x:v>Bowl objects: [yellow block] | Table objects: [blue pen, green pencil sharpener]</x:v>
      </x:c>
      <x:c r="F23" s="9" t="str">
        <x:v>ADD any one table object; finish with 2 objects in the bowl</x:v>
      </x:c>
      <x:c r="G23" s="9" t="str">
        <x:v>picked the green pencil sharpener, dropped it, and tried to pick it up but couldn't</x:v>
      </x:c>
      <x:c r="H23" s="9" t="str">
        <x:v>In-distribution concept baseline</x:v>
      </x:c>
      <x:c r="I23" s="9" t="str">
        <x:v>ID-F01</x:v>
      </x:c>
      <x:c r="J23" s="9" t="str">
        <x:v>In-distribution: two via trained 1→2 addition</x:v>
      </x:c>
      <x:c r="K23" s="9"/>
      <x:c r="L23" s="9" t="str">
        <x:v>809</x:v>
      </x:c>
      <x:c r="M23" s="9" t="str">
        <x:v>Exact trained cell: prompt, count transition, and scene-object membership match; physical layout is not copied exactly.</x:v>
      </x:c>
      <x:c r="N23" s="9" t="n">
        <x:v>1</x:v>
      </x:c>
      <x:c r="O23" s="9" t="str">
        <x:v>Recreate the listed bowl/table membership from training episode 809.</x:v>
      </x:c>
      <x:c r="P23" s="9" t="str">
        <x:v>Exact trained count transition and scene-object membership. Any object that reaches the requested final count is acceptable.</x:v>
      </x:c>
      <x:c r="Q23" s="9"/>
      <x:c r="R23" s="10"/>
      <x:c r="S23" s="10"/>
      <x:c r="T23" s="9"/>
      <x:c r="U23" s="9"/>
      <x:c r="V23" s="9"/>
      <x:c r="W23" s="9" t="str">
        <x:v>ID-F01</x:v>
      </x:c>
      <x:c r="X23" s="10" t="n">
        <x:v>1</x:v>
      </x:c>
      <x:c r="Y23" s="10" t="n">
        <x:v>2</x:v>
      </x:c>
      <x:c r="Z23" s="9" t="str">
        <x:v>ADD</x:v>
      </x:c>
      <x:c r="AA23" s="9"/>
      <x:c r="AB23" s="9"/>
      <x:c r="AC23" s="9"/>
      <x:c r="AD23" s="9"/>
      <x:c r="AE23" s="9"/>
      <x:c r="AF23" s="9"/>
      <x:c r="AG23" s="9"/>
      <x:c r="AH23" s="9"/>
      <x:c r="AI23" s="11"/>
      <x:c r="AJ23" s="9"/>
      <x:c r="AK23" s="9" t="str">
        <x:v>Eval_Counting.xlsm</x:v>
      </x:c>
      <x:c r="AL23" s="9" t="str">
        <x:v>GR00T</x:v>
      </x:c>
      <x:c r="AM23" s="9" t="n">
        <x:v>3</x:v>
      </x:c>
      <x:c r="AN23" s="9" t="n">
        <x:v>3</x:v>
      </x:c>
    </x:row>
    <x:row r="24">
      <x:c r="A24" s="9" t="str">
        <x:v>Success</x:v>
      </x:c>
      <x:c r="B24" s="9" t="str">
        <x:v>Counting</x:v>
      </x:c>
      <x:c r="C24" s="10" t="n">
        <x:v>2</x:v>
      </x:c>
      <x:c r="D24" s="9" t="str">
        <x:v>Leave exactly three objects in the bowl.</x:v>
      </x:c>
      <x:c r="E24" s="9" t="str">
        <x:v>Bowl objects: [blue pen, yellow block, green pencil sharpener, airplane toy without propellers] | Table objects: [none]</x:v>
      </x:c>
      <x:c r="F24" s="9" t="str">
        <x:v>REMOVE any one bowl object; finish with 3 objects in the bowl</x:v>
      </x:c>
      <x:c r="G24" s="9" t="str">
        <x:v>removed the airplane toy, but did try to pick it up again, but did end up returning home</x:v>
      </x:c>
      <x:c r="H24" s="9" t="str">
        <x:v>In-distribution concept baseline</x:v>
      </x:c>
      <x:c r="I24" s="9" t="str">
        <x:v>ID-F01</x:v>
      </x:c>
      <x:c r="J24" s="9" t="str">
        <x:v>In-distribution: three via trained 4→3 removal</x:v>
      </x:c>
      <x:c r="K24" s="9"/>
      <x:c r="L24" s="9" t="str">
        <x:v>843</x:v>
      </x:c>
      <x:c r="M24" s="9" t="str">
        <x:v>Exact trained cell: prompt, count transition, and scene-object membership match; physical layout is not copied exactly.</x:v>
      </x:c>
      <x:c r="N24" s="9" t="n">
        <x:v>1</x:v>
      </x:c>
      <x:c r="O24" s="9" t="str">
        <x:v>Recreate the listed bowl/table membership from training episode 843.</x:v>
      </x:c>
      <x:c r="P24" s="9" t="str">
        <x:v>Exact trained count transition and scene-object membership. Any object that reaches the requested final count is acceptable.</x:v>
      </x:c>
      <x:c r="Q24" s="9"/>
      <x:c r="R24" s="10"/>
      <x:c r="S24" s="10"/>
      <x:c r="T24" s="9"/>
      <x:c r="U24" s="9"/>
      <x:c r="V24" s="9"/>
      <x:c r="W24" s="9" t="str">
        <x:v>ID-F01</x:v>
      </x:c>
      <x:c r="X24" s="10" t="n">
        <x:v>4</x:v>
      </x:c>
      <x:c r="Y24" s="10" t="n">
        <x:v>3</x:v>
      </x:c>
      <x:c r="Z24" s="9" t="str">
        <x:v>REMOVE</x:v>
      </x:c>
      <x:c r="AA24" s="9"/>
      <x:c r="AB24" s="9"/>
      <x:c r="AC24" s="9"/>
      <x:c r="AD24" s="9"/>
      <x:c r="AE24" s="9"/>
      <x:c r="AF24" s="9"/>
      <x:c r="AG24" s="9"/>
      <x:c r="AH24" s="9"/>
      <x:c r="AI24" s="11"/>
      <x:c r="AJ24" s="9"/>
      <x:c r="AK24" s="9" t="str">
        <x:v>Eval_Counting.xlsm</x:v>
      </x:c>
      <x:c r="AL24" s="9" t="str">
        <x:v>GR00T</x:v>
      </x:c>
      <x:c r="AM24" s="9" t="n">
        <x:v>4</x:v>
      </x:c>
      <x:c r="AN24" s="9" t="n">
        <x:v>4</x:v>
      </x:c>
    </x:row>
    <x:row r="25">
      <x:c r="A25" s="9" t="str">
        <x:v>Failure</x:v>
      </x:c>
      <x:c r="B25" s="9" t="str">
        <x:v>Counting</x:v>
      </x:c>
      <x:c r="C25" s="10" t="n">
        <x:v>3</x:v>
      </x:c>
      <x:c r="D25" s="9" t="str">
        <x:v>Adjust the bowl so that it contains zero objects.</x:v>
      </x:c>
      <x:c r="E25" s="9" t="str">
        <x:v>Bowl objects: [blue pen] | Table objects: [green pencil sharpener, airplane toy without propellers]</x:v>
      </x:c>
      <x:c r="F25" s="9" t="str">
        <x:v>REMOVE the only bowl object; finish with 0 objects in the bowl</x:v>
      </x:c>
      <x:c r="G25" s="9" t="str">
        <x:v>picked the airplane toy and put it in the bowl</x:v>
      </x:c>
      <x:c r="H25" s="9" t="str">
        <x:v>In-distribution concept baseline</x:v>
      </x:c>
      <x:c r="I25" s="9" t="str">
        <x:v>ID-F01</x:v>
      </x:c>
      <x:c r="J25" s="9" t="str">
        <x:v>In-distribution: zero via trained 1→0 removal</x:v>
      </x:c>
      <x:c r="K25" s="9"/>
      <x:c r="L25" s="9" t="str">
        <x:v>826</x:v>
      </x:c>
      <x:c r="M25" s="9" t="str">
        <x:v>Exact trained cell: prompt, count transition, and scene-object membership match; physical layout is not copied exactly.</x:v>
      </x:c>
      <x:c r="N25" s="9" t="n">
        <x:v>1</x:v>
      </x:c>
      <x:c r="O25" s="9" t="str">
        <x:v>Recreate the listed bowl/table membership from training episode 826.</x:v>
      </x:c>
      <x:c r="P25" s="9" t="str">
        <x:v>Exact trained count transition and scene-object membership. Any object that reaches the requested final count is acceptable.</x:v>
      </x:c>
      <x:c r="Q25" s="9"/>
      <x:c r="R25" s="10"/>
      <x:c r="S25" s="10"/>
      <x:c r="T25" s="9"/>
      <x:c r="U25" s="9"/>
      <x:c r="V25" s="9"/>
      <x:c r="W25" s="9" t="str">
        <x:v>ID-F01</x:v>
      </x:c>
      <x:c r="X25" s="10" t="n">
        <x:v>1</x:v>
      </x:c>
      <x:c r="Y25" s="10" t="n">
        <x:v>0</x:v>
      </x:c>
      <x:c r="Z25" s="9" t="str">
        <x:v>REMOVE</x:v>
      </x:c>
      <x:c r="AA25" s="9"/>
      <x:c r="AB25" s="9"/>
      <x:c r="AC25" s="9"/>
      <x:c r="AD25" s="9"/>
      <x:c r="AE25" s="9"/>
      <x:c r="AF25" s="9"/>
      <x:c r="AG25" s="9"/>
      <x:c r="AH25" s="9"/>
      <x:c r="AI25" s="11"/>
      <x:c r="AJ25" s="9"/>
      <x:c r="AK25" s="9" t="str">
        <x:v>Eval_Counting.xlsm</x:v>
      </x:c>
      <x:c r="AL25" s="9" t="str">
        <x:v>GR00T</x:v>
      </x:c>
      <x:c r="AM25" s="9" t="n">
        <x:v>5</x:v>
      </x:c>
      <x:c r="AN25" s="9" t="n">
        <x:v>5</x:v>
      </x:c>
    </x:row>
    <x:row r="26">
      <x:c r="A26" s="9" t="str">
        <x:v>Success</x:v>
      </x:c>
      <x:c r="B26" s="9" t="str">
        <x:v>Counting</x:v>
      </x:c>
      <x:c r="C26" s="10" t="n">
        <x:v>4</x:v>
      </x:c>
      <x:c r="D26" s="9" t="str">
        <x:v>Leave exactly one object in the bowl.</x:v>
      </x:c>
      <x:c r="E26" s="9" t="str">
        <x:v>Bowl objects: [none] | Table objects: [yellow block, blue pen]</x:v>
      </x:c>
      <x:c r="F26" s="9" t="str">
        <x:v>ADD any one table object; finish with 1 object in the bowl</x:v>
      </x:c>
      <x:c r="G26" s="9" t="str">
        <x:v>picked the blue pen</x:v>
      </x:c>
      <x:c r="H26" s="9" t="str">
        <x:v>In-distribution concept baseline</x:v>
      </x:c>
      <x:c r="I26" s="9" t="str">
        <x:v>ID-F02</x:v>
      </x:c>
      <x:c r="J26" s="9" t="str">
        <x:v>In-distribution: one via trained 0→1 addition</x:v>
      </x:c>
      <x:c r="K26" s="9"/>
      <x:c r="L26" s="9" t="str">
        <x:v>852</x:v>
      </x:c>
      <x:c r="M26" s="9" t="str">
        <x:v>Exact trained cell: prompt, count transition, and scene-object membership match; physical layout is not copied exactly.</x:v>
      </x:c>
      <x:c r="N26" s="9" t="n">
        <x:v>1</x:v>
      </x:c>
      <x:c r="O26" s="9" t="str">
        <x:v>Recreate the listed bowl/table membership from training episode 852.</x:v>
      </x:c>
      <x:c r="P26" s="9" t="str">
        <x:v>Exact trained count transition and scene-object membership. Any object that reaches the requested final count is acceptable.</x:v>
      </x:c>
      <x:c r="Q26" s="9"/>
      <x:c r="R26" s="10"/>
      <x:c r="S26" s="10"/>
      <x:c r="T26" s="9"/>
      <x:c r="U26" s="9"/>
      <x:c r="V26" s="9"/>
      <x:c r="W26" s="9" t="str">
        <x:v>ID-F02</x:v>
      </x:c>
      <x:c r="X26" s="10" t="n">
        <x:v>0</x:v>
      </x:c>
      <x:c r="Y26" s="10" t="n">
        <x:v>1</x:v>
      </x:c>
      <x:c r="Z26" s="9" t="str">
        <x:v>ADD</x:v>
      </x:c>
      <x:c r="AA26" s="9"/>
      <x:c r="AB26" s="9"/>
      <x:c r="AC26" s="9"/>
      <x:c r="AD26" s="9"/>
      <x:c r="AE26" s="9"/>
      <x:c r="AF26" s="9"/>
      <x:c r="AG26" s="9"/>
      <x:c r="AH26" s="9"/>
      <x:c r="AI26" s="11"/>
      <x:c r="AJ26" s="9"/>
      <x:c r="AK26" s="9" t="str">
        <x:v>Eval_Counting.xlsm</x:v>
      </x:c>
      <x:c r="AL26" s="9" t="str">
        <x:v>GR00T</x:v>
      </x:c>
      <x:c r="AM26" s="9" t="n">
        <x:v>6</x:v>
      </x:c>
      <x:c r="AN26" s="9" t="n">
        <x:v>6</x:v>
      </x:c>
    </x:row>
    <x:row r="27">
      <x:c r="A27" s="9" t="str">
        <x:v>Failure</x:v>
      </x:c>
      <x:c r="B27" s="9" t="str">
        <x:v>Counting</x:v>
      </x:c>
      <x:c r="C27" s="10" t="n">
        <x:v>6</x:v>
      </x:c>
      <x:c r="D27" s="9" t="str">
        <x:v>Leave exactly three objects in the bowl.</x:v>
      </x:c>
      <x:c r="E27" s="9" t="str">
        <x:v>Bowl objects: [yellow block, green pencil sharpener, airplane toy without propellers, blue pen] | Table objects: [none]</x:v>
      </x:c>
      <x:c r="F27" s="9" t="str">
        <x:v>REMOVE any one bowl object; finish with 3 objects in the bowl</x:v>
      </x:c>
      <x:c r="G27" s="9" t="str">
        <x:v>went to bowl but failed to remove anything</x:v>
      </x:c>
      <x:c r="H27" s="9" t="str">
        <x:v>In-distribution concept baseline</x:v>
      </x:c>
      <x:c r="I27" s="9" t="str">
        <x:v>ID-F02</x:v>
      </x:c>
      <x:c r="J27" s="9" t="str">
        <x:v>In-distribution: three via trained 4→3 removal</x:v>
      </x:c>
      <x:c r="K27" s="9"/>
      <x:c r="L27" s="9" t="str">
        <x:v>893</x:v>
      </x:c>
      <x:c r="M27" s="9" t="str">
        <x:v>Exact trained cell: prompt, count transition, and scene-object membership match; physical layout is not copied exactly.</x:v>
      </x:c>
      <x:c r="N27" s="9" t="n">
        <x:v>1</x:v>
      </x:c>
      <x:c r="O27" s="9" t="str">
        <x:v>Recreate the listed bowl/table membership from training episode 893.</x:v>
      </x:c>
      <x:c r="P27" s="9" t="str">
        <x:v>Exact trained count transition and scene-object membership. Any object that reaches the requested final count is acceptable.</x:v>
      </x:c>
      <x:c r="Q27" s="9"/>
      <x:c r="R27" s="10"/>
      <x:c r="S27" s="10"/>
      <x:c r="T27" s="9"/>
      <x:c r="U27" s="9"/>
      <x:c r="V27" s="9"/>
      <x:c r="W27" s="9" t="str">
        <x:v>ID-F02</x:v>
      </x:c>
      <x:c r="X27" s="10" t="n">
        <x:v>4</x:v>
      </x:c>
      <x:c r="Y27" s="10" t="n">
        <x:v>3</x:v>
      </x:c>
      <x:c r="Z27" s="9" t="str">
        <x:v>REMOVE</x:v>
      </x:c>
      <x:c r="AA27" s="9"/>
      <x:c r="AB27" s="9"/>
      <x:c r="AC27" s="9"/>
      <x:c r="AD27" s="9"/>
      <x:c r="AE27" s="9"/>
      <x:c r="AF27" s="9"/>
      <x:c r="AG27" s="9"/>
      <x:c r="AH27" s="9"/>
      <x:c r="AI27" s="11"/>
      <x:c r="AJ27" s="9"/>
      <x:c r="AK27" s="9" t="str">
        <x:v>Eval_Counting.xlsm</x:v>
      </x:c>
      <x:c r="AL27" s="9" t="str">
        <x:v>GR00T</x:v>
      </x:c>
      <x:c r="AM27" s="9" t="n">
        <x:v>8</x:v>
      </x:c>
      <x:c r="AN27" s="9" t="n">
        <x:v>8</x:v>
      </x:c>
    </x:row>
    <x:row r="28">
      <x:c r="A28" s="9" t="str">
        <x:v>Failure</x:v>
      </x:c>
      <x:c r="B28" s="9" t="str">
        <x:v>Counting</x:v>
      </x:c>
      <x:c r="C28" s="10" t="n">
        <x:v>7</x:v>
      </x:c>
      <x:c r="D28" s="9" t="str">
        <x:v>Adjust the bowl so that it contains zero objects.</x:v>
      </x:c>
      <x:c r="E28" s="9" t="str">
        <x:v>Bowl objects: [yellow block] | Table objects: [blue pen]</x:v>
      </x:c>
      <x:c r="F28" s="9" t="str">
        <x:v>REMOVE the only bowl object; finish with 0 objects in the bowl</x:v>
      </x:c>
      <x:c r="G28" s="9" t="str">
        <x:v>put the blue pen in the bowl. Took a while before returning home</x:v>
      </x:c>
      <x:c r="H28" s="9" t="str">
        <x:v>In-distribution concept baseline</x:v>
      </x:c>
      <x:c r="I28" s="9" t="str">
        <x:v>ID-F02</x:v>
      </x:c>
      <x:c r="J28" s="9" t="str">
        <x:v>In-distribution: zero via trained 1→0 removal</x:v>
      </x:c>
      <x:c r="K28" s="9"/>
      <x:c r="L28" s="9" t="str">
        <x:v>878</x:v>
      </x:c>
      <x:c r="M28" s="9" t="str">
        <x:v>Exact trained cell: prompt, count transition, and scene-object membership match; physical layout is not copied exactly.</x:v>
      </x:c>
      <x:c r="N28" s="9" t="n">
        <x:v>1</x:v>
      </x:c>
      <x:c r="O28" s="9" t="str">
        <x:v>Recreate the listed bowl/table membership from training episode 878.</x:v>
      </x:c>
      <x:c r="P28" s="9" t="str">
        <x:v>Exact trained count transition and scene-object membership. Any object that reaches the requested final count is acceptable.</x:v>
      </x:c>
      <x:c r="Q28" s="9"/>
      <x:c r="R28" s="10"/>
      <x:c r="S28" s="10"/>
      <x:c r="T28" s="9"/>
      <x:c r="U28" s="9"/>
      <x:c r="V28" s="9"/>
      <x:c r="W28" s="9" t="str">
        <x:v>ID-F02</x:v>
      </x:c>
      <x:c r="X28" s="10" t="n">
        <x:v>1</x:v>
      </x:c>
      <x:c r="Y28" s="10" t="n">
        <x:v>0</x:v>
      </x:c>
      <x:c r="Z28" s="9" t="str">
        <x:v>REMOVE</x:v>
      </x:c>
      <x:c r="AA28" s="9"/>
      <x:c r="AB28" s="9"/>
      <x:c r="AC28" s="9"/>
      <x:c r="AD28" s="9"/>
      <x:c r="AE28" s="9"/>
      <x:c r="AF28" s="9"/>
      <x:c r="AG28" s="9"/>
      <x:c r="AH28" s="9"/>
      <x:c r="AI28" s="11"/>
      <x:c r="AJ28" s="9"/>
      <x:c r="AK28" s="9" t="str">
        <x:v>Eval_Counting.xlsm</x:v>
      </x:c>
      <x:c r="AL28" s="9" t="str">
        <x:v>GR00T</x:v>
      </x:c>
      <x:c r="AM28" s="9" t="n">
        <x:v>9</x:v>
      </x:c>
      <x:c r="AN28" s="9" t="n">
        <x:v>9</x:v>
      </x:c>
    </x:row>
    <x:row r="29">
      <x:c r="A29" s="9" t="str">
        <x:v>Success</x:v>
      </x:c>
      <x:c r="B29" s="9" t="str">
        <x:v>Counting</x:v>
      </x:c>
      <x:c r="C29" s="10" t="n">
        <x:v>8</x:v>
      </x:c>
      <x:c r="D29" s="9" t="str">
        <x:v>Leave exactly one object in the bowl.</x:v>
      </x:c>
      <x:c r="E29" s="9" t="str">
        <x:v>Bowl objects: [none] | Table objects: [green pencil sharpener, yellow block]</x:v>
      </x:c>
      <x:c r="F29" s="9" t="str">
        <x:v>ADD any one table object; finish with 1 object in the bowl</x:v>
      </x:c>
      <x:c r="G29" s="9" t="str">
        <x:v>picked the yellow block</x:v>
      </x:c>
      <x:c r="H29" s="9" t="str">
        <x:v>In-distribution concept baseline</x:v>
      </x:c>
      <x:c r="I29" s="9" t="str">
        <x:v>ID-F03</x:v>
      </x:c>
      <x:c r="J29" s="9" t="str">
        <x:v>In-distribution: one via trained 0→1 addition</x:v>
      </x:c>
      <x:c r="K29" s="9"/>
      <x:c r="L29" s="9" t="str">
        <x:v>902</x:v>
      </x:c>
      <x:c r="M29" s="9" t="str">
        <x:v>Exact trained cell: prompt, count transition, and scene-object membership match; physical layout is not copied exactly.</x:v>
      </x:c>
      <x:c r="N29" s="9" t="n">
        <x:v>1</x:v>
      </x:c>
      <x:c r="O29" s="9" t="str">
        <x:v>Recreate the listed bowl/table membership from training episode 902.</x:v>
      </x:c>
      <x:c r="P29" s="9" t="str">
        <x:v>Exact trained count transition and scene-object membership. Any object that reaches the requested final count is acceptable.</x:v>
      </x:c>
      <x:c r="Q29" s="9"/>
      <x:c r="R29" s="10"/>
      <x:c r="S29" s="10"/>
      <x:c r="T29" s="9"/>
      <x:c r="U29" s="9"/>
      <x:c r="V29" s="9"/>
      <x:c r="W29" s="9" t="str">
        <x:v>ID-F03</x:v>
      </x:c>
      <x:c r="X29" s="10" t="n">
        <x:v>0</x:v>
      </x:c>
      <x:c r="Y29" s="10" t="n">
        <x:v>1</x:v>
      </x:c>
      <x:c r="Z29" s="9" t="str">
        <x:v>ADD</x:v>
      </x:c>
      <x:c r="AA29" s="9"/>
      <x:c r="AB29" s="9"/>
      <x:c r="AC29" s="9"/>
      <x:c r="AD29" s="9"/>
      <x:c r="AE29" s="9"/>
      <x:c r="AF29" s="9"/>
      <x:c r="AG29" s="9"/>
      <x:c r="AH29" s="9"/>
      <x:c r="AI29" s="11"/>
      <x:c r="AJ29" s="9"/>
      <x:c r="AK29" s="9" t="str">
        <x:v>Eval_Counting.xlsm</x:v>
      </x:c>
      <x:c r="AL29" s="9" t="str">
        <x:v>GR00T</x:v>
      </x:c>
      <x:c r="AM29" s="9" t="n">
        <x:v>10</x:v>
      </x:c>
      <x:c r="AN29" s="9" t="n">
        <x:v>10</x:v>
      </x:c>
    </x:row>
    <x:row r="30">
      <x:c r="A30" s="9" t="str">
        <x:v>Success</x:v>
      </x:c>
      <x:c r="B30" s="9" t="str">
        <x:v>Counting</x:v>
      </x:c>
      <x:c r="C30" s="10" t="n">
        <x:v>9</x:v>
      </x:c>
      <x:c r="D30" s="9" t="str">
        <x:v>Adjust the bowl so that it contains two objects.</x:v>
      </x:c>
      <x:c r="E30" s="9" t="str">
        <x:v>Bowl objects: [blue pen] | Table objects: [green pencil sharpener, airplane toy without propellers]</x:v>
      </x:c>
      <x:c r="F30" s="9" t="str">
        <x:v>ADD any one table object; finish with 2 objects in the bowl</x:v>
      </x:c>
      <x:c r="G30" s="9" t="str">
        <x:v>picked the green pencil sharpener</x:v>
      </x:c>
      <x:c r="H30" s="9" t="str">
        <x:v>In-distribution concept baseline</x:v>
      </x:c>
      <x:c r="I30" s="9" t="str">
        <x:v>ID-F03</x:v>
      </x:c>
      <x:c r="J30" s="9" t="str">
        <x:v>In-distribution: two via trained 1→2 addition</x:v>
      </x:c>
      <x:c r="K30" s="9"/>
      <x:c r="L30" s="9" t="str">
        <x:v>909</x:v>
      </x:c>
      <x:c r="M30" s="9" t="str">
        <x:v>Exact trained cell: prompt, count transition, and scene-object membership match; physical layout is not copied exactly.</x:v>
      </x:c>
      <x:c r="N30" s="9" t="n">
        <x:v>1</x:v>
      </x:c>
      <x:c r="O30" s="9" t="str">
        <x:v>Recreate the listed bowl/table membership from training episode 909.</x:v>
      </x:c>
      <x:c r="P30" s="9" t="str">
        <x:v>Exact trained count transition and scene-object membership. Any object that reaches the requested final count is acceptable.</x:v>
      </x:c>
      <x:c r="Q30" s="9"/>
      <x:c r="R30" s="10"/>
      <x:c r="S30" s="10"/>
      <x:c r="T30" s="9"/>
      <x:c r="U30" s="9"/>
      <x:c r="V30" s="9"/>
      <x:c r="W30" s="9" t="str">
        <x:v>ID-F03</x:v>
      </x:c>
      <x:c r="X30" s="10" t="n">
        <x:v>1</x:v>
      </x:c>
      <x:c r="Y30" s="10" t="n">
        <x:v>2</x:v>
      </x:c>
      <x:c r="Z30" s="9" t="str">
        <x:v>ADD</x:v>
      </x:c>
      <x:c r="AA30" s="9"/>
      <x:c r="AB30" s="9"/>
      <x:c r="AC30" s="9"/>
      <x:c r="AD30" s="9"/>
      <x:c r="AE30" s="9"/>
      <x:c r="AF30" s="9"/>
      <x:c r="AG30" s="9"/>
      <x:c r="AH30" s="9"/>
      <x:c r="AI30" s="11"/>
      <x:c r="AJ30" s="9"/>
      <x:c r="AK30" s="9" t="str">
        <x:v>Eval_Counting.xlsm</x:v>
      </x:c>
      <x:c r="AL30" s="9" t="str">
        <x:v>GR00T</x:v>
      </x:c>
      <x:c r="AM30" s="9" t="n">
        <x:v>11</x:v>
      </x:c>
      <x:c r="AN30" s="9" t="n">
        <x:v>11</x:v>
      </x:c>
    </x:row>
    <x:row r="31">
      <x:c r="A31" s="9" t="str">
        <x:v>Failure</x:v>
      </x:c>
      <x:c r="B31" s="9" t="str">
        <x:v>Counting</x:v>
      </x:c>
      <x:c r="C31" s="10" t="n">
        <x:v>10</x:v>
      </x:c>
      <x:c r="D31" s="9" t="str">
        <x:v>Leave exactly three objects in the bowl.</x:v>
      </x:c>
      <x:c r="E31" s="9" t="str">
        <x:v>Bowl objects: [green pencil sharpener, airplane toy without propellers, blue pen, yellow block] | Table objects: [none]</x:v>
      </x:c>
      <x:c r="F31" s="9" t="str">
        <x:v>REMOVE any one bowl object; finish with 3 objects in the bowl</x:v>
      </x:c>
      <x:c r="G31" s="9" t="str">
        <x:v>went to bowl but didn't remove anything</x:v>
      </x:c>
      <x:c r="H31" s="9" t="str">
        <x:v>In-distribution concept baseline</x:v>
      </x:c>
      <x:c r="I31" s="9" t="str">
        <x:v>ID-F03</x:v>
      </x:c>
      <x:c r="J31" s="9" t="str">
        <x:v>In-distribution: three via trained 4→3 removal</x:v>
      </x:c>
      <x:c r="K31" s="9"/>
      <x:c r="L31" s="9" t="str">
        <x:v>943</x:v>
      </x:c>
      <x:c r="M31" s="9" t="str">
        <x:v>Exact trained cell: prompt, count transition, and scene-object membership match; physical layout is not copied exactly.</x:v>
      </x:c>
      <x:c r="N31" s="9" t="n">
        <x:v>1</x:v>
      </x:c>
      <x:c r="O31" s="9" t="str">
        <x:v>Recreate the listed bowl/table membership from training episode 943.</x:v>
      </x:c>
      <x:c r="P31" s="9" t="str">
        <x:v>Exact trained count transition and scene-object membership. Any object that reaches the requested final count is acceptable.</x:v>
      </x:c>
      <x:c r="Q31" s="9"/>
      <x:c r="R31" s="10"/>
      <x:c r="S31" s="10"/>
      <x:c r="T31" s="9"/>
      <x:c r="U31" s="9"/>
      <x:c r="V31" s="9"/>
      <x:c r="W31" s="9" t="str">
        <x:v>ID-F03</x:v>
      </x:c>
      <x:c r="X31" s="10" t="n">
        <x:v>4</x:v>
      </x:c>
      <x:c r="Y31" s="10" t="n">
        <x:v>3</x:v>
      </x:c>
      <x:c r="Z31" s="9" t="str">
        <x:v>REMOVE</x:v>
      </x:c>
      <x:c r="AA31" s="9"/>
      <x:c r="AB31" s="9"/>
      <x:c r="AC31" s="9"/>
      <x:c r="AD31" s="9"/>
      <x:c r="AE31" s="9"/>
      <x:c r="AF31" s="9"/>
      <x:c r="AG31" s="9"/>
      <x:c r="AH31" s="9"/>
      <x:c r="AI31" s="11"/>
      <x:c r="AJ31" s="9"/>
      <x:c r="AK31" s="9" t="str">
        <x:v>Eval_Counting.xlsm</x:v>
      </x:c>
      <x:c r="AL31" s="9" t="str">
        <x:v>GR00T</x:v>
      </x:c>
      <x:c r="AM31" s="9" t="n">
        <x:v>12</x:v>
      </x:c>
      <x:c r="AN31" s="9" t="n">
        <x:v>12</x:v>
      </x:c>
    </x:row>
    <x:row r="32">
      <x:c r="A32" s="9" t="str">
        <x:v>Failure</x:v>
      </x:c>
      <x:c r="B32" s="9" t="str">
        <x:v>Counting</x:v>
      </x:c>
      <x:c r="C32" s="10" t="n">
        <x:v>11</x:v>
      </x:c>
      <x:c r="D32" s="9" t="str">
        <x:v>Make the bowl contain exactly zero objects.</x:v>
      </x:c>
      <x:c r="E32" s="9" t="str">
        <x:v>Bowl objects: [green pencil sharpener] | Table objects: [yellow block]</x:v>
      </x:c>
      <x:c r="F32" s="9" t="str">
        <x:v>REMOVE the only bowl object; finish with 0 objects in the bowl</x:v>
      </x:c>
      <x:c r="G32" s="9" t="str">
        <x:v>went to yellow block, but then went back home</x:v>
      </x:c>
      <x:c r="H32" s="9" t="str">
        <x:v>In-distribution concept baseline</x:v>
      </x:c>
      <x:c r="I32" s="9" t="str">
        <x:v>ID-F03</x:v>
      </x:c>
      <x:c r="J32" s="9" t="str">
        <x:v>In-distribution: zero via trained 1→0 removal</x:v>
      </x:c>
      <x:c r="K32" s="9"/>
      <x:c r="L32" s="9" t="str">
        <x:v>928</x:v>
      </x:c>
      <x:c r="M32" s="9" t="str">
        <x:v>Exact trained cell: prompt, count transition, and scene-object membership match; physical layout is not copied exactly.</x:v>
      </x:c>
      <x:c r="N32" s="9" t="n">
        <x:v>1</x:v>
      </x:c>
      <x:c r="O32" s="9" t="str">
        <x:v>Recreate the listed bowl/table membership from training episode 928.</x:v>
      </x:c>
      <x:c r="P32" s="9" t="str">
        <x:v>Exact trained count transition and scene-object membership. Any object that reaches the requested final count is acceptable.</x:v>
      </x:c>
      <x:c r="Q32" s="9"/>
      <x:c r="R32" s="10"/>
      <x:c r="S32" s="10"/>
      <x:c r="T32" s="9"/>
      <x:c r="U32" s="9"/>
      <x:c r="V32" s="9"/>
      <x:c r="W32" s="9" t="str">
        <x:v>ID-F03</x:v>
      </x:c>
      <x:c r="X32" s="10" t="n">
        <x:v>1</x:v>
      </x:c>
      <x:c r="Y32" s="10" t="n">
        <x:v>0</x:v>
      </x:c>
      <x:c r="Z32" s="9" t="str">
        <x:v>REMOVE</x:v>
      </x:c>
      <x:c r="AA32" s="9"/>
      <x:c r="AB32" s="9"/>
      <x:c r="AC32" s="9"/>
      <x:c r="AD32" s="9"/>
      <x:c r="AE32" s="9"/>
      <x:c r="AF32" s="9"/>
      <x:c r="AG32" s="9"/>
      <x:c r="AH32" s="9"/>
      <x:c r="AI32" s="11"/>
      <x:c r="AJ32" s="9"/>
      <x:c r="AK32" s="9" t="str">
        <x:v>Eval_Counting.xlsm</x:v>
      </x:c>
      <x:c r="AL32" s="9" t="str">
        <x:v>GR00T</x:v>
      </x:c>
      <x:c r="AM32" s="9" t="n">
        <x:v>13</x:v>
      </x:c>
      <x:c r="AN32" s="9" t="n">
        <x:v>13</x:v>
      </x:c>
    </x:row>
    <x:row r="33">
      <x:c r="A33" s="9" t="str">
        <x:v>Success</x:v>
      </x:c>
      <x:c r="B33" s="9" t="str">
        <x:v>Counting</x:v>
      </x:c>
      <x:c r="C33" s="10" t="n">
        <x:v>12</x:v>
      </x:c>
      <x:c r="D33" s="9" t="str">
        <x:v>Leave exactly one object in the bowl.</x:v>
      </x:c>
      <x:c r="E33" s="9" t="str">
        <x:v>Bowl objects: [none] | Table objects: [airplane toy without propellers, blue pen, yellow block]</x:v>
      </x:c>
      <x:c r="F33" s="9" t="str">
        <x:v>ADD any one table object; finish with 1 object in the bowl</x:v>
      </x:c>
      <x:c r="G33" s="9" t="str">
        <x:v>picked the pencil sharpener</x:v>
      </x:c>
      <x:c r="H33" s="9" t="str">
        <x:v>In-distribution concept baseline</x:v>
      </x:c>
      <x:c r="I33" s="9" t="str">
        <x:v>ID-F04</x:v>
      </x:c>
      <x:c r="J33" s="9" t="str">
        <x:v>In-distribution: one via trained 0→1 addition</x:v>
      </x:c>
      <x:c r="K33" s="9"/>
      <x:c r="L33" s="9" t="str">
        <x:v>951</x:v>
      </x:c>
      <x:c r="M33" s="9" t="str">
        <x:v>Exact trained cell: prompt, count transition, and scene-object membership match; physical layout is not copied exactly.</x:v>
      </x:c>
      <x:c r="N33" s="9" t="n">
        <x:v>1</x:v>
      </x:c>
      <x:c r="O33" s="9" t="str">
        <x:v>Recreate the listed bowl/table membership from training episode 951.</x:v>
      </x:c>
      <x:c r="P33" s="9" t="str">
        <x:v>Exact trained count transition and scene-object membership. Any object that reaches the requested final count is acceptable.</x:v>
      </x:c>
      <x:c r="Q33" s="9"/>
      <x:c r="R33" s="10"/>
      <x:c r="S33" s="10"/>
      <x:c r="T33" s="9"/>
      <x:c r="U33" s="9"/>
      <x:c r="V33" s="9"/>
      <x:c r="W33" s="9" t="str">
        <x:v>ID-F04</x:v>
      </x:c>
      <x:c r="X33" s="10" t="n">
        <x:v>0</x:v>
      </x:c>
      <x:c r="Y33" s="10" t="n">
        <x:v>1</x:v>
      </x:c>
      <x:c r="Z33" s="9" t="str">
        <x:v>ADD</x:v>
      </x:c>
      <x:c r="AA33" s="9"/>
      <x:c r="AB33" s="9"/>
      <x:c r="AC33" s="9"/>
      <x:c r="AD33" s="9"/>
      <x:c r="AE33" s="9"/>
      <x:c r="AF33" s="9"/>
      <x:c r="AG33" s="9"/>
      <x:c r="AH33" s="9"/>
      <x:c r="AI33" s="11"/>
      <x:c r="AJ33" s="9"/>
      <x:c r="AK33" s="9" t="str">
        <x:v>Eval_Counting.xlsm</x:v>
      </x:c>
      <x:c r="AL33" s="9" t="str">
        <x:v>GR00T</x:v>
      </x:c>
      <x:c r="AM33" s="9" t="n">
        <x:v>14</x:v>
      </x:c>
      <x:c r="AN33" s="9" t="n">
        <x:v>14</x:v>
      </x:c>
    </x:row>
    <x:row r="34">
      <x:c r="A34" s="9" t="str">
        <x:v>Success</x:v>
      </x:c>
      <x:c r="B34" s="9" t="str">
        <x:v>Counting</x:v>
      </x:c>
      <x:c r="C34" s="10" t="n">
        <x:v>13</x:v>
      </x:c>
      <x:c r="D34" s="9" t="str">
        <x:v>Make the bowl contain exactly two objects.</x:v>
      </x:c>
      <x:c r="E34" s="9" t="str">
        <x:v>Bowl objects: [green pencil sharpener] | Table objects: [airplane toy without propellers, yellow block]</x:v>
      </x:c>
      <x:c r="F34" s="9" t="str">
        <x:v>ADD any one table object; finish with 2 objects in the bowl</x:v>
      </x:c>
      <x:c r="G34" s="9" t="str">
        <x:v>picked the yellow block; hesitated to leave the bowl, though</x:v>
      </x:c>
      <x:c r="H34" s="9" t="str">
        <x:v>In-distribution concept baseline</x:v>
      </x:c>
      <x:c r="I34" s="9" t="str">
        <x:v>ID-F04</x:v>
      </x:c>
      <x:c r="J34" s="9" t="str">
        <x:v>In-distribution: two via trained 1→2 addition</x:v>
      </x:c>
      <x:c r="K34" s="9"/>
      <x:c r="L34" s="9" t="str">
        <x:v>960</x:v>
      </x:c>
      <x:c r="M34" s="9" t="str">
        <x:v>Exact trained cell: prompt, count transition, and scene-object membership match; physical layout is not copied exactly.</x:v>
      </x:c>
      <x:c r="N34" s="9" t="n">
        <x:v>1</x:v>
      </x:c>
      <x:c r="O34" s="9" t="str">
        <x:v>Recreate the listed bowl/table membership from training episode 960.</x:v>
      </x:c>
      <x:c r="P34" s="9" t="str">
        <x:v>Exact trained count transition and scene-object membership. Any object that reaches the requested final count is acceptable.</x:v>
      </x:c>
      <x:c r="Q34" s="9"/>
      <x:c r="R34" s="10"/>
      <x:c r="S34" s="10"/>
      <x:c r="T34" s="9"/>
      <x:c r="U34" s="9"/>
      <x:c r="V34" s="9"/>
      <x:c r="W34" s="9" t="str">
        <x:v>ID-F04</x:v>
      </x:c>
      <x:c r="X34" s="10" t="n">
        <x:v>1</x:v>
      </x:c>
      <x:c r="Y34" s="10" t="n">
        <x:v>2</x:v>
      </x:c>
      <x:c r="Z34" s="9" t="str">
        <x:v>ADD</x:v>
      </x:c>
      <x:c r="AA34" s="9"/>
      <x:c r="AB34" s="9"/>
      <x:c r="AC34" s="9"/>
      <x:c r="AD34" s="9"/>
      <x:c r="AE34" s="9"/>
      <x:c r="AF34" s="9"/>
      <x:c r="AG34" s="9"/>
      <x:c r="AH34" s="9"/>
      <x:c r="AI34" s="11"/>
      <x:c r="AJ34" s="9"/>
      <x:c r="AK34" s="9" t="str">
        <x:v>Eval_Counting.xlsm</x:v>
      </x:c>
      <x:c r="AL34" s="9" t="str">
        <x:v>GR00T</x:v>
      </x:c>
      <x:c r="AM34" s="9" t="n">
        <x:v>15</x:v>
      </x:c>
      <x:c r="AN34" s="9" t="n">
        <x:v>15</x:v>
      </x:c>
    </x:row>
    <x:row r="35">
      <x:c r="A35" s="9" t="str">
        <x:v>Failure</x:v>
      </x:c>
      <x:c r="B35" s="9" t="str">
        <x:v>Counting</x:v>
      </x:c>
      <x:c r="C35" s="10" t="n">
        <x:v>14</x:v>
      </x:c>
      <x:c r="D35" s="9" t="str">
        <x:v>Leave exactly three objects in the bowl.</x:v>
      </x:c>
      <x:c r="E35" s="9" t="str">
        <x:v>Bowl objects: [airplane toy without propellers, blue pen, yellow block, green pencil sharpener] | Table objects: [none]</x:v>
      </x:c>
      <x:c r="F35" s="9" t="str">
        <x:v>REMOVE any one bowl object; finish with 3 objects in the bowl</x:v>
      </x:c>
      <x:c r="G35" s="9" t="str">
        <x:v>gripped the blue pen, but ran out of time before it removed it from the bowl</x:v>
      </x:c>
      <x:c r="H35" s="9" t="str">
        <x:v>In-distribution concept baseline</x:v>
      </x:c>
      <x:c r="I35" s="9" t="str">
        <x:v>ID-F04</x:v>
      </x:c>
      <x:c r="J35" s="9" t="str">
        <x:v>In-distribution: three via trained 4→3 removal</x:v>
      </x:c>
      <x:c r="K35" s="9"/>
      <x:c r="L35" s="9" t="str">
        <x:v>993</x:v>
      </x:c>
      <x:c r="M35" s="9" t="str">
        <x:v>Exact trained cell: prompt, count transition, and scene-object membership match; physical layout is not copied exactly.</x:v>
      </x:c>
      <x:c r="N35" s="9" t="n">
        <x:v>1</x:v>
      </x:c>
      <x:c r="O35" s="9" t="str">
        <x:v>Recreate the listed bowl/table membership from training episode 993.</x:v>
      </x:c>
      <x:c r="P35" s="9" t="str">
        <x:v>Exact trained count transition and scene-object membership. Any object that reaches the requested final count is acceptable.</x:v>
      </x:c>
      <x:c r="Q35" s="9"/>
      <x:c r="R35" s="10"/>
      <x:c r="S35" s="10"/>
      <x:c r="T35" s="9"/>
      <x:c r="U35" s="9"/>
      <x:c r="V35" s="9"/>
      <x:c r="W35" s="9" t="str">
        <x:v>ID-F04</x:v>
      </x:c>
      <x:c r="X35" s="10" t="n">
        <x:v>4</x:v>
      </x:c>
      <x:c r="Y35" s="10" t="n">
        <x:v>3</x:v>
      </x:c>
      <x:c r="Z35" s="9" t="str">
        <x:v>REMOVE</x:v>
      </x:c>
      <x:c r="AA35" s="9"/>
      <x:c r="AB35" s="9"/>
      <x:c r="AC35" s="9"/>
      <x:c r="AD35" s="9"/>
      <x:c r="AE35" s="9"/>
      <x:c r="AF35" s="9"/>
      <x:c r="AG35" s="9"/>
      <x:c r="AH35" s="9"/>
      <x:c r="AI35" s="11"/>
      <x:c r="AJ35" s="9"/>
      <x:c r="AK35" s="9" t="str">
        <x:v>Eval_Counting.xlsm</x:v>
      </x:c>
      <x:c r="AL35" s="9" t="str">
        <x:v>GR00T</x:v>
      </x:c>
      <x:c r="AM35" s="9" t="n">
        <x:v>16</x:v>
      </x:c>
      <x:c r="AN35" s="9" t="n">
        <x:v>16</x:v>
      </x:c>
    </x:row>
    <x:row r="36">
      <x:c r="A36" s="9" t="str">
        <x:v>Failure</x:v>
      </x:c>
      <x:c r="B36" s="9" t="str">
        <x:v>Counting</x:v>
      </x:c>
      <x:c r="C36" s="10" t="n">
        <x:v>15</x:v>
      </x:c>
      <x:c r="D36" s="9" t="str">
        <x:v>Leave no objects in the bowl.</x:v>
      </x:c>
      <x:c r="E36" s="9" t="str">
        <x:v>Bowl objects: [airplane toy without propellers] | Table objects: [green pencil sharpener]</x:v>
      </x:c>
      <x:c r="F36" s="9" t="str">
        <x:v>REMOVE the only bowl object; finish with 0 objects in the bowl</x:v>
      </x:c>
      <x:c r="G36" s="9" t="str">
        <x:v>took green pencil sharpener to the bowl, before dropping, moved, and set it down in the workspace.</x:v>
      </x:c>
      <x:c r="H36" s="9" t="str">
        <x:v>In-distribution concept baseline</x:v>
      </x:c>
      <x:c r="I36" s="9" t="str">
        <x:v>ID-F04</x:v>
      </x:c>
      <x:c r="J36" s="9" t="str">
        <x:v>In-distribution: zero via trained 1→0 removal</x:v>
      </x:c>
      <x:c r="K36" s="9"/>
      <x:c r="L36" s="9" t="str">
        <x:v>978</x:v>
      </x:c>
      <x:c r="M36" s="9" t="str">
        <x:v>Exact trained cell: prompt, count transition, and scene-object membership match; physical layout is not copied exactly.</x:v>
      </x:c>
      <x:c r="N36" s="9" t="n">
        <x:v>1</x:v>
      </x:c>
      <x:c r="O36" s="9" t="str">
        <x:v>Recreate the listed bowl/table membership from training episode 978.</x:v>
      </x:c>
      <x:c r="P36" s="9" t="str">
        <x:v>Exact trained count transition and scene-object membership. Any object that reaches the requested final count is acceptable.</x:v>
      </x:c>
      <x:c r="Q36" s="9"/>
      <x:c r="R36" s="10"/>
      <x:c r="S36" s="10"/>
      <x:c r="T36" s="9"/>
      <x:c r="U36" s="9"/>
      <x:c r="V36" s="9"/>
      <x:c r="W36" s="9" t="str">
        <x:v>ID-F04</x:v>
      </x:c>
      <x:c r="X36" s="10" t="n">
        <x:v>1</x:v>
      </x:c>
      <x:c r="Y36" s="10" t="n">
        <x:v>0</x:v>
      </x:c>
      <x:c r="Z36" s="9" t="str">
        <x:v>REMOVE</x:v>
      </x:c>
      <x:c r="AA36" s="9"/>
      <x:c r="AB36" s="9"/>
      <x:c r="AC36" s="9"/>
      <x:c r="AD36" s="9"/>
      <x:c r="AE36" s="9"/>
      <x:c r="AF36" s="9"/>
      <x:c r="AG36" s="9"/>
      <x:c r="AH36" s="9"/>
      <x:c r="AI36" s="11"/>
      <x:c r="AJ36" s="9"/>
      <x:c r="AK36" s="9" t="str">
        <x:v>Eval_Counting.xlsm</x:v>
      </x:c>
      <x:c r="AL36" s="9" t="str">
        <x:v>GR00T</x:v>
      </x:c>
      <x:c r="AM36" s="9" t="n">
        <x:v>17</x:v>
      </x:c>
      <x:c r="AN36" s="9" t="n">
        <x:v>17</x:v>
      </x:c>
    </x:row>
    <x:row r="37">
      <x:c r="A37" s="9" t="str">
        <x:v>Failure</x:v>
      </x:c>
      <x:c r="B37" s="9" t="str">
        <x:v>Counting</x:v>
      </x:c>
      <x:c r="C37" s="10" t="n">
        <x:v>16</x:v>
      </x:c>
      <x:c r="D37" s="9" t="str">
        <x:v>Leave exactly one object in the bowl.</x:v>
      </x:c>
      <x:c r="E37" s="9" t="str">
        <x:v>Bowl objects: [none] | Table objects: [yellow block]</x:v>
      </x:c>
      <x:c r="F37" s="9" t="str">
        <x:v>ADD the only table object; finish with 1 object in the bowl</x:v>
      </x:c>
      <x:c r="G37" s="9" t="str">
        <x:v>put yellow block in the bowl, then removed it </x:v>
      </x:c>
      <x:c r="H37" s="9" t="str">
        <x:v>In-distribution concept baseline</x:v>
      </x:c>
      <x:c r="I37" s="9" t="str">
        <x:v>ID-F05</x:v>
      </x:c>
      <x:c r="J37" s="9" t="str">
        <x:v>In-distribution: one via trained 0→1 addition</x:v>
      </x:c>
      <x:c r="K37" s="9"/>
      <x:c r="L37" s="9" t="str">
        <x:v>857</x:v>
      </x:c>
      <x:c r="M37" s="9" t="str">
        <x:v>Exact trained cell: prompt, count transition, and scene-object membership match; physical layout is not copied exactly.</x:v>
      </x:c>
      <x:c r="N37" s="9" t="n">
        <x:v>1</x:v>
      </x:c>
      <x:c r="O37" s="9" t="str">
        <x:v>Recreate the listed bowl/table membership from training episode 857.</x:v>
      </x:c>
      <x:c r="P37" s="9" t="str">
        <x:v>Exact trained count transition and scene-object membership. Any object that reaches the requested final count is acceptable.</x:v>
      </x:c>
      <x:c r="Q37" s="9"/>
      <x:c r="R37" s="10"/>
      <x:c r="S37" s="10"/>
      <x:c r="T37" s="9"/>
      <x:c r="U37" s="9"/>
      <x:c r="V37" s="9"/>
      <x:c r="W37" s="9" t="str">
        <x:v>ID-F05</x:v>
      </x:c>
      <x:c r="X37" s="10" t="n">
        <x:v>0</x:v>
      </x:c>
      <x:c r="Y37" s="10" t="n">
        <x:v>1</x:v>
      </x:c>
      <x:c r="Z37" s="9" t="str">
        <x:v>ADD</x:v>
      </x:c>
      <x:c r="AA37" s="9"/>
      <x:c r="AB37" s="9"/>
      <x:c r="AC37" s="9"/>
      <x:c r="AD37" s="9"/>
      <x:c r="AE37" s="9"/>
      <x:c r="AF37" s="9"/>
      <x:c r="AG37" s="9"/>
      <x:c r="AH37" s="9"/>
      <x:c r="AI37" s="11"/>
      <x:c r="AJ37" s="9"/>
      <x:c r="AK37" s="9" t="str">
        <x:v>Eval_Counting.xlsm</x:v>
      </x:c>
      <x:c r="AL37" s="9" t="str">
        <x:v>GR00T</x:v>
      </x:c>
      <x:c r="AM37" s="9" t="n">
        <x:v>18</x:v>
      </x:c>
      <x:c r="AN37" s="9" t="n">
        <x:v>18</x:v>
      </x:c>
    </x:row>
    <x:row r="38">
      <x:c r="A38" s="9" t="str">
        <x:v>Failure</x:v>
      </x:c>
      <x:c r="B38" s="9" t="str">
        <x:v>Counting</x:v>
      </x:c>
      <x:c r="C38" s="10" t="n">
        <x:v>17</x:v>
      </x:c>
      <x:c r="D38" s="9" t="str">
        <x:v>Make the bowl contain exactly two objects.</x:v>
      </x:c>
      <x:c r="E38" s="9" t="str">
        <x:v>Bowl objects: [green pencil sharpener] | Table objects: [yellow block]</x:v>
      </x:c>
      <x:c r="F38" s="9" t="str">
        <x:v>ADD the only table object; finish with 2 objects in the bowl</x:v>
      </x:c>
      <x:c r="G38" s="9" t="str">
        <x:v>went to the yellow block then returned home</x:v>
      </x:c>
      <x:c r="H38" s="9" t="str">
        <x:v>In-distribution concept baseline</x:v>
      </x:c>
      <x:c r="I38" s="9" t="str">
        <x:v>ID-F05</x:v>
      </x:c>
      <x:c r="J38" s="9" t="str">
        <x:v>In-distribution: two via trained 1→2 addition</x:v>
      </x:c>
      <x:c r="K38" s="9"/>
      <x:c r="L38" s="9" t="str">
        <x:v>865</x:v>
      </x:c>
      <x:c r="M38" s="9" t="str">
        <x:v>Exact trained cell: prompt, count transition, and scene-object membership match; physical layout is not copied exactly.</x:v>
      </x:c>
      <x:c r="N38" s="9" t="n">
        <x:v>1</x:v>
      </x:c>
      <x:c r="O38" s="9" t="str">
        <x:v>Recreate the listed bowl/table membership from training episode 865.</x:v>
      </x:c>
      <x:c r="P38" s="9" t="str">
        <x:v>Exact trained count transition and scene-object membership. Any object that reaches the requested final count is acceptable.</x:v>
      </x:c>
      <x:c r="Q38" s="9"/>
      <x:c r="R38" s="10"/>
      <x:c r="S38" s="10"/>
      <x:c r="T38" s="9"/>
      <x:c r="U38" s="9"/>
      <x:c r="V38" s="9"/>
      <x:c r="W38" s="9" t="str">
        <x:v>ID-F05</x:v>
      </x:c>
      <x:c r="X38" s="10" t="n">
        <x:v>1</x:v>
      </x:c>
      <x:c r="Y38" s="10" t="n">
        <x:v>2</x:v>
      </x:c>
      <x:c r="Z38" s="9" t="str">
        <x:v>ADD</x:v>
      </x:c>
      <x:c r="AA38" s="9"/>
      <x:c r="AB38" s="9"/>
      <x:c r="AC38" s="9"/>
      <x:c r="AD38" s="9"/>
      <x:c r="AE38" s="9"/>
      <x:c r="AF38" s="9"/>
      <x:c r="AG38" s="9"/>
      <x:c r="AH38" s="9"/>
      <x:c r="AI38" s="11"/>
      <x:c r="AJ38" s="9"/>
      <x:c r="AK38" s="9" t="str">
        <x:v>Eval_Counting.xlsm</x:v>
      </x:c>
      <x:c r="AL38" s="9" t="str">
        <x:v>GR00T</x:v>
      </x:c>
      <x:c r="AM38" s="9" t="n">
        <x:v>19</x:v>
      </x:c>
      <x:c r="AN38" s="9" t="n">
        <x:v>19</x:v>
      </x:c>
    </x:row>
    <x:row r="39">
      <x:c r="A39" s="9" t="str">
        <x:v>Success</x:v>
      </x:c>
      <x:c r="B39" s="9" t="str">
        <x:v>Counting</x:v>
      </x:c>
      <x:c r="C39" s="10" t="n">
        <x:v>18</x:v>
      </x:c>
      <x:c r="D39" s="9" t="str">
        <x:v>Leave exactly three objects in the bowl.</x:v>
      </x:c>
      <x:c r="E39" s="9" t="str">
        <x:v>Bowl objects: [airplane toy without propellers, blue pen, yellow block, green pencil sharpener] | Table objects: [none]</x:v>
      </x:c>
      <x:c r="F39" s="9" t="str">
        <x:v>REMOVE any one bowl object; finish with 3 objects in the bowl</x:v>
      </x:c>
      <x:c r="G39" s="9" t="str">
        <x:v>picked out the green pencil sharpener</x:v>
      </x:c>
      <x:c r="H39" s="9" t="str">
        <x:v>In-distribution concept baseline</x:v>
      </x:c>
      <x:c r="I39" s="9" t="str">
        <x:v>ID-F05</x:v>
      </x:c>
      <x:c r="J39" s="9" t="str">
        <x:v>In-distribution: three via trained 4→3 removal</x:v>
      </x:c>
      <x:c r="K39" s="9"/>
      <x:c r="L39" s="9" t="str">
        <x:v>994</x:v>
      </x:c>
      <x:c r="M39" s="9" t="str">
        <x:v>Exact trained cell: prompt, count transition, and scene-object membership match; physical layout is not copied exactly.</x:v>
      </x:c>
      <x:c r="N39" s="9" t="n">
        <x:v>1</x:v>
      </x:c>
      <x:c r="O39" s="9" t="str">
        <x:v>Recreate the listed bowl/table membership from training episode 994.</x:v>
      </x:c>
      <x:c r="P39" s="9" t="str">
        <x:v>Exact trained count transition and scene-object membership. Any object that reaches the requested final count is acceptable.</x:v>
      </x:c>
      <x:c r="Q39" s="9"/>
      <x:c r="R39" s="10"/>
      <x:c r="S39" s="10"/>
      <x:c r="T39" s="9"/>
      <x:c r="U39" s="9"/>
      <x:c r="V39" s="9"/>
      <x:c r="W39" s="9" t="str">
        <x:v>ID-F05</x:v>
      </x:c>
      <x:c r="X39" s="10" t="n">
        <x:v>4</x:v>
      </x:c>
      <x:c r="Y39" s="10" t="n">
        <x:v>3</x:v>
      </x:c>
      <x:c r="Z39" s="9" t="str">
        <x:v>REMOVE</x:v>
      </x:c>
      <x:c r="AA39" s="9"/>
      <x:c r="AB39" s="9"/>
      <x:c r="AC39" s="9"/>
      <x:c r="AD39" s="9"/>
      <x:c r="AE39" s="9"/>
      <x:c r="AF39" s="9"/>
      <x:c r="AG39" s="9"/>
      <x:c r="AH39" s="9"/>
      <x:c r="AI39" s="11"/>
      <x:c r="AJ39" s="9"/>
      <x:c r="AK39" s="9" t="str">
        <x:v>Eval_Counting.xlsm</x:v>
      </x:c>
      <x:c r="AL39" s="9" t="str">
        <x:v>GR00T</x:v>
      </x:c>
      <x:c r="AM39" s="9" t="n">
        <x:v>20</x:v>
      </x:c>
      <x:c r="AN39" s="9" t="n">
        <x:v>20</x:v>
      </x:c>
    </x:row>
    <x:row r="40">
      <x:c r="A40" s="9" t="str">
        <x:v>Failure</x:v>
      </x:c>
      <x:c r="B40" s="9" t="str">
        <x:v>Counting</x:v>
      </x:c>
      <x:c r="C40" s="10" t="n">
        <x:v>19</x:v>
      </x:c>
      <x:c r="D40" s="9" t="str">
        <x:v>Make the bowl contain exactly zero objects.</x:v>
      </x:c>
      <x:c r="E40" s="9" t="str">
        <x:v>Bowl objects: [yellow block] | Table objects: [none]</x:v>
      </x:c>
      <x:c r="F40" s="9" t="str">
        <x:v>REMOVE the only bowl object; finish with 0 objects in the bowl</x:v>
      </x:c>
      <x:c r="G40" s="9" t="str">
        <x:v>didn't move</x:v>
      </x:c>
      <x:c r="H40" s="9" t="str">
        <x:v>In-distribution concept baseline</x:v>
      </x:c>
      <x:c r="I40" s="9" t="str">
        <x:v>ID-F05</x:v>
      </x:c>
      <x:c r="J40" s="9" t="str">
        <x:v>In-distribution: zero via trained 1→0 removal</x:v>
      </x:c>
      <x:c r="K40" s="9"/>
      <x:c r="L40" s="9" t="str">
        <x:v>880</x:v>
      </x:c>
      <x:c r="M40" s="9" t="str">
        <x:v>Exact trained cell: prompt, count transition, and scene-object membership match; physical layout is not copied exactly.</x:v>
      </x:c>
      <x:c r="N40" s="9" t="n">
        <x:v>1</x:v>
      </x:c>
      <x:c r="O40" s="9" t="str">
        <x:v>Recreate the listed bowl/table membership from training episode 880.</x:v>
      </x:c>
      <x:c r="P40" s="9" t="str">
        <x:v>Exact trained count transition and scene-object membership. Any object that reaches the requested final count is acceptable.</x:v>
      </x:c>
      <x:c r="Q40" s="9"/>
      <x:c r="R40" s="10"/>
      <x:c r="S40" s="10"/>
      <x:c r="T40" s="9"/>
      <x:c r="U40" s="9"/>
      <x:c r="V40" s="9"/>
      <x:c r="W40" s="9" t="str">
        <x:v>ID-F05</x:v>
      </x:c>
      <x:c r="X40" s="10" t="n">
        <x:v>1</x:v>
      </x:c>
      <x:c r="Y40" s="10" t="n">
        <x:v>0</x:v>
      </x:c>
      <x:c r="Z40" s="9" t="str">
        <x:v>REMOVE</x:v>
      </x:c>
      <x:c r="AA40" s="9"/>
      <x:c r="AB40" s="9"/>
      <x:c r="AC40" s="9"/>
      <x:c r="AD40" s="9"/>
      <x:c r="AE40" s="9"/>
      <x:c r="AF40" s="9"/>
      <x:c r="AG40" s="9"/>
      <x:c r="AH40" s="9"/>
      <x:c r="AI40" s="11"/>
      <x:c r="AJ40" s="9"/>
      <x:c r="AK40" s="9" t="str">
        <x:v>Eval_Counting.xlsm</x:v>
      </x:c>
      <x:c r="AL40" s="9" t="str">
        <x:v>GR00T</x:v>
      </x:c>
      <x:c r="AM40" s="9" t="n">
        <x:v>21</x:v>
      </x:c>
      <x:c r="AN40" s="9" t="n">
        <x:v>21</x:v>
      </x:c>
    </x:row>
    <x:row r="41">
      <x:c r="A41" s="9" t="str">
        <x:v>Failure</x:v>
      </x:c>
      <x:c r="B41" s="9" t="str">
        <x:v>Ordinal Reference Ordering</x:v>
      </x:c>
      <x:c r="C41" s="10" t="n">
        <x:v>0</x:v>
      </x:c>
      <x:c r="D41" s="9" t="str">
        <x:v>Put the second object from the right in the bowl.</x:v>
      </x:c>
      <x:c r="E41" s="9" t="str">
        <x:v>L1: blue tape ball, L2: airplane toy with propellers</x:v>
      </x:c>
      <x:c r="F41" s="9" t="str">
        <x:v>blue tape ball</x:v>
      </x:c>
      <x:c r="G41" s="9" t="str">
        <x:v>picked airplane toy; almost didn't let it go</x:v>
      </x:c>
      <x:c r="H41" s="9" t="str">
        <x:v>In-distribution concept baseline</x:v>
      </x:c>
      <x:c r="I41" s="9" t="str">
        <x:v>ID-EXACT01</x:v>
      </x:c>
      <x:c r="J41" s="9" t="str">
        <x:v>Exact training recreation — source episode 658</x:v>
      </x:c>
      <x:c r="K41" s="9"/>
      <x:c r="L41" s="9"/>
      <x:c r="M41" s="9"/>
      <x:c r="N41" s="9" t="str">
        <x:v>1 — In-distribution baselines</x:v>
      </x:c>
      <x:c r="O41" s="9" t="str">
        <x:v>Independently recreate the prompt and ordered object list from training episode 658; do not reuse the preceding baseline scene.</x:v>
      </x:c>
      <x:c r="P41" s="9" t="str">
        <x:v>Exact final prompt and complete left-to-right object order from explicit training episode 658: blue tape ball | airplane toy with propellers.</x:v>
      </x:c>
      <x:c r="Q41" s="9"/>
      <x:c r="R41" s="10" t="n">
        <x:v>2</x:v>
      </x:c>
      <x:c r="S41" s="10"/>
      <x:c r="T41" s="9"/>
      <x:c r="U41" s="9"/>
      <x:c r="V41" s="9"/>
      <x:c r="W41" s="9" t="str">
        <x:v>None — independent exact training recreation</x:v>
      </x:c>
      <x:c r="X41" s="10"/>
      <x:c r="Y41" s="10"/>
      <x:c r="Z41" s="9"/>
      <x:c r="AA41" s="9" t="str">
        <x:v>L1</x:v>
      </x:c>
      <x:c r="AB41" s="9" t="str">
        <x:v>second from right</x:v>
      </x:c>
      <x:c r="AC41" s="9"/>
      <x:c r="AD41" s="9"/>
      <x:c r="AE41" s="9"/>
      <x:c r="AF41" s="9"/>
      <x:c r="AG41" s="9"/>
      <x:c r="AH41" s="9"/>
      <x:c r="AI41" s="11"/>
      <x:c r="AJ41" s="9"/>
      <x:c r="AK41" s="9" t="str">
        <x:v>Eval_Ordinal_Reference_Ordering.xlsm</x:v>
      </x:c>
      <x:c r="AL41" s="9" t="str">
        <x:v>GR00T Results</x:v>
      </x:c>
      <x:c r="AM41" s="9" t="n">
        <x:v>2</x:v>
      </x:c>
      <x:c r="AN41" s="9" t="n">
        <x:v>2</x:v>
      </x:c>
    </x:row>
    <x:row r="42">
      <x:c r="A42" s="9" t="str">
        <x:v>Failure</x:v>
      </x:c>
      <x:c r="B42" s="9" t="str">
        <x:v>Ordinal Reference Ordering</x:v>
      </x:c>
      <x:c r="C42" s="10" t="n">
        <x:v>1</x:v>
      </x:c>
      <x:c r="D42" s="9" t="str">
        <x:v>Put the second object from the left in the bowl.</x:v>
      </x:c>
      <x:c r="E42" s="9" t="str">
        <x:v>L1: blue tape ball, L2: airplane toy with propellers</x:v>
      </x:c>
      <x:c r="F42" s="9" t="str">
        <x:v>airplane toy with propellers</x:v>
      </x:c>
      <x:c r="G42" s="9" t="str">
        <x:v>tried to pick airplane toy, knocked it around a bit and then picked tape ball</x:v>
      </x:c>
      <x:c r="H42" s="9" t="str">
        <x:v>In-distribution concept baseline</x:v>
      </x:c>
      <x:c r="I42" s="9" t="str">
        <x:v>ID-EXACT02</x:v>
      </x:c>
      <x:c r="J42" s="9" t="str">
        <x:v>Exact training recreation — source episode 619</x:v>
      </x:c>
      <x:c r="K42" s="9"/>
      <x:c r="L42" s="9"/>
      <x:c r="M42" s="9"/>
      <x:c r="N42" s="9" t="str">
        <x:v>1 — In-distribution baselines</x:v>
      </x:c>
      <x:c r="O42" s="9" t="str">
        <x:v>Independently recreate the prompt and ordered object list from training episode 619; do not reuse the preceding baseline scene.</x:v>
      </x:c>
      <x:c r="P42" s="9" t="str">
        <x:v>Exact final prompt and complete left-to-right object order from explicit training episode 619: blue tape ball | airplane toy with propellers.</x:v>
      </x:c>
      <x:c r="Q42" s="9"/>
      <x:c r="R42" s="10" t="n">
        <x:v>2</x:v>
      </x:c>
      <x:c r="S42" s="10"/>
      <x:c r="T42" s="9"/>
      <x:c r="U42" s="9"/>
      <x:c r="V42" s="9"/>
      <x:c r="W42" s="9" t="str">
        <x:v>None — independent exact training recreation</x:v>
      </x:c>
      <x:c r="X42" s="10"/>
      <x:c r="Y42" s="10"/>
      <x:c r="Z42" s="9"/>
      <x:c r="AA42" s="9" t="str">
        <x:v>L2</x:v>
      </x:c>
      <x:c r="AB42" s="9" t="str">
        <x:v>second from left</x:v>
      </x:c>
      <x:c r="AC42" s="9"/>
      <x:c r="AD42" s="9"/>
      <x:c r="AE42" s="9"/>
      <x:c r="AF42" s="9"/>
      <x:c r="AG42" s="9"/>
      <x:c r="AH42" s="9"/>
      <x:c r="AI42" s="11"/>
      <x:c r="AJ42" s="9"/>
      <x:c r="AK42" s="9" t="str">
        <x:v>Eval_Ordinal_Reference_Ordering.xlsm</x:v>
      </x:c>
      <x:c r="AL42" s="9" t="str">
        <x:v>GR00T Results</x:v>
      </x:c>
      <x:c r="AM42" s="9" t="n">
        <x:v>3</x:v>
      </x:c>
      <x:c r="AN42" s="9" t="n">
        <x:v>3</x:v>
      </x:c>
    </x:row>
    <x:row r="43">
      <x:c r="A43" s="9" t="str">
        <x:v>Failure</x:v>
      </x:c>
      <x:c r="B43" s="9" t="str">
        <x:v>Ordinal Reference Ordering</x:v>
      </x:c>
      <x:c r="C43" s="10" t="n">
        <x:v>2</x:v>
      </x:c>
      <x:c r="D43" s="9" t="str">
        <x:v>Move the second item counted from the left into the bowl.</x:v>
      </x:c>
      <x:c r="E43" s="9" t="str">
        <x:v>L1: airplane toy with propellers, L2: green highlighter</x:v>
      </x:c>
      <x:c r="F43" s="9" t="str">
        <x:v>green highlighter</x:v>
      </x:c>
      <x:c r="G43" s="9" t="str">
        <x:v>picked airplane toy. </x:v>
      </x:c>
      <x:c r="H43" s="9" t="str">
        <x:v>In-distribution concept baseline</x:v>
      </x:c>
      <x:c r="I43" s="9" t="str">
        <x:v>ID-EXACT03</x:v>
      </x:c>
      <x:c r="J43" s="9" t="str">
        <x:v>Exact training recreation — source episode 719</x:v>
      </x:c>
      <x:c r="K43" s="9"/>
      <x:c r="L43" s="9"/>
      <x:c r="M43" s="9"/>
      <x:c r="N43" s="9" t="str">
        <x:v>1 — In-distribution baselines</x:v>
      </x:c>
      <x:c r="O43" s="9" t="str">
        <x:v>Independently recreate the prompt and ordered object list from training episode 719; do not reuse the preceding baseline scene.</x:v>
      </x:c>
      <x:c r="P43" s="9" t="str">
        <x:v>Exact final prompt and complete left-to-right object order from explicit training episode 719: airplane toy with propellers | green highlighter.</x:v>
      </x:c>
      <x:c r="Q43" s="9"/>
      <x:c r="R43" s="10" t="n">
        <x:v>2</x:v>
      </x:c>
      <x:c r="S43" s="10"/>
      <x:c r="T43" s="9"/>
      <x:c r="U43" s="9"/>
      <x:c r="V43" s="9"/>
      <x:c r="W43" s="9" t="str">
        <x:v>None — independent exact training recreation</x:v>
      </x:c>
      <x:c r="X43" s="10"/>
      <x:c r="Y43" s="10"/>
      <x:c r="Z43" s="9"/>
      <x:c r="AA43" s="9" t="str">
        <x:v>L2</x:v>
      </x:c>
      <x:c r="AB43" s="9" t="str">
        <x:v>second from left</x:v>
      </x:c>
      <x:c r="AC43" s="9"/>
      <x:c r="AD43" s="9"/>
      <x:c r="AE43" s="9"/>
      <x:c r="AF43" s="9"/>
      <x:c r="AG43" s="9"/>
      <x:c r="AH43" s="9"/>
      <x:c r="AI43" s="11"/>
      <x:c r="AJ43" s="9"/>
      <x:c r="AK43" s="9" t="str">
        <x:v>Eval_Ordinal_Reference_Ordering.xlsm</x:v>
      </x:c>
      <x:c r="AL43" s="9" t="str">
        <x:v>GR00T Results</x:v>
      </x:c>
      <x:c r="AM43" s="9" t="n">
        <x:v>4</x:v>
      </x:c>
      <x:c r="AN43" s="9" t="n">
        <x:v>4</x:v>
      </x:c>
    </x:row>
    <x:row r="44">
      <x:c r="A44" s="9" t="str">
        <x:v>Failure</x:v>
      </x:c>
      <x:c r="B44" s="9" t="str">
        <x:v>Ordinal Reference Ordering</x:v>
      </x:c>
      <x:c r="C44" s="10" t="n">
        <x:v>3</x:v>
      </x:c>
      <x:c r="D44" s="9" t="str">
        <x:v>Move the second item counted from the right into the bowl.</x:v>
      </x:c>
      <x:c r="E44" s="9" t="str">
        <x:v>L1: yellow pen, L2: airplane toy with propellers</x:v>
      </x:c>
      <x:c r="F44" s="9" t="str">
        <x:v>yellow pen</x:v>
      </x:c>
      <x:c r="G44" s="9" t="str">
        <x:v>tried grabbing thin air in spot to the right of the airplane toy</x:v>
      </x:c>
      <x:c r="H44" s="9" t="str">
        <x:v>In-distribution concept baseline</x:v>
      </x:c>
      <x:c r="I44" s="9" t="str">
        <x:v>ID-EXACT04</x:v>
      </x:c>
      <x:c r="J44" s="9" t="str">
        <x:v>Exact training recreation — source episode 758</x:v>
      </x:c>
      <x:c r="K44" s="9"/>
      <x:c r="L44" s="9"/>
      <x:c r="M44" s="9"/>
      <x:c r="N44" s="9" t="str">
        <x:v>1 — In-distribution baselines</x:v>
      </x:c>
      <x:c r="O44" s="9" t="str">
        <x:v>Independently recreate the prompt and ordered object list from training episode 758; do not reuse the preceding baseline scene.</x:v>
      </x:c>
      <x:c r="P44" s="9" t="str">
        <x:v>Exact final prompt and complete left-to-right object order from explicit training episode 758: yellow pen | airplane toy with propellers.</x:v>
      </x:c>
      <x:c r="Q44" s="9"/>
      <x:c r="R44" s="10" t="n">
        <x:v>2</x:v>
      </x:c>
      <x:c r="S44" s="10"/>
      <x:c r="T44" s="9"/>
      <x:c r="U44" s="9"/>
      <x:c r="V44" s="9"/>
      <x:c r="W44" s="9" t="str">
        <x:v>None — independent exact training recreation</x:v>
      </x:c>
      <x:c r="X44" s="10"/>
      <x:c r="Y44" s="10"/>
      <x:c r="Z44" s="9"/>
      <x:c r="AA44" s="9" t="str">
        <x:v>L1</x:v>
      </x:c>
      <x:c r="AB44" s="9" t="str">
        <x:v>second from right</x:v>
      </x:c>
      <x:c r="AC44" s="9"/>
      <x:c r="AD44" s="9"/>
      <x:c r="AE44" s="9"/>
      <x:c r="AF44" s="9"/>
      <x:c r="AG44" s="9"/>
      <x:c r="AH44" s="9"/>
      <x:c r="AI44" s="11"/>
      <x:c r="AJ44" s="9"/>
      <x:c r="AK44" s="9" t="str">
        <x:v>Eval_Ordinal_Reference_Ordering.xlsm</x:v>
      </x:c>
      <x:c r="AL44" s="9" t="str">
        <x:v>GR00T Results</x:v>
      </x:c>
      <x:c r="AM44" s="9" t="n">
        <x:v>5</x:v>
      </x:c>
      <x:c r="AN44" s="9" t="n">
        <x:v>5</x:v>
      </x:c>
    </x:row>
    <x:row r="45">
      <x:c r="A45" s="9" t="str">
        <x:v>Failure</x:v>
      </x:c>
      <x:c r="B45" s="9" t="str">
        <x:v>Ordinal Reference Ordering</x:v>
      </x:c>
      <x:c r="C45" s="10" t="n">
        <x:v>4</x:v>
      </x:c>
      <x:c r="D45" s="9" t="str">
        <x:v>Put the third object from the right in the bowl.</x:v>
      </x:c>
      <x:c r="E45" s="9" t="str">
        <x:v>L1: airplane toy with propellers, L2: yellow pen, L3: blue tape ball</x:v>
      </x:c>
      <x:c r="F45" s="9" t="str">
        <x:v>airplane toy with propellers</x:v>
      </x:c>
      <x:c r="G45" s="9" t="str">
        <x:v>picked blue tape ball</x:v>
      </x:c>
      <x:c r="H45" s="9" t="str">
        <x:v>In-distribution concept baseline</x:v>
      </x:c>
      <x:c r="I45" s="9" t="str">
        <x:v>ID-EXACT05</x:v>
      </x:c>
      <x:c r="J45" s="9" t="str">
        <x:v>Exact training recreation — source episode 604</x:v>
      </x:c>
      <x:c r="K45" s="9"/>
      <x:c r="L45" s="9"/>
      <x:c r="M45" s="9"/>
      <x:c r="N45" s="9" t="str">
        <x:v>1 — In-distribution baselines</x:v>
      </x:c>
      <x:c r="O45" s="9" t="str">
        <x:v>Independently recreate the prompt and ordered object list from training episode 604; do not reuse the preceding baseline scene.</x:v>
      </x:c>
      <x:c r="P45" s="9" t="str">
        <x:v>Exact final prompt and complete left-to-right object order from explicit training episode 604: airplane toy with propellers | yellow pen | blue tape ball.</x:v>
      </x:c>
      <x:c r="Q45" s="9"/>
      <x:c r="R45" s="10" t="n">
        <x:v>3</x:v>
      </x:c>
      <x:c r="S45" s="10"/>
      <x:c r="T45" s="9"/>
      <x:c r="U45" s="9"/>
      <x:c r="V45" s="9"/>
      <x:c r="W45" s="9" t="str">
        <x:v>None — independent exact training recreation</x:v>
      </x:c>
      <x:c r="X45" s="10"/>
      <x:c r="Y45" s="10"/>
      <x:c r="Z45" s="9"/>
      <x:c r="AA45" s="9" t="str">
        <x:v>L1</x:v>
      </x:c>
      <x:c r="AB45" s="9" t="str">
        <x:v>third from right</x:v>
      </x:c>
      <x:c r="AC45" s="9"/>
      <x:c r="AD45" s="9"/>
      <x:c r="AE45" s="9"/>
      <x:c r="AF45" s="9"/>
      <x:c r="AG45" s="9"/>
      <x:c r="AH45" s="9"/>
      <x:c r="AI45" s="11"/>
      <x:c r="AJ45" s="9"/>
      <x:c r="AK45" s="9" t="str">
        <x:v>Eval_Ordinal_Reference_Ordering.xlsm</x:v>
      </x:c>
      <x:c r="AL45" s="9" t="str">
        <x:v>GR00T Results</x:v>
      </x:c>
      <x:c r="AM45" s="9" t="n">
        <x:v>6</x:v>
      </x:c>
      <x:c r="AN45" s="9" t="n">
        <x:v>6</x:v>
      </x:c>
    </x:row>
    <x:row r="46">
      <x:c r="A46" s="9" t="str">
        <x:v>Failure</x:v>
      </x:c>
      <x:c r="B46" s="9" t="str">
        <x:v>Ordinal Reference Ordering</x:v>
      </x:c>
      <x:c r="C46" s="10" t="n">
        <x:v>5</x:v>
      </x:c>
      <x:c r="D46" s="9" t="str">
        <x:v>Put the object that is first from the right in the bowl.</x:v>
      </x:c>
      <x:c r="E46" s="9" t="str">
        <x:v>L1: airplane toy with propellers, L2: green highlighter, L3: blue tape ball</x:v>
      </x:c>
      <x:c r="F46" s="9" t="str">
        <x:v>blue tape ball</x:v>
      </x:c>
      <x:c r="G46" s="9" t="str">
        <x:v>picked the green highlighter</x:v>
      </x:c>
      <x:c r="H46" s="9" t="str">
        <x:v>In-distribution concept baseline</x:v>
      </x:c>
      <x:c r="I46" s="9" t="str">
        <x:v>ID-EXACT06</x:v>
      </x:c>
      <x:c r="J46" s="9" t="str">
        <x:v>Exact training recreation — source episode 679</x:v>
      </x:c>
      <x:c r="K46" s="9"/>
      <x:c r="L46" s="9"/>
      <x:c r="M46" s="9"/>
      <x:c r="N46" s="9" t="str">
        <x:v>1 — In-distribution baselines</x:v>
      </x:c>
      <x:c r="O46" s="9" t="str">
        <x:v>Independently recreate the prompt and ordered object list from training episode 679; do not reuse the preceding baseline scene.</x:v>
      </x:c>
      <x:c r="P46" s="9" t="str">
        <x:v>Exact final prompt and complete left-to-right object order from explicit training episode 679: airplane toy with propellers | green highlighter | blue tape ball.</x:v>
      </x:c>
      <x:c r="Q46" s="9"/>
      <x:c r="R46" s="10" t="n">
        <x:v>3</x:v>
      </x:c>
      <x:c r="S46" s="10"/>
      <x:c r="T46" s="9"/>
      <x:c r="U46" s="9"/>
      <x:c r="V46" s="9"/>
      <x:c r="W46" s="9" t="str">
        <x:v>None — independent exact training recreation</x:v>
      </x:c>
      <x:c r="X46" s="10"/>
      <x:c r="Y46" s="10"/>
      <x:c r="Z46" s="9"/>
      <x:c r="AA46" s="9" t="str">
        <x:v>L3</x:v>
      </x:c>
      <x:c r="AB46" s="9" t="str">
        <x:v>first from right</x:v>
      </x:c>
      <x:c r="AC46" s="9"/>
      <x:c r="AD46" s="9"/>
      <x:c r="AE46" s="9"/>
      <x:c r="AF46" s="9"/>
      <x:c r="AG46" s="9"/>
      <x:c r="AH46" s="9"/>
      <x:c r="AI46" s="11"/>
      <x:c r="AJ46" s="9"/>
      <x:c r="AK46" s="9" t="str">
        <x:v>Eval_Ordinal_Reference_Ordering.xlsm</x:v>
      </x:c>
      <x:c r="AL46" s="9" t="str">
        <x:v>GR00T Results</x:v>
      </x:c>
      <x:c r="AM46" s="9" t="n">
        <x:v>7</x:v>
      </x:c>
      <x:c r="AN46" s="9" t="n">
        <x:v>7</x:v>
      </x:c>
    </x:row>
    <x:row r="47">
      <x:c r="A47" s="9" t="str">
        <x:v>Success</x:v>
      </x:c>
      <x:c r="B47" s="9" t="str">
        <x:v>Ordinal Reference Ordering</x:v>
      </x:c>
      <x:c r="C47" s="10" t="n">
        <x:v>6</x:v>
      </x:c>
      <x:c r="D47" s="9" t="str">
        <x:v>Put the object that is third from the left in the bowl.</x:v>
      </x:c>
      <x:c r="E47" s="9" t="str">
        <x:v>L1: green highlighter, L2: blue tape ball, L3: yellow pen</x:v>
      </x:c>
      <x:c r="F47" s="9" t="str">
        <x:v>yellow pen</x:v>
      </x:c>
      <x:c r="G47" s="9"/>
      <x:c r="H47" s="9" t="str">
        <x:v>In-distribution concept baseline</x:v>
      </x:c>
      <x:c r="I47" s="9" t="str">
        <x:v>ID-EXACT07</x:v>
      </x:c>
      <x:c r="J47" s="9" t="str">
        <x:v>Exact training recreation — source episode 784</x:v>
      </x:c>
      <x:c r="K47" s="9"/>
      <x:c r="L47" s="9"/>
      <x:c r="M47" s="9"/>
      <x:c r="N47" s="9" t="str">
        <x:v>1 — In-distribution baselines</x:v>
      </x:c>
      <x:c r="O47" s="9" t="str">
        <x:v>Independently recreate the prompt and ordered object list from training episode 784; do not reuse the preceding baseline scene.</x:v>
      </x:c>
      <x:c r="P47" s="9" t="str">
        <x:v>Exact final prompt and complete left-to-right object order from explicit training episode 784: green highlighter | blue tape ball | yellow pen.</x:v>
      </x:c>
      <x:c r="Q47" s="9"/>
      <x:c r="R47" s="10" t="n">
        <x:v>3</x:v>
      </x:c>
      <x:c r="S47" s="10"/>
      <x:c r="T47" s="9"/>
      <x:c r="U47" s="9"/>
      <x:c r="V47" s="9"/>
      <x:c r="W47" s="9" t="str">
        <x:v>None — independent exact training recreation</x:v>
      </x:c>
      <x:c r="X47" s="10"/>
      <x:c r="Y47" s="10"/>
      <x:c r="Z47" s="9"/>
      <x:c r="AA47" s="9" t="str">
        <x:v>L3</x:v>
      </x:c>
      <x:c r="AB47" s="9" t="str">
        <x:v>third from left</x:v>
      </x:c>
      <x:c r="AC47" s="9"/>
      <x:c r="AD47" s="9"/>
      <x:c r="AE47" s="9"/>
      <x:c r="AF47" s="9"/>
      <x:c r="AG47" s="9"/>
      <x:c r="AH47" s="9"/>
      <x:c r="AI47" s="11"/>
      <x:c r="AJ47" s="9"/>
      <x:c r="AK47" s="9" t="str">
        <x:v>Eval_Ordinal_Reference_Ordering.xlsm</x:v>
      </x:c>
      <x:c r="AL47" s="9" t="str">
        <x:v>GR00T Results</x:v>
      </x:c>
      <x:c r="AM47" s="9" t="n">
        <x:v>8</x:v>
      </x:c>
      <x:c r="AN47" s="9" t="n">
        <x:v>8</x:v>
      </x:c>
    </x:row>
    <x:row r="48">
      <x:c r="A48" s="9" t="str">
        <x:v>Failure</x:v>
      </x:c>
      <x:c r="B48" s="9" t="str">
        <x:v>Ordinal Reference Ordering</x:v>
      </x:c>
      <x:c r="C48" s="10" t="n">
        <x:v>7</x:v>
      </x:c>
      <x:c r="D48" s="9" t="str">
        <x:v>Put the first object from the left in the bowl.</x:v>
      </x:c>
      <x:c r="E48" s="9" t="str">
        <x:v>L1: green highlighter, L2: airplane toy with propellers, L3: blue tape ball</x:v>
      </x:c>
      <x:c r="F48" s="9" t="str">
        <x:v>green highlighter</x:v>
      </x:c>
      <x:c r="G48" s="9" t="str">
        <x:v>picked airplane toy</x:v>
      </x:c>
      <x:c r="H48" s="9" t="str">
        <x:v>In-distribution concept baseline</x:v>
      </x:c>
      <x:c r="I48" s="9" t="str">
        <x:v>ID-EXACT08</x:v>
      </x:c>
      <x:c r="J48" s="9" t="str">
        <x:v>Exact training recreation — source episode 706</x:v>
      </x:c>
      <x:c r="K48" s="9"/>
      <x:c r="L48" s="9"/>
      <x:c r="M48" s="9"/>
      <x:c r="N48" s="9" t="str">
        <x:v>1 — In-distribution baselines</x:v>
      </x:c>
      <x:c r="O48" s="9" t="str">
        <x:v>Independently recreate the prompt and ordered object list from training episode 706; do not reuse the preceding baseline scene.</x:v>
      </x:c>
      <x:c r="P48" s="9" t="str">
        <x:v>Exact final prompt and complete left-to-right object order from explicit training episode 706: green highlighter | airplane toy with propellers | blue tape ball.</x:v>
      </x:c>
      <x:c r="Q48" s="9"/>
      <x:c r="R48" s="10" t="n">
        <x:v>3</x:v>
      </x:c>
      <x:c r="S48" s="10"/>
      <x:c r="T48" s="9"/>
      <x:c r="U48" s="9"/>
      <x:c r="V48" s="9"/>
      <x:c r="W48" s="9" t="str">
        <x:v>None — independent exact training recreation</x:v>
      </x:c>
      <x:c r="X48" s="10"/>
      <x:c r="Y48" s="10"/>
      <x:c r="Z48" s="9"/>
      <x:c r="AA48" s="9" t="str">
        <x:v>L1</x:v>
      </x:c>
      <x:c r="AB48" s="9" t="str">
        <x:v>first from left</x:v>
      </x:c>
      <x:c r="AC48" s="9"/>
      <x:c r="AD48" s="9"/>
      <x:c r="AE48" s="9"/>
      <x:c r="AF48" s="9"/>
      <x:c r="AG48" s="9"/>
      <x:c r="AH48" s="9"/>
      <x:c r="AI48" s="11"/>
      <x:c r="AJ48" s="9"/>
      <x:c r="AK48" s="9" t="str">
        <x:v>Eval_Ordinal_Reference_Ordering.xlsm</x:v>
      </x:c>
      <x:c r="AL48" s="9" t="str">
        <x:v>GR00T Results</x:v>
      </x:c>
      <x:c r="AM48" s="9" t="n">
        <x:v>9</x:v>
      </x:c>
      <x:c r="AN48" s="9" t="n">
        <x:v>9</x:v>
      </x:c>
    </x:row>
    <x:row r="49">
      <x:c r="A49" s="9" t="str">
        <x:v>Failure</x:v>
      </x:c>
      <x:c r="B49" s="9" t="str">
        <x:v>Ordinal Reference Ordering</x:v>
      </x:c>
      <x:c r="C49" s="10" t="n">
        <x:v>8</x:v>
      </x:c>
      <x:c r="D49" s="9" t="str">
        <x:v>Put the fourth object from the right in the bowl.</x:v>
      </x:c>
      <x:c r="E49" s="9" t="str">
        <x:v>L1: blue tape ball, L2: green highlighter, L3: airplane toy with propellers, L4: yellow pen</x:v>
      </x:c>
      <x:c r="F49" s="9" t="str">
        <x:v>blue tape ball</x:v>
      </x:c>
      <x:c r="G49" s="9" t="str">
        <x:v>picked airplane toy</x:v>
      </x:c>
      <x:c r="H49" s="9" t="str">
        <x:v>In-distribution concept baseline</x:v>
      </x:c>
      <x:c r="I49" s="9" t="str">
        <x:v>ID-EXACT09</x:v>
      </x:c>
      <x:c r="J49" s="9" t="str">
        <x:v>Exact training recreation — source episode 652</x:v>
      </x:c>
      <x:c r="K49" s="9"/>
      <x:c r="L49" s="9"/>
      <x:c r="M49" s="9"/>
      <x:c r="N49" s="9" t="str">
        <x:v>1 — In-distribution baselines</x:v>
      </x:c>
      <x:c r="O49" s="9" t="str">
        <x:v>Independently recreate the prompt and ordered object list from training episode 652; do not reuse the preceding baseline scene.</x:v>
      </x:c>
      <x:c r="P49" s="9" t="str">
        <x:v>Exact final prompt and complete left-to-right object order from explicit training episode 652: blue tape ball | green highlighter | airplane toy with propellers | yellow pen.</x:v>
      </x:c>
      <x:c r="Q49" s="9"/>
      <x:c r="R49" s="10" t="n">
        <x:v>4</x:v>
      </x:c>
      <x:c r="S49" s="10"/>
      <x:c r="T49" s="9"/>
      <x:c r="U49" s="9"/>
      <x:c r="V49" s="9"/>
      <x:c r="W49" s="9" t="str">
        <x:v>None — independent exact training recreation</x:v>
      </x:c>
      <x:c r="X49" s="10"/>
      <x:c r="Y49" s="10"/>
      <x:c r="Z49" s="9"/>
      <x:c r="AA49" s="9" t="str">
        <x:v>L1</x:v>
      </x:c>
      <x:c r="AB49" s="9" t="str">
        <x:v>fourth from right</x:v>
      </x:c>
      <x:c r="AC49" s="9"/>
      <x:c r="AD49" s="9"/>
      <x:c r="AE49" s="9"/>
      <x:c r="AF49" s="9"/>
      <x:c r="AG49" s="9"/>
      <x:c r="AH49" s="9"/>
      <x:c r="AI49" s="11"/>
      <x:c r="AJ49" s="9"/>
      <x:c r="AK49" s="9" t="str">
        <x:v>Eval_Ordinal_Reference_Ordering.xlsm</x:v>
      </x:c>
      <x:c r="AL49" s="9" t="str">
        <x:v>GR00T Results</x:v>
      </x:c>
      <x:c r="AM49" s="9" t="n">
        <x:v>10</x:v>
      </x:c>
      <x:c r="AN49" s="9" t="n">
        <x:v>10</x:v>
      </x:c>
    </x:row>
    <x:row r="50">
      <x:c r="A50" s="9" t="str">
        <x:v>Failure</x:v>
      </x:c>
      <x:c r="B50" s="9" t="str">
        <x:v>Ordinal Reference Ordering</x:v>
      </x:c>
      <x:c r="C50" s="10" t="n">
        <x:v>9</x:v>
      </x:c>
      <x:c r="D50" s="9" t="str">
        <x:v>Put the second object from the left in the bowl.</x:v>
      </x:c>
      <x:c r="E50" s="9" t="str">
        <x:v>L1: blue tape ball, L2: airplane toy with propellers, L3: yellow pen, L4: green highlighter</x:v>
      </x:c>
      <x:c r="F50" s="9" t="str">
        <x:v>airplane toy with propellers</x:v>
      </x:c>
      <x:c r="G50" s="9" t="str">
        <x:v>picked yellow pen</x:v>
      </x:c>
      <x:c r="H50" s="9" t="str">
        <x:v>In-distribution concept baseline</x:v>
      </x:c>
      <x:c r="I50" s="9" t="str">
        <x:v>ID-EXACT10</x:v>
      </x:c>
      <x:c r="J50" s="9" t="str">
        <x:v>Exact training recreation — source episode 614</x:v>
      </x:c>
      <x:c r="K50" s="9"/>
      <x:c r="L50" s="9"/>
      <x:c r="M50" s="9"/>
      <x:c r="N50" s="9" t="str">
        <x:v>1 — In-distribution baselines</x:v>
      </x:c>
      <x:c r="O50" s="9" t="str">
        <x:v>Independently recreate the prompt and ordered object list from training episode 614; do not reuse the preceding baseline scene.</x:v>
      </x:c>
      <x:c r="P50" s="9" t="str">
        <x:v>Exact final prompt and complete left-to-right object order from explicit training episode 614: blue tape ball | airplane toy with propellers | yellow pen | green highlighter.</x:v>
      </x:c>
      <x:c r="Q50" s="9"/>
      <x:c r="R50" s="10" t="n">
        <x:v>4</x:v>
      </x:c>
      <x:c r="S50" s="10"/>
      <x:c r="T50" s="9"/>
      <x:c r="U50" s="9"/>
      <x:c r="V50" s="9"/>
      <x:c r="W50" s="9" t="str">
        <x:v>None — independent exact training recreation</x:v>
      </x:c>
      <x:c r="X50" s="10"/>
      <x:c r="Y50" s="10"/>
      <x:c r="Z50" s="9"/>
      <x:c r="AA50" s="9" t="str">
        <x:v>L2</x:v>
      </x:c>
      <x:c r="AB50" s="9" t="str">
        <x:v>second from left</x:v>
      </x:c>
      <x:c r="AC50" s="9"/>
      <x:c r="AD50" s="9"/>
      <x:c r="AE50" s="9"/>
      <x:c r="AF50" s="9"/>
      <x:c r="AG50" s="9"/>
      <x:c r="AH50" s="9"/>
      <x:c r="AI50" s="11"/>
      <x:c r="AJ50" s="9"/>
      <x:c r="AK50" s="9" t="str">
        <x:v>Eval_Ordinal_Reference_Ordering.xlsm</x:v>
      </x:c>
      <x:c r="AL50" s="9" t="str">
        <x:v>GR00T Results</x:v>
      </x:c>
      <x:c r="AM50" s="9" t="n">
        <x:v>11</x:v>
      </x:c>
      <x:c r="AN50" s="9" t="n">
        <x:v>11</x:v>
      </x:c>
    </x:row>
    <x:row r="51">
      <x:c r="A51" s="9" t="str">
        <x:v>Success</x:v>
      </x:c>
      <x:c r="B51" s="9" t="str">
        <x:v>Ordinal Reference Ordering</x:v>
      </x:c>
      <x:c r="C51" s="10" t="n">
        <x:v>10</x:v>
      </x:c>
      <x:c r="D51" s="9" t="str">
        <x:v>Pick up the object that is second from the left and place it in the bowl.</x:v>
      </x:c>
      <x:c r="E51" s="9" t="str">
        <x:v>L1: blue tape ball, L2: yellow pen, L3: green highlighter, L4: airplane toy with propellers</x:v>
      </x:c>
      <x:c r="F51" s="9" t="str">
        <x:v>yellow pen</x:v>
      </x:c>
      <x:c r="G51" s="9"/>
      <x:c r="H51" s="9" t="str">
        <x:v>In-distribution concept baseline</x:v>
      </x:c>
      <x:c r="I51" s="9" t="str">
        <x:v>ID-EXACT11</x:v>
      </x:c>
      <x:c r="J51" s="9" t="str">
        <x:v>Exact training recreation — source episode 765</x:v>
      </x:c>
      <x:c r="K51" s="9"/>
      <x:c r="L51" s="9"/>
      <x:c r="M51" s="9"/>
      <x:c r="N51" s="9" t="str">
        <x:v>1 — In-distribution baselines</x:v>
      </x:c>
      <x:c r="O51" s="9" t="str">
        <x:v>Independently recreate the prompt and ordered object list from training episode 765; do not reuse the preceding baseline scene.</x:v>
      </x:c>
      <x:c r="P51" s="9" t="str">
        <x:v>Exact final prompt and complete left-to-right object order from explicit training episode 765: blue tape ball | yellow pen | green highlighter | airplane toy with propellers.</x:v>
      </x:c>
      <x:c r="Q51" s="9"/>
      <x:c r="R51" s="10" t="n">
        <x:v>4</x:v>
      </x:c>
      <x:c r="S51" s="10"/>
      <x:c r="T51" s="9"/>
      <x:c r="U51" s="9"/>
      <x:c r="V51" s="9"/>
      <x:c r="W51" s="9" t="str">
        <x:v>None — independent exact training recreation</x:v>
      </x:c>
      <x:c r="X51" s="10"/>
      <x:c r="Y51" s="10"/>
      <x:c r="Z51" s="9"/>
      <x:c r="AA51" s="9" t="str">
        <x:v>L2</x:v>
      </x:c>
      <x:c r="AB51" s="9" t="str">
        <x:v>second from left</x:v>
      </x:c>
      <x:c r="AC51" s="9"/>
      <x:c r="AD51" s="9"/>
      <x:c r="AE51" s="9"/>
      <x:c r="AF51" s="9"/>
      <x:c r="AG51" s="9"/>
      <x:c r="AH51" s="9"/>
      <x:c r="AI51" s="11"/>
      <x:c r="AJ51" s="9"/>
      <x:c r="AK51" s="9" t="str">
        <x:v>Eval_Ordinal_Reference_Ordering.xlsm</x:v>
      </x:c>
      <x:c r="AL51" s="9" t="str">
        <x:v>GR00T Results</x:v>
      </x:c>
      <x:c r="AM51" s="9" t="n">
        <x:v>12</x:v>
      </x:c>
      <x:c r="AN51" s="9" t="n">
        <x:v>12</x:v>
      </x:c>
    </x:row>
    <x:row r="52">
      <x:c r="A52" s="9" t="str">
        <x:v>Failure</x:v>
      </x:c>
      <x:c r="B52" s="9" t="str">
        <x:v>Ordinal Reference Ordering</x:v>
      </x:c>
      <x:c r="C52" s="10" t="n">
        <x:v>11</x:v>
      </x:c>
      <x:c r="D52" s="9" t="str">
        <x:v>Pick up the object that is fourth from the right and place it in the bowl.</x:v>
      </x:c>
      <x:c r="E52" s="9" t="str">
        <x:v>L1: green highlighter, L2: airplane toy with propellers, L3: yellow pen, L4: blue tape ball</x:v>
      </x:c>
      <x:c r="F52" s="9" t="str">
        <x:v>green highlighter</x:v>
      </x:c>
      <x:c r="G52" s="9" t="str">
        <x:v>picked the airplane toy</x:v>
      </x:c>
      <x:c r="H52" s="9" t="str">
        <x:v>In-distribution concept baseline</x:v>
      </x:c>
      <x:c r="I52" s="9" t="str">
        <x:v>ID-EXACT12</x:v>
      </x:c>
      <x:c r="J52" s="9" t="str">
        <x:v>Exact training recreation — source episode 701</x:v>
      </x:c>
      <x:c r="K52" s="9"/>
      <x:c r="L52" s="9"/>
      <x:c r="M52" s="9"/>
      <x:c r="N52" s="9" t="str">
        <x:v>1 — In-distribution baselines</x:v>
      </x:c>
      <x:c r="O52" s="9" t="str">
        <x:v>Independently recreate the prompt and ordered object list from training episode 701; do not reuse the preceding baseline scene.</x:v>
      </x:c>
      <x:c r="P52" s="9" t="str">
        <x:v>Exact final prompt and complete left-to-right object order from explicit training episode 701: green highlighter | airplane toy with propellers | yellow pen | blue tape ball.</x:v>
      </x:c>
      <x:c r="Q52" s="9"/>
      <x:c r="R52" s="10" t="n">
        <x:v>4</x:v>
      </x:c>
      <x:c r="S52" s="10"/>
      <x:c r="T52" s="9"/>
      <x:c r="U52" s="9"/>
      <x:c r="V52" s="9"/>
      <x:c r="W52" s="9" t="str">
        <x:v>None — independent exact training recreation</x:v>
      </x:c>
      <x:c r="X52" s="10"/>
      <x:c r="Y52" s="10"/>
      <x:c r="Z52" s="9"/>
      <x:c r="AA52" s="9" t="str">
        <x:v>L1</x:v>
      </x:c>
      <x:c r="AB52" s="9" t="str">
        <x:v>fourth from right</x:v>
      </x:c>
      <x:c r="AC52" s="9"/>
      <x:c r="AD52" s="9"/>
      <x:c r="AE52" s="9"/>
      <x:c r="AF52" s="9"/>
      <x:c r="AG52" s="9"/>
      <x:c r="AH52" s="9"/>
      <x:c r="AI52" s="11"/>
      <x:c r="AJ52" s="9"/>
      <x:c r="AK52" s="9" t="str">
        <x:v>Eval_Ordinal_Reference_Ordering.xlsm</x:v>
      </x:c>
      <x:c r="AL52" s="9" t="str">
        <x:v>GR00T Results</x:v>
      </x:c>
      <x:c r="AM52" s="9" t="n">
        <x:v>13</x:v>
      </x:c>
      <x:c r="AN52" s="9" t="n">
        <x:v>13</x:v>
      </x:c>
    </x:row>
    <x:row r="53">
      <x:c r="A53" s="9" t="str">
        <x:v>Failure</x:v>
      </x:c>
      <x:c r="B53" s="9" t="str">
        <x:v>Ordinal Reference Ordering</x:v>
      </x:c>
      <x:c r="C53" s="10" t="n">
        <x:v>12</x:v>
      </x:c>
      <x:c r="D53" s="9" t="str">
        <x:v>Move the first item counted from the left into the bowl.</x:v>
      </x:c>
      <x:c r="E53" s="9" t="str">
        <x:v>L1: yellow pen, L2: airplane toy with propellers, L3: blue tape ball, L4: green highlighter</x:v>
      </x:c>
      <x:c r="F53" s="9" t="str">
        <x:v>yellow pen</x:v>
      </x:c>
      <x:c r="G53" s="9" t="str">
        <x:v>picked green highlighter</x:v>
      </x:c>
      <x:c r="H53" s="9" t="str">
        <x:v>In-distribution concept baseline</x:v>
      </x:c>
      <x:c r="I53" s="9" t="str">
        <x:v>ID-EXACT13</x:v>
      </x:c>
      <x:c r="J53" s="9" t="str">
        <x:v>Exact training recreation — source episode 750</x:v>
      </x:c>
      <x:c r="K53" s="9"/>
      <x:c r="L53" s="9"/>
      <x:c r="M53" s="9"/>
      <x:c r="N53" s="9" t="str">
        <x:v>1 — In-distribution baselines</x:v>
      </x:c>
      <x:c r="O53" s="9" t="str">
        <x:v>Independently recreate the prompt and ordered object list from training episode 750; do not reuse the preceding baseline scene.</x:v>
      </x:c>
      <x:c r="P53" s="9" t="str">
        <x:v>Exact final prompt and complete left-to-right object order from explicit training episode 750: yellow pen | airplane toy with propellers | blue tape ball | green highlighter.</x:v>
      </x:c>
      <x:c r="Q53" s="9"/>
      <x:c r="R53" s="10" t="n">
        <x:v>4</x:v>
      </x:c>
      <x:c r="S53" s="10"/>
      <x:c r="T53" s="9"/>
      <x:c r="U53" s="9"/>
      <x:c r="V53" s="9"/>
      <x:c r="W53" s="9" t="str">
        <x:v>None — independent exact training recreation</x:v>
      </x:c>
      <x:c r="X53" s="10"/>
      <x:c r="Y53" s="10"/>
      <x:c r="Z53" s="9"/>
      <x:c r="AA53" s="9" t="str">
        <x:v>L1</x:v>
      </x:c>
      <x:c r="AB53" s="9" t="str">
        <x:v>first from left</x:v>
      </x:c>
      <x:c r="AC53" s="9"/>
      <x:c r="AD53" s="9"/>
      <x:c r="AE53" s="9"/>
      <x:c r="AF53" s="9"/>
      <x:c r="AG53" s="9"/>
      <x:c r="AH53" s="9"/>
      <x:c r="AI53" s="11"/>
      <x:c r="AJ53" s="9"/>
      <x:c r="AK53" s="9" t="str">
        <x:v>Eval_Ordinal_Reference_Ordering.xlsm</x:v>
      </x:c>
      <x:c r="AL53" s="9" t="str">
        <x:v>GR00T Results</x:v>
      </x:c>
      <x:c r="AM53" s="9" t="n">
        <x:v>14</x:v>
      </x:c>
      <x:c r="AN53" s="9" t="n">
        <x:v>14</x:v>
      </x:c>
    </x:row>
    <x:row r="54">
      <x:c r="A54" s="9" t="str">
        <x:v>Success</x:v>
      </x:c>
      <x:c r="B54" s="9" t="str">
        <x:v>Ordinal Reference Ordering</x:v>
      </x:c>
      <x:c r="C54" s="10" t="n">
        <x:v>13</x:v>
      </x:c>
      <x:c r="D54" s="9" t="str">
        <x:v>Move the third item counted from the right into the bowl.</x:v>
      </x:c>
      <x:c r="E54" s="9" t="str">
        <x:v>L1: blue tape ball, L2: green highlighter, L3: yellow pen, L4: airplane toy with propellers</x:v>
      </x:c>
      <x:c r="F54" s="9" t="str">
        <x:v>green highlighter</x:v>
      </x:c>
      <x:c r="G54" s="9"/>
      <x:c r="H54" s="9" t="str">
        <x:v>In-distribution concept baseline</x:v>
      </x:c>
      <x:c r="I54" s="9" t="str">
        <x:v>ID-EXACT14</x:v>
      </x:c>
      <x:c r="J54" s="9" t="str">
        <x:v>Exact training recreation — source episode 716</x:v>
      </x:c>
      <x:c r="K54" s="9"/>
      <x:c r="L54" s="9"/>
      <x:c r="M54" s="9"/>
      <x:c r="N54" s="9" t="str">
        <x:v>1 — In-distribution baselines</x:v>
      </x:c>
      <x:c r="O54" s="9" t="str">
        <x:v>Independently recreate the prompt and ordered object list from training episode 716; do not reuse the preceding baseline scene.</x:v>
      </x:c>
      <x:c r="P54" s="9" t="str">
        <x:v>Exact final prompt and complete left-to-right object order from explicit training episode 716: blue tape ball | green highlighter | yellow pen | airplane toy with propellers.</x:v>
      </x:c>
      <x:c r="Q54" s="9"/>
      <x:c r="R54" s="10" t="n">
        <x:v>4</x:v>
      </x:c>
      <x:c r="S54" s="10"/>
      <x:c r="T54" s="9"/>
      <x:c r="U54" s="9"/>
      <x:c r="V54" s="9"/>
      <x:c r="W54" s="9" t="str">
        <x:v>None — independent exact training recreation</x:v>
      </x:c>
      <x:c r="X54" s="10"/>
      <x:c r="Y54" s="10"/>
      <x:c r="Z54" s="9"/>
      <x:c r="AA54" s="9" t="str">
        <x:v>L2</x:v>
      </x:c>
      <x:c r="AB54" s="9" t="str">
        <x:v>third from right</x:v>
      </x:c>
      <x:c r="AC54" s="9"/>
      <x:c r="AD54" s="9"/>
      <x:c r="AE54" s="9"/>
      <x:c r="AF54" s="9"/>
      <x:c r="AG54" s="9"/>
      <x:c r="AH54" s="9"/>
      <x:c r="AI54" s="11"/>
      <x:c r="AJ54" s="9"/>
      <x:c r="AK54" s="9" t="str">
        <x:v>Eval_Ordinal_Reference_Ordering.xlsm</x:v>
      </x:c>
      <x:c r="AL54" s="9" t="str">
        <x:v>GR00T Results</x:v>
      </x:c>
      <x:c r="AM54" s="9" t="n">
        <x:v>15</x:v>
      </x:c>
      <x:c r="AN54" s="9" t="n">
        <x:v>15</x:v>
      </x:c>
    </x:row>
    <x:row r="55">
      <x:c r="A55" s="9" t="str">
        <x:v>Failure</x:v>
      </x:c>
      <x:c r="B55" s="9" t="str">
        <x:v>Ordinal Reference Ordering</x:v>
      </x:c>
      <x:c r="C55" s="10" t="n">
        <x:v>14</x:v>
      </x:c>
      <x:c r="D55" s="9" t="str">
        <x:v>Move the fourth from the left object into the bowl.</x:v>
      </x:c>
      <x:c r="E55" s="9" t="str">
        <x:v>L1: airplane toy with propellers, L2: blue tape ball, L3: yellow pen, L4: green highlighter</x:v>
      </x:c>
      <x:c r="F55" s="9" t="str">
        <x:v>green highlighter</x:v>
      </x:c>
      <x:c r="G55" s="9" t="str">
        <x:v>picked yellow pen</x:v>
      </x:c>
      <x:c r="H55" s="9" t="str">
        <x:v>In-distribution concept baseline</x:v>
      </x:c>
      <x:c r="I55" s="9" t="str">
        <x:v>ID-EXACT15</x:v>
      </x:c>
      <x:c r="J55" s="9" t="str">
        <x:v>Exact training recreation — source episode 738</x:v>
      </x:c>
      <x:c r="K55" s="9"/>
      <x:c r="L55" s="9"/>
      <x:c r="M55" s="9"/>
      <x:c r="N55" s="9" t="str">
        <x:v>1 — In-distribution baselines</x:v>
      </x:c>
      <x:c r="O55" s="9" t="str">
        <x:v>Independently recreate the prompt and ordered object list from training episode 738; do not reuse the preceding baseline scene.</x:v>
      </x:c>
      <x:c r="P55" s="9" t="str">
        <x:v>Exact final prompt and complete left-to-right object order from explicit training episode 738: airplane toy with propellers | blue tape ball | yellow pen | green highlighter.</x:v>
      </x:c>
      <x:c r="Q55" s="9"/>
      <x:c r="R55" s="10" t="n">
        <x:v>4</x:v>
      </x:c>
      <x:c r="S55" s="10"/>
      <x:c r="T55" s="9"/>
      <x:c r="U55" s="9"/>
      <x:c r="V55" s="9"/>
      <x:c r="W55" s="9" t="str">
        <x:v>None — independent exact training recreation</x:v>
      </x:c>
      <x:c r="X55" s="10"/>
      <x:c r="Y55" s="10"/>
      <x:c r="Z55" s="9"/>
      <x:c r="AA55" s="9" t="str">
        <x:v>L4</x:v>
      </x:c>
      <x:c r="AB55" s="9" t="str">
        <x:v>fourth from left</x:v>
      </x:c>
      <x:c r="AC55" s="9"/>
      <x:c r="AD55" s="9"/>
      <x:c r="AE55" s="9"/>
      <x:c r="AF55" s="9"/>
      <x:c r="AG55" s="9"/>
      <x:c r="AH55" s="9"/>
      <x:c r="AI55" s="11"/>
      <x:c r="AJ55" s="9"/>
      <x:c r="AK55" s="9" t="str">
        <x:v>Eval_Ordinal_Reference_Ordering.xlsm</x:v>
      </x:c>
      <x:c r="AL55" s="9" t="str">
        <x:v>GR00T Results</x:v>
      </x:c>
      <x:c r="AM55" s="9" t="n">
        <x:v>16</x:v>
      </x:c>
      <x:c r="AN55" s="9" t="n">
        <x:v>16</x:v>
      </x:c>
    </x:row>
    <x:row r="56">
      <x:c r="A56" s="9" t="str">
        <x:v>Failure</x:v>
      </x:c>
      <x:c r="B56" s="9" t="str">
        <x:v>Ordinal Reference Ordering</x:v>
      </x:c>
      <x:c r="C56" s="10" t="n">
        <x:v>15</x:v>
      </x:c>
      <x:c r="D56" s="9" t="str">
        <x:v>Move the second from the right object into the bowl.</x:v>
      </x:c>
      <x:c r="E56" s="9" t="str">
        <x:v>L1: green highlighter, L2: blue tape ball, L3: airplane toy with propellers, L4: yellow pen</x:v>
      </x:c>
      <x:c r="F56" s="9" t="str">
        <x:v>airplane toy with propellers</x:v>
      </x:c>
      <x:c r="G56" s="9" t="str">
        <x:v>picked tape ball</x:v>
      </x:c>
      <x:c r="H56" s="9" t="str">
        <x:v>In-distribution concept baseline</x:v>
      </x:c>
      <x:c r="I56" s="9" t="str">
        <x:v>ID-EXACT16</x:v>
      </x:c>
      <x:c r="J56" s="9" t="str">
        <x:v>Exact training recreation — source episode 627</x:v>
      </x:c>
      <x:c r="K56" s="9"/>
      <x:c r="L56" s="9"/>
      <x:c r="M56" s="9"/>
      <x:c r="N56" s="9" t="str">
        <x:v>1 — In-distribution baselines</x:v>
      </x:c>
      <x:c r="O56" s="9" t="str">
        <x:v>Independently recreate the prompt and ordered object list from training episode 627; do not reuse the preceding baseline scene.</x:v>
      </x:c>
      <x:c r="P56" s="9" t="str">
        <x:v>Exact final prompt and complete left-to-right object order from explicit training episode 627: green highlighter | blue tape ball | airplane toy with propellers | yellow pen.</x:v>
      </x:c>
      <x:c r="Q56" s="9"/>
      <x:c r="R56" s="10" t="n">
        <x:v>4</x:v>
      </x:c>
      <x:c r="S56" s="10"/>
      <x:c r="T56" s="9"/>
      <x:c r="U56" s="9"/>
      <x:c r="V56" s="9"/>
      <x:c r="W56" s="9" t="str">
        <x:v>None — independent exact training recreation</x:v>
      </x:c>
      <x:c r="X56" s="10"/>
      <x:c r="Y56" s="10"/>
      <x:c r="Z56" s="9"/>
      <x:c r="AA56" s="9" t="str">
        <x:v>L3</x:v>
      </x:c>
      <x:c r="AB56" s="9" t="str">
        <x:v>second from right</x:v>
      </x:c>
      <x:c r="AC56" s="9"/>
      <x:c r="AD56" s="9"/>
      <x:c r="AE56" s="9"/>
      <x:c r="AF56" s="9"/>
      <x:c r="AG56" s="9"/>
      <x:c r="AH56" s="9"/>
      <x:c r="AI56" s="11"/>
      <x:c r="AJ56" s="9"/>
      <x:c r="AK56" s="9" t="str">
        <x:v>Eval_Ordinal_Reference_Ordering.xlsm</x:v>
      </x:c>
      <x:c r="AL56" s="9" t="str">
        <x:v>GR00T Results</x:v>
      </x:c>
      <x:c r="AM56" s="9" t="n">
        <x:v>17</x:v>
      </x:c>
      <x:c r="AN56" s="9" t="n">
        <x:v>17</x:v>
      </x:c>
    </x:row>
    <x:row r="57">
      <x:c r="A57" s="9" t="str">
        <x:v>Failure</x:v>
      </x:c>
      <x:c r="B57" s="9" t="str">
        <x:v>Ordinal Reference Ordering</x:v>
      </x:c>
      <x:c r="C57" s="10" t="n">
        <x:v>16</x:v>
      </x:c>
      <x:c r="D57" s="9" t="str">
        <x:v>Move the third from the left object into the bowl.</x:v>
      </x:c>
      <x:c r="E57" s="9" t="str">
        <x:v>L1: green highlighter, L2: blue tape ball, L3: yellow pen, L4: airplane toy with propellers</x:v>
      </x:c>
      <x:c r="F57" s="9" t="str">
        <x:v>yellow pen</x:v>
      </x:c>
      <x:c r="G57" s="9" t="str">
        <x:v>picked tape ball</x:v>
      </x:c>
      <x:c r="H57" s="9" t="str">
        <x:v>In-distribution concept baseline</x:v>
      </x:c>
      <x:c r="I57" s="9" t="str">
        <x:v>ID-EXACT17</x:v>
      </x:c>
      <x:c r="J57" s="9" t="str">
        <x:v>Exact training recreation — source episode 786</x:v>
      </x:c>
      <x:c r="K57" s="9"/>
      <x:c r="L57" s="9"/>
      <x:c r="M57" s="9"/>
      <x:c r="N57" s="9" t="str">
        <x:v>1 — In-distribution baselines</x:v>
      </x:c>
      <x:c r="O57" s="9" t="str">
        <x:v>Independently recreate the prompt and ordered object list from training episode 786; do not reuse the preceding baseline scene.</x:v>
      </x:c>
      <x:c r="P57" s="9" t="str">
        <x:v>Exact final prompt and complete left-to-right object order from explicit training episode 786: green highlighter | blue tape ball | yellow pen | airplane toy with propellers.</x:v>
      </x:c>
      <x:c r="Q57" s="9"/>
      <x:c r="R57" s="10" t="n">
        <x:v>4</x:v>
      </x:c>
      <x:c r="S57" s="10"/>
      <x:c r="T57" s="9"/>
      <x:c r="U57" s="9"/>
      <x:c r="V57" s="9"/>
      <x:c r="W57" s="9" t="str">
        <x:v>None — independent exact training recreation</x:v>
      </x:c>
      <x:c r="X57" s="10"/>
      <x:c r="Y57" s="10"/>
      <x:c r="Z57" s="9"/>
      <x:c r="AA57" s="9" t="str">
        <x:v>L3</x:v>
      </x:c>
      <x:c r="AB57" s="9" t="str">
        <x:v>third from left</x:v>
      </x:c>
      <x:c r="AC57" s="9"/>
      <x:c r="AD57" s="9"/>
      <x:c r="AE57" s="9"/>
      <x:c r="AF57" s="9"/>
      <x:c r="AG57" s="9"/>
      <x:c r="AH57" s="9"/>
      <x:c r="AI57" s="11"/>
      <x:c r="AJ57" s="9"/>
      <x:c r="AK57" s="9" t="str">
        <x:v>Eval_Ordinal_Reference_Ordering.xlsm</x:v>
      </x:c>
      <x:c r="AL57" s="9" t="str">
        <x:v>GR00T Results</x:v>
      </x:c>
      <x:c r="AM57" s="9" t="n">
        <x:v>18</x:v>
      </x:c>
      <x:c r="AN57" s="9" t="n">
        <x:v>18</x:v>
      </x:c>
    </x:row>
    <x:row r="58">
      <x:c r="A58" s="9" t="str">
        <x:v>Failure</x:v>
      </x:c>
      <x:c r="B58" s="9" t="str">
        <x:v>Ordinal Reference Ordering</x:v>
      </x:c>
      <x:c r="C58" s="10" t="n">
        <x:v>17</x:v>
      </x:c>
      <x:c r="D58" s="9" t="str">
        <x:v>Move the first from the right object into the bowl.</x:v>
      </x:c>
      <x:c r="E58" s="9" t="str">
        <x:v>L1: airplane toy with propellers, L2: green highlighter, L3: yellow pen, L4: blue tape ball</x:v>
      </x:c>
      <x:c r="F58" s="9" t="str">
        <x:v>blue tape ball</x:v>
      </x:c>
      <x:c r="G58" s="9" t="str">
        <x:v>tried to pick the yellow pen, but couldn't</x:v>
      </x:c>
      <x:c r="H58" s="9" t="str">
        <x:v>In-distribution concept baseline</x:v>
      </x:c>
      <x:c r="I58" s="9" t="str">
        <x:v>ID-EXACT18</x:v>
      </x:c>
      <x:c r="J58" s="9" t="str">
        <x:v>Exact training recreation — source episode 687</x:v>
      </x:c>
      <x:c r="K58" s="9"/>
      <x:c r="L58" s="9"/>
      <x:c r="M58" s="9"/>
      <x:c r="N58" s="9" t="str">
        <x:v>1 — In-distribution baselines</x:v>
      </x:c>
      <x:c r="O58" s="9" t="str">
        <x:v>Independently recreate the prompt and ordered object list from training episode 687; do not reuse the preceding baseline scene.</x:v>
      </x:c>
      <x:c r="P58" s="9" t="str">
        <x:v>Exact final prompt and complete left-to-right object order from explicit training episode 687: airplane toy with propellers | green highlighter | yellow pen | blue tape ball.</x:v>
      </x:c>
      <x:c r="Q58" s="9"/>
      <x:c r="R58" s="10" t="n">
        <x:v>4</x:v>
      </x:c>
      <x:c r="S58" s="10"/>
      <x:c r="T58" s="9"/>
      <x:c r="U58" s="9"/>
      <x:c r="V58" s="9"/>
      <x:c r="W58" s="9" t="str">
        <x:v>None — independent exact training recreation</x:v>
      </x:c>
      <x:c r="X58" s="10"/>
      <x:c r="Y58" s="10"/>
      <x:c r="Z58" s="9"/>
      <x:c r="AA58" s="9" t="str">
        <x:v>L4</x:v>
      </x:c>
      <x:c r="AB58" s="9" t="str">
        <x:v>first from right</x:v>
      </x:c>
      <x:c r="AC58" s="9"/>
      <x:c r="AD58" s="9"/>
      <x:c r="AE58" s="9"/>
      <x:c r="AF58" s="9"/>
      <x:c r="AG58" s="9"/>
      <x:c r="AH58" s="9"/>
      <x:c r="AI58" s="11"/>
      <x:c r="AJ58" s="9"/>
      <x:c r="AK58" s="9" t="str">
        <x:v>Eval_Ordinal_Reference_Ordering.xlsm</x:v>
      </x:c>
      <x:c r="AL58" s="9" t="str">
        <x:v>GR00T Results</x:v>
      </x:c>
      <x:c r="AM58" s="9" t="n">
        <x:v>19</x:v>
      </x:c>
      <x:c r="AN58" s="9" t="n">
        <x:v>19</x:v>
      </x:c>
    </x:row>
    <x:row r="59">
      <x:c r="A59" s="9" t="str">
        <x:v>Failure</x:v>
      </x:c>
      <x:c r="B59" s="9" t="str">
        <x:v>Ordinal Reference Ordering</x:v>
      </x:c>
      <x:c r="C59" s="10" t="n">
        <x:v>18</x:v>
      </x:c>
      <x:c r="D59" s="9" t="str">
        <x:v>Pick up the object that is first from the right and place it in the bowl.</x:v>
      </x:c>
      <x:c r="E59" s="9" t="str">
        <x:v>L1: green highlighter, L2: airplane toy with propellers, L3: yellow pen, L4: blue tape ball</x:v>
      </x:c>
      <x:c r="F59" s="9" t="str">
        <x:v>blue tape ball</x:v>
      </x:c>
      <x:c r="G59" s="9" t="str">
        <x:v>picked airplane toy</x:v>
      </x:c>
      <x:c r="H59" s="9" t="str">
        <x:v>In-distribution concept baseline</x:v>
      </x:c>
      <x:c r="I59" s="9" t="str">
        <x:v>ID-EXACT19</x:v>
      </x:c>
      <x:c r="J59" s="9" t="str">
        <x:v>Exact training recreation — source episode 689</x:v>
      </x:c>
      <x:c r="K59" s="9"/>
      <x:c r="L59" s="9"/>
      <x:c r="M59" s="9"/>
      <x:c r="N59" s="9" t="str">
        <x:v>1 — In-distribution baselines</x:v>
      </x:c>
      <x:c r="O59" s="9" t="str">
        <x:v>Independently recreate the prompt and ordered object list from training episode 689; do not reuse the preceding baseline scene.</x:v>
      </x:c>
      <x:c r="P59" s="9" t="str">
        <x:v>Exact final prompt and complete left-to-right object order from explicit training episode 689: green highlighter | airplane toy with propellers | yellow pen | blue tape ball.</x:v>
      </x:c>
      <x:c r="Q59" s="9"/>
      <x:c r="R59" s="10" t="n">
        <x:v>4</x:v>
      </x:c>
      <x:c r="S59" s="10"/>
      <x:c r="T59" s="9"/>
      <x:c r="U59" s="9"/>
      <x:c r="V59" s="9"/>
      <x:c r="W59" s="9" t="str">
        <x:v>None — independent exact training recreation</x:v>
      </x:c>
      <x:c r="X59" s="10"/>
      <x:c r="Y59" s="10"/>
      <x:c r="Z59" s="9"/>
      <x:c r="AA59" s="9" t="str">
        <x:v>L4</x:v>
      </x:c>
      <x:c r="AB59" s="9" t="str">
        <x:v>first from right</x:v>
      </x:c>
      <x:c r="AC59" s="9"/>
      <x:c r="AD59" s="9"/>
      <x:c r="AE59" s="9"/>
      <x:c r="AF59" s="9"/>
      <x:c r="AG59" s="9"/>
      <x:c r="AH59" s="9"/>
      <x:c r="AI59" s="11"/>
      <x:c r="AJ59" s="9"/>
      <x:c r="AK59" s="9" t="str">
        <x:v>Eval_Ordinal_Reference_Ordering.xlsm</x:v>
      </x:c>
      <x:c r="AL59" s="9" t="str">
        <x:v>GR00T Results</x:v>
      </x:c>
      <x:c r="AM59" s="9" t="n">
        <x:v>20</x:v>
      </x:c>
      <x:c r="AN59" s="9" t="n">
        <x:v>20</x:v>
      </x:c>
    </x:row>
    <x:row r="60">
      <x:c r="A60" s="9" t="str">
        <x:v>Failure</x:v>
      </x:c>
      <x:c r="B60" s="9" t="str">
        <x:v>Ordinal Reference Ordering</x:v>
      </x:c>
      <x:c r="C60" s="10" t="n">
        <x:v>19</x:v>
      </x:c>
      <x:c r="D60" s="9" t="str">
        <x:v>Pick up the object that is third from the left and place it in the bowl.</x:v>
      </x:c>
      <x:c r="E60" s="9" t="str">
        <x:v>L1: blue tape ball, L2: yellow pen, L3: airplane toy with propellers, L4: green highlighter</x:v>
      </x:c>
      <x:c r="F60" s="9" t="str">
        <x:v>airplane toy with propellers</x:v>
      </x:c>
      <x:c r="G60" s="9" t="str">
        <x:v>picked green highlighter</x:v>
      </x:c>
      <x:c r="H60" s="9" t="str">
        <x:v>In-distribution concept baseline</x:v>
      </x:c>
      <x:c r="I60" s="9" t="str">
        <x:v>ID-EXACT20</x:v>
      </x:c>
      <x:c r="J60" s="9" t="str">
        <x:v>Exact training recreation — source episode 626</x:v>
      </x:c>
      <x:c r="K60" s="9"/>
      <x:c r="L60" s="9"/>
      <x:c r="M60" s="9"/>
      <x:c r="N60" s="9" t="str">
        <x:v>1 — In-distribution baselines</x:v>
      </x:c>
      <x:c r="O60" s="9" t="str">
        <x:v>Independently recreate the prompt and ordered object list from training episode 626; do not reuse the preceding baseline scene.</x:v>
      </x:c>
      <x:c r="P60" s="9" t="str">
        <x:v>Exact final prompt and complete left-to-right object order from explicit training episode 626: blue tape ball | yellow pen | airplane toy with propellers | green highlighter.</x:v>
      </x:c>
      <x:c r="Q60" s="9"/>
      <x:c r="R60" s="10" t="n">
        <x:v>4</x:v>
      </x:c>
      <x:c r="S60" s="10"/>
      <x:c r="T60" s="9"/>
      <x:c r="U60" s="9"/>
      <x:c r="V60" s="9"/>
      <x:c r="W60" s="9" t="str">
        <x:v>None — independent exact training recreation</x:v>
      </x:c>
      <x:c r="X60" s="10"/>
      <x:c r="Y60" s="10"/>
      <x:c r="Z60" s="9"/>
      <x:c r="AA60" s="9" t="str">
        <x:v>L3</x:v>
      </x:c>
      <x:c r="AB60" s="9" t="str">
        <x:v>third from left</x:v>
      </x:c>
      <x:c r="AC60" s="9"/>
      <x:c r="AD60" s="9"/>
      <x:c r="AE60" s="9"/>
      <x:c r="AF60" s="9"/>
      <x:c r="AG60" s="9"/>
      <x:c r="AH60" s="9"/>
      <x:c r="AI60" s="11"/>
      <x:c r="AJ60" s="9"/>
      <x:c r="AK60" s="9" t="str">
        <x:v>Eval_Ordinal_Reference_Ordering.xlsm</x:v>
      </x:c>
      <x:c r="AL60" s="9" t="str">
        <x:v>GR00T Results</x:v>
      </x:c>
      <x:c r="AM60" s="9" t="n">
        <x:v>21</x:v>
      </x:c>
      <x:c r="AN60" s="9" t="n">
        <x:v>21</x:v>
      </x:c>
    </x:row>
    <x:row r="61">
      <x:c r="A61" s="9" t="str">
        <x:v>Failure</x:v>
      </x:c>
      <x:c r="B61" s="9" t="str">
        <x:v>Relational Placement</x:v>
      </x:c>
      <x:c r="C61" s="10" t="n">
        <x:v>0</x:v>
      </x:c>
      <x:c r="D61" s="9" t="str">
        <x:v>Move the green pen to the front of the pink marker.</x:v>
      </x:c>
      <x:c r="E61" s="9" t="str">
        <x:v>green pen, pink marker, red block</x:v>
      </x:c>
      <x:c r="F61" s="9" t="str">
        <x:v>green pen → 2–8 cm edge gap in front of pink marker; centroid direction within ±45°.</x:v>
      </x:c>
      <x:c r="G61" s="9" t="str">
        <x:v>moved towards the red block, then went back to home position</x:v>
      </x:c>
      <x:c r="H61" s="9" t="str">
        <x:v>In-distribution concept baseline</x:v>
      </x:c>
      <x:c r="I61" s="9" t="str">
        <x:v>RP-ID-CF01</x:v>
      </x:c>
      <x:c r="J61" s="9" t="str">
        <x:v>Four-way trained-cell counterfactual: front/behind polarity × target/reference role</x:v>
      </x:c>
      <x:c r="K61" s="9"/>
      <x:c r="L61" s="9" t="str">
        <x:v>204</x:v>
      </x:c>
      <x:c r="M61" s="9"/>
      <x:c r="N61" s="9"/>
      <x:c r="O61" s="9" t="str">
        <x:v>Build the listed neutral scene and save the first frame.</x:v>
      </x:c>
      <x:c r="P61" s="9" t="str">
        <x:v>Exact explicitly trained ordered relation-object cell from training episode 204. The four adjacent prompts share one initially unsatisfied scene.</x:v>
      </x:c>
      <x:c r="Q61" s="9"/>
      <x:c r="R61" s="10" t="n">
        <x:v>3</x:v>
      </x:c>
      <x:c r="S61" s="10"/>
      <x:c r="T61" s="9"/>
      <x:c r="U61" s="9"/>
      <x:c r="V61" s="9"/>
      <x:c r="W61" s="9"/>
      <x:c r="X61" s="10"/>
      <x:c r="Y61" s="10"/>
      <x:c r="Z61" s="9"/>
      <x:c r="AA61" s="9"/>
      <x:c r="AB61" s="9"/>
      <x:c r="AC61" s="9" t="str">
        <x:v>front</x:v>
      </x:c>
      <x:c r="AD61" s="9" t="str">
        <x:v>green pen</x:v>
      </x:c>
      <x:c r="AE61" s="9" t="str">
        <x:v>pink marker</x:v>
      </x:c>
      <x:c r="AF61" s="9" t="str">
        <x:v>None</x:v>
      </x:c>
      <x:c r="AG61" s="9"/>
      <x:c r="AH61" s="9"/>
      <x:c r="AI61" s="11"/>
      <x:c r="AJ61" s="9"/>
      <x:c r="AK61" s="9" t="str">
        <x:v>Eval_Relational_Placement (1).xlsm</x:v>
      </x:c>
      <x:c r="AL61" s="9" t="str">
        <x:v>GR00T</x:v>
      </x:c>
      <x:c r="AM61" s="9" t="n">
        <x:v>2</x:v>
      </x:c>
      <x:c r="AN61" s="9" t="n">
        <x:v>2</x:v>
      </x:c>
    </x:row>
    <x:row r="62">
      <x:c r="A62" s="9" t="str">
        <x:v>Failure</x:v>
      </x:c>
      <x:c r="B62" s="9" t="str">
        <x:v>Relational Placement</x:v>
      </x:c>
      <x:c r="C62" s="10" t="n">
        <x:v>1</x:v>
      </x:c>
      <x:c r="D62" s="9" t="str">
        <x:v>Move the green pen to the back of the pink marker.</x:v>
      </x:c>
      <x:c r="E62" s="9" t="str">
        <x:v>green pen, pink marker, red block</x:v>
      </x:c>
      <x:c r="F62" s="9" t="str">
        <x:v>green pen → 2–8 cm edge gap behind pink marker; centroid direction within ±45°.</x:v>
      </x:c>
      <x:c r="G62" s="9" t="str">
        <x:v>moved the red block to the back of the pink marker, then picked it up again and put to the right of the blue block. Then put it in the bowl.</x:v>
      </x:c>
      <x:c r="H62" s="9" t="str">
        <x:v>In-distribution concept baseline</x:v>
      </x:c>
      <x:c r="I62" s="9" t="str">
        <x:v>RP-ID-CF01</x:v>
      </x:c>
      <x:c r="J62" s="9" t="str">
        <x:v>Four-way trained-cell counterfactual: front/behind polarity × target/reference role</x:v>
      </x:c>
      <x:c r="K62" s="9" t="n">
        <x:v>0</x:v>
      </x:c>
      <x:c r="L62" s="9" t="str">
        <x:v>217</x:v>
      </x:c>
      <x:c r="M62" s="9"/>
      <x:c r="N62" s="9"/>
      <x:c r="O62" s="9" t="str">
        <x:v>Reset the moved object to its marked pose; preserve the exact scene and change only the instruction.</x:v>
      </x:c>
      <x:c r="P62" s="9" t="str">
        <x:v>Exact explicitly trained ordered relation-object cell from training episode 217. The four adjacent prompts share one initially unsatisfied scene.</x:v>
      </x:c>
      <x:c r="Q62" s="9"/>
      <x:c r="R62" s="10" t="n">
        <x:v>3</x:v>
      </x:c>
      <x:c r="S62" s="10"/>
      <x:c r="T62" s="9"/>
      <x:c r="U62" s="9"/>
      <x:c r="V62" s="9"/>
      <x:c r="W62" s="9"/>
      <x:c r="X62" s="10"/>
      <x:c r="Y62" s="10"/>
      <x:c r="Z62" s="9"/>
      <x:c r="AA62" s="9"/>
      <x:c r="AB62" s="9"/>
      <x:c r="AC62" s="9" t="str">
        <x:v>behind</x:v>
      </x:c>
      <x:c r="AD62" s="9" t="str">
        <x:v>green pen</x:v>
      </x:c>
      <x:c r="AE62" s="9" t="str">
        <x:v>pink marker</x:v>
      </x:c>
      <x:c r="AF62" s="9" t="str">
        <x:v>None</x:v>
      </x:c>
      <x:c r="AG62" s="9"/>
      <x:c r="AH62" s="9"/>
      <x:c r="AI62" s="11"/>
      <x:c r="AJ62" s="9"/>
      <x:c r="AK62" s="9" t="str">
        <x:v>Eval_Relational_Placement (1).xlsm</x:v>
      </x:c>
      <x:c r="AL62" s="9" t="str">
        <x:v>GR00T</x:v>
      </x:c>
      <x:c r="AM62" s="9" t="n">
        <x:v>3</x:v>
      </x:c>
      <x:c r="AN62" s="9" t="n">
        <x:v>3</x:v>
      </x:c>
    </x:row>
    <x:row r="63">
      <x:c r="A63" s="9" t="str">
        <x:v>Failure</x:v>
      </x:c>
      <x:c r="B63" s="9" t="str">
        <x:v>Relational Placement</x:v>
      </x:c>
      <x:c r="C63" s="10" t="n">
        <x:v>2</x:v>
      </x:c>
      <x:c r="D63" s="9" t="str">
        <x:v>Move the pink marker to the front of the green pen.</x:v>
      </x:c>
      <x:c r="E63" s="9" t="str">
        <x:v>green pen, pink marker, red block</x:v>
      </x:c>
      <x:c r="F63" s="9" t="str">
        <x:v>pink marker → 2–8 cm edge gap in front of green pen; centroid direction within ±45°.</x:v>
      </x:c>
      <x:c r="G63" s="9" t="str">
        <x:v>moved red block to the front of the pink marker</x:v>
      </x:c>
      <x:c r="H63" s="9" t="str">
        <x:v>In-distribution concept baseline</x:v>
      </x:c>
      <x:c r="I63" s="9" t="str">
        <x:v>RP-ID-CF01</x:v>
      </x:c>
      <x:c r="J63" s="9" t="str">
        <x:v>Four-way trained-cell counterfactual: front/behind polarity × target/reference role</x:v>
      </x:c>
      <x:c r="K63" s="9" t="n">
        <x:v>0</x:v>
      </x:c>
      <x:c r="L63" s="9" t="str">
        <x:v>305</x:v>
      </x:c>
      <x:c r="M63" s="9"/>
      <x:c r="N63" s="9"/>
      <x:c r="O63" s="9" t="str">
        <x:v>Reset the moved object to its marked pose; preserve the exact scene and change only the instruction.</x:v>
      </x:c>
      <x:c r="P63" s="9" t="str">
        <x:v>Exact explicitly trained ordered relation-object cell from training episode 305. The four adjacent prompts share one initially unsatisfied scene.</x:v>
      </x:c>
      <x:c r="Q63" s="9"/>
      <x:c r="R63" s="10" t="n">
        <x:v>3</x:v>
      </x:c>
      <x:c r="S63" s="10"/>
      <x:c r="T63" s="9"/>
      <x:c r="U63" s="9"/>
      <x:c r="V63" s="9"/>
      <x:c r="W63" s="9"/>
      <x:c r="X63" s="10"/>
      <x:c r="Y63" s="10"/>
      <x:c r="Z63" s="9"/>
      <x:c r="AA63" s="9"/>
      <x:c r="AB63" s="9"/>
      <x:c r="AC63" s="9" t="str">
        <x:v>front</x:v>
      </x:c>
      <x:c r="AD63" s="9" t="str">
        <x:v>pink marker</x:v>
      </x:c>
      <x:c r="AE63" s="9" t="str">
        <x:v>green pen</x:v>
      </x:c>
      <x:c r="AF63" s="9" t="str">
        <x:v>None</x:v>
      </x:c>
      <x:c r="AG63" s="9"/>
      <x:c r="AH63" s="9"/>
      <x:c r="AI63" s="11"/>
      <x:c r="AJ63" s="9"/>
      <x:c r="AK63" s="9" t="str">
        <x:v>Eval_Relational_Placement (1).xlsm</x:v>
      </x:c>
      <x:c r="AL63" s="9" t="str">
        <x:v>GR00T</x:v>
      </x:c>
      <x:c r="AM63" s="9" t="n">
        <x:v>4</x:v>
      </x:c>
      <x:c r="AN63" s="9" t="n">
        <x:v>4</x:v>
      </x:c>
    </x:row>
    <x:row r="64">
      <x:c r="A64" s="9" t="str">
        <x:v>Failure</x:v>
      </x:c>
      <x:c r="B64" s="9" t="str">
        <x:v>Relational Placement</x:v>
      </x:c>
      <x:c r="C64" s="10" t="n">
        <x:v>3</x:v>
      </x:c>
      <x:c r="D64" s="9" t="str">
        <x:v>Move the pink marker to the back of the green pen.</x:v>
      </x:c>
      <x:c r="E64" s="9" t="str">
        <x:v>green pen, pink marker, red block</x:v>
      </x:c>
      <x:c r="F64" s="9" t="str">
        <x:v>pink marker → 2–8 cm edge gap behind green pen; centroid direction within ±45°.</x:v>
      </x:c>
      <x:c r="G64" s="9" t="str">
        <x:v>slowly turned to pink marker but didn't move</x:v>
      </x:c>
      <x:c r="H64" s="9" t="str">
        <x:v>In-distribution concept baseline</x:v>
      </x:c>
      <x:c r="I64" s="9" t="str">
        <x:v>RP-ID-CF01</x:v>
      </x:c>
      <x:c r="J64" s="9" t="str">
        <x:v>Four-way trained-cell counterfactual: front/behind polarity × target/reference role</x:v>
      </x:c>
      <x:c r="K64" s="9" t="n">
        <x:v>0</x:v>
      </x:c>
      <x:c r="L64" s="9" t="str">
        <x:v>317</x:v>
      </x:c>
      <x:c r="M64" s="9"/>
      <x:c r="N64" s="9"/>
      <x:c r="O64" s="9" t="str">
        <x:v>Reset the moved object to its marked pose; preserve the exact scene and change only the instruction.</x:v>
      </x:c>
      <x:c r="P64" s="9" t="str">
        <x:v>Exact explicitly trained ordered relation-object cell from training episode 317. The four adjacent prompts share one initially unsatisfied scene.</x:v>
      </x:c>
      <x:c r="Q64" s="9"/>
      <x:c r="R64" s="10" t="n">
        <x:v>3</x:v>
      </x:c>
      <x:c r="S64" s="10"/>
      <x:c r="T64" s="9"/>
      <x:c r="U64" s="9"/>
      <x:c r="V64" s="9"/>
      <x:c r="W64" s="9"/>
      <x:c r="X64" s="10"/>
      <x:c r="Y64" s="10"/>
      <x:c r="Z64" s="9"/>
      <x:c r="AA64" s="9"/>
      <x:c r="AB64" s="9"/>
      <x:c r="AC64" s="9" t="str">
        <x:v>behind</x:v>
      </x:c>
      <x:c r="AD64" s="9" t="str">
        <x:v>pink marker</x:v>
      </x:c>
      <x:c r="AE64" s="9" t="str">
        <x:v>green pen</x:v>
      </x:c>
      <x:c r="AF64" s="9" t="str">
        <x:v>None</x:v>
      </x:c>
      <x:c r="AG64" s="9"/>
      <x:c r="AH64" s="9"/>
      <x:c r="AI64" s="11"/>
      <x:c r="AJ64" s="9"/>
      <x:c r="AK64" s="9" t="str">
        <x:v>Eval_Relational_Placement (1).xlsm</x:v>
      </x:c>
      <x:c r="AL64" s="9" t="str">
        <x:v>GR00T</x:v>
      </x:c>
      <x:c r="AM64" s="9" t="n">
        <x:v>5</x:v>
      </x:c>
      <x:c r="AN64" s="9" t="n">
        <x:v>5</x:v>
      </x:c>
    </x:row>
    <x:row r="65">
      <x:c r="A65" s="9" t="str">
        <x:v>Failure</x:v>
      </x:c>
      <x:c r="B65" s="9" t="str">
        <x:v>Relational Placement</x:v>
      </x:c>
      <x:c r="C65" s="10" t="n">
        <x:v>4</x:v>
      </x:c>
      <x:c r="D65" s="9" t="str">
        <x:v>Move the green pen to the front of the blue block.</x:v>
      </x:c>
      <x:c r="E65" s="9" t="str">
        <x:v>green pen, blue block, pink marker, red block</x:v>
      </x:c>
      <x:c r="F65" s="9" t="str">
        <x:v>green pen → 2–8 cm edge gap in front of blue block; centroid direction within ±45°.</x:v>
      </x:c>
      <x:c r="G65" s="9" t="str">
        <x:v>moved the pink marker to the front of the green pen, but didn't release the pink marker</x:v>
      </x:c>
      <x:c r="H65" s="9" t="str">
        <x:v>In-distribution concept baseline</x:v>
      </x:c>
      <x:c r="I65" s="9" t="str">
        <x:v>RP-ID-CF02</x:v>
      </x:c>
      <x:c r="J65" s="9" t="str">
        <x:v>Four-way trained-cell counterfactual: front/behind polarity × target/reference role</x:v>
      </x:c>
      <x:c r="K65" s="9"/>
      <x:c r="L65" s="9" t="str">
        <x:v>208</x:v>
      </x:c>
      <x:c r="M65" s="9"/>
      <x:c r="N65" s="9"/>
      <x:c r="O65" s="9" t="str">
        <x:v>Build the listed neutral scene and save the first frame.</x:v>
      </x:c>
      <x:c r="P65" s="9" t="str">
        <x:v>Exact explicitly trained ordered relation-object cell from training episode 208. The four adjacent prompts share one initially unsatisfied scene.</x:v>
      </x:c>
      <x:c r="Q65" s="9"/>
      <x:c r="R65" s="10" t="n">
        <x:v>4</x:v>
      </x:c>
      <x:c r="S65" s="10"/>
      <x:c r="T65" s="9"/>
      <x:c r="U65" s="9"/>
      <x:c r="V65" s="9"/>
      <x:c r="W65" s="9"/>
      <x:c r="X65" s="10"/>
      <x:c r="Y65" s="10"/>
      <x:c r="Z65" s="9"/>
      <x:c r="AA65" s="9"/>
      <x:c r="AB65" s="9"/>
      <x:c r="AC65" s="9" t="str">
        <x:v>front</x:v>
      </x:c>
      <x:c r="AD65" s="9" t="str">
        <x:v>green pen</x:v>
      </x:c>
      <x:c r="AE65" s="9" t="str">
        <x:v>blue block</x:v>
      </x:c>
      <x:c r="AF65" s="9" t="str">
        <x:v>None</x:v>
      </x:c>
      <x:c r="AG65" s="9"/>
      <x:c r="AH65" s="9"/>
      <x:c r="AI65" s="11"/>
      <x:c r="AJ65" s="9"/>
      <x:c r="AK65" s="9" t="str">
        <x:v>Eval_Relational_Placement (1).xlsm</x:v>
      </x:c>
      <x:c r="AL65" s="9" t="str">
        <x:v>GR00T</x:v>
      </x:c>
      <x:c r="AM65" s="9" t="n">
        <x:v>6</x:v>
      </x:c>
      <x:c r="AN65" s="9" t="n">
        <x:v>6</x:v>
      </x:c>
    </x:row>
    <x:row r="66">
      <x:c r="A66" s="9" t="str">
        <x:v>Failure</x:v>
      </x:c>
      <x:c r="B66" s="9" t="str">
        <x:v>Relational Placement</x:v>
      </x:c>
      <x:c r="C66" s="10" t="n">
        <x:v>5</x:v>
      </x:c>
      <x:c r="D66" s="9" t="str">
        <x:v>Move the green pen to the back of the blue block.</x:v>
      </x:c>
      <x:c r="E66" s="9" t="str">
        <x:v>green pen, blue block, pink marker, red block</x:v>
      </x:c>
      <x:c r="F66" s="9" t="str">
        <x:v>green pen → 2–8 cm edge gap behind blue block; centroid direction within ±45°.</x:v>
      </x:c>
      <x:c r="G66" s="9" t="str">
        <x:v>picked pink marker, then rotated it 90 degrees</x:v>
      </x:c>
      <x:c r="H66" s="9" t="str">
        <x:v>In-distribution concept baseline</x:v>
      </x:c>
      <x:c r="I66" s="9" t="str">
        <x:v>RP-ID-CF02</x:v>
      </x:c>
      <x:c r="J66" s="9" t="str">
        <x:v>Four-way trained-cell counterfactual: front/behind polarity × target/reference role</x:v>
      </x:c>
      <x:c r="K66" s="9" t="n">
        <x:v>4</x:v>
      </x:c>
      <x:c r="L66" s="9" t="str">
        <x:v>221</x:v>
      </x:c>
      <x:c r="M66" s="9"/>
      <x:c r="N66" s="9"/>
      <x:c r="O66" s="9" t="str">
        <x:v>Reset the moved object to its marked pose; preserve the exact scene and change only the instruction.</x:v>
      </x:c>
      <x:c r="P66" s="9" t="str">
        <x:v>Exact explicitly trained ordered relation-object cell from training episode 221. The four adjacent prompts share one initially unsatisfied scene.</x:v>
      </x:c>
      <x:c r="Q66" s="9"/>
      <x:c r="R66" s="10" t="n">
        <x:v>4</x:v>
      </x:c>
      <x:c r="S66" s="10"/>
      <x:c r="T66" s="9"/>
      <x:c r="U66" s="9"/>
      <x:c r="V66" s="9"/>
      <x:c r="W66" s="9"/>
      <x:c r="X66" s="10"/>
      <x:c r="Y66" s="10"/>
      <x:c r="Z66" s="9"/>
      <x:c r="AA66" s="9"/>
      <x:c r="AB66" s="9"/>
      <x:c r="AC66" s="9" t="str">
        <x:v>behind</x:v>
      </x:c>
      <x:c r="AD66" s="9" t="str">
        <x:v>green pen</x:v>
      </x:c>
      <x:c r="AE66" s="9" t="str">
        <x:v>blue block</x:v>
      </x:c>
      <x:c r="AF66" s="9" t="str">
        <x:v>None</x:v>
      </x:c>
      <x:c r="AG66" s="9"/>
      <x:c r="AH66" s="9"/>
      <x:c r="AI66" s="11"/>
      <x:c r="AJ66" s="9"/>
      <x:c r="AK66" s="9" t="str">
        <x:v>Eval_Relational_Placement (1).xlsm</x:v>
      </x:c>
      <x:c r="AL66" s="9" t="str">
        <x:v>GR00T</x:v>
      </x:c>
      <x:c r="AM66" s="9" t="n">
        <x:v>7</x:v>
      </x:c>
      <x:c r="AN66" s="9" t="n">
        <x:v>7</x:v>
      </x:c>
    </x:row>
    <x:row r="67">
      <x:c r="A67" s="9" t="str">
        <x:v>Failure</x:v>
      </x:c>
      <x:c r="B67" s="9" t="str">
        <x:v>Relational Placement</x:v>
      </x:c>
      <x:c r="C67" s="10" t="n">
        <x:v>6</x:v>
      </x:c>
      <x:c r="D67" s="9" t="str">
        <x:v>Put the blue block on the table in front of the green pen.</x:v>
      </x:c>
      <x:c r="E67" s="9" t="str">
        <x:v>green pen, blue block, pink marker, red block</x:v>
      </x:c>
      <x:c r="F67" s="9" t="str">
        <x:v>blue block → 2–8 cm edge gap in front of green pen; centroid direction within ±45°.</x:v>
      </x:c>
      <x:c r="G67" s="9" t="str">
        <x:v>went for the blue block, failed to grasp it, then went to the side of the table, and was grasping around thin air</x:v>
      </x:c>
      <x:c r="H67" s="9" t="str">
        <x:v>In-distribution concept baseline</x:v>
      </x:c>
      <x:c r="I67" s="9" t="str">
        <x:v>RP-ID-CF02</x:v>
      </x:c>
      <x:c r="J67" s="9" t="str">
        <x:v>Four-way trained-cell counterfactual: front/behind polarity × target/reference role</x:v>
      </x:c>
      <x:c r="K67" s="9" t="n">
        <x:v>4</x:v>
      </x:c>
      <x:c r="L67" s="9" t="str">
        <x:v>350</x:v>
      </x:c>
      <x:c r="M67" s="9"/>
      <x:c r="N67" s="9"/>
      <x:c r="O67" s="9" t="str">
        <x:v>Reset the moved object to its marked pose; preserve the exact scene and change only the instruction.</x:v>
      </x:c>
      <x:c r="P67" s="9" t="str">
        <x:v>Exact explicitly trained ordered relation-object cell from training episode 350. The four adjacent prompts share one initially unsatisfied scene.</x:v>
      </x:c>
      <x:c r="Q67" s="9"/>
      <x:c r="R67" s="10" t="n">
        <x:v>4</x:v>
      </x:c>
      <x:c r="S67" s="10"/>
      <x:c r="T67" s="9"/>
      <x:c r="U67" s="9"/>
      <x:c r="V67" s="9"/>
      <x:c r="W67" s="9"/>
      <x:c r="X67" s="10"/>
      <x:c r="Y67" s="10"/>
      <x:c r="Z67" s="9"/>
      <x:c r="AA67" s="9"/>
      <x:c r="AB67" s="9"/>
      <x:c r="AC67" s="9" t="str">
        <x:v>front</x:v>
      </x:c>
      <x:c r="AD67" s="9" t="str">
        <x:v>blue block</x:v>
      </x:c>
      <x:c r="AE67" s="9" t="str">
        <x:v>green pen</x:v>
      </x:c>
      <x:c r="AF67" s="9" t="str">
        <x:v>None</x:v>
      </x:c>
      <x:c r="AG67" s="9"/>
      <x:c r="AH67" s="9"/>
      <x:c r="AI67" s="11"/>
      <x:c r="AJ67" s="9"/>
      <x:c r="AK67" s="9" t="str">
        <x:v>Eval_Relational_Placement (1).xlsm</x:v>
      </x:c>
      <x:c r="AL67" s="9" t="str">
        <x:v>GR00T</x:v>
      </x:c>
      <x:c r="AM67" s="9" t="n">
        <x:v>8</x:v>
      </x:c>
      <x:c r="AN67" s="9" t="n">
        <x:v>8</x:v>
      </x:c>
    </x:row>
    <x:row r="68">
      <x:c r="A68" s="9" t="str">
        <x:v>Failure</x:v>
      </x:c>
      <x:c r="B68" s="9" t="str">
        <x:v>Relational Placement</x:v>
      </x:c>
      <x:c r="C68" s="10" t="n">
        <x:v>7</x:v>
      </x:c>
      <x:c r="D68" s="9" t="str">
        <x:v>Put the blue block on the table behind the green pen.</x:v>
      </x:c>
      <x:c r="E68" s="9" t="str">
        <x:v>green pen, blue block, pink marker, red block</x:v>
      </x:c>
      <x:c r="F68" s="9" t="str">
        <x:v>blue block → 2–8 cm edge gap behind green pen; centroid direction within ±45°.</x:v>
      </x:c>
      <x:c r="G68" s="9" t="str">
        <x:v>placed blue block to the right of the green pen</x:v>
      </x:c>
      <x:c r="H68" s="9" t="str">
        <x:v>In-distribution concept baseline</x:v>
      </x:c>
      <x:c r="I68" s="9" t="str">
        <x:v>RP-ID-CF02</x:v>
      </x:c>
      <x:c r="J68" s="9" t="str">
        <x:v>Four-way trained-cell counterfactual: front/behind polarity × target/reference role</x:v>
      </x:c>
      <x:c r="K68" s="9" t="n">
        <x:v>4</x:v>
      </x:c>
      <x:c r="L68" s="9" t="str">
        <x:v>362</x:v>
      </x:c>
      <x:c r="M68" s="9"/>
      <x:c r="N68" s="9"/>
      <x:c r="O68" s="9" t="str">
        <x:v>Reset the moved object to its marked pose; preserve the exact scene and change only the instruction.</x:v>
      </x:c>
      <x:c r="P68" s="9" t="str">
        <x:v>Exact explicitly trained ordered relation-object cell from training episode 362. The four adjacent prompts share one initially unsatisfied scene.</x:v>
      </x:c>
      <x:c r="Q68" s="9"/>
      <x:c r="R68" s="10" t="n">
        <x:v>4</x:v>
      </x:c>
      <x:c r="S68" s="10"/>
      <x:c r="T68" s="9"/>
      <x:c r="U68" s="9"/>
      <x:c r="V68" s="9"/>
      <x:c r="W68" s="9"/>
      <x:c r="X68" s="10"/>
      <x:c r="Y68" s="10"/>
      <x:c r="Z68" s="9"/>
      <x:c r="AA68" s="9"/>
      <x:c r="AB68" s="9"/>
      <x:c r="AC68" s="9" t="str">
        <x:v>behind</x:v>
      </x:c>
      <x:c r="AD68" s="9" t="str">
        <x:v>blue block</x:v>
      </x:c>
      <x:c r="AE68" s="9" t="str">
        <x:v>green pen</x:v>
      </x:c>
      <x:c r="AF68" s="9" t="str">
        <x:v>None</x:v>
      </x:c>
      <x:c r="AG68" s="9"/>
      <x:c r="AH68" s="9"/>
      <x:c r="AI68" s="11"/>
      <x:c r="AJ68" s="9"/>
      <x:c r="AK68" s="9" t="str">
        <x:v>Eval_Relational_Placement (1).xlsm</x:v>
      </x:c>
      <x:c r="AL68" s="9" t="str">
        <x:v>GR00T</x:v>
      </x:c>
      <x:c r="AM68" s="9" t="n">
        <x:v>9</x:v>
      </x:c>
      <x:c r="AN68" s="9" t="n">
        <x:v>9</x:v>
      </x:c>
    </x:row>
    <x:row r="69">
      <x:c r="A69" s="9" t="str">
        <x:v>Failure</x:v>
      </x:c>
      <x:c r="B69" s="9" t="str">
        <x:v>Relational Placement</x:v>
      </x:c>
      <x:c r="C69" s="10" t="n">
        <x:v>8</x:v>
      </x:c>
      <x:c r="D69" s="9" t="str">
        <x:v>Place the red block to the left of the pink marker.</x:v>
      </x:c>
      <x:c r="E69" s="9" t="str">
        <x:v>red block, pink marker, blue block</x:v>
      </x:c>
      <x:c r="F69" s="9" t="str">
        <x:v>red block → 2–8 cm edge gap to the left of pink marker; centroid direction within ±45°.</x:v>
      </x:c>
      <x:c r="G69" s="9" t="str">
        <x:v>picked pink marker and placed to the left/front of the blue block. </x:v>
      </x:c>
      <x:c r="H69" s="9" t="str">
        <x:v>In-distribution concept baseline</x:v>
      </x:c>
      <x:c r="I69" s="9" t="str">
        <x:v>RP-ID-CF03</x:v>
      </x:c>
      <x:c r="J69" s="9" t="str">
        <x:v>Four-way trained-cell counterfactual: left/right polarity × target/reference role</x:v>
      </x:c>
      <x:c r="K69" s="9"/>
      <x:c r="L69" s="9" t="str">
        <x:v>275</x:v>
      </x:c>
      <x:c r="M69" s="9"/>
      <x:c r="N69" s="9"/>
      <x:c r="O69" s="9" t="str">
        <x:v>Build the listed neutral scene and save the first frame.</x:v>
      </x:c>
      <x:c r="P69" s="9" t="str">
        <x:v>Exact explicitly trained ordered relation-object cell from training episode 275. The four adjacent prompts share one initially unsatisfied scene.</x:v>
      </x:c>
      <x:c r="Q69" s="9"/>
      <x:c r="R69" s="10" t="n">
        <x:v>3</x:v>
      </x:c>
      <x:c r="S69" s="10"/>
      <x:c r="T69" s="9"/>
      <x:c r="U69" s="9"/>
      <x:c r="V69" s="9"/>
      <x:c r="W69" s="9"/>
      <x:c r="X69" s="10"/>
      <x:c r="Y69" s="10"/>
      <x:c r="Z69" s="9"/>
      <x:c r="AA69" s="9"/>
      <x:c r="AB69" s="9"/>
      <x:c r="AC69" s="9" t="str">
        <x:v>left</x:v>
      </x:c>
      <x:c r="AD69" s="9" t="str">
        <x:v>red block</x:v>
      </x:c>
      <x:c r="AE69" s="9" t="str">
        <x:v>pink marker</x:v>
      </x:c>
      <x:c r="AF69" s="9" t="str">
        <x:v>None</x:v>
      </x:c>
      <x:c r="AG69" s="9"/>
      <x:c r="AH69" s="9"/>
      <x:c r="AI69" s="11"/>
      <x:c r="AJ69" s="9"/>
      <x:c r="AK69" s="9" t="str">
        <x:v>Eval_Relational_Placement (1).xlsm</x:v>
      </x:c>
      <x:c r="AL69" s="9" t="str">
        <x:v>GR00T</x:v>
      </x:c>
      <x:c r="AM69" s="9" t="n">
        <x:v>10</x:v>
      </x:c>
      <x:c r="AN69" s="9" t="n">
        <x:v>10</x:v>
      </x:c>
    </x:row>
    <x:row r="70">
      <x:c r="A70" s="9" t="str">
        <x:v>Failure</x:v>
      </x:c>
      <x:c r="B70" s="9" t="str">
        <x:v>Relational Placement</x:v>
      </x:c>
      <x:c r="C70" s="10" t="n">
        <x:v>9</x:v>
      </x:c>
      <x:c r="D70" s="9" t="str">
        <x:v>Place the red block to the right of the pink marker.</x:v>
      </x:c>
      <x:c r="E70" s="9" t="str">
        <x:v>red block, pink marker, blue block</x:v>
      </x:c>
      <x:c r="F70" s="9" t="str">
        <x:v>red block → 2–8 cm edge gap to the right of pink marker; centroid direction within ±45°.</x:v>
      </x:c>
      <x:c r="G70" s="9" t="str">
        <x:v>placed blue block to the right of the pink marker, but didn't move back home</x:v>
      </x:c>
      <x:c r="H70" s="9" t="str">
        <x:v>In-distribution concept baseline</x:v>
      </x:c>
      <x:c r="I70" s="9" t="str">
        <x:v>RP-ID-CF03</x:v>
      </x:c>
      <x:c r="J70" s="9" t="str">
        <x:v>Four-way trained-cell counterfactual: left/right polarity × target/reference role</x:v>
      </x:c>
      <x:c r="K70" s="9" t="n">
        <x:v>8</x:v>
      </x:c>
      <x:c r="L70" s="9" t="str">
        <x:v>287</x:v>
      </x:c>
      <x:c r="M70" s="9"/>
      <x:c r="N70" s="9"/>
      <x:c r="O70" s="9" t="str">
        <x:v>Reset the moved object to its marked pose; preserve the exact scene and change only the instruction.</x:v>
      </x:c>
      <x:c r="P70" s="9" t="str">
        <x:v>Exact explicitly trained ordered relation-object cell from training episode 287. The four adjacent prompts share one initially unsatisfied scene.</x:v>
      </x:c>
      <x:c r="Q70" s="9"/>
      <x:c r="R70" s="10" t="n">
        <x:v>3</x:v>
      </x:c>
      <x:c r="S70" s="10"/>
      <x:c r="T70" s="9"/>
      <x:c r="U70" s="9"/>
      <x:c r="V70" s="9"/>
      <x:c r="W70" s="9"/>
      <x:c r="X70" s="10"/>
      <x:c r="Y70" s="10"/>
      <x:c r="Z70" s="9"/>
      <x:c r="AA70" s="9"/>
      <x:c r="AB70" s="9"/>
      <x:c r="AC70" s="9" t="str">
        <x:v>right</x:v>
      </x:c>
      <x:c r="AD70" s="9" t="str">
        <x:v>red block</x:v>
      </x:c>
      <x:c r="AE70" s="9" t="str">
        <x:v>pink marker</x:v>
      </x:c>
      <x:c r="AF70" s="9" t="str">
        <x:v>None</x:v>
      </x:c>
      <x:c r="AG70" s="9"/>
      <x:c r="AH70" s="9"/>
      <x:c r="AI70" s="11"/>
      <x:c r="AJ70" s="9"/>
      <x:c r="AK70" s="9" t="str">
        <x:v>Eval_Relational_Placement (1).xlsm</x:v>
      </x:c>
      <x:c r="AL70" s="9" t="str">
        <x:v>GR00T</x:v>
      </x:c>
      <x:c r="AM70" s="9" t="n">
        <x:v>11</x:v>
      </x:c>
      <x:c r="AN70" s="9" t="n">
        <x:v>11</x:v>
      </x:c>
    </x:row>
    <x:row r="71">
      <x:c r="A71" s="9" t="str">
        <x:v>Failure</x:v>
      </x:c>
      <x:c r="B71" s="9" t="str">
        <x:v>Relational Placement</x:v>
      </x:c>
      <x:c r="C71" s="10" t="n">
        <x:v>10</x:v>
      </x:c>
      <x:c r="D71" s="9" t="str">
        <x:v>Place the pink marker to the left of the red block.</x:v>
      </x:c>
      <x:c r="E71" s="9" t="str">
        <x:v>red block, pink marker, blue block</x:v>
      </x:c>
      <x:c r="F71" s="9" t="str">
        <x:v>pink marker → 2–8 cm edge gap to the left of red block; centroid direction within ±45°.</x:v>
      </x:c>
      <x:c r="G71" s="9" t="str">
        <x:v>picked up the blue block, and moved it further back a little bit</x:v>
      </x:c>
      <x:c r="H71" s="9" t="str">
        <x:v>In-distribution concept baseline</x:v>
      </x:c>
      <x:c r="I71" s="9" t="str">
        <x:v>RP-ID-CF03</x:v>
      </x:c>
      <x:c r="J71" s="9" t="str">
        <x:v>Four-way trained-cell counterfactual: left/right polarity × target/reference role</x:v>
      </x:c>
      <x:c r="K71" s="9" t="n">
        <x:v>8</x:v>
      </x:c>
      <x:c r="L71" s="9" t="str">
        <x:v>333</x:v>
      </x:c>
      <x:c r="M71" s="9"/>
      <x:c r="N71" s="9"/>
      <x:c r="O71" s="9" t="str">
        <x:v>Reset the moved object to its marked pose; preserve the exact scene and change only the instruction.</x:v>
      </x:c>
      <x:c r="P71" s="9" t="str">
        <x:v>Exact explicitly trained ordered relation-object cell from training episode 333. The four adjacent prompts share one initially unsatisfied scene.</x:v>
      </x:c>
      <x:c r="Q71" s="9"/>
      <x:c r="R71" s="10" t="n">
        <x:v>3</x:v>
      </x:c>
      <x:c r="S71" s="10"/>
      <x:c r="T71" s="9"/>
      <x:c r="U71" s="9"/>
      <x:c r="V71" s="9"/>
      <x:c r="W71" s="9"/>
      <x:c r="X71" s="10"/>
      <x:c r="Y71" s="10"/>
      <x:c r="Z71" s="9"/>
      <x:c r="AA71" s="9"/>
      <x:c r="AB71" s="9"/>
      <x:c r="AC71" s="9" t="str">
        <x:v>left</x:v>
      </x:c>
      <x:c r="AD71" s="9" t="str">
        <x:v>pink marker</x:v>
      </x:c>
      <x:c r="AE71" s="9" t="str">
        <x:v>red block</x:v>
      </x:c>
      <x:c r="AF71" s="9" t="str">
        <x:v>None</x:v>
      </x:c>
      <x:c r="AG71" s="9"/>
      <x:c r="AH71" s="9"/>
      <x:c r="AI71" s="11"/>
      <x:c r="AJ71" s="9"/>
      <x:c r="AK71" s="9" t="str">
        <x:v>Eval_Relational_Placement (1).xlsm</x:v>
      </x:c>
      <x:c r="AL71" s="9" t="str">
        <x:v>GR00T</x:v>
      </x:c>
      <x:c r="AM71" s="9" t="n">
        <x:v>12</x:v>
      </x:c>
      <x:c r="AN71" s="9" t="n">
        <x:v>12</x:v>
      </x:c>
    </x:row>
    <x:row r="72">
      <x:c r="A72" s="9" t="str">
        <x:v>Failure</x:v>
      </x:c>
      <x:c r="B72" s="9" t="str">
        <x:v>Relational Placement</x:v>
      </x:c>
      <x:c r="C72" s="10" t="n">
        <x:v>11</x:v>
      </x:c>
      <x:c r="D72" s="9" t="str">
        <x:v>Place the pink marker to the right of the red block.</x:v>
      </x:c>
      <x:c r="E72" s="9" t="str">
        <x:v>red block, pink marker, blue block</x:v>
      </x:c>
      <x:c r="F72" s="9" t="str">
        <x:v>pink marker → 2–8 cm edge gap to the right of red block; centroid direction within ±45°.</x:v>
      </x:c>
      <x:c r="G72" s="9" t="str">
        <x:v>got the pink marker and placed it to the right of the red block, but didn't release the block. marker was also more to the left of the blue block than to the right of the red block</x:v>
      </x:c>
      <x:c r="H72" s="9" t="str">
        <x:v>In-distribution concept baseline</x:v>
      </x:c>
      <x:c r="I72" s="9" t="str">
        <x:v>RP-ID-CF03</x:v>
      </x:c>
      <x:c r="J72" s="9" t="str">
        <x:v>Four-way trained-cell counterfactual: left/right polarity × target/reference role</x:v>
      </x:c>
      <x:c r="K72" s="9" t="n">
        <x:v>8</x:v>
      </x:c>
      <x:c r="L72" s="9" t="str">
        <x:v>346</x:v>
      </x:c>
      <x:c r="M72" s="9"/>
      <x:c r="N72" s="9"/>
      <x:c r="O72" s="9" t="str">
        <x:v>Reset the moved object to its marked pose; preserve the exact scene and change only the instruction.</x:v>
      </x:c>
      <x:c r="P72" s="9" t="str">
        <x:v>Exact explicitly trained ordered relation-object cell from training episode 346. The four adjacent prompts share one initially unsatisfied scene.</x:v>
      </x:c>
      <x:c r="Q72" s="9"/>
      <x:c r="R72" s="10" t="n">
        <x:v>3</x:v>
      </x:c>
      <x:c r="S72" s="10"/>
      <x:c r="T72" s="9"/>
      <x:c r="U72" s="9"/>
      <x:c r="V72" s="9"/>
      <x:c r="W72" s="9"/>
      <x:c r="X72" s="10"/>
      <x:c r="Y72" s="10"/>
      <x:c r="Z72" s="9"/>
      <x:c r="AA72" s="9"/>
      <x:c r="AB72" s="9"/>
      <x:c r="AC72" s="9" t="str">
        <x:v>right</x:v>
      </x:c>
      <x:c r="AD72" s="9" t="str">
        <x:v>pink marker</x:v>
      </x:c>
      <x:c r="AE72" s="9" t="str">
        <x:v>red block</x:v>
      </x:c>
      <x:c r="AF72" s="9" t="str">
        <x:v>None</x:v>
      </x:c>
      <x:c r="AG72" s="9"/>
      <x:c r="AH72" s="9"/>
      <x:c r="AI72" s="11"/>
      <x:c r="AJ72" s="9"/>
      <x:c r="AK72" s="9" t="str">
        <x:v>Eval_Relational_Placement (1).xlsm</x:v>
      </x:c>
      <x:c r="AL72" s="9" t="str">
        <x:v>GR00T</x:v>
      </x:c>
      <x:c r="AM72" s="9" t="n">
        <x:v>13</x:v>
      </x:c>
      <x:c r="AN72" s="9" t="n">
        <x:v>13</x:v>
      </x:c>
    </x:row>
    <x:row r="73">
      <x:c r="A73" s="9" t="str">
        <x:v>Failure</x:v>
      </x:c>
      <x:c r="B73" s="9" t="str">
        <x:v>Relational Placement</x:v>
      </x:c>
      <x:c r="C73" s="10" t="n">
        <x:v>12</x:v>
      </x:c>
      <x:c r="D73" s="9" t="str">
        <x:v>Place the red block to the left of the blue block.</x:v>
      </x:c>
      <x:c r="E73" s="9" t="str">
        <x:v>red block, blue block, green pen, pink marker</x:v>
      </x:c>
      <x:c r="F73" s="9" t="str">
        <x:v>red block → 2–8 cm edge gap to the left of blue block; centroid direction within ±45°.</x:v>
      </x:c>
      <x:c r="G73" s="9" t="str">
        <x:v>picked the green pen and moved to the top of the red block, but never released it.</x:v>
      </x:c>
      <x:c r="H73" s="9" t="str">
        <x:v>In-distribution concept baseline</x:v>
      </x:c>
      <x:c r="I73" s="9" t="str">
        <x:v>RP-ID-CF04</x:v>
      </x:c>
      <x:c r="J73" s="9" t="str">
        <x:v>Four-way trained-cell counterfactual: left/right polarity × target/reference role</x:v>
      </x:c>
      <x:c r="K73" s="9"/>
      <x:c r="L73" s="9" t="str">
        <x:v>279</x:v>
      </x:c>
      <x:c r="M73" s="9"/>
      <x:c r="N73" s="9"/>
      <x:c r="O73" s="9" t="str">
        <x:v>Build the listed neutral scene and save the first frame.</x:v>
      </x:c>
      <x:c r="P73" s="9" t="str">
        <x:v>Exact explicitly trained ordered relation-object cell from training episode 279. The four adjacent prompts share one initially unsatisfied scene.</x:v>
      </x:c>
      <x:c r="Q73" s="9"/>
      <x:c r="R73" s="10" t="n">
        <x:v>4</x:v>
      </x:c>
      <x:c r="S73" s="10"/>
      <x:c r="T73" s="9"/>
      <x:c r="U73" s="9"/>
      <x:c r="V73" s="9"/>
      <x:c r="W73" s="9"/>
      <x:c r="X73" s="10"/>
      <x:c r="Y73" s="10"/>
      <x:c r="Z73" s="9"/>
      <x:c r="AA73" s="9"/>
      <x:c r="AB73" s="9"/>
      <x:c r="AC73" s="9" t="str">
        <x:v>left</x:v>
      </x:c>
      <x:c r="AD73" s="9" t="str">
        <x:v>red block</x:v>
      </x:c>
      <x:c r="AE73" s="9" t="str">
        <x:v>blue block</x:v>
      </x:c>
      <x:c r="AF73" s="9" t="str">
        <x:v>None</x:v>
      </x:c>
      <x:c r="AG73" s="9"/>
      <x:c r="AH73" s="9"/>
      <x:c r="AI73" s="11"/>
      <x:c r="AJ73" s="9"/>
      <x:c r="AK73" s="9" t="str">
        <x:v>Eval_Relational_Placement (1).xlsm</x:v>
      </x:c>
      <x:c r="AL73" s="9" t="str">
        <x:v>GR00T</x:v>
      </x:c>
      <x:c r="AM73" s="9" t="n">
        <x:v>14</x:v>
      </x:c>
      <x:c r="AN73" s="9" t="n">
        <x:v>14</x:v>
      </x:c>
    </x:row>
    <x:row r="74">
      <x:c r="A74" s="9" t="str">
        <x:v>Failure</x:v>
      </x:c>
      <x:c r="B74" s="9" t="str">
        <x:v>Relational Placement</x:v>
      </x:c>
      <x:c r="C74" s="10" t="n">
        <x:v>13</x:v>
      </x:c>
      <x:c r="D74" s="9" t="str">
        <x:v>Place the red block to the right of the blue block.</x:v>
      </x:c>
      <x:c r="E74" s="9" t="str">
        <x:v>red block, blue block, green pen, pink marker</x:v>
      </x:c>
      <x:c r="F74" s="9" t="str">
        <x:v>red block → 2–8 cm edge gap to the right of blue block; centroid direction within ±45°.</x:v>
      </x:c>
      <x:c r="G74" s="9" t="str">
        <x:v>moved green pen to the back of the red block; also didn't release it</x:v>
      </x:c>
      <x:c r="H74" s="9" t="str">
        <x:v>In-distribution concept baseline</x:v>
      </x:c>
      <x:c r="I74" s="9" t="str">
        <x:v>RP-ID-CF04</x:v>
      </x:c>
      <x:c r="J74" s="9" t="str">
        <x:v>Four-way trained-cell counterfactual: left/right polarity × target/reference role</x:v>
      </x:c>
      <x:c r="K74" s="9" t="n">
        <x:v>12</x:v>
      </x:c>
      <x:c r="L74" s="9" t="str">
        <x:v>292</x:v>
      </x:c>
      <x:c r="M74" s="9"/>
      <x:c r="N74" s="9"/>
      <x:c r="O74" s="9" t="str">
        <x:v>Reset the moved object to its marked pose; preserve the exact scene and change only the instruction.</x:v>
      </x:c>
      <x:c r="P74" s="9" t="str">
        <x:v>Exact explicitly trained ordered relation-object cell from training episode 292. The four adjacent prompts share one initially unsatisfied scene.</x:v>
      </x:c>
      <x:c r="Q74" s="9"/>
      <x:c r="R74" s="10" t="n">
        <x:v>4</x:v>
      </x:c>
      <x:c r="S74" s="10"/>
      <x:c r="T74" s="9"/>
      <x:c r="U74" s="9"/>
      <x:c r="V74" s="9"/>
      <x:c r="W74" s="9"/>
      <x:c r="X74" s="10"/>
      <x:c r="Y74" s="10"/>
      <x:c r="Z74" s="9"/>
      <x:c r="AA74" s="9"/>
      <x:c r="AB74" s="9"/>
      <x:c r="AC74" s="9" t="str">
        <x:v>right</x:v>
      </x:c>
      <x:c r="AD74" s="9" t="str">
        <x:v>red block</x:v>
      </x:c>
      <x:c r="AE74" s="9" t="str">
        <x:v>blue block</x:v>
      </x:c>
      <x:c r="AF74" s="9" t="str">
        <x:v>None</x:v>
      </x:c>
      <x:c r="AG74" s="9"/>
      <x:c r="AH74" s="9"/>
      <x:c r="AI74" s="11"/>
      <x:c r="AJ74" s="9"/>
      <x:c r="AK74" s="9" t="str">
        <x:v>Eval_Relational_Placement (1).xlsm</x:v>
      </x:c>
      <x:c r="AL74" s="9" t="str">
        <x:v>GR00T</x:v>
      </x:c>
      <x:c r="AM74" s="9" t="n">
        <x:v>15</x:v>
      </x:c>
      <x:c r="AN74" s="9" t="n">
        <x:v>15</x:v>
      </x:c>
    </x:row>
    <x:row r="75">
      <x:c r="A75" s="9" t="str">
        <x:v>Failure</x:v>
      </x:c>
      <x:c r="B75" s="9" t="str">
        <x:v>Relational Placement</x:v>
      </x:c>
      <x:c r="C75" s="10" t="n">
        <x:v>14</x:v>
      </x:c>
      <x:c r="D75" s="9" t="str">
        <x:v>Place the blue block to the left of the red block.</x:v>
      </x:c>
      <x:c r="E75" s="9" t="str">
        <x:v>red block, blue block, green pen, pink marker</x:v>
      </x:c>
      <x:c r="F75" s="9" t="str">
        <x:v>blue block → 2–8 cm edge gap to the left of red block; centroid direction within ±45°.</x:v>
      </x:c>
      <x:c r="G75" s="9" t="str">
        <x:v>went to the green pen, but didn't get it. went home afterwards</x:v>
      </x:c>
      <x:c r="H75" s="9" t="str">
        <x:v>In-distribution concept baseline</x:v>
      </x:c>
      <x:c r="I75" s="9" t="str">
        <x:v>RP-ID-CF04</x:v>
      </x:c>
      <x:c r="J75" s="9" t="str">
        <x:v>Four-way trained-cell counterfactual: left/right polarity × target/reference role</x:v>
      </x:c>
      <x:c r="K75" s="9" t="n">
        <x:v>12</x:v>
      </x:c>
      <x:c r="L75" s="9" t="str">
        <x:v>379</x:v>
      </x:c>
      <x:c r="M75" s="9"/>
      <x:c r="N75" s="9"/>
      <x:c r="O75" s="9" t="str">
        <x:v>Reset the moved object to its marked pose; preserve the exact scene and change only the instruction.</x:v>
      </x:c>
      <x:c r="P75" s="9" t="str">
        <x:v>Exact explicitly trained ordered relation-object cell from training episode 379. The four adjacent prompts share one initially unsatisfied scene.</x:v>
      </x:c>
      <x:c r="Q75" s="9"/>
      <x:c r="R75" s="10" t="n">
        <x:v>4</x:v>
      </x:c>
      <x:c r="S75" s="10"/>
      <x:c r="T75" s="9"/>
      <x:c r="U75" s="9"/>
      <x:c r="V75" s="9"/>
      <x:c r="W75" s="9"/>
      <x:c r="X75" s="10"/>
      <x:c r="Y75" s="10"/>
      <x:c r="Z75" s="9"/>
      <x:c r="AA75" s="9"/>
      <x:c r="AB75" s="9"/>
      <x:c r="AC75" s="9" t="str">
        <x:v>left</x:v>
      </x:c>
      <x:c r="AD75" s="9" t="str">
        <x:v>blue block</x:v>
      </x:c>
      <x:c r="AE75" s="9" t="str">
        <x:v>red block</x:v>
      </x:c>
      <x:c r="AF75" s="9" t="str">
        <x:v>None</x:v>
      </x:c>
      <x:c r="AG75" s="9"/>
      <x:c r="AH75" s="9"/>
      <x:c r="AI75" s="11"/>
      <x:c r="AJ75" s="9"/>
      <x:c r="AK75" s="9" t="str">
        <x:v>Eval_Relational_Placement (1).xlsm</x:v>
      </x:c>
      <x:c r="AL75" s="9" t="str">
        <x:v>GR00T</x:v>
      </x:c>
      <x:c r="AM75" s="9" t="n">
        <x:v>16</x:v>
      </x:c>
      <x:c r="AN75" s="9" t="n">
        <x:v>16</x:v>
      </x:c>
    </x:row>
    <x:row r="76">
      <x:c r="A76" s="9" t="str">
        <x:v>Failure</x:v>
      </x:c>
      <x:c r="B76" s="9" t="str">
        <x:v>Relational Placement</x:v>
      </x:c>
      <x:c r="C76" s="10" t="n">
        <x:v>15</x:v>
      </x:c>
      <x:c r="D76" s="9" t="str">
        <x:v>Place the blue block to the right of the red block.</x:v>
      </x:c>
      <x:c r="E76" s="9" t="str">
        <x:v>red block, blue block, green pen, pink marker</x:v>
      </x:c>
      <x:c r="F76" s="9" t="str">
        <x:v>blue block → 2–8 cm edge gap to the right of red block; centroid direction within ±45°.</x:v>
      </x:c>
      <x:c r="G76" s="9" t="str">
        <x:v>went to the green pen, but didn't get it. went home afterwards</x:v>
      </x:c>
      <x:c r="H76" s="9" t="str">
        <x:v>In-distribution concept baseline</x:v>
      </x:c>
      <x:c r="I76" s="9" t="str">
        <x:v>RP-ID-CF04</x:v>
      </x:c>
      <x:c r="J76" s="9" t="str">
        <x:v>Four-way trained-cell counterfactual: left/right polarity × target/reference role</x:v>
      </x:c>
      <x:c r="K76" s="9" t="n">
        <x:v>12</x:v>
      </x:c>
      <x:c r="L76" s="9" t="str">
        <x:v>392</x:v>
      </x:c>
      <x:c r="M76" s="9"/>
      <x:c r="N76" s="9"/>
      <x:c r="O76" s="9" t="str">
        <x:v>Reset the moved object to its marked pose; preserve the exact scene and change only the instruction.</x:v>
      </x:c>
      <x:c r="P76" s="9" t="str">
        <x:v>Exact explicitly trained ordered relation-object cell from training episode 392. The four adjacent prompts share one initially unsatisfied scene.</x:v>
      </x:c>
      <x:c r="Q76" s="9"/>
      <x:c r="R76" s="10" t="n">
        <x:v>4</x:v>
      </x:c>
      <x:c r="S76" s="10"/>
      <x:c r="T76" s="9"/>
      <x:c r="U76" s="9"/>
      <x:c r="V76" s="9"/>
      <x:c r="W76" s="9"/>
      <x:c r="X76" s="10"/>
      <x:c r="Y76" s="10"/>
      <x:c r="Z76" s="9"/>
      <x:c r="AA76" s="9"/>
      <x:c r="AB76" s="9"/>
      <x:c r="AC76" s="9" t="str">
        <x:v>right</x:v>
      </x:c>
      <x:c r="AD76" s="9" t="str">
        <x:v>blue block</x:v>
      </x:c>
      <x:c r="AE76" s="9" t="str">
        <x:v>red block</x:v>
      </x:c>
      <x:c r="AF76" s="9" t="str">
        <x:v>None</x:v>
      </x:c>
      <x:c r="AG76" s="9"/>
      <x:c r="AH76" s="9"/>
      <x:c r="AI76" s="11"/>
      <x:c r="AJ76" s="9"/>
      <x:c r="AK76" s="9" t="str">
        <x:v>Eval_Relational_Placement (1).xlsm</x:v>
      </x:c>
      <x:c r="AL76" s="9" t="str">
        <x:v>GR00T</x:v>
      </x:c>
      <x:c r="AM76" s="9" t="n">
        <x:v>17</x:v>
      </x:c>
      <x:c r="AN76" s="9" t="n">
        <x:v>17</x:v>
      </x:c>
    </x:row>
    <x:row r="77">
      <x:c r="A77" s="9" t="str">
        <x:v>Failure</x:v>
      </x:c>
      <x:c r="B77" s="9" t="str">
        <x:v>Relational Placement</x:v>
      </x:c>
      <x:c r="C77" s="10" t="n">
        <x:v>16</x:v>
      </x:c>
      <x:c r="D77" s="9" t="str">
        <x:v>Place the green pen to the left of the pink marker.</x:v>
      </x:c>
      <x:c r="E77" s="9" t="str">
        <x:v>green pen, pink marker, red block, blue block</x:v>
      </x:c>
      <x:c r="F77" s="9" t="str">
        <x:v>green pen → 2–8 cm edge gap to the left of pink marker; centroid direction within ±45°.</x:v>
      </x:c>
      <x:c r="G77" s="9" t="str">
        <x:v>placed pink marker to the right of the blue block</x:v>
      </x:c>
      <x:c r="H77" s="9" t="str">
        <x:v>In-distribution concept baseline</x:v>
      </x:c>
      <x:c r="I77" s="9" t="str">
        <x:v>RP-ID-CF05</x:v>
      </x:c>
      <x:c r="J77" s="9" t="str">
        <x:v>Four-prompt trained-cell mixed-axis counterfactual with all four target identities</x:v>
      </x:c>
      <x:c r="K77" s="9"/>
      <x:c r="L77" s="9" t="str">
        <x:v>229</x:v>
      </x:c>
      <x:c r="M77" s="9"/>
      <x:c r="N77" s="9"/>
      <x:c r="O77" s="9" t="str">
        <x:v>Build the listed neutral scene and save the first frame.</x:v>
      </x:c>
      <x:c r="P77" s="9" t="str">
        <x:v>Exact explicitly trained ordered relation-object cell from training episode 229. The four adjacent prompts share one initially unsatisfied scene.</x:v>
      </x:c>
      <x:c r="Q77" s="9"/>
      <x:c r="R77" s="10" t="n">
        <x:v>4</x:v>
      </x:c>
      <x:c r="S77" s="10"/>
      <x:c r="T77" s="9"/>
      <x:c r="U77" s="9"/>
      <x:c r="V77" s="9"/>
      <x:c r="W77" s="9"/>
      <x:c r="X77" s="10"/>
      <x:c r="Y77" s="10"/>
      <x:c r="Z77" s="9"/>
      <x:c r="AA77" s="9"/>
      <x:c r="AB77" s="9"/>
      <x:c r="AC77" s="9" t="str">
        <x:v>left</x:v>
      </x:c>
      <x:c r="AD77" s="9" t="str">
        <x:v>green pen</x:v>
      </x:c>
      <x:c r="AE77" s="9" t="str">
        <x:v>pink marker</x:v>
      </x:c>
      <x:c r="AF77" s="9" t="str">
        <x:v>None</x:v>
      </x:c>
      <x:c r="AG77" s="9"/>
      <x:c r="AH77" s="9"/>
      <x:c r="AI77" s="11"/>
      <x:c r="AJ77" s="9"/>
      <x:c r="AK77" s="9" t="str">
        <x:v>Eval_Relational_Placement (1).xlsm</x:v>
      </x:c>
      <x:c r="AL77" s="9" t="str">
        <x:v>GR00T</x:v>
      </x:c>
      <x:c r="AM77" s="9" t="n">
        <x:v>18</x:v>
      </x:c>
      <x:c r="AN77" s="9" t="n">
        <x:v>18</x:v>
      </x:c>
    </x:row>
    <x:row r="78">
      <x:c r="A78" s="9" t="str">
        <x:v>Failure</x:v>
      </x:c>
      <x:c r="B78" s="9" t="str">
        <x:v>Relational Placement</x:v>
      </x:c>
      <x:c r="C78" s="10" t="n">
        <x:v>17</x:v>
      </x:c>
      <x:c r="D78" s="9" t="str">
        <x:v>Place the pink marker to the right of the green pen.</x:v>
      </x:c>
      <x:c r="E78" s="9" t="str">
        <x:v>green pen, pink marker, red block, blue block</x:v>
      </x:c>
      <x:c r="F78" s="9" t="str">
        <x:v>pink marker → 2–8 cm edge gap to the right of green pen; centroid direction within ±45°.</x:v>
      </x:c>
      <x:c r="G78" s="9" t="str">
        <x:v>placed pink marker right front of the blue block. kind of behind green pen since moved it a little bit</x:v>
      </x:c>
      <x:c r="H78" s="9" t="str">
        <x:v>In-distribution concept baseline</x:v>
      </x:c>
      <x:c r="I78" s="9" t="str">
        <x:v>RP-ID-CF05</x:v>
      </x:c>
      <x:c r="J78" s="9" t="str">
        <x:v>Four-prompt trained-cell mixed-axis counterfactual with all four target identities</x:v>
      </x:c>
      <x:c r="K78" s="9" t="n">
        <x:v>16</x:v>
      </x:c>
      <x:c r="L78" s="9" t="str">
        <x:v>342</x:v>
      </x:c>
      <x:c r="M78" s="9"/>
      <x:c r="N78" s="9"/>
      <x:c r="O78" s="9" t="str">
        <x:v>Reset the moved object to its marked pose; preserve the exact scene and change only the instruction.</x:v>
      </x:c>
      <x:c r="P78" s="9" t="str">
        <x:v>Exact explicitly trained ordered relation-object cell from training episode 342. The four adjacent prompts share one initially unsatisfied scene.</x:v>
      </x:c>
      <x:c r="Q78" s="9"/>
      <x:c r="R78" s="10" t="n">
        <x:v>4</x:v>
      </x:c>
      <x:c r="S78" s="10"/>
      <x:c r="T78" s="9"/>
      <x:c r="U78" s="9"/>
      <x:c r="V78" s="9"/>
      <x:c r="W78" s="9"/>
      <x:c r="X78" s="10"/>
      <x:c r="Y78" s="10"/>
      <x:c r="Z78" s="9"/>
      <x:c r="AA78" s="9"/>
      <x:c r="AB78" s="9"/>
      <x:c r="AC78" s="9" t="str">
        <x:v>right</x:v>
      </x:c>
      <x:c r="AD78" s="9" t="str">
        <x:v>pink marker</x:v>
      </x:c>
      <x:c r="AE78" s="9" t="str">
        <x:v>green pen</x:v>
      </x:c>
      <x:c r="AF78" s="9" t="str">
        <x:v>None</x:v>
      </x:c>
      <x:c r="AG78" s="9"/>
      <x:c r="AH78" s="9"/>
      <x:c r="AI78" s="11"/>
      <x:c r="AJ78" s="9"/>
      <x:c r="AK78" s="9" t="str">
        <x:v>Eval_Relational_Placement (1).xlsm</x:v>
      </x:c>
      <x:c r="AL78" s="9" t="str">
        <x:v>GR00T</x:v>
      </x:c>
      <x:c r="AM78" s="9" t="n">
        <x:v>19</x:v>
      </x:c>
      <x:c r="AN78" s="9" t="n">
        <x:v>19</x:v>
      </x:c>
    </x:row>
    <x:row r="79">
      <x:c r="A79" s="9" t="str">
        <x:v>Failure</x:v>
      </x:c>
      <x:c r="B79" s="9" t="str">
        <x:v>Relational Placement</x:v>
      </x:c>
      <x:c r="C79" s="10" t="n">
        <x:v>18</x:v>
      </x:c>
      <x:c r="D79" s="9" t="str">
        <x:v>Move the red block to the front of the blue block.</x:v>
      </x:c>
      <x:c r="E79" s="9" t="str">
        <x:v>green pen, pink marker, red block, blue block</x:v>
      </x:c>
      <x:c r="F79" s="9" t="str">
        <x:v>red block → 2–8 cm edge gap in front of blue block; centroid direction within ±45°.</x:v>
      </x:c>
      <x:c r="G79" s="9" t="str">
        <x:v>put the pink marker to the right of the green pen</x:v>
      </x:c>
      <x:c r="H79" s="9" t="str">
        <x:v>In-distribution concept baseline</x:v>
      </x:c>
      <x:c r="I79" s="9" t="str">
        <x:v>RP-ID-CF05</x:v>
      </x:c>
      <x:c r="J79" s="9" t="str">
        <x:v>Four-prompt trained-cell mixed-axis counterfactual with all four target identities</x:v>
      </x:c>
      <x:c r="K79" s="9" t="n">
        <x:v>16</x:v>
      </x:c>
      <x:c r="L79" s="9" t="str">
        <x:v>254</x:v>
      </x:c>
      <x:c r="M79" s="9"/>
      <x:c r="N79" s="9"/>
      <x:c r="O79" s="9" t="str">
        <x:v>Reset the moved object to its marked pose; preserve the exact scene and change only the instruction.</x:v>
      </x:c>
      <x:c r="P79" s="9" t="str">
        <x:v>Exact explicitly trained ordered relation-object cell from training episode 254. The four adjacent prompts share one initially unsatisfied scene.</x:v>
      </x:c>
      <x:c r="Q79" s="9"/>
      <x:c r="R79" s="10" t="n">
        <x:v>4</x:v>
      </x:c>
      <x:c r="S79" s="10"/>
      <x:c r="T79" s="9"/>
      <x:c r="U79" s="9"/>
      <x:c r="V79" s="9"/>
      <x:c r="W79" s="9"/>
      <x:c r="X79" s="10"/>
      <x:c r="Y79" s="10"/>
      <x:c r="Z79" s="9"/>
      <x:c r="AA79" s="9"/>
      <x:c r="AB79" s="9"/>
      <x:c r="AC79" s="9" t="str">
        <x:v>front</x:v>
      </x:c>
      <x:c r="AD79" s="9" t="str">
        <x:v>red block</x:v>
      </x:c>
      <x:c r="AE79" s="9" t="str">
        <x:v>blue block</x:v>
      </x:c>
      <x:c r="AF79" s="9" t="str">
        <x:v>None</x:v>
      </x:c>
      <x:c r="AG79" s="9"/>
      <x:c r="AH79" s="9"/>
      <x:c r="AI79" s="11"/>
      <x:c r="AJ79" s="9"/>
      <x:c r="AK79" s="9" t="str">
        <x:v>Eval_Relational_Placement (1).xlsm</x:v>
      </x:c>
      <x:c r="AL79" s="9" t="str">
        <x:v>GR00T</x:v>
      </x:c>
      <x:c r="AM79" s="9" t="n">
        <x:v>20</x:v>
      </x:c>
      <x:c r="AN79" s="9" t="n">
        <x:v>20</x:v>
      </x:c>
    </x:row>
    <x:row r="80">
      <x:c r="A80" s="9" t="str">
        <x:v>Failure</x:v>
      </x:c>
      <x:c r="B80" s="9" t="str">
        <x:v>Relational Placement</x:v>
      </x:c>
      <x:c r="C80" s="10" t="n">
        <x:v>19</x:v>
      </x:c>
      <x:c r="D80" s="9" t="str">
        <x:v>Place the blue block behind the red block.</x:v>
      </x:c>
      <x:c r="E80" s="9" t="str">
        <x:v>green pen, pink marker, red block, blue block</x:v>
      </x:c>
      <x:c r="F80" s="9" t="str">
        <x:v>blue block → 2–8 cm edge gap behind red block; centroid direction within ±45°.</x:v>
      </x:c>
      <x:c r="G80" s="9" t="str">
        <x:v>placed the pink marker to the front right of the blue block</x:v>
      </x:c>
      <x:c r="H80" s="9" t="str">
        <x:v>In-distribution concept baseline</x:v>
      </x:c>
      <x:c r="I80" s="9" t="str">
        <x:v>RP-ID-CF05</x:v>
      </x:c>
      <x:c r="J80" s="9" t="str">
        <x:v>Four-prompt trained-cell mixed-axis counterfactual with all four target identities</x:v>
      </x:c>
      <x:c r="K80" s="9" t="n">
        <x:v>16</x:v>
      </x:c>
      <x:c r="L80" s="9" t="str">
        <x:v>367</x:v>
      </x:c>
      <x:c r="M80" s="9"/>
      <x:c r="N80" s="9"/>
      <x:c r="O80" s="9" t="str">
        <x:v>Reset the moved object to its marked pose; preserve the exact scene and change only the instruction.</x:v>
      </x:c>
      <x:c r="P80" s="9" t="str">
        <x:v>Exact explicitly trained ordered relation-object cell from training episode 367. The four adjacent prompts share one initially unsatisfied scene.</x:v>
      </x:c>
      <x:c r="Q80" s="9"/>
      <x:c r="R80" s="10" t="n">
        <x:v>4</x:v>
      </x:c>
      <x:c r="S80" s="10"/>
      <x:c r="T80" s="9"/>
      <x:c r="U80" s="9"/>
      <x:c r="V80" s="9"/>
      <x:c r="W80" s="9"/>
      <x:c r="X80" s="10"/>
      <x:c r="Y80" s="10"/>
      <x:c r="Z80" s="9"/>
      <x:c r="AA80" s="9"/>
      <x:c r="AB80" s="9"/>
      <x:c r="AC80" s="9" t="str">
        <x:v>behind</x:v>
      </x:c>
      <x:c r="AD80" s="9" t="str">
        <x:v>blue block</x:v>
      </x:c>
      <x:c r="AE80" s="9" t="str">
        <x:v>red block</x:v>
      </x:c>
      <x:c r="AF80" s="9" t="str">
        <x:v>None</x:v>
      </x:c>
      <x:c r="AG80" s="9"/>
      <x:c r="AH80" s="9"/>
      <x:c r="AI80" s="11"/>
      <x:c r="AJ80" s="9"/>
      <x:c r="AK80" s="9" t="str">
        <x:v>Eval_Relational_Placement (1).xlsm</x:v>
      </x:c>
      <x:c r="AL80" s="9" t="str">
        <x:v>GR00T</x:v>
      </x:c>
      <x:c r="AM80" s="9" t="n">
        <x:v>21</x:v>
      </x:c>
      <x:c r="AN80" s="9" t="n">
        <x:v>21</x:v>
      </x:c>
    </x:row>
    <x:row r="81">
      <x:c r="A81" s="9" t="str">
        <x:v>Success</x:v>
      </x:c>
      <x:c r="B81" s="9" t="str">
        <x:v>Referential Disambiguation</x:v>
      </x:c>
      <x:c r="C81" s="10" t="n">
        <x:v>0</x:v>
      </x:c>
      <x:c r="D81" s="9" t="str">
        <x:v>Move the crushed soda can lying between the green pencil sharpener and the green pen into the bowl.</x:v>
      </x:c>
      <x:c r="E81" s="9" t="str">
        <x:v>crushed Coke can; crushed Pepsi can; green pencil sharpener; green pen</x:v>
      </x:c>
      <x:c r="F81" s="9" t="str">
        <x:v>crushed Coke can</x:v>
      </x:c>
      <x:c r="G81" s="9"/>
      <x:c r="H81" s="9" t="str">
        <x:v>In-distribution concept baseline</x:v>
      </x:c>
      <x:c r="I81" s="9" t="str">
        <x:v>RD-ID01</x:v>
      </x:c>
      <x:c r="J81" s="9" t="str">
        <x:v>Exact training-supported relation × candidate-category baseline</x:v>
      </x:c>
      <x:c r="K81" s="9"/>
      <x:c r="L81" s="9" t="str">
        <x:v>430</x:v>
      </x:c>
      <x:c r="M81" s="9" t="str">
        <x:v>Exact manifest cell: prompt, relation × candidate-category combination, target identity, and object membership are explicitly represented in training; physical positions are manually recreated with a clear margin.</x:v>
      </x:c>
      <x:c r="N81" s="9" t="n">
        <x:v>1</x:v>
      </x:c>
      <x:c r="O81" s="9" t="str">
        <x:v>Place the 4 listed objects. Arrange Expected Target as the unique answer to the prompt; keep the bowl empty.</x:v>
      </x:c>
      <x:c r="P81" s="9" t="str">
        <x:v>The relation, candidate category, target identity, and object membership occur together in the cited training episode.</x:v>
      </x:c>
      <x:c r="Q81" s="9"/>
      <x:c r="R81" s="10" t="n">
        <x:v>4</x:v>
      </x:c>
      <x:c r="S81" s="10" t="n">
        <x:v>1</x:v>
      </x:c>
      <x:c r="T81" s="9" t="str">
        <x:v>Empty</x:v>
      </x:c>
      <x:c r="U81" s="9"/>
      <x:c r="V81" s="9"/>
      <x:c r="W81" s="9"/>
      <x:c r="X81" s="10"/>
      <x:c r="Y81" s="10"/>
      <x:c r="Z81" s="9"/>
      <x:c r="AA81" s="9"/>
      <x:c r="AB81" s="9" t="str">
        <x:v>between</x:v>
      </x:c>
      <x:c r="AC81" s="9"/>
      <x:c r="AD81" s="9"/>
      <x:c r="AE81" s="9"/>
      <x:c r="AF81" s="9"/>
      <x:c r="AG81" s="9" t="str">
        <x:v>crushed soda can</x:v>
      </x:c>
      <x:c r="AH81" s="9"/>
      <x:c r="AI81" s="11"/>
      <x:c r="AJ81" s="9"/>
      <x:c r="AK81" s="9" t="str">
        <x:v>Eval_Referential_Disambiguation.xlsm</x:v>
      </x:c>
      <x:c r="AL81" s="9" t="str">
        <x:v>GR00T Results</x:v>
      </x:c>
      <x:c r="AM81" s="9" t="n">
        <x:v>2</x:v>
      </x:c>
      <x:c r="AN81" s="9" t="n">
        <x:v>2</x:v>
      </x:c>
    </x:row>
    <x:row r="82">
      <x:c r="A82" s="9" t="str">
        <x:v>Failure</x:v>
      </x:c>
      <x:c r="B82" s="9" t="str">
        <x:v>Referential Disambiguation</x:v>
      </x:c>
      <x:c r="C82" s="10" t="n">
        <x:v>1</x:v>
      </x:c>
      <x:c r="D82" s="9" t="str">
        <x:v>Pick up the crushed soda can positioned between the airplane toy with propellers and the green pen, then place it in the bowl.</x:v>
      </x:c>
      <x:c r="E82" s="9" t="str">
        <x:v>crushed Coke can; crushed Pepsi can; airplane toy with propellers; green pen; green pencil sharpener</x:v>
      </x:c>
      <x:c r="F82" s="9" t="str">
        <x:v>crushed Coke can</x:v>
      </x:c>
      <x:c r="G82" s="9" t="str">
        <x:v>picked coke can</x:v>
      </x:c>
      <x:c r="H82" s="9" t="str">
        <x:v>In-distribution concept baseline</x:v>
      </x:c>
      <x:c r="I82" s="9" t="str">
        <x:v>RD-ID02</x:v>
      </x:c>
      <x:c r="J82" s="9" t="str">
        <x:v>Exact training-supported relation × candidate-category baseline</x:v>
      </x:c>
      <x:c r="K82" s="9"/>
      <x:c r="L82" s="9" t="str">
        <x:v>432</x:v>
      </x:c>
      <x:c r="M82" s="9" t="str">
        <x:v>Exact manifest cell: prompt, relation × candidate-category combination, target identity, and object membership are explicitly represented in training; physical positions are manually recreated with a clear margin.</x:v>
      </x:c>
      <x:c r="N82" s="9" t="n">
        <x:v>1</x:v>
      </x:c>
      <x:c r="O82" s="9" t="str">
        <x:v>Place the 5 listed objects. Arrange Expected Target as the unique answer to the prompt; keep the bowl empty.</x:v>
      </x:c>
      <x:c r="P82" s="9" t="str">
        <x:v>The relation, candidate category, target identity, and object membership occur together in the cited training episode.</x:v>
      </x:c>
      <x:c r="Q82" s="9"/>
      <x:c r="R82" s="10" t="n">
        <x:v>5</x:v>
      </x:c>
      <x:c r="S82" s="10" t="n">
        <x:v>1</x:v>
      </x:c>
      <x:c r="T82" s="9" t="str">
        <x:v>Empty</x:v>
      </x:c>
      <x:c r="U82" s="9"/>
      <x:c r="V82" s="9"/>
      <x:c r="W82" s="9"/>
      <x:c r="X82" s="10"/>
      <x:c r="Y82" s="10"/>
      <x:c r="Z82" s="9"/>
      <x:c r="AA82" s="9"/>
      <x:c r="AB82" s="9" t="str">
        <x:v>between</x:v>
      </x:c>
      <x:c r="AC82" s="9"/>
      <x:c r="AD82" s="9"/>
      <x:c r="AE82" s="9"/>
      <x:c r="AF82" s="9"/>
      <x:c r="AG82" s="9" t="str">
        <x:v>crushed soda can</x:v>
      </x:c>
      <x:c r="AH82" s="9"/>
      <x:c r="AI82" s="11"/>
      <x:c r="AJ82" s="9"/>
      <x:c r="AK82" s="9" t="str">
        <x:v>Eval_Referential_Disambiguation.xlsm</x:v>
      </x:c>
      <x:c r="AL82" s="9" t="str">
        <x:v>GR00T Results</x:v>
      </x:c>
      <x:c r="AM82" s="9" t="n">
        <x:v>3</x:v>
      </x:c>
      <x:c r="AN82" s="9" t="n">
        <x:v>3</x:v>
      </x:c>
    </x:row>
    <x:row r="83">
      <x:c r="A83" s="9" t="str">
        <x:v>Failure</x:v>
      </x:c>
      <x:c r="B83" s="9" t="str">
        <x:v>Referential Disambiguation</x:v>
      </x:c>
      <x:c r="C83" s="10" t="n">
        <x:v>2</x:v>
      </x:c>
      <x:c r="D83" s="9" t="str">
        <x:v>Pick up the crushed soda can positioned between the airplane toy with propellers and the green pencil sharpener, then place it in the bowl.</x:v>
      </x:c>
      <x:c r="E83" s="9" t="str">
        <x:v>crushed Coke can; crushed Pepsi can; airplane toy with propellers; green pencil sharpener</x:v>
      </x:c>
      <x:c r="F83" s="9" t="str">
        <x:v>crushed Coke can</x:v>
      </x:c>
      <x:c r="G83" s="9" t="str">
        <x:v>picked pepsi can</x:v>
      </x:c>
      <x:c r="H83" s="9" t="str">
        <x:v>In-distribution concept baseline</x:v>
      </x:c>
      <x:c r="I83" s="9" t="str">
        <x:v>RD-ID03</x:v>
      </x:c>
      <x:c r="J83" s="9" t="str">
        <x:v>Exact training-supported relation × candidate-category baseline</x:v>
      </x:c>
      <x:c r="K83" s="9"/>
      <x:c r="L83" s="9" t="str">
        <x:v>431</x:v>
      </x:c>
      <x:c r="M83" s="9" t="str">
        <x:v>Exact manifest cell: prompt, relation × candidate-category combination, target identity, and object membership are explicitly represented in training; physical positions are manually recreated with a clear margin.</x:v>
      </x:c>
      <x:c r="N83" s="9" t="n">
        <x:v>1</x:v>
      </x:c>
      <x:c r="O83" s="9" t="str">
        <x:v>Place the 4 listed objects. Arrange Expected Target as the unique answer to the prompt; keep the bowl empty.</x:v>
      </x:c>
      <x:c r="P83" s="9" t="str">
        <x:v>The relation, candidate category, target identity, and object membership occur together in the cited training episode.</x:v>
      </x:c>
      <x:c r="Q83" s="9"/>
      <x:c r="R83" s="10" t="n">
        <x:v>4</x:v>
      </x:c>
      <x:c r="S83" s="10" t="n">
        <x:v>1</x:v>
      </x:c>
      <x:c r="T83" s="9" t="str">
        <x:v>Empty</x:v>
      </x:c>
      <x:c r="U83" s="9"/>
      <x:c r="V83" s="9"/>
      <x:c r="W83" s="9"/>
      <x:c r="X83" s="10"/>
      <x:c r="Y83" s="10"/>
      <x:c r="Z83" s="9"/>
      <x:c r="AA83" s="9"/>
      <x:c r="AB83" s="9" t="str">
        <x:v>between</x:v>
      </x:c>
      <x:c r="AC83" s="9"/>
      <x:c r="AD83" s="9"/>
      <x:c r="AE83" s="9"/>
      <x:c r="AF83" s="9"/>
      <x:c r="AG83" s="9" t="str">
        <x:v>crushed soda can</x:v>
      </x:c>
      <x:c r="AH83" s="9"/>
      <x:c r="AI83" s="11"/>
      <x:c r="AJ83" s="9"/>
      <x:c r="AK83" s="9" t="str">
        <x:v>Eval_Referential_Disambiguation.xlsm</x:v>
      </x:c>
      <x:c r="AL83" s="9" t="str">
        <x:v>GR00T Results</x:v>
      </x:c>
      <x:c r="AM83" s="9" t="n">
        <x:v>4</x:v>
      </x:c>
      <x:c r="AN83" s="9" t="n">
        <x:v>4</x:v>
      </x:c>
    </x:row>
    <x:row r="84">
      <x:c r="A84" s="9" t="str">
        <x:v>Failure</x:v>
      </x:c>
      <x:c r="B84" s="9" t="str">
        <x:v>Referential Disambiguation</x:v>
      </x:c>
      <x:c r="C84" s="10" t="n">
        <x:v>3</x:v>
      </x:c>
      <x:c r="D84" s="9" t="str">
        <x:v>Pick up the crushed soda can furthest from the green pen and place it in the bowl.</x:v>
      </x:c>
      <x:c r="E84" s="9" t="str">
        <x:v>crushed Coke can; crushed Pepsi can; green pen</x:v>
      </x:c>
      <x:c r="F84" s="9" t="str">
        <x:v>crushed Pepsi can</x:v>
      </x:c>
      <x:c r="G84" s="9" t="str">
        <x:v>picked coke can</x:v>
      </x:c>
      <x:c r="H84" s="9" t="str">
        <x:v>In-distribution concept baseline</x:v>
      </x:c>
      <x:c r="I84" s="9" t="str">
        <x:v>RD-ID04</x:v>
      </x:c>
      <x:c r="J84" s="9" t="str">
        <x:v>Exact training-supported relation × candidate-category baseline</x:v>
      </x:c>
      <x:c r="K84" s="9"/>
      <x:c r="L84" s="9" t="str">
        <x:v>415</x:v>
      </x:c>
      <x:c r="M84" s="9" t="str">
        <x:v>Exact manifest cell: prompt, relation × candidate-category combination, target identity, and object membership are explicitly represented in training; physical positions are manually recreated with a clear margin.</x:v>
      </x:c>
      <x:c r="N84" s="9" t="n">
        <x:v>1</x:v>
      </x:c>
      <x:c r="O84" s="9" t="str">
        <x:v>Place the 3 listed objects. Arrange Expected Target as the unique answer to the prompt; keep the bowl empty.</x:v>
      </x:c>
      <x:c r="P84" s="9" t="str">
        <x:v>The relation, candidate category, target identity, and object membership occur together in the cited training episode.</x:v>
      </x:c>
      <x:c r="Q84" s="9"/>
      <x:c r="R84" s="10" t="n">
        <x:v>3</x:v>
      </x:c>
      <x:c r="S84" s="10" t="n">
        <x:v>1</x:v>
      </x:c>
      <x:c r="T84" s="9" t="str">
        <x:v>Empty</x:v>
      </x:c>
      <x:c r="U84" s="9"/>
      <x:c r="V84" s="9"/>
      <x:c r="W84" s="9"/>
      <x:c r="X84" s="10"/>
      <x:c r="Y84" s="10"/>
      <x:c r="Z84" s="9"/>
      <x:c r="AA84" s="9"/>
      <x:c r="AB84" s="9" t="str">
        <x:v>furthest</x:v>
      </x:c>
      <x:c r="AC84" s="9"/>
      <x:c r="AD84" s="9"/>
      <x:c r="AE84" s="9"/>
      <x:c r="AF84" s="9"/>
      <x:c r="AG84" s="9" t="str">
        <x:v>crushed soda can</x:v>
      </x:c>
      <x:c r="AH84" s="9"/>
      <x:c r="AI84" s="11"/>
      <x:c r="AJ84" s="9"/>
      <x:c r="AK84" s="9" t="str">
        <x:v>Eval_Referential_Disambiguation.xlsm</x:v>
      </x:c>
      <x:c r="AL84" s="9" t="str">
        <x:v>GR00T Results</x:v>
      </x:c>
      <x:c r="AM84" s="9" t="n">
        <x:v>5</x:v>
      </x:c>
      <x:c r="AN84" s="9" t="n">
        <x:v>5</x:v>
      </x:c>
    </x:row>
    <x:row r="85">
      <x:c r="A85" s="9" t="str">
        <x:v>Success</x:v>
      </x:c>
      <x:c r="B85" s="9" t="str">
        <x:v>Referential Disambiguation</x:v>
      </x:c>
      <x:c r="C85" s="10" t="n">
        <x:v>4</x:v>
      </x:c>
      <x:c r="D85" s="9" t="str">
        <x:v>Pick up the crushed soda can furthest from the yellow pen and place it in the bowl.</x:v>
      </x:c>
      <x:c r="E85" s="9" t="str">
        <x:v>crushed Coke can; crushed Pepsi can; yellow pen; airplane toy with propellers</x:v>
      </x:c>
      <x:c r="F85" s="9" t="str">
        <x:v>crushed Coke can</x:v>
      </x:c>
      <x:c r="G85" s="9"/>
      <x:c r="H85" s="9" t="str">
        <x:v>In-distribution concept baseline</x:v>
      </x:c>
      <x:c r="I85" s="9" t="str">
        <x:v>RD-ID05</x:v>
      </x:c>
      <x:c r="J85" s="9" t="str">
        <x:v>Exact training-supported relation × candidate-category baseline</x:v>
      </x:c>
      <x:c r="K85" s="9"/>
      <x:c r="L85" s="9" t="str">
        <x:v>416</x:v>
      </x:c>
      <x:c r="M85" s="9" t="str">
        <x:v>Exact manifest cell: prompt, relation × candidate-category combination, target identity, and object membership are explicitly represented in training; physical positions are manually recreated with a clear margin.</x:v>
      </x:c>
      <x:c r="N85" s="9" t="n">
        <x:v>1</x:v>
      </x:c>
      <x:c r="O85" s="9" t="str">
        <x:v>Place the 4 listed objects. Arrange Expected Target as the unique answer to the prompt; keep the bowl empty.</x:v>
      </x:c>
      <x:c r="P85" s="9" t="str">
        <x:v>The relation, candidate category, target identity, and object membership occur together in the cited training episode.</x:v>
      </x:c>
      <x:c r="Q85" s="9"/>
      <x:c r="R85" s="10" t="n">
        <x:v>4</x:v>
      </x:c>
      <x:c r="S85" s="10" t="n">
        <x:v>1</x:v>
      </x:c>
      <x:c r="T85" s="9" t="str">
        <x:v>Empty</x:v>
      </x:c>
      <x:c r="U85" s="9"/>
      <x:c r="V85" s="9"/>
      <x:c r="W85" s="9"/>
      <x:c r="X85" s="10"/>
      <x:c r="Y85" s="10"/>
      <x:c r="Z85" s="9"/>
      <x:c r="AA85" s="9"/>
      <x:c r="AB85" s="9" t="str">
        <x:v>furthest</x:v>
      </x:c>
      <x:c r="AC85" s="9"/>
      <x:c r="AD85" s="9"/>
      <x:c r="AE85" s="9"/>
      <x:c r="AF85" s="9"/>
      <x:c r="AG85" s="9" t="str">
        <x:v>crushed soda can</x:v>
      </x:c>
      <x:c r="AH85" s="9"/>
      <x:c r="AI85" s="11"/>
      <x:c r="AJ85" s="9"/>
      <x:c r="AK85" s="9" t="str">
        <x:v>Eval_Referential_Disambiguation.xlsm</x:v>
      </x:c>
      <x:c r="AL85" s="9" t="str">
        <x:v>GR00T Results</x:v>
      </x:c>
      <x:c r="AM85" s="9" t="n">
        <x:v>6</x:v>
      </x:c>
      <x:c r="AN85" s="9" t="n">
        <x:v>6</x:v>
      </x:c>
    </x:row>
    <x:row r="86">
      <x:c r="A86" s="9" t="str">
        <x:v>Failure</x:v>
      </x:c>
      <x:c r="B86" s="9" t="str">
        <x:v>Referential Disambiguation</x:v>
      </x:c>
      <x:c r="C86" s="10" t="n">
        <x:v>5</x:v>
      </x:c>
      <x:c r="D86" s="9" t="str">
        <x:v>Pick up the pencil sharpener nearest to the crushed Coke can and place it in the bowl.</x:v>
      </x:c>
      <x:c r="E86" s="9" t="str">
        <x:v>green pencil sharpener; red pencil sharpener; crushed Coke can</x:v>
      </x:c>
      <x:c r="F86" s="9" t="str">
        <x:v>green pencil sharpener</x:v>
      </x:c>
      <x:c r="G86" s="9" t="str">
        <x:v>tried to pick the crushed coke can, but knocked it over.</x:v>
      </x:c>
      <x:c r="H86" s="9" t="str">
        <x:v>In-distribution concept baseline</x:v>
      </x:c>
      <x:c r="I86" s="9" t="str">
        <x:v>RD-ID06</x:v>
      </x:c>
      <x:c r="J86" s="9" t="str">
        <x:v>Exact training-supported relation × candidate-category baseline</x:v>
      </x:c>
      <x:c r="K86" s="9"/>
      <x:c r="L86" s="9" t="str">
        <x:v>450</x:v>
      </x:c>
      <x:c r="M86" s="9" t="str">
        <x:v>Exact manifest cell: prompt, relation × candidate-category combination, target identity, and object membership are explicitly represented in training; physical positions are manually recreated with a clear margin.</x:v>
      </x:c>
      <x:c r="N86" s="9" t="n">
        <x:v>1</x:v>
      </x:c>
      <x:c r="O86" s="9" t="str">
        <x:v>Place the 3 listed objects. Arrange Expected Target as the unique answer to the prompt; keep the bowl empty.</x:v>
      </x:c>
      <x:c r="P86" s="9" t="str">
        <x:v>The relation, candidate category, target identity, and object membership occur together in the cited training episode.</x:v>
      </x:c>
      <x:c r="Q86" s="9"/>
      <x:c r="R86" s="10" t="n">
        <x:v>3</x:v>
      </x:c>
      <x:c r="S86" s="10" t="n">
        <x:v>1</x:v>
      </x:c>
      <x:c r="T86" s="9" t="str">
        <x:v>Empty</x:v>
      </x:c>
      <x:c r="U86" s="9"/>
      <x:c r="V86" s="9"/>
      <x:c r="W86" s="9"/>
      <x:c r="X86" s="10"/>
      <x:c r="Y86" s="10"/>
      <x:c r="Z86" s="9"/>
      <x:c r="AA86" s="9"/>
      <x:c r="AB86" s="9" t="str">
        <x:v>closest</x:v>
      </x:c>
      <x:c r="AC86" s="9"/>
      <x:c r="AD86" s="9"/>
      <x:c r="AE86" s="9"/>
      <x:c r="AF86" s="9"/>
      <x:c r="AG86" s="9" t="str">
        <x:v>pencil sharpener</x:v>
      </x:c>
      <x:c r="AH86" s="9"/>
      <x:c r="AI86" s="11"/>
      <x:c r="AJ86" s="9"/>
      <x:c r="AK86" s="9" t="str">
        <x:v>Eval_Referential_Disambiguation.xlsm</x:v>
      </x:c>
      <x:c r="AL86" s="9" t="str">
        <x:v>GR00T Results</x:v>
      </x:c>
      <x:c r="AM86" s="9" t="n">
        <x:v>7</x:v>
      </x:c>
      <x:c r="AN86" s="9" t="n">
        <x:v>7</x:v>
      </x:c>
    </x:row>
    <x:row r="87">
      <x:c r="A87" s="9" t="str">
        <x:v>Failure</x:v>
      </x:c>
      <x:c r="B87" s="9" t="str">
        <x:v>Referential Disambiguation</x:v>
      </x:c>
      <x:c r="C87" s="10" t="n">
        <x:v>6</x:v>
      </x:c>
      <x:c r="D87" s="9" t="str">
        <x:v>Move the pencil sharpener that is closest to the crushed Pepsi can into the bowl.</x:v>
      </x:c>
      <x:c r="E87" s="9" t="str">
        <x:v>green pencil sharpener; red pencil sharpener; crushed Pepsi can; airplane toy with propellers</x:v>
      </x:c>
      <x:c r="F87" s="9" t="str">
        <x:v>red pencil sharpener</x:v>
      </x:c>
      <x:c r="G87" s="9" t="str">
        <x:v>went for the pepsi can, but couldn't grasp it</x:v>
      </x:c>
      <x:c r="H87" s="9" t="str">
        <x:v>In-distribution concept baseline</x:v>
      </x:c>
      <x:c r="I87" s="9" t="str">
        <x:v>RD-ID07</x:v>
      </x:c>
      <x:c r="J87" s="9" t="str">
        <x:v>Exact training-supported relation × candidate-category baseline</x:v>
      </x:c>
      <x:c r="K87" s="9"/>
      <x:c r="L87" s="9" t="str">
        <x:v>451</x:v>
      </x:c>
      <x:c r="M87" s="9" t="str">
        <x:v>Exact manifest cell: prompt, relation × candidate-category combination, target identity, and object membership are explicitly represented in training; physical positions are manually recreated with a clear margin.</x:v>
      </x:c>
      <x:c r="N87" s="9" t="n">
        <x:v>1</x:v>
      </x:c>
      <x:c r="O87" s="9" t="str">
        <x:v>Place the 4 listed objects. Arrange Expected Target as the unique answer to the prompt; keep the bowl empty.</x:v>
      </x:c>
      <x:c r="P87" s="9" t="str">
        <x:v>The relation, candidate category, target identity, and object membership occur together in the cited training episode.</x:v>
      </x:c>
      <x:c r="Q87" s="9"/>
      <x:c r="R87" s="10" t="n">
        <x:v>4</x:v>
      </x:c>
      <x:c r="S87" s="10" t="n">
        <x:v>1</x:v>
      </x:c>
      <x:c r="T87" s="9" t="str">
        <x:v>Empty</x:v>
      </x:c>
      <x:c r="U87" s="9"/>
      <x:c r="V87" s="9"/>
      <x:c r="W87" s="9"/>
      <x:c r="X87" s="10"/>
      <x:c r="Y87" s="10"/>
      <x:c r="Z87" s="9"/>
      <x:c r="AA87" s="9"/>
      <x:c r="AB87" s="9" t="str">
        <x:v>closest</x:v>
      </x:c>
      <x:c r="AC87" s="9"/>
      <x:c r="AD87" s="9"/>
      <x:c r="AE87" s="9"/>
      <x:c r="AF87" s="9"/>
      <x:c r="AG87" s="9" t="str">
        <x:v>pencil sharpener</x:v>
      </x:c>
      <x:c r="AH87" s="9"/>
      <x:c r="AI87" s="11"/>
      <x:c r="AJ87" s="9"/>
      <x:c r="AK87" s="9" t="str">
        <x:v>Eval_Referential_Disambiguation.xlsm</x:v>
      </x:c>
      <x:c r="AL87" s="9" t="str">
        <x:v>GR00T Results</x:v>
      </x:c>
      <x:c r="AM87" s="9" t="n">
        <x:v>8</x:v>
      </x:c>
      <x:c r="AN87" s="9" t="n">
        <x:v>8</x:v>
      </x:c>
    </x:row>
    <x:row r="88">
      <x:c r="A88" s="9" t="str">
        <x:v>Success</x:v>
      </x:c>
      <x:c r="B88" s="9" t="str">
        <x:v>Referential Disambiguation</x:v>
      </x:c>
      <x:c r="C88" s="10" t="n">
        <x:v>7</x:v>
      </x:c>
      <x:c r="D88" s="9" t="str">
        <x:v>Move the pencil sharpener that is closest to the green pen into the bowl.</x:v>
      </x:c>
      <x:c r="E88" s="9" t="str">
        <x:v>green pencil sharpener; red pencil sharpener; green pen</x:v>
      </x:c>
      <x:c r="F88" s="9" t="str">
        <x:v>green pencil sharpener</x:v>
      </x:c>
      <x:c r="G88" s="9"/>
      <x:c r="H88" s="9" t="str">
        <x:v>In-distribution concept baseline</x:v>
      </x:c>
      <x:c r="I88" s="9" t="str">
        <x:v>RD-ID08</x:v>
      </x:c>
      <x:c r="J88" s="9" t="str">
        <x:v>Exact training-supported relation × candidate-category baseline</x:v>
      </x:c>
      <x:c r="K88" s="9"/>
      <x:c r="L88" s="9" t="str">
        <x:v>452</x:v>
      </x:c>
      <x:c r="M88" s="9" t="str">
        <x:v>Exact manifest cell: prompt, relation × candidate-category combination, target identity, and object membership are explicitly represented in training; physical positions are manually recreated with a clear margin.</x:v>
      </x:c>
      <x:c r="N88" s="9" t="n">
        <x:v>1</x:v>
      </x:c>
      <x:c r="O88" s="9" t="str">
        <x:v>Place the 3 listed objects. Arrange Expected Target as the unique answer to the prompt; keep the bowl empty.</x:v>
      </x:c>
      <x:c r="P88" s="9" t="str">
        <x:v>The relation, candidate category, target identity, and object membership occur together in the cited training episode.</x:v>
      </x:c>
      <x:c r="Q88" s="9"/>
      <x:c r="R88" s="10" t="n">
        <x:v>3</x:v>
      </x:c>
      <x:c r="S88" s="10" t="n">
        <x:v>1</x:v>
      </x:c>
      <x:c r="T88" s="9" t="str">
        <x:v>Empty</x:v>
      </x:c>
      <x:c r="U88" s="9"/>
      <x:c r="V88" s="9"/>
      <x:c r="W88" s="9"/>
      <x:c r="X88" s="10"/>
      <x:c r="Y88" s="10"/>
      <x:c r="Z88" s="9"/>
      <x:c r="AA88" s="9"/>
      <x:c r="AB88" s="9" t="str">
        <x:v>closest</x:v>
      </x:c>
      <x:c r="AC88" s="9"/>
      <x:c r="AD88" s="9"/>
      <x:c r="AE88" s="9"/>
      <x:c r="AF88" s="9"/>
      <x:c r="AG88" s="9" t="str">
        <x:v>pencil sharpener</x:v>
      </x:c>
      <x:c r="AH88" s="9"/>
      <x:c r="AI88" s="11"/>
      <x:c r="AJ88" s="9"/>
      <x:c r="AK88" s="9" t="str">
        <x:v>Eval_Referential_Disambiguation.xlsm</x:v>
      </x:c>
      <x:c r="AL88" s="9" t="str">
        <x:v>GR00T Results</x:v>
      </x:c>
      <x:c r="AM88" s="9" t="n">
        <x:v>9</x:v>
      </x:c>
      <x:c r="AN88" s="9" t="n">
        <x:v>9</x:v>
      </x:c>
    </x:row>
    <x:row r="89">
      <x:c r="A89" s="9" t="str">
        <x:v>Failure</x:v>
      </x:c>
      <x:c r="B89" s="9" t="str">
        <x:v>Referential Disambiguation</x:v>
      </x:c>
      <x:c r="C89" s="10" t="n">
        <x:v>8</x:v>
      </x:c>
      <x:c r="D89" s="9" t="str">
        <x:v>Pick up the pencil sharpener furthest from the yellow pen and place it in the bowl.</x:v>
      </x:c>
      <x:c r="E89" s="9" t="str">
        <x:v>green pencil sharpener; red pencil sharpener; yellow pen; airplane toy without propellers</x:v>
      </x:c>
      <x:c r="F89" s="9" t="str">
        <x:v>green pencil sharpener</x:v>
      </x:c>
      <x:c r="G89" s="9" t="str">
        <x:v>picked the yellow pen</x:v>
      </x:c>
      <x:c r="H89" s="9" t="str">
        <x:v>In-distribution concept baseline</x:v>
      </x:c>
      <x:c r="I89" s="9" t="str">
        <x:v>RD-ID09</x:v>
      </x:c>
      <x:c r="J89" s="9" t="str">
        <x:v>Exact training-supported relation × candidate-category baseline</x:v>
      </x:c>
      <x:c r="K89" s="9"/>
      <x:c r="L89" s="9" t="str">
        <x:v>466</x:v>
      </x:c>
      <x:c r="M89" s="9" t="str">
        <x:v>Exact manifest cell: prompt, relation × candidate-category combination, target identity, and object membership are explicitly represented in training; physical positions are manually recreated with a clear margin.</x:v>
      </x:c>
      <x:c r="N89" s="9" t="n">
        <x:v>1</x:v>
      </x:c>
      <x:c r="O89" s="9" t="str">
        <x:v>Place the 4 listed objects. Arrange Expected Target as the unique answer to the prompt; keep the bowl empty.</x:v>
      </x:c>
      <x:c r="P89" s="9" t="str">
        <x:v>The relation, candidate category, target identity, and object membership occur together in the cited training episode.</x:v>
      </x:c>
      <x:c r="Q89" s="9"/>
      <x:c r="R89" s="10" t="n">
        <x:v>4</x:v>
      </x:c>
      <x:c r="S89" s="10" t="n">
        <x:v>1</x:v>
      </x:c>
      <x:c r="T89" s="9" t="str">
        <x:v>Empty</x:v>
      </x:c>
      <x:c r="U89" s="9"/>
      <x:c r="V89" s="9"/>
      <x:c r="W89" s="9"/>
      <x:c r="X89" s="10"/>
      <x:c r="Y89" s="10"/>
      <x:c r="Z89" s="9"/>
      <x:c r="AA89" s="9"/>
      <x:c r="AB89" s="9" t="str">
        <x:v>furthest</x:v>
      </x:c>
      <x:c r="AC89" s="9"/>
      <x:c r="AD89" s="9"/>
      <x:c r="AE89" s="9"/>
      <x:c r="AF89" s="9"/>
      <x:c r="AG89" s="9" t="str">
        <x:v>pencil sharpener</x:v>
      </x:c>
      <x:c r="AH89" s="9"/>
      <x:c r="AI89" s="11"/>
      <x:c r="AJ89" s="9"/>
      <x:c r="AK89" s="9" t="str">
        <x:v>Eval_Referential_Disambiguation.xlsm</x:v>
      </x:c>
      <x:c r="AL89" s="9" t="str">
        <x:v>GR00T Results</x:v>
      </x:c>
      <x:c r="AM89" s="9" t="n">
        <x:v>10</x:v>
      </x:c>
      <x:c r="AN89" s="9" t="n">
        <x:v>10</x:v>
      </x:c>
    </x:row>
    <x:row r="90">
      <x:c r="A90" s="9" t="str">
        <x:v>Failure</x:v>
      </x:c>
      <x:c r="B90" s="9" t="str">
        <x:v>Referential Disambiguation</x:v>
      </x:c>
      <x:c r="C90" s="10" t="n">
        <x:v>9</x:v>
      </x:c>
      <x:c r="D90" s="9" t="str">
        <x:v>Pick up the pencil sharpener furthest from the green pen and place it in the bowl.</x:v>
      </x:c>
      <x:c r="E90" s="9" t="str">
        <x:v>green pencil sharpener; red pencil sharpener; green pen</x:v>
      </x:c>
      <x:c r="F90" s="9" t="str">
        <x:v>red pencil sharpener</x:v>
      </x:c>
      <x:c r="G90" s="9" t="str">
        <x:v>successfully grasped the red pencil sharpener, but then dropped it. After, went for green pen, but couldn't grasp it.</x:v>
      </x:c>
      <x:c r="H90" s="9" t="str">
        <x:v>In-distribution concept baseline</x:v>
      </x:c>
      <x:c r="I90" s="9" t="str">
        <x:v>RD-ID10</x:v>
      </x:c>
      <x:c r="J90" s="9" t="str">
        <x:v>Exact training-supported relation × candidate-category baseline</x:v>
      </x:c>
      <x:c r="K90" s="9"/>
      <x:c r="L90" s="9" t="str">
        <x:v>465</x:v>
      </x:c>
      <x:c r="M90" s="9" t="str">
        <x:v>Exact manifest cell: prompt, relation × candidate-category combination, target identity, and object membership are explicitly represented in training; physical positions are manually recreated with a clear margin.</x:v>
      </x:c>
      <x:c r="N90" s="9" t="n">
        <x:v>1</x:v>
      </x:c>
      <x:c r="O90" s="9" t="str">
        <x:v>Place the 3 listed objects. Arrange Expected Target as the unique answer to the prompt; keep the bowl empty.</x:v>
      </x:c>
      <x:c r="P90" s="9" t="str">
        <x:v>The relation, candidate category, target identity, and object membership occur together in the cited training episode.</x:v>
      </x:c>
      <x:c r="Q90" s="9"/>
      <x:c r="R90" s="10" t="n">
        <x:v>3</x:v>
      </x:c>
      <x:c r="S90" s="10" t="n">
        <x:v>1</x:v>
      </x:c>
      <x:c r="T90" s="9" t="str">
        <x:v>Empty</x:v>
      </x:c>
      <x:c r="U90" s="9"/>
      <x:c r="V90" s="9"/>
      <x:c r="W90" s="9"/>
      <x:c r="X90" s="10"/>
      <x:c r="Y90" s="10"/>
      <x:c r="Z90" s="9"/>
      <x:c r="AA90" s="9"/>
      <x:c r="AB90" s="9" t="str">
        <x:v>furthest</x:v>
      </x:c>
      <x:c r="AC90" s="9"/>
      <x:c r="AD90" s="9"/>
      <x:c r="AE90" s="9"/>
      <x:c r="AF90" s="9"/>
      <x:c r="AG90" s="9" t="str">
        <x:v>pencil sharpener</x:v>
      </x:c>
      <x:c r="AH90" s="9"/>
      <x:c r="AI90" s="11"/>
      <x:c r="AJ90" s="9"/>
      <x:c r="AK90" s="9" t="str">
        <x:v>Eval_Referential_Disambiguation.xlsm</x:v>
      </x:c>
      <x:c r="AL90" s="9" t="str">
        <x:v>GR00T Results</x:v>
      </x:c>
      <x:c r="AM90" s="9" t="n">
        <x:v>11</x:v>
      </x:c>
      <x:c r="AN90" s="9" t="n">
        <x:v>11</x:v>
      </x:c>
    </x:row>
    <x:row r="91">
      <x:c r="A91" s="9" t="str">
        <x:v>Success</x:v>
      </x:c>
      <x:c r="B91" s="9" t="str">
        <x:v>Referential Disambiguation</x:v>
      </x:c>
      <x:c r="C91" s="10" t="n">
        <x:v>10</x:v>
      </x:c>
      <x:c r="D91" s="9" t="str">
        <x:v>Put the airplane toy closest to the green pencil sharpener in the bowl.</x:v>
      </x:c>
      <x:c r="E91" s="9" t="str">
        <x:v>airplane toy with propellers; airplane toy without propellers; green pencil sharpener; red pencil sharpener</x:v>
      </x:c>
      <x:c r="F91" s="9" t="str">
        <x:v>airplane toy with propellers</x:v>
      </x:c>
      <x:c r="G91" s="9"/>
      <x:c r="H91" s="9" t="str">
        <x:v>In-distribution concept baseline</x:v>
      </x:c>
      <x:c r="I91" s="9" t="str">
        <x:v>RD-ID11</x:v>
      </x:c>
      <x:c r="J91" s="9" t="str">
        <x:v>Exact training-supported relation × candidate-category baseline</x:v>
      </x:c>
      <x:c r="K91" s="9"/>
      <x:c r="L91" s="9" t="str">
        <x:v>564</x:v>
      </x:c>
      <x:c r="M91" s="9" t="str">
        <x:v>Exact manifest cell: prompt, relation × candidate-category combination, target identity, and object membership are explicitly represented in training; physical positions are manually recreated with a clear margin.</x:v>
      </x:c>
      <x:c r="N91" s="9" t="n">
        <x:v>1</x:v>
      </x:c>
      <x:c r="O91" s="9" t="str">
        <x:v>Place the 4 listed objects. Arrange Expected Target as the unique answer to the prompt; keep the bowl empty.</x:v>
      </x:c>
      <x:c r="P91" s="9" t="str">
        <x:v>The relation, candidate category, target identity, and object membership occur together in the cited training episode.</x:v>
      </x:c>
      <x:c r="Q91" s="9"/>
      <x:c r="R91" s="10" t="n">
        <x:v>4</x:v>
      </x:c>
      <x:c r="S91" s="10" t="n">
        <x:v>1</x:v>
      </x:c>
      <x:c r="T91" s="9" t="str">
        <x:v>Empty</x:v>
      </x:c>
      <x:c r="U91" s="9"/>
      <x:c r="V91" s="9"/>
      <x:c r="W91" s="9"/>
      <x:c r="X91" s="10"/>
      <x:c r="Y91" s="10"/>
      <x:c r="Z91" s="9"/>
      <x:c r="AA91" s="9"/>
      <x:c r="AB91" s="9" t="str">
        <x:v>closest</x:v>
      </x:c>
      <x:c r="AC91" s="9"/>
      <x:c r="AD91" s="9"/>
      <x:c r="AE91" s="9"/>
      <x:c r="AF91" s="9"/>
      <x:c r="AG91" s="9" t="str">
        <x:v>airplane toy</x:v>
      </x:c>
      <x:c r="AH91" s="9"/>
      <x:c r="AI91" s="11"/>
      <x:c r="AJ91" s="9"/>
      <x:c r="AK91" s="9" t="str">
        <x:v>Eval_Referential_Disambiguation.xlsm</x:v>
      </x:c>
      <x:c r="AL91" s="9" t="str">
        <x:v>GR00T Results</x:v>
      </x:c>
      <x:c r="AM91" s="9" t="n">
        <x:v>12</x:v>
      </x:c>
      <x:c r="AN91" s="9" t="n">
        <x:v>12</x:v>
      </x:c>
    </x:row>
    <x:row r="92">
      <x:c r="A92" s="9" t="str">
        <x:v>Failure</x:v>
      </x:c>
      <x:c r="B92" s="9" t="str">
        <x:v>Referential Disambiguation</x:v>
      </x:c>
      <x:c r="C92" s="10" t="n">
        <x:v>11</x:v>
      </x:c>
      <x:c r="D92" s="9" t="str">
        <x:v>Put the airplane toy closest to the green pen in the bowl.</x:v>
      </x:c>
      <x:c r="E92" s="9" t="str">
        <x:v>airplane toy with propellers; airplane toy without propellers; green pen</x:v>
      </x:c>
      <x:c r="F92" s="9" t="str">
        <x:v>airplane toy with propellers</x:v>
      </x:c>
      <x:c r="G92" s="9" t="str">
        <x:v>picked airplane toy furthest</x:v>
      </x:c>
      <x:c r="H92" s="9" t="str">
        <x:v>In-distribution concept baseline</x:v>
      </x:c>
      <x:c r="I92" s="9" t="str">
        <x:v>RD-ID12</x:v>
      </x:c>
      <x:c r="J92" s="9" t="str">
        <x:v>Exact training-supported relation × candidate-category baseline</x:v>
      </x:c>
      <x:c r="K92" s="9"/>
      <x:c r="L92" s="9" t="str">
        <x:v>550</x:v>
      </x:c>
      <x:c r="M92" s="9" t="str">
        <x:v>Exact manifest cell: prompt, relation × candidate-category combination, target identity, and object membership are explicitly represented in training; physical positions are manually recreated with a clear margin.</x:v>
      </x:c>
      <x:c r="N92" s="9" t="n">
        <x:v>1</x:v>
      </x:c>
      <x:c r="O92" s="9" t="str">
        <x:v>Place the 3 listed objects. Arrange Expected Target as the unique answer to the prompt; keep the bowl empty.</x:v>
      </x:c>
      <x:c r="P92" s="9" t="str">
        <x:v>The relation, candidate category, target identity, and object membership occur together in the cited training episode.</x:v>
      </x:c>
      <x:c r="Q92" s="9"/>
      <x:c r="R92" s="10" t="n">
        <x:v>3</x:v>
      </x:c>
      <x:c r="S92" s="10" t="n">
        <x:v>1</x:v>
      </x:c>
      <x:c r="T92" s="9" t="str">
        <x:v>Empty</x:v>
      </x:c>
      <x:c r="U92" s="9"/>
      <x:c r="V92" s="9"/>
      <x:c r="W92" s="9"/>
      <x:c r="X92" s="10"/>
      <x:c r="Y92" s="10"/>
      <x:c r="Z92" s="9"/>
      <x:c r="AA92" s="9"/>
      <x:c r="AB92" s="9" t="str">
        <x:v>closest</x:v>
      </x:c>
      <x:c r="AC92" s="9"/>
      <x:c r="AD92" s="9"/>
      <x:c r="AE92" s="9"/>
      <x:c r="AF92" s="9"/>
      <x:c r="AG92" s="9" t="str">
        <x:v>airplane toy</x:v>
      </x:c>
      <x:c r="AH92" s="9"/>
      <x:c r="AI92" s="11"/>
      <x:c r="AJ92" s="9"/>
      <x:c r="AK92" s="9" t="str">
        <x:v>Eval_Referential_Disambiguation.xlsm</x:v>
      </x:c>
      <x:c r="AL92" s="9" t="str">
        <x:v>GR00T Results</x:v>
      </x:c>
      <x:c r="AM92" s="9" t="n">
        <x:v>13</x:v>
      </x:c>
      <x:c r="AN92" s="9" t="n">
        <x:v>13</x:v>
      </x:c>
    </x:row>
    <x:row r="93">
      <x:c r="A93" s="9" t="str">
        <x:v>Failure</x:v>
      </x:c>
      <x:c r="B93" s="9" t="str">
        <x:v>Referential Disambiguation</x:v>
      </x:c>
      <x:c r="C93" s="10" t="n">
        <x:v>12</x:v>
      </x:c>
      <x:c r="D93" s="9" t="str">
        <x:v>Move the airplane toy lying between the crushed Coke can and the green pencil sharpener into the bowl.</x:v>
      </x:c>
      <x:c r="E93" s="9" t="str">
        <x:v>airplane toy with propellers; airplane toy without propellers; crushed Coke can; green pencil sharpener; red pencil sharpener</x:v>
      </x:c>
      <x:c r="F93" s="9" t="str">
        <x:v>airplane toy with propellers</x:v>
      </x:c>
      <x:c r="G93" s="9" t="str">
        <x:v>picked green pencil sharpener</x:v>
      </x:c>
      <x:c r="H93" s="9" t="str">
        <x:v>In-distribution concept baseline</x:v>
      </x:c>
      <x:c r="I93" s="9" t="str">
        <x:v>RD-ID13</x:v>
      </x:c>
      <x:c r="J93" s="9" t="str">
        <x:v>Exact training-supported relation × candidate-category baseline</x:v>
      </x:c>
      <x:c r="K93" s="9"/>
      <x:c r="L93" s="9" t="str">
        <x:v>587</x:v>
      </x:c>
      <x:c r="M93" s="9" t="str">
        <x:v>Exact manifest cell: prompt, relation × candidate-category combination, target identity, and object membership are explicitly represented in training; physical positions are manually recreated with a clear margin.</x:v>
      </x:c>
      <x:c r="N93" s="9" t="n">
        <x:v>1</x:v>
      </x:c>
      <x:c r="O93" s="9" t="str">
        <x:v>Place the 5 listed objects. Arrange Expected Target as the unique answer to the prompt; keep the bowl empty.</x:v>
      </x:c>
      <x:c r="P93" s="9" t="str">
        <x:v>The relation, candidate category, target identity, and object membership occur together in the cited training episode.</x:v>
      </x:c>
      <x:c r="Q93" s="9"/>
      <x:c r="R93" s="10" t="n">
        <x:v>5</x:v>
      </x:c>
      <x:c r="S93" s="10" t="n">
        <x:v>1</x:v>
      </x:c>
      <x:c r="T93" s="9" t="str">
        <x:v>Empty</x:v>
      </x:c>
      <x:c r="U93" s="9"/>
      <x:c r="V93" s="9"/>
      <x:c r="W93" s="9"/>
      <x:c r="X93" s="10"/>
      <x:c r="Y93" s="10"/>
      <x:c r="Z93" s="9"/>
      <x:c r="AA93" s="9"/>
      <x:c r="AB93" s="9" t="str">
        <x:v>between</x:v>
      </x:c>
      <x:c r="AC93" s="9"/>
      <x:c r="AD93" s="9"/>
      <x:c r="AE93" s="9"/>
      <x:c r="AF93" s="9"/>
      <x:c r="AG93" s="9" t="str">
        <x:v>airplane toy</x:v>
      </x:c>
      <x:c r="AH93" s="9"/>
      <x:c r="AI93" s="11"/>
      <x:c r="AJ93" s="9"/>
      <x:c r="AK93" s="9" t="str">
        <x:v>Eval_Referential_Disambiguation.xlsm</x:v>
      </x:c>
      <x:c r="AL93" s="9" t="str">
        <x:v>GR00T Results</x:v>
      </x:c>
      <x:c r="AM93" s="9" t="n">
        <x:v>14</x:v>
      </x:c>
      <x:c r="AN93" s="9" t="n">
        <x:v>14</x:v>
      </x:c>
    </x:row>
    <x:row r="94">
      <x:c r="A94" s="9" t="str">
        <x:v>Failure</x:v>
      </x:c>
      <x:c r="B94" s="9" t="str">
        <x:v>Referential Disambiguation</x:v>
      </x:c>
      <x:c r="C94" s="10" t="n">
        <x:v>13</x:v>
      </x:c>
      <x:c r="D94" s="9" t="str">
        <x:v>Put the airplane toy between the crushed Coke can and the green pen in the bowl.</x:v>
      </x:c>
      <x:c r="E94" s="9" t="str">
        <x:v>airplane toy with propellers; airplane toy without propellers; crushed Coke can; green pen</x:v>
      </x:c>
      <x:c r="F94" s="9" t="str">
        <x:v>airplane toy without propellers</x:v>
      </x:c>
      <x:c r="G94" s="9" t="str">
        <x:v>picked green pen </x:v>
      </x:c>
      <x:c r="H94" s="9" t="str">
        <x:v>In-distribution concept baseline</x:v>
      </x:c>
      <x:c r="I94" s="9" t="str">
        <x:v>RD-ID14</x:v>
      </x:c>
      <x:c r="J94" s="9" t="str">
        <x:v>Exact training-supported relation × candidate-category baseline</x:v>
      </x:c>
      <x:c r="K94" s="9"/>
      <x:c r="L94" s="9" t="str">
        <x:v>586</x:v>
      </x:c>
      <x:c r="M94" s="9" t="str">
        <x:v>Exact manifest cell: prompt, relation × candidate-category combination, target identity, and object membership are explicitly represented in training; physical positions are manually recreated with a clear margin.</x:v>
      </x:c>
      <x:c r="N94" s="9" t="n">
        <x:v>1</x:v>
      </x:c>
      <x:c r="O94" s="9" t="str">
        <x:v>Place the 4 listed objects. Arrange Expected Target as the unique answer to the prompt; keep the bowl empty.</x:v>
      </x:c>
      <x:c r="P94" s="9" t="str">
        <x:v>The relation, candidate category, target identity, and object membership occur together in the cited training episode.</x:v>
      </x:c>
      <x:c r="Q94" s="9"/>
      <x:c r="R94" s="10" t="n">
        <x:v>4</x:v>
      </x:c>
      <x:c r="S94" s="10" t="n">
        <x:v>1</x:v>
      </x:c>
      <x:c r="T94" s="9" t="str">
        <x:v>Empty</x:v>
      </x:c>
      <x:c r="U94" s="9"/>
      <x:c r="V94" s="9"/>
      <x:c r="W94" s="9"/>
      <x:c r="X94" s="10"/>
      <x:c r="Y94" s="10"/>
      <x:c r="Z94" s="9"/>
      <x:c r="AA94" s="9"/>
      <x:c r="AB94" s="9" t="str">
        <x:v>between</x:v>
      </x:c>
      <x:c r="AC94" s="9"/>
      <x:c r="AD94" s="9"/>
      <x:c r="AE94" s="9"/>
      <x:c r="AF94" s="9"/>
      <x:c r="AG94" s="9" t="str">
        <x:v>airplane toy</x:v>
      </x:c>
      <x:c r="AH94" s="9"/>
      <x:c r="AI94" s="11"/>
      <x:c r="AJ94" s="9"/>
      <x:c r="AK94" s="9" t="str">
        <x:v>Eval_Referential_Disambiguation.xlsm</x:v>
      </x:c>
      <x:c r="AL94" s="9" t="str">
        <x:v>GR00T Results</x:v>
      </x:c>
      <x:c r="AM94" s="9" t="n">
        <x:v>15</x:v>
      </x:c>
      <x:c r="AN94" s="9" t="n">
        <x:v>15</x:v>
      </x:c>
    </x:row>
    <x:row r="95">
      <x:c r="A95" s="9" t="str">
        <x:v>Failure</x:v>
      </x:c>
      <x:c r="B95" s="9" t="str">
        <x:v>Referential Disambiguation</x:v>
      </x:c>
      <x:c r="C95" s="10" t="n">
        <x:v>14</x:v>
      </x:c>
      <x:c r="D95" s="9" t="str">
        <x:v>Pick up the airplane toy positioned between the yellow pen and the crushed Coke can, then place it in the bowl.</x:v>
      </x:c>
      <x:c r="E95" s="9" t="str">
        <x:v>airplane toy with propellers; airplane toy without propellers; yellow pen; crushed Coke can; crushed Pepsi can</x:v>
      </x:c>
      <x:c r="F95" s="9" t="str">
        <x:v>airplane toy with propellers</x:v>
      </x:c>
      <x:c r="G95" s="9" t="str">
        <x:v>picked airplane toy between the pepsi can and yellow pen. Dropped it before placing it in the bowl, and couldn't recover</x:v>
      </x:c>
      <x:c r="H95" s="9" t="str">
        <x:v>In-distribution concept baseline</x:v>
      </x:c>
      <x:c r="I95" s="9" t="str">
        <x:v>RD-ID15</x:v>
      </x:c>
      <x:c r="J95" s="9" t="str">
        <x:v>Exact training-supported relation × candidate-category baseline</x:v>
      </x:c>
      <x:c r="K95" s="9"/>
      <x:c r="L95" s="9" t="str">
        <x:v>589</x:v>
      </x:c>
      <x:c r="M95" s="9" t="str">
        <x:v>Exact manifest cell: prompt, relation × candidate-category combination, target identity, and object membership are explicitly represented in training; physical positions are manually recreated with a clear margin.</x:v>
      </x:c>
      <x:c r="N95" s="9" t="n">
        <x:v>1</x:v>
      </x:c>
      <x:c r="O95" s="9" t="str">
        <x:v>Place the 5 listed objects. Arrange Expected Target as the unique answer to the prompt; keep the bowl empty.</x:v>
      </x:c>
      <x:c r="P95" s="9" t="str">
        <x:v>The relation, candidate category, target identity, and object membership occur together in the cited training episode.</x:v>
      </x:c>
      <x:c r="Q95" s="9"/>
      <x:c r="R95" s="10" t="n">
        <x:v>5</x:v>
      </x:c>
      <x:c r="S95" s="10" t="n">
        <x:v>1</x:v>
      </x:c>
      <x:c r="T95" s="9" t="str">
        <x:v>Empty</x:v>
      </x:c>
      <x:c r="U95" s="9"/>
      <x:c r="V95" s="9"/>
      <x:c r="W95" s="9"/>
      <x:c r="X95" s="10"/>
      <x:c r="Y95" s="10"/>
      <x:c r="Z95" s="9"/>
      <x:c r="AA95" s="9"/>
      <x:c r="AB95" s="9" t="str">
        <x:v>between</x:v>
      </x:c>
      <x:c r="AC95" s="9"/>
      <x:c r="AD95" s="9"/>
      <x:c r="AE95" s="9"/>
      <x:c r="AF95" s="9"/>
      <x:c r="AG95" s="9" t="str">
        <x:v>airplane toy</x:v>
      </x:c>
      <x:c r="AH95" s="9"/>
      <x:c r="AI95" s="11"/>
      <x:c r="AJ95" s="9"/>
      <x:c r="AK95" s="9" t="str">
        <x:v>Eval_Referential_Disambiguation.xlsm</x:v>
      </x:c>
      <x:c r="AL95" s="9" t="str">
        <x:v>GR00T Results</x:v>
      </x:c>
      <x:c r="AM95" s="9" t="n">
        <x:v>16</x:v>
      </x:c>
      <x:c r="AN95" s="9" t="n">
        <x:v>16</x:v>
      </x:c>
    </x:row>
    <x:row r="96">
      <x:c r="A96" s="9" t="str">
        <x:v>Failure</x:v>
      </x:c>
      <x:c r="B96" s="9" t="str">
        <x:v>Referential Disambiguation</x:v>
      </x:c>
      <x:c r="C96" s="10" t="n">
        <x:v>15</x:v>
      </x:c>
      <x:c r="D96" s="9" t="str">
        <x:v>Put the pen closest to the crushed Coke can in the bowl.</x:v>
      </x:c>
      <x:c r="E96" s="9" t="str">
        <x:v>green pen; yellow pen; crushed Coke can; crushed Pepsi can</x:v>
      </x:c>
      <x:c r="F96" s="9" t="str">
        <x:v>green pen</x:v>
      </x:c>
      <x:c r="G96" s="9" t="str">
        <x:v>picked pepsi can</x:v>
      </x:c>
      <x:c r="H96" s="9" t="str">
        <x:v>In-distribution concept baseline</x:v>
      </x:c>
      <x:c r="I96" s="9" t="str">
        <x:v>RD-ID16</x:v>
      </x:c>
      <x:c r="J96" s="9" t="str">
        <x:v>Exact training-supported relation × candidate-category baseline</x:v>
      </x:c>
      <x:c r="K96" s="9"/>
      <x:c r="L96" s="9" t="str">
        <x:v>514</x:v>
      </x:c>
      <x:c r="M96" s="9" t="str">
        <x:v>Exact manifest cell: prompt, relation × candidate-category combination, target identity, and object membership are explicitly represented in training; physical positions are manually recreated with a clear margin.</x:v>
      </x:c>
      <x:c r="N96" s="9" t="n">
        <x:v>1</x:v>
      </x:c>
      <x:c r="O96" s="9" t="str">
        <x:v>Place the 4 listed objects. Arrange Expected Target as the unique answer to the prompt; keep the bowl empty.</x:v>
      </x:c>
      <x:c r="P96" s="9" t="str">
        <x:v>The relation, candidate category, target identity, and object membership occur together in the cited training episode.</x:v>
      </x:c>
      <x:c r="Q96" s="9"/>
      <x:c r="R96" s="10" t="n">
        <x:v>4</x:v>
      </x:c>
      <x:c r="S96" s="10" t="n">
        <x:v>1</x:v>
      </x:c>
      <x:c r="T96" s="9" t="str">
        <x:v>Empty</x:v>
      </x:c>
      <x:c r="U96" s="9"/>
      <x:c r="V96" s="9"/>
      <x:c r="W96" s="9"/>
      <x:c r="X96" s="10"/>
      <x:c r="Y96" s="10"/>
      <x:c r="Z96" s="9"/>
      <x:c r="AA96" s="9"/>
      <x:c r="AB96" s="9" t="str">
        <x:v>closest</x:v>
      </x:c>
      <x:c r="AC96" s="9"/>
      <x:c r="AD96" s="9"/>
      <x:c r="AE96" s="9"/>
      <x:c r="AF96" s="9"/>
      <x:c r="AG96" s="9" t="str">
        <x:v>pen</x:v>
      </x:c>
      <x:c r="AH96" s="9"/>
      <x:c r="AI96" s="11"/>
      <x:c r="AJ96" s="9"/>
      <x:c r="AK96" s="9" t="str">
        <x:v>Eval_Referential_Disambiguation.xlsm</x:v>
      </x:c>
      <x:c r="AL96" s="9" t="str">
        <x:v>GR00T Results</x:v>
      </x:c>
      <x:c r="AM96" s="9" t="n">
        <x:v>17</x:v>
      </x:c>
      <x:c r="AN96" s="9" t="n">
        <x:v>17</x:v>
      </x:c>
    </x:row>
    <x:row r="97">
      <x:c r="A97" s="9" t="str">
        <x:v>Failure</x:v>
      </x:c>
      <x:c r="B97" s="9" t="str">
        <x:v>Referential Disambiguation</x:v>
      </x:c>
      <x:c r="C97" s="10" t="n">
        <x:v>16</x:v>
      </x:c>
      <x:c r="D97" s="9" t="str">
        <x:v>Put the pen closest to the red pencil sharpener in the bowl.</x:v>
      </x:c>
      <x:c r="E97" s="9" t="str">
        <x:v>green pen; yellow pen; red pencil sharpener; airplane toy without propellers</x:v>
      </x:c>
      <x:c r="F97" s="9" t="str">
        <x:v>yellow pen</x:v>
      </x:c>
      <x:c r="G97" s="9" t="str">
        <x:v>picked airplane toy  </x:v>
      </x:c>
      <x:c r="H97" s="9" t="str">
        <x:v>In-distribution concept baseline</x:v>
      </x:c>
      <x:c r="I97" s="9" t="str">
        <x:v>RD-ID17</x:v>
      </x:c>
      <x:c r="J97" s="9" t="str">
        <x:v>Exact training-supported relation × candidate-category baseline</x:v>
      </x:c>
      <x:c r="K97" s="9"/>
      <x:c r="L97" s="9" t="str">
        <x:v>501</x:v>
      </x:c>
      <x:c r="M97" s="9" t="str">
        <x:v>Exact manifest cell: prompt, relation × candidate-category combination, target identity, and object membership are explicitly represented in training; physical positions are manually recreated with a clear margin.</x:v>
      </x:c>
      <x:c r="N97" s="9" t="n">
        <x:v>1</x:v>
      </x:c>
      <x:c r="O97" s="9" t="str">
        <x:v>Place the 4 listed objects. Arrange Expected Target as the unique answer to the prompt; keep the bowl empty.</x:v>
      </x:c>
      <x:c r="P97" s="9" t="str">
        <x:v>The relation, candidate category, target identity, and object membership occur together in the cited training episode.</x:v>
      </x:c>
      <x:c r="Q97" s="9"/>
      <x:c r="R97" s="10" t="n">
        <x:v>4</x:v>
      </x:c>
      <x:c r="S97" s="10" t="n">
        <x:v>1</x:v>
      </x:c>
      <x:c r="T97" s="9" t="str">
        <x:v>Empty</x:v>
      </x:c>
      <x:c r="U97" s="9"/>
      <x:c r="V97" s="9"/>
      <x:c r="W97" s="9"/>
      <x:c r="X97" s="10"/>
      <x:c r="Y97" s="10"/>
      <x:c r="Z97" s="9"/>
      <x:c r="AA97" s="9"/>
      <x:c r="AB97" s="9" t="str">
        <x:v>closest</x:v>
      </x:c>
      <x:c r="AC97" s="9"/>
      <x:c r="AD97" s="9"/>
      <x:c r="AE97" s="9"/>
      <x:c r="AF97" s="9"/>
      <x:c r="AG97" s="9" t="str">
        <x:v>pen</x:v>
      </x:c>
      <x:c r="AH97" s="9"/>
      <x:c r="AI97" s="11"/>
      <x:c r="AJ97" s="9"/>
      <x:c r="AK97" s="9" t="str">
        <x:v>Eval_Referential_Disambiguation.xlsm</x:v>
      </x:c>
      <x:c r="AL97" s="9" t="str">
        <x:v>GR00T Results</x:v>
      </x:c>
      <x:c r="AM97" s="9" t="n">
        <x:v>18</x:v>
      </x:c>
      <x:c r="AN97" s="9" t="n">
        <x:v>18</x:v>
      </x:c>
    </x:row>
    <x:row r="98">
      <x:c r="A98" s="9" t="str">
        <x:v>Failure</x:v>
      </x:c>
      <x:c r="B98" s="9" t="str">
        <x:v>Referential Disambiguation</x:v>
      </x:c>
      <x:c r="C98" s="10" t="n">
        <x:v>17</x:v>
      </x:c>
      <x:c r="D98" s="9" t="str">
        <x:v>Pick up the pen furthest from the crushed Coke can and place it in the bowl.</x:v>
      </x:c>
      <x:c r="E98" s="9" t="str">
        <x:v>green pen; yellow pen; crushed Coke can</x:v>
      </x:c>
      <x:c r="F98" s="9" t="str">
        <x:v>yellow pen</x:v>
      </x:c>
      <x:c r="G98" s="9" t="str">
        <x:v>went to the yellow pen, but couldn't grasp it</x:v>
      </x:c>
      <x:c r="H98" s="9" t="str">
        <x:v>In-distribution concept baseline</x:v>
      </x:c>
      <x:c r="I98" s="9" t="str">
        <x:v>RD-ID18</x:v>
      </x:c>
      <x:c r="J98" s="9" t="str">
        <x:v>Exact training-supported relation × candidate-category baseline</x:v>
      </x:c>
      <x:c r="K98" s="9"/>
      <x:c r="L98" s="9" t="str">
        <x:v>515</x:v>
      </x:c>
      <x:c r="M98" s="9" t="str">
        <x:v>Exact manifest cell: prompt, relation × candidate-category combination, target identity, and object membership are explicitly represented in training; physical positions are manually recreated with a clear margin.</x:v>
      </x:c>
      <x:c r="N98" s="9" t="n">
        <x:v>1</x:v>
      </x:c>
      <x:c r="O98" s="9" t="str">
        <x:v>Place the 3 listed objects. Arrange Expected Target as the unique answer to the prompt; keep the bowl empty.</x:v>
      </x:c>
      <x:c r="P98" s="9" t="str">
        <x:v>The relation, candidate category, target identity, and object membership occur together in the cited training episode.</x:v>
      </x:c>
      <x:c r="Q98" s="9"/>
      <x:c r="R98" s="10" t="n">
        <x:v>3</x:v>
      </x:c>
      <x:c r="S98" s="10" t="n">
        <x:v>1</x:v>
      </x:c>
      <x:c r="T98" s="9" t="str">
        <x:v>Empty</x:v>
      </x:c>
      <x:c r="U98" s="9"/>
      <x:c r="V98" s="9"/>
      <x:c r="W98" s="9"/>
      <x:c r="X98" s="10"/>
      <x:c r="Y98" s="10"/>
      <x:c r="Z98" s="9"/>
      <x:c r="AA98" s="9"/>
      <x:c r="AB98" s="9" t="str">
        <x:v>furthest</x:v>
      </x:c>
      <x:c r="AC98" s="9"/>
      <x:c r="AD98" s="9"/>
      <x:c r="AE98" s="9"/>
      <x:c r="AF98" s="9"/>
      <x:c r="AG98" s="9" t="str">
        <x:v>pen</x:v>
      </x:c>
      <x:c r="AH98" s="9"/>
      <x:c r="AI98" s="11"/>
      <x:c r="AJ98" s="9"/>
      <x:c r="AK98" s="9" t="str">
        <x:v>Eval_Referential_Disambiguation.xlsm</x:v>
      </x:c>
      <x:c r="AL98" s="9" t="str">
        <x:v>GR00T Results</x:v>
      </x:c>
      <x:c r="AM98" s="9" t="n">
        <x:v>19</x:v>
      </x:c>
      <x:c r="AN98" s="9" t="n">
        <x:v>19</x:v>
      </x:c>
    </x:row>
    <x:row r="99">
      <x:c r="A99" s="9" t="str">
        <x:v>Failure</x:v>
      </x:c>
      <x:c r="B99" s="9" t="str">
        <x:v>Referential Disambiguation</x:v>
      </x:c>
      <x:c r="C99" s="10" t="n">
        <x:v>18</x:v>
      </x:c>
      <x:c r="D99" s="9" t="str">
        <x:v>Pick up the pen furthest from the crushed Pepsi can and place it in the bowl.</x:v>
      </x:c>
      <x:c r="E99" s="9" t="str">
        <x:v>green pen; yellow pen; crushed Pepsi can; green pencil sharpener</x:v>
      </x:c>
      <x:c r="F99" s="9" t="str">
        <x:v>green pen</x:v>
      </x:c>
      <x:c r="G99" s="9" t="str">
        <x:v>picked the green pencil sharpener</x:v>
      </x:c>
      <x:c r="H99" s="9" t="str">
        <x:v>In-distribution concept baseline</x:v>
      </x:c>
      <x:c r="I99" s="9" t="str">
        <x:v>RD-ID19</x:v>
      </x:c>
      <x:c r="J99" s="9" t="str">
        <x:v>Exact training-supported relation × candidate-category baseline</x:v>
      </x:c>
      <x:c r="K99" s="9"/>
      <x:c r="L99" s="9" t="str">
        <x:v>516</x:v>
      </x:c>
      <x:c r="M99" s="9" t="str">
        <x:v>Exact manifest cell: prompt, relation × candidate-category combination, target identity, and object membership are explicitly represented in training; physical positions are manually recreated with a clear margin.</x:v>
      </x:c>
      <x:c r="N99" s="9" t="n">
        <x:v>1</x:v>
      </x:c>
      <x:c r="O99" s="9" t="str">
        <x:v>Place the 4 listed objects. Arrange Expected Target as the unique answer to the prompt; keep the bowl empty.</x:v>
      </x:c>
      <x:c r="P99" s="9" t="str">
        <x:v>The relation, candidate category, target identity, and object membership occur together in the cited training episode.</x:v>
      </x:c>
      <x:c r="Q99" s="9"/>
      <x:c r="R99" s="10" t="n">
        <x:v>4</x:v>
      </x:c>
      <x:c r="S99" s="10" t="n">
        <x:v>1</x:v>
      </x:c>
      <x:c r="T99" s="9" t="str">
        <x:v>Empty</x:v>
      </x:c>
      <x:c r="U99" s="9"/>
      <x:c r="V99" s="9"/>
      <x:c r="W99" s="9"/>
      <x:c r="X99" s="10"/>
      <x:c r="Y99" s="10"/>
      <x:c r="Z99" s="9"/>
      <x:c r="AA99" s="9"/>
      <x:c r="AB99" s="9" t="str">
        <x:v>furthest</x:v>
      </x:c>
      <x:c r="AC99" s="9"/>
      <x:c r="AD99" s="9"/>
      <x:c r="AE99" s="9"/>
      <x:c r="AF99" s="9"/>
      <x:c r="AG99" s="9" t="str">
        <x:v>pen</x:v>
      </x:c>
      <x:c r="AH99" s="9"/>
      <x:c r="AI99" s="11"/>
      <x:c r="AJ99" s="9"/>
      <x:c r="AK99" s="9" t="str">
        <x:v>Eval_Referential_Disambiguation.xlsm</x:v>
      </x:c>
      <x:c r="AL99" s="9" t="str">
        <x:v>GR00T Results</x:v>
      </x:c>
      <x:c r="AM99" s="9" t="n">
        <x:v>20</x:v>
      </x:c>
      <x:c r="AN99" s="9" t="n">
        <x:v>20</x:v>
      </x:c>
    </x:row>
    <x:row r="100">
      <x:c r="A100" s="9" t="str">
        <x:v>Failure</x:v>
      </x:c>
      <x:c r="B100" s="9" t="str">
        <x:v>Referential Disambiguation</x:v>
      </x:c>
      <x:c r="C100" s="10" t="n">
        <x:v>19</x:v>
      </x:c>
      <x:c r="D100" s="9" t="str">
        <x:v>Pick up the pen furthest from the airplane toy with propellers and place it in the bowl.</x:v>
      </x:c>
      <x:c r="E100" s="9" t="str">
        <x:v>green pen; yellow pen; airplane toy with propellers</x:v>
      </x:c>
      <x:c r="F100" s="9" t="str">
        <x:v>yellow pen</x:v>
      </x:c>
      <x:c r="G100" s="9" t="str">
        <x:v>picked green pen, which was closest</x:v>
      </x:c>
      <x:c r="H100" s="9" t="str">
        <x:v>In-distribution concept baseline</x:v>
      </x:c>
      <x:c r="I100" s="9" t="str">
        <x:v>RD-ID20</x:v>
      </x:c>
      <x:c r="J100" s="9" t="str">
        <x:v>Exact training-supported relation × candidate-category baseline</x:v>
      </x:c>
      <x:c r="K100" s="9"/>
      <x:c r="L100" s="9" t="str">
        <x:v>517</x:v>
      </x:c>
      <x:c r="M100" s="9" t="str">
        <x:v>Exact manifest cell: prompt, relation × candidate-category combination, target identity, and object membership are explicitly represented in training; physical positions are manually recreated with a clear margin.</x:v>
      </x:c>
      <x:c r="N100" s="9" t="n">
        <x:v>1</x:v>
      </x:c>
      <x:c r="O100" s="9" t="str">
        <x:v>Place the 3 listed objects. Arrange Expected Target as the unique answer to the prompt; keep the bowl empty.</x:v>
      </x:c>
      <x:c r="P100" s="9" t="str">
        <x:v>The relation, candidate category, target identity, and object membership occur together in the cited training episode.</x:v>
      </x:c>
      <x:c r="Q100" s="9"/>
      <x:c r="R100" s="10" t="n">
        <x:v>3</x:v>
      </x:c>
      <x:c r="S100" s="10" t="n">
        <x:v>1</x:v>
      </x:c>
      <x:c r="T100" s="9" t="str">
        <x:v>Empty</x:v>
      </x:c>
      <x:c r="U100" s="9"/>
      <x:c r="V100" s="9"/>
      <x:c r="W100" s="9"/>
      <x:c r="X100" s="10"/>
      <x:c r="Y100" s="10"/>
      <x:c r="Z100" s="9"/>
      <x:c r="AA100" s="9"/>
      <x:c r="AB100" s="9" t="str">
        <x:v>furthest</x:v>
      </x:c>
      <x:c r="AC100" s="9"/>
      <x:c r="AD100" s="9"/>
      <x:c r="AE100" s="9"/>
      <x:c r="AF100" s="9"/>
      <x:c r="AG100" s="9" t="str">
        <x:v>pen</x:v>
      </x:c>
      <x:c r="AH100" s="9"/>
      <x:c r="AI100" s="11"/>
      <x:c r="AJ100" s="9"/>
      <x:c r="AK100" s="9" t="str">
        <x:v>Eval_Referential_Disambiguation.xlsm</x:v>
      </x:c>
      <x:c r="AL100" s="9" t="str">
        <x:v>GR00T Results</x:v>
      </x:c>
      <x:c r="AM100" s="9" t="n">
        <x:v>21</x:v>
      </x:c>
      <x:c r="AN100" s="9" t="n">
        <x:v>21</x:v>
      </x:c>
    </x:row>
    <x:row r="101">
      <x:c r="A101" s="9" t="str">
        <x:v>Success</x:v>
      </x:c>
      <x:c r="B101" s="9" t="str">
        <x:v>Size Recognition</x:v>
      </x:c>
      <x:c r="C101" s="10" t="n">
        <x:v>0</x:v>
      </x:c>
      <x:c r="D101" s="9" t="str">
        <x:v>Move the object that is smallest into the bowl.</x:v>
      </x:c>
      <x:c r="E101" s="9" t="str">
        <x:v>Bowl: empty. Table, robot-left→robot-right: P1 red pencil sharpener; P2 green block; P3 juggling ball; P4 crushed Pepsi can. Adjacent centers 8 cm apart; row centered on the workspace; all objects fully visible and grasp paths clear.</x:v>
      </x:c>
      <x:c r="F101" s="9" t="str">
        <x:v>MOVE red pencil sharpener to bowl</x:v>
      </x:c>
      <x:c r="G101" s="9"/>
      <x:c r="H101" s="9" t="str">
        <x:v>In-distribution concept baseline</x:v>
      </x:c>
      <x:c r="I101" s="9" t="str">
        <x:v>SZ-ID-SH01</x:v>
      </x:c>
      <x:c r="J101" s="9" t="str">
        <x:v>smallest</x:v>
      </x:c>
      <x:c r="K101" s="9"/>
      <x:c r="L101" s="9" t="str">
        <x:v>1005</x:v>
      </x:c>
      <x:c r="M101" s="9"/>
      <x:c r="N101" s="9"/>
      <x:c r="O101" s="9" t="str">
        <x:v>Build the listed manifest-supported scene.</x:v>
      </x:c>
      <x:c r="P101" s="9" t="str">
        <x:v>Exact prompt and object composition from training episode 1005; this establishes the familiar smallest × red pencil sharpener cell.</x:v>
      </x:c>
      <x:c r="Q101" s="9"/>
      <x:c r="R101" s="10" t="n">
        <x:v>4</x:v>
      </x:c>
      <x:c r="S101" s="10"/>
      <x:c r="T101" s="9"/>
      <x:c r="U101" s="9"/>
      <x:c r="V101" s="9"/>
      <x:c r="W101" s="9"/>
      <x:c r="X101" s="10"/>
      <x:c r="Y101" s="10"/>
      <x:c r="Z101" s="9"/>
      <x:c r="AA101" s="9"/>
      <x:c r="AB101" s="9"/>
      <x:c r="AC101" s="9"/>
      <x:c r="AD101" s="9" t="str">
        <x:v>red pencil sharpener</x:v>
      </x:c>
      <x:c r="AE101" s="9"/>
      <x:c r="AF101" s="9"/>
      <x:c r="AG101" s="9"/>
      <x:c r="AH101" s="9" t="str">
        <x:v>Left</x:v>
      </x:c>
      <x:c r="AI101" s="11" t="n">
        <x:v>8</x:v>
      </x:c>
      <x:c r="AJ101" s="9" t="str">
        <x:v>Explicitly trained smallest × red pencil sharpener</x:v>
      </x:c>
      <x:c r="AK101" s="9" t="str">
        <x:v>Eval_Size_Recognition (1).xlsm</x:v>
      </x:c>
      <x:c r="AL101" s="9" t="str">
        <x:v>GR00T Results</x:v>
      </x:c>
      <x:c r="AM101" s="9" t="n">
        <x:v>2</x:v>
      </x:c>
      <x:c r="AN101" s="9" t="n">
        <x:v>2</x:v>
      </x:c>
    </x:row>
    <x:row r="102">
      <x:c r="A102" s="9" t="str">
        <x:v>Failure</x:v>
      </x:c>
      <x:c r="B102" s="9" t="str">
        <x:v>Size Recognition</x:v>
      </x:c>
      <x:c r="C102" s="10" t="n">
        <x:v>1</x:v>
      </x:c>
      <x:c r="D102" s="9" t="str">
        <x:v>Pick up the smallest item and place it in the bowl.</x:v>
      </x:c>
      <x:c r="E102" s="9" t="str">
        <x:v>Bowl: empty. Table, robot-left→robot-right: P1 crushed Pepsi can; P2 juggling ball; P3 green block. Adjacent centers 12 cm apart; row shifted 4 cm toward robot-left; all objects fully visible and grasp paths clear.</x:v>
      </x:c>
      <x:c r="F102" s="9" t="str">
        <x:v>MOVE green block to bowl</x:v>
      </x:c>
      <x:c r="G102" s="9" t="str">
        <x:v>picked juggling ball</x:v>
      </x:c>
      <x:c r="H102" s="9" t="str">
        <x:v>In-distribution concept baseline</x:v>
      </x:c>
      <x:c r="I102" s="9" t="str">
        <x:v>SZ-ID-GB01</x:v>
      </x:c>
      <x:c r="J102" s="9" t="str">
        <x:v>smallest</x:v>
      </x:c>
      <x:c r="K102" s="9"/>
      <x:c r="L102" s="9" t="str">
        <x:v>1050</x:v>
      </x:c>
      <x:c r="M102" s="9"/>
      <x:c r="N102" s="9"/>
      <x:c r="O102" s="9" t="str">
        <x:v>Build the listed manifest-supported scene.</x:v>
      </x:c>
      <x:c r="P102" s="9" t="str">
        <x:v>Exact prompt and object composition from training episode 1050; this establishes the familiar smallest × green block cell.</x:v>
      </x:c>
      <x:c r="Q102" s="9"/>
      <x:c r="R102" s="10" t="n">
        <x:v>3</x:v>
      </x:c>
      <x:c r="S102" s="10"/>
      <x:c r="T102" s="9"/>
      <x:c r="U102" s="9"/>
      <x:c r="V102" s="9"/>
      <x:c r="W102" s="9"/>
      <x:c r="X102" s="10"/>
      <x:c r="Y102" s="10"/>
      <x:c r="Z102" s="9"/>
      <x:c r="AA102" s="9"/>
      <x:c r="AB102" s="9"/>
      <x:c r="AC102" s="9"/>
      <x:c r="AD102" s="9" t="str">
        <x:v>green block</x:v>
      </x:c>
      <x:c r="AE102" s="9"/>
      <x:c r="AF102" s="9"/>
      <x:c r="AG102" s="9"/>
      <x:c r="AH102" s="9" t="str">
        <x:v>Right</x:v>
      </x:c>
      <x:c r="AI102" s="11" t="n">
        <x:v>12</x:v>
      </x:c>
      <x:c r="AJ102" s="9" t="str">
        <x:v>Explicitly trained smallest × green block</x:v>
      </x:c>
      <x:c r="AK102" s="9" t="str">
        <x:v>Eval_Size_Recognition (1).xlsm</x:v>
      </x:c>
      <x:c r="AL102" s="9" t="str">
        <x:v>GR00T Results</x:v>
      </x:c>
      <x:c r="AM102" s="9" t="n">
        <x:v>3</x:v>
      </x:c>
      <x:c r="AN102" s="9" t="n">
        <x:v>3</x:v>
      </x:c>
    </x:row>
    <x:row r="103">
      <x:c r="A103" s="9" t="str">
        <x:v>Success</x:v>
      </x:c>
      <x:c r="B103" s="9" t="str">
        <x:v>Size Recognition</x:v>
      </x:c>
      <x:c r="C103" s="10" t="n">
        <x:v>2</x:v>
      </x:c>
      <x:c r="D103" s="9" t="str">
        <x:v>Put the largest object in the bowl.</x:v>
      </x:c>
      <x:c r="E103" s="9" t="str">
        <x:v>Bowl: empty. Table, robot-left→robot-right: P1 juggling ball; P2 red pencil sharpener; P3 green block. Adjacent centers 16 cm apart; row shifted 4 cm toward robot-right; all objects fully visible and grasp paths clear.</x:v>
      </x:c>
      <x:c r="F103" s="9" t="str">
        <x:v>MOVE juggling ball to bowl</x:v>
      </x:c>
      <x:c r="G103" s="9" t="str">
        <x:v>the model really pinches the heck out of the objects</x:v>
      </x:c>
      <x:c r="H103" s="9" t="str">
        <x:v>In-distribution concept baseline</x:v>
      </x:c>
      <x:c r="I103" s="9" t="str">
        <x:v>SZ-ID-JB01</x:v>
      </x:c>
      <x:c r="J103" s="9" t="str">
        <x:v>largest</x:v>
      </x:c>
      <x:c r="K103" s="9"/>
      <x:c r="L103" s="9" t="str">
        <x:v>1125</x:v>
      </x:c>
      <x:c r="M103" s="9"/>
      <x:c r="N103" s="9"/>
      <x:c r="O103" s="9" t="str">
        <x:v>Build the listed manifest-supported scene.</x:v>
      </x:c>
      <x:c r="P103" s="9" t="str">
        <x:v>Exact prompt and object composition from training episode 1125; this establishes the familiar largest × juggling ball cell.</x:v>
      </x:c>
      <x:c r="Q103" s="9"/>
      <x:c r="R103" s="10" t="n">
        <x:v>3</x:v>
      </x:c>
      <x:c r="S103" s="10"/>
      <x:c r="T103" s="9"/>
      <x:c r="U103" s="9"/>
      <x:c r="V103" s="9"/>
      <x:c r="W103" s="9"/>
      <x:c r="X103" s="10"/>
      <x:c r="Y103" s="10"/>
      <x:c r="Z103" s="9"/>
      <x:c r="AA103" s="9"/>
      <x:c r="AB103" s="9"/>
      <x:c r="AC103" s="9"/>
      <x:c r="AD103" s="9" t="str">
        <x:v>juggling ball</x:v>
      </x:c>
      <x:c r="AE103" s="9"/>
      <x:c r="AF103" s="9"/>
      <x:c r="AG103" s="9"/>
      <x:c r="AH103" s="9" t="str">
        <x:v>Left</x:v>
      </x:c>
      <x:c r="AI103" s="11" t="n">
        <x:v>16</x:v>
      </x:c>
      <x:c r="AJ103" s="9" t="str">
        <x:v>Explicitly trained largest × juggling ball</x:v>
      </x:c>
      <x:c r="AK103" s="9" t="str">
        <x:v>Eval_Size_Recognition (1).xlsm</x:v>
      </x:c>
      <x:c r="AL103" s="9" t="str">
        <x:v>GR00T Results</x:v>
      </x:c>
      <x:c r="AM103" s="9" t="n">
        <x:v>4</x:v>
      </x:c>
      <x:c r="AN103" s="9" t="n">
        <x:v>4</x:v>
      </x:c>
    </x:row>
    <x:row r="104">
      <x:c r="A104" s="9" t="str">
        <x:v>Failure</x:v>
      </x:c>
      <x:c r="B104" s="9" t="str">
        <x:v>Size Recognition</x:v>
      </x:c>
      <x:c r="C104" s="10" t="n">
        <x:v>3</x:v>
      </x:c>
      <x:c r="D104" s="9" t="str">
        <x:v>Pick up the largest item and place it in the bowl.</x:v>
      </x:c>
      <x:c r="E104" s="9" t="str">
        <x:v>Bowl: empty. Table, robot-left→robot-right: P1 red pencil sharpener; P2 green block; P3 juggling ball; P4 crushed Pepsi can. Adjacent centers 8 cm apart; row shifted 4 cm toward the robot; all objects fully visible and grasp paths clear.</x:v>
      </x:c>
      <x:c r="F104" s="9" t="str">
        <x:v>MOVE crushed Pepsi can to bowl</x:v>
      </x:c>
      <x:c r="G104" s="9" t="str">
        <x:v>successful reasoning. Went to the pepsi can but never grasped it</x:v>
      </x:c>
      <x:c r="H104" s="9" t="str">
        <x:v>In-distribution concept baseline</x:v>
      </x:c>
      <x:c r="I104" s="9" t="str">
        <x:v>SZ-ID-PC01</x:v>
      </x:c>
      <x:c r="J104" s="9" t="str">
        <x:v>largest</x:v>
      </x:c>
      <x:c r="K104" s="9"/>
      <x:c r="L104" s="9" t="str">
        <x:v>1155</x:v>
      </x:c>
      <x:c r="M104" s="9"/>
      <x:c r="N104" s="9"/>
      <x:c r="O104" s="9" t="str">
        <x:v>Build the listed manifest-supported scene.</x:v>
      </x:c>
      <x:c r="P104" s="9" t="str">
        <x:v>Exact prompt and object composition from training episode 1155; this establishes the familiar largest × crushed Pepsi can cell.</x:v>
      </x:c>
      <x:c r="Q104" s="9"/>
      <x:c r="R104" s="10" t="n">
        <x:v>4</x:v>
      </x:c>
      <x:c r="S104" s="10"/>
      <x:c r="T104" s="9"/>
      <x:c r="U104" s="9"/>
      <x:c r="V104" s="9"/>
      <x:c r="W104" s="9"/>
      <x:c r="X104" s="10"/>
      <x:c r="Y104" s="10"/>
      <x:c r="Z104" s="9"/>
      <x:c r="AA104" s="9"/>
      <x:c r="AB104" s="9"/>
      <x:c r="AC104" s="9"/>
      <x:c r="AD104" s="9" t="str">
        <x:v>crushed Pepsi can</x:v>
      </x:c>
      <x:c r="AE104" s="9"/>
      <x:c r="AF104" s="9"/>
      <x:c r="AG104" s="9"/>
      <x:c r="AH104" s="9" t="str">
        <x:v>Right</x:v>
      </x:c>
      <x:c r="AI104" s="11" t="n">
        <x:v>8</x:v>
      </x:c>
      <x:c r="AJ104" s="9" t="str">
        <x:v>Explicitly trained largest × crushed Pepsi can</x:v>
      </x:c>
      <x:c r="AK104" s="9" t="str">
        <x:v>Eval_Size_Recognition (1).xlsm</x:v>
      </x:c>
      <x:c r="AL104" s="9" t="str">
        <x:v>GR00T Results</x:v>
      </x:c>
      <x:c r="AM104" s="9" t="n">
        <x:v>5</x:v>
      </x:c>
      <x:c r="AN104" s="9" t="n">
        <x:v>5</x:v>
      </x:c>
    </x:row>
    <x:row r="105">
      <x:c r="A105" s="9" t="str">
        <x:v>Failure</x:v>
      </x:c>
      <x:c r="B105" s="9" t="str">
        <x:v>Size Recognition</x:v>
      </x:c>
      <x:c r="C105" s="10" t="n">
        <x:v>4</x:v>
      </x:c>
      <x:c r="D105" s="9" t="str">
        <x:v>Pick up the smallest item and place it in the bowl.</x:v>
      </x:c>
      <x:c r="E105" s="9" t="str">
        <x:v>Bowl: empty. Table, robot-left→robot-right: P1 juggling ball; P2 crushed Pepsi can; P3 green block; P4 red pencil sharpener. Adjacent centers 12 cm apart; row shifted 4 cm toward robot-left; all objects fully visible and grasp paths clear.</x:v>
      </x:c>
      <x:c r="F105" s="9" t="str">
        <x:v>MOVE red pencil sharpener to bowl</x:v>
      </x:c>
      <x:c r="G105" s="9" t="str">
        <x:v>went for the pepsi can again, but didn't grasp it</x:v>
      </x:c>
      <x:c r="H105" s="9" t="str">
        <x:v>In-distribution concept baseline</x:v>
      </x:c>
      <x:c r="I105" s="9" t="str">
        <x:v>SZ-ID-SH02</x:v>
      </x:c>
      <x:c r="J105" s="9" t="str">
        <x:v>smallest</x:v>
      </x:c>
      <x:c r="K105" s="9"/>
      <x:c r="L105" s="9" t="str">
        <x:v>1006</x:v>
      </x:c>
      <x:c r="M105" s="9"/>
      <x:c r="N105" s="9"/>
      <x:c r="O105" s="9" t="str">
        <x:v>Build the listed manifest-supported scene.</x:v>
      </x:c>
      <x:c r="P105" s="9" t="str">
        <x:v>Exact prompt and object composition from training episode 1006; this establishes the familiar smallest × red pencil sharpener cell.</x:v>
      </x:c>
      <x:c r="Q105" s="9"/>
      <x:c r="R105" s="10" t="n">
        <x:v>4</x:v>
      </x:c>
      <x:c r="S105" s="10"/>
      <x:c r="T105" s="9"/>
      <x:c r="U105" s="9"/>
      <x:c r="V105" s="9"/>
      <x:c r="W105" s="9"/>
      <x:c r="X105" s="10"/>
      <x:c r="Y105" s="10"/>
      <x:c r="Z105" s="9"/>
      <x:c r="AA105" s="9"/>
      <x:c r="AB105" s="9"/>
      <x:c r="AC105" s="9"/>
      <x:c r="AD105" s="9" t="str">
        <x:v>red pencil sharpener</x:v>
      </x:c>
      <x:c r="AE105" s="9"/>
      <x:c r="AF105" s="9"/>
      <x:c r="AG105" s="9"/>
      <x:c r="AH105" s="9" t="str">
        <x:v>Right</x:v>
      </x:c>
      <x:c r="AI105" s="11" t="n">
        <x:v>12</x:v>
      </x:c>
      <x:c r="AJ105" s="9" t="str">
        <x:v>Explicitly trained smallest × red pencil sharpener</x:v>
      </x:c>
      <x:c r="AK105" s="9" t="str">
        <x:v>Eval_Size_Recognition (1).xlsm</x:v>
      </x:c>
      <x:c r="AL105" s="9" t="str">
        <x:v>GR00T Results</x:v>
      </x:c>
      <x:c r="AM105" s="9" t="n">
        <x:v>6</x:v>
      </x:c>
      <x:c r="AN105" s="9" t="n">
        <x:v>6</x:v>
      </x:c>
    </x:row>
    <x:row r="106">
      <x:c r="A106" s="9" t="str">
        <x:v>Failure</x:v>
      </x:c>
      <x:c r="B106" s="9" t="str">
        <x:v>Size Recognition</x:v>
      </x:c>
      <x:c r="C106" s="10" t="n">
        <x:v>5</x:v>
      </x:c>
      <x:c r="D106" s="9" t="str">
        <x:v>Pick up the smallest item and place it in the bowl.</x:v>
      </x:c>
      <x:c r="E106" s="9" t="str">
        <x:v>Bowl: empty. Table, robot-left→robot-right: P1 green block; P2 juggling ball; P3 crushed Pepsi can. Adjacent centers 16 cm apart; row shifted 4 cm toward robot-right; all objects fully visible and grasp paths clear.</x:v>
      </x:c>
      <x:c r="F106" s="9" t="str">
        <x:v>MOVE green block to bowl</x:v>
      </x:c>
      <x:c r="G106" s="9" t="str">
        <x:v>went for the green block, but couldn't pick it up</x:v>
      </x:c>
      <x:c r="H106" s="9" t="str">
        <x:v>In-distribution concept baseline</x:v>
      </x:c>
      <x:c r="I106" s="9" t="str">
        <x:v>SZ-ID-GB02</x:v>
      </x:c>
      <x:c r="J106" s="9" t="str">
        <x:v>smallest</x:v>
      </x:c>
      <x:c r="K106" s="9"/>
      <x:c r="L106" s="9" t="str">
        <x:v>1051</x:v>
      </x:c>
      <x:c r="M106" s="9"/>
      <x:c r="N106" s="9"/>
      <x:c r="O106" s="9" t="str">
        <x:v>Build the listed manifest-supported scene.</x:v>
      </x:c>
      <x:c r="P106" s="9" t="str">
        <x:v>Exact prompt and object composition from training episode 1051; this establishes the familiar smallest × green block cell.</x:v>
      </x:c>
      <x:c r="Q106" s="9"/>
      <x:c r="R106" s="10" t="n">
        <x:v>3</x:v>
      </x:c>
      <x:c r="S106" s="10"/>
      <x:c r="T106" s="9"/>
      <x:c r="U106" s="9"/>
      <x:c r="V106" s="9"/>
      <x:c r="W106" s="9"/>
      <x:c r="X106" s="10"/>
      <x:c r="Y106" s="10"/>
      <x:c r="Z106" s="9"/>
      <x:c r="AA106" s="9"/>
      <x:c r="AB106" s="9"/>
      <x:c r="AC106" s="9"/>
      <x:c r="AD106" s="9" t="str">
        <x:v>green block</x:v>
      </x:c>
      <x:c r="AE106" s="9"/>
      <x:c r="AF106" s="9"/>
      <x:c r="AG106" s="9"/>
      <x:c r="AH106" s="9" t="str">
        <x:v>Left</x:v>
      </x:c>
      <x:c r="AI106" s="11" t="n">
        <x:v>16</x:v>
      </x:c>
      <x:c r="AJ106" s="9" t="str">
        <x:v>Explicitly trained smallest × green block</x:v>
      </x:c>
      <x:c r="AK106" s="9" t="str">
        <x:v>Eval_Size_Recognition (1).xlsm</x:v>
      </x:c>
      <x:c r="AL106" s="9" t="str">
        <x:v>GR00T Results</x:v>
      </x:c>
      <x:c r="AM106" s="9" t="n">
        <x:v>7</x:v>
      </x:c>
      <x:c r="AN106" s="9" t="n">
        <x:v>7</x:v>
      </x:c>
    </x:row>
    <x:row r="107">
      <x:c r="A107" s="9" t="str">
        <x:v>Failure</x:v>
      </x:c>
      <x:c r="B107" s="9" t="str">
        <x:v>Size Recognition</x:v>
      </x:c>
      <x:c r="C107" s="10" t="n">
        <x:v>6</x:v>
      </x:c>
      <x:c r="D107" s="9" t="str">
        <x:v>Pick up the largest item and place it in the bowl.</x:v>
      </x:c>
      <x:c r="E107" s="9" t="str">
        <x:v>Bowl: empty. Table, robot-left→robot-right: P1 green block; P2 red pencil sharpener; P3 juggling ball. Adjacent centers 8 cm apart; row shifted 4 cm toward the robot; all objects fully visible and grasp paths clear.</x:v>
      </x:c>
      <x:c r="F107" s="9" t="str">
        <x:v>MOVE juggling ball to bowl</x:v>
      </x:c>
      <x:c r="G107" s="9" t="str">
        <x:v>picked red pencil sharpener</x:v>
      </x:c>
      <x:c r="H107" s="9" t="str">
        <x:v>In-distribution concept baseline</x:v>
      </x:c>
      <x:c r="I107" s="9" t="str">
        <x:v>SZ-ID-JB02</x:v>
      </x:c>
      <x:c r="J107" s="9" t="str">
        <x:v>largest</x:v>
      </x:c>
      <x:c r="K107" s="9"/>
      <x:c r="L107" s="9" t="str">
        <x:v>1126</x:v>
      </x:c>
      <x:c r="M107" s="9"/>
      <x:c r="N107" s="9"/>
      <x:c r="O107" s="9" t="str">
        <x:v>Build the listed manifest-supported scene.</x:v>
      </x:c>
      <x:c r="P107" s="9" t="str">
        <x:v>Exact prompt and object composition from training episode 1126; this establishes the familiar largest × juggling ball cell.</x:v>
      </x:c>
      <x:c r="Q107" s="9"/>
      <x:c r="R107" s="10" t="n">
        <x:v>3</x:v>
      </x:c>
      <x:c r="S107" s="10"/>
      <x:c r="T107" s="9"/>
      <x:c r="U107" s="9"/>
      <x:c r="V107" s="9"/>
      <x:c r="W107" s="9"/>
      <x:c r="X107" s="10"/>
      <x:c r="Y107" s="10"/>
      <x:c r="Z107" s="9"/>
      <x:c r="AA107" s="9"/>
      <x:c r="AB107" s="9"/>
      <x:c r="AC107" s="9"/>
      <x:c r="AD107" s="9" t="str">
        <x:v>juggling ball</x:v>
      </x:c>
      <x:c r="AE107" s="9"/>
      <x:c r="AF107" s="9"/>
      <x:c r="AG107" s="9"/>
      <x:c r="AH107" s="9" t="str">
        <x:v>Right</x:v>
      </x:c>
      <x:c r="AI107" s="11" t="n">
        <x:v>8</x:v>
      </x:c>
      <x:c r="AJ107" s="9" t="str">
        <x:v>Explicitly trained largest × juggling ball</x:v>
      </x:c>
      <x:c r="AK107" s="9" t="str">
        <x:v>Eval_Size_Recognition (1).xlsm</x:v>
      </x:c>
      <x:c r="AL107" s="9" t="str">
        <x:v>GR00T Results</x:v>
      </x:c>
      <x:c r="AM107" s="9" t="n">
        <x:v>8</x:v>
      </x:c>
      <x:c r="AN107" s="9" t="n">
        <x:v>8</x:v>
      </x:c>
    </x:row>
    <x:row r="108">
      <x:c r="A108" s="9" t="str">
        <x:v>Failure</x:v>
      </x:c>
      <x:c r="B108" s="9" t="str">
        <x:v>Size Recognition</x:v>
      </x:c>
      <x:c r="C108" s="10" t="n">
        <x:v>7</x:v>
      </x:c>
      <x:c r="D108" s="9" t="str">
        <x:v>Move the object that is largest into the bowl.</x:v>
      </x:c>
      <x:c r="E108" s="9" t="str">
        <x:v>Bowl: empty. Table, robot-left→robot-right: P1 crushed Pepsi can; P2 green block; P3 juggling ball; P4 red pencil sharpener. Adjacent centers 12 cm apart; row shifted 4 cm away from the robot; all objects fully visible and grasp paths clear.</x:v>
      </x:c>
      <x:c r="F108" s="9" t="str">
        <x:v>MOVE crushed Pepsi can to bowl</x:v>
      </x:c>
      <x:c r="G108" s="9" t="str">
        <x:v>picked juggling ball, but picked it like the pepsi can</x:v>
      </x:c>
      <x:c r="H108" s="9" t="str">
        <x:v>In-distribution concept baseline</x:v>
      </x:c>
      <x:c r="I108" s="9" t="str">
        <x:v>SZ-ID-PC02</x:v>
      </x:c>
      <x:c r="J108" s="9" t="str">
        <x:v>largest</x:v>
      </x:c>
      <x:c r="K108" s="9"/>
      <x:c r="L108" s="9" t="str">
        <x:v>1156</x:v>
      </x:c>
      <x:c r="M108" s="9"/>
      <x:c r="N108" s="9"/>
      <x:c r="O108" s="9" t="str">
        <x:v>Build the listed manifest-supported scene.</x:v>
      </x:c>
      <x:c r="P108" s="9" t="str">
        <x:v>Exact prompt and object composition from training episode 1156; this establishes the familiar largest × crushed Pepsi can cell.</x:v>
      </x:c>
      <x:c r="Q108" s="9"/>
      <x:c r="R108" s="10" t="n">
        <x:v>4</x:v>
      </x:c>
      <x:c r="S108" s="10"/>
      <x:c r="T108" s="9"/>
      <x:c r="U108" s="9"/>
      <x:c r="V108" s="9"/>
      <x:c r="W108" s="9"/>
      <x:c r="X108" s="10"/>
      <x:c r="Y108" s="10"/>
      <x:c r="Z108" s="9"/>
      <x:c r="AA108" s="9"/>
      <x:c r="AB108" s="9"/>
      <x:c r="AC108" s="9"/>
      <x:c r="AD108" s="9" t="str">
        <x:v>crushed Pepsi can</x:v>
      </x:c>
      <x:c r="AE108" s="9"/>
      <x:c r="AF108" s="9"/>
      <x:c r="AG108" s="9"/>
      <x:c r="AH108" s="9" t="str">
        <x:v>Left</x:v>
      </x:c>
      <x:c r="AI108" s="11" t="n">
        <x:v>12</x:v>
      </x:c>
      <x:c r="AJ108" s="9" t="str">
        <x:v>Explicitly trained largest × crushed Pepsi can</x:v>
      </x:c>
      <x:c r="AK108" s="9" t="str">
        <x:v>Eval_Size_Recognition (1).xlsm</x:v>
      </x:c>
      <x:c r="AL108" s="9" t="str">
        <x:v>GR00T Results</x:v>
      </x:c>
      <x:c r="AM108" s="9" t="n">
        <x:v>9</x:v>
      </x:c>
      <x:c r="AN108" s="9" t="n">
        <x:v>9</x:v>
      </x:c>
    </x:row>
    <x:row r="109">
      <x:c r="A109" s="9" t="str">
        <x:v>Success</x:v>
      </x:c>
      <x:c r="B109" s="9" t="str">
        <x:v>Size Recognition</x:v>
      </x:c>
      <x:c r="C109" s="10" t="n">
        <x:v>8</x:v>
      </x:c>
      <x:c r="D109" s="9" t="str">
        <x:v>Move the object that is smallest into the bowl.</x:v>
      </x:c>
      <x:c r="E109" s="9" t="str">
        <x:v>Bowl: empty. Table, robot-left→robot-right: P1 red pencil sharpener; P2 crushed Pepsi can; P3 green block; P4 juggling ball. Adjacent centers 16 cm apart; row shifted 4 cm toward robot-right; all objects fully visible and grasp paths clear.</x:v>
      </x:c>
      <x:c r="F109" s="9" t="str">
        <x:v>MOVE red pencil sharpener to bowl</x:v>
      </x:c>
      <x:c r="G109" s="9"/>
      <x:c r="H109" s="9" t="str">
        <x:v>In-distribution concept baseline</x:v>
      </x:c>
      <x:c r="I109" s="9" t="str">
        <x:v>SZ-ID-SH03</x:v>
      </x:c>
      <x:c r="J109" s="9" t="str">
        <x:v>smallest</x:v>
      </x:c>
      <x:c r="K109" s="9"/>
      <x:c r="L109" s="9" t="str">
        <x:v>1007</x:v>
      </x:c>
      <x:c r="M109" s="9"/>
      <x:c r="N109" s="9"/>
      <x:c r="O109" s="9" t="str">
        <x:v>Build the listed manifest-supported scene.</x:v>
      </x:c>
      <x:c r="P109" s="9" t="str">
        <x:v>Exact prompt and object composition from training episode 1007; this establishes the familiar smallest × red pencil sharpener cell.</x:v>
      </x:c>
      <x:c r="Q109" s="9"/>
      <x:c r="R109" s="10" t="n">
        <x:v>4</x:v>
      </x:c>
      <x:c r="S109" s="10"/>
      <x:c r="T109" s="9"/>
      <x:c r="U109" s="9"/>
      <x:c r="V109" s="9"/>
      <x:c r="W109" s="9"/>
      <x:c r="X109" s="10"/>
      <x:c r="Y109" s="10"/>
      <x:c r="Z109" s="9"/>
      <x:c r="AA109" s="9"/>
      <x:c r="AB109" s="9"/>
      <x:c r="AC109" s="9"/>
      <x:c r="AD109" s="9" t="str">
        <x:v>red pencil sharpener</x:v>
      </x:c>
      <x:c r="AE109" s="9"/>
      <x:c r="AF109" s="9"/>
      <x:c r="AG109" s="9"/>
      <x:c r="AH109" s="9" t="str">
        <x:v>Left</x:v>
      </x:c>
      <x:c r="AI109" s="11" t="n">
        <x:v>16</x:v>
      </x:c>
      <x:c r="AJ109" s="9" t="str">
        <x:v>Explicitly trained smallest × red pencil sharpener</x:v>
      </x:c>
      <x:c r="AK109" s="9" t="str">
        <x:v>Eval_Size_Recognition (1).xlsm</x:v>
      </x:c>
      <x:c r="AL109" s="9" t="str">
        <x:v>GR00T Results</x:v>
      </x:c>
      <x:c r="AM109" s="9" t="n">
        <x:v>10</x:v>
      </x:c>
      <x:c r="AN109" s="9" t="n">
        <x:v>10</x:v>
      </x:c>
    </x:row>
    <x:row r="110">
      <x:c r="A110" s="9" t="str">
        <x:v>Success</x:v>
      </x:c>
      <x:c r="B110" s="9" t="str">
        <x:v>Size Recognition</x:v>
      </x:c>
      <x:c r="C110" s="10" t="n">
        <x:v>9</x:v>
      </x:c>
      <x:c r="D110" s="9" t="str">
        <x:v>Put the smallest object in the bowl.</x:v>
      </x:c>
      <x:c r="E110" s="9" t="str">
        <x:v>Bowl: empty. Table, robot-left→robot-right: P1 crushed Pepsi can; P2 juggling ball; P3 green block. Adjacent centers 8 cm apart; row shifted 4 cm toward the robot; all objects fully visible and grasp paths clear.</x:v>
      </x:c>
      <x:c r="F110" s="9" t="str">
        <x:v>MOVE green block to bowl</x:v>
      </x:c>
      <x:c r="G110" s="9"/>
      <x:c r="H110" s="9" t="str">
        <x:v>In-distribution concept baseline</x:v>
      </x:c>
      <x:c r="I110" s="9" t="str">
        <x:v>SZ-ID-GB03</x:v>
      </x:c>
      <x:c r="J110" s="9" t="str">
        <x:v>smallest</x:v>
      </x:c>
      <x:c r="K110" s="9"/>
      <x:c r="L110" s="9" t="str">
        <x:v>1052</x:v>
      </x:c>
      <x:c r="M110" s="9"/>
      <x:c r="N110" s="9"/>
      <x:c r="O110" s="9" t="str">
        <x:v>Build the listed manifest-supported scene.</x:v>
      </x:c>
      <x:c r="P110" s="9" t="str">
        <x:v>Exact prompt and object composition from training episode 1052; this establishes the familiar smallest × green block cell.</x:v>
      </x:c>
      <x:c r="Q110" s="9"/>
      <x:c r="R110" s="10" t="n">
        <x:v>3</x:v>
      </x:c>
      <x:c r="S110" s="10"/>
      <x:c r="T110" s="9"/>
      <x:c r="U110" s="9"/>
      <x:c r="V110" s="9"/>
      <x:c r="W110" s="9"/>
      <x:c r="X110" s="10"/>
      <x:c r="Y110" s="10"/>
      <x:c r="Z110" s="9"/>
      <x:c r="AA110" s="9"/>
      <x:c r="AB110" s="9"/>
      <x:c r="AC110" s="9"/>
      <x:c r="AD110" s="9" t="str">
        <x:v>green block</x:v>
      </x:c>
      <x:c r="AE110" s="9"/>
      <x:c r="AF110" s="9"/>
      <x:c r="AG110" s="9"/>
      <x:c r="AH110" s="9" t="str">
        <x:v>Right</x:v>
      </x:c>
      <x:c r="AI110" s="11" t="n">
        <x:v>8</x:v>
      </x:c>
      <x:c r="AJ110" s="9" t="str">
        <x:v>Explicitly trained smallest × green block</x:v>
      </x:c>
      <x:c r="AK110" s="9" t="str">
        <x:v>Eval_Size_Recognition (1).xlsm</x:v>
      </x:c>
      <x:c r="AL110" s="9" t="str">
        <x:v>GR00T Results</x:v>
      </x:c>
      <x:c r="AM110" s="9" t="n">
        <x:v>11</x:v>
      </x:c>
      <x:c r="AN110" s="9" t="n">
        <x:v>11</x:v>
      </x:c>
    </x:row>
    <x:row r="111">
      <x:c r="A111" s="9" t="str">
        <x:v>Failure</x:v>
      </x:c>
      <x:c r="B111" s="9" t="str">
        <x:v>Size Recognition</x:v>
      </x:c>
      <x:c r="C111" s="10" t="n">
        <x:v>10</x:v>
      </x:c>
      <x:c r="D111" s="9" t="str">
        <x:v>Pick up the largest item and place it in the bowl.</x:v>
      </x:c>
      <x:c r="E111" s="9" t="str">
        <x:v>Bowl: empty. Table, robot-left→robot-right: P1 juggling ball; P2 red pencil sharpener; P3 green block. Adjacent centers 12 cm apart; row shifted 4 cm away from the robot; all objects fully visible and grasp paths clear.</x:v>
      </x:c>
      <x:c r="F111" s="9" t="str">
        <x:v>MOVE juggling ball to bowl</x:v>
      </x:c>
      <x:c r="G111" s="9" t="str">
        <x:v>robot didn't move</x:v>
      </x:c>
      <x:c r="H111" s="9" t="str">
        <x:v>In-distribution concept baseline</x:v>
      </x:c>
      <x:c r="I111" s="9" t="str">
        <x:v>SZ-ID-JB03</x:v>
      </x:c>
      <x:c r="J111" s="9" t="str">
        <x:v>largest</x:v>
      </x:c>
      <x:c r="K111" s="9"/>
      <x:c r="L111" s="9" t="str">
        <x:v>1127</x:v>
      </x:c>
      <x:c r="M111" s="9"/>
      <x:c r="N111" s="9"/>
      <x:c r="O111" s="9" t="str">
        <x:v>Build the listed manifest-supported scene.</x:v>
      </x:c>
      <x:c r="P111" s="9" t="str">
        <x:v>Exact prompt and object composition from training episode 1127; this establishes the familiar largest × juggling ball cell.</x:v>
      </x:c>
      <x:c r="Q111" s="9"/>
      <x:c r="R111" s="10" t="n">
        <x:v>3</x:v>
      </x:c>
      <x:c r="S111" s="10"/>
      <x:c r="T111" s="9"/>
      <x:c r="U111" s="9"/>
      <x:c r="V111" s="9"/>
      <x:c r="W111" s="9"/>
      <x:c r="X111" s="10"/>
      <x:c r="Y111" s="10"/>
      <x:c r="Z111" s="9"/>
      <x:c r="AA111" s="9"/>
      <x:c r="AB111" s="9"/>
      <x:c r="AC111" s="9"/>
      <x:c r="AD111" s="9" t="str">
        <x:v>juggling ball</x:v>
      </x:c>
      <x:c r="AE111" s="9"/>
      <x:c r="AF111" s="9"/>
      <x:c r="AG111" s="9"/>
      <x:c r="AH111" s="9" t="str">
        <x:v>Left</x:v>
      </x:c>
      <x:c r="AI111" s="11" t="n">
        <x:v>12</x:v>
      </x:c>
      <x:c r="AJ111" s="9" t="str">
        <x:v>Explicitly trained largest × juggling ball</x:v>
      </x:c>
      <x:c r="AK111" s="9" t="str">
        <x:v>Eval_Size_Recognition (1).xlsm</x:v>
      </x:c>
      <x:c r="AL111" s="9" t="str">
        <x:v>GR00T Results</x:v>
      </x:c>
      <x:c r="AM111" s="9" t="n">
        <x:v>12</x:v>
      </x:c>
      <x:c r="AN111" s="9" t="n">
        <x:v>12</x:v>
      </x:c>
    </x:row>
    <x:row r="112">
      <x:c r="A112" s="9" t="str">
        <x:v>Success</x:v>
      </x:c>
      <x:c r="B112" s="9" t="str">
        <x:v>Size Recognition</x:v>
      </x:c>
      <x:c r="C112" s="10" t="n">
        <x:v>11</x:v>
      </x:c>
      <x:c r="D112" s="9" t="str">
        <x:v>Put the largest object in the bowl.</x:v>
      </x:c>
      <x:c r="E112" s="9" t="str">
        <x:v>Bowl: empty. Table, robot-left→robot-right: P1 juggling ball; P2 red pencil sharpener; P3 green block; P4 crushed Pepsi can. Adjacent centers 16 cm apart; row centered on the workspace; all objects fully visible and grasp paths clear.</x:v>
      </x:c>
      <x:c r="F112" s="9" t="str">
        <x:v>MOVE crushed Pepsi can to bowl</x:v>
      </x:c>
      <x:c r="G112" s="9"/>
      <x:c r="H112" s="9" t="str">
        <x:v>In-distribution concept baseline</x:v>
      </x:c>
      <x:c r="I112" s="9" t="str">
        <x:v>SZ-ID-PC03</x:v>
      </x:c>
      <x:c r="J112" s="9" t="str">
        <x:v>largest</x:v>
      </x:c>
      <x:c r="K112" s="9"/>
      <x:c r="L112" s="9" t="str">
        <x:v>1157</x:v>
      </x:c>
      <x:c r="M112" s="9"/>
      <x:c r="N112" s="9"/>
      <x:c r="O112" s="9" t="str">
        <x:v>Build the listed manifest-supported scene.</x:v>
      </x:c>
      <x:c r="P112" s="9" t="str">
        <x:v>Exact prompt and object composition from training episode 1157; this establishes the familiar largest × crushed Pepsi can cell.</x:v>
      </x:c>
      <x:c r="Q112" s="9"/>
      <x:c r="R112" s="10" t="n">
        <x:v>4</x:v>
      </x:c>
      <x:c r="S112" s="10"/>
      <x:c r="T112" s="9"/>
      <x:c r="U112" s="9"/>
      <x:c r="V112" s="9"/>
      <x:c r="W112" s="9"/>
      <x:c r="X112" s="10"/>
      <x:c r="Y112" s="10"/>
      <x:c r="Z112" s="9"/>
      <x:c r="AA112" s="9"/>
      <x:c r="AB112" s="9"/>
      <x:c r="AC112" s="9"/>
      <x:c r="AD112" s="9" t="str">
        <x:v>crushed Pepsi can</x:v>
      </x:c>
      <x:c r="AE112" s="9"/>
      <x:c r="AF112" s="9"/>
      <x:c r="AG112" s="9"/>
      <x:c r="AH112" s="9" t="str">
        <x:v>Right</x:v>
      </x:c>
      <x:c r="AI112" s="11" t="n">
        <x:v>16</x:v>
      </x:c>
      <x:c r="AJ112" s="9" t="str">
        <x:v>Explicitly trained largest × crushed Pepsi can</x:v>
      </x:c>
      <x:c r="AK112" s="9" t="str">
        <x:v>Eval_Size_Recognition (1).xlsm</x:v>
      </x:c>
      <x:c r="AL112" s="9" t="str">
        <x:v>GR00T Results</x:v>
      </x:c>
      <x:c r="AM112" s="9" t="n">
        <x:v>13</x:v>
      </x:c>
      <x:c r="AN112" s="9" t="n">
        <x:v>13</x:v>
      </x:c>
    </x:row>
    <x:row r="113">
      <x:c r="A113" s="9" t="str">
        <x:v>Success</x:v>
      </x:c>
      <x:c r="B113" s="9" t="str">
        <x:v>Size Recognition</x:v>
      </x:c>
      <x:c r="C113" s="10" t="n">
        <x:v>12</x:v>
      </x:c>
      <x:c r="D113" s="9" t="str">
        <x:v>Put the smallest object in the bowl.</x:v>
      </x:c>
      <x:c r="E113" s="9" t="str">
        <x:v>Bowl: empty. Table, robot-left→robot-right: P1 green block; P2 juggling ball; P3 crushed Pepsi can; P4 red pencil sharpener. Adjacent centers 8 cm apart; row shifted 4 cm toward the robot; all objects fully visible and grasp paths clear.</x:v>
      </x:c>
      <x:c r="F113" s="9" t="str">
        <x:v>MOVE red pencil sharpener to bowl</x:v>
      </x:c>
      <x:c r="G113" s="9"/>
      <x:c r="H113" s="9" t="str">
        <x:v>In-distribution concept baseline</x:v>
      </x:c>
      <x:c r="I113" s="9" t="str">
        <x:v>SZ-ID-SH04</x:v>
      </x:c>
      <x:c r="J113" s="9" t="str">
        <x:v>smallest</x:v>
      </x:c>
      <x:c r="K113" s="9"/>
      <x:c r="L113" s="9" t="str">
        <x:v>1008</x:v>
      </x:c>
      <x:c r="M113" s="9"/>
      <x:c r="N113" s="9"/>
      <x:c r="O113" s="9" t="str">
        <x:v>Build the listed manifest-supported scene.</x:v>
      </x:c>
      <x:c r="P113" s="9" t="str">
        <x:v>Exact prompt and object composition from training episode 1008; this establishes the familiar smallest × red pencil sharpener cell.</x:v>
      </x:c>
      <x:c r="Q113" s="9"/>
      <x:c r="R113" s="10" t="n">
        <x:v>4</x:v>
      </x:c>
      <x:c r="S113" s="10"/>
      <x:c r="T113" s="9"/>
      <x:c r="U113" s="9"/>
      <x:c r="V113" s="9"/>
      <x:c r="W113" s="9"/>
      <x:c r="X113" s="10"/>
      <x:c r="Y113" s="10"/>
      <x:c r="Z113" s="9"/>
      <x:c r="AA113" s="9"/>
      <x:c r="AB113" s="9"/>
      <x:c r="AC113" s="9"/>
      <x:c r="AD113" s="9" t="str">
        <x:v>red pencil sharpener</x:v>
      </x:c>
      <x:c r="AE113" s="9"/>
      <x:c r="AF113" s="9"/>
      <x:c r="AG113" s="9"/>
      <x:c r="AH113" s="9" t="str">
        <x:v>Right</x:v>
      </x:c>
      <x:c r="AI113" s="11" t="n">
        <x:v>8</x:v>
      </x:c>
      <x:c r="AJ113" s="9" t="str">
        <x:v>Explicitly trained smallest × red pencil sharpener</x:v>
      </x:c>
      <x:c r="AK113" s="9" t="str">
        <x:v>Eval_Size_Recognition (1).xlsm</x:v>
      </x:c>
      <x:c r="AL113" s="9" t="str">
        <x:v>GR00T Results</x:v>
      </x:c>
      <x:c r="AM113" s="9" t="n">
        <x:v>14</x:v>
      </x:c>
      <x:c r="AN113" s="9" t="n">
        <x:v>14</x:v>
      </x:c>
    </x:row>
    <x:row r="114">
      <x:c r="A114" s="9" t="str">
        <x:v>Failure</x:v>
      </x:c>
      <x:c r="B114" s="9" t="str">
        <x:v>Size Recognition</x:v>
      </x:c>
      <x:c r="C114" s="10" t="n">
        <x:v>13</x:v>
      </x:c>
      <x:c r="D114" s="9" t="str">
        <x:v>Put the smallest object in the bowl.</x:v>
      </x:c>
      <x:c r="E114" s="9" t="str">
        <x:v>Bowl: empty. Table, robot-left→robot-right: P1 green block; P2 juggling ball; P3 crushed Pepsi can. Adjacent centers 12 cm apart; row shifted 4 cm away from the robot; all objects fully visible and grasp paths clear.</x:v>
      </x:c>
      <x:c r="F114" s="9" t="str">
        <x:v>MOVE green block to bowl</x:v>
      </x:c>
      <x:c r="G114" s="9" t="str">
        <x:v>picked pepsi can</x:v>
      </x:c>
      <x:c r="H114" s="9" t="str">
        <x:v>In-distribution concept baseline</x:v>
      </x:c>
      <x:c r="I114" s="9" t="str">
        <x:v>SZ-ID-GB04</x:v>
      </x:c>
      <x:c r="J114" s="9" t="str">
        <x:v>smallest</x:v>
      </x:c>
      <x:c r="K114" s="9"/>
      <x:c r="L114" s="9" t="str">
        <x:v>1053</x:v>
      </x:c>
      <x:c r="M114" s="9"/>
      <x:c r="N114" s="9"/>
      <x:c r="O114" s="9" t="str">
        <x:v>Build the listed manifest-supported scene.</x:v>
      </x:c>
      <x:c r="P114" s="9" t="str">
        <x:v>Exact prompt and object composition from training episode 1053; this establishes the familiar smallest × green block cell.</x:v>
      </x:c>
      <x:c r="Q114" s="9"/>
      <x:c r="R114" s="10" t="n">
        <x:v>3</x:v>
      </x:c>
      <x:c r="S114" s="10"/>
      <x:c r="T114" s="9"/>
      <x:c r="U114" s="9"/>
      <x:c r="V114" s="9"/>
      <x:c r="W114" s="9"/>
      <x:c r="X114" s="10"/>
      <x:c r="Y114" s="10"/>
      <x:c r="Z114" s="9"/>
      <x:c r="AA114" s="9"/>
      <x:c r="AB114" s="9"/>
      <x:c r="AC114" s="9"/>
      <x:c r="AD114" s="9" t="str">
        <x:v>green block</x:v>
      </x:c>
      <x:c r="AE114" s="9"/>
      <x:c r="AF114" s="9"/>
      <x:c r="AG114" s="9"/>
      <x:c r="AH114" s="9" t="str">
        <x:v>Left</x:v>
      </x:c>
      <x:c r="AI114" s="11" t="n">
        <x:v>12</x:v>
      </x:c>
      <x:c r="AJ114" s="9" t="str">
        <x:v>Explicitly trained smallest × green block</x:v>
      </x:c>
      <x:c r="AK114" s="9" t="str">
        <x:v>Eval_Size_Recognition (1).xlsm</x:v>
      </x:c>
      <x:c r="AL114" s="9" t="str">
        <x:v>GR00T Results</x:v>
      </x:c>
      <x:c r="AM114" s="9" t="n">
        <x:v>15</x:v>
      </x:c>
      <x:c r="AN114" s="9" t="n">
        <x:v>15</x:v>
      </x:c>
    </x:row>
    <x:row r="115">
      <x:c r="A115" s="9" t="str">
        <x:v>Failure</x:v>
      </x:c>
      <x:c r="B115" s="9" t="str">
        <x:v>Size Recognition</x:v>
      </x:c>
      <x:c r="C115" s="10" t="n">
        <x:v>14</x:v>
      </x:c>
      <x:c r="D115" s="9" t="str">
        <x:v>Pick up the largest item and place it in the bowl.</x:v>
      </x:c>
      <x:c r="E115" s="9" t="str">
        <x:v>Bowl: empty. Table, robot-left→robot-right: P1 green block; P2 red pencil sharpener; P3 juggling ball. Adjacent centers 16 cm apart; row centered on the workspace; all objects fully visible and grasp paths clear.</x:v>
      </x:c>
      <x:c r="F115" s="9" t="str">
        <x:v>MOVE juggling ball to bowl</x:v>
      </x:c>
      <x:c r="G115" s="9" t="str">
        <x:v>didn't move</x:v>
      </x:c>
      <x:c r="H115" s="9" t="str">
        <x:v>In-distribution concept baseline</x:v>
      </x:c>
      <x:c r="I115" s="9" t="str">
        <x:v>SZ-ID-JB04</x:v>
      </x:c>
      <x:c r="J115" s="9" t="str">
        <x:v>largest</x:v>
      </x:c>
      <x:c r="K115" s="9"/>
      <x:c r="L115" s="9" t="str">
        <x:v>1128</x:v>
      </x:c>
      <x:c r="M115" s="9"/>
      <x:c r="N115" s="9"/>
      <x:c r="O115" s="9" t="str">
        <x:v>Build the listed manifest-supported scene.</x:v>
      </x:c>
      <x:c r="P115" s="9" t="str">
        <x:v>Exact prompt and object composition from training episode 1128; this establishes the familiar largest × juggling ball cell.</x:v>
      </x:c>
      <x:c r="Q115" s="9"/>
      <x:c r="R115" s="10" t="n">
        <x:v>3</x:v>
      </x:c>
      <x:c r="S115" s="10"/>
      <x:c r="T115" s="9"/>
      <x:c r="U115" s="9"/>
      <x:c r="V115" s="9"/>
      <x:c r="W115" s="9"/>
      <x:c r="X115" s="10"/>
      <x:c r="Y115" s="10"/>
      <x:c r="Z115" s="9"/>
      <x:c r="AA115" s="9"/>
      <x:c r="AB115" s="9"/>
      <x:c r="AC115" s="9"/>
      <x:c r="AD115" s="9" t="str">
        <x:v>juggling ball</x:v>
      </x:c>
      <x:c r="AE115" s="9"/>
      <x:c r="AF115" s="9"/>
      <x:c r="AG115" s="9"/>
      <x:c r="AH115" s="9" t="str">
        <x:v>Right</x:v>
      </x:c>
      <x:c r="AI115" s="11" t="n">
        <x:v>16</x:v>
      </x:c>
      <x:c r="AJ115" s="9" t="str">
        <x:v>Explicitly trained largest × juggling ball</x:v>
      </x:c>
      <x:c r="AK115" s="9" t="str">
        <x:v>Eval_Size_Recognition (1).xlsm</x:v>
      </x:c>
      <x:c r="AL115" s="9" t="str">
        <x:v>GR00T Results</x:v>
      </x:c>
      <x:c r="AM115" s="9" t="n">
        <x:v>16</x:v>
      </x:c>
      <x:c r="AN115" s="9" t="n">
        <x:v>16</x:v>
      </x:c>
    </x:row>
    <x:row r="116">
      <x:c r="A116" s="9" t="str">
        <x:v>Failure</x:v>
      </x:c>
      <x:c r="B116" s="9" t="str">
        <x:v>Size Recognition</x:v>
      </x:c>
      <x:c r="C116" s="10" t="n">
        <x:v>15</x:v>
      </x:c>
      <x:c r="D116" s="9" t="str">
        <x:v>Put the largest object in the bowl.</x:v>
      </x:c>
      <x:c r="E116" s="9" t="str">
        <x:v>Bowl: empty. Table, robot-left→robot-right: P1 crushed Pepsi can; P2 red pencil sharpener; P3 green block; P4 juggling ball. Adjacent centers 8 cm apart; row shifted 4 cm toward robot-left; all objects fully visible and grasp paths clear.</x:v>
      </x:c>
      <x:c r="F116" s="9" t="str">
        <x:v>MOVE crushed Pepsi can to bowl</x:v>
      </x:c>
      <x:c r="G116" s="9" t="str">
        <x:v>picked green block</x:v>
      </x:c>
      <x:c r="H116" s="9" t="str">
        <x:v>In-distribution concept baseline</x:v>
      </x:c>
      <x:c r="I116" s="9" t="str">
        <x:v>SZ-ID-PC04</x:v>
      </x:c>
      <x:c r="J116" s="9" t="str">
        <x:v>largest</x:v>
      </x:c>
      <x:c r="K116" s="9"/>
      <x:c r="L116" s="9" t="str">
        <x:v>1158</x:v>
      </x:c>
      <x:c r="M116" s="9"/>
      <x:c r="N116" s="9"/>
      <x:c r="O116" s="9" t="str">
        <x:v>Build the listed manifest-supported scene.</x:v>
      </x:c>
      <x:c r="P116" s="9" t="str">
        <x:v>Exact prompt and object composition from training episode 1158; this establishes the familiar largest × crushed Pepsi can cell.</x:v>
      </x:c>
      <x:c r="Q116" s="9"/>
      <x:c r="R116" s="10" t="n">
        <x:v>4</x:v>
      </x:c>
      <x:c r="S116" s="10"/>
      <x:c r="T116" s="9"/>
      <x:c r="U116" s="9"/>
      <x:c r="V116" s="9"/>
      <x:c r="W116" s="9"/>
      <x:c r="X116" s="10"/>
      <x:c r="Y116" s="10"/>
      <x:c r="Z116" s="9"/>
      <x:c r="AA116" s="9"/>
      <x:c r="AB116" s="9"/>
      <x:c r="AC116" s="9"/>
      <x:c r="AD116" s="9" t="str">
        <x:v>crushed Pepsi can</x:v>
      </x:c>
      <x:c r="AE116" s="9"/>
      <x:c r="AF116" s="9"/>
      <x:c r="AG116" s="9"/>
      <x:c r="AH116" s="9" t="str">
        <x:v>Left</x:v>
      </x:c>
      <x:c r="AI116" s="11" t="n">
        <x:v>8</x:v>
      </x:c>
      <x:c r="AJ116" s="9" t="str">
        <x:v>Explicitly trained largest × crushed Pepsi can</x:v>
      </x:c>
      <x:c r="AK116" s="9" t="str">
        <x:v>Eval_Size_Recognition (1).xlsm</x:v>
      </x:c>
      <x:c r="AL116" s="9" t="str">
        <x:v>GR00T Results</x:v>
      </x:c>
      <x:c r="AM116" s="9" t="n">
        <x:v>17</x:v>
      </x:c>
      <x:c r="AN116" s="9" t="n">
        <x:v>17</x:v>
      </x:c>
    </x:row>
    <x:row r="117">
      <x:c r="A117" s="9" t="str">
        <x:v>Success</x:v>
      </x:c>
      <x:c r="B117" s="9" t="str">
        <x:v>Size Recognition</x:v>
      </x:c>
      <x:c r="C117" s="10" t="n">
        <x:v>16</x:v>
      </x:c>
      <x:c r="D117" s="9" t="str">
        <x:v>Move the object that is smallest into the bowl.</x:v>
      </x:c>
      <x:c r="E117" s="9" t="str">
        <x:v>Bowl: empty. Table, robot-left→robot-right: P1 red pencil sharpener; P2 juggling ball; P3 crushed Pepsi can; P4 green block. Adjacent centers 12 cm apart; row shifted 4 cm away from the robot; all objects fully visible and grasp paths clear.</x:v>
      </x:c>
      <x:c r="F117" s="9" t="str">
        <x:v>MOVE red pencil sharpener to bowl</x:v>
      </x:c>
      <x:c r="G117" s="9"/>
      <x:c r="H117" s="9" t="str">
        <x:v>In-distribution concept baseline</x:v>
      </x:c>
      <x:c r="I117" s="9" t="str">
        <x:v>SZ-ID-SH05</x:v>
      </x:c>
      <x:c r="J117" s="9" t="str">
        <x:v>smallest</x:v>
      </x:c>
      <x:c r="K117" s="9"/>
      <x:c r="L117" s="9" t="str">
        <x:v>1009</x:v>
      </x:c>
      <x:c r="M117" s="9"/>
      <x:c r="N117" s="9"/>
      <x:c r="O117" s="9" t="str">
        <x:v>Build the listed manifest-supported scene.</x:v>
      </x:c>
      <x:c r="P117" s="9" t="str">
        <x:v>Exact prompt and object composition from training episode 1009; this establishes the familiar smallest × red pencil sharpener cell.</x:v>
      </x:c>
      <x:c r="Q117" s="9"/>
      <x:c r="R117" s="10" t="n">
        <x:v>4</x:v>
      </x:c>
      <x:c r="S117" s="10"/>
      <x:c r="T117" s="9"/>
      <x:c r="U117" s="9"/>
      <x:c r="V117" s="9"/>
      <x:c r="W117" s="9"/>
      <x:c r="X117" s="10"/>
      <x:c r="Y117" s="10"/>
      <x:c r="Z117" s="9"/>
      <x:c r="AA117" s="9"/>
      <x:c r="AB117" s="9"/>
      <x:c r="AC117" s="9"/>
      <x:c r="AD117" s="9" t="str">
        <x:v>red pencil sharpener</x:v>
      </x:c>
      <x:c r="AE117" s="9"/>
      <x:c r="AF117" s="9"/>
      <x:c r="AG117" s="9"/>
      <x:c r="AH117" s="9" t="str">
        <x:v>Left</x:v>
      </x:c>
      <x:c r="AI117" s="11" t="n">
        <x:v>12</x:v>
      </x:c>
      <x:c r="AJ117" s="9" t="str">
        <x:v>Explicitly trained smallest × red pencil sharpener</x:v>
      </x:c>
      <x:c r="AK117" s="9" t="str">
        <x:v>Eval_Size_Recognition (1).xlsm</x:v>
      </x:c>
      <x:c r="AL117" s="9" t="str">
        <x:v>GR00T Results</x:v>
      </x:c>
      <x:c r="AM117" s="9" t="n">
        <x:v>18</x:v>
      </x:c>
      <x:c r="AN117" s="9" t="n">
        <x:v>18</x:v>
      </x:c>
    </x:row>
    <x:row r="118">
      <x:c r="A118" s="9" t="str">
        <x:v>Failure</x:v>
      </x:c>
      <x:c r="B118" s="9" t="str">
        <x:v>Size Recognition</x:v>
      </x:c>
      <x:c r="C118" s="10" t="n">
        <x:v>17</x:v>
      </x:c>
      <x:c r="D118" s="9" t="str">
        <x:v>Put the smallest object in the bowl.</x:v>
      </x:c>
      <x:c r="E118" s="9" t="str">
        <x:v>Bowl: empty. Table, robot-left→robot-right: P1 crushed Pepsi can; P2 juggling ball; P3 green block. Adjacent centers 16 cm apart; row centered on the workspace; all objects fully visible and grasp paths clear.</x:v>
      </x:c>
      <x:c r="F118" s="9" t="str">
        <x:v>MOVE green block to bowl</x:v>
      </x:c>
      <x:c r="G118" s="9" t="str">
        <x:v>initially went for the green block, then went for the juggling ball</x:v>
      </x:c>
      <x:c r="H118" s="9" t="str">
        <x:v>In-distribution concept baseline</x:v>
      </x:c>
      <x:c r="I118" s="9" t="str">
        <x:v>SZ-ID-GB05</x:v>
      </x:c>
      <x:c r="J118" s="9" t="str">
        <x:v>smallest</x:v>
      </x:c>
      <x:c r="K118" s="9"/>
      <x:c r="L118" s="9" t="str">
        <x:v>1054</x:v>
      </x:c>
      <x:c r="M118" s="9"/>
      <x:c r="N118" s="9"/>
      <x:c r="O118" s="9" t="str">
        <x:v>Build the listed manifest-supported scene.</x:v>
      </x:c>
      <x:c r="P118" s="9" t="str">
        <x:v>Exact prompt and object composition from training episode 1054; this establishes the familiar smallest × green block cell.</x:v>
      </x:c>
      <x:c r="Q118" s="9"/>
      <x:c r="R118" s="10" t="n">
        <x:v>3</x:v>
      </x:c>
      <x:c r="S118" s="10"/>
      <x:c r="T118" s="9"/>
      <x:c r="U118" s="9"/>
      <x:c r="V118" s="9"/>
      <x:c r="W118" s="9"/>
      <x:c r="X118" s="10"/>
      <x:c r="Y118" s="10"/>
      <x:c r="Z118" s="9"/>
      <x:c r="AA118" s="9"/>
      <x:c r="AB118" s="9"/>
      <x:c r="AC118" s="9"/>
      <x:c r="AD118" s="9" t="str">
        <x:v>green block</x:v>
      </x:c>
      <x:c r="AE118" s="9"/>
      <x:c r="AF118" s="9"/>
      <x:c r="AG118" s="9"/>
      <x:c r="AH118" s="9" t="str">
        <x:v>Right</x:v>
      </x:c>
      <x:c r="AI118" s="11" t="n">
        <x:v>16</x:v>
      </x:c>
      <x:c r="AJ118" s="9" t="str">
        <x:v>Explicitly trained smallest × green block</x:v>
      </x:c>
      <x:c r="AK118" s="9" t="str">
        <x:v>Eval_Size_Recognition (1).xlsm</x:v>
      </x:c>
      <x:c r="AL118" s="9" t="str">
        <x:v>GR00T Results</x:v>
      </x:c>
      <x:c r="AM118" s="9" t="n">
        <x:v>19</x:v>
      </x:c>
      <x:c r="AN118" s="9" t="n">
        <x:v>19</x:v>
      </x:c>
    </x:row>
    <x:row r="119">
      <x:c r="A119" s="9" t="str">
        <x:v>Failure</x:v>
      </x:c>
      <x:c r="B119" s="9" t="str">
        <x:v>Size Recognition</x:v>
      </x:c>
      <x:c r="C119" s="10" t="n">
        <x:v>18</x:v>
      </x:c>
      <x:c r="D119" s="9" t="str">
        <x:v>Put the largest object in the bowl.</x:v>
      </x:c>
      <x:c r="E119" s="9" t="str">
        <x:v>Bowl: empty. Table, robot-left→robot-right: P1 juggling ball; P2 red pencil sharpener; P3 green block. Adjacent centers 8 cm apart; row shifted 4 cm toward robot-left; all objects fully visible and grasp paths clear.</x:v>
      </x:c>
      <x:c r="F119" s="9" t="str">
        <x:v>MOVE juggling ball to bowl</x:v>
      </x:c>
      <x:c r="G119" s="9" t="str">
        <x:v>picked green block</x:v>
      </x:c>
      <x:c r="H119" s="9" t="str">
        <x:v>In-distribution concept baseline</x:v>
      </x:c>
      <x:c r="I119" s="9" t="str">
        <x:v>SZ-ID-JB05</x:v>
      </x:c>
      <x:c r="J119" s="9" t="str">
        <x:v>largest</x:v>
      </x:c>
      <x:c r="K119" s="9"/>
      <x:c r="L119" s="9" t="str">
        <x:v>1129</x:v>
      </x:c>
      <x:c r="M119" s="9"/>
      <x:c r="N119" s="9"/>
      <x:c r="O119" s="9" t="str">
        <x:v>Build the listed manifest-supported scene.</x:v>
      </x:c>
      <x:c r="P119" s="9" t="str">
        <x:v>Exact prompt and object composition from training episode 1129; this establishes the familiar largest × juggling ball cell.</x:v>
      </x:c>
      <x:c r="Q119" s="9"/>
      <x:c r="R119" s="10" t="n">
        <x:v>3</x:v>
      </x:c>
      <x:c r="S119" s="10"/>
      <x:c r="T119" s="9"/>
      <x:c r="U119" s="9"/>
      <x:c r="V119" s="9"/>
      <x:c r="W119" s="9"/>
      <x:c r="X119" s="10"/>
      <x:c r="Y119" s="10"/>
      <x:c r="Z119" s="9"/>
      <x:c r="AA119" s="9"/>
      <x:c r="AB119" s="9"/>
      <x:c r="AC119" s="9"/>
      <x:c r="AD119" s="9" t="str">
        <x:v>juggling ball</x:v>
      </x:c>
      <x:c r="AE119" s="9"/>
      <x:c r="AF119" s="9"/>
      <x:c r="AG119" s="9"/>
      <x:c r="AH119" s="9" t="str">
        <x:v>Left</x:v>
      </x:c>
      <x:c r="AI119" s="11" t="n">
        <x:v>8</x:v>
      </x:c>
      <x:c r="AJ119" s="9" t="str">
        <x:v>Explicitly trained largest × juggling ball</x:v>
      </x:c>
      <x:c r="AK119" s="9" t="str">
        <x:v>Eval_Size_Recognition (1).xlsm</x:v>
      </x:c>
      <x:c r="AL119" s="9" t="str">
        <x:v>GR00T Results</x:v>
      </x:c>
      <x:c r="AM119" s="9" t="n">
        <x:v>20</x:v>
      </x:c>
      <x:c r="AN119" s="9" t="n">
        <x:v>20</x:v>
      </x:c>
    </x:row>
    <x:row r="120">
      <x:c r="A120" s="9" t="str">
        <x:v>Failure</x:v>
      </x:c>
      <x:c r="B120" s="9" t="str">
        <x:v>Size Recognition</x:v>
      </x:c>
      <x:c r="C120" s="10" t="n">
        <x:v>19</x:v>
      </x:c>
      <x:c r="D120" s="9" t="str">
        <x:v>Move the object that is largest into the bowl.</x:v>
      </x:c>
      <x:c r="E120" s="9" t="str">
        <x:v>Bowl: empty. Table, robot-left→robot-right: P1 green block; P2 juggling ball; P3 red pencil sharpener; P4 crushed Pepsi can. Adjacent centers 12 cm apart; row shifted 4 cm toward robot-right; all objects fully visible and grasp paths clear.</x:v>
      </x:c>
      <x:c r="F120" s="9" t="str">
        <x:v>MOVE crushed Pepsi can to bowl</x:v>
      </x:c>
      <x:c r="G120" s="9" t="str">
        <x:v>picked green block</x:v>
      </x:c>
      <x:c r="H120" s="9" t="str">
        <x:v>In-distribution concept baseline</x:v>
      </x:c>
      <x:c r="I120" s="9" t="str">
        <x:v>SZ-ID-PC05</x:v>
      </x:c>
      <x:c r="J120" s="9" t="str">
        <x:v>largest</x:v>
      </x:c>
      <x:c r="K120" s="9"/>
      <x:c r="L120" s="9" t="str">
        <x:v>1159</x:v>
      </x:c>
      <x:c r="M120" s="9"/>
      <x:c r="N120" s="9"/>
      <x:c r="O120" s="9" t="str">
        <x:v>Build the listed manifest-supported scene.</x:v>
      </x:c>
      <x:c r="P120" s="9" t="str">
        <x:v>Exact prompt and object composition from training episode 1159; this establishes the familiar largest × crushed Pepsi can cell.</x:v>
      </x:c>
      <x:c r="Q120" s="9"/>
      <x:c r="R120" s="10" t="n">
        <x:v>4</x:v>
      </x:c>
      <x:c r="S120" s="10"/>
      <x:c r="T120" s="9"/>
      <x:c r="U120" s="9"/>
      <x:c r="V120" s="9"/>
      <x:c r="W120" s="9"/>
      <x:c r="X120" s="10"/>
      <x:c r="Y120" s="10"/>
      <x:c r="Z120" s="9"/>
      <x:c r="AA120" s="9"/>
      <x:c r="AB120" s="9"/>
      <x:c r="AC120" s="9"/>
      <x:c r="AD120" s="9" t="str">
        <x:v>crushed Pepsi can</x:v>
      </x:c>
      <x:c r="AE120" s="9"/>
      <x:c r="AF120" s="9"/>
      <x:c r="AG120" s="9"/>
      <x:c r="AH120" s="9" t="str">
        <x:v>Right</x:v>
      </x:c>
      <x:c r="AI120" s="11" t="n">
        <x:v>12</x:v>
      </x:c>
      <x:c r="AJ120" s="9" t="str">
        <x:v>Explicitly trained largest × crushed Pepsi can</x:v>
      </x:c>
      <x:c r="AK120" s="9" t="str">
        <x:v>Eval_Size_Recognition (1).xlsm</x:v>
      </x:c>
      <x:c r="AL120" s="9" t="str">
        <x:v>GR00T Results</x:v>
      </x:c>
      <x:c r="AM120" s="9" t="n">
        <x:v>21</x:v>
      </x:c>
      <x:c r="AN120" s="9" t="n">
        <x:v>21</x:v>
      </x:c>
    </x:row>
  </x:sheetData>
  <x:conditionalFormatting sqref="A2:A120">
    <x:cfRule type="containsText" dxfId="4" priority="1" operator="containsText" text="Success"/>
    <x:cfRule type="containsText" dxfId="5" priority="2" operator="containsText" text="Failure"/>
  </x:conditionalFormatting>
  <x:dataValidations count="1">
    <x:dataValidation type="list" sqref="A2:A120">
      <x:formula1>"Success,Failure"</x:formula1>
    </x:dataValidation>
  </x:dataValidations>
  <x:pageMargins left="0.7" right="0.7" top="0.75" bottom="0.75" header="0.3" footer="0.3"/>
  <x:tableParts count="1">
    <x:tablePart xmlns:r="http://schemas.openxmlformats.org/officeDocument/2006/relationships" r:id="R65cb3b40736d4c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MolmoAct2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MolmoAct2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MolmoAct2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MolmoAct2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MolmoAct2 Results</x:v>
      </x:c>
      <x:c r="AM6" s="9" t="n">
        <x:v>6</x:v>
      </x:c>
      <x:c r="AN6" s="9" t="n">
        <x:v>6</x:v>
      </x:c>
    </x:row>
    <x:row r="7">
      <x:c r="A7" s="9" t="str">
        <x:v>Success</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MolmoAct2 Results</x:v>
      </x:c>
      <x:c r="AM7" s="9" t="n">
        <x:v>7</x:v>
      </x:c>
      <x:c r="AN7" s="9" t="n">
        <x:v>7</x:v>
      </x:c>
    </x:row>
    <x:row r="8">
      <x:c r="A8" s="9" t="str">
        <x:v>Success</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MolmoAct2 Results</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MolmoAct2 Results</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MolmoAct2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MolmoAct2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MolmoAct2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MolmoAct2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MolmoAct2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MolmoAct2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MolmoAct2 Results</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put upside down striped cup in bowl</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MolmoAct2 Results</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MolmoAct2 Results</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moved between the two cups, started going for upside down cup, knocked it over, then in recovery, went for the upside down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MolmoAct2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MolmoAct2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MolmoAct2 Results</x:v>
      </x:c>
      <x:c r="AM21" s="9" t="n">
        <x:v>21</x:v>
      </x:c>
      <x:c r="AN21" s="9" t="n">
        <x:v>21</x:v>
      </x:c>
    </x:row>
    <x:row r="22">
      <x:c r="A22" s="9" t="str">
        <x:v>Success</x:v>
      </x:c>
      <x:c r="B22" s="9" t="str">
        <x:v>State Recognition</x:v>
      </x:c>
      <x:c r="C22" s="10" t="n">
        <x:v>20</x:v>
      </x:c>
      <x:c r="D22" s="9" t="str">
        <x:v>Place the upside-down white cup in the bowl.</x:v>
      </x:c>
      <x:c r="E22" s="9" t="str">
        <x:v>white cup A (C, UD); white cup B (C, RU)</x:v>
      </x:c>
      <x:c r="F22" s="9" t="str">
        <x:v>white cup A</x:v>
      </x:c>
      <x:c r="G22" s="9"/>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MolmoAct2 Results</x:v>
      </x:c>
      <x:c r="AM22" s="9" t="n">
        <x:v>22</x:v>
      </x:c>
      <x:c r="AN22" s="9" t="n">
        <x:v>22</x:v>
      </x:c>
    </x:row>
    <x:row r="23">
      <x:c r="A23" s="9" t="str">
        <x:v>Success</x:v>
      </x:c>
      <x:c r="B23" s="9" t="str">
        <x:v>State Recognition</x:v>
      </x:c>
      <x:c r="C23" s="10" t="n">
        <x:v>21</x:v>
      </x:c>
      <x:c r="D23" s="9" t="str">
        <x:v>Put a white cup in the bowl.</x:v>
      </x:c>
      <x:c r="E23" s="9" t="str">
        <x:v>white cup A (C, UD); yellow-white striped cup A (C, RU)</x:v>
      </x:c>
      <x:c r="F23" s="9" t="str">
        <x:v>white cup A</x:v>
      </x:c>
      <x:c r="G23" s="9"/>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MolmoAct2 Results</x:v>
      </x:c>
      <x:c r="AM23" s="9" t="n">
        <x:v>23</x:v>
      </x:c>
      <x:c r="AN23" s="9" t="n">
        <x:v>23</x:v>
      </x:c>
    </x:row>
    <x:row r="24">
      <x:c r="A24" s="9" t="str">
        <x:v>Success</x:v>
      </x:c>
      <x:c r="B24" s="9" t="str">
        <x:v>State Recognition</x:v>
      </x:c>
      <x:c r="C24" s="10" t="n">
        <x:v>22</x:v>
      </x:c>
      <x:c r="D24" s="9" t="str">
        <x:v>Move the inverted white cup into the bowl.</x:v>
      </x:c>
      <x:c r="E24" s="9" t="str">
        <x:v>white cup A (C, UD); white cup B (C, RU)</x:v>
      </x:c>
      <x:c r="F24" s="9" t="str">
        <x:v>white cup A</x:v>
      </x:c>
      <x:c r="G24" s="9"/>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MolmoAct2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MolmoAct2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MolmoAct2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MolmoAct2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MolmoAct2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MolmoAct2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picked upside down container</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MolmoAct2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MolmoAct2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picked upside down container</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MolmoAct2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MolmoAct2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MolmoAct2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MolmoAct2 Results</x:v>
      </x:c>
      <x:c r="AM35" s="9" t="n">
        <x:v>35</x:v>
      </x:c>
      <x:c r="AN35" s="9" t="n">
        <x:v>35</x:v>
      </x:c>
    </x:row>
    <x:row r="36">
      <x:c r="A36" s="9" t="str">
        <x:v>Success</x:v>
      </x:c>
      <x:c r="B36" s="9" t="str">
        <x:v>State Recognition</x:v>
      </x:c>
      <x:c r="C36" s="10" t="n">
        <x:v>34</x:v>
      </x:c>
      <x:c r="D36" s="9" t="str">
        <x:v>Move the inverted white cup into the bowl.</x:v>
      </x:c>
      <x:c r="E36" s="9" t="str">
        <x:v>white cup A (O, UD); white cup B (O, RU); brown cup A (C, RU)</x:v>
      </x:c>
      <x:c r="F36" s="9" t="str">
        <x:v>white cup A</x:v>
      </x:c>
      <x:c r="G36" s="9"/>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MolmoAct2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MolmoAct2 Results</x:v>
      </x:c>
      <x:c r="AM37" s="9" t="n">
        <x:v>37</x:v>
      </x:c>
      <x:c r="AN37" s="9" t="n">
        <x:v>37</x:v>
      </x:c>
    </x:row>
    <x:row r="38">
      <x:c r="A38" s="9" t="str">
        <x:v>Success</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MolmoAct2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MolmoAct2 Results</x:v>
      </x:c>
      <x:c r="AM39" s="9" t="n">
        <x:v>39</x:v>
      </x:c>
      <x:c r="AN39" s="9" t="n">
        <x:v>39</x:v>
      </x:c>
    </x:row>
    <x:row r="40">
      <x:c r="A40" s="9" t="str">
        <x:v>Success</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MolmoAct2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MolmoAct2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grabbed closed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MolmoAct2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MolmoAct2 Results</x:v>
      </x:c>
      <x:c r="AM43" s="9" t="n">
        <x:v>43</x:v>
      </x:c>
      <x:c r="AN43" s="9" t="n">
        <x:v>43</x:v>
      </x:c>
    </x:row>
    <x:row r="44">
      <x:c r="A44" s="9" t="str">
        <x:v>Failure</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t="str">
        <x:v>grabbed closed cup</x:v>
      </x:c>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MolmoAct2 Results</x:v>
      </x:c>
      <x:c r="AM44" s="9" t="n">
        <x:v>44</x:v>
      </x:c>
      <x:c r="AN44" s="9" t="n">
        <x:v>44</x:v>
      </x:c>
    </x:row>
    <x:row r="45">
      <x:c r="A45" s="9" t="str">
        <x:v>Success</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MolmoAct2 Results</x:v>
      </x:c>
      <x:c r="AM45" s="9" t="n">
        <x:v>45</x:v>
      </x:c>
      <x:c r="AN45" s="9" t="n">
        <x:v>45</x:v>
      </x:c>
    </x:row>
    <x:row r="46">
      <x:c r="A46" s="9" t="str">
        <x:v>Success</x:v>
      </x:c>
      <x:c r="B46" s="9" t="str">
        <x:v>State Recognition</x:v>
      </x:c>
      <x:c r="C46" s="10" t="n">
        <x:v>44</x:v>
      </x:c>
      <x:c r="D46" s="9" t="str">
        <x:v>Place the closed brown cup in the bowl.</x:v>
      </x:c>
      <x:c r="E46" s="9" t="str">
        <x:v>brown cup A (C, RU); brown cup B (O, RU)</x:v>
      </x:c>
      <x:c r="F46" s="9" t="str">
        <x:v>brown cup A</x:v>
      </x:c>
      <x:c r="G46" s="9"/>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MolmoAct2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MolmoAct2 Results</x:v>
      </x:c>
      <x:c r="AM47" s="9" t="n">
        <x:v>47</x:v>
      </x:c>
      <x:c r="AN47" s="9" t="n">
        <x:v>47</x:v>
      </x:c>
    </x:row>
    <x:row r="48">
      <x:c r="A48" s="9" t="str">
        <x:v>Success</x:v>
      </x:c>
      <x:c r="B48" s="9" t="str">
        <x:v>State Recognition</x:v>
      </x:c>
      <x:c r="C48" s="10" t="n">
        <x:v>46</x:v>
      </x:c>
      <x:c r="D48" s="9" t="str">
        <x:v>Move the brown cup whose opening is covered into the bowl.</x:v>
      </x:c>
      <x:c r="E48" s="9" t="str">
        <x:v>brown cup A (C, RU); brown cup B (O, RU)</x:v>
      </x:c>
      <x:c r="F48" s="9" t="str">
        <x:v>brown cup A</x:v>
      </x:c>
      <x:c r="G48" s="9"/>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MolmoAct2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MolmoAct2 Results</x:v>
      </x:c>
      <x:c r="AM49" s="9" t="n">
        <x:v>49</x:v>
      </x:c>
      <x:c r="AN49" s="9" t="n">
        <x:v>49</x:v>
      </x:c>
    </x:row>
    <x:row r="50">
      <x:c r="A50" s="9" t="str">
        <x:v>Success</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MolmoAct2 Results</x:v>
      </x:c>
      <x:c r="AM50" s="9" t="n">
        <x:v>50</x:v>
      </x:c>
      <x:c r="AN50" s="9" t="n">
        <x:v>50</x:v>
      </x:c>
    </x:row>
    <x:row r="51">
      <x:c r="A51" s="9" t="str">
        <x:v>Success</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MolmoAct2 Results</x:v>
      </x:c>
      <x:c r="AM51" s="9" t="n">
        <x:v>51</x:v>
      </x:c>
      <x:c r="AN51" s="9" t="n">
        <x:v>51</x:v>
      </x:c>
    </x:row>
    <x:row r="52">
      <x:c r="A52" s="9" t="str">
        <x:v>Success</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MolmoAct2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MolmoAct2 Results</x:v>
      </x:c>
      <x:c r="AM53" s="9" t="n">
        <x:v>53</x:v>
      </x:c>
      <x:c r="AN53" s="9" t="n">
        <x:v>53</x:v>
      </x:c>
    </x:row>
    <x:row r="54">
      <x:c r="A54" s="9" t="str">
        <x:v>Success</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MolmoAct2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MolmoAct2 Results</x:v>
      </x:c>
      <x:c r="AM55" s="9" t="n">
        <x:v>55</x:v>
      </x:c>
      <x:c r="AN55" s="9" t="n">
        <x:v>55</x:v>
      </x:c>
    </x:row>
    <x:row r="56">
      <x:c r="A56" s="9" t="str">
        <x:v>Success</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MolmoAct2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MolmoAct2 Results</x:v>
      </x:c>
      <x:c r="AM57" s="9" t="n">
        <x:v>57</x:v>
      </x:c>
      <x:c r="AN57" s="9" t="n">
        <x:v>57</x:v>
      </x:c>
    </x:row>
    <x:row r="58">
      <x:c r="A58" s="9" t="str">
        <x:v>Success</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MolmoAct2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MolmoAct2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MolmoAct2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MolmoAct2 Results</x:v>
      </x:c>
      <x:c r="AM61" s="9" t="n">
        <x:v>61</x:v>
      </x:c>
      <x:c r="AN61" s="9" t="n">
        <x:v>61</x:v>
      </x:c>
    </x:row>
    <x:row r="62">
      <x:c r="A62" s="9" t="str">
        <x:v>Success</x:v>
      </x:c>
      <x:c r="B62" s="9" t="str">
        <x:v>State Recognition</x:v>
      </x:c>
      <x:c r="C62" s="10" t="n">
        <x:v>60</x:v>
      </x:c>
      <x:c r="D62" s="9" t="str">
        <x:v>Place the closed brown cup in the bowl.</x:v>
      </x:c>
      <x:c r="E62" s="9" t="str">
        <x:v>brown cup A (C, RU); brown cup B (O, RU); yellow-white striped cup A (C, RU)</x:v>
      </x:c>
      <x:c r="F62" s="9" t="str">
        <x:v>brown cup A</x:v>
      </x:c>
      <x:c r="G62" s="9"/>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MolmoAct2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MolmoAct2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the upside down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MolmoAct2 Results</x:v>
      </x:c>
      <x:c r="AM64" s="9" t="n">
        <x:v>64</x:v>
      </x:c>
      <x:c r="AN64" s="9" t="n">
        <x:v>64</x:v>
      </x:c>
    </x:row>
    <x:row r="65">
      <x:c r="A65" s="9" t="str">
        <x:v>Success</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MolmoAct2 Results</x:v>
      </x:c>
      <x:c r="AM65" s="9" t="n">
        <x:v>65</x:v>
      </x:c>
      <x:c r="AN65" s="9" t="n">
        <x:v>65</x:v>
      </x:c>
    </x:row>
    <x:row r="66">
      <x:c r="A66" s="9" t="str">
        <x:v>Success</x:v>
      </x:c>
      <x:c r="B66" s="9" t="str">
        <x:v>State Recognition</x:v>
      </x:c>
      <x:c r="C66" s="10" t="n">
        <x:v>64</x:v>
      </x:c>
      <x:c r="D66" s="9" t="str">
        <x:v>Place the upside-down white cup in the bowl.</x:v>
      </x:c>
      <x:c r="E66" s="9" t="str">
        <x:v>white cup A (O, UD); white cup B (O, RU)</x:v>
      </x:c>
      <x:c r="F66" s="9" t="str">
        <x:v>white cup A</x:v>
      </x:c>
      <x:c r="G66" s="9"/>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MolmoAct2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MolmoAct2 Results</x:v>
      </x:c>
      <x:c r="AM67" s="9" t="n">
        <x:v>67</x:v>
      </x:c>
      <x:c r="AN67" s="9" t="n">
        <x:v>67</x:v>
      </x:c>
    </x:row>
    <x:row r="68">
      <x:c r="A68" s="9" t="str">
        <x:v>Success</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MolmoAct2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MolmoAct2 Results</x:v>
      </x:c>
      <x:c r="AM69" s="9" t="n">
        <x:v>69</x:v>
      </x:c>
      <x:c r="AN69" s="9" t="n">
        <x:v>69</x:v>
      </x:c>
    </x:row>
    <x:row r="70">
      <x:c r="A70" s="9" t="str">
        <x:v>Success</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t="str">
        <x:v>went in between the two brown cups then got the closed one.</x:v>
      </x:c>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MolmoAct2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MolmoAct2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MolmoAct2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MolmoAct2 Results</x:v>
      </x:c>
      <x:c r="AM73" s="9" t="n">
        <x:v>73</x:v>
      </x:c>
      <x:c r="AN73" s="9" t="n">
        <x:v>73</x:v>
      </x:c>
    </x:row>
    <x:row r="74">
      <x:c r="A74" s="9" t="str">
        <x:v>Success</x:v>
      </x:c>
      <x:c r="B74" s="9" t="str">
        <x:v>State Recognition</x:v>
      </x:c>
      <x:c r="C74" s="10" t="n">
        <x:v>72</x:v>
      </x:c>
      <x:c r="D74" s="9" t="str">
        <x:v>Place the upside-down white cup in the bowl.</x:v>
      </x:c>
      <x:c r="E74" s="9" t="str">
        <x:v>white cup A (C, UD); white cup B (C, RU); brown cup A (C, RU)</x:v>
      </x:c>
      <x:c r="F74" s="9" t="str">
        <x:v>white cup A</x:v>
      </x:c>
      <x:c r="G74" s="9"/>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MolmoAct2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MolmoAct2 Results</x:v>
      </x:c>
      <x:c r="AM75" s="9" t="n">
        <x:v>75</x:v>
      </x:c>
      <x:c r="AN75" s="9" t="n">
        <x:v>75</x:v>
      </x:c>
    </x:row>
    <x:row r="76">
      <x:c r="A76" s="9" t="str">
        <x:v>Success</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MolmoAct2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MolmoAct2 Results</x:v>
      </x:c>
      <x:c r="AM77" s="9" t="n">
        <x:v>77</x:v>
      </x:c>
      <x:c r="AN77" s="9" t="n">
        <x:v>77</x:v>
      </x:c>
    </x:row>
    <x:row r="78">
      <x:c r="A78" s="9" t="str">
        <x:v>Success</x:v>
      </x:c>
      <x:c r="B78" s="9" t="str">
        <x:v>State Recognition</x:v>
      </x:c>
      <x:c r="C78" s="10" t="n">
        <x:v>76</x:v>
      </x:c>
      <x:c r="D78" s="9" t="str">
        <x:v>Place the closed brown cup in the bowl.</x:v>
      </x:c>
      <x:c r="E78" s="9" t="str">
        <x:v>brown cup A (C, RU); brown cup B (O, RU)</x:v>
      </x:c>
      <x:c r="F78" s="9" t="str">
        <x:v>brown cup A</x:v>
      </x:c>
      <x:c r="G78" s="9"/>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MolmoAct2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MolmoAct2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upside down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MolmoAct2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MolmoAct2 Results</x:v>
      </x:c>
      <x:c r="AM81" s="9" t="n">
        <x:v>81</x:v>
      </x:c>
      <x:c r="AN81" s="9" t="n">
        <x:v>81</x:v>
      </x:c>
    </x:row>
    <x:row r="82">
      <x:c r="A82" s="9" t="str">
        <x:v>Success</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MolmoAct2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MolmoAct2 Results</x:v>
      </x:c>
      <x:c r="AM83" s="9" t="n">
        <x:v>83</x:v>
      </x:c>
      <x:c r="AN83" s="9" t="n">
        <x:v>83</x:v>
      </x:c>
    </x:row>
    <x:row r="84">
      <x:c r="A84" s="9" t="str">
        <x:v>Success</x:v>
      </x:c>
      <x:c r="B84" s="9" t="str">
        <x:v>State Recognition</x:v>
      </x:c>
      <x:c r="C84" s="10" t="n">
        <x:v>82</x:v>
      </x:c>
      <x:c r="D84" s="9" t="str">
        <x:v>Place the closed brown cup in the bowl.</x:v>
      </x:c>
      <x:c r="E84" s="9" t="str">
        <x:v>brown cup A (C, RU); brown cup B (O, RU); yellow-white striped cup A (C, RU)</x:v>
      </x:c>
      <x:c r="F84" s="9" t="str">
        <x:v>brown cup A</x:v>
      </x:c>
      <x:c r="G84" s="9"/>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MolmoAct2 Results</x:v>
      </x:c>
      <x:c r="AM84" s="9" t="n">
        <x:v>84</x:v>
      </x:c>
      <x:c r="AN84" s="9" t="n">
        <x:v>84</x:v>
      </x:c>
    </x:row>
    <x:row r="85">
      <x:c r="A85" s="9" t="str">
        <x:v>Failure</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t="str">
        <x:v>placed the upside down container</x:v>
      </x:c>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MolmoAct2 Results</x:v>
      </x:c>
      <x:c r="AM85" s="9" t="n">
        <x:v>85</x:v>
      </x:c>
      <x:c r="AN85" s="9" t="n">
        <x:v>85</x:v>
      </x:c>
    </x:row>
    <x:row r="86">
      <x:c r="A86" s="9" t="str">
        <x:v>Success</x:v>
      </x:c>
      <x:c r="B86" s="9" t="str">
        <x:v>State Recognition</x:v>
      </x:c>
      <x:c r="C86" s="10" t="n">
        <x:v>84</x:v>
      </x:c>
      <x:c r="D86" s="9" t="str">
        <x:v>Place the upside-down white cup in the bowl.</x:v>
      </x:c>
      <x:c r="E86" s="9" t="str">
        <x:v>white cup A (C, UD); white cup B (C, RU)</x:v>
      </x:c>
      <x:c r="F86" s="9" t="str">
        <x:v>white cup A</x:v>
      </x:c>
      <x:c r="G86" s="9"/>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MolmoAct2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MolmoAct2 Results</x:v>
      </x:c>
      <x:c r="AM87" s="9" t="n">
        <x:v>87</x:v>
      </x:c>
      <x:c r="AN87" s="9" t="n">
        <x:v>87</x:v>
      </x:c>
    </x:row>
    <x:row r="88">
      <x:c r="A88" s="9" t="str">
        <x:v>Failure</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tried to place the closed glass container in the bowl, knocked it over, then knocked everything else over lol.  failed reasoning and grasping</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MolmoAct2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upside down one</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MolmoAct2 Results</x:v>
      </x:c>
      <x:c r="AM89" s="9" t="n">
        <x:v>89</x:v>
      </x:c>
      <x:c r="AN89" s="9" t="n">
        <x:v>89</x:v>
      </x:c>
    </x:row>
    <x:row r="90">
      <x:c r="A90" s="9" t="str">
        <x:v>Success</x:v>
      </x:c>
      <x:c r="B90" s="9" t="str">
        <x:v>State Recognition</x:v>
      </x:c>
      <x:c r="C90" s="10" t="n">
        <x:v>88</x:v>
      </x:c>
      <x:c r="D90" s="9" t="str">
        <x:v>Place the upside-down white cup in the bowl.</x:v>
      </x:c>
      <x:c r="E90" s="9" t="str">
        <x:v>white cup A (O, UD); white cup B (O, RU); brown cup A (C, RU)</x:v>
      </x:c>
      <x:c r="F90" s="9" t="str">
        <x:v>white cup A</x:v>
      </x:c>
      <x:c r="G90" s="9"/>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MolmoAct2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MolmoAct2 Results</x:v>
      </x:c>
      <x:c r="AM91" s="9" t="n">
        <x:v>91</x:v>
      </x:c>
      <x:c r="AN91" s="9" t="n">
        <x:v>91</x:v>
      </x:c>
    </x:row>
    <x:row r="92">
      <x:c r="A92" s="9" t="str">
        <x:v>Success</x:v>
      </x:c>
      <x:c r="B92" s="9" t="str">
        <x:v>State Recognition</x:v>
      </x:c>
      <x:c r="C92" s="10" t="n">
        <x:v>90</x:v>
      </x:c>
      <x:c r="D92" s="9" t="str">
        <x:v>Place the closed brown cup in the bowl.</x:v>
      </x:c>
      <x:c r="E92" s="9" t="str">
        <x:v>brown cup A (C, RU); brown cup B (O, RU)</x:v>
      </x:c>
      <x:c r="F92" s="9" t="str">
        <x:v>brown cup A</x:v>
      </x:c>
      <x:c r="G92" s="9"/>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MolmoAct2 Results</x:v>
      </x:c>
      <x:c r="AM92" s="9" t="n">
        <x:v>92</x:v>
      </x:c>
      <x:c r="AN92" s="9" t="n">
        <x:v>92</x:v>
      </x:c>
    </x:row>
    <x:row r="93">
      <x:c r="A93" s="9" t="str">
        <x:v>Failure</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t="str">
        <x:v>placed upside down jar in bowl</x:v>
      </x:c>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MolmoAct2 Results</x:v>
      </x:c>
      <x:c r="AM93" s="9" t="n">
        <x:v>93</x:v>
      </x:c>
      <x:c r="AN93" s="9" t="n">
        <x:v>93</x:v>
      </x:c>
    </x:row>
    <x:row r="94">
      <x:c r="A94" s="9" t="str">
        <x:v>Success</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MolmoAct2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MolmoAct2 Results</x:v>
      </x:c>
      <x:c r="AM95" s="9" t="n">
        <x:v>95</x:v>
      </x:c>
      <x:c r="AN95" s="9" t="n">
        <x:v>95</x:v>
      </x:c>
    </x:row>
    <x:row r="96">
      <x:c r="A96" s="9" t="str">
        <x:v>Success</x:v>
      </x:c>
      <x:c r="B96" s="9" t="str">
        <x:v>State Recognition</x:v>
      </x:c>
      <x:c r="C96" s="10" t="n">
        <x:v>94</x:v>
      </x:c>
      <x:c r="D96" s="9" t="str">
        <x:v>Place the closed brown cup in the bowl.</x:v>
      </x:c>
      <x:c r="E96" s="9" t="str">
        <x:v>brown cup A (C, RU); brown cup B (O, RU); yellow-white striped cup A (C, RU)</x:v>
      </x:c>
      <x:c r="F96" s="9" t="str">
        <x:v>brown cup A</x:v>
      </x:c>
      <x:c r="G96" s="9"/>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MolmoAct2 Results</x:v>
      </x:c>
      <x:c r="AM96" s="9" t="n">
        <x:v>96</x:v>
      </x:c>
      <x:c r="AN96" s="9" t="n">
        <x:v>96</x:v>
      </x:c>
    </x:row>
    <x:row r="97">
      <x:c r="A97" s="9" t="str">
        <x:v>Success</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MolmoAct2 Results</x:v>
      </x:c>
      <x:c r="AM97" s="9" t="n">
        <x:v>97</x:v>
      </x:c>
      <x:c r="AN97" s="9" t="n">
        <x:v>97</x:v>
      </x:c>
    </x:row>
    <x:row r="98">
      <x:c r="A98" s="9" t="str">
        <x:v>Success</x:v>
      </x:c>
      <x:c r="B98" s="9" t="str">
        <x:v>State Recognition</x:v>
      </x:c>
      <x:c r="C98" s="10" t="n">
        <x:v>96</x:v>
      </x:c>
      <x:c r="D98" s="9" t="str">
        <x:v>Place the upside-down white cup in the bowl.</x:v>
      </x:c>
      <x:c r="E98" s="9" t="str">
        <x:v>white cup A (O, UD); white cup B (O, RU)</x:v>
      </x:c>
      <x:c r="F98" s="9" t="str">
        <x:v>white cup A</x:v>
      </x:c>
      <x:c r="G98" s="9"/>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MolmoAct2 Results</x:v>
      </x:c>
      <x:c r="AM98" s="9" t="n">
        <x:v>98</x:v>
      </x:c>
      <x:c r="AN98" s="9" t="n">
        <x:v>98</x:v>
      </x:c>
    </x:row>
    <x:row r="99">
      <x:c r="A99" s="9" t="str">
        <x:v>Success</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MolmoAct2 Results</x:v>
      </x:c>
      <x:c r="AM99" s="9" t="n">
        <x:v>99</x:v>
      </x:c>
      <x:c r="AN99" s="9" t="n">
        <x:v>99</x:v>
      </x:c>
    </x:row>
    <x:row r="100">
      <x:c r="A100" s="9" t="str">
        <x:v>Success</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MolmoAct2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container, then dropped it out of range. went for the upright cup, then pushed it out of range and couldn't get it. </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MolmoAct2 Results</x:v>
      </x:c>
      <x:c r="AM101" s="9" t="n">
        <x:v>101</x:v>
      </x:c>
      <x:c r="AN101" s="9" t="n">
        <x:v>101</x:v>
      </x:c>
    </x:row>
    <x:row r="102">
      <x:c r="A102" s="9" t="str">
        <x:v>Success</x:v>
      </x:c>
      <x:c r="B102" s="9" t="str">
        <x:v>State Recognition</x:v>
      </x:c>
      <x:c r="C102" s="10" t="n">
        <x:v>100</x:v>
      </x:c>
      <x:c r="D102" s="9" t="str">
        <x:v>Place the upside-down white cup in the bowl.</x:v>
      </x:c>
      <x:c r="E102" s="9" t="str">
        <x:v>white cup A (C, UD); white cup B (C, RU); brown cup A (C, RU)</x:v>
      </x:c>
      <x:c r="F102" s="9" t="str">
        <x:v>white cup A</x:v>
      </x:c>
      <x:c r="G102" s="9"/>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MolmoAct2 Results</x:v>
      </x:c>
      <x:c r="AM102" s="9" t="n">
        <x:v>102</x:v>
      </x:c>
      <x:c r="AN102" s="9" t="n">
        <x:v>102</x:v>
      </x:c>
    </x:row>
    <x:row r="103">
      <x:c r="A103" s="9" t="str">
        <x:v>Failure</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grabbed the closed striped cup</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MolmoAct2 Results</x:v>
      </x:c>
      <x:c r="AM103" s="9" t="n">
        <x:v>103</x:v>
      </x:c>
      <x:c r="AN103" s="9" t="n">
        <x:v>103</x:v>
      </x:c>
    </x:row>
    <x:row r="104">
      <x:c r="A104" s="9" t="str">
        <x:v>Success</x:v>
      </x:c>
      <x:c r="B104" s="9" t="str">
        <x:v>State Recognition</x:v>
      </x:c>
      <x:c r="C104" s="10" t="n">
        <x:v>102</x:v>
      </x:c>
      <x:c r="D104" s="9" t="str">
        <x:v>Place the closed brown cup in the bowl.</x:v>
      </x:c>
      <x:c r="E104" s="9" t="str">
        <x:v>brown cup A (C, RU); brown cup B (O, RU)</x:v>
      </x:c>
      <x:c r="F104" s="9" t="str">
        <x:v>brown cup A</x:v>
      </x:c>
      <x:c r="G104" s="9"/>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MolmoAct2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container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MolmoAct2 Results</x:v>
      </x:c>
      <x:c r="AM105" s="9" t="n">
        <x:v>105</x:v>
      </x:c>
      <x:c r="AN105" s="9" t="n">
        <x:v>105</x:v>
      </x:c>
    </x:row>
    <x:row r="106">
      <x:c r="A106" s="9" t="str">
        <x:v>Success</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MolmoAct2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MolmoAct2 Results</x:v>
      </x:c>
      <x:c r="AM107" s="9" t="n">
        <x:v>107</x:v>
      </x:c>
      <x:c r="AN107" s="9" t="n">
        <x:v>107</x:v>
      </x:c>
    </x:row>
    <x:row r="108">
      <x:c r="A108" s="9" t="str">
        <x:v>Success</x:v>
      </x:c>
      <x:c r="B108" s="9" t="str">
        <x:v>State Recognition</x:v>
      </x:c>
      <x:c r="C108" s="10" t="n">
        <x:v>106</x:v>
      </x:c>
      <x:c r="D108" s="9" t="str">
        <x:v>Place the closed brown cup in the bowl.</x:v>
      </x:c>
      <x:c r="E108" s="9" t="str">
        <x:v>brown cup A (C, RU); brown cup B (O, RU); yellow-white striped cup A (C, RU)</x:v>
      </x:c>
      <x:c r="F108" s="9" t="str">
        <x:v>brown cup A</x:v>
      </x:c>
      <x:c r="G108" s="9"/>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MolmoAct2 Results</x:v>
      </x:c>
      <x:c r="AM108" s="9" t="n">
        <x:v>108</x:v>
      </x:c>
      <x:c r="AN108" s="9" t="n">
        <x:v>108</x:v>
      </x:c>
    </x:row>
    <x:row r="109">
      <x:c r="A109" s="9" t="str">
        <x:v>Success</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reasoning failure. picked the upside down container, dropped it, then in recovery, got the upright one.</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MolmoAct2 Results</x:v>
      </x:c>
      <x:c r="AM109" s="9" t="n">
        <x:v>109</x:v>
      </x:c>
      <x:c r="AN109" s="9" t="n">
        <x:v>109</x:v>
      </x:c>
    </x:row>
    <x:row r="110">
      <x:c r="A110" s="9" t="str">
        <x:v>Success</x:v>
      </x:c>
      <x:c r="B110" s="9" t="str">
        <x:v>State Recognition</x:v>
      </x:c>
      <x:c r="C110" s="10" t="n">
        <x:v>108</x:v>
      </x:c>
      <x:c r="D110" s="9" t="str">
        <x:v>Place the upside-down white cup in the bowl.</x:v>
      </x:c>
      <x:c r="E110" s="9" t="str">
        <x:v>white cup A (C, UD); white cup B (C, RU)</x:v>
      </x:c>
      <x:c r="F110" s="9" t="str">
        <x:v>white cup A</x:v>
      </x:c>
      <x:c r="G110" s="9"/>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MolmoAct2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MolmoAct2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MolmoAct2 Results</x:v>
      </x:c>
      <x:c r="AM112" s="9" t="n">
        <x:v>112</x:v>
      </x:c>
      <x:c r="AN112" s="9" t="n">
        <x:v>112</x:v>
      </x:c>
    </x:row>
    <x:row r="113">
      <x:c r="A113" s="9" t="str">
        <x:v>Failure</x:v>
      </x:c>
      <x:c r="B113" s="9" t="str">
        <x:v>State Recognition</x:v>
      </x:c>
      <x:c r="C113" s="10" t="n">
        <x:v>111</x:v>
      </x:c>
      <x:c r="D113" s="9" t="str">
        <x:v>Place the open black cup in the bowl.</x:v>
      </x:c>
      <x:c r="E113" s="9" t="str">
        <x:v>black cup A (C, RU); black cup B (O, RU)</x:v>
      </x:c>
      <x:c r="F113" s="9" t="str">
        <x:v>black cup B</x:v>
      </x:c>
      <x:c r="G113" s="9" t="str">
        <x:v>picked the closed black cup</x:v>
      </x:c>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MolmoAct2 Results</x:v>
      </x:c>
      <x:c r="AM113" s="9" t="n">
        <x:v>113</x:v>
      </x:c>
      <x:c r="AN113" s="9" t="n">
        <x:v>113</x:v>
      </x:c>
    </x:row>
    <x:row r="114">
      <x:c r="A114" s="9" t="str">
        <x:v>Success</x:v>
      </x:c>
      <x:c r="B114" s="9" t="str">
        <x:v>State Recognition</x:v>
      </x:c>
      <x:c r="C114" s="10" t="n">
        <x:v>112</x:v>
      </x:c>
      <x:c r="D114" s="9" t="str">
        <x:v>Place the upside-down black cup in the bowl.</x:v>
      </x:c>
      <x:c r="E114" s="9" t="str">
        <x:v>black cup A (C, UD); black cup B (C, RU); yellow-white striped cup B (O, UD)</x:v>
      </x:c>
      <x:c r="F114" s="9" t="str">
        <x:v>black cup A</x:v>
      </x:c>
      <x:c r="G114" s="9"/>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MolmoAct2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MolmoAct2 Results</x:v>
      </x:c>
      <x:c r="AM115" s="9" t="n">
        <x:v>115</x:v>
      </x:c>
      <x:c r="AN115" s="9" t="n">
        <x:v>115</x:v>
      </x:c>
    </x:row>
    <x:row r="116">
      <x:c r="A116" s="9" t="str">
        <x:v>Success</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MolmoAct2 Results</x:v>
      </x:c>
      <x:c r="AM116" s="9" t="n">
        <x:v>116</x:v>
      </x:c>
      <x:c r="AN116" s="9" t="n">
        <x:v>116</x:v>
      </x:c>
    </x:row>
    <x:row r="117">
      <x:c r="A117" s="9" t="str">
        <x:v>Success</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t="str">
        <x:v>moved between to the two cups, then recovered and got the open one</x:v>
      </x:c>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MolmoAct2 Results</x:v>
      </x:c>
      <x:c r="AM117" s="9" t="n">
        <x:v>117</x:v>
      </x:c>
      <x:c r="AN117" s="9" t="n">
        <x:v>117</x:v>
      </x:c>
    </x:row>
    <x:row r="118">
      <x:c r="A118" s="9" t="str">
        <x:v>Success</x:v>
      </x:c>
      <x:c r="B118" s="9" t="str">
        <x:v>State Recognition</x:v>
      </x:c>
      <x:c r="C118" s="10" t="n">
        <x:v>116</x:v>
      </x:c>
      <x:c r="D118" s="9" t="str">
        <x:v>Place the upside-down black cup in the bowl.</x:v>
      </x:c>
      <x:c r="E118" s="9" t="str">
        <x:v>black cup A (O, RU); black cup B (O, UD)</x:v>
      </x:c>
      <x:c r="F118" s="9" t="str">
        <x:v>black cup B</x:v>
      </x:c>
      <x:c r="G118" s="9"/>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MolmoAct2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MolmoAct2 Results</x:v>
      </x:c>
      <x:c r="AM119" s="9" t="n">
        <x:v>119</x:v>
      </x:c>
      <x:c r="AN119" s="9" t="n">
        <x:v>119</x:v>
      </x:c>
    </x:row>
    <x:row r="120">
      <x:c r="A120" s="9" t="str">
        <x:v>Success</x:v>
      </x:c>
      <x:c r="B120" s="9" t="str">
        <x:v>State Recognition</x:v>
      </x:c>
      <x:c r="C120" s="10" t="n">
        <x:v>118</x:v>
      </x:c>
      <x:c r="D120" s="9" t="str">
        <x:v>Place the closed black cup in the bowl.</x:v>
      </x:c>
      <x:c r="E120" s="9" t="str">
        <x:v>black cup A (C, RU); black cup B (O, RU); white cup A (C, RU)</x:v>
      </x:c>
      <x:c r="F120" s="9" t="str">
        <x:v>black cup A</x:v>
      </x:c>
      <x:c r="G120" s="9"/>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MolmoAct2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placed closed black cup</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MolmoAct2 Results</x:v>
      </x:c>
      <x:c r="AM121" s="9" t="n">
        <x:v>121</x:v>
      </x:c>
      <x:c r="AN121" s="9" t="n">
        <x:v>121</x:v>
      </x:c>
    </x:row>
    <x:row r="122">
      <x:c r="A122" s="9" t="str">
        <x:v>Failure</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t="str">
        <x:v>placed upright black cup</x:v>
      </x:c>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MolmoAct2 Results</x:v>
      </x:c>
      <x:c r="AM122" s="9" t="n">
        <x:v>122</x:v>
      </x:c>
      <x:c r="AN122" s="9" t="n">
        <x:v>122</x:v>
      </x:c>
    </x:row>
    <x:row r="123">
      <x:c r="A123" s="9" t="str">
        <x:v>Success</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MolmoAct2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MolmoAct2 Results</x:v>
      </x:c>
      <x:c r="AM124" s="9" t="n">
        <x:v>124</x:v>
      </x:c>
      <x:c r="AN124" s="9" t="n">
        <x:v>124</x:v>
      </x:c>
    </x:row>
    <x:row r="125">
      <x:c r="A125" s="9" t="str">
        <x:v>Success</x:v>
      </x:c>
      <x:c r="B125" s="9" t="str">
        <x:v>State Recognition</x:v>
      </x:c>
      <x:c r="C125" s="10" t="n">
        <x:v>123</x:v>
      </x:c>
      <x:c r="D125" s="9" t="str">
        <x:v>Place the open black cup in the bowl.</x:v>
      </x:c>
      <x:c r="E125" s="9" t="str">
        <x:v>black cup A (O, RU); black cup B (C, RU)</x:v>
      </x:c>
      <x:c r="F125" s="9" t="str">
        <x:v>black cup A</x:v>
      </x:c>
      <x:c r="G125" s="9"/>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MolmoAct2 Results</x:v>
      </x:c>
      <x:c r="AM125" s="9" t="n">
        <x:v>125</x:v>
      </x:c>
      <x:c r="AN125" s="9" t="n">
        <x:v>125</x:v>
      </x:c>
    </x:row>
    <x:row r="126">
      <x:c r="A126" s="9" t="str">
        <x:v>Success</x:v>
      </x:c>
      <x:c r="B126" s="9" t="str">
        <x:v>State Recognition</x:v>
      </x:c>
      <x:c r="C126" s="10" t="n">
        <x:v>124</x:v>
      </x:c>
      <x:c r="D126" s="9" t="str">
        <x:v>Place the upside-down black cup in the bowl.</x:v>
      </x:c>
      <x:c r="E126" s="9" t="str">
        <x:v>black cup A (O, RU); black cup B (O, UD); glass spice container B (O, UD)</x:v>
      </x:c>
      <x:c r="F126" s="9" t="str">
        <x:v>black cup B</x:v>
      </x:c>
      <x:c r="G126" s="9"/>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MolmoAct2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MolmoAct2 Results</x:v>
      </x:c>
      <x:c r="AM127" s="9" t="n">
        <x:v>127</x:v>
      </x:c>
      <x:c r="AN127" s="9" t="n">
        <x:v>127</x:v>
      </x:c>
    </x:row>
    <x:row r="128">
      <x:c r="A128" s="9" t="str">
        <x:v>Success</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MolmoAct2 Results</x:v>
      </x:c>
      <x:c r="AM128" s="9" t="n">
        <x:v>128</x:v>
      </x:c>
      <x:c r="AN128" s="9" t="n">
        <x:v>128</x:v>
      </x:c>
    </x:row>
    <x:row r="129">
      <x:c r="A129" s="9" t="str">
        <x:v>Failure</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t="str">
        <x:v>placed the closed cup</x:v>
      </x:c>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MolmoAct2 Results</x:v>
      </x:c>
      <x:c r="AM129" s="9" t="n">
        <x:v>129</x:v>
      </x:c>
      <x:c r="AN129" s="9" t="n">
        <x:v>129</x:v>
      </x:c>
    </x:row>
    <x:row r="130">
      <x:c r="A130" s="9" t="str">
        <x:v>Success</x:v>
      </x:c>
      <x:c r="B130" s="9" t="str">
        <x:v>State Recognition</x:v>
      </x:c>
      <x:c r="C130" s="10" t="n">
        <x:v>128</x:v>
      </x:c>
      <x:c r="D130" s="9" t="str">
        <x:v>Place the upside-down black cup in the bowl.</x:v>
      </x:c>
      <x:c r="E130" s="9" t="str">
        <x:v>black cup A (C, UD); black cup B (C, RU); yellow-white striped cup B (O, UD)</x:v>
      </x:c>
      <x:c r="F130" s="9" t="str">
        <x:v>black cup A</x:v>
      </x:c>
      <x:c r="G130" s="9"/>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MolmoAct2 Results</x:v>
      </x:c>
      <x:c r="AM130" s="9" t="n">
        <x:v>130</x:v>
      </x:c>
      <x:c r="AN130" s="9" t="n">
        <x:v>130</x:v>
      </x:c>
    </x:row>
    <x:row r="131">
      <x:c r="A131" s="9" t="str">
        <x:v>Success</x:v>
      </x:c>
      <x:c r="B131" s="9" t="str">
        <x:v>State Recognition</x:v>
      </x:c>
      <x:c r="C131" s="10" t="n">
        <x:v>129</x:v>
      </x:c>
      <x:c r="D131" s="9" t="str">
        <x:v>Place the upright black cup in the bowl.</x:v>
      </x:c>
      <x:c r="E131" s="9" t="str">
        <x:v>black cup A (C, UD); black cup B (C, RU); yellow-white striped cup B (O, UD)</x:v>
      </x:c>
      <x:c r="F131" s="9" t="str">
        <x:v>black cup B</x:v>
      </x:c>
      <x:c r="G131" s="9"/>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MolmoAct2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cup furthest from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MolmoAct2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picked cup furthest from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MolmoAct2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cup furthest from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MolmoAct2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picked cup closest to the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MolmoAct2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knocked over cup furthest from bowl and couldn't recover</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MolmoAct2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cup furthest from bowl</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MolmoAct2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cup furthest from bowl</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MolmoAct2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cup closest to the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MolmoAct2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picked cup closest to the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MolmoAct2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picked cup furthest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MolmoAct2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picked cup closest to the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MolmoAct2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picked cup closest to the bowl; initially went for further one then changed direction</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MolmoAct2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cup closest to the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MolmoAct2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MolmoAct2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t="str">
        <x:v>picked cup closest to the bowl</x:v>
      </x:c>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MolmoAct2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container furthest from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MolmoAct2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cup closest to the bowl</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MolmoAct2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container furthest from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MolmoAct2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picked cup closest to the bowl</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MolmoAct2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container furthest from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MolmoAct2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pencil sharpener</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MolmoAct2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 not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MolmoAct2 Results</x:v>
      </x:c>
      <x:c r="AM153" s="9" t="n">
        <x:v>3</x:v>
      </x:c>
      <x:c r="AN153" s="9" t="n">
        <x:v>3</x:v>
      </x:c>
    </x:row>
    <x:row r="154">
      <x:c r="A154" s="9" t="str">
        <x:v>Success</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picked yellow block</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MolmoAct2 Results</x:v>
      </x:c>
      <x:c r="AM154" s="9" t="n">
        <x:v>4</x:v>
      </x:c>
      <x:c r="AN154" s="9" t="n">
        <x:v>4</x:v>
      </x:c>
    </x:row>
    <x:row r="155">
      <x:c r="A155" s="9" t="str">
        <x:v>Failure</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t="str">
        <x:v>picked blue pen out of bowl then put it back in the bowl</x:v>
      </x:c>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MolmoAct2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t="str">
        <x:v>picked yellow block</x:v>
      </x:c>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MolmoAct2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didn't move</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MolmoAct2 Results</x:v>
      </x:c>
      <x:c r="AM157" s="9" t="n">
        <x:v>7</x:v>
      </x:c>
      <x:c r="AN157" s="9" t="n">
        <x:v>7</x:v>
      </x:c>
    </x:row>
    <x:row r="158">
      <x:c r="A158" s="9" t="str">
        <x:v>Success</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MolmoAct2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MolmoAct2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t="str">
        <x:v>picked pencil sharpener</x:v>
      </x:c>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MolmoAct2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didn't move</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MolmoAct2 Results</x:v>
      </x:c>
      <x:c r="AM161" s="9" t="n">
        <x:v>11</x:v>
      </x:c>
      <x:c r="AN161" s="9" t="n">
        <x:v>11</x:v>
      </x:c>
    </x:row>
    <x:row r="162">
      <x:c r="A162" s="9" t="str">
        <x:v>Failure</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didn't move</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MolmoAct2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MolmoAct2 Results</x:v>
      </x:c>
      <x:c r="AM163" s="9" t="n">
        <x:v>13</x:v>
      </x:c>
      <x:c r="AN163" s="9" t="n">
        <x:v>13</x:v>
      </x:c>
    </x:row>
    <x:row r="164">
      <x:c r="A164" s="9" t="str">
        <x:v>Success</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t="str">
        <x:v>picked airplane toy</x:v>
      </x:c>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MolmoAct2 Results</x:v>
      </x:c>
      <x:c r="AM164" s="9" t="n">
        <x:v>14</x:v>
      </x:c>
      <x:c r="AN164" s="9" t="n">
        <x:v>14</x:v>
      </x:c>
    </x:row>
    <x:row r="165">
      <x:c r="A165" s="9" t="str">
        <x:v>Failure</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t="str">
        <x:v>didn't move</x:v>
      </x:c>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MolmoAct2 Results</x:v>
      </x:c>
      <x:c r="AM165" s="9" t="n">
        <x:v>15</x:v>
      </x:c>
      <x:c r="AN165" s="9" t="n">
        <x:v>15</x:v>
      </x:c>
    </x:row>
    <x:row r="166">
      <x:c r="A166" s="9" t="str">
        <x:v>Success</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MolmoAct2 Results</x:v>
      </x:c>
      <x:c r="AM166" s="9" t="n">
        <x:v>16</x:v>
      </x:c>
      <x:c r="AN166" s="9" t="n">
        <x:v>16</x:v>
      </x:c>
    </x:row>
    <x:row r="167">
      <x:c r="A167" s="9" t="str">
        <x:v>Success</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MolmoAct2 Results</x:v>
      </x:c>
      <x:c r="AM167" s="9" t="n">
        <x:v>17</x:v>
      </x:c>
      <x:c r="AN167" s="9" t="n">
        <x:v>17</x:v>
      </x:c>
    </x:row>
    <x:row r="168">
      <x:c r="A168" s="9" t="str">
        <x:v>Failure</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t="str">
        <x:v>Failed to grasp the airplane toy out of the bowl. Successful reasoning.</x:v>
      </x:c>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MolmoAct2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Moved towards bowl near the end of the episode, then the 75 seconds was up. </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MolmoAct2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MolmoAct2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MolmoAct2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MolmoAct2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t="str">
        <x:v>it did remove the toy, but it did knock out the blue pen too.</x:v>
      </x:c>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MolmoAct2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MolmoAct2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picked up the green pencil sharpener, started taking it to the bowl, then put it back down on the table in a different location.</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MolmoAct2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MolmoAct2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MolmoAct2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MolmoAct2 Results</x:v>
      </x:c>
      <x:c r="AM178" s="9" t="n">
        <x:v>28</x:v>
      </x:c>
      <x:c r="AN178" s="9" t="n">
        <x:v>28</x:v>
      </x:c>
    </x:row>
    <x:row r="179">
      <x:c r="A179" s="9" t="str">
        <x:v>Success</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idk. It first removed the yellow block, but then it removed the pen. So technically it did get it. </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MolmoAct2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went for the bowl, didn't pick anything up, then went back to home position.</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MolmoAct2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got the yellow block out, then went back to try and get blue pen, but couldn't before timing out.</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MolmoAct2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MolmoAct2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MolmoAct2 Results</x:v>
      </x:c>
      <x:c r="AM183" s="9" t="n">
        <x:v>33</x:v>
      </x:c>
      <x:c r="AN183" s="9" t="n">
        <x:v>33</x:v>
      </x:c>
    </x:row>
    <x:row r="184">
      <x:c r="A184" s="9" t="str">
        <x:v>Success</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MolmoAct2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MolmoAct2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MolmoAct2 Results</x:v>
      </x:c>
      <x:c r="AM186" s="9" t="n">
        <x:v>36</x:v>
      </x:c>
      <x:c r="AN186" s="9" t="n">
        <x:v>36</x:v>
      </x:c>
    </x:row>
    <x:row r="187">
      <x:c r="A187" s="9" t="str">
        <x:v>Success</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MolmoAct2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MolmoAct2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t="str">
        <x:v>didn't move</x:v>
      </x:c>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MolmoAct2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MolmoAct2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MolmoAct2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MolmoAct2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MolmoAct2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MolmoAct2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MolmoAct2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took the yellow block out of the bowl, then put it back in.</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MolmoAct2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took the yellow block out of the bowl.</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MolmoAct2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MolmoAct2 Results</x:v>
      </x:c>
      <x:c r="AM198" s="9" t="n">
        <x:v>48</x:v>
      </x:c>
      <x:c r="AN198" s="9" t="n">
        <x:v>48</x:v>
      </x:c>
    </x:row>
    <x:row r="199">
      <x:c r="A199" s="9" t="str">
        <x:v>Success</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MolmoAct2 Results</x:v>
      </x:c>
      <x:c r="AM199" s="9" t="n">
        <x:v>49</x:v>
      </x:c>
      <x:c r="AN199" s="9" t="n">
        <x:v>49</x:v>
      </x:c>
    </x:row>
    <x:row r="200">
      <x:c r="A200" s="9" t="str">
        <x:v>Success</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MolmoAct2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MolmoAct2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MolmoAct2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MolmoAct2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MolmoAct2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MolmoAct2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MolmoAct2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MolmoAct2 Results</x:v>
      </x:c>
      <x:c r="AM207" s="9" t="n">
        <x:v>57</x:v>
      </x:c>
      <x:c r="AN207" s="9" t="n">
        <x:v>57</x:v>
      </x:c>
    </x:row>
    <x:row r="208">
      <x:c r="A208" s="9" t="str">
        <x:v>Failure</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t="str">
        <x:v>didn't move</x:v>
      </x:c>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MolmoAct2 Results</x:v>
      </x:c>
      <x:c r="AM208" s="9" t="n">
        <x:v>58</x:v>
      </x:c>
      <x:c r="AN208" s="9" t="n">
        <x:v>58</x:v>
      </x:c>
    </x:row>
    <x:row r="209">
      <x:c r="A209" s="9" t="str">
        <x:v>Success</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MolmoAct2 Results</x:v>
      </x:c>
      <x:c r="AM209" s="9" t="n">
        <x:v>59</x:v>
      </x:c>
      <x:c r="AN209" s="9" t="n">
        <x:v>59</x:v>
      </x:c>
    </x:row>
    <x:row r="210">
      <x:c r="A210" s="9" t="str">
        <x:v>Failure</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t="str">
        <x:v>tried to remove the green highlighter, but couldn't grasp it. Success for reasoning failure for grasping</x:v>
      </x:c>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MolmoAct2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MolmoAct2 Results</x:v>
      </x:c>
      <x:c r="AM211" s="9" t="n">
        <x:v>61</x:v>
      </x:c>
      <x:c r="AN211" s="9" t="n">
        <x:v>61</x:v>
      </x:c>
    </x:row>
    <x:row r="212">
      <x:c r="A212" s="9" t="str">
        <x:v>Failure</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t="str">
        <x:v>didn't move</x:v>
      </x:c>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MolmoAct2 Results</x:v>
      </x:c>
      <x:c r="AM212" s="9" t="n">
        <x:v>62</x:v>
      </x:c>
      <x:c r="AN212" s="9" t="n">
        <x:v>62</x:v>
      </x:c>
    </x:row>
    <x:row r="213">
      <x:c r="A213" s="9" t="str">
        <x:v>Failure</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t="str">
        <x:v>didn't move</x:v>
      </x:c>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MolmoAct2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MolmoAct2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MolmoAct2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MolmoAct2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MolmoAct2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MolmoAct2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MolmoAct2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MolmoAct2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successful reasoning. went for yellow block but could not grasp it</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MolmoAct2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MolmoAct2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MolmoAct2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MolmoAct2 Results</x:v>
      </x:c>
      <x:c r="AM224" s="9" t="n">
        <x:v>74</x:v>
      </x:c>
      <x:c r="AN224" s="9" t="n">
        <x:v>74</x:v>
      </x:c>
    </x:row>
    <x:row r="225">
      <x:c r="A225" s="9" t="str">
        <x:v>Failure</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t="str">
        <x:v>didn't move</x:v>
      </x:c>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MolmoAct2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went to bowl, grabbed the blue pen, put it down, kept fiddling around to try and get green pencil sharpener, but couldn't get it</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MolmoAct2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MolmoAct2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went to bowl 2 times, but didn't remove anything</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MolmoAct2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MolmoAct2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MolmoAct2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MolmoAct2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didn't move</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MolmoAct2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MolmoAct2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MolmoAct2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MolmoAct2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MolmoAct2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MolmoAct2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MolmoAct2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MolmoAct2 Results</x:v>
      </x:c>
      <x:c r="AM239" s="9" t="n">
        <x:v>89</x:v>
      </x:c>
      <x:c r="AN239" s="9" t="n">
        <x:v>89</x:v>
      </x:c>
    </x:row>
    <x:row r="240">
      <x:c r="A240" s="9" t="str">
        <x:v>Success</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t="str">
        <x:v>flicked block away, but still able to get it</x:v>
      </x:c>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MolmoAct2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MolmoAct2 Results</x:v>
      </x:c>
      <x:c r="AM241" s="9" t="n">
        <x:v>91</x:v>
      </x:c>
      <x:c r="AN241" s="9" t="n">
        <x:v>91</x:v>
      </x:c>
    </x:row>
    <x:row r="242">
      <x:c r="A242" s="9" t="str">
        <x:v>Success</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MolmoAct2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went to bowl, looked confused, then went for green pencil sharpener, picked it up and then was just moving it around in the gripper without letting it go. moved to the right side of the workspace, away from the bowl.</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MolmoAct2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MolmoAct2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MolmoAct2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MolmoAct2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MolmoAct2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MolmoAct2 Results</x:v>
      </x:c>
      <x:c r="AM248" s="9" t="n">
        <x:v>98</x:v>
      </x:c>
      <x:c r="AN248" s="9" t="n">
        <x:v>98</x:v>
      </x:c>
    </x:row>
    <x:row r="249">
      <x:c r="A249" s="9" t="str">
        <x:v>Success</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MolmoAct2 Results</x:v>
      </x:c>
      <x:c r="AM249" s="9" t="n">
        <x:v>99</x:v>
      </x:c>
      <x:c r="AN249" s="9" t="n">
        <x:v>99</x:v>
      </x:c>
    </x:row>
    <x:row r="250">
      <x:c r="A250" s="9" t="str">
        <x:v>Success</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MolmoAct2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MolmoAct2 Results</x:v>
      </x:c>
      <x:c r="AM251" s="9" t="n">
        <x:v>101</x:v>
      </x:c>
      <x:c r="AN251" s="9" t="n">
        <x:v>101</x:v>
      </x:c>
    </x:row>
    <x:row r="252">
      <x:c r="A252" s="9" t="str">
        <x:v>Failure</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didn't move</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MolmoAct2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MolmoAct2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MolmoAct2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MolmoAct2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MolmoAct2 Results</x:v>
      </x:c>
      <x:c r="AM256" s="9" t="n">
        <x:v>106</x:v>
      </x:c>
      <x:c r="AN256" s="9" t="n">
        <x:v>106</x:v>
      </x:c>
    </x:row>
    <x:row r="257">
      <x:c r="A257" s="9" t="str">
        <x:v>Success</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MolmoAct2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MolmoAct2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MolmoAct2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MolmoAct2 Results</x:v>
      </x:c>
      <x:c r="AM260" s="9" t="n">
        <x:v>110</x:v>
      </x:c>
      <x:c r="AN260" s="9" t="n">
        <x:v>110</x:v>
      </x:c>
    </x:row>
    <x:row r="261">
      <x:c r="A261" s="9" t="str">
        <x:v>Success</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MolmoAct2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MolmoAct2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MolmoAct2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MolmoAct2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MolmoAct2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MolmoAct2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MolmoAct2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MolmoAct2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MolmoAct2 Results</x:v>
      </x:c>
      <x:c r="AM269" s="9" t="n">
        <x:v>119</x:v>
      </x:c>
      <x:c r="AN269" s="9" t="n">
        <x:v>119</x:v>
      </x:c>
    </x:row>
    <x:row r="270">
      <x:c r="A270" s="9" t="str">
        <x:v>Success</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MolmoAct2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MolmoAct2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MolmoAct2 Results</x:v>
      </x:c>
      <x:c r="AM272" s="9" t="n">
        <x:v>122</x:v>
      </x:c>
      <x:c r="AN272" s="9" t="n">
        <x:v>122</x:v>
      </x:c>
    </x:row>
    <x:row r="273">
      <x:c r="A273" s="9" t="str">
        <x:v>Failure</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t="str">
        <x:v>started to move to highlighter at the end of the episode. successful reasoning, but didn't manage to actually remove the highlighter</x:v>
      </x:c>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MolmoAct2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MolmoAct2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MolmoAct2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MolmoAct2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went for the green highlighter twice, then went home each time. thrid time grabbed it but episode time ran out. </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MolmoAct2 Results</x:v>
      </x:c>
      <x:c r="AM277" s="9" t="n">
        <x:v>127</x:v>
      </x:c>
      <x:c r="AN277" s="9" t="n">
        <x:v>127</x:v>
      </x:c>
    </x:row>
    <x:row r="278">
      <x:c r="A278" s="9" t="str">
        <x:v>Success</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MolmoAct2 Results</x:v>
      </x:c>
      <x:c r="AM278" s="9" t="n">
        <x:v>128</x:v>
      </x:c>
      <x:c r="AN278" s="9" t="n">
        <x:v>128</x:v>
      </x:c>
    </x:row>
    <x:row r="279">
      <x:c r="A279" s="9" t="str">
        <x:v>Success</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MolmoAct2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MolmoAct2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MolmoAct2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MolmoAct2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MolmoAct2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MolmoAct2 Results</x:v>
      </x:c>
      <x:c r="AM284" s="9" t="n">
        <x:v>134</x:v>
      </x:c>
      <x:c r="AN284" s="9" t="n">
        <x:v>134</x:v>
      </x:c>
    </x:row>
    <x:row r="285">
      <x:c r="A285" s="9" t="str">
        <x:v>Success</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MolmoAct2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MolmoAct2 Results</x:v>
      </x:c>
      <x:c r="AM286" s="9" t="n">
        <x:v>136</x:v>
      </x:c>
      <x:c r="AN286" s="9" t="n">
        <x:v>136</x:v>
      </x:c>
    </x:row>
    <x:row r="287">
      <x:c r="A287" s="9" t="str">
        <x:v>Success</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MolmoAct2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moved the green pencil sharpener from the bowl first, then went back for the blue pen. Got the blue pen, but didn't set it down since time ran out.</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MolmoAct2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MolmoAct2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picked the green pencil sharpener, and went home. Paused for a long while, then got the blue pen and didn't finish. Basically same rollout as 136</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MolmoAct2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MolmoAct2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MolmoAct2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MolmoAct2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went to bowl and started figeting around. didn't take anything out though</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MolmoAct2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MolmoAct2 Results</x:v>
      </x:c>
      <x:c r="AM295" s="9" t="n">
        <x:v>145</x:v>
      </x:c>
      <x:c r="AN295" s="9" t="n">
        <x:v>145</x:v>
      </x:c>
    </x:row>
    <x:row r="296">
      <x:c r="A296" s="9" t="str">
        <x:v>Failure</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t="str">
        <x:v>went to the bowl, then went home 4 times. Didn't touch block. </x:v>
      </x:c>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MolmoAct2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MolmoAct2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MolmoAct2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t="str">
        <x:v>didn't move</x:v>
      </x:c>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MolmoAct2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MolmoAct2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t="str">
        <x:v>didn't move</x:v>
      </x:c>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MolmoAct2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grabbed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MolmoAct2 Results2</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MolmoAct2 Results2</x:v>
      </x:c>
      <x:c r="AM303" s="9" t="n">
        <x:v>3</x:v>
      </x:c>
      <x:c r="AN303" s="9" t="n">
        <x:v>3</x:v>
      </x:c>
    </x:row>
    <x:row r="304">
      <x:c r="A304" s="9" t="str">
        <x:v>Success</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MolmoAct2 Results2</x:v>
      </x:c>
      <x:c r="AM304" s="9" t="n">
        <x:v>4</x:v>
      </x:c>
      <x:c r="AN304" s="9" t="n">
        <x:v>4</x:v>
      </x:c>
    </x:row>
    <x:row r="305">
      <x:c r="A305" s="9" t="str">
        <x:v>Failure</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Picked airplane toy.</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MolmoAct2 Results2</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blue tape ball.</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MolmoAct2 Results2</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MolmoAct2 Results2</x:v>
      </x:c>
      <x:c r="AM307" s="9" t="n">
        <x:v>7</x:v>
      </x:c>
      <x:c r="AN307" s="9" t="n">
        <x:v>7</x:v>
      </x:c>
    </x:row>
    <x:row r="308">
      <x:c r="A308" s="9" t="str">
        <x:v>Failure</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t="str">
        <x:v>Picked blue tape ball.</x:v>
      </x:c>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MolmoAct2 Results2</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MolmoAct2 Results2</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Picked green highlighter.</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MolmoAct2 Results2</x:v>
      </x:c>
      <x:c r="AM310" s="9" t="n">
        <x:v>10</x:v>
      </x:c>
      <x:c r="AN310" s="9" t="n">
        <x:v>10</x:v>
      </x:c>
    </x:row>
    <x:row r="311">
      <x:c r="A311" s="9" t="str">
        <x:v>Success</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MolmoAct2 Results2</x:v>
      </x:c>
      <x:c r="AM311" s="9" t="n">
        <x:v>11</x:v>
      </x:c>
      <x:c r="AN311" s="9" t="n">
        <x:v>11</x:v>
      </x:c>
    </x:row>
    <x:row r="312">
      <x:c r="A312" s="9" t="str">
        <x:v>Success</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MolmoAct2 Results2</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Picked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MolmoAct2 Results2</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Went for airplane toy, failed to grab it and got the blue tape ball instead.</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MolmoAct2 Results2</x:v>
      </x:c>
      <x:c r="AM314" s="9" t="n">
        <x:v>14</x:v>
      </x:c>
      <x:c r="AN314" s="9" t="n">
        <x:v>14</x:v>
      </x:c>
    </x:row>
    <x:row r="315">
      <x:c r="A315" s="9" t="str">
        <x:v>Success</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MolmoAct2 Results2</x:v>
      </x:c>
      <x:c r="AM315" s="9" t="n">
        <x:v>15</x:v>
      </x:c>
      <x:c r="AN315" s="9" t="n">
        <x:v>15</x:v>
      </x:c>
    </x:row>
    <x:row r="316">
      <x:c r="A316" s="9" t="str">
        <x:v>Failure</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MolmoAct2 Results2</x:v>
      </x:c>
      <x:c r="AM316" s="9" t="n">
        <x:v>16</x:v>
      </x:c>
      <x:c r="AN316" s="9" t="n">
        <x:v>16</x:v>
      </x:c>
    </x:row>
    <x:row r="317">
      <x:c r="A317" s="9" t="str">
        <x:v>Success</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MolmoAct2 Results2</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airplane toy</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MolmoAct2 Results2</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MolmoAct2 Results2</x:v>
      </x:c>
      <x:c r="AM319" s="9" t="n">
        <x:v>19</x:v>
      </x:c>
      <x:c r="AN319" s="9" t="n">
        <x:v>19</x:v>
      </x:c>
    </x:row>
    <x:row r="320">
      <x:c r="A320" s="9" t="str">
        <x:v>Failure</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t="str">
        <x:v>Picked green highlighter</x:v>
      </x:c>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MolmoAct2 Results2</x:v>
      </x:c>
      <x:c r="AM320" s="9" t="n">
        <x:v>20</x:v>
      </x:c>
      <x:c r="AN320" s="9" t="n">
        <x:v>20</x:v>
      </x:c>
    </x:row>
    <x:row r="321">
      <x:c r="A321" s="9" t="str">
        <x:v>Success</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MolmoAct2 Results2</x:v>
      </x:c>
      <x:c r="AM321" s="9" t="n">
        <x:v>21</x:v>
      </x:c>
      <x:c r="AN321" s="9" t="n">
        <x:v>21</x:v>
      </x:c>
    </x:row>
    <x:row r="322">
      <x:c r="A322" s="9" t="str">
        <x:v>Failure</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t="str">
        <x:v>Picked blue tape ball</x:v>
      </x:c>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MolmoAct2 Results2</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MolmoAct2 Results2</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blue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MolmoAct2 Results2</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MolmoAct2 Results2</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MolmoAct2 Results2</x:v>
      </x:c>
      <x:c r="AM326" s="9" t="n">
        <x:v>26</x:v>
      </x:c>
      <x:c r="AN326" s="9" t="n">
        <x:v>26</x:v>
      </x:c>
    </x:row>
    <x:row r="327">
      <x:c r="A327" s="9" t="str">
        <x:v>Failure</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t="str">
        <x:v>Failed at grasping, but went for blue tape. success for reasoning. Knocked the blue tape ball out of the robot's range.</x:v>
      </x:c>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MolmoAct2 Results2</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MolmoAct2 Results2</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MolmoAct2 Results2</x:v>
      </x:c>
      <x:c r="AM329" s="9" t="n">
        <x:v>29</x:v>
      </x:c>
      <x:c r="AN329" s="9" t="n">
        <x:v>29</x:v>
      </x:c>
    </x:row>
    <x:row r="330">
      <x:c r="A330" s="9" t="str">
        <x:v>Success</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MolmoAct2 Results2</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MolmoAct2 Results2</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the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MolmoAct2 Results2</x:v>
      </x:c>
      <x:c r="AM332" s="9" t="n">
        <x:v>32</x:v>
      </x:c>
      <x:c r="AN332" s="9" t="n">
        <x:v>32</x:v>
      </x:c>
    </x:row>
    <x:row r="333">
      <x:c r="A333" s="9" t="str">
        <x:v>Success</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MolmoAct2 Results2</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MolmoAct2 Results2</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Picked the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MolmoAct2 Results2</x:v>
      </x:c>
      <x:c r="AM335" s="9" t="n">
        <x:v>35</x:v>
      </x:c>
      <x:c r="AN335" s="9" t="n">
        <x:v>35</x:v>
      </x:c>
    </x:row>
    <x:row r="336">
      <x:c r="A336" s="9" t="str">
        <x:v>Success</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MolmoAct2 Results2</x:v>
      </x:c>
      <x:c r="AM336" s="9" t="n">
        <x:v>36</x:v>
      </x:c>
      <x:c r="AN336" s="9" t="n">
        <x:v>36</x:v>
      </x:c>
    </x:row>
    <x:row r="337">
      <x:c r="A337" s="9" t="str">
        <x:v>Success</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MolmoAct2 Results2</x:v>
      </x:c>
      <x:c r="AM337" s="9" t="n">
        <x:v>37</x:v>
      </x:c>
      <x:c r="AN337" s="9" t="n">
        <x:v>37</x:v>
      </x:c>
    </x:row>
    <x:row r="338">
      <x:c r="A338" s="9" t="str">
        <x:v>Success</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MolmoAct2 Results2</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MolmoAct2 Results2</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Picked yellow pen</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MolmoAct2 Results2</x:v>
      </x:c>
      <x:c r="AM340" s="9" t="n">
        <x:v>40</x:v>
      </x:c>
      <x:c r="AN340" s="9" t="n">
        <x:v>40</x:v>
      </x:c>
    </x:row>
    <x:row r="341">
      <x:c r="A341" s="9" t="str">
        <x:v>Failure</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t="str">
        <x:v>Wrist rotates 90 degrees so can't grasp correctly. fidgited around and ultimlately got yellow pen, but then timed out.</x:v>
      </x:c>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MolmoAct2 Results2</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MolmoAct2 Results2</x:v>
      </x:c>
      <x:c r="AM342" s="9" t="n">
        <x:v>42</x:v>
      </x:c>
      <x:c r="AN342" s="9" t="n">
        <x:v>42</x:v>
      </x:c>
    </x:row>
    <x:row r="343">
      <x:c r="A343" s="9" t="str">
        <x:v>Failure</x:v>
      </x:c>
      <x:c r="B343" s="9" t="str">
        <x:v>Ordinal Reference Ordering</x:v>
      </x:c>
      <x:c r="C343" s="10" t="n">
        <x:v>41</x:v>
      </x:c>
      <x:c r="D343" s="9" t="str">
        <x:v>Count from the left; place item number 2 in the bowl.</x:v>
      </x:c>
      <x:c r="E343" s="9" t="str">
        <x:v>L1: green highlighter, L2: yellow pen</x:v>
      </x:c>
      <x:c r="F343" s="9" t="str">
        <x:v>yellow pen</x:v>
      </x:c>
      <x:c r="G343" s="9" t="str">
        <x:v>Picked green highlighter</x:v>
      </x:c>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MolmoAct2 Results2</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MolmoAct2 Results2</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MolmoAct2 Results2</x:v>
      </x:c>
      <x:c r="AM345" s="9" t="n">
        <x:v>45</x:v>
      </x:c>
      <x:c r="AN345" s="9" t="n">
        <x:v>45</x:v>
      </x:c>
    </x:row>
    <x:row r="346">
      <x:c r="A346" s="9" t="str">
        <x:v>Failure</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t="str">
        <x:v>Grabbed airplane toy</x:v>
      </x:c>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MolmoAct2 Results2</x:v>
      </x:c>
      <x:c r="AM346" s="9" t="n">
        <x:v>46</x:v>
      </x:c>
      <x:c r="AN346" s="9" t="n">
        <x:v>46</x:v>
      </x:c>
    </x:row>
    <x:row r="347">
      <x:c r="A347" s="9" t="str">
        <x:v>Failure</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t="str">
        <x:v>Went for green highlighter, but rotated wrist too much. Grasping failure. Went for correct object.</x:v>
      </x:c>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MolmoAct2 Results2</x:v>
      </x:c>
      <x:c r="AM347" s="9" t="n">
        <x:v>47</x:v>
      </x:c>
      <x:c r="AN347" s="9" t="n">
        <x:v>47</x:v>
      </x:c>
    </x:row>
    <x:row r="348">
      <x:c r="A348" s="9" t="str">
        <x:v>Failure</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t="str">
        <x:v>Grabbed airplane toy</x:v>
      </x:c>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MolmoAct2 Results2</x:v>
      </x:c>
      <x:c r="AM348" s="9" t="n">
        <x:v>48</x:v>
      </x:c>
      <x:c r="AN348" s="9" t="n">
        <x:v>48</x:v>
      </x:c>
    </x:row>
    <x:row r="349">
      <x:c r="A349" s="9" t="str">
        <x:v>Failure</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t="str">
        <x:v>Went for green highlighter, but rotated wrist too much. Grasping failure. Went for correct object.</x:v>
      </x:c>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MolmoAct2 Results2</x:v>
      </x:c>
      <x:c r="AM349" s="9" t="n">
        <x:v>49</x:v>
      </x:c>
      <x:c r="AN349" s="9" t="n">
        <x:v>49</x:v>
      </x:c>
    </x:row>
    <x:row r="350">
      <x:c r="A350" s="9" t="str">
        <x:v>Failure</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t="str">
        <x:v>Went for yellow pen and then couldn't grab it. Did weird wrist roll again.</x:v>
      </x:c>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MolmoAct2 Results2</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Grabbed green highlighter and did weird wrist roll</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MolmoAct2 Results2</x:v>
      </x:c>
      <x:c r="AM351" s="9" t="n">
        <x:v>51</x:v>
      </x:c>
      <x:c r="AN351" s="9" t="n">
        <x:v>51</x:v>
      </x:c>
    </x:row>
    <x:row r="352">
      <x:c r="A352" s="9" t="str">
        <x:v>Failure</x:v>
      </x:c>
      <x:c r="B352" s="9" t="str">
        <x:v>Ordinal Reference Ordering</x:v>
      </x:c>
      <x:c r="C352" s="10" t="n">
        <x:v>50</x:v>
      </x:c>
      <x:c r="D352" s="9" t="str">
        <x:v>Put the yellow pen in the bowl.</x:v>
      </x:c>
      <x:c r="E352" s="9" t="str">
        <x:v>L1: yellow pen, L2: airplane toy with propellers, L3: green highlighter</x:v>
      </x:c>
      <x:c r="F352" s="9" t="str">
        <x:v>yellow pen</x:v>
      </x:c>
      <x:c r="G352" s="9" t="str">
        <x:v>Doing weird wrist roll again. Went for yellow pen, but couldn't pick it up.</x:v>
      </x:c>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MolmoAct2 Results2</x:v>
      </x:c>
      <x:c r="AM352" s="9" t="n">
        <x:v>52</x:v>
      </x:c>
      <x:c r="AN352" s="9" t="n">
        <x:v>52</x:v>
      </x:c>
    </x:row>
    <x:row r="353">
      <x:c r="A353" s="9" t="str">
        <x:v>Success</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Got it great</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MolmoAct2 Results2</x:v>
      </x:c>
      <x:c r="AM353" s="9" t="n">
        <x:v>53</x:v>
      </x:c>
      <x:c r="AN353" s="9" t="n">
        <x:v>53</x:v>
      </x:c>
    </x:row>
    <x:row r="354">
      <x:c r="A354" s="9" t="str">
        <x:v>Success</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MolmoAct2 Results2</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MolmoAct2 Results2</x:v>
      </x:c>
      <x:c r="AM355" s="9" t="n">
        <x:v>55</x:v>
      </x:c>
      <x:c r="AN355" s="9" t="n">
        <x:v>55</x:v>
      </x:c>
    </x:row>
    <x:row r="356">
      <x:c r="A356" s="9" t="str">
        <x:v>Success</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MolmoAct2 Results2</x:v>
      </x:c>
      <x:c r="AM356" s="9" t="n">
        <x:v>56</x:v>
      </x:c>
      <x:c r="AN356" s="9" t="n">
        <x:v>56</x:v>
      </x:c>
    </x:row>
    <x:row r="357">
      <x:c r="A357" s="9" t="str">
        <x:v>Success</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MolmoAct2 Results2</x:v>
      </x:c>
      <x:c r="AM357" s="9" t="n">
        <x:v>57</x:v>
      </x:c>
      <x:c r="AN357" s="9" t="n">
        <x:v>57</x:v>
      </x:c>
    </x:row>
    <x:row r="358">
      <x:c r="A358" s="9" t="str">
        <x:v>Success</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MolmoAct2 Results2</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Got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MolmoAct2 Results2</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MolmoAct2 Results2</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Went for the blue tape ball, knocked it out of the way, and then during recovery, got the airplane toy. Reasoning succeeed, but screwed up during recovery</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MolmoAct2 Results2</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MolmoAct2 Results2</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MolmoAct2 Results2</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MolmoAct2 Results2</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blue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MolmoAct2 Results2</x:v>
      </x:c>
      <x:c r="AM365" s="9" t="n">
        <x:v>65</x:v>
      </x:c>
      <x:c r="AN365" s="9" t="n">
        <x:v>65</x:v>
      </x:c>
    </x:row>
    <x:row r="366">
      <x:c r="A366" s="9" t="str">
        <x:v>Success</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MolmoAct2 Results2</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MolmoAct2 Results2</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MolmoAct2 Results2</x:v>
      </x:c>
      <x:c r="AM368" s="9" t="n">
        <x:v>68</x:v>
      </x:c>
      <x:c r="AN368" s="9" t="n">
        <x:v>68</x:v>
      </x:c>
    </x:row>
    <x:row r="369">
      <x:c r="A369" s="9" t="str">
        <x:v>Failure</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t="str">
        <x:v>Picked blue tape ball</x:v>
      </x:c>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MolmoAct2 Results2</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airplane toy</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MolmoAct2 Results2</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MolmoAct2 Results2</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MolmoAct2 Results2</x:v>
      </x:c>
      <x:c r="AM372" s="9" t="n">
        <x:v>72</x:v>
      </x:c>
      <x:c r="AN372" s="9" t="n">
        <x:v>72</x:v>
      </x:c>
    </x:row>
    <x:row r="373">
      <x:c r="A373" s="9" t="str">
        <x:v>Failure</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t="str">
        <x:v>Picked airplane toy</x:v>
      </x:c>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MolmoAct2 Results2</x:v>
      </x:c>
      <x:c r="AM373" s="9" t="n">
        <x:v>73</x:v>
      </x:c>
      <x:c r="AN373" s="9" t="n">
        <x:v>73</x:v>
      </x:c>
    </x:row>
    <x:row r="374">
      <x:c r="A374" s="9" t="str">
        <x:v>Success</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MolmoAct2 Results2</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MolmoAct2 Results2</x:v>
      </x:c>
      <x:c r="AM375" s="9" t="n">
        <x:v>75</x:v>
      </x:c>
      <x:c r="AN375" s="9" t="n">
        <x:v>75</x:v>
      </x:c>
    </x:row>
    <x:row r="376">
      <x:c r="A376" s="9" t="str">
        <x:v>Failure</x:v>
      </x:c>
      <x:c r="B376" s="9" t="str">
        <x:v>Ordinal Reference Ordering</x:v>
      </x:c>
      <x:c r="C376" s="10" t="n">
        <x:v>74</x:v>
      </x:c>
      <x:c r="D376" s="9" t="str">
        <x:v>Move the yellow pen into the bowl.</x:v>
      </x:c>
      <x:c r="E376" s="9" t="str">
        <x:v>L1: airplane toy with propellers, L2: yellow pen</x:v>
      </x:c>
      <x:c r="F376" s="9" t="str">
        <x:v>yellow pen</x:v>
      </x:c>
      <x:c r="G376" s="9" t="str">
        <x:v>Wrist rotated 90 degrees off. Clearly went for yellow pen, but couldn't get it. Reasoning success.</x:v>
      </x:c>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MolmoAct2 Results2</x:v>
      </x:c>
      <x:c r="AM376" s="9" t="n">
        <x:v>76</x:v>
      </x:c>
      <x:c r="AN376" s="9" t="n">
        <x:v>76</x:v>
      </x:c>
    </x:row>
    <x:row r="377">
      <x:c r="A377" s="9" t="str">
        <x:v>Success</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MolmoAct2 Results2</x:v>
      </x:c>
      <x:c r="AM377" s="9" t="n">
        <x:v>77</x:v>
      </x:c>
      <x:c r="AN377" s="9" t="n">
        <x:v>77</x:v>
      </x:c>
    </x:row>
    <x:row r="378">
      <x:c r="A378" s="9" t="str">
        <x:v>Failure</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t="str">
        <x:v>picked yellow pen</x:v>
      </x:c>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MolmoAct2 Results2</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MolmoAct2 Results2</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MolmoAct2 Results2</x:v>
      </x:c>
      <x:c r="AM380" s="9" t="n">
        <x:v>80</x:v>
      </x:c>
      <x:c r="AN380" s="9" t="n">
        <x:v>80</x:v>
      </x:c>
    </x:row>
    <x:row r="381">
      <x:c r="A381" s="9" t="str">
        <x:v>Success</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MolmoAct2 Results2</x:v>
      </x:c>
      <x:c r="AM381" s="9" t="n">
        <x:v>81</x:v>
      </x:c>
      <x:c r="AN381" s="9" t="n">
        <x:v>81</x:v>
      </x:c>
    </x:row>
    <x:row r="382">
      <x:c r="A382" s="9" t="str">
        <x:v>Success</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MolmoAct2 Results2</x:v>
      </x:c>
      <x:c r="AM382" s="9" t="n">
        <x:v>82</x:v>
      </x:c>
      <x:c r="AN382" s="9" t="n">
        <x:v>82</x:v>
      </x:c>
    </x:row>
    <x:row r="383">
      <x:c r="A383" s="9" t="str">
        <x:v>Failure</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Picked airplane toy</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MolmoAct2 Results2</x:v>
      </x:c>
      <x:c r="AM383" s="9" t="n">
        <x:v>83</x:v>
      </x:c>
      <x:c r="AN383" s="9" t="n">
        <x:v>83</x:v>
      </x:c>
    </x:row>
    <x:row r="384">
      <x:c r="A384" s="9" t="str">
        <x:v>Success</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MolmoAct2 Results2</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Picked airplane toy</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MolmoAct2 Results2</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MolmoAct2 Results2</x:v>
      </x:c>
      <x:c r="AM386" s="9" t="n">
        <x:v>86</x:v>
      </x:c>
      <x:c r="AN386" s="9" t="n">
        <x:v>86</x:v>
      </x:c>
    </x:row>
    <x:row r="387">
      <x:c r="A387" s="9" t="str">
        <x:v>Success</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MolmoAct2 Results2</x:v>
      </x:c>
      <x:c r="AM387" s="9" t="n">
        <x:v>87</x:v>
      </x:c>
      <x:c r="AN387" s="9" t="n">
        <x:v>87</x:v>
      </x:c>
    </x:row>
    <x:row r="388">
      <x:c r="A388" s="9" t="str">
        <x:v>Success</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MolmoAct2 Results2</x:v>
      </x:c>
      <x:c r="AM388" s="9" t="n">
        <x:v>88</x:v>
      </x:c>
      <x:c r="AN388" s="9" t="n">
        <x:v>88</x:v>
      </x:c>
    </x:row>
    <x:row r="389">
      <x:c r="A389" s="9" t="str">
        <x:v>Success</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MolmoAct2 Results2</x:v>
      </x:c>
      <x:c r="AM389" s="9" t="n">
        <x:v>89</x:v>
      </x:c>
      <x:c r="AN389" s="9" t="n">
        <x:v>89</x:v>
      </x:c>
    </x:row>
    <x:row r="390">
      <x:c r="A390" s="9" t="str">
        <x:v>Success</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MolmoAct2 Results2</x:v>
      </x:c>
      <x:c r="AM390" s="9" t="n">
        <x:v>90</x:v>
      </x:c>
      <x:c r="AN390" s="9" t="n">
        <x:v>90</x:v>
      </x:c>
    </x:row>
    <x:row r="391">
      <x:c r="A391" s="9" t="str">
        <x:v>Failure</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t="str">
        <x:v>picked airplane toy</x:v>
      </x:c>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MolmoAct2 Results2</x:v>
      </x:c>
      <x:c r="AM391" s="9" t="n">
        <x:v>91</x:v>
      </x:c>
      <x:c r="AN391" s="9" t="n">
        <x:v>91</x:v>
      </x:c>
    </x:row>
    <x:row r="392">
      <x:c r="A392" s="9" t="str">
        <x:v>Failure</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t="str">
        <x:v>tried to grab green highlighter, grabbed it from end, dropped it, and could not recovery. Failed reasoning ans grasping.</x:v>
      </x:c>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MolmoAct2 Results2</x:v>
      </x:c>
      <x:c r="AM392" s="9" t="n">
        <x:v>92</x:v>
      </x:c>
      <x:c r="AN392" s="9" t="n">
        <x:v>92</x:v>
      </x:c>
    </x:row>
    <x:row r="393">
      <x:c r="A393" s="9" t="str">
        <x:v>Success</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MolmoAct2 Results2</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blue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MolmoAct2 Results2</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MolmoAct2 Results2</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MolmoAct2 Results2</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green highlighter</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MolmoAct2 Results2</x:v>
      </x:c>
      <x:c r="AM397" s="9" t="n">
        <x:v>97</x:v>
      </x:c>
      <x:c r="AN397" s="9" t="n">
        <x:v>97</x:v>
      </x:c>
    </x:row>
    <x:row r="398">
      <x:c r="A398" s="9" t="str">
        <x:v>Failure</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t="str">
        <x:v>picked green highlighter</x:v>
      </x:c>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MolmoAct2 Results2</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green highlighter</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MolmoAct2 Results2</x:v>
      </x:c>
      <x:c r="AM399" s="9" t="n">
        <x:v>99</x:v>
      </x:c>
      <x:c r="AN399" s="9" t="n">
        <x:v>99</x:v>
      </x:c>
    </x:row>
    <x:row r="400">
      <x:c r="A400" s="9" t="str">
        <x:v>Success</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MolmoAct2 Results2</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t="str">
        <x:v>picked yellow pen</x:v>
      </x:c>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MolmoAct2 Results2</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MolmoAct2 Results2</x:v>
      </x:c>
      <x:c r="AM402" s="9" t="n">
        <x:v>102</x:v>
      </x:c>
      <x:c r="AN402" s="9" t="n">
        <x:v>102</x:v>
      </x:c>
    </x:row>
    <x:row r="403">
      <x:c r="A403" s="9" t="str">
        <x:v>Failure</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t="str">
        <x:v>picked blue tape ball</x:v>
      </x:c>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MolmoAct2 Results2</x:v>
      </x:c>
      <x:c r="AM403" s="9" t="n">
        <x:v>103</x:v>
      </x:c>
      <x:c r="AN403" s="9" t="n">
        <x:v>103</x:v>
      </x:c>
    </x:row>
    <x:row r="404">
      <x:c r="A404" s="9" t="str">
        <x:v>Failure</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t="str">
        <x:v>tried to pick airplane toy dropped it, and immediately picked up the blue tap ball, which was closest object to it.</x:v>
      </x:c>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MolmoAct2 Results2</x:v>
      </x:c>
      <x:c r="AM404" s="9" t="n">
        <x:v>104</x:v>
      </x:c>
      <x:c r="AN404" s="9" t="n">
        <x:v>104</x:v>
      </x:c>
    </x:row>
    <x:row r="405">
      <x:c r="A405" s="9" t="str">
        <x:v>Success</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MolmoAct2 Results2</x:v>
      </x:c>
      <x:c r="AM405" s="9" t="n">
        <x:v>105</x:v>
      </x:c>
      <x:c r="AN405" s="9" t="n">
        <x:v>105</x:v>
      </x:c>
    </x:row>
    <x:row r="406">
      <x:c r="A406" s="9" t="str">
        <x:v>Failure</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t="str">
        <x:v>picked green highlighter</x:v>
      </x:c>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MolmoAct2 Results2</x:v>
      </x:c>
      <x:c r="AM406" s="9" t="n">
        <x:v>106</x:v>
      </x:c>
      <x:c r="AN406" s="9" t="n">
        <x:v>106</x:v>
      </x:c>
    </x:row>
    <x:row r="407">
      <x:c r="A407" s="9" t="str">
        <x:v>Success</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MolmoAct2 Results2</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MolmoAct2 Results2</x:v>
      </x:c>
      <x:c r="AM408" s="9" t="n">
        <x:v>108</x:v>
      </x:c>
      <x:c r="AN408" s="9" t="n">
        <x:v>108</x:v>
      </x:c>
    </x:row>
    <x:row r="409">
      <x:c r="A409" s="9" t="str">
        <x:v>Success</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MolmoAct2 Results2</x:v>
      </x:c>
      <x:c r="AM409" s="9" t="n">
        <x:v>109</x:v>
      </x:c>
      <x:c r="AN409" s="9" t="n">
        <x:v>109</x:v>
      </x:c>
    </x:row>
    <x:row r="410">
      <x:c r="A410" s="9" t="str">
        <x:v>Failure</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t="str">
        <x:v>bumped blue tape ball and during recovery, picked airplane toy</x:v>
      </x:c>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MolmoAct2 Results2</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Did weird wrist roll thing again, but picked the green highlighter and not the yellow pen.</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MolmoAct2 Results2</x:v>
      </x:c>
      <x:c r="AM411" s="9" t="n">
        <x:v>111</x:v>
      </x:c>
      <x:c r="AN411" s="9" t="n">
        <x:v>111</x:v>
      </x:c>
    </x:row>
    <x:row r="412">
      <x:c r="A412" s="9" t="str">
        <x:v>Failure</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t="str">
        <x:v>picked airplane toy.</x:v>
      </x:c>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MolmoAct2 Results2</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MolmoAct2 Results2</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MolmoAct2 Results2</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MolmoAct2 Results2</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picked green highlighter</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MolmoAct2 Results2</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MolmoAct2 Results2</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yellow pen</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MolmoAct2 Results2</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MolmoAct2 Results2</x:v>
      </x:c>
      <x:c r="AM419" s="9" t="n">
        <x:v>119</x:v>
      </x:c>
      <x:c r="AN419" s="9" t="n">
        <x:v>119</x:v>
      </x:c>
    </x:row>
    <x:row r="420">
      <x:c r="A420" s="9" t="str">
        <x:v>Success</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MolmoAct2 Results2</x:v>
      </x:c>
      <x:c r="AM420" s="9" t="n">
        <x:v>120</x:v>
      </x:c>
      <x:c r="AN420" s="9" t="n">
        <x:v>120</x:v>
      </x:c>
    </x:row>
    <x:row r="421">
      <x:c r="A421" s="9" t="str">
        <x:v>Success</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MolmoAct2 Results2</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MolmoAct2 Results2</x:v>
      </x:c>
      <x:c r="AM422" s="9" t="n">
        <x:v>122</x:v>
      </x:c>
      <x:c r="AN422" s="9" t="n">
        <x:v>122</x:v>
      </x:c>
    </x:row>
    <x:row r="423">
      <x:c r="A423" s="9" t="str">
        <x:v>Success</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MolmoAct2 Results2</x:v>
      </x:c>
      <x:c r="AM423" s="9" t="n">
        <x:v>123</x:v>
      </x:c>
      <x:c r="AN423" s="9" t="n">
        <x:v>123</x:v>
      </x:c>
    </x:row>
    <x:row r="424">
      <x:c r="A424" s="9" t="str">
        <x:v>Success</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MolmoAct2 Results2</x:v>
      </x:c>
      <x:c r="AM424" s="9" t="n">
        <x:v>124</x:v>
      </x:c>
      <x:c r="AN424" s="9" t="n">
        <x:v>124</x:v>
      </x:c>
    </x:row>
    <x:row r="425">
      <x:c r="A425" s="9" t="str">
        <x:v>Failure</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t="str">
        <x:v>picked red block</x:v>
      </x:c>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MolmoAct2 Results2</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MolmoAct2 Results2</x:v>
      </x:c>
      <x:c r="AM426" s="9" t="n">
        <x:v>126</x:v>
      </x:c>
      <x:c r="AN426" s="9" t="n">
        <x:v>126</x:v>
      </x:c>
    </x:row>
    <x:row r="427">
      <x:c r="A427" s="9" t="str">
        <x:v>Success</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MolmoAct2 Results2</x:v>
      </x:c>
      <x:c r="AM427" s="9" t="n">
        <x:v>127</x:v>
      </x:c>
      <x:c r="AN427" s="9" t="n">
        <x:v>127</x:v>
      </x:c>
    </x:row>
    <x:row r="428">
      <x:c r="A428" s="9" t="str">
        <x:v>Failure</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t="str">
        <x:v>Picked blue tape ball</x:v>
      </x:c>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MolmoAct2 Results2</x:v>
      </x:c>
      <x:c r="AM428" s="9" t="n">
        <x:v>128</x:v>
      </x:c>
      <x:c r="AN428" s="9" t="n">
        <x:v>128</x:v>
      </x:c>
    </x:row>
    <x:row r="429">
      <x:c r="A429" s="9" t="str">
        <x:v>Failure</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Picked blue tape ball</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MolmoAct2 Results2</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red block</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MolmoAct2 Results2</x:v>
      </x:c>
      <x:c r="AM430" s="9" t="n">
        <x:v>130</x:v>
      </x:c>
      <x:c r="AN430" s="9" t="n">
        <x:v>130</x:v>
      </x:c>
    </x:row>
    <x:row r="431">
      <x:c r="A431" s="9" t="str">
        <x:v>Failure</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t="str">
        <x:v>picked airplane toy</x:v>
      </x:c>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MolmoAct2 Results2</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blue tape ball</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MolmoAct2 Results2</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blue tape ball</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MolmoAct2 Results2</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blue tape ball</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MolmoAct2 Results2</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blue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MolmoAct2 Results2</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up airplane toy</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MolmoAct2 Results2</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airplane toy, dropped it, and during recovery picked up the blue tape ball</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MolmoAct2 Results2</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green highlighter</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MolmoAct2 Results2</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green highlighter</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MolmoAct2 Results2</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blue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MolmoAct2 Results2</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blue tape ball</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MolmoAct2 Results2</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airplane toy</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MolmoAct2 Results2</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airplane toy</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MolmoAct2 Results2</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MolmoAct2 Results2</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yellow pen</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MolmoAct2 Results2</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MolmoAct2 Results2</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picked green highlighter</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MolmoAct2 Results2</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picked airplane toy</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MolmoAct2 Results2</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picked airplane toy</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MolmoAct2 Results2</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airplane toy</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MolmoAct2 Results2</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picked airplane toy</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MolmoAct2 Results2</x:v>
      </x:c>
      <x:c r="AM451" s="9" t="n">
        <x:v>151</x:v>
      </x:c>
      <x:c r="AN451" s="9" t="n">
        <x:v>151</x:v>
      </x:c>
    </x:row>
    <x:row r="452">
      <x:c r="A452" s="9" t="str">
        <x:v>Success</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MolmoAct2 Results</x:v>
      </x:c>
      <x:c r="AM452" s="9" t="n">
        <x:v>2</x:v>
      </x:c>
      <x:c r="AN452" s="9" t="n">
        <x:v>2</x:v>
      </x:c>
    </x:row>
    <x:row r="453">
      <x:c r="A453" s="9" t="str">
        <x:v>Success</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MolmoAct2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MolmoAct2 Results</x:v>
      </x:c>
      <x:c r="AM454" s="9" t="n">
        <x:v>4</x:v>
      </x:c>
      <x:c r="AN454" s="9" t="n">
        <x:v>4</x:v>
      </x:c>
    </x:row>
    <x:row r="455">
      <x:c r="A455" s="9" t="str">
        <x:v>Success</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MolmoAct2 Results</x:v>
      </x:c>
      <x:c r="AM455" s="9" t="n">
        <x:v>5</x:v>
      </x:c>
      <x:c r="AN455" s="9" t="n">
        <x:v>5</x:v>
      </x:c>
    </x:row>
    <x:row r="456">
      <x:c r="A456" s="9" t="str">
        <x:v>Failure</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t="str">
        <x:v>did like left front, but mostly left.</x:v>
      </x:c>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MolmoAct2 Results</x:v>
      </x:c>
      <x:c r="AM456" s="9" t="n">
        <x:v>6</x:v>
      </x:c>
      <x:c r="AN456" s="9" t="n">
        <x:v>6</x:v>
      </x:c>
    </x:row>
    <x:row r="457">
      <x:c r="A457" s="9" t="str">
        <x:v>Success</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MolmoAct2 Results</x:v>
      </x:c>
      <x:c r="AM457" s="9" t="n">
        <x:v>7</x:v>
      </x:c>
      <x:c r="AN457" s="9" t="n">
        <x:v>7</x:v>
      </x:c>
    </x:row>
    <x:row r="458">
      <x:c r="A458" s="9" t="str">
        <x:v>Failure</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t="str">
        <x:v>looked like it was going for front, but knocked the pen and dropped it such that it landed in the back.</x:v>
      </x:c>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MolmoAct2 Results</x:v>
      </x:c>
      <x:c r="AM458" s="9" t="n">
        <x:v>8</x:v>
      </x:c>
      <x:c r="AN458" s="9" t="n">
        <x:v>8</x:v>
      </x:c>
    </x:row>
    <x:row r="459">
      <x:c r="A459" s="9" t="str">
        <x:v>Failure</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t="str">
        <x:v>dropped the blue block to a position out of range. Went home and stayed still. </x:v>
      </x:c>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MolmoAct2 Results</x:v>
      </x:c>
      <x:c r="AM459" s="9" t="n">
        <x:v>9</x:v>
      </x:c>
      <x:c r="AN459" s="9" t="n">
        <x:v>9</x:v>
      </x:c>
    </x:row>
    <x:row r="460">
      <x:c r="A460" s="9" t="str">
        <x:v>Failure</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t="str">
        <x:v>placed on top and rolled to the right side</x:v>
      </x:c>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MolmoAct2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t="str">
        <x:v>put the block on the pen and pen spun around but block ended up in right position. </x:v>
      </x:c>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MolmoAct2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MolmoAct2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t="str">
        <x:v>tried to pick the pink pen, but couldn't and it got thrown to the right of the red block. Technically ended up correct, but lowkey questionable if this should count</x:v>
      </x:c>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MolmoAct2 Results</x:v>
      </x:c>
      <x:c r="AM463" s="9" t="n">
        <x:v>13</x:v>
      </x:c>
      <x:c r="AN463" s="9" t="n">
        <x:v>13</x:v>
      </x:c>
    </x:row>
    <x:row r="464">
      <x:c r="A464" s="9" t="str">
        <x:v>Success</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t="str">
        <x:v>knocked blue block when it was placed red block down. Caused it to move, but ended up in right place.</x:v>
      </x:c>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MolmoAct2 Results</x:v>
      </x:c>
      <x:c r="AM464" s="9" t="n">
        <x:v>14</x:v>
      </x:c>
      <x:c r="AN464" s="9" t="n">
        <x:v>14</x:v>
      </x:c>
    </x:row>
    <x:row r="465">
      <x:c r="A465" s="9" t="str">
        <x:v>Success</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MolmoAct2 Results</x:v>
      </x:c>
      <x:c r="AM465" s="9" t="n">
        <x:v>15</x:v>
      </x:c>
      <x:c r="AN465" s="9" t="n">
        <x:v>15</x:v>
      </x:c>
    </x:row>
    <x:row r="466">
      <x:c r="A466" s="9" t="str">
        <x:v>Success</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MolmoAct2 Results</x:v>
      </x:c>
      <x:c r="AM466" s="9" t="n">
        <x:v>16</x:v>
      </x:c>
      <x:c r="AN466" s="9" t="n">
        <x:v>16</x:v>
      </x:c>
    </x:row>
    <x:row r="467">
      <x:c r="A467" s="9" t="str">
        <x:v>Success</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MolmoAct2 Results</x:v>
      </x:c>
      <x:c r="AM467" s="9" t="n">
        <x:v>17</x:v>
      </x:c>
      <x:c r="AN467" s="9" t="n">
        <x:v>17</x:v>
      </x:c>
    </x:row>
    <x:row r="468">
      <x:c r="A468" s="9" t="str">
        <x:v>Success</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t="str">
        <x:v>seemed like it couldn't decided whether to put on the left or the right. Ultimately put it on the left.</x:v>
      </x:c>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MolmoAct2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MolmoAct2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MolmoAct2 Results</x:v>
      </x:c>
      <x:c r="AM470" s="9" t="n">
        <x:v>20</x:v>
      </x:c>
      <x:c r="AN470" s="9" t="n">
        <x:v>20</x:v>
      </x:c>
    </x:row>
    <x:row r="471">
      <x:c r="A471" s="9" t="str">
        <x:v>Success</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t="str">
        <x:v>behind and to the right. kind of iffy, but I'll count it</x:v>
      </x:c>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MolmoAct2 Results</x:v>
      </x:c>
      <x:c r="AM471" s="9" t="n">
        <x:v>21</x:v>
      </x:c>
      <x:c r="AN471" s="9" t="n">
        <x:v>21</x:v>
      </x:c>
    </x:row>
    <x:row r="472">
      <x:c r="A472" s="9" t="str">
        <x:v>Success</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MolmoAct2 Results</x:v>
      </x:c>
      <x:c r="AM472" s="9" t="n">
        <x:v>22</x:v>
      </x:c>
      <x:c r="AN472" s="9" t="n">
        <x:v>22</x:v>
      </x:c>
    </x:row>
    <x:row r="473">
      <x:c r="A473" s="9" t="str">
        <x:v>Failure</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t="str">
        <x:v>placed more to the left and behind. mostly left so fail</x:v>
      </x:c>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MolmoAct2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t="str">
        <x:v>right and in front, but I think it counts</x:v>
      </x:c>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MolmoAct2 Results</x:v>
      </x:c>
      <x:c r="AM474" s="9" t="n">
        <x:v>24</x:v>
      </x:c>
      <x:c r="AN474" s="9" t="n">
        <x:v>24</x:v>
      </x:c>
    </x:row>
    <x:row r="475">
      <x:c r="A475" s="9" t="str">
        <x:v>Failure</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t="str">
        <x:v>had it in the correct spot originally but then kept grasping and releasing the block. The block eventually flung way back out of reach and robot couldn't recover. technically behind, but really far behind.</x:v>
      </x:c>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MolmoAct2 Results</x:v>
      </x:c>
      <x:c r="AM475" s="9" t="n">
        <x:v>25</x:v>
      </x:c>
      <x:c r="AN475" s="9" t="n">
        <x:v>25</x:v>
      </x:c>
    </x:row>
    <x:row r="476">
      <x:c r="A476" s="9" t="str">
        <x:v>Failure</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t="str">
        <x:v>placed to the right. Also did the back and forth left right thing.</x:v>
      </x:c>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MolmoAct2 Results</x:v>
      </x:c>
      <x:c r="AM476" s="9" t="n">
        <x:v>26</x:v>
      </x:c>
      <x:c r="AN476" s="9" t="n">
        <x:v>26</x:v>
      </x:c>
    </x:row>
    <x:row r="477">
      <x:c r="A477" s="9" t="str">
        <x:v>Failure</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t="str">
        <x:v>failed to grasp the green pen and during recovery grabbed the blue block. started going back and forth and couldn't recover by putting the block down. </x:v>
      </x:c>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MolmoAct2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MolmoAct2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MolmoAct2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MolmoAct2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placed in front again.</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MolmoAct2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MolmoAct2 Results</x:v>
      </x:c>
      <x:c r="AM482" s="9" t="n">
        <x:v>32</x:v>
      </x:c>
      <x:c r="AN482" s="9" t="n">
        <x:v>32</x:v>
      </x:c>
    </x:row>
    <x:row r="483">
      <x:c r="A483" s="9" t="str">
        <x:v>Success</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MolmoAct2 Results</x:v>
      </x:c>
      <x:c r="AM483" s="9" t="n">
        <x:v>33</x:v>
      </x:c>
      <x:c r="AN483" s="9" t="n">
        <x:v>33</x:v>
      </x:c>
    </x:row>
    <x:row r="484">
      <x:c r="A484" s="9" t="str">
        <x:v>Success</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MolmoAct2 Results</x:v>
      </x:c>
      <x:c r="AM484" s="9" t="n">
        <x:v>34</x:v>
      </x:c>
      <x:c r="AN484" s="9" t="n">
        <x:v>34</x:v>
      </x:c>
    </x:row>
    <x:row r="485">
      <x:c r="A485" s="9" t="str">
        <x:v>Failure</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t="str">
        <x:v>did move the pen to the right of the block, but it couldn't let go of the block before time ran out. Kind of a success on reasoning?</x:v>
      </x:c>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MolmoAct2 Results</x:v>
      </x:c>
      <x:c r="AM485" s="9" t="n">
        <x:v>35</x:v>
      </x:c>
      <x:c r="AN485" s="9" t="n">
        <x:v>35</x:v>
      </x:c>
    </x:row>
    <x:row r="486">
      <x:c r="A486" s="9" t="str">
        <x:v>Failure</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placed to the right of the pen</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MolmoAct2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MolmoAct2 Results</x:v>
      </x:c>
      <x:c r="AM487" s="9" t="n">
        <x:v>37</x:v>
      </x:c>
      <x:c r="AN487" s="9" t="n">
        <x:v>37</x:v>
      </x:c>
    </x:row>
    <x:row r="488">
      <x:c r="A488" s="9" t="str">
        <x:v>Failure</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t="str">
        <x:v>placed to the right</x:v>
      </x:c>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MolmoAct2 Results</x:v>
      </x:c>
      <x:c r="AM488" s="9" t="n">
        <x:v>38</x:v>
      </x:c>
      <x:c r="AN488" s="9" t="n">
        <x:v>38</x:v>
      </x:c>
    </x:row>
    <x:row r="489">
      <x:c r="A489" s="9" t="str">
        <x:v>Success</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MolmoAct2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MolmoAct2 Results</x:v>
      </x:c>
      <x:c r="AM490" s="9" t="n">
        <x:v>40</x:v>
      </x:c>
      <x:c r="AN490" s="9" t="n">
        <x:v>40</x:v>
      </x:c>
    </x:row>
    <x:row r="491">
      <x:c r="A491" s="9" t="str">
        <x:v>Failure</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t="str">
        <x:v>rotated the pen and block ended up behind</x:v>
      </x:c>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MolmoAct2 Results</x:v>
      </x:c>
      <x:c r="AM491" s="9" t="n">
        <x:v>41</x:v>
      </x:c>
      <x:c r="AN491" s="9" t="n">
        <x:v>41</x:v>
      </x:c>
    </x:row>
    <x:row r="492">
      <x:c r="A492" s="9" t="str">
        <x:v>Failure</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t="str">
        <x:v>more like bottom left, but mostly bottom</x:v>
      </x:c>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MolmoAct2 Results</x:v>
      </x:c>
      <x:c r="AM492" s="9" t="n">
        <x:v>42</x:v>
      </x:c>
      <x:c r="AN492" s="9" t="n">
        <x:v>42</x:v>
      </x:c>
    </x:row>
    <x:row r="493">
      <x:c r="A493" s="9" t="str">
        <x:v>Failure</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t="str">
        <x:v>pushed block and ended up placing it on the bottom </x:v>
      </x:c>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MolmoAct2 Results</x:v>
      </x:c>
      <x:c r="AM493" s="9" t="n">
        <x:v>43</x:v>
      </x:c>
      <x:c r="AN493" s="9" t="n">
        <x:v>43</x:v>
      </x:c>
    </x:row>
    <x:row r="494">
      <x:c r="A494" s="9" t="str">
        <x:v>Failure</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t="str">
        <x:v>placed behind</x:v>
      </x:c>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MolmoAct2 Results</x:v>
      </x:c>
      <x:c r="AM494" s="9" t="n">
        <x:v>44</x:v>
      </x:c>
      <x:c r="AN494" s="9" t="n">
        <x:v>44</x:v>
      </x:c>
    </x:row>
    <x:row r="495">
      <x:c r="A495" s="9" t="str">
        <x:v>Failure</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t="str">
        <x:v>placed behind</x:v>
      </x:c>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MolmoAct2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MolmoAct2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MolmoAct2 Results</x:v>
      </x:c>
      <x:c r="AM497" s="9" t="n">
        <x:v>47</x:v>
      </x:c>
      <x:c r="AN497" s="9" t="n">
        <x:v>47</x:v>
      </x:c>
    </x:row>
    <x:row r="498">
      <x:c r="A498" s="9" t="str">
        <x:v>Success</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MolmoAct2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MolmoAct2 Results</x:v>
      </x:c>
      <x:c r="AM499" s="9" t="n">
        <x:v>49</x:v>
      </x:c>
      <x:c r="AN499" s="9" t="n">
        <x:v>49</x:v>
      </x:c>
    </x:row>
    <x:row r="500">
      <x:c r="A500" s="9" t="str">
        <x:v>Failure</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t="str">
        <x:v>placed behind and to the left</x:v>
      </x:c>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MolmoAct2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MolmoAct2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behind</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MolmoAct2 Results</x:v>
      </x:c>
      <x:c r="AM502" s="9" t="n">
        <x:v>52</x:v>
      </x:c>
      <x:c r="AN502" s="9" t="n">
        <x:v>52</x:v>
      </x:c>
    </x:row>
    <x:row r="503">
      <x:c r="A503" s="9" t="str">
        <x:v>Success</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MolmoAct2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MolmoAct2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behind instead of in front</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MolmoAct2 Results</x:v>
      </x:c>
      <x:c r="AM505" s="9" t="n">
        <x:v>55</x:v>
      </x:c>
      <x:c r="AN505" s="9" t="n">
        <x:v>55</x:v>
      </x:c>
    </x:row>
    <x:row r="506">
      <x:c r="A506" s="9" t="str">
        <x:v>Failure</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behind instead of in front</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MolmoAct2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t="str">
        <x:v>placed behind  </x:v>
      </x:c>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MolmoAct2 Results</x:v>
      </x:c>
      <x:c r="AM507" s="9" t="n">
        <x:v>57</x:v>
      </x:c>
      <x:c r="AN507" s="9" t="n">
        <x:v>57</x:v>
      </x:c>
    </x:row>
    <x:row r="508">
      <x:c r="A508" s="9" t="str">
        <x:v>Failure</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t="str">
        <x:v>placed behind and left</x:v>
      </x:c>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MolmoAct2 Results</x:v>
      </x:c>
      <x:c r="AM508" s="9" t="n">
        <x:v>58</x:v>
      </x:c>
      <x:c r="AN508" s="9" t="n">
        <x:v>58</x:v>
      </x:c>
    </x:row>
    <x:row r="509">
      <x:c r="A509" s="9" t="str">
        <x:v>Failure</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Got it behind, but wouldn't let go. I think succeeded reasoning, but just couldn't let go</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MolmoAct2 Results</x:v>
      </x:c>
      <x:c r="AM509" s="9" t="n">
        <x:v>59</x:v>
      </x:c>
      <x:c r="AN509" s="9" t="n">
        <x:v>59</x:v>
      </x:c>
    </x:row>
    <x:row r="510">
      <x:c r="A510" s="9" t="str">
        <x:v>Failure</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t="str">
        <x:v>placed to the left of the block</x:v>
      </x:c>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MolmoAct2 Results</x:v>
      </x:c>
      <x:c r="AM510" s="9" t="n">
        <x:v>60</x:v>
      </x:c>
      <x:c r="AN510" s="9" t="n">
        <x:v>60</x:v>
      </x:c>
    </x:row>
    <x:row r="511">
      <x:c r="A511" s="9" t="str">
        <x:v>Success</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MolmoAct2 Results</x:v>
      </x:c>
      <x:c r="AM511" s="9" t="n">
        <x:v>61</x:v>
      </x:c>
      <x:c r="AN511" s="9" t="n">
        <x:v>61</x:v>
      </x:c>
    </x:row>
    <x:row r="512">
      <x:c r="A512" s="9" t="str">
        <x:v>Success</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t="str">
        <x:v>went back and forth front and behind before ending behind.</x:v>
      </x:c>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MolmoAct2 Results</x:v>
      </x:c>
      <x:c r="AM512" s="9" t="n">
        <x:v>62</x:v>
      </x:c>
      <x:c r="AN512" s="9" t="n">
        <x:v>62</x:v>
      </x:c>
    </x:row>
    <x:row r="513">
      <x:c r="A513" s="9" t="str">
        <x:v>Success</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MolmoAct2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MolmoAct2 Results</x:v>
      </x:c>
      <x:c r="AM514" s="9" t="n">
        <x:v>64</x:v>
      </x:c>
      <x:c r="AN514" s="9" t="n">
        <x:v>64</x:v>
      </x:c>
    </x:row>
    <x:row r="515">
      <x:c r="A515" s="9" t="str">
        <x:v>Success</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placed in front</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MolmoAct2 Results</x:v>
      </x:c>
      <x:c r="AM515" s="9" t="n">
        <x:v>65</x:v>
      </x:c>
      <x:c r="AN515" s="9" t="n">
        <x:v>65</x:v>
      </x:c>
    </x:row>
    <x:row r="516">
      <x:c r="A516" s="9" t="str">
        <x:v>Success</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t="str">
        <x:v>placed behind</x:v>
      </x:c>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MolmoAct2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front</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MolmoAct2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MolmoAct2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placed to the right</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MolmoAct2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MolmoAct2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t="str">
        <x:v>placed in front</x:v>
      </x:c>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MolmoAct2 Results</x:v>
      </x:c>
      <x:c r="AM521" s="9" t="n">
        <x:v>71</x:v>
      </x:c>
      <x:c r="AN521" s="9" t="n">
        <x:v>71</x:v>
      </x:c>
    </x:row>
    <x:row r="522">
      <x:c r="A522" s="9" t="str">
        <x:v>Failure</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t="str">
        <x:v>placed on the bottom, but majority of the pen's body was on the left side.</x:v>
      </x:c>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MolmoAct2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placed on bottom</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MolmoAct2 Results</x:v>
      </x:c>
      <x:c r="AM523" s="9" t="n">
        <x:v>73</x:v>
      </x:c>
      <x:c r="AN523" s="9" t="n">
        <x:v>73</x:v>
      </x:c>
    </x:row>
    <x:row r="524">
      <x:c r="A524" s="9" t="str">
        <x:v>Success</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MolmoAct2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left </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MolmoAct2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MolmoAct2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in front of because it moved it around a bunch</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MolmoAct2 Results</x:v>
      </x:c>
      <x:c r="AM527" s="9" t="n">
        <x:v>77</x:v>
      </x:c>
      <x:c r="AN527" s="9" t="n">
        <x:v>77</x:v>
      </x:c>
    </x:row>
    <x:row r="528">
      <x:c r="A528" s="9" t="str">
        <x:v>Success</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MolmoAct2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t="str">
        <x:v>placed on left</x:v>
      </x:c>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MolmoAct2 Results</x:v>
      </x:c>
      <x:c r="AM529" s="9" t="n">
        <x:v>79</x:v>
      </x:c>
      <x:c r="AN529" s="9" t="n">
        <x:v>79</x:v>
      </x:c>
    </x:row>
    <x:row r="530">
      <x:c r="A530" s="9" t="str">
        <x:v>Failure</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t="str">
        <x:v>placed in front</x:v>
      </x:c>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MolmoAct2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placed to the right</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MolmoAct2 Results</x:v>
      </x:c>
      <x:c r="AM531" s="9" t="n">
        <x:v>81</x:v>
      </x:c>
      <x:c r="AN531" s="9" t="n">
        <x:v>81</x:v>
      </x:c>
    </x:row>
    <x:row r="532">
      <x:c r="A532" s="9" t="str">
        <x:v>Failure</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t="str">
        <x:v>placed to the left</x:v>
      </x:c>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MolmoAct2 Results</x:v>
      </x:c>
      <x:c r="AM532" s="9" t="n">
        <x:v>82</x:v>
      </x:c>
      <x:c r="AN532" s="9" t="n">
        <x:v>82</x:v>
      </x:c>
    </x:row>
    <x:row r="533">
      <x:c r="A533" s="9" t="str">
        <x:v>Failure</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t="str">
        <x:v>couldn't grasp the red block, knocked it around out of range, then picked up the blue block and put it beside the green pen</x:v>
      </x:c>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MolmoAct2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to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MolmoAct2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MolmoAct2 Results</x:v>
      </x:c>
      <x:c r="AM535" s="9" t="n">
        <x:v>85</x:v>
      </x:c>
      <x:c r="AN535" s="9" t="n">
        <x:v>85</x:v>
      </x:c>
    </x:row>
    <x:row r="536">
      <x:c r="A536" s="9" t="str">
        <x:v>Success</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MolmoAct2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to left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MolmoAct2 Results</x:v>
      </x:c>
      <x:c r="AM537" s="9" t="n">
        <x:v>87</x:v>
      </x:c>
      <x:c r="AN537" s="9" t="n">
        <x:v>87</x:v>
      </x:c>
    </x:row>
    <x:row r="538">
      <x:c r="A538" s="9" t="str">
        <x:v>Success</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MolmoAct2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MolmoAct2 Results</x:v>
      </x:c>
      <x:c r="AM539" s="9" t="n">
        <x:v>89</x:v>
      </x:c>
      <x:c r="AN539" s="9" t="n">
        <x:v>89</x:v>
      </x:c>
    </x:row>
    <x:row r="540">
      <x:c r="A540" s="9" t="str">
        <x:v>Success</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MolmoAct2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in front</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MolmoAct2 Results</x:v>
      </x:c>
      <x:c r="AM541" s="9" t="n">
        <x:v>91</x:v>
      </x:c>
      <x:c r="AN541" s="9" t="n">
        <x:v>91</x:v>
      </x:c>
    </x:row>
    <x:row r="542">
      <x:c r="A542" s="9" t="str">
        <x:v>Failure</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t="str">
        <x:v>robot didn't move</x:v>
      </x:c>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MolmoAct2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super long pause before movement</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MolmoAct2 Results</x:v>
      </x:c>
      <x:c r="AM543" s="9" t="n">
        <x:v>93</x:v>
      </x:c>
      <x:c r="AN543" s="9" t="n">
        <x:v>93</x:v>
      </x:c>
    </x:row>
    <x:row r="544">
      <x:c r="A544" s="9" t="str">
        <x:v>Failure</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t="str">
        <x:v>tried to put it on the left, knocked block, and wouldn't let got of pen</x:v>
      </x:c>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MolmoAct2 Results</x:v>
      </x:c>
      <x:c r="AM544" s="9" t="n">
        <x:v>94</x:v>
      </x:c>
      <x:c r="AN544" s="9" t="n">
        <x:v>94</x:v>
      </x:c>
    </x:row>
    <x:row r="545">
      <x:c r="A545" s="9" t="str">
        <x:v>Success</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MolmoAct2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MolmoAct2 Results</x:v>
      </x:c>
      <x:c r="AM546" s="9" t="n">
        <x:v>96</x:v>
      </x:c>
      <x:c r="AN546" s="9" t="n">
        <x:v>96</x:v>
      </x:c>
    </x:row>
    <x:row r="547">
      <x:c r="A547" s="9" t="str">
        <x:v>Failure</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grasping failure. knocked block out and couldn't recover</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MolmoAct2 Results</x:v>
      </x:c>
      <x:c r="AM547" s="9" t="n">
        <x:v>97</x:v>
      </x:c>
      <x:c r="AN547" s="9" t="n">
        <x:v>97</x:v>
      </x:c>
    </x:row>
    <x:row r="548">
      <x:c r="A548" s="9" t="str">
        <x:v>Failure</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t="str">
        <x:v>placed on top and slid to the right</x:v>
      </x:c>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MolmoAct2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placed on top and slid to the left</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MolmoAct2 Results</x:v>
      </x:c>
      <x:c r="AM549" s="9" t="n">
        <x:v>99</x:v>
      </x:c>
      <x:c r="AN549" s="9" t="n">
        <x:v>99</x:v>
      </x:c>
    </x:row>
    <x:row r="550">
      <x:c r="A550" s="9" t="str">
        <x:v>Failure</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t="str">
        <x:v>placed on the top</x:v>
      </x:c>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MolmoAct2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in front</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MolmoAct2 Results</x:v>
      </x:c>
      <x:c r="AM551" s="9" t="n">
        <x:v>101</x:v>
      </x:c>
      <x:c r="AN551" s="9" t="n">
        <x:v>101</x:v>
      </x:c>
    </x:row>
    <x:row r="552">
      <x:c r="A552" s="9" t="str">
        <x:v>Failure</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t="str">
        <x:v>placed in front</x:v>
      </x:c>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MolmoAct2 Results</x:v>
      </x:c>
      <x:c r="AM552" s="9" t="n">
        <x:v>102</x:v>
      </x:c>
      <x:c r="AN552" s="9" t="n">
        <x:v>102</x:v>
      </x:c>
    </x:row>
    <x:row r="553">
      <x:c r="A553" s="9" t="str">
        <x:v>Success</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gripper was 90 degrees off until knocked pen correctly. kind of dropped pen but landed to the right of the red block.</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MolmoAct2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MolmoAct2 Results</x:v>
      </x:c>
      <x:c r="AM554" s="9" t="n">
        <x:v>104</x:v>
      </x:c>
      <x:c r="AN554" s="9" t="n">
        <x:v>104</x:v>
      </x:c>
    </x:row>
    <x:row r="555">
      <x:c r="A555" s="9" t="str">
        <x:v>Success</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placed to the left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MolmoAct2 Results</x:v>
      </x:c>
      <x:c r="AM555" s="9" t="n">
        <x:v>105</x:v>
      </x:c>
      <x:c r="AN555" s="9" t="n">
        <x:v>105</x:v>
      </x:c>
    </x:row>
    <x:row r="556">
      <x:c r="A556" s="9" t="str">
        <x:v>Failure</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t="str">
        <x:v>failed to grasp the green pen</x:v>
      </x:c>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MolmoAct2 Results</x:v>
      </x:c>
      <x:c r="AM556" s="9" t="n">
        <x:v>106</x:v>
      </x:c>
      <x:c r="AN556" s="9" t="n">
        <x:v>106</x:v>
      </x:c>
    </x:row>
    <x:row r="557">
      <x:c r="A557" s="9" t="str">
        <x:v>Success</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MolmoAct2 Results</x:v>
      </x:c>
      <x:c r="AM557" s="9" t="n">
        <x:v>107</x:v>
      </x:c>
      <x:c r="AN557" s="9" t="n">
        <x:v>107</x:v>
      </x:c>
    </x:row>
    <x:row r="558">
      <x:c r="A558" s="9" t="str">
        <x:v>Success</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MolmoAct2 Results</x:v>
      </x:c>
      <x:c r="AM558" s="9" t="n">
        <x:v>108</x:v>
      </x:c>
      <x:c r="AN558" s="9" t="n">
        <x:v>108</x:v>
      </x:c>
    </x:row>
    <x:row r="559">
      <x:c r="A559" s="9" t="str">
        <x:v>Failure</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t="str">
        <x:v>robot didn't move</x:v>
      </x:c>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MolmoAct2 Results</x:v>
      </x:c>
      <x:c r="AM559" s="9" t="n">
        <x:v>109</x:v>
      </x:c>
      <x:c r="AN559" s="9" t="n">
        <x:v>109</x:v>
      </x:c>
    </x:row>
    <x:row r="560">
      <x:c r="A560" s="9" t="str">
        <x:v>Failure</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t="str">
        <x:v>placed in front. Also had trouble grasping the pen</x:v>
      </x:c>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MolmoAct2 Results</x:v>
      </x:c>
      <x:c r="AM560" s="9" t="n">
        <x:v>110</x:v>
      </x:c>
      <x:c r="AN560" s="9" t="n">
        <x:v>110</x:v>
      </x:c>
    </x:row>
    <x:row r="561">
      <x:c r="A561" s="9" t="str">
        <x:v>Failure</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placed behind</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MolmoAct2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MolmoAct2 Results</x:v>
      </x:c>
      <x:c r="AM562" s="9" t="n">
        <x:v>112</x:v>
      </x:c>
      <x:c r="AN562" s="9" t="n">
        <x:v>112</x:v>
      </x:c>
    </x:row>
    <x:row r="563">
      <x:c r="A563" s="9" t="str">
        <x:v>Failure</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placed to left. Seemed to be hesitant upon release</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MolmoAct2 Results</x:v>
      </x:c>
      <x:c r="AM563" s="9" t="n">
        <x:v>113</x:v>
      </x:c>
      <x:c r="AN563" s="9" t="n">
        <x:v>113</x:v>
      </x:c>
    </x:row>
    <x:row r="564">
      <x:c r="A564" s="9" t="str">
        <x:v>Success</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MolmoAct2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it was behind, but it dropped where the marker rolled out of range to be close enough for a success</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MolmoAct2 Results</x:v>
      </x:c>
      <x:c r="AM565" s="9" t="n">
        <x:v>115</x:v>
      </x:c>
      <x:c r="AN565" s="9" t="n">
        <x:v>115</x:v>
      </x:c>
    </x:row>
    <x:row r="566">
      <x:c r="A566" s="9" t="str">
        <x:v>Success</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MolmoAct2 Results</x:v>
      </x:c>
      <x:c r="AM566" s="9" t="n">
        <x:v>116</x:v>
      </x:c>
      <x:c r="AN566" s="9" t="n">
        <x:v>116</x:v>
      </x:c>
    </x:row>
    <x:row r="567">
      <x:c r="A567" s="9" t="str">
        <x:v>Failure</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t="str">
        <x:v>placed to the left. placed directly on top, then moved the block.</x:v>
      </x:c>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MolmoAct2 Results</x:v>
      </x:c>
      <x:c r="AM567" s="9" t="n">
        <x:v>117</x:v>
      </x:c>
      <x:c r="AN567" s="9" t="n">
        <x:v>117</x:v>
      </x:c>
    </x:row>
    <x:row r="568">
      <x:c r="A568" s="9" t="str">
        <x:v>Failure</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t="str">
        <x:v>didn't release the block. Was jittering around near the left of the juggling ball</x:v>
      </x:c>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MolmoAct2 Results</x:v>
      </x:c>
      <x:c r="AM568" s="9" t="n">
        <x:v>118</x:v>
      </x:c>
      <x:c r="AN568" s="9" t="n">
        <x:v>118</x:v>
      </x:c>
    </x:row>
    <x:row r="569">
      <x:c r="A569" s="9" t="str">
        <x:v>Failure</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t="str">
        <x:v>dropped blue block and kind of went out of range. Seemed like it was trying to place the blue block by the red block.</x:v>
      </x:c>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MolmoAct2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MolmoAct2 Results</x:v>
      </x:c>
      <x:c r="AM570" s="9" t="n">
        <x:v>120</x:v>
      </x:c>
      <x:c r="AN570" s="9" t="n">
        <x:v>120</x:v>
      </x:c>
    </x:row>
    <x:row r="571">
      <x:c r="A571" s="9" t="str">
        <x:v>Failure</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t="str">
        <x:v>placed to left</x:v>
      </x:c>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MolmoAct2 Results</x:v>
      </x:c>
      <x:c r="AM571" s="9" t="n">
        <x:v>121</x:v>
      </x:c>
      <x:c r="AN571" s="9" t="n">
        <x:v>121</x:v>
      </x:c>
    </x:row>
    <x:row r="572">
      <x:c r="A572" s="9" t="str">
        <x:v>Failure</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placed right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MolmoAct2 Results</x:v>
      </x:c>
      <x:c r="AM572" s="9" t="n">
        <x:v>122</x:v>
      </x:c>
      <x:c r="AN572" s="9" t="n">
        <x:v>122</x:v>
      </x:c>
    </x:row>
    <x:row r="573">
      <x:c r="A573" s="9" t="str">
        <x:v>Failure</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t="str">
        <x:v>placed to the left of the blue block. went back for a it a few times, but kept leaving it in basically the same spot</x:v>
      </x:c>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MolmoAct2 Results</x:v>
      </x:c>
      <x:c r="AM573" s="9" t="n">
        <x:v>123</x:v>
      </x:c>
      <x:c r="AN573" s="9" t="n">
        <x:v>123</x:v>
      </x:c>
    </x:row>
    <x:row r="574">
      <x:c r="A574" s="9" t="str">
        <x:v>Failure</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t="str">
        <x:v>placed in front. started to put it on the left, hesitated, then put in front</x:v>
      </x:c>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MolmoAct2 Results</x:v>
      </x:c>
      <x:c r="AM574" s="9" t="n">
        <x:v>124</x:v>
      </x:c>
      <x:c r="AN574" s="9" t="n">
        <x:v>124</x:v>
      </x:c>
    </x:row>
    <x:row r="575">
      <x:c r="A575" s="9" t="str">
        <x:v>Failure</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placed on front left</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MolmoAct2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placed on top of the juggling ball</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MolmoAct2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on left back </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MolmoAct2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MolmoAct2 Results</x:v>
      </x:c>
      <x:c r="AM578" s="9" t="n">
        <x:v>128</x:v>
      </x:c>
      <x:c r="AN578" s="9" t="n">
        <x:v>128</x:v>
      </x:c>
    </x:row>
    <x:row r="579">
      <x:c r="A579" s="9" t="str">
        <x:v>Failure</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t="str">
        <x:v>placed on top of juggling ball</x:v>
      </x:c>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MolmoAct2 Results</x:v>
      </x:c>
      <x:c r="AM579" s="9" t="n">
        <x:v>129</x:v>
      </x:c>
      <x:c r="AN579" s="9" t="n">
        <x:v>129</x:v>
      </x:c>
    </x:row>
    <x:row r="580">
      <x:c r="A580" s="9" t="str">
        <x:v>Success</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MolmoAct2 Results</x:v>
      </x:c>
      <x:c r="AM580" s="9" t="n">
        <x:v>130</x:v>
      </x:c>
      <x:c r="AN580" s="9" t="n">
        <x:v>130</x:v>
      </x:c>
    </x:row>
    <x:row r="581">
      <x:c r="A581" s="9" t="str">
        <x:v>Failure</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t="str">
        <x:v>didn't move. green pen was pretty close to the left of the juggling ball</x:v>
      </x:c>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MolmoAct2 Results</x:v>
      </x:c>
      <x:c r="AM581" s="9" t="n">
        <x:v>131</x:v>
      </x:c>
      <x:c r="AN581" s="9" t="n">
        <x:v>131</x:v>
      </x:c>
    </x:row>
    <x:row r="582">
      <x:c r="A582" s="9" t="str">
        <x:v>Failure</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t="str">
        <x:v>moved it, but kept it on the left. Maybe should count as success?</x:v>
      </x:c>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MolmoAct2 Results</x:v>
      </x:c>
      <x:c r="AM582" s="9" t="n">
        <x:v>132</x:v>
      </x:c>
      <x:c r="AN582" s="9" t="n">
        <x:v>132</x:v>
      </x:c>
    </x:row>
    <x:row r="583">
      <x:c r="A583" s="9" t="str">
        <x:v>Success</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MolmoAct2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moved towards pen, then went home 3 times. grabbed it the last time, but didn't move it</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MolmoAct2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did not move</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MolmoAct2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went for green pen 1 times, didn't move it</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MolmoAct2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went for pink pen 3 times, didn't move it</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MolmoAct2 Results</x:v>
      </x:c>
      <x:c r="AM587" s="9" t="n">
        <x:v>137</x:v>
      </x:c>
      <x:c r="AN587" s="9" t="n">
        <x:v>137</x:v>
      </x:c>
    </x:row>
    <x:row r="588">
      <x:c r="A588" s="9" t="str">
        <x:v>Failure</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t="str">
        <x:v>moved to green pen 5 times but didn't change its location. Did nudge it around a little bit.</x:v>
      </x:c>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MolmoAct2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MolmoAct2 Results</x:v>
      </x:c>
      <x:c r="AM589" s="9" t="n">
        <x:v>139</x:v>
      </x:c>
      <x:c r="AN589" s="9" t="n">
        <x:v>139</x:v>
      </x:c>
    </x:row>
    <x:row r="590">
      <x:c r="A590" s="9" t="str">
        <x:v>Failure</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t="str">
        <x:v>went to the pen 1 time and moved it a bit</x:v>
      </x:c>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MolmoAct2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went to the pen 5 times, but didn't move it </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MolmoAct2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moved around the home position</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MolmoAct2 Results</x:v>
      </x:c>
      <x:c r="AM592" s="9" t="n">
        <x:v>142</x:v>
      </x:c>
      <x:c r="AN592" s="9" t="n">
        <x:v>142</x:v>
      </x:c>
    </x:row>
    <x:row r="593">
      <x:c r="A593" s="9" t="str">
        <x:v>Failure</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t="str">
        <x:v>didn't move</x:v>
      </x:c>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MolmoAct2 Results</x:v>
      </x:c>
      <x:c r="AM593" s="9" t="n">
        <x:v>143</x:v>
      </x:c>
      <x:c r="AN593" s="9" t="n">
        <x:v>143</x:v>
      </x:c>
    </x:row>
    <x:row r="594">
      <x:c r="A594" s="9" t="str">
        <x:v>Failure</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t="str">
        <x:v>didn't move</x:v>
      </x:c>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MolmoAct2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t="str">
        <x:v>didn't move</x:v>
      </x:c>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MolmoAct2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MolmoAct2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MolmoAct2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MolmoAct2 Results</x:v>
      </x:c>
      <x:c r="AM598" s="9" t="n">
        <x:v>148</x:v>
      </x:c>
      <x:c r="AN598" s="9" t="n">
        <x:v>148</x:v>
      </x:c>
    </x:row>
    <x:row r="599">
      <x:c r="A599" s="9" t="str">
        <x:v>Failure</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t="str">
        <x:v>went to blue block 5 times, but didn't move it</x:v>
      </x:c>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MolmoAct2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went for red block 1 time, but didn't move it.</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MolmoAct2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went for blue block 4 times, but didn't move it.</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MolmoAct2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didn't move</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MolmoAct2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MolmoAct2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MolmoAct2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MolmoAct2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MolmoAct2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MolmoAct2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MolmoAct2 Results</x:v>
      </x:c>
      <x:c r="AM608" s="9" t="n">
        <x:v>158</x:v>
      </x:c>
      <x:c r="AN608" s="9" t="n">
        <x:v>158</x:v>
      </x:c>
    </x:row>
    <x:row r="609">
      <x:c r="A609" s="9" t="str">
        <x:v>Success</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moved to the blue block 5 times, then finally fixed it. After the fix, went back to the blue block, but time ran out before it came back.</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MolmoAct2 Results</x:v>
      </x:c>
      <x:c r="AM609" s="9" t="n">
        <x:v>159</x:v>
      </x:c>
      <x:c r="AN609" s="9" t="n">
        <x:v>159</x:v>
      </x:c>
    </x:row>
    <x:row r="610">
      <x:c r="A610" s="9" t="str">
        <x:v>Failure</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t="str">
        <x:v>didn't move</x:v>
      </x:c>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MolmoAct2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MolmoAct2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MolmoAct2 Results</x:v>
      </x:c>
      <x:c r="AM612" s="9" t="n">
        <x:v>162</x:v>
      </x:c>
      <x:c r="AN612" s="9" t="n">
        <x:v>162</x:v>
      </x:c>
    </x:row>
    <x:row r="613">
      <x:c r="A613" s="9" t="str">
        <x:v>Success</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MolmoAct2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MolmoAct2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MolmoAct2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MolmoAct2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t="str">
        <x:v>didn't move</x:v>
      </x:c>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MolmoAct2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didn't move</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MolmoAct2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t="str">
        <x:v>didn't move</x:v>
      </x:c>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MolmoAct2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MolmoAct2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MolmoAct2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MolmoAct2 Results</x:v>
      </x:c>
      <x:c r="AM622" s="9" t="n">
        <x:v>2</x:v>
      </x:c>
      <x:c r="AN622" s="9" t="n">
        <x:v>2</x:v>
      </x:c>
    </x:row>
    <x:row r="623">
      <x:c r="A623" s="9" t="str">
        <x:v>Success</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MolmoAct2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MolmoAct2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MolmoAct2 Results</x:v>
      </x:c>
      <x:c r="AM625" s="9" t="n">
        <x:v>5</x:v>
      </x:c>
      <x:c r="AN625" s="9" t="n">
        <x:v>5</x:v>
      </x:c>
    </x:row>
    <x:row r="626">
      <x:c r="A626" s="9" t="str">
        <x:v>Success</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MolmoAct2 Results</x:v>
      </x:c>
      <x:c r="AM626" s="9" t="n">
        <x:v>6</x:v>
      </x:c>
      <x:c r="AN626" s="9" t="n">
        <x:v>6</x:v>
      </x:c>
    </x:row>
    <x:row r="627">
      <x:c r="A627" s="9" t="str">
        <x:v>Failure</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t="str">
        <x:v>Successfully went for the green pencil sharpener. Knocked the coke can completely though and moved the sharpener. Couldn't recover and pick up the pencil sharpener. Reasoning was good though!</x:v>
      </x:c>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MolmoAct2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MolmoAct2 Results</x:v>
      </x:c>
      <x:c r="AM628" s="9" t="n">
        <x:v>8</x:v>
      </x:c>
      <x:c r="AN628" s="9" t="n">
        <x:v>8</x:v>
      </x:c>
    </x:row>
    <x:row r="629">
      <x:c r="A629" s="9" t="str">
        <x:v>Success</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MolmoAct2 Results</x:v>
      </x:c>
      <x:c r="AM629" s="9" t="n">
        <x:v>9</x:v>
      </x:c>
      <x:c r="AN629" s="9" t="n">
        <x:v>9</x:v>
      </x:c>
    </x:row>
    <x:row r="630">
      <x:c r="A630" s="9" t="str">
        <x:v>Failure</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t="str">
        <x:v>went for the red pencil sharpener. Arranged it in between the yellow pen and airplane toy. Failed reasoning.</x:v>
      </x:c>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MolmoAct2 Results</x:v>
      </x:c>
      <x:c r="AM630" s="9" t="n">
        <x:v>10</x:v>
      </x:c>
      <x:c r="AN630" s="9" t="n">
        <x:v>10</x:v>
      </x:c>
    </x:row>
    <x:row r="631">
      <x:c r="A631" s="9" t="str">
        <x:v>Success</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MolmoAct2 Results</x:v>
      </x:c>
      <x:c r="AM631" s="9" t="n">
        <x:v>11</x:v>
      </x:c>
      <x:c r="AN631" s="9" t="n">
        <x:v>11</x:v>
      </x:c>
    </x:row>
    <x:row r="632">
      <x:c r="A632" s="9" t="str">
        <x:v>Failure</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t="str">
        <x:v>Went for the one closest to the red pencil sharpener. Failed reasoning</x:v>
      </x:c>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MolmoAct2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MolmoAct2 Results</x:v>
      </x:c>
      <x:c r="AM633" s="9" t="n">
        <x:v>13</x:v>
      </x:c>
      <x:c r="AN633" s="9" t="n">
        <x:v>13</x:v>
      </x:c>
    </x:row>
    <x:row r="634">
      <x:c r="A634" s="9" t="str">
        <x:v>Success</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t="str">
        <x:v>Dropped and successfully recovered</x:v>
      </x:c>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MolmoAct2 Results</x:v>
      </x:c>
      <x:c r="AM634" s="9" t="n">
        <x:v>14</x:v>
      </x:c>
      <x:c r="AN634" s="9" t="n">
        <x:v>14</x:v>
      </x:c>
    </x:row>
    <x:row r="635">
      <x:c r="A635" s="9" t="str">
        <x:v>Failure</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t="str">
        <x:v>Picked the other airplane toy</x:v>
      </x:c>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MolmoAct2 Results</x:v>
      </x:c>
      <x:c r="AM635" s="9" t="n">
        <x:v>15</x:v>
      </x:c>
      <x:c r="AN635" s="9" t="n">
        <x:v>15</x:v>
      </x:c>
    </x:row>
    <x:row r="636">
      <x:c r="A636" s="9" t="str">
        <x:v>Success</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MolmoAct2 Results</x:v>
      </x:c>
      <x:c r="AM636" s="9" t="n">
        <x:v>16</x:v>
      </x:c>
      <x:c r="AN636" s="9" t="n">
        <x:v>16</x:v>
      </x:c>
    </x:row>
    <x:row r="637">
      <x:c r="A637" s="9" t="str">
        <x:v>Failure</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t="str">
        <x:v>Wrist is rotated 90 degrees off for the picking up part. Reasoning was good, but grasping failed.</x:v>
      </x:c>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MolmoAct2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t="str">
        <x:v>Lowkey went for the green pen first, then jittered its way to the yellow pen.</x:v>
      </x:c>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MolmoAct2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t="str">
        <x:v>Still had weird picking strategy</x:v>
      </x:c>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MolmoAct2 Results</x:v>
      </x:c>
      <x:c r="AM639" s="9" t="n">
        <x:v>19</x:v>
      </x:c>
      <x:c r="AN639" s="9" t="n">
        <x:v>19</x:v>
      </x:c>
    </x:row>
    <x:row r="640">
      <x:c r="A640" s="9" t="str">
        <x:v>Success</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MolmoAct2 Results</x:v>
      </x:c>
      <x:c r="AM640" s="9" t="n">
        <x:v>20</x:v>
      </x:c>
      <x:c r="AN640" s="9" t="n">
        <x:v>20</x:v>
      </x:c>
    </x:row>
    <x:row r="641">
      <x:c r="A641" s="9" t="str">
        <x:v>Success</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MolmoAct2 Results</x:v>
      </x:c>
      <x:c r="AM641" s="9" t="n">
        <x:v>21</x:v>
      </x:c>
      <x:c r="AN641" s="9" t="n">
        <x:v>21</x:v>
      </x:c>
    </x:row>
    <x:row r="642">
      <x:c r="A642" s="9" t="str">
        <x:v>Success</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MolmoAct2 Results</x:v>
      </x:c>
      <x:c r="AM642" s="9" t="n">
        <x:v>22</x:v>
      </x:c>
      <x:c r="AN642" s="9" t="n">
        <x:v>22</x:v>
      </x:c>
    </x:row>
    <x:row r="643">
      <x:c r="A643" s="9" t="str">
        <x:v>Success</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MolmoAct2 Results</x:v>
      </x:c>
      <x:c r="AM643" s="9" t="n">
        <x:v>23</x:v>
      </x:c>
      <x:c r="AN643" s="9" t="n">
        <x:v>23</x:v>
      </x:c>
    </x:row>
    <x:row r="644">
      <x:c r="A644" s="9" t="str">
        <x:v>Success</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MolmoAct2 Results</x:v>
      </x:c>
      <x:c r="AM644" s="9" t="n">
        <x:v>24</x:v>
      </x:c>
      <x:c r="AN644" s="9" t="n">
        <x:v>24</x:v>
      </x:c>
    </x:row>
    <x:row r="645">
      <x:c r="A645" s="9" t="str">
        <x:v>Success</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MolmoAct2 Results</x:v>
      </x:c>
      <x:c r="AM645" s="9" t="n">
        <x:v>25</x:v>
      </x:c>
      <x:c r="AN645" s="9" t="n">
        <x:v>25</x:v>
      </x:c>
    </x:row>
    <x:row r="646">
      <x:c r="A646" s="9" t="str">
        <x:v>Success</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MolmoAct2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MolmoAct2 Results</x:v>
      </x:c>
      <x:c r="AM647" s="9" t="n">
        <x:v>27</x:v>
      </x:c>
      <x:c r="AN647" s="9" t="n">
        <x:v>27</x:v>
      </x:c>
    </x:row>
    <x:row r="648">
      <x:c r="A648" s="9" t="str">
        <x:v>Success</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MolmoAct2 Results</x:v>
      </x:c>
      <x:c r="AM648" s="9" t="n">
        <x:v>28</x:v>
      </x:c>
      <x:c r="AN648" s="9" t="n">
        <x:v>28</x:v>
      </x:c>
    </x:row>
    <x:row r="649">
      <x:c r="A649" s="9" t="str">
        <x:v>Success</x:v>
      </x:c>
      <x:c r="B649" s="9" t="str">
        <x:v>Referential Disambiguation</x:v>
      </x:c>
      <x:c r="C649" s="10" t="n">
        <x:v>27</x:v>
      </x:c>
      <x:c r="D649" s="9" t="str">
        <x:v>Take the crushed Coke can and set it in the bowl.</x:v>
      </x:c>
      <x:c r="E649" s="9" t="str">
        <x:v>crushed Coke can; crushed Pepsi can; green pen</x:v>
      </x:c>
      <x:c r="F649" s="9" t="str">
        <x:v>crushed Coke can</x:v>
      </x:c>
      <x:c r="G649" s="9"/>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MolmoAct2 Results</x:v>
      </x:c>
      <x:c r="AM649" s="9" t="n">
        <x:v>29</x:v>
      </x:c>
      <x:c r="AN649" s="9" t="n">
        <x:v>29</x:v>
      </x:c>
    </x:row>
    <x:row r="650">
      <x:c r="A650" s="9" t="str">
        <x:v>Success</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MolmoAct2 Results</x:v>
      </x:c>
      <x:c r="AM650" s="9" t="n">
        <x:v>30</x:v>
      </x:c>
      <x:c r="AN650" s="9" t="n">
        <x:v>30</x:v>
      </x:c>
    </x:row>
    <x:row r="651">
      <x:c r="A651" s="9" t="str">
        <x:v>Failure</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t="str">
        <x:v>Failed to grasp but went for the green sharpener, which was correct. </x:v>
      </x:c>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MolmoAct2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MolmoAct2 Results</x:v>
      </x:c>
      <x:c r="AM652" s="9" t="n">
        <x:v>32</x:v>
      </x:c>
      <x:c r="AN652" s="9" t="n">
        <x:v>32</x:v>
      </x:c>
    </x:row>
    <x:row r="653">
      <x:c r="A653" s="9" t="str">
        <x:v>Success</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MolmoAct2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MolmoAct2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MolmoAct2 Results</x:v>
      </x:c>
      <x:c r="AM655" s="9" t="n">
        <x:v>35</x:v>
      </x:c>
      <x:c r="AN655" s="9" t="n">
        <x:v>35</x:v>
      </x:c>
    </x:row>
    <x:row r="656">
      <x:c r="A656" s="9" t="str">
        <x:v>Success</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MolmoAct2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MolmoAct2 Results</x:v>
      </x:c>
      <x:c r="AM657" s="9" t="n">
        <x:v>37</x:v>
      </x:c>
      <x:c r="AN657" s="9" t="n">
        <x:v>37</x:v>
      </x:c>
    </x:row>
    <x:row r="658">
      <x:c r="A658" s="9" t="str">
        <x:v>Success</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MolmoAct2 Results</x:v>
      </x:c>
      <x:c r="AM658" s="9" t="n">
        <x:v>38</x:v>
      </x:c>
      <x:c r="AN658" s="9" t="n">
        <x:v>38</x:v>
      </x:c>
    </x:row>
    <x:row r="659">
      <x:c r="A659" s="9" t="str">
        <x:v>Success</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MolmoAct2 Results</x:v>
      </x:c>
      <x:c r="AM659" s="9" t="n">
        <x:v>39</x:v>
      </x:c>
      <x:c r="AN659" s="9" t="n">
        <x:v>39</x:v>
      </x:c>
    </x:row>
    <x:row r="660">
      <x:c r="A660" s="9" t="str">
        <x:v>Success</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MolmoAct2 Results</x:v>
      </x:c>
      <x:c r="AM660" s="9" t="n">
        <x:v>40</x:v>
      </x:c>
      <x:c r="AN660" s="9" t="n">
        <x:v>40</x:v>
      </x:c>
    </x:row>
    <x:row r="661">
      <x:c r="A661" s="9" t="str">
        <x:v>Success</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MolmoAct2 Results</x:v>
      </x:c>
      <x:c r="AM661" s="9" t="n">
        <x:v>41</x:v>
      </x:c>
      <x:c r="AN661" s="9" t="n">
        <x:v>41</x:v>
      </x:c>
    </x:row>
    <x:row r="662">
      <x:c r="A662" s="9" t="str">
        <x:v>Success</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MolmoAct2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MolmoAct2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Went for wrong sharpener; ngl the two airplane toys are very hard to distinguish</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MolmoAct2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MolmoAct2 Results</x:v>
      </x:c>
      <x:c r="AM665" s="9" t="n">
        <x:v>45</x:v>
      </x:c>
      <x:c r="AN665" s="9" t="n">
        <x:v>45</x:v>
      </x:c>
    </x:row>
    <x:row r="666">
      <x:c r="A666" s="9" t="str">
        <x:v>Success</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MolmoAct2 Results</x:v>
      </x:c>
      <x:c r="AM666" s="9" t="n">
        <x:v>46</x:v>
      </x:c>
      <x:c r="AN666" s="9" t="n">
        <x:v>46</x:v>
      </x:c>
    </x:row>
    <x:row r="667">
      <x:c r="A667" s="9" t="str">
        <x:v>Success</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MolmoAct2 Results</x:v>
      </x:c>
      <x:c r="AM667" s="9" t="n">
        <x:v>47</x:v>
      </x:c>
      <x:c r="AN667" s="9" t="n">
        <x:v>47</x:v>
      </x:c>
    </x:row>
    <x:row r="668">
      <x:c r="A668" s="9" t="str">
        <x:v>Success</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MolmoAct2 Results</x:v>
      </x:c>
      <x:c r="AM668" s="9" t="n">
        <x:v>48</x:v>
      </x:c>
      <x:c r="AN668" s="9" t="n">
        <x:v>48</x:v>
      </x:c>
    </x:row>
    <x:row r="669">
      <x:c r="A669" s="9" t="str">
        <x:v>Success</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t="str">
        <x:v>Dropped it but picked it back up again.</x:v>
      </x:c>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MolmoAct2 Results</x:v>
      </x:c>
      <x:c r="AM669" s="9" t="n">
        <x:v>49</x:v>
      </x:c>
      <x:c r="AN669" s="9" t="n">
        <x:v>49</x:v>
      </x:c>
    </x:row>
    <x:row r="670">
      <x:c r="A670" s="9" t="str">
        <x:v>Failure</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t="str">
        <x:v>Grabbed the coke can</x:v>
      </x:c>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MolmoAct2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MolmoAct2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MolmoAct2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MolmoAct2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t="str">
        <x:v>Went for it, didn't grab it, went home, went back, and got it!</x:v>
      </x:c>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MolmoAct2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MolmoAct2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MolmoAct2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MolmoAct2 Results</x:v>
      </x:c>
      <x:c r="AM677" s="9" t="n">
        <x:v>57</x:v>
      </x:c>
      <x:c r="AN677" s="9" t="n">
        <x:v>57</x:v>
      </x:c>
    </x:row>
    <x:row r="678">
      <x:c r="A678" s="9" t="str">
        <x:v>Success</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MolmoAct2 Results</x:v>
      </x:c>
      <x:c r="AM678" s="9" t="n">
        <x:v>58</x:v>
      </x:c>
      <x:c r="AN678" s="9" t="n">
        <x:v>58</x:v>
      </x:c>
    </x:row>
    <x:row r="679">
      <x:c r="A679" s="9" t="str">
        <x:v>Success</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MolmoAct2 Results</x:v>
      </x:c>
      <x:c r="AM679" s="9" t="n">
        <x:v>59</x:v>
      </x:c>
      <x:c r="AN679" s="9" t="n">
        <x:v>59</x:v>
      </x:c>
    </x:row>
    <x:row r="680">
      <x:c r="A680" s="9" t="str">
        <x:v>Success</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MolmoAct2 Results</x:v>
      </x:c>
      <x:c r="AM680" s="9" t="n">
        <x:v>60</x:v>
      </x:c>
      <x:c r="AN680" s="9" t="n">
        <x:v>60</x:v>
      </x:c>
    </x:row>
    <x:row r="681">
      <x:c r="A681" s="9" t="str">
        <x:v>Success</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MolmoAct2 Results</x:v>
      </x:c>
      <x:c r="AM681" s="9" t="n">
        <x:v>61</x:v>
      </x:c>
      <x:c r="AN681" s="9" t="n">
        <x:v>61</x:v>
      </x:c>
    </x:row>
    <x:row r="682">
      <x:c r="A682" s="9" t="str">
        <x:v>Success</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MolmoAct2 Results</x:v>
      </x:c>
      <x:c r="AM682" s="9" t="n">
        <x:v>62</x:v>
      </x:c>
      <x:c r="AN682" s="9" t="n">
        <x:v>62</x:v>
      </x:c>
    </x:row>
    <x:row r="683">
      <x:c r="A683" s="9" t="str">
        <x:v>Success</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good recovery example</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MolmoAct2 Results</x:v>
      </x:c>
      <x:c r="AM683" s="9" t="n">
        <x:v>63</x:v>
      </x:c>
      <x:c r="AN683" s="9" t="n">
        <x:v>63</x:v>
      </x:c>
    </x:row>
    <x:row r="684">
      <x:c r="A684" s="9" t="str">
        <x:v>Success</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MolmoAct2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MolmoAct2 Results</x:v>
      </x:c>
      <x:c r="AM685" s="9" t="n">
        <x:v>65</x:v>
      </x:c>
      <x:c r="AN685" s="9" t="n">
        <x:v>65</x:v>
      </x:c>
    </x:row>
    <x:row r="686">
      <x:c r="A686" s="9" t="str">
        <x:v>Failure</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t="str">
        <x:v>Picked the airplane toy closest</x:v>
      </x:c>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MolmoAct2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Picked non-propellor plane. Dropped it and picked it up.</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MolmoAct2 Results</x:v>
      </x:c>
      <x:c r="AM687" s="9" t="n">
        <x:v>67</x:v>
      </x:c>
      <x:c r="AN687" s="9" t="n">
        <x:v>67</x:v>
      </x:c>
    </x:row>
    <x:row r="688">
      <x:c r="A688" s="9" t="str">
        <x:v>Success</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MolmoAct2 Results</x:v>
      </x:c>
      <x:c r="AM688" s="9" t="n">
        <x:v>68</x:v>
      </x:c>
      <x:c r="AN688" s="9" t="n">
        <x:v>68</x:v>
      </x:c>
    </x:row>
    <x:row r="689">
      <x:c r="A689" s="9" t="str">
        <x:v>Success</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MolmoAct2 Results</x:v>
      </x:c>
      <x:c r="AM689" s="9" t="n">
        <x:v>69</x:v>
      </x:c>
      <x:c r="AN689" s="9" t="n">
        <x:v>69</x:v>
      </x:c>
    </x:row>
    <x:row r="690">
      <x:c r="A690" s="9" t="str">
        <x:v>Success</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MolmoAct2 Results</x:v>
      </x:c>
      <x:c r="AM690" s="9" t="n">
        <x:v>70</x:v>
      </x:c>
      <x:c r="AN690" s="9" t="n">
        <x:v>70</x:v>
      </x:c>
    </x:row>
    <x:row r="691">
      <x:c r="A691" s="9" t="str">
        <x:v>Failure</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t="str">
        <x:v>failed grasping, but went for the green pencil sharpener</x:v>
      </x:c>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MolmoAct2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MolmoAct2 Results</x:v>
      </x:c>
      <x:c r="AM692" s="9" t="n">
        <x:v>72</x:v>
      </x:c>
      <x:c r="AN692" s="9" t="n">
        <x:v>72</x:v>
      </x:c>
    </x:row>
    <x:row r="693">
      <x:c r="A693" s="9" t="str">
        <x:v>Success</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MolmoAct2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MolmoAct2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MolmoAct2 Results</x:v>
      </x:c>
      <x:c r="AM695" s="9" t="n">
        <x:v>75</x:v>
      </x:c>
      <x:c r="AN695" s="9" t="n">
        <x:v>75</x:v>
      </x:c>
    </x:row>
    <x:row r="696">
      <x:c r="A696" s="9" t="str">
        <x:v>Success</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Weird back and forth motion before getting the plan</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MolmoAct2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MolmoAct2 Results</x:v>
      </x:c>
      <x:c r="AM697" s="9" t="n">
        <x:v>77</x:v>
      </x:c>
      <x:c r="AN697" s="9" t="n">
        <x:v>77</x:v>
      </x:c>
    </x:row>
    <x:row r="698">
      <x:c r="A698" s="9" t="str">
        <x:v>Success</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MolmoAct2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MolmoAct2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MolmoAct2 Results</x:v>
      </x:c>
      <x:c r="AM700" s="9" t="n">
        <x:v>80</x:v>
      </x:c>
      <x:c r="AN700" s="9" t="n">
        <x:v>80</x:v>
      </x:c>
    </x:row>
    <x:row r="701">
      <x:c r="A701" s="9" t="str">
        <x:v>Success</x:v>
      </x:c>
      <x:c r="B701" s="9" t="str">
        <x:v>Referential Disambiguation</x:v>
      </x:c>
      <x:c r="C701" s="10" t="n">
        <x:v>79</x:v>
      </x:c>
      <x:c r="D701" s="9" t="str">
        <x:v>Move the crushed Pepsi can into the bowl.</x:v>
      </x:c>
      <x:c r="E701" s="9" t="str">
        <x:v>crushed Coke can; crushed Pepsi can; green pen</x:v>
      </x:c>
      <x:c r="F701" s="9" t="str">
        <x:v>crushed Pepsi can</x:v>
      </x:c>
      <x:c r="G701" s="9"/>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MolmoAct2 Results</x:v>
      </x:c>
      <x:c r="AM701" s="9" t="n">
        <x:v>81</x:v>
      </x:c>
      <x:c r="AN701" s="9" t="n">
        <x:v>81</x:v>
      </x:c>
    </x:row>
    <x:row r="702">
      <x:c r="A702" s="9" t="str">
        <x:v>Success</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MolmoAct2 Results</x:v>
      </x:c>
      <x:c r="AM702" s="9" t="n">
        <x:v>82</x:v>
      </x:c>
      <x:c r="AN702" s="9" t="n">
        <x:v>82</x:v>
      </x:c>
    </x:row>
    <x:row r="703">
      <x:c r="A703" s="9" t="str">
        <x:v>Success</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MolmoAct2 Results</x:v>
      </x:c>
      <x:c r="AM703" s="9" t="n">
        <x:v>83</x:v>
      </x:c>
      <x:c r="AN703" s="9" t="n">
        <x:v>83</x:v>
      </x:c>
    </x:row>
    <x:row r="704">
      <x:c r="A704" s="9" t="str">
        <x:v>Success</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MolmoAct2 Results</x:v>
      </x:c>
      <x:c r="AM704" s="9" t="n">
        <x:v>84</x:v>
      </x:c>
      <x:c r="AN704" s="9" t="n">
        <x:v>84</x:v>
      </x:c>
    </x:row>
    <x:row r="705">
      <x:c r="A705" s="9" t="str">
        <x:v>Failure</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t="str">
        <x:v>picked green pencil sharpener. reasoning failure</x:v>
      </x:c>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MolmoAct2 Results</x:v>
      </x:c>
      <x:c r="AM705" s="9" t="n">
        <x:v>85</x:v>
      </x:c>
      <x:c r="AN705" s="9" t="n">
        <x:v>85</x:v>
      </x:c>
    </x:row>
    <x:row r="706">
      <x:c r="A706" s="9" t="str">
        <x:v>Failure</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t="str">
        <x:v>picked closest airplane toy. reasoning failure</x:v>
      </x:c>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MolmoAct2 Results</x:v>
      </x:c>
      <x:c r="AM706" s="9" t="n">
        <x:v>86</x:v>
      </x:c>
      <x:c r="AN706" s="9" t="n">
        <x:v>86</x:v>
      </x:c>
    </x:row>
    <x:row r="707">
      <x:c r="A707" s="9" t="str">
        <x:v>Failure</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t="str">
        <x:v>picked up the coke can and put it down on the table.  Picked correctly, but didn't move to bowl, Knowcked it off the table, and then went for the pepsi can, but knocked it out of range</x:v>
      </x:c>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MolmoAct2 Results</x:v>
      </x:c>
      <x:c r="AM707" s="9" t="n">
        <x:v>87</x:v>
      </x:c>
      <x:c r="AN707" s="9" t="n">
        <x:v>87</x:v>
      </x:c>
    </x:row>
    <x:row r="708">
      <x:c r="A708" s="9" t="str">
        <x:v>Failure</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didn't even move. just jittered around the home position.</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MolmoAct2 Results</x:v>
      </x:c>
      <x:c r="AM708" s="9" t="n">
        <x:v>88</x:v>
      </x:c>
      <x:c r="AN708" s="9" t="n">
        <x:v>88</x:v>
      </x:c>
    </x:row>
    <x:row r="709">
      <x:c r="A709" s="9" t="str">
        <x:v>Success</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MolmoAct2 Results</x:v>
      </x:c>
      <x:c r="AM709" s="9" t="n">
        <x:v>89</x:v>
      </x:c>
      <x:c r="AN709" s="9" t="n">
        <x:v>89</x:v>
      </x:c>
    </x:row>
    <x:row r="710">
      <x:c r="A710" s="9" t="str">
        <x:v>Failure</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t="str">
        <x:v>Picked pepsi can. Failed at reasoning</x:v>
      </x:c>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MolmoAct2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Picked green pen</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MolmoAct2 Results</x:v>
      </x:c>
      <x:c r="AM711" s="9" t="n">
        <x:v>91</x:v>
      </x:c>
      <x:c r="AN711" s="9" t="n">
        <x:v>91</x:v>
      </x:c>
    </x:row>
    <x:row r="712">
      <x:c r="A712" s="9" t="str">
        <x:v>Success</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MolmoAct2 Results</x:v>
      </x:c>
      <x:c r="AM712" s="9" t="n">
        <x:v>92</x:v>
      </x:c>
      <x:c r="AN712" s="9" t="n">
        <x:v>92</x:v>
      </x:c>
    </x:row>
    <x:row r="713">
      <x:c r="A713" s="9" t="str">
        <x:v>Success</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MolmoAct2 Results</x:v>
      </x:c>
      <x:c r="AM713" s="9" t="n">
        <x:v>93</x:v>
      </x:c>
      <x:c r="AN713" s="9" t="n">
        <x:v>93</x:v>
      </x:c>
    </x:row>
    <x:row r="714">
      <x:c r="A714" s="9" t="str">
        <x:v>Failure</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t="str">
        <x:v>picked yellow pen</x:v>
      </x:c>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MolmoAct2 Results</x:v>
      </x:c>
      <x:c r="AM714" s="9" t="n">
        <x:v>94</x:v>
      </x:c>
      <x:c r="AN714" s="9" t="n">
        <x:v>94</x:v>
      </x:c>
    </x:row>
    <x:row r="715">
      <x:c r="A715" s="9" t="str">
        <x:v>Success</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MolmoAct2 Results</x:v>
      </x:c>
      <x:c r="AM715" s="9" t="n">
        <x:v>95</x:v>
      </x:c>
      <x:c r="AN715" s="9" t="n">
        <x:v>95</x:v>
      </x:c>
    </x:row>
    <x:row r="716">
      <x:c r="A716" s="9" t="str">
        <x:v>Failure</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t="str">
        <x:v>picked the coke can</x:v>
      </x:c>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MolmoAct2 Results</x:v>
      </x:c>
      <x:c r="AM716" s="9" t="n">
        <x:v>96</x:v>
      </x:c>
      <x:c r="AN716" s="9" t="n">
        <x:v>96</x:v>
      </x:c>
    </x:row>
    <x:row r="717">
      <x:c r="A717" s="9" t="str">
        <x:v>Failure</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t="str">
        <x:v>picked the green pen. Dropped it and put in in the bowl</x:v>
      </x:c>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MolmoAct2 Results</x:v>
      </x:c>
      <x:c r="AM717" s="9" t="n">
        <x:v>97</x:v>
      </x:c>
      <x:c r="AN717" s="9" t="n">
        <x:v>97</x:v>
      </x:c>
    </x:row>
    <x:row r="718">
      <x:c r="A718" s="9" t="str">
        <x:v>Success</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MolmoAct2 Results</x:v>
      </x:c>
      <x:c r="AM718" s="9" t="n">
        <x:v>98</x:v>
      </x:c>
      <x:c r="AN718" s="9" t="n">
        <x:v>98</x:v>
      </x:c>
    </x:row>
    <x:row r="719">
      <x:c r="A719" s="9" t="str">
        <x:v>Success</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MolmoAct2 Results</x:v>
      </x:c>
      <x:c r="AM719" s="9" t="n">
        <x:v>99</x:v>
      </x:c>
      <x:c r="AN719" s="9" t="n">
        <x:v>99</x:v>
      </x:c>
    </x:row>
    <x:row r="720">
      <x:c r="A720" s="9" t="str">
        <x:v>Failure</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t="str">
        <x:v>picked the green pen</x:v>
      </x:c>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MolmoAct2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t="str">
        <x:v>dropped it and it bounced into the bowl. Steph Curry warm up shot type action right here</x:v>
      </x:c>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MolmoAct2 Results</x:v>
      </x:c>
      <x:c r="AM721" s="9" t="n">
        <x:v>101</x:v>
      </x:c>
      <x:c r="AN721" s="9" t="n">
        <x:v>101</x:v>
      </x:c>
    </x:row>
    <x:row r="722">
      <x:c r="A722" s="9" t="str">
        <x:v>Success</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MolmoAct2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placed gripper on top of pencil sharpener and strguggled to close. reasoning succeeded, but grasping failed.</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MolmoAct2 Results</x:v>
      </x:c>
      <x:c r="AM723" s="9" t="n">
        <x:v>103</x:v>
      </x:c>
      <x:c r="AN723" s="9" t="n">
        <x:v>103</x:v>
      </x:c>
    </x:row>
    <x:row r="724">
      <x:c r="A724" s="9" t="str">
        <x:v>Success</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MolmoAct2 Results</x:v>
      </x:c>
      <x:c r="AM724" s="9" t="n">
        <x:v>104</x:v>
      </x:c>
      <x:c r="AN724" s="9" t="n">
        <x:v>104</x:v>
      </x:c>
    </x:row>
    <x:row r="725">
      <x:c r="A725" s="9" t="str">
        <x:v>Failure</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t="str">
        <x:v>Went for the coke can, knocked it out of range, and could not recover. failed reasoning</x:v>
      </x:c>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MolmoAct2 Results</x:v>
      </x:c>
      <x:c r="AM725" s="9" t="n">
        <x:v>105</x:v>
      </x:c>
      <x:c r="AN725" s="9" t="n">
        <x:v>105</x:v>
      </x:c>
    </x:row>
    <x:row r="726">
      <x:c r="A726" s="9" t="str">
        <x:v>Failure</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t="str">
        <x:v>picked up airplane toy, failed reasoning</x:v>
      </x:c>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MolmoAct2 Results</x:v>
      </x:c>
      <x:c r="AM726" s="9" t="n">
        <x:v>106</x:v>
      </x:c>
      <x:c r="AN726" s="9" t="n">
        <x:v>106</x:v>
      </x:c>
    </x:row>
    <x:row r="727">
      <x:c r="A727" s="9" t="str">
        <x:v>Failure</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t="str">
        <x:v>picked closest airplane toy. failed reasoning</x:v>
      </x:c>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MolmoAct2 Results</x:v>
      </x:c>
      <x:c r="AM727" s="9" t="n">
        <x:v>107</x:v>
      </x:c>
      <x:c r="AN727" s="9" t="n">
        <x:v>107</x:v>
      </x:c>
    </x:row>
    <x:row r="728">
      <x:c r="A728" s="9" t="str">
        <x:v>Success</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MolmoAct2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MolmoAct2 Results</x:v>
      </x:c>
      <x:c r="AM729" s="9" t="n">
        <x:v>109</x:v>
      </x:c>
      <x:c r="AN729" s="9" t="n">
        <x:v>109</x:v>
      </x:c>
    </x:row>
    <x:row r="730">
      <x:c r="A730" s="9" t="str">
        <x:v>Success</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MolmoAct2 Results</x:v>
      </x:c>
      <x:c r="AM730" s="9" t="n">
        <x:v>110</x:v>
      </x:c>
      <x:c r="AN730" s="9" t="n">
        <x:v>110</x:v>
      </x:c>
    </x:row>
    <x:row r="731">
      <x:c r="A731" s="9" t="str">
        <x:v>Success</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MolmoAct2 Results</x:v>
      </x:c>
      <x:c r="AM731" s="9" t="n">
        <x:v>111</x:v>
      </x:c>
      <x:c r="AN731" s="9" t="n">
        <x:v>111</x:v>
      </x:c>
    </x:row>
    <x:row r="732">
      <x:c r="A732" s="9" t="str">
        <x:v>Failure</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t="str">
        <x:v>picked blue block; reasoning failure</x:v>
      </x:c>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MolmoAct2 Results</x:v>
      </x:c>
      <x:c r="AM732" s="9" t="n">
        <x:v>112</x:v>
      </x:c>
      <x:c r="AN732" s="9" t="n">
        <x:v>112</x:v>
      </x:c>
    </x:row>
    <x:row r="733">
      <x:c r="A733" s="9" t="str">
        <x:v>Success</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MolmoAct2 Results</x:v>
      </x:c>
      <x:c r="AM733" s="9" t="n">
        <x:v>113</x:v>
      </x:c>
      <x:c r="AN733" s="9" t="n">
        <x:v>113</x:v>
      </x:c>
    </x:row>
    <x:row r="734">
      <x:c r="A734" s="9" t="str">
        <x:v>Success</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MolmoAct2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blue block; reasoning failure</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MolmoAct2 Results</x:v>
      </x:c>
      <x:c r="AM735" s="9" t="n">
        <x:v>115</x:v>
      </x:c>
      <x:c r="AN735" s="9" t="n">
        <x:v>115</x:v>
      </x:c>
    </x:row>
    <x:row r="736">
      <x:c r="A736" s="9" t="str">
        <x:v>Success</x:v>
      </x:c>
      <x:c r="B736" s="9" t="str">
        <x:v>Referential Disambiguation</x:v>
      </x:c>
      <x:c r="C736" s="10" t="n">
        <x:v>114</x:v>
      </x:c>
      <x:c r="D736" s="9" t="str">
        <x:v>Move the block closest to the green pen into the bowl.</x:v>
      </x:c>
      <x:c r="E736" s="9" t="str">
        <x:v>green block; blue block; green pen</x:v>
      </x:c>
      <x:c r="F736" s="9" t="str">
        <x:v>green block</x:v>
      </x:c>
      <x:c r="G736" s="9"/>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MolmoAct2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MolmoAct2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MolmoAct2 Results</x:v>
      </x:c>
      <x:c r="AM738" s="9" t="n">
        <x:v>118</x:v>
      </x:c>
      <x:c r="AN738" s="9" t="n">
        <x:v>118</x:v>
      </x:c>
    </x:row>
    <x:row r="739">
      <x:c r="A739" s="9" t="str">
        <x:v>Failure</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t="str">
        <x:v>picked the blue block smh</x:v>
      </x:c>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MolmoAct2 Results</x:v>
      </x:c>
      <x:c r="AM739" s="9" t="n">
        <x:v>119</x:v>
      </x:c>
      <x:c r="AN739" s="9" t="n">
        <x:v>119</x:v>
      </x:c>
    </x:row>
    <x:row r="740">
      <x:c r="A740" s="9" t="str">
        <x:v>Success</x:v>
      </x:c>
      <x:c r="B740" s="9" t="str">
        <x:v>Referential Disambiguation</x:v>
      </x:c>
      <x:c r="C740" s="10" t="n">
        <x:v>118</x:v>
      </x:c>
      <x:c r="D740" s="9" t="str">
        <x:v>Put the block closest to the crushed Coke can in the bowl.</x:v>
      </x:c>
      <x:c r="E740" s="9" t="str">
        <x:v>green block; blue block; crushed Coke can</x:v>
      </x:c>
      <x:c r="F740" s="9" t="str">
        <x:v>green block</x:v>
      </x:c>
      <x:c r="G740" s="9"/>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MolmoAct2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MolmoAct2 Results</x:v>
      </x:c>
      <x:c r="AM741" s="9" t="n">
        <x:v>121</x:v>
      </x:c>
      <x:c r="AN741" s="9" t="n">
        <x:v>121</x:v>
      </x:c>
    </x:row>
    <x:row r="742">
      <x:c r="A742" s="9" t="str">
        <x:v>Failure</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t="str">
        <x:v>picked green block</x:v>
      </x:c>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MolmoAct2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tried picking the green pencil sharpener and couldn't. Started trying to pick up the blue blue block and couldn't. Failed reasoning and grasping</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MolmoAct2 Results</x:v>
      </x:c>
      <x:c r="AM743" s="9" t="n">
        <x:v>123</x:v>
      </x:c>
      <x:c r="AN743" s="9" t="n">
        <x:v>123</x:v>
      </x:c>
    </x:row>
    <x:row r="744">
      <x:c r="A744" s="9" t="str">
        <x:v>Success</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MolmoAct2 Results</x:v>
      </x:c>
      <x:c r="AM744" s="9" t="n">
        <x:v>124</x:v>
      </x:c>
      <x:c r="AN744" s="9" t="n">
        <x:v>124</x:v>
      </x:c>
    </x:row>
    <x:row r="745">
      <x:c r="A745" s="9" t="str">
        <x:v>Success</x:v>
      </x:c>
      <x:c r="B745" s="9" t="str">
        <x:v>Referential Disambiguation</x:v>
      </x:c>
      <x:c r="C745" s="10" t="n">
        <x:v>123</x:v>
      </x:c>
      <x:c r="D745" s="9" t="str">
        <x:v>Put the block furthest from the green pen in the bowl.</x:v>
      </x:c>
      <x:c r="E745" s="9" t="str">
        <x:v>green block; blue block; green pen; yellow pen</x:v>
      </x:c>
      <x:c r="F745" s="9" t="str">
        <x:v>blue block</x:v>
      </x:c>
      <x:c r="G745" s="9"/>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MolmoAct2 Results</x:v>
      </x:c>
      <x:c r="AM745" s="9" t="n">
        <x:v>125</x:v>
      </x:c>
      <x:c r="AN745" s="9" t="n">
        <x:v>125</x:v>
      </x:c>
    </x:row>
    <x:row r="746">
      <x:c r="A746" s="9" t="str">
        <x:v>Success</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MolmoAct2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MolmoAct2 Results</x:v>
      </x:c>
      <x:c r="AM747" s="9" t="n">
        <x:v>127</x:v>
      </x:c>
      <x:c r="AN747" s="9" t="n">
        <x:v>127</x:v>
      </x:c>
    </x:row>
    <x:row r="748">
      <x:c r="A748" s="9" t="str">
        <x:v>Success</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MolmoAct2 Results</x:v>
      </x:c>
      <x:c r="AM748" s="9" t="n">
        <x:v>128</x:v>
      </x:c>
      <x:c r="AN748" s="9" t="n">
        <x:v>128</x:v>
      </x:c>
    </x:row>
    <x:row r="749">
      <x:c r="A749" s="9" t="str">
        <x:v>Success</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MolmoAct2 Results</x:v>
      </x:c>
      <x:c r="AM749" s="9" t="n">
        <x:v>129</x:v>
      </x:c>
      <x:c r="AN749" s="9" t="n">
        <x:v>129</x:v>
      </x:c>
    </x:row>
    <x:row r="750">
      <x:c r="A750" s="9" t="str">
        <x:v>Failure</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t="str">
        <x:v>picked the blue block. blue block was closer to robot arm. Most mis-picks seemed to go for block closer to the arm</x:v>
      </x:c>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MolmoAct2 Results</x:v>
      </x:c>
      <x:c r="AM750" s="9" t="n">
        <x:v>130</x:v>
      </x:c>
      <x:c r="AN750" s="9" t="n">
        <x:v>130</x:v>
      </x:c>
    </x:row>
    <x:row r="751">
      <x:c r="A751" s="9" t="str">
        <x:v>Success</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use same block location as previsou episode, just moved objects and did go for the blue block which was further from robot, so many no the case. Hard to say</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MolmoAct2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picked the airplane toy with propelors</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MolmoAct2 Results</x:v>
      </x:c>
      <x:c r="AM752" s="9" t="n">
        <x:v>132</x:v>
      </x:c>
      <x:c r="AN752" s="9" t="n">
        <x:v>132</x:v>
      </x:c>
    </x:row>
    <x:row r="753">
      <x:c r="A753" s="9" t="str">
        <x:v>Success</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MolmoAct2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green pencil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MolmoAct2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airplane toy furtherest from pepsi can (airplane toy without propellors)</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MolmoAct2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picked airplane toy with propellors. </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MolmoAct2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airplane toy without propellors </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MolmoAct2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picked the green pencil sharpener, which was situated between the pepsi can and green pen. the red pencil sharpener was between the green pen and coke can</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MolmoAct2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tried to pick airplane toy with propellors, which was closest object to the green pencil sharpener. Dropped it and it went out of range. Picked up the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MolmoAct2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moved towards the red pencil sharpener, did not pick it up, then moved back to home position.</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MolmoAct2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up the airplane toy without propellors, which wasn't even the closest object to the yellow pen. the closest object was the coke can.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MolmoAct2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picked up the green pencil sharpener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MolmoAct2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picked up green pencil sharpener, which was furthest from the airplane toy without propellers</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MolmoAct2 Results</x:v>
      </x:c>
      <x:c r="AM763" s="9" t="n">
        <x:v>143</x:v>
      </x:c>
      <x:c r="AN763" s="9" t="n">
        <x:v>143</x:v>
      </x:c>
    </x:row>
    <x:row r="764">
      <x:c r="A764" s="9" t="str">
        <x:v>Success</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MolmoAct2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picked airplane toy closest to coke can</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MolmoAct2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moved towards the pepsi can with wrong gripping strategy; the pepsi can was closest to the green pencil sharpener. couldn't get can so got the green pencil sharpener instead.</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MolmoAct2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moved towards the red pencil sharpener, which was further from the pepsi can than the green one, but didn't pick it up and instead went back to the home position.</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MolmoAct2 Results</x:v>
      </x:c>
      <x:c r="AM767" s="9" t="n">
        <x:v>147</x:v>
      </x:c>
      <x:c r="AN767" s="9" t="n">
        <x:v>147</x:v>
      </x:c>
    </x:row>
    <x:row r="768">
      <x:c r="A768" s="9" t="str">
        <x:v>Success</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airplane toy without propellors was between the green pencil sharpener and yellow pen. still did not move.</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MolmoAct2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tried picking airplane toy without propellos, knocked it out of range, and kept trying, but couldn't get it. </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MolmoAct2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went for pepsi can, but knocked it out of range and could not recover. Arranged it so red pencil sharpener was between the green pen and coke can and green sharpener was between the pepsi can and green pen.</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MolmoAct2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MolmoAct2 Results</x:v>
      </x:c>
      <x:c r="AM771" s="9" t="n">
        <x:v>151</x:v>
      </x:c>
      <x:c r="AN771" s="9" t="n">
        <x:v>151</x:v>
      </x:c>
    </x:row>
    <x:row r="772">
      <x:c r="A772" s="9" t="str">
        <x:v>Failure</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t="str">
        <x:v>picked the green block</x:v>
      </x:c>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MolmoAct2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MolmoAct2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MolmoAct2 Results</x:v>
      </x:c>
      <x:c r="AM774" s="9" t="n">
        <x:v>4</x:v>
      </x:c>
      <x:c r="AN774" s="9" t="n">
        <x:v>4</x:v>
      </x:c>
    </x:row>
    <x:row r="775">
      <x:c r="A775" s="9" t="str">
        <x:v>Success</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MolmoAct2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MolmoAct2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MolmoAct2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MolmoAct2 Results</x:v>
      </x:c>
      <x:c r="AM778" s="9" t="n">
        <x:v>8</x:v>
      </x:c>
      <x:c r="AN778" s="9" t="n">
        <x:v>8</x:v>
      </x:c>
    </x:row>
    <x:row r="779">
      <x:c r="A779" s="9" t="str">
        <x:v>Failure</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t="str">
        <x:v>picked juggling ball</x:v>
      </x:c>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MolmoAct2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MolmoAct2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MolmoAct2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MolmoAct2 Results</x:v>
      </x:c>
      <x:c r="AM782" s="9" t="n">
        <x:v>12</x:v>
      </x:c>
      <x:c r="AN782" s="9" t="n">
        <x:v>12</x:v>
      </x:c>
    </x:row>
    <x:row r="783">
      <x:c r="A783" s="9" t="str">
        <x:v>Success</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MolmoAct2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MolmoAct2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MolmoAct2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MolmoAct2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MolmoAct2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MolmoAct2 Results</x:v>
      </x:c>
      <x:c r="AM788" s="9" t="n">
        <x:v>18</x:v>
      </x:c>
      <x:c r="AN788" s="9" t="n">
        <x:v>18</x:v>
      </x:c>
    </x:row>
    <x:row r="789">
      <x:c r="A789" s="9" t="str">
        <x:v>Failure</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MolmoAct2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MolmoAct2 Results</x:v>
      </x:c>
      <x:c r="AM790" s="9" t="n">
        <x:v>20</x:v>
      </x:c>
      <x:c r="AN790" s="9" t="n">
        <x:v>20</x:v>
      </x:c>
    </x:row>
    <x:row r="791">
      <x:c r="A791" s="9" t="str">
        <x:v>Failure</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t="str">
        <x:v>picked the juggling ball</x:v>
      </x:c>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MolmoAct2 Results</x:v>
      </x:c>
      <x:c r="AM791" s="9" t="n">
        <x:v>21</x:v>
      </x:c>
      <x:c r="AN791" s="9" t="n">
        <x:v>21</x:v>
      </x:c>
    </x:row>
    <x:row r="792">
      <x:c r="A792" s="9" t="str">
        <x:v>Failure</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t="str">
        <x:v>picked pencil sharpener</x:v>
      </x:c>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MolmoAct2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MolmoAct2 Results</x:v>
      </x:c>
      <x:c r="AM793" s="9" t="n">
        <x:v>23</x:v>
      </x:c>
      <x:c r="AN793" s="9" t="n">
        <x:v>23</x:v>
      </x:c>
    </x:row>
    <x:row r="794">
      <x:c r="A794" s="9" t="str">
        <x:v>Failure</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t="str">
        <x:v>picked pencil sharpener</x:v>
      </x:c>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MolmoAct2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MolmoAct2 Results</x:v>
      </x:c>
      <x:c r="AM795" s="9" t="n">
        <x:v>25</x:v>
      </x:c>
      <x:c r="AN795" s="9" t="n">
        <x:v>25</x:v>
      </x:c>
    </x:row>
    <x:row r="796">
      <x:c r="A796" s="9" t="str">
        <x:v>Success</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MolmoAct2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MolmoAct2 Results</x:v>
      </x:c>
      <x:c r="AM797" s="9" t="n">
        <x:v>27</x:v>
      </x:c>
      <x:c r="AN797" s="9" t="n">
        <x:v>27</x:v>
      </x:c>
    </x:row>
    <x:row r="798">
      <x:c r="A798" s="9" t="str">
        <x:v>Success</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MolmoAct2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MolmoAct2 Results</x:v>
      </x:c>
      <x:c r="AM799" s="9" t="n">
        <x:v>29</x:v>
      </x:c>
      <x:c r="AN799" s="9" t="n">
        <x:v>29</x:v>
      </x:c>
    </x:row>
    <x:row r="800">
      <x:c r="A800" s="9" t="str">
        <x:v>Success</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t="str">
        <x:v>had a long hesitation before movement</x:v>
      </x:c>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MolmoAct2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MolmoAct2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MolmoAct2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MolmoAct2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MolmoAct2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MolmoAct2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MolmoAct2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MolmoAct2 Results</x:v>
      </x:c>
      <x:c r="AM807" s="9" t="n">
        <x:v>37</x:v>
      </x:c>
      <x:c r="AN807" s="9" t="n">
        <x:v>37</x:v>
      </x:c>
    </x:row>
    <x:row r="808">
      <x:c r="A808" s="9" t="str">
        <x:v>Success</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MolmoAct2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MolmoAct2 Results</x:v>
      </x:c>
      <x:c r="AM809" s="9" t="n">
        <x:v>39</x:v>
      </x:c>
      <x:c r="AN809" s="9" t="n">
        <x:v>39</x:v>
      </x:c>
    </x:row>
    <x:row r="810">
      <x:c r="A810" s="9" t="str">
        <x:v>Success</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MolmoAct2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MolmoAct2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MolmoAct2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MolmoAct2 Results</x:v>
      </x:c>
      <x:c r="AM813" s="9" t="n">
        <x:v>43</x:v>
      </x:c>
      <x:c r="AN813" s="9" t="n">
        <x:v>43</x:v>
      </x:c>
    </x:row>
    <x:row r="814">
      <x:c r="A814" s="9" t="str">
        <x:v>Success</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MolmoAct2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MolmoAct2 Results</x:v>
      </x:c>
      <x:c r="AM815" s="9" t="n">
        <x:v>45</x:v>
      </x:c>
      <x:c r="AN815" s="9" t="n">
        <x:v>45</x:v>
      </x:c>
    </x:row>
    <x:row r="816">
      <x:c r="A816" s="9" t="str">
        <x:v>Failure</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t="str">
        <x:v>picked red pencil sharpener</x:v>
      </x:c>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MolmoAct2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MolmoAct2 Results</x:v>
      </x:c>
      <x:c r="AM817" s="9" t="n">
        <x:v>47</x:v>
      </x:c>
      <x:c r="AN817" s="9" t="n">
        <x:v>47</x:v>
      </x:c>
    </x:row>
    <x:row r="818">
      <x:c r="A818" s="9" t="str">
        <x:v>Failure</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t="str">
        <x:v>took a very long pause and then went for the red pencil sharpener. Didn't finish rollout since time ran out.</x:v>
      </x:c>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MolmoAct2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MolmoAct2 Results</x:v>
      </x:c>
      <x:c r="AM819" s="9" t="n">
        <x:v>49</x:v>
      </x:c>
      <x:c r="AN819" s="9" t="n">
        <x:v>49</x:v>
      </x:c>
    </x:row>
    <x:row r="820">
      <x:c r="A820" s="9" t="str">
        <x:v>Success</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MolmoAct2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MolmoAct2 Results</x:v>
      </x:c>
      <x:c r="AM821" s="9" t="n">
        <x:v>51</x:v>
      </x:c>
      <x:c r="AN821" s="9" t="n">
        <x:v>51</x:v>
      </x:c>
    </x:row>
    <x:row r="822">
      <x:c r="A822" s="9" t="str">
        <x:v>Success</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MolmoAct2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MolmoAct2 Results</x:v>
      </x:c>
      <x:c r="AM823" s="9" t="n">
        <x:v>53</x:v>
      </x:c>
      <x:c r="AN823" s="9" t="n">
        <x:v>53</x:v>
      </x:c>
    </x:row>
    <x:row r="824">
      <x:c r="A824" s="9" t="str">
        <x:v>Success</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MolmoAct2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MolmoAct2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MolmoAct2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MolmoAct2 Results</x:v>
      </x:c>
      <x:c r="AM827" s="9" t="n">
        <x:v>57</x:v>
      </x:c>
      <x:c r="AN827" s="9" t="n">
        <x:v>57</x:v>
      </x:c>
    </x:row>
    <x:row r="828">
      <x:c r="A828" s="9" t="str">
        <x:v>Success</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MolmoAct2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MolmoAct2 Results</x:v>
      </x:c>
      <x:c r="AM829" s="9" t="n">
        <x:v>59</x:v>
      </x:c>
      <x:c r="AN829" s="9" t="n">
        <x:v>59</x:v>
      </x:c>
    </x:row>
    <x:row r="830">
      <x:c r="A830" s="9" t="str">
        <x:v>Success</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MolmoAct2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MolmoAct2 Results</x:v>
      </x:c>
      <x:c r="AM831" s="9" t="n">
        <x:v>61</x:v>
      </x:c>
      <x:c r="AN831" s="9" t="n">
        <x:v>61</x:v>
      </x:c>
    </x:row>
    <x:row r="832">
      <x:c r="A832" s="9" t="str">
        <x:v>Failure</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t="str">
        <x:v>didn't move</x:v>
      </x:c>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MolmoAct2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MolmoAct2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MolmoAct2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MolmoAct2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picked pencil sharpener</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MolmoAct2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MolmoAct2 Results</x:v>
      </x:c>
      <x:c r="AM837" s="9" t="n">
        <x:v>67</x:v>
      </x:c>
      <x:c r="AN837" s="9" t="n">
        <x:v>67</x:v>
      </x:c>
    </x:row>
    <x:row r="838">
      <x:c r="A838" s="9" t="str">
        <x:v>Success</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MolmoAct2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MolmoAct2 Results</x:v>
      </x:c>
      <x:c r="AM839" s="9" t="n">
        <x:v>69</x:v>
      </x:c>
      <x:c r="AN839" s="9" t="n">
        <x:v>69</x:v>
      </x:c>
    </x:row>
    <x:row r="840">
      <x:c r="A840" s="9" t="str">
        <x:v>Success</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t="str">
        <x:v>picked it up like the soda can</x:v>
      </x:c>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MolmoAct2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MolmoAct2 Results</x:v>
      </x:c>
      <x:c r="AM841" s="9" t="n">
        <x:v>71</x:v>
      </x:c>
      <x:c r="AN841" s="9" t="n">
        <x:v>71</x:v>
      </x:c>
    </x:row>
    <x:row r="842">
      <x:c r="A842" s="9" t="str">
        <x:v>Success</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MolmoAct2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MolmoAct2 Results</x:v>
      </x:c>
      <x:c r="AM843" s="9" t="n">
        <x:v>73</x:v>
      </x:c>
      <x:c r="AN843" s="9" t="n">
        <x:v>73</x:v>
      </x:c>
    </x:row>
    <x:row r="844">
      <x:c r="A844" s="9" t="str">
        <x:v>Success</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MolmoAct2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MolmoAct2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MolmoAct2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MolmoAct2 Results</x:v>
      </x:c>
      <x:c r="AM847" s="9" t="n">
        <x:v>77</x:v>
      </x:c>
      <x:c r="AN847" s="9" t="n">
        <x:v>77</x:v>
      </x:c>
    </x:row>
    <x:row r="848">
      <x:c r="A848" s="9" t="str">
        <x:v>Success</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MolmoAct2 Results</x:v>
      </x:c>
      <x:c r="AM848" s="9" t="n">
        <x:v>78</x:v>
      </x:c>
      <x:c r="AN848" s="9" t="n">
        <x:v>78</x:v>
      </x:c>
    </x:row>
    <x:row r="849">
      <x:c r="A849" s="9" t="str">
        <x:v>Success</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MolmoAct2 Results</x:v>
      </x:c>
      <x:c r="AM849" s="9" t="n">
        <x:v>79</x:v>
      </x:c>
      <x:c r="AN849" s="9" t="n">
        <x:v>79</x:v>
      </x:c>
    </x:row>
    <x:row r="850">
      <x:c r="A850" s="9" t="str">
        <x:v>Failure</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t="str">
        <x:v>went for the pepsi can, but tried to grab it like the juggling ball. Couldn't recover.</x:v>
      </x:c>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MolmoAct2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MolmoAct2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MolmoAct2 Results</x:v>
      </x:c>
      <x:c r="AM852" s="9" t="n">
        <x:v>82</x:v>
      </x:c>
      <x:c r="AN852" s="9" t="n">
        <x:v>82</x:v>
      </x:c>
    </x:row>
    <x:row r="853">
      <x:c r="A853" s="9" t="str">
        <x:v>Success</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t="str">
        <x:v>barely got the ball in 60 seconds. was trying to get is for like 45 seconds before grabbing it </x:v>
      </x:c>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MolmoAct2 Results</x:v>
      </x:c>
      <x:c r="AM853" s="9" t="n">
        <x:v>83</x:v>
      </x:c>
      <x:c r="AN853" s="9" t="n">
        <x:v>83</x:v>
      </x:c>
    </x:row>
    <x:row r="854">
      <x:c r="A854" s="9" t="str">
        <x:v>Success</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MolmoAct2 Results</x:v>
      </x:c>
      <x:c r="AM854" s="9" t="n">
        <x:v>84</x:v>
      </x:c>
      <x:c r="AN854" s="9" t="n">
        <x:v>84</x:v>
      </x:c>
    </x:row>
    <x:row r="855">
      <x:c r="A855" s="9" t="str">
        <x:v>Failure</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t="str">
        <x:v>went for pepsi can with juggling ball grasping strategy. could not pick up/recover</x:v>
      </x:c>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MolmoAct2 Results</x:v>
      </x:c>
      <x:c r="AM855" s="9" t="n">
        <x:v>85</x:v>
      </x:c>
      <x:c r="AN855" s="9" t="n">
        <x:v>85</x:v>
      </x:c>
    </x:row>
    <x:row r="856">
      <x:c r="A856" s="9" t="str">
        <x:v>Failure</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t="str">
        <x:v>picked the pencil sharpener</x:v>
      </x:c>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MolmoAct2 Results</x:v>
      </x:c>
      <x:c r="AM856" s="9" t="n">
        <x:v>86</x:v>
      </x:c>
      <x:c r="AN856" s="9" t="n">
        <x:v>86</x:v>
      </x:c>
    </x:row>
    <x:row r="857">
      <x:c r="A857" s="9" t="str">
        <x:v>Success</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initially went for the pepsi can, but switched to go for the juggling ball</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MolmoAct2 Results</x:v>
      </x:c>
      <x:c r="AM857" s="9" t="n">
        <x:v>87</x:v>
      </x:c>
      <x:c r="AN857" s="9" t="n">
        <x:v>87</x:v>
      </x:c>
    </x:row>
    <x:row r="858">
      <x:c r="A858" s="9" t="str">
        <x:v>Success</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MolmoAct2 Results</x:v>
      </x:c>
      <x:c r="AM858" s="9" t="n">
        <x:v>88</x:v>
      </x:c>
      <x:c r="AN858" s="9" t="n">
        <x:v>88</x:v>
      </x:c>
    </x:row>
    <x:row r="859">
      <x:c r="A859" s="9" t="str">
        <x:v>Success</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MolmoAct2 Results</x:v>
      </x:c>
      <x:c r="AM859" s="9" t="n">
        <x:v>89</x:v>
      </x:c>
      <x:c r="AN859" s="9" t="n">
        <x:v>89</x:v>
      </x:c>
    </x:row>
    <x:row r="860">
      <x:c r="A860" s="9" t="str">
        <x:v>Failure</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t="str">
        <x:v>robot didn't move</x:v>
      </x:c>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MolmoAct2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MolmoAct2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picked red pencil sharpener. paused for a long time at the beginning but picked it at just the last minute.</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MolmoAct2 Results</x:v>
      </x:c>
      <x:c r="AM862" s="9" t="n">
        <x:v>92</x:v>
      </x:c>
      <x:c r="AN862" s="9" t="n">
        <x:v>92</x:v>
      </x:c>
    </x:row>
    <x:row r="863">
      <x:c r="A863" s="9" t="str">
        <x:v>Success</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MolmoAct2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picked pencil sharpener</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MolmoAct2 Results</x:v>
      </x:c>
      <x:c r="AM864" s="9" t="n">
        <x:v>94</x:v>
      </x:c>
      <x:c r="AN864" s="9" t="n">
        <x:v>94</x:v>
      </x:c>
    </x:row>
    <x:row r="865">
      <x:c r="A865" s="9" t="str">
        <x:v>Success</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MolmoAct2 Results</x:v>
      </x:c>
      <x:c r="AM865" s="9" t="n">
        <x:v>95</x:v>
      </x:c>
      <x:c r="AN865" s="9" t="n">
        <x:v>95</x:v>
      </x:c>
    </x:row>
    <x:row r="866">
      <x:c r="A866" s="9" t="str">
        <x:v>Success</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t="str">
        <x:v>picked it like soda can</x:v>
      </x:c>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MolmoAct2 Results</x:v>
      </x:c>
      <x:c r="AM866" s="9" t="n">
        <x:v>96</x:v>
      </x:c>
      <x:c r="AN866" s="9" t="n">
        <x:v>96</x:v>
      </x:c>
    </x:row>
    <x:row r="867">
      <x:c r="A867" s="9" t="str">
        <x:v>Success</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MolmoAct2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robot didn't move</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MolmoAct2 Results</x:v>
      </x:c>
      <x:c r="AM868" s="9" t="n">
        <x:v>98</x:v>
      </x:c>
      <x:c r="AN868" s="9" t="n">
        <x:v>98</x:v>
      </x:c>
    </x:row>
    <x:row r="869">
      <x:c r="A869" s="9" t="str">
        <x:v>Success</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MolmoAct2 Results</x:v>
      </x:c>
      <x:c r="AM869" s="9" t="n">
        <x:v>99</x:v>
      </x:c>
      <x:c r="AN869" s="9" t="n">
        <x:v>99</x:v>
      </x:c>
    </x:row>
    <x:row r="870">
      <x:c r="A870" s="9" t="str">
        <x:v>Failure</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t="str">
        <x:v>picked pencil sharpener</x:v>
      </x:c>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MolmoAct2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MolmoAct2 Results</x:v>
      </x:c>
      <x:c r="AM871" s="9" t="n">
        <x:v>101</x:v>
      </x:c>
      <x:c r="AN871" s="9" t="n">
        <x:v>101</x:v>
      </x:c>
    </x:row>
    <x:row r="872">
      <x:c r="A872" s="9" t="str">
        <x:v>Failure</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t="str">
        <x:v>picked pencil sharpener</x:v>
      </x:c>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MolmoAct2 Results</x:v>
      </x:c>
      <x:c r="AM872" s="9" t="n">
        <x:v>102</x:v>
      </x:c>
      <x:c r="AN872" s="9" t="n">
        <x:v>102</x:v>
      </x:c>
    </x:row>
    <x:row r="873">
      <x:c r="A873" s="9" t="str">
        <x:v>Failure</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t="str">
        <x:v>went for pepsi can, knocked it out of range, and kept trying to pick it up until 60 seconds elapsed</x:v>
      </x:c>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MolmoAct2 Results</x:v>
      </x:c>
      <x:c r="AM873" s="9" t="n">
        <x:v>103</x:v>
      </x:c>
      <x:c r="AN873" s="9" t="n">
        <x:v>103</x:v>
      </x:c>
    </x:row>
    <x:row r="874">
      <x:c r="A874" s="9" t="str">
        <x:v>Failure</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t="str">
        <x:v>went for red pencil sharpener</x:v>
      </x:c>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MolmoAct2 Results</x:v>
      </x:c>
      <x:c r="AM874" s="9" t="n">
        <x:v>104</x:v>
      </x:c>
      <x:c r="AN874" s="9" t="n">
        <x:v>104</x:v>
      </x:c>
    </x:row>
    <x:row r="875">
      <x:c r="A875" s="9" t="str">
        <x:v>Success</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MolmoAct2 Results</x:v>
      </x:c>
      <x:c r="AM875" s="9" t="n">
        <x:v>105</x:v>
      </x:c>
      <x:c r="AN875" s="9" t="n">
        <x:v>105</x:v>
      </x:c>
    </x:row>
    <x:row r="876">
      <x:c r="A876" s="9" t="str">
        <x:v>Failure</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t="str">
        <x:v>picked red pencil sharpener</x:v>
      </x:c>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MolmoAct2 Results</x:v>
      </x:c>
      <x:c r="AM876" s="9" t="n">
        <x:v>106</x:v>
      </x:c>
      <x:c r="AN876" s="9" t="n">
        <x:v>106</x:v>
      </x:c>
    </x:row>
    <x:row r="877">
      <x:c r="A877" s="9" t="str">
        <x:v>Success</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MolmoAct2 Results</x:v>
      </x:c>
      <x:c r="AM877" s="9" t="n">
        <x:v>107</x:v>
      </x:c>
      <x:c r="AN877" s="9" t="n">
        <x:v>107</x:v>
      </x:c>
    </x:row>
    <x:row r="878">
      <x:c r="A878" s="9" t="str">
        <x:v>Failure</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t="str">
        <x:v>picked red pencil sharpener</x:v>
      </x:c>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MolmoAct2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MolmoAct2 Results</x:v>
      </x:c>
      <x:c r="AM879" s="9" t="n">
        <x:v>109</x:v>
      </x:c>
      <x:c r="AN879" s="9" t="n">
        <x:v>109</x:v>
      </x:c>
    </x:row>
    <x:row r="880">
      <x:c r="A880" s="9" t="str">
        <x:v>Failure</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t="str">
        <x:v>picked red pencil sharpener</x:v>
      </x:c>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MolmoAct2 Results</x:v>
      </x:c>
      <x:c r="AM880" s="9" t="n">
        <x:v>110</x:v>
      </x:c>
      <x:c r="AN880" s="9" t="n">
        <x:v>110</x:v>
      </x:c>
    </x:row>
    <x:row r="881">
      <x:c r="A881" s="9" t="str">
        <x:v>Success</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MolmoAct2 Results</x:v>
      </x:c>
      <x:c r="AM881" s="9" t="n">
        <x:v>111</x:v>
      </x:c>
      <x:c r="AN881" s="9" t="n">
        <x:v>111</x:v>
      </x:c>
    </x:row>
    <x:row r="882">
      <x:c r="A882" s="9" t="str">
        <x:v>Success</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MolmoAct2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MolmoAct2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MolmoAct2 Results</x:v>
      </x:c>
      <x:c r="AM884" s="9" t="n">
        <x:v>114</x:v>
      </x:c>
      <x:c r="AN884" s="9" t="n">
        <x:v>114</x:v>
      </x:c>
    </x:row>
    <x:row r="885">
      <x:c r="A885" s="9" t="str">
        <x:v>Failure</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t="str">
        <x:v>Succeeded on readoning, but failed to grasp the pepsi can, and knocked it out of frame. Upon recovery, picked the green block, which is technically the next largest item, however, the grene block was also close to the pepsi can</x:v>
      </x:c>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MolmoAct2 Results</x:v>
      </x:c>
      <x:c r="AM885" s="9" t="n">
        <x:v>115</x:v>
      </x:c>
      <x:c r="AN885" s="9" t="n">
        <x:v>115</x:v>
      </x:c>
    </x:row>
    <x:row r="886">
      <x:c r="A886" s="9" t="str">
        <x:v>Success</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MolmoAct2 Results</x:v>
      </x:c>
      <x:c r="AM886" s="9" t="n">
        <x:v>116</x:v>
      </x:c>
      <x:c r="AN886" s="9" t="n">
        <x:v>116</x:v>
      </x:c>
    </x:row>
    <x:row r="887">
      <x:c r="A887" s="9" t="str">
        <x:v>Success</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MolmoAct2 Results</x:v>
      </x:c>
      <x:c r="AM887" s="9" t="n">
        <x:v>117</x:v>
      </x:c>
      <x:c r="AN887" s="9" t="n">
        <x:v>117</x:v>
      </x:c>
    </x:row>
    <x:row r="888">
      <x:c r="A888" s="9" t="str">
        <x:v>Success</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MolmoAct2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MolmoAct2 Results</x:v>
      </x:c>
      <x:c r="AM889" s="9" t="n">
        <x:v>119</x:v>
      </x:c>
      <x:c r="AN889" s="9" t="n">
        <x:v>119</x:v>
      </x:c>
    </x:row>
    <x:row r="890">
      <x:c r="A890" s="9" t="str">
        <x:v>Success</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t="str">
        <x:v>started to pick the airplane toy like the soda can, then recovered</x:v>
      </x:c>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MolmoAct2 Results</x:v>
      </x:c>
      <x:c r="AM890" s="9" t="n">
        <x:v>120</x:v>
      </x:c>
      <x:c r="AN890" s="9" t="n">
        <x:v>120</x:v>
      </x:c>
    </x:row>
    <x:row r="891">
      <x:c r="A891" s="9" t="str">
        <x:v>Success</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MolmoAct2 Results</x:v>
      </x:c>
      <x:c r="AM891" s="9" t="n">
        <x:v>121</x:v>
      </x:c>
      <x:c r="AN891" s="9" t="n">
        <x:v>121</x:v>
      </x:c>
    </x:row>
    <x:row r="892">
      <x:c r="A892" s="9" t="str">
        <x:v>Success</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MolmoAct2 Results</x:v>
      </x:c>
      <x:c r="AM892" s="9" t="n">
        <x:v>122</x:v>
      </x:c>
      <x:c r="AN892" s="9" t="n">
        <x:v>122</x:v>
      </x:c>
    </x:row>
    <x:row r="893">
      <x:c r="A893" s="9" t="str">
        <x:v>Failure</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t="str">
        <x:v>picked airplane toy</x:v>
      </x:c>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MolmoAct2 Results</x:v>
      </x:c>
      <x:c r="AM893" s="9" t="n">
        <x:v>123</x:v>
      </x:c>
      <x:c r="AN893" s="9" t="n">
        <x:v>123</x:v>
      </x:c>
    </x:row>
    <x:row r="894">
      <x:c r="A894" s="9" t="str">
        <x:v>Failure</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t="str">
        <x:v>initially tried to pick airplane toy like soda can, recorded to pick normally, knocked it a bit, and by the time it finally grabbed it, time ran out. Successful reasoning, but timed out.</x:v>
      </x:c>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MolmoAct2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picked airplane toy, but grabbed it normally</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MolmoAct2 Results</x:v>
      </x:c>
      <x:c r="AM895" s="9" t="n">
        <x:v>125</x:v>
      </x:c>
      <x:c r="AN895" s="9" t="n">
        <x:v>125</x:v>
      </x:c>
    </x:row>
    <x:row r="896">
      <x:c r="A896" s="9" t="str">
        <x:v>Success</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MolmoAct2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MolmoAct2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MolmoAct2 Results</x:v>
      </x:c>
      <x:c r="AM898" s="9" t="n">
        <x:v>128</x:v>
      </x:c>
      <x:c r="AN898" s="9" t="n">
        <x:v>128</x:v>
      </x:c>
    </x:row>
    <x:row r="899">
      <x:c r="A899" s="9" t="str">
        <x:v>Failure</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t="str">
        <x:v>picked airplane toy again</x:v>
      </x:c>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MolmoAct2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MolmoAct2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MolmoAct2 Results</x:v>
      </x:c>
      <x:c r="AM901" s="9" t="n">
        <x:v>131</x:v>
      </x:c>
      <x:c r="AN901" s="9" t="n">
        <x:v>131</x:v>
      </x:c>
    </x:row>
  </x:sheetData>
  <x:conditionalFormatting sqref="A2:A901">
    <x:cfRule type="containsText" dxfId="6" priority="1" operator="containsText" text="Success"/>
    <x:cfRule type="containsText" dxfId="7"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b1b9ed6b89e3431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pi0.5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pi0.5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pi0.5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pi0.5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pi0.5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pi0.5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pi0.5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pi0.5 Results</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pi0.5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pi0.5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pi0.5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pi0.5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pi0.5 Results</x:v>
      </x:c>
      <x:c r="AM14" s="9" t="n">
        <x:v>14</x:v>
      </x:c>
      <x:c r="AN14" s="9" t="n">
        <x:v>14</x:v>
      </x:c>
    </x:row>
    <x:row r="15">
      <x:c r="A15" s="9" t="str">
        <x:v>Failure</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pi0.5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pi0.5 Results</x:v>
      </x:c>
      <x:c r="AM16" s="9" t="n">
        <x:v>16</x:v>
      </x:c>
      <x:c r="AN16" s="9" t="n">
        <x:v>16</x:v>
      </x:c>
    </x:row>
    <x:row r="17">
      <x:c r="A17" s="9" t="str">
        <x:v>Success</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pi0.5 Results</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pi0.5 Results</x:v>
      </x:c>
      <x:c r="AM18" s="9" t="n">
        <x:v>18</x:v>
      </x:c>
      <x:c r="AN18" s="9" t="n">
        <x:v>18</x:v>
      </x:c>
    </x:row>
    <x:row r="19">
      <x:c r="A19" s="9" t="str">
        <x:v>Success</x:v>
      </x:c>
      <x:c r="B19" s="9" t="str">
        <x:v>State Recognition</x:v>
      </x:c>
      <x:c r="C19" s="10" t="n">
        <x:v>17</x:v>
      </x:c>
      <x:c r="D19" s="9" t="str">
        <x:v>Place the upright brown cup in the bowl.</x:v>
      </x:c>
      <x:c r="E19" s="9" t="str">
        <x:v>brown cup A (C, RU); brown cup B (C, UD); glass spice container B (C, UD)</x:v>
      </x:c>
      <x:c r="F19" s="9" t="str">
        <x:v>brown cup A</x:v>
      </x:c>
      <x:c r="G19" s="9"/>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pi0.5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pi0.5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pi0.5 Results</x:v>
      </x:c>
      <x:c r="AM21" s="9" t="n">
        <x:v>21</x:v>
      </x:c>
      <x:c r="AN21" s="9" t="n">
        <x:v>21</x:v>
      </x:c>
    </x:row>
    <x:row r="22">
      <x:c r="A22" s="9" t="str">
        <x:v>Failure</x:v>
      </x:c>
      <x:c r="B22" s="9" t="str">
        <x:v>State Recognition</x:v>
      </x:c>
      <x:c r="C22" s="10" t="n">
        <x:v>20</x:v>
      </x:c>
      <x:c r="D22" s="9" t="str">
        <x:v>Place the upside-down white cup in the bowl.</x:v>
      </x:c>
      <x:c r="E22" s="9" t="str">
        <x:v>white cup A (C, UD); white cup B (C, RU)</x:v>
      </x:c>
      <x:c r="F22" s="9" t="str">
        <x:v>white cup A</x:v>
      </x:c>
      <x:c r="G22" s="9" t="str">
        <x:v>Pick up the upright cup</x:v>
      </x:c>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pi0.5 Results</x:v>
      </x:c>
      <x:c r="AM22" s="9" t="n">
        <x:v>22</x:v>
      </x:c>
      <x:c r="AN22" s="9" t="n">
        <x:v>22</x:v>
      </x:c>
    </x:row>
    <x:row r="23">
      <x:c r="A23" s="9" t="str">
        <x:v>Success</x:v>
      </x:c>
      <x:c r="B23" s="9" t="str">
        <x:v>State Recognition</x:v>
      </x:c>
      <x:c r="C23" s="10" t="n">
        <x:v>21</x:v>
      </x:c>
      <x:c r="D23" s="9" t="str">
        <x:v>Put a white cup in the bowl.</x:v>
      </x:c>
      <x:c r="E23" s="9" t="str">
        <x:v>white cup A (C, UD); yellow-white striped cup A (C, RU)</x:v>
      </x:c>
      <x:c r="F23" s="9" t="str">
        <x:v>white cup A</x:v>
      </x:c>
      <x:c r="G23" s="9"/>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pi0.5 Results</x:v>
      </x:c>
      <x:c r="AM23" s="9" t="n">
        <x:v>23</x:v>
      </x:c>
      <x:c r="AN23" s="9" t="n">
        <x:v>23</x:v>
      </x:c>
    </x:row>
    <x:row r="24">
      <x:c r="A24" s="9" t="str">
        <x:v>Failure</x:v>
      </x:c>
      <x:c r="B24" s="9" t="str">
        <x:v>State Recognition</x:v>
      </x:c>
      <x:c r="C24" s="10" t="n">
        <x:v>22</x:v>
      </x:c>
      <x:c r="D24" s="9" t="str">
        <x:v>Move the inverted white cup into the bowl.</x:v>
      </x:c>
      <x:c r="E24" s="9" t="str">
        <x:v>white cup A (C, UD); white cup B (C, RU)</x:v>
      </x:c>
      <x:c r="F24" s="9" t="str">
        <x:v>white cup A</x:v>
      </x:c>
      <x:c r="G24" s="9" t="str">
        <x:v>picked upright cup</x:v>
      </x:c>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pi0.5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pi0.5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pi0.5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pi0.5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pi0.5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pi0.5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Placed the upside down one in the bowl</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pi0.5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pi0.5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Placed the upside down one in the bowl</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pi0.5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pi0.5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pi0.5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pi0.5 Results</x:v>
      </x:c>
      <x:c r="AM35" s="9" t="n">
        <x:v>35</x:v>
      </x:c>
      <x:c r="AN35" s="9" t="n">
        <x:v>35</x:v>
      </x:c>
    </x:row>
    <x:row r="36">
      <x:c r="A36" s="9" t="str">
        <x:v>Failure</x:v>
      </x:c>
      <x:c r="B36" s="9" t="str">
        <x:v>State Recognition</x:v>
      </x:c>
      <x:c r="C36" s="10" t="n">
        <x:v>34</x:v>
      </x:c>
      <x:c r="D36" s="9" t="str">
        <x:v>Move the inverted white cup into the bowl.</x:v>
      </x:c>
      <x:c r="E36" s="9" t="str">
        <x:v>white cup A (O, UD); white cup B (O, RU); brown cup A (C, RU)</x:v>
      </x:c>
      <x:c r="F36" s="9" t="str">
        <x:v>white cup A</x:v>
      </x:c>
      <x:c r="G36" s="9" t="str">
        <x:v>picked the upright cup</x:v>
      </x:c>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pi0.5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pi0.5 Results</x:v>
      </x:c>
      <x:c r="AM37" s="9" t="n">
        <x:v>37</x:v>
      </x:c>
      <x:c r="AN37" s="9" t="n">
        <x:v>37</x:v>
      </x:c>
    </x:row>
    <x:row r="38">
      <x:c r="A38" s="9" t="str">
        <x:v>Failure</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t="str">
        <x:v>picked the open cup</x:v>
      </x:c>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pi0.5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pi0.5 Results</x:v>
      </x:c>
      <x:c r="AM39" s="9" t="n">
        <x:v>39</x:v>
      </x:c>
      <x:c r="AN39" s="9" t="n">
        <x:v>39</x:v>
      </x:c>
    </x:row>
    <x:row r="40">
      <x:c r="A40" s="9" t="str">
        <x:v>Failure</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t="str">
        <x:v>picked the open cup</x:v>
      </x:c>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pi0.5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pi0.5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picked closed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pi0.5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pi0.5 Results</x:v>
      </x:c>
      <x:c r="AM43" s="9" t="n">
        <x:v>43</x:v>
      </x:c>
      <x:c r="AN43" s="9" t="n">
        <x:v>43</x:v>
      </x:c>
    </x:row>
    <x:row r="44">
      <x:c r="A44" s="9" t="str">
        <x:v>Success</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pi0.5 Results</x:v>
      </x:c>
      <x:c r="AM44" s="9" t="n">
        <x:v>44</x:v>
      </x:c>
      <x:c r="AN44" s="9" t="n">
        <x:v>44</x:v>
      </x:c>
    </x:row>
    <x:row r="45">
      <x:c r="A45" s="9" t="str">
        <x:v>Success</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pi0.5 Results</x:v>
      </x:c>
      <x:c r="AM45" s="9" t="n">
        <x:v>45</x:v>
      </x:c>
      <x:c r="AN45" s="9" t="n">
        <x:v>45</x:v>
      </x:c>
    </x:row>
    <x:row r="46">
      <x:c r="A46" s="9" t="str">
        <x:v>Success</x:v>
      </x:c>
      <x:c r="B46" s="9" t="str">
        <x:v>State Recognition</x:v>
      </x:c>
      <x:c r="C46" s="10" t="n">
        <x:v>44</x:v>
      </x:c>
      <x:c r="D46" s="9" t="str">
        <x:v>Place the closed brown cup in the bowl.</x:v>
      </x:c>
      <x:c r="E46" s="9" t="str">
        <x:v>brown cup A (C, RU); brown cup B (O, RU)</x:v>
      </x:c>
      <x:c r="F46" s="9" t="str">
        <x:v>brown cup A</x:v>
      </x:c>
      <x:c r="G46" s="9"/>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pi0.5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pi0.5 Results</x:v>
      </x:c>
      <x:c r="AM47" s="9" t="n">
        <x:v>47</x:v>
      </x:c>
      <x:c r="AN47" s="9" t="n">
        <x:v>47</x:v>
      </x:c>
    </x:row>
    <x:row r="48">
      <x:c r="A48" s="9" t="str">
        <x:v>Failure</x:v>
      </x:c>
      <x:c r="B48" s="9" t="str">
        <x:v>State Recognition</x:v>
      </x:c>
      <x:c r="C48" s="10" t="n">
        <x:v>46</x:v>
      </x:c>
      <x:c r="D48" s="9" t="str">
        <x:v>Move the brown cup whose opening is covered into the bowl.</x:v>
      </x:c>
      <x:c r="E48" s="9" t="str">
        <x:v>brown cup A (C, RU); brown cup B (O, RU)</x:v>
      </x:c>
      <x:c r="F48" s="9" t="str">
        <x:v>brown cup A</x:v>
      </x:c>
      <x:c r="G48" s="9" t="str">
        <x:v>went for open cup</x:v>
      </x:c>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pi0.5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pi0.5 Results</x:v>
      </x:c>
      <x:c r="AM49" s="9" t="n">
        <x:v>49</x:v>
      </x:c>
      <x:c r="AN49" s="9" t="n">
        <x:v>49</x:v>
      </x:c>
    </x:row>
    <x:row r="50">
      <x:c r="A50" s="9" t="str">
        <x:v>Success</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pi0.5 Results</x:v>
      </x:c>
      <x:c r="AM50" s="9" t="n">
        <x:v>50</x:v>
      </x:c>
      <x:c r="AN50" s="9" t="n">
        <x:v>50</x:v>
      </x:c>
    </x:row>
    <x:row r="51">
      <x:c r="A51" s="9" t="str">
        <x:v>Failure</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t="str">
        <x:v>successfully went for the glass container, but messed up grasp and then started going all over the place. During recovery started to go for bronw cup</x:v>
      </x:c>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pi0.5 Results</x:v>
      </x:c>
      <x:c r="AM51" s="9" t="n">
        <x:v>51</x:v>
      </x:c>
      <x:c r="AN51" s="9" t="n">
        <x:v>51</x:v>
      </x:c>
    </x:row>
    <x:row r="52">
      <x:c r="A52" s="9" t="str">
        <x:v>Failure</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t="str">
        <x:v>picked the upside down one</x:v>
      </x:c>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pi0.5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pi0.5 Results</x:v>
      </x:c>
      <x:c r="AM53" s="9" t="n">
        <x:v>53</x:v>
      </x:c>
      <x:c r="AN53" s="9" t="n">
        <x:v>53</x:v>
      </x:c>
    </x:row>
    <x:row r="54">
      <x:c r="A54" s="9" t="str">
        <x:v>Success</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pi0.5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pi0.5 Results</x:v>
      </x:c>
      <x:c r="AM55" s="9" t="n">
        <x:v>55</x:v>
      </x:c>
      <x:c r="AN55" s="9" t="n">
        <x:v>55</x:v>
      </x:c>
    </x:row>
    <x:row r="56">
      <x:c r="A56" s="9" t="str">
        <x:v>Failure</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t="str">
        <x:v>picked the upright white cup</x:v>
      </x:c>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pi0.5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pi0.5 Results</x:v>
      </x:c>
      <x:c r="AM57" s="9" t="n">
        <x:v>57</x:v>
      </x:c>
      <x:c r="AN57" s="9" t="n">
        <x:v>57</x:v>
      </x:c>
    </x:row>
    <x:row r="58">
      <x:c r="A58" s="9" t="str">
        <x:v>Failure</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t="str">
        <x:v>picked the closed cup</x:v>
      </x:c>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pi0.5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pi0.5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pi0.5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pi0.5 Results</x:v>
      </x:c>
      <x:c r="AM61" s="9" t="n">
        <x:v>61</x:v>
      </x:c>
      <x:c r="AN61" s="9" t="n">
        <x:v>61</x:v>
      </x:c>
    </x:row>
    <x:row r="62">
      <x:c r="A62" s="9" t="str">
        <x:v>Failure</x:v>
      </x:c>
      <x:c r="B62" s="9" t="str">
        <x:v>State Recognition</x:v>
      </x:c>
      <x:c r="C62" s="10" t="n">
        <x:v>60</x:v>
      </x:c>
      <x:c r="D62" s="9" t="str">
        <x:v>Place the closed brown cup in the bowl.</x:v>
      </x:c>
      <x:c r="E62" s="9" t="str">
        <x:v>brown cup A (C, RU); brown cup B (O, RU); yellow-white striped cup A (C, RU)</x:v>
      </x:c>
      <x:c r="F62" s="9" t="str">
        <x:v>brown cup A</x:v>
      </x:c>
      <x:c r="G62" s="9" t="str">
        <x:v>picked open brown cup</x:v>
      </x:c>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pi0.5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pi0.5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upside down spice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pi0.5 Results</x:v>
      </x:c>
      <x:c r="AM64" s="9" t="n">
        <x:v>64</x:v>
      </x:c>
      <x:c r="AN64" s="9" t="n">
        <x:v>64</x:v>
      </x:c>
    </x:row>
    <x:row r="65">
      <x:c r="A65" s="9" t="str">
        <x:v>Failure</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t="str">
        <x:v>picked the yellow white striped cup</x:v>
      </x:c>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pi0.5 Results</x:v>
      </x:c>
      <x:c r="AM65" s="9" t="n">
        <x:v>65</x:v>
      </x:c>
      <x:c r="AN65" s="9" t="n">
        <x:v>65</x:v>
      </x:c>
    </x:row>
    <x:row r="66">
      <x:c r="A66" s="9" t="str">
        <x:v>Failure</x:v>
      </x:c>
      <x:c r="B66" s="9" t="str">
        <x:v>State Recognition</x:v>
      </x:c>
      <x:c r="C66" s="10" t="n">
        <x:v>64</x:v>
      </x:c>
      <x:c r="D66" s="9" t="str">
        <x:v>Place the upside-down white cup in the bowl.</x:v>
      </x:c>
      <x:c r="E66" s="9" t="str">
        <x:v>white cup A (O, UD); white cup B (O, RU)</x:v>
      </x:c>
      <x:c r="F66" s="9" t="str">
        <x:v>white cup A</x:v>
      </x:c>
      <x:c r="G66" s="9" t="str">
        <x:v>picked the open white cup</x:v>
      </x:c>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pi0.5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pi0.5 Results</x:v>
      </x:c>
      <x:c r="AM67" s="9" t="n">
        <x:v>67</x:v>
      </x:c>
      <x:c r="AN67" s="9" t="n">
        <x:v>67</x:v>
      </x:c>
    </x:row>
    <x:row r="68">
      <x:c r="A68" s="9" t="str">
        <x:v>Failure</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t="str">
        <x:v>picked the closed striped cup</x:v>
      </x:c>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pi0.5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pi0.5 Results</x:v>
      </x:c>
      <x:c r="AM69" s="9" t="n">
        <x:v>69</x:v>
      </x:c>
      <x:c r="AN69" s="9" t="n">
        <x:v>69</x:v>
      </x:c>
    </x:row>
    <x:row r="70">
      <x:c r="A70" s="9" t="str">
        <x:v>Success</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pi0.5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pi0.5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pi0.5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pi0.5 Results</x:v>
      </x:c>
      <x:c r="AM73" s="9" t="n">
        <x:v>73</x:v>
      </x:c>
      <x:c r="AN73" s="9" t="n">
        <x:v>73</x:v>
      </x:c>
    </x:row>
    <x:row r="74">
      <x:c r="A74" s="9" t="str">
        <x:v>Failure</x:v>
      </x:c>
      <x:c r="B74" s="9" t="str">
        <x:v>State Recognition</x:v>
      </x:c>
      <x:c r="C74" s="10" t="n">
        <x:v>72</x:v>
      </x:c>
      <x:c r="D74" s="9" t="str">
        <x:v>Place the upside-down white cup in the bowl.</x:v>
      </x:c>
      <x:c r="E74" s="9" t="str">
        <x:v>white cup A (C, UD); white cup B (C, RU); brown cup A (C, RU)</x:v>
      </x:c>
      <x:c r="F74" s="9" t="str">
        <x:v>white cup A</x:v>
      </x:c>
      <x:c r="G74" s="9" t="str">
        <x:v>picked the upright white cup</x:v>
      </x:c>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pi0.5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pi0.5 Results</x:v>
      </x:c>
      <x:c r="AM75" s="9" t="n">
        <x:v>75</x:v>
      </x:c>
      <x:c r="AN75" s="9" t="n">
        <x:v>75</x:v>
      </x:c>
    </x:row>
    <x:row r="76">
      <x:c r="A76" s="9" t="str">
        <x:v>Failure</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t="str">
        <x:v>picked the closed striped cup</x:v>
      </x:c>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pi0.5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pi0.5 Results</x:v>
      </x:c>
      <x:c r="AM77" s="9" t="n">
        <x:v>77</x:v>
      </x:c>
      <x:c r="AN77" s="9" t="n">
        <x:v>77</x:v>
      </x:c>
    </x:row>
    <x:row r="78">
      <x:c r="A78" s="9" t="str">
        <x:v>Success</x:v>
      </x:c>
      <x:c r="B78" s="9" t="str">
        <x:v>State Recognition</x:v>
      </x:c>
      <x:c r="C78" s="10" t="n">
        <x:v>76</x:v>
      </x:c>
      <x:c r="D78" s="9" t="str">
        <x:v>Place the closed brown cup in the bowl.</x:v>
      </x:c>
      <x:c r="E78" s="9" t="str">
        <x:v>brown cup A (C, RU); brown cup B (O, RU)</x:v>
      </x:c>
      <x:c r="F78" s="9" t="str">
        <x:v>brown cup A</x:v>
      </x:c>
      <x:c r="G78" s="9"/>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pi0.5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pi0.5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the upside-down glass spice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pi0.5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pi0.5 Results</x:v>
      </x:c>
      <x:c r="AM81" s="9" t="n">
        <x:v>81</x:v>
      </x:c>
      <x:c r="AN81" s="9" t="n">
        <x:v>81</x:v>
      </x:c>
    </x:row>
    <x:row r="82">
      <x:c r="A82" s="9" t="str">
        <x:v>Failure</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t="str">
        <x:v>picked upright white cup</x:v>
      </x:c>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pi0.5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pi0.5 Results</x:v>
      </x:c>
      <x:c r="AM83" s="9" t="n">
        <x:v>83</x:v>
      </x:c>
      <x:c r="AN83" s="9" t="n">
        <x:v>83</x:v>
      </x:c>
    </x:row>
    <x:row r="84">
      <x:c r="A84" s="9" t="str">
        <x:v>Failure</x:v>
      </x:c>
      <x:c r="B84" s="9" t="str">
        <x:v>State Recognition</x:v>
      </x:c>
      <x:c r="C84" s="10" t="n">
        <x:v>82</x:v>
      </x:c>
      <x:c r="D84" s="9" t="str">
        <x:v>Place the closed brown cup in the bowl.</x:v>
      </x:c>
      <x:c r="E84" s="9" t="str">
        <x:v>brown cup A (C, RU); brown cup B (O, RU); yellow-white striped cup A (C, RU)</x:v>
      </x:c>
      <x:c r="F84" s="9" t="str">
        <x:v>brown cup A</x:v>
      </x:c>
      <x:c r="G84" s="9" t="str">
        <x:v>placed the open cup</x:v>
      </x:c>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pi0.5 Results</x:v>
      </x:c>
      <x:c r="AM84" s="9" t="n">
        <x:v>84</x:v>
      </x:c>
      <x:c r="AN84" s="9" t="n">
        <x:v>84</x:v>
      </x:c>
    </x:row>
    <x:row r="85">
      <x:c r="A85" s="9" t="str">
        <x:v>Success</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pi0.5 Results</x:v>
      </x:c>
      <x:c r="AM85" s="9" t="n">
        <x:v>85</x:v>
      </x:c>
      <x:c r="AN85" s="9" t="n">
        <x:v>85</x:v>
      </x:c>
    </x:row>
    <x:row r="86">
      <x:c r="A86" s="9" t="str">
        <x:v>Failure</x:v>
      </x:c>
      <x:c r="B86" s="9" t="str">
        <x:v>State Recognition</x:v>
      </x:c>
      <x:c r="C86" s="10" t="n">
        <x:v>84</x:v>
      </x:c>
      <x:c r="D86" s="9" t="str">
        <x:v>Place the upside-down white cup in the bowl.</x:v>
      </x:c>
      <x:c r="E86" s="9" t="str">
        <x:v>white cup A (C, UD); white cup B (C, RU)</x:v>
      </x:c>
      <x:c r="F86" s="9" t="str">
        <x:v>white cup A</x:v>
      </x:c>
      <x:c r="G86" s="9" t="str">
        <x:v>placed the upright cup in the bowl</x:v>
      </x:c>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pi0.5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pi0.5 Results</x:v>
      </x:c>
      <x:c r="AM87" s="9" t="n">
        <x:v>87</x:v>
      </x:c>
      <x:c r="AN87" s="9" t="n">
        <x:v>87</x:v>
      </x:c>
    </x:row>
    <x:row r="88">
      <x:c r="A88" s="9" t="str">
        <x:v>Success</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squeeze so hard that the lid popped off</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pi0.5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the upside down container</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pi0.5 Results</x:v>
      </x:c>
      <x:c r="AM89" s="9" t="n">
        <x:v>89</x:v>
      </x:c>
      <x:c r="AN89" s="9" t="n">
        <x:v>89</x:v>
      </x:c>
    </x:row>
    <x:row r="90">
      <x:c r="A90" s="9" t="str">
        <x:v>Failure</x:v>
      </x:c>
      <x:c r="B90" s="9" t="str">
        <x:v>State Recognition</x:v>
      </x:c>
      <x:c r="C90" s="10" t="n">
        <x:v>88</x:v>
      </x:c>
      <x:c r="D90" s="9" t="str">
        <x:v>Place the upside-down white cup in the bowl.</x:v>
      </x:c>
      <x:c r="E90" s="9" t="str">
        <x:v>white cup A (O, UD); white cup B (O, RU); brown cup A (C, RU)</x:v>
      </x:c>
      <x:c r="F90" s="9" t="str">
        <x:v>white cup A</x:v>
      </x:c>
      <x:c r="G90" s="9" t="str">
        <x:v>picked the upright white cup</x:v>
      </x:c>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pi0.5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pi0.5 Results</x:v>
      </x:c>
      <x:c r="AM91" s="9" t="n">
        <x:v>91</x:v>
      </x:c>
      <x:c r="AN91" s="9" t="n">
        <x:v>91</x:v>
      </x:c>
    </x:row>
    <x:row r="92">
      <x:c r="A92" s="9" t="str">
        <x:v>Success</x:v>
      </x:c>
      <x:c r="B92" s="9" t="str">
        <x:v>State Recognition</x:v>
      </x:c>
      <x:c r="C92" s="10" t="n">
        <x:v>90</x:v>
      </x:c>
      <x:c r="D92" s="9" t="str">
        <x:v>Place the closed brown cup in the bowl.</x:v>
      </x:c>
      <x:c r="E92" s="9" t="str">
        <x:v>brown cup A (C, RU); brown cup B (O, RU)</x:v>
      </x:c>
      <x:c r="F92" s="9" t="str">
        <x:v>brown cup A</x:v>
      </x:c>
      <x:c r="G92" s="9"/>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pi0.5 Results</x:v>
      </x:c>
      <x:c r="AM92" s="9" t="n">
        <x:v>92</x:v>
      </x:c>
      <x:c r="AN92" s="9" t="n">
        <x:v>92</x:v>
      </x:c>
    </x:row>
    <x:row r="93">
      <x:c r="A93" s="9" t="str">
        <x:v>Failure</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t="str">
        <x:v>went for upside down jar </x:v>
      </x:c>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pi0.5 Results</x:v>
      </x:c>
      <x:c r="AM93" s="9" t="n">
        <x:v>93</x:v>
      </x:c>
      <x:c r="AN93" s="9" t="n">
        <x:v>93</x:v>
      </x:c>
    </x:row>
    <x:row r="94">
      <x:c r="A94" s="9" t="str">
        <x:v>Failure</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t="str">
        <x:v>went for upright white cup</x:v>
      </x:c>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pi0.5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pi0.5 Results</x:v>
      </x:c>
      <x:c r="AM95" s="9" t="n">
        <x:v>95</x:v>
      </x:c>
      <x:c r="AN95" s="9" t="n">
        <x:v>95</x:v>
      </x:c>
    </x:row>
    <x:row r="96">
      <x:c r="A96" s="9" t="str">
        <x:v>Failure</x:v>
      </x:c>
      <x:c r="B96" s="9" t="str">
        <x:v>State Recognition</x:v>
      </x:c>
      <x:c r="C96" s="10" t="n">
        <x:v>94</x:v>
      </x:c>
      <x:c r="D96" s="9" t="str">
        <x:v>Place the closed brown cup in the bowl.</x:v>
      </x:c>
      <x:c r="E96" s="9" t="str">
        <x:v>brown cup A (C, RU); brown cup B (O, RU); yellow-white striped cup A (C, RU)</x:v>
      </x:c>
      <x:c r="F96" s="9" t="str">
        <x:v>brown cup A</x:v>
      </x:c>
      <x:c r="G96" s="9" t="str">
        <x:v>picked upen brown cup</x:v>
      </x:c>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pi0.5 Results</x:v>
      </x:c>
      <x:c r="AM96" s="9" t="n">
        <x:v>96</x:v>
      </x:c>
      <x:c r="AN96" s="9" t="n">
        <x:v>96</x:v>
      </x:c>
    </x:row>
    <x:row r="97">
      <x:c r="A97" s="9" t="str">
        <x:v>Failure</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t="str">
        <x:v>picked upside down jar</x:v>
      </x:c>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pi0.5 Results</x:v>
      </x:c>
      <x:c r="AM97" s="9" t="n">
        <x:v>97</x:v>
      </x:c>
      <x:c r="AN97" s="9" t="n">
        <x:v>97</x:v>
      </x:c>
    </x:row>
    <x:row r="98">
      <x:c r="A98" s="9" t="str">
        <x:v>Failure</x:v>
      </x:c>
      <x:c r="B98" s="9" t="str">
        <x:v>State Recognition</x:v>
      </x:c>
      <x:c r="C98" s="10" t="n">
        <x:v>96</x:v>
      </x:c>
      <x:c r="D98" s="9" t="str">
        <x:v>Place the upside-down white cup in the bowl.</x:v>
      </x:c>
      <x:c r="E98" s="9" t="str">
        <x:v>white cup A (O, UD); white cup B (O, RU)</x:v>
      </x:c>
      <x:c r="F98" s="9" t="str">
        <x:v>white cup A</x:v>
      </x:c>
      <x:c r="G98" s="9" t="str">
        <x:v>picked upright white cup</x:v>
      </x:c>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pi0.5 Results</x:v>
      </x:c>
      <x:c r="AM98" s="9" t="n">
        <x:v>98</x:v>
      </x:c>
      <x:c r="AN98" s="9" t="n">
        <x:v>98</x:v>
      </x:c>
    </x:row>
    <x:row r="99">
      <x:c r="A99" s="9" t="str">
        <x:v>Failure</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t="str">
        <x:v>picked the closed yellow-white striped cup</x:v>
      </x:c>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pi0.5 Results</x:v>
      </x:c>
      <x:c r="AM99" s="9" t="n">
        <x:v>99</x:v>
      </x:c>
      <x:c r="AN99" s="9" t="n">
        <x:v>99</x:v>
      </x:c>
    </x:row>
    <x:row r="100">
      <x:c r="A100" s="9" t="str">
        <x:v>Failure</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t="str">
        <x:v>picked open brown cup</x:v>
      </x:c>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pi0.5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jar</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pi0.5 Results</x:v>
      </x:c>
      <x:c r="AM101" s="9" t="n">
        <x:v>101</x:v>
      </x:c>
      <x:c r="AN101" s="9" t="n">
        <x:v>101</x:v>
      </x:c>
    </x:row>
    <x:row r="102">
      <x:c r="A102" s="9" t="str">
        <x:v>Success</x:v>
      </x:c>
      <x:c r="B102" s="9" t="str">
        <x:v>State Recognition</x:v>
      </x:c>
      <x:c r="C102" s="10" t="n">
        <x:v>100</x:v>
      </x:c>
      <x:c r="D102" s="9" t="str">
        <x:v>Place the upside-down white cup in the bowl.</x:v>
      </x:c>
      <x:c r="E102" s="9" t="str">
        <x:v>white cup A (C, UD); white cup B (C, RU); brown cup A (C, RU)</x:v>
      </x:c>
      <x:c r="F102" s="9" t="str">
        <x:v>white cup A</x:v>
      </x:c>
      <x:c r="G102" s="9" t="str">
        <x:v>placed the upside down cup right in front of the robot</x:v>
      </x:c>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pi0.5 Results</x:v>
      </x:c>
      <x:c r="AM102" s="9" t="n">
        <x:v>102</x:v>
      </x:c>
      <x:c r="AN102" s="9" t="n">
        <x:v>102</x:v>
      </x:c>
    </x:row>
    <x:row r="103">
      <x:c r="A103" s="9" t="str">
        <x:v>Success</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also placed target in front of the robot</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pi0.5 Results</x:v>
      </x:c>
      <x:c r="AM103" s="9" t="n">
        <x:v>103</x:v>
      </x:c>
      <x:c r="AN103" s="9" t="n">
        <x:v>103</x:v>
      </x:c>
    </x:row>
    <x:row r="104">
      <x:c r="A104" s="9" t="str">
        <x:v>Failure</x:v>
      </x:c>
      <x:c r="B104" s="9" t="str">
        <x:v>State Recognition</x:v>
      </x:c>
      <x:c r="C104" s="10" t="n">
        <x:v>102</x:v>
      </x:c>
      <x:c r="D104" s="9" t="str">
        <x:v>Place the closed brown cup in the bowl.</x:v>
      </x:c>
      <x:c r="E104" s="9" t="str">
        <x:v>brown cup A (C, RU); brown cup B (O, RU)</x:v>
      </x:c>
      <x:c r="F104" s="9" t="str">
        <x:v>brown cup A</x:v>
      </x:c>
      <x:c r="G104" s="9" t="str">
        <x:v>picked open brown cup</x:v>
      </x:c>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pi0.5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jar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pi0.5 Results</x:v>
      </x:c>
      <x:c r="AM105" s="9" t="n">
        <x:v>105</x:v>
      </x:c>
      <x:c r="AN105" s="9" t="n">
        <x:v>105</x:v>
      </x:c>
    </x:row>
    <x:row r="106">
      <x:c r="A106" s="9" t="str">
        <x:v>Failure</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t="str">
        <x:v>picked upright whtie cup</x:v>
      </x:c>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pi0.5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pi0.5 Results</x:v>
      </x:c>
      <x:c r="AM107" s="9" t="n">
        <x:v>107</x:v>
      </x:c>
      <x:c r="AN107" s="9" t="n">
        <x:v>107</x:v>
      </x:c>
    </x:row>
    <x:row r="108">
      <x:c r="A108" s="9" t="str">
        <x:v>Failure</x:v>
      </x:c>
      <x:c r="B108" s="9" t="str">
        <x:v>State Recognition</x:v>
      </x:c>
      <x:c r="C108" s="10" t="n">
        <x:v>106</x:v>
      </x:c>
      <x:c r="D108" s="9" t="str">
        <x:v>Place the closed brown cup in the bowl.</x:v>
      </x:c>
      <x:c r="E108" s="9" t="str">
        <x:v>brown cup A (C, RU); brown cup B (O, RU); yellow-white striped cup A (C, RU)</x:v>
      </x:c>
      <x:c r="F108" s="9" t="str">
        <x:v>brown cup A</x:v>
      </x:c>
      <x:c r="G108" s="9" t="str">
        <x:v>placed the open brown cup</x:v>
      </x:c>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pi0.5 Results</x:v>
      </x:c>
      <x:c r="AM108" s="9" t="n">
        <x:v>108</x:v>
      </x:c>
      <x:c r="AN108" s="9" t="n">
        <x:v>108</x:v>
      </x:c>
    </x:row>
    <x:row r="109">
      <x:c r="A109" s="9" t="str">
        <x:v>Failure</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picked the upside down glass jar</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pi0.5 Results</x:v>
      </x:c>
      <x:c r="AM109" s="9" t="n">
        <x:v>109</x:v>
      </x:c>
      <x:c r="AN109" s="9" t="n">
        <x:v>109</x:v>
      </x:c>
    </x:row>
    <x:row r="110">
      <x:c r="A110" s="9" t="str">
        <x:v>Failure</x:v>
      </x:c>
      <x:c r="B110" s="9" t="str">
        <x:v>State Recognition</x:v>
      </x:c>
      <x:c r="C110" s="10" t="n">
        <x:v>108</x:v>
      </x:c>
      <x:c r="D110" s="9" t="str">
        <x:v>Place the upside-down white cup in the bowl.</x:v>
      </x:c>
      <x:c r="E110" s="9" t="str">
        <x:v>white cup A (C, UD); white cup B (C, RU)</x:v>
      </x:c>
      <x:c r="F110" s="9" t="str">
        <x:v>white cup A</x:v>
      </x:c>
      <x:c r="G110" s="9" t="str">
        <x:v>picked upright cup</x:v>
      </x:c>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pi0.5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pi0.5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pi0.5 Results</x:v>
      </x:c>
      <x:c r="AM112" s="9" t="n">
        <x:v>112</x:v>
      </x:c>
      <x:c r="AN112" s="9" t="n">
        <x:v>112</x:v>
      </x:c>
    </x:row>
    <x:row r="113">
      <x:c r="A113" s="9" t="str">
        <x:v>Success</x:v>
      </x:c>
      <x:c r="B113" s="9" t="str">
        <x:v>State Recognition</x:v>
      </x:c>
      <x:c r="C113" s="10" t="n">
        <x:v>111</x:v>
      </x:c>
      <x:c r="D113" s="9" t="str">
        <x:v>Place the open black cup in the bowl.</x:v>
      </x:c>
      <x:c r="E113" s="9" t="str">
        <x:v>black cup A (C, RU); black cup B (O, RU)</x:v>
      </x:c>
      <x:c r="F113" s="9" t="str">
        <x:v>black cup B</x:v>
      </x:c>
      <x:c r="G113" s="9"/>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pi0.5 Results</x:v>
      </x:c>
      <x:c r="AM113" s="9" t="n">
        <x:v>113</x:v>
      </x:c>
      <x:c r="AN113" s="9" t="n">
        <x:v>113</x:v>
      </x:c>
    </x:row>
    <x:row r="114">
      <x:c r="A114" s="9" t="str">
        <x:v>Failure</x:v>
      </x:c>
      <x:c r="B114" s="9" t="str">
        <x:v>State Recognition</x:v>
      </x:c>
      <x:c r="C114" s="10" t="n">
        <x:v>112</x:v>
      </x:c>
      <x:c r="D114" s="9" t="str">
        <x:v>Place the upside-down black cup in the bowl.</x:v>
      </x:c>
      <x:c r="E114" s="9" t="str">
        <x:v>black cup A (C, UD); black cup B (C, RU); yellow-white striped cup B (O, UD)</x:v>
      </x:c>
      <x:c r="F114" s="9" t="str">
        <x:v>black cup A</x:v>
      </x:c>
      <x:c r="G114" s="9" t="str">
        <x:v>picked the upright cup</x:v>
      </x:c>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pi0.5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pi0.5 Results</x:v>
      </x:c>
      <x:c r="AM115" s="9" t="n">
        <x:v>115</x:v>
      </x:c>
      <x:c r="AN115" s="9" t="n">
        <x:v>115</x:v>
      </x:c>
    </x:row>
    <x:row r="116">
      <x:c r="A116" s="9" t="str">
        <x:v>Failure</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t="str">
        <x:v>picked open black cup</x:v>
      </x:c>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pi0.5 Results</x:v>
      </x:c>
      <x:c r="AM116" s="9" t="n">
        <x:v>116</x:v>
      </x:c>
      <x:c r="AN116" s="9" t="n">
        <x:v>116</x:v>
      </x:c>
    </x:row>
    <x:row r="117">
      <x:c r="A117" s="9" t="str">
        <x:v>Success</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pi0.5 Results</x:v>
      </x:c>
      <x:c r="AM117" s="9" t="n">
        <x:v>117</x:v>
      </x:c>
      <x:c r="AN117" s="9" t="n">
        <x:v>117</x:v>
      </x:c>
    </x:row>
    <x:row r="118">
      <x:c r="A118" s="9" t="str">
        <x:v>Success</x:v>
      </x:c>
      <x:c r="B118" s="9" t="str">
        <x:v>State Recognition</x:v>
      </x:c>
      <x:c r="C118" s="10" t="n">
        <x:v>116</x:v>
      </x:c>
      <x:c r="D118" s="9" t="str">
        <x:v>Place the upside-down black cup in the bowl.</x:v>
      </x:c>
      <x:c r="E118" s="9" t="str">
        <x:v>black cup A (O, RU); black cup B (O, UD)</x:v>
      </x:c>
      <x:c r="F118" s="9" t="str">
        <x:v>black cup B</x:v>
      </x:c>
      <x:c r="G118" s="9"/>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pi0.5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pi0.5 Results</x:v>
      </x:c>
      <x:c r="AM119" s="9" t="n">
        <x:v>119</x:v>
      </x:c>
      <x:c r="AN119" s="9" t="n">
        <x:v>119</x:v>
      </x:c>
    </x:row>
    <x:row r="120">
      <x:c r="A120" s="9" t="str">
        <x:v>Success</x:v>
      </x:c>
      <x:c r="B120" s="9" t="str">
        <x:v>State Recognition</x:v>
      </x:c>
      <x:c r="C120" s="10" t="n">
        <x:v>118</x:v>
      </x:c>
      <x:c r="D120" s="9" t="str">
        <x:v>Place the closed black cup in the bowl.</x:v>
      </x:c>
      <x:c r="E120" s="9" t="str">
        <x:v>black cup A (C, RU); black cup B (O, RU); white cup A (C, RU)</x:v>
      </x:c>
      <x:c r="F120" s="9" t="str">
        <x:v>black cup A</x:v>
      </x:c>
      <x:c r="G120" s="9"/>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pi0.5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the two black cups were placed next to each other, the robot went in the middle initially, then went for the closed black cup. Knocked it out of range and did not recover</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pi0.5 Results</x:v>
      </x:c>
      <x:c r="AM121" s="9" t="n">
        <x:v>121</x:v>
      </x:c>
      <x:c r="AN121" s="9" t="n">
        <x:v>121</x:v>
      </x:c>
    </x:row>
    <x:row r="122">
      <x:c r="A122" s="9" t="str">
        <x:v>Success</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pi0.5 Results</x:v>
      </x:c>
      <x:c r="AM122" s="9" t="n">
        <x:v>122</x:v>
      </x:c>
      <x:c r="AN122" s="9" t="n">
        <x:v>122</x:v>
      </x:c>
    </x:row>
    <x:row r="123">
      <x:c r="A123" s="9" t="str">
        <x:v>Failure</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t="str">
        <x:v>went for the upside down cup</x:v>
      </x:c>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pi0.5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pi0.5 Results</x:v>
      </x:c>
      <x:c r="AM124" s="9" t="n">
        <x:v>124</x:v>
      </x:c>
      <x:c r="AN124" s="9" t="n">
        <x:v>124</x:v>
      </x:c>
    </x:row>
    <x:row r="125">
      <x:c r="A125" s="9" t="str">
        <x:v>Failure</x:v>
      </x:c>
      <x:c r="B125" s="9" t="str">
        <x:v>State Recognition</x:v>
      </x:c>
      <x:c r="C125" s="10" t="n">
        <x:v>123</x:v>
      </x:c>
      <x:c r="D125" s="9" t="str">
        <x:v>Place the open black cup in the bowl.</x:v>
      </x:c>
      <x:c r="E125" s="9" t="str">
        <x:v>black cup A (O, RU); black cup B (C, RU)</x:v>
      </x:c>
      <x:c r="F125" s="9" t="str">
        <x:v>black cup A</x:v>
      </x:c>
      <x:c r="G125" s="9" t="str">
        <x:v>went for closed black cup</x:v>
      </x:c>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pi0.5 Results</x:v>
      </x:c>
      <x:c r="AM125" s="9" t="n">
        <x:v>125</x:v>
      </x:c>
      <x:c r="AN125" s="9" t="n">
        <x:v>125</x:v>
      </x:c>
    </x:row>
    <x:row r="126">
      <x:c r="A126" s="9" t="str">
        <x:v>Success</x:v>
      </x:c>
      <x:c r="B126" s="9" t="str">
        <x:v>State Recognition</x:v>
      </x:c>
      <x:c r="C126" s="10" t="n">
        <x:v>124</x:v>
      </x:c>
      <x:c r="D126" s="9" t="str">
        <x:v>Place the upside-down black cup in the bowl.</x:v>
      </x:c>
      <x:c r="E126" s="9" t="str">
        <x:v>black cup A (O, RU); black cup B (O, UD); glass spice container B (O, UD)</x:v>
      </x:c>
      <x:c r="F126" s="9" t="str">
        <x:v>black cup B</x:v>
      </x:c>
      <x:c r="G126" s="9" t="str">
        <x:v>both black cups placed equidistant from robot</x:v>
      </x:c>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pi0.5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t="str">
        <x:v>both black cups placed equidistant from robot</x:v>
      </x:c>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pi0.5 Results</x:v>
      </x:c>
      <x:c r="AM127" s="9" t="n">
        <x:v>127</x:v>
      </x:c>
      <x:c r="AN127" s="9" t="n">
        <x:v>127</x:v>
      </x:c>
    </x:row>
    <x:row r="128">
      <x:c r="A128" s="9" t="str">
        <x:v>Success</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pi0.5 Results</x:v>
      </x:c>
      <x:c r="AM128" s="9" t="n">
        <x:v>128</x:v>
      </x:c>
      <x:c r="AN128" s="9" t="n">
        <x:v>128</x:v>
      </x:c>
    </x:row>
    <x:row r="129">
      <x:c r="A129" s="9" t="str">
        <x:v>Success</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pi0.5 Results</x:v>
      </x:c>
      <x:c r="AM129" s="9" t="n">
        <x:v>129</x:v>
      </x:c>
      <x:c r="AN129" s="9" t="n">
        <x:v>129</x:v>
      </x:c>
    </x:row>
    <x:row r="130">
      <x:c r="A130" s="9" t="str">
        <x:v>Success</x:v>
      </x:c>
      <x:c r="B130" s="9" t="str">
        <x:v>State Recognition</x:v>
      </x:c>
      <x:c r="C130" s="10" t="n">
        <x:v>128</x:v>
      </x:c>
      <x:c r="D130" s="9" t="str">
        <x:v>Place the upside-down black cup in the bowl.</x:v>
      </x:c>
      <x:c r="E130" s="9" t="str">
        <x:v>black cup A (C, UD); black cup B (C, RU); yellow-white striped cup B (O, UD)</x:v>
      </x:c>
      <x:c r="F130" s="9" t="str">
        <x:v>black cup A</x:v>
      </x:c>
      <x:c r="G130" s="9"/>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pi0.5 Results</x:v>
      </x:c>
      <x:c r="AM130" s="9" t="n">
        <x:v>130</x:v>
      </x:c>
      <x:c r="AN130" s="9" t="n">
        <x:v>130</x:v>
      </x:c>
    </x:row>
    <x:row r="131">
      <x:c r="A131" s="9" t="str">
        <x:v>Failure</x:v>
      </x:c>
      <x:c r="B131" s="9" t="str">
        <x:v>State Recognition</x:v>
      </x:c>
      <x:c r="C131" s="10" t="n">
        <x:v>129</x:v>
      </x:c>
      <x:c r="D131" s="9" t="str">
        <x:v>Place the upright black cup in the bowl.</x:v>
      </x:c>
      <x:c r="E131" s="9" t="str">
        <x:v>black cup A (C, UD); black cup B (C, RU); yellow-white striped cup B (O, UD)</x:v>
      </x:c>
      <x:c r="F131" s="9" t="str">
        <x:v>black cup B</x:v>
      </x:c>
      <x:c r="G131" s="9" t="str">
        <x:v>picked upside down black cup</x:v>
      </x:c>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pi0.5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the white cup closest to the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pi0.5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placed the yellow white striped cup futhest from the bowl in the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pi0.5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brown cup closest to the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pi0.5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glass spice containers place equidistant from robot. picked the one closer to the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pi0.5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picked the white cup further from the robot</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pi0.5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striped cup closest to the bowl</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pi0.5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brown cup closest to the robot</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pi0.5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the container further from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pi0.5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went for white cup closest to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pi0.5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went for striped cup further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pi0.5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went for brown cup closer to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pi0.5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put arm in the middle of the two spice containers since they were placed adjacently. knocked the target out of distributition. Also knocked the brown cup on the floor.</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pi0.5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white cup closest to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pi0.5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striped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pi0.5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pi0.5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one furthest from the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pi0.5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white cup furthest from bowl</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pi0.5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striped cup closest to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pi0.5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placed the two brown cups adjacent to each other. robot went into the middle like it couldn't decide. pushed the one on the right pretty far back, but still got it. Dropped it and couldn't recover</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pi0.5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jar closest to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pi0.5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the blue pen</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pi0.5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didn't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pi0.5 Results</x:v>
      </x:c>
      <x:c r="AM153" s="9" t="n">
        <x:v>3</x:v>
      </x:c>
      <x:c r="AN153" s="9" t="n">
        <x:v>3</x:v>
      </x:c>
    </x:row>
    <x:row r="154">
      <x:c r="A154" s="9" t="str">
        <x:v>Success</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tried to pick out yellow block, missed, then went back and got the green pencil sharpener</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pi0.5 Results</x:v>
      </x:c>
      <x:c r="AM154" s="9" t="n">
        <x:v>4</x:v>
      </x:c>
      <x:c r="AN154" s="9" t="n">
        <x:v>4</x:v>
      </x:c>
    </x:row>
    <x:row r="155">
      <x:c r="A155" s="9" t="str">
        <x:v>Success</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pi0.5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t="str">
        <x:v>picked the yellow block</x:v>
      </x:c>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pi0.5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didn't move</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pi0.5 Results</x:v>
      </x:c>
      <x:c r="AM157" s="9" t="n">
        <x:v>7</x:v>
      </x:c>
      <x:c r="AN157" s="9" t="n">
        <x:v>7</x:v>
      </x:c>
    </x:row>
    <x:row r="158">
      <x:c r="A158" s="9" t="str">
        <x:v>Failure</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t="str">
        <x:v>went to bowl and was trying to remove yellow block, but couldn't</x:v>
      </x:c>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pi0.5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pi0.5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t="str">
        <x:v>picked green pencil sharpener</x:v>
      </x:c>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pi0.5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didn't move</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pi0.5 Results</x:v>
      </x:c>
      <x:c r="AM161" s="9" t="n">
        <x:v>11</x:v>
      </x:c>
      <x:c r="AN161" s="9" t="n">
        <x:v>11</x:v>
      </x:c>
    </x:row>
    <x:row r="162">
      <x:c r="A162" s="9" t="str">
        <x:v>Success</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picked blue pen</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pi0.5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pi0.5 Results</x:v>
      </x:c>
      <x:c r="AM163" s="9" t="n">
        <x:v>13</x:v>
      </x:c>
      <x:c r="AN163" s="9" t="n">
        <x:v>13</x:v>
      </x:c>
    </x:row>
    <x:row r="164">
      <x:c r="A164" s="9" t="str">
        <x:v>Failure</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t="str">
        <x:v>tried grabbing the airplane toy but couldn't</x:v>
      </x:c>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pi0.5 Results</x:v>
      </x:c>
      <x:c r="AM164" s="9" t="n">
        <x:v>14</x:v>
      </x:c>
      <x:c r="AN164" s="9" t="n">
        <x:v>14</x:v>
      </x:c>
    </x:row>
    <x:row r="165">
      <x:c r="A165" s="9" t="str">
        <x:v>Failure</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t="str">
        <x:v>didn't move</x:v>
      </x:c>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pi0.5 Results</x:v>
      </x:c>
      <x:c r="AM165" s="9" t="n">
        <x:v>15</x:v>
      </x:c>
      <x:c r="AN165" s="9" t="n">
        <x:v>15</x:v>
      </x:c>
    </x:row>
    <x:row r="166">
      <x:c r="A166" s="9" t="str">
        <x:v>Success</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t="str">
        <x:v>picked out blue pen</x:v>
      </x:c>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pi0.5 Results</x:v>
      </x:c>
      <x:c r="AM166" s="9" t="n">
        <x:v>16</x:v>
      </x:c>
      <x:c r="AN166" s="9" t="n">
        <x:v>16</x:v>
      </x:c>
    </x:row>
    <x:row r="167">
      <x:c r="A167" s="9" t="str">
        <x:v>Failure</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t="str">
        <x:v>didn't move</x:v>
      </x:c>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pi0.5 Results</x:v>
      </x:c>
      <x:c r="AM167" s="9" t="n">
        <x:v>17</x:v>
      </x:c>
      <x:c r="AN167" s="9" t="n">
        <x:v>17</x:v>
      </x:c>
    </x:row>
    <x:row r="168">
      <x:c r="A168" s="9" t="str">
        <x:v>Failure</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t="str">
        <x:v>didn't move</x:v>
      </x:c>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pi0.5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didn't move</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pi0.5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t="str">
        <x:v>picked blue pen</x:v>
      </x:c>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pi0.5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pi0.5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pi0.5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pi0.5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pi0.5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didn't move</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pi0.5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pi0.5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pi0.5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pi0.5 Results</x:v>
      </x:c>
      <x:c r="AM178" s="9" t="n">
        <x:v>28</x:v>
      </x:c>
      <x:c r="AN178" s="9" t="n">
        <x:v>28</x:v>
      </x:c>
    </x:row>
    <x:row r="179">
      <x:c r="A179" s="9" t="str">
        <x:v>Failure</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went to bowl, but couldn't successfully remove the blue pen</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pi0.5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didn't move</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pi0.5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went to bowl at end of episode, ran out of time before could grab anything</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pi0.5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pi0.5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pi0.5 Results</x:v>
      </x:c>
      <x:c r="AM183" s="9" t="n">
        <x:v>33</x:v>
      </x:c>
      <x:c r="AN183" s="9" t="n">
        <x:v>33</x:v>
      </x:c>
    </x:row>
    <x:row r="184">
      <x:c r="A184" s="9" t="str">
        <x:v>Failure</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t="str">
        <x:v>went for the green pencil sharpener at the end of the episode. Didn't have time to put it in the bowl.</x:v>
      </x:c>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pi0.5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pi0.5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pi0.5 Results</x:v>
      </x:c>
      <x:c r="AM186" s="9" t="n">
        <x:v>36</x:v>
      </x:c>
      <x:c r="AN186" s="9" t="n">
        <x:v>36</x:v>
      </x:c>
    </x:row>
    <x:row r="187">
      <x:c r="A187" s="9" t="str">
        <x:v>Failure</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t="str">
        <x:v>didn't move</x:v>
      </x:c>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pi0.5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pi0.5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pi0.5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pi0.5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pi0.5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pi0.5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pi0.5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pi0.5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pi0.5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went to bowl, but didn't take anything; went back home</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pi0.5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went to bowl and tried to grab something, but couldn't</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pi0.5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t="str">
        <x:v>didn't move</x:v>
      </x:c>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pi0.5 Results</x:v>
      </x:c>
      <x:c r="AM198" s="9" t="n">
        <x:v>48</x:v>
      </x:c>
      <x:c r="AN198" s="9" t="n">
        <x:v>48</x:v>
      </x:c>
    </x:row>
    <x:row r="199">
      <x:c r="A199" s="9" t="str">
        <x:v>Failure</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t="str">
        <x:v>didn't move</x:v>
      </x:c>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pi0.5 Results</x:v>
      </x:c>
      <x:c r="AM199" s="9" t="n">
        <x:v>49</x:v>
      </x:c>
      <x:c r="AN199" s="9" t="n">
        <x:v>49</x:v>
      </x:c>
    </x:row>
    <x:row r="200">
      <x:c r="A200" s="9" t="str">
        <x:v>Failure</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t="str">
        <x:v>moved to the bowl at the end of the rollout, but didn't have enough time to pick it up. strange that is paused for so lond before movement.</x:v>
      </x:c>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pi0.5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t="str">
        <x:v>didn't move</x:v>
      </x:c>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pi0.5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t="str">
        <x:v>didn't move</x:v>
      </x:c>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pi0.5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t="str">
        <x:v>didn't move</x:v>
      </x:c>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pi0.5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t="str">
        <x:v>didn't move</x:v>
      </x:c>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pi0.5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t="str">
        <x:v>didn't move</x:v>
      </x:c>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pi0.5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pi0.5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pi0.5 Results</x:v>
      </x:c>
      <x:c r="AM207" s="9" t="n">
        <x:v>57</x:v>
      </x:c>
      <x:c r="AN207" s="9" t="n">
        <x:v>57</x:v>
      </x:c>
    </x:row>
    <x:row r="208">
      <x:c r="A208" s="9" t="str">
        <x:v>Failure</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t="str">
        <x:v>didn't move</x:v>
      </x:c>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pi0.5 Results</x:v>
      </x:c>
      <x:c r="AM208" s="9" t="n">
        <x:v>58</x:v>
      </x:c>
      <x:c r="AN208" s="9" t="n">
        <x:v>58</x:v>
      </x:c>
    </x:row>
    <x:row r="209">
      <x:c r="A209" s="9" t="str">
        <x:v>Success</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pi0.5 Results</x:v>
      </x:c>
      <x:c r="AM209" s="9" t="n">
        <x:v>59</x:v>
      </x:c>
      <x:c r="AN209" s="9" t="n">
        <x:v>59</x:v>
      </x:c>
    </x:row>
    <x:row r="210">
      <x:c r="A210" s="9" t="str">
        <x:v>Success</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pi0.5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pi0.5 Results</x:v>
      </x:c>
      <x:c r="AM211" s="9" t="n">
        <x:v>61</x:v>
      </x:c>
      <x:c r="AN211" s="9" t="n">
        <x:v>61</x:v>
      </x:c>
    </x:row>
    <x:row r="212">
      <x:c r="A212" s="9" t="str">
        <x:v>Failure</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t="str">
        <x:v>didn't move</x:v>
      </x:c>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pi0.5 Results</x:v>
      </x:c>
      <x:c r="AM212" s="9" t="n">
        <x:v>62</x:v>
      </x:c>
      <x:c r="AN212" s="9" t="n">
        <x:v>62</x:v>
      </x:c>
    </x:row>
    <x:row r="213">
      <x:c r="A213" s="9" t="str">
        <x:v>Success</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pi0.5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pi0.5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pi0.5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pi0.5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pi0.5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pi0.5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pi0.5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pi0.5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looked like it was trying to grasp the yellow block but couldn't and ended up picking blue pen.</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pi0.5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t="str">
        <x:v>didn't go to home position fully, but basically did</x:v>
      </x:c>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pi0.5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pi0.5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pi0.5 Results</x:v>
      </x:c>
      <x:c r="AM224" s="9" t="n">
        <x:v>74</x:v>
      </x:c>
      <x:c r="AN224" s="9" t="n">
        <x:v>74</x:v>
      </x:c>
    </x:row>
    <x:row r="225">
      <x:c r="A225" s="9" t="str">
        <x:v>Failure</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t="str">
        <x:v>didn't move</x:v>
      </x:c>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pi0.5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went to the bowl, but couldn't pick anything up</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pi0.5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pi0.5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didn't move</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pi0.5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pi0.5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pi0.5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pi0.5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didn't move</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pi0.5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pi0.5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pi0.5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pi0.5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pi0.5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pi0.5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pi0.5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pi0.5 Results</x:v>
      </x:c>
      <x:c r="AM239" s="9" t="n">
        <x:v>89</x:v>
      </x:c>
      <x:c r="AN239" s="9" t="n">
        <x:v>89</x:v>
      </x:c>
    </x:row>
    <x:row r="240">
      <x:c r="A240" s="9" t="str">
        <x:v>Success</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pi0.5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pi0.5 Results</x:v>
      </x:c>
      <x:c r="AM241" s="9" t="n">
        <x:v>91</x:v>
      </x:c>
      <x:c r="AN241" s="9" t="n">
        <x:v>91</x:v>
      </x:c>
    </x:row>
    <x:row r="242">
      <x:c r="A242" s="9" t="str">
        <x:v>Success</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pi0.5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didn't move</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pi0.5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pi0.5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pi0.5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pi0.5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pi0.5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pi0.5 Results</x:v>
      </x:c>
      <x:c r="AM248" s="9" t="n">
        <x:v>98</x:v>
      </x:c>
      <x:c r="AN248" s="9" t="n">
        <x:v>98</x:v>
      </x:c>
    </x:row>
    <x:row r="249">
      <x:c r="A249" s="9" t="str">
        <x:v>Failure</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t="str">
        <x:v>didn't move</x:v>
      </x:c>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pi0.5 Results</x:v>
      </x:c>
      <x:c r="AM249" s="9" t="n">
        <x:v>99</x:v>
      </x:c>
      <x:c r="AN249" s="9" t="n">
        <x:v>99</x:v>
      </x:c>
    </x:row>
    <x:row r="250">
      <x:c r="A250" s="9" t="str">
        <x:v>Success</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pi0.5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pi0.5 Results</x:v>
      </x:c>
      <x:c r="AM251" s="9" t="n">
        <x:v>101</x:v>
      </x:c>
      <x:c r="AN251" s="9" t="n">
        <x:v>101</x:v>
      </x:c>
    </x:row>
    <x:row r="252">
      <x:c r="A252" s="9" t="str">
        <x:v>Success</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picked both the yellow block and green pencil sharpener simultaneously, but it did technically get the yellow block</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pi0.5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pi0.5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pi0.5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pi0.5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pi0.5 Results</x:v>
      </x:c>
      <x:c r="AM256" s="9" t="n">
        <x:v>106</x:v>
      </x:c>
      <x:c r="AN256" s="9" t="n">
        <x:v>106</x:v>
      </x:c>
    </x:row>
    <x:row r="257">
      <x:c r="A257" s="9" t="str">
        <x:v>Failure</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t="str">
        <x:v>removed the blue pen</x:v>
      </x:c>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pi0.5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pi0.5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pi0.5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pi0.5 Results</x:v>
      </x:c>
      <x:c r="AM260" s="9" t="n">
        <x:v>110</x:v>
      </x:c>
      <x:c r="AN260" s="9" t="n">
        <x:v>110</x:v>
      </x:c>
    </x:row>
    <x:row r="261">
      <x:c r="A261" s="9" t="str">
        <x:v>Success</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pi0.5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pi0.5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pi0.5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pi0.5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pi0.5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pi0.5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pi0.5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pi0.5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pi0.5 Results</x:v>
      </x:c>
      <x:c r="AM269" s="9" t="n">
        <x:v>119</x:v>
      </x:c>
      <x:c r="AN269" s="9" t="n">
        <x:v>119</x:v>
      </x:c>
    </x:row>
    <x:row r="270">
      <x:c r="A270" s="9" t="str">
        <x:v>Failure</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t="str">
        <x:v>went for block at the very end of the episode, but didn;t have time to take it out of the bowl</x:v>
      </x:c>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pi0.5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pi0.5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pi0.5 Results</x:v>
      </x:c>
      <x:c r="AM272" s="9" t="n">
        <x:v>122</x:v>
      </x:c>
      <x:c r="AN272" s="9" t="n">
        <x:v>122</x:v>
      </x:c>
    </x:row>
    <x:row r="273">
      <x:c r="A273" s="9" t="str">
        <x:v>Success</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pi0.5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pi0.5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pi0.5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pi0.5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didn't move</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pi0.5 Results</x:v>
      </x:c>
      <x:c r="AM277" s="9" t="n">
        <x:v>127</x:v>
      </x:c>
      <x:c r="AN277" s="9" t="n">
        <x:v>127</x:v>
      </x:c>
    </x:row>
    <x:row r="278">
      <x:c r="A278" s="9" t="str">
        <x:v>Failure</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t="str">
        <x:v>didn't move</x:v>
      </x:c>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pi0.5 Results</x:v>
      </x:c>
      <x:c r="AM278" s="9" t="n">
        <x:v>128</x:v>
      </x:c>
      <x:c r="AN278" s="9" t="n">
        <x:v>128</x:v>
      </x:c>
    </x:row>
    <x:row r="279">
      <x:c r="A279" s="9" t="str">
        <x:v>Failure</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t="str">
        <x:v>didn't move</x:v>
      </x:c>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pi0.5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pi0.5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pi0.5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pi0.5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pi0.5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t="str">
        <x:v>didn't move</x:v>
      </x:c>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pi0.5 Results</x:v>
      </x:c>
      <x:c r="AM284" s="9" t="n">
        <x:v>134</x:v>
      </x:c>
      <x:c r="AN284" s="9" t="n">
        <x:v>134</x:v>
      </x:c>
    </x:row>
    <x:row r="285">
      <x:c r="A285" s="9" t="str">
        <x:v>Failure</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t="str">
        <x:v>didn't move</x:v>
      </x:c>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pi0.5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t="str">
        <x:v>didn't move</x:v>
      </x:c>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pi0.5 Results</x:v>
      </x:c>
      <x:c r="AM286" s="9" t="n">
        <x:v>136</x:v>
      </x:c>
      <x:c r="AN286" s="9" t="n">
        <x:v>136</x:v>
      </x:c>
    </x:row>
    <x:row r="287">
      <x:c r="A287" s="9" t="str">
        <x:v>Failure</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t="str">
        <x:v>didn't move</x:v>
      </x:c>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pi0.5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didn't move</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pi0.5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pi0.5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didn't move</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pi0.5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t="str">
        <x:v>didn't move</x:v>
      </x:c>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pi0.5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pi0.5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pi0.5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removed the blue pen</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pi0.5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pi0.5 Results</x:v>
      </x:c>
      <x:c r="AM295" s="9" t="n">
        <x:v>145</x:v>
      </x:c>
      <x:c r="AN295" s="9" t="n">
        <x:v>145</x:v>
      </x:c>
    </x:row>
    <x:row r="296">
      <x:c r="A296" s="9" t="str">
        <x:v>Success</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pi0.5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pi0.5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pi0.5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t="str">
        <x:v>didn't move</x:v>
      </x:c>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pi0.5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pi0.5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t="str">
        <x:v>didn't move</x:v>
      </x:c>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pi0.5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picked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pi0.5 Results</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pi0.5 Results</x:v>
      </x:c>
      <x:c r="AM303" s="9" t="n">
        <x:v>3</x:v>
      </x:c>
      <x:c r="AN303" s="9" t="n">
        <x:v>3</x:v>
      </x:c>
    </x:row>
    <x:row r="304">
      <x:c r="A304" s="9" t="str">
        <x:v>Failure</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t="str">
        <x:v>went for green highlighter, so reasoning succeeded, but couldn't grasp it. stuck trying to grab it but couldn't</x:v>
      </x:c>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pi0.5 Results</x:v>
      </x:c>
      <x:c r="AM304" s="9" t="n">
        <x:v>4</x:v>
      </x:c>
      <x:c r="AN304" s="9" t="n">
        <x:v>4</x:v>
      </x:c>
    </x:row>
    <x:row r="305">
      <x:c r="A305" s="9" t="str">
        <x:v>Failure</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picked airplane toy</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pi0.5 Results</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yellow pen</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pi0.5 Results</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pi0.5 Results</x:v>
      </x:c>
      <x:c r="AM307" s="9" t="n">
        <x:v>7</x:v>
      </x:c>
      <x:c r="AN307" s="9" t="n">
        <x:v>7</x:v>
      </x:c>
    </x:row>
    <x:row r="308">
      <x:c r="A308" s="9" t="str">
        <x:v>Success</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pi0.5 Results</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pi0.5 Results</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picked green highlighter</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pi0.5 Results</x:v>
      </x:c>
      <x:c r="AM310" s="9" t="n">
        <x:v>10</x:v>
      </x:c>
      <x:c r="AN310" s="9" t="n">
        <x:v>10</x:v>
      </x:c>
    </x:row>
    <x:row r="311">
      <x:c r="A311" s="9" t="str">
        <x:v>Failure</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t="str">
        <x:v>picked yellow pen</x:v>
      </x:c>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pi0.5 Results</x:v>
      </x:c>
      <x:c r="AM311" s="9" t="n">
        <x:v>11</x:v>
      </x:c>
      <x:c r="AN311" s="9" t="n">
        <x:v>11</x:v>
      </x:c>
    </x:row>
    <x:row r="312">
      <x:c r="A312" s="9" t="str">
        <x:v>Failure</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t="str">
        <x:v>picked airplane toy</x:v>
      </x:c>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pi0.5 Results</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tried to pick yellow pen, but couldn't, and then ended up picked up the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pi0.5 Results</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picked green highlighter</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pi0.5 Results</x:v>
      </x:c>
      <x:c r="AM314" s="9" t="n">
        <x:v>14</x:v>
      </x:c>
      <x:c r="AN314" s="9" t="n">
        <x:v>14</x:v>
      </x:c>
    </x:row>
    <x:row r="315">
      <x:c r="A315" s="9" t="str">
        <x:v>Failure</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t="str">
        <x:v>picked the yellow pen</x:v>
      </x:c>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pi0.5 Results</x:v>
      </x:c>
      <x:c r="AM315" s="9" t="n">
        <x:v>15</x:v>
      </x:c>
      <x:c r="AN315" s="9" t="n">
        <x:v>15</x:v>
      </x:c>
    </x:row>
    <x:row r="316">
      <x:c r="A316" s="9" t="str">
        <x:v>Failure</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t="str">
        <x:v>picked the yellow pen</x:v>
      </x:c>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pi0.5 Results</x:v>
      </x:c>
      <x:c r="AM316" s="9" t="n">
        <x:v>16</x:v>
      </x:c>
      <x:c r="AN316" s="9" t="n">
        <x:v>16</x:v>
      </x:c>
    </x:row>
    <x:row r="317">
      <x:c r="A317" s="9" t="str">
        <x:v>Success</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pi0.5 Results</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the airplane toy</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pi0.5 Results</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pi0.5 Results</x:v>
      </x:c>
      <x:c r="AM319" s="9" t="n">
        <x:v>19</x:v>
      </x:c>
      <x:c r="AN319" s="9" t="n">
        <x:v>19</x:v>
      </x:c>
    </x:row>
    <x:row r="320">
      <x:c r="A320" s="9" t="str">
        <x:v>Success</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pi0.5 Results</x:v>
      </x:c>
      <x:c r="AM320" s="9" t="n">
        <x:v>20</x:v>
      </x:c>
      <x:c r="AN320" s="9" t="n">
        <x:v>20</x:v>
      </x:c>
    </x:row>
    <x:row r="321">
      <x:c r="A321" s="9" t="str">
        <x:v>Failure</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t="str">
        <x:v>picked green highlighter</x:v>
      </x:c>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pi0.5 Results</x:v>
      </x:c>
      <x:c r="AM321" s="9" t="n">
        <x:v>21</x:v>
      </x:c>
      <x:c r="AN321" s="9" t="n">
        <x:v>21</x:v>
      </x:c>
    </x:row>
    <x:row r="322">
      <x:c r="A322" s="9" t="str">
        <x:v>Success</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pi0.5 Results</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pi0.5 Results</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blue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pi0.5 Results</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pi0.5 Results</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pi0.5 Results</x:v>
      </x:c>
      <x:c r="AM326" s="9" t="n">
        <x:v>26</x:v>
      </x:c>
      <x:c r="AN326" s="9" t="n">
        <x:v>26</x:v>
      </x:c>
    </x:row>
    <x:row r="327">
      <x:c r="A327" s="9" t="str">
        <x:v>Success</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pi0.5 Results</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pi0.5 Results</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pi0.5 Results</x:v>
      </x:c>
      <x:c r="AM329" s="9" t="n">
        <x:v>29</x:v>
      </x:c>
      <x:c r="AN329" s="9" t="n">
        <x:v>29</x:v>
      </x:c>
    </x:row>
    <x:row r="330">
      <x:c r="A330" s="9" t="str">
        <x:v>Success</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pi0.5 Results</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pi0.5 Results</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pi0.5 Results</x:v>
      </x:c>
      <x:c r="AM332" s="9" t="n">
        <x:v>32</x:v>
      </x:c>
      <x:c r="AN332" s="9" t="n">
        <x:v>32</x:v>
      </x:c>
    </x:row>
    <x:row r="333">
      <x:c r="A333" s="9" t="str">
        <x:v>Success</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pi0.5 Results</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pi0.5 Results</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picked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pi0.5 Results</x:v>
      </x:c>
      <x:c r="AM335" s="9" t="n">
        <x:v>35</x:v>
      </x:c>
      <x:c r="AN335" s="9" t="n">
        <x:v>35</x:v>
      </x:c>
    </x:row>
    <x:row r="336">
      <x:c r="A336" s="9" t="str">
        <x:v>Success</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pi0.5 Results</x:v>
      </x:c>
      <x:c r="AM336" s="9" t="n">
        <x:v>36</x:v>
      </x:c>
      <x:c r="AN336" s="9" t="n">
        <x:v>36</x:v>
      </x:c>
    </x:row>
    <x:row r="337">
      <x:c r="A337" s="9" t="str">
        <x:v>Failure</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t="str">
        <x:v>originally went for green highlighter, missed, and then during recovery, got the airplane toy</x:v>
      </x:c>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pi0.5 Results</x:v>
      </x:c>
      <x:c r="AM337" s="9" t="n">
        <x:v>37</x:v>
      </x:c>
      <x:c r="AN337" s="9" t="n">
        <x:v>37</x:v>
      </x:c>
    </x:row>
    <x:row r="338">
      <x:c r="A338" s="9" t="str">
        <x:v>Failure</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t="str">
        <x:v>picked yellow pen</x:v>
      </x:c>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pi0.5 Results</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pi0.5 Results</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picked yellow pen</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pi0.5 Results</x:v>
      </x:c>
      <x:c r="AM340" s="9" t="n">
        <x:v>40</x:v>
      </x:c>
      <x:c r="AN340" s="9" t="n">
        <x:v>40</x:v>
      </x:c>
    </x:row>
    <x:row r="341">
      <x:c r="A341" s="9" t="str">
        <x:v>Success</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pi0.5 Results</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pi0.5 Results</x:v>
      </x:c>
      <x:c r="AM342" s="9" t="n">
        <x:v>42</x:v>
      </x:c>
      <x:c r="AN342" s="9" t="n">
        <x:v>42</x:v>
      </x:c>
    </x:row>
    <x:row r="343">
      <x:c r="A343" s="9" t="str">
        <x:v>Success</x:v>
      </x:c>
      <x:c r="B343" s="9" t="str">
        <x:v>Ordinal Reference Ordering</x:v>
      </x:c>
      <x:c r="C343" s="10" t="n">
        <x:v>41</x:v>
      </x:c>
      <x:c r="D343" s="9" t="str">
        <x:v>Count from the left; place item number 2 in the bowl.</x:v>
      </x:c>
      <x:c r="E343" s="9" t="str">
        <x:v>L1: green highlighter, L2: yellow pen</x:v>
      </x:c>
      <x:c r="F343" s="9" t="str">
        <x:v>yellow pen</x:v>
      </x:c>
      <x:c r="G343" s="9"/>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pi0.5 Results</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pi0.5 Results</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pi0.5 Results</x:v>
      </x:c>
      <x:c r="AM345" s="9" t="n">
        <x:v>45</x:v>
      </x:c>
      <x:c r="AN345" s="9" t="n">
        <x:v>45</x:v>
      </x:c>
    </x:row>
    <x:row r="346">
      <x:c r="A346" s="9" t="str">
        <x:v>Success</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t="str">
        <x:v>failed reasoning; picked the airplane toy at first, dropped it, and then during recovery got the green highlighter</x:v>
      </x:c>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pi0.5 Results</x:v>
      </x:c>
      <x:c r="AM346" s="9" t="n">
        <x:v>46</x:v>
      </x:c>
      <x:c r="AN346" s="9" t="n">
        <x:v>46</x:v>
      </x:c>
    </x:row>
    <x:row r="347">
      <x:c r="A347" s="9" t="str">
        <x:v>Success</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pi0.5 Results</x:v>
      </x:c>
      <x:c r="AM347" s="9" t="n">
        <x:v>47</x:v>
      </x:c>
      <x:c r="AN347" s="9" t="n">
        <x:v>47</x:v>
      </x:c>
    </x:row>
    <x:row r="348">
      <x:c r="A348" s="9" t="str">
        <x:v>Failure</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t="str">
        <x:v>picked airplane toy</x:v>
      </x:c>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pi0.5 Results</x:v>
      </x:c>
      <x:c r="AM348" s="9" t="n">
        <x:v>48</x:v>
      </x:c>
      <x:c r="AN348" s="9" t="n">
        <x:v>48</x:v>
      </x:c>
    </x:row>
    <x:row r="349">
      <x:c r="A349" s="9" t="str">
        <x:v>Success</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pi0.5 Results</x:v>
      </x:c>
      <x:c r="AM349" s="9" t="n">
        <x:v>49</x:v>
      </x:c>
      <x:c r="AN349" s="9" t="n">
        <x:v>49</x:v>
      </x:c>
    </x:row>
    <x:row r="350">
      <x:c r="A350" s="9" t="str">
        <x:v>Success</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pi0.5 Results</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picked airplane toy</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pi0.5 Results</x:v>
      </x:c>
      <x:c r="AM351" s="9" t="n">
        <x:v>51</x:v>
      </x:c>
      <x:c r="AN351" s="9" t="n">
        <x:v>51</x:v>
      </x:c>
    </x:row>
    <x:row r="352">
      <x:c r="A352" s="9" t="str">
        <x:v>Success</x:v>
      </x:c>
      <x:c r="B352" s="9" t="str">
        <x:v>Ordinal Reference Ordering</x:v>
      </x:c>
      <x:c r="C352" s="10" t="n">
        <x:v>50</x:v>
      </x:c>
      <x:c r="D352" s="9" t="str">
        <x:v>Put the yellow pen in the bowl.</x:v>
      </x:c>
      <x:c r="E352" s="9" t="str">
        <x:v>L1: yellow pen, L2: airplane toy with propellers, L3: green highlighter</x:v>
      </x:c>
      <x:c r="F352" s="9" t="str">
        <x:v>yellow pen</x:v>
      </x:c>
      <x:c r="G352" s="9"/>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pi0.5 Results</x:v>
      </x:c>
      <x:c r="AM352" s="9" t="n">
        <x:v>52</x:v>
      </x:c>
      <x:c r="AN352" s="9" t="n">
        <x:v>52</x:v>
      </x:c>
    </x:row>
    <x:row r="353">
      <x:c r="A353" s="9" t="str">
        <x:v>Failure</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picked airplane toy</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pi0.5 Results</x:v>
      </x:c>
      <x:c r="AM353" s="9" t="n">
        <x:v>53</x:v>
      </x:c>
      <x:c r="AN353" s="9" t="n">
        <x:v>53</x:v>
      </x:c>
    </x:row>
    <x:row r="354">
      <x:c r="A354" s="9" t="str">
        <x:v>Success</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pi0.5 Results</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pi0.5 Results</x:v>
      </x:c>
      <x:c r="AM355" s="9" t="n">
        <x:v>55</x:v>
      </x:c>
      <x:c r="AN355" s="9" t="n">
        <x:v>55</x:v>
      </x:c>
    </x:row>
    <x:row r="356">
      <x:c r="A356" s="9" t="str">
        <x:v>Success</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pi0.5 Results</x:v>
      </x:c>
      <x:c r="AM356" s="9" t="n">
        <x:v>56</x:v>
      </x:c>
      <x:c r="AN356" s="9" t="n">
        <x:v>56</x:v>
      </x:c>
    </x:row>
    <x:row r="357">
      <x:c r="A357" s="9" t="str">
        <x:v>Success</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pi0.5 Results</x:v>
      </x:c>
      <x:c r="AM357" s="9" t="n">
        <x:v>57</x:v>
      </x:c>
      <x:c r="AN357" s="9" t="n">
        <x:v>57</x:v>
      </x:c>
    </x:row>
    <x:row r="358">
      <x:c r="A358" s="9" t="str">
        <x:v>Success</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pi0.5 Results</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picked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pi0.5 Results</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pi0.5 Results</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picked airplane toy</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pi0.5 Results</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pi0.5 Results</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pi0.5 Results</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pi0.5 Results</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pi0.5 Results</x:v>
      </x:c>
      <x:c r="AM365" s="9" t="n">
        <x:v>65</x:v>
      </x:c>
      <x:c r="AN365" s="9" t="n">
        <x:v>65</x:v>
      </x:c>
    </x:row>
    <x:row r="366">
      <x:c r="A366" s="9" t="str">
        <x:v>Failure</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t="str">
        <x:v>picked airplane toy</x:v>
      </x:c>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pi0.5 Results</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pi0.5 Results</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pi0.5 Results</x:v>
      </x:c>
      <x:c r="AM368" s="9" t="n">
        <x:v>68</x:v>
      </x:c>
      <x:c r="AN368" s="9" t="n">
        <x:v>68</x:v>
      </x:c>
    </x:row>
    <x:row r="369">
      <x:c r="A369" s="9" t="str">
        <x:v>Success</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pi0.5 Results</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airplane toy</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pi0.5 Results</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pi0.5 Results</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pi0.5 Results</x:v>
      </x:c>
      <x:c r="AM372" s="9" t="n">
        <x:v>72</x:v>
      </x:c>
      <x:c r="AN372" s="9" t="n">
        <x:v>72</x:v>
      </x:c>
    </x:row>
    <x:row r="373">
      <x:c r="A373" s="9" t="str">
        <x:v>Success</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pi0.5 Results</x:v>
      </x:c>
      <x:c r="AM373" s="9" t="n">
        <x:v>73</x:v>
      </x:c>
      <x:c r="AN373" s="9" t="n">
        <x:v>73</x:v>
      </x:c>
    </x:row>
    <x:row r="374">
      <x:c r="A374" s="9" t="str">
        <x:v>Success</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pi0.5 Results</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pi0.5 Results</x:v>
      </x:c>
      <x:c r="AM375" s="9" t="n">
        <x:v>75</x:v>
      </x:c>
      <x:c r="AN375" s="9" t="n">
        <x:v>75</x:v>
      </x:c>
    </x:row>
    <x:row r="376">
      <x:c r="A376" s="9" t="str">
        <x:v>Success</x:v>
      </x:c>
      <x:c r="B376" s="9" t="str">
        <x:v>Ordinal Reference Ordering</x:v>
      </x:c>
      <x:c r="C376" s="10" t="n">
        <x:v>74</x:v>
      </x:c>
      <x:c r="D376" s="9" t="str">
        <x:v>Move the yellow pen into the bowl.</x:v>
      </x:c>
      <x:c r="E376" s="9" t="str">
        <x:v>L1: airplane toy with propellers, L2: yellow pen</x:v>
      </x:c>
      <x:c r="F376" s="9" t="str">
        <x:v>yellow pen</x:v>
      </x:c>
      <x:c r="G376" s="9"/>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pi0.5 Results</x:v>
      </x:c>
      <x:c r="AM376" s="9" t="n">
        <x:v>76</x:v>
      </x:c>
      <x:c r="AN376" s="9" t="n">
        <x:v>76</x:v>
      </x:c>
    </x:row>
    <x:row r="377">
      <x:c r="A377" s="9" t="str">
        <x:v>Failure</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t="str">
        <x:v>picked airplane toy</x:v>
      </x:c>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pi0.5 Results</x:v>
      </x:c>
      <x:c r="AM377" s="9" t="n">
        <x:v>77</x:v>
      </x:c>
      <x:c r="AN377" s="9" t="n">
        <x:v>77</x:v>
      </x:c>
    </x:row>
    <x:row r="378">
      <x:c r="A378" s="9" t="str">
        <x:v>Success</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pi0.5 Results</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pi0.5 Results</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pi0.5 Results</x:v>
      </x:c>
      <x:c r="AM380" s="9" t="n">
        <x:v>80</x:v>
      </x:c>
      <x:c r="AN380" s="9" t="n">
        <x:v>80</x:v>
      </x:c>
    </x:row>
    <x:row r="381">
      <x:c r="A381" s="9" t="str">
        <x:v>Failure</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t="str">
        <x:v>picked green highlighter</x:v>
      </x:c>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pi0.5 Results</x:v>
      </x:c>
      <x:c r="AM381" s="9" t="n">
        <x:v>81</x:v>
      </x:c>
      <x:c r="AN381" s="9" t="n">
        <x:v>81</x:v>
      </x:c>
    </x:row>
    <x:row r="382">
      <x:c r="A382" s="9" t="str">
        <x:v>Failure</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t="str">
        <x:v>picked blue tape ball</x:v>
      </x:c>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pi0.5 Results</x:v>
      </x:c>
      <x:c r="AM382" s="9" t="n">
        <x:v>82</x:v>
      </x:c>
      <x:c r="AN382" s="9" t="n">
        <x:v>82</x:v>
      </x:c>
    </x:row>
    <x:row r="383">
      <x:c r="A383" s="9" t="str">
        <x:v>Success</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picked blue tape ball</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pi0.5 Results</x:v>
      </x:c>
      <x:c r="AM383" s="9" t="n">
        <x:v>83</x:v>
      </x:c>
      <x:c r="AN383" s="9" t="n">
        <x:v>83</x:v>
      </x:c>
    </x:row>
    <x:row r="384">
      <x:c r="A384" s="9" t="str">
        <x:v>Failure</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t="str">
        <x:v>succeeded reasoning; tried to get the airplane toy, dropped it, and couldn't recover</x:v>
      </x:c>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pi0.5 Results</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went for the airplane toy again;  basically did the same thing as the previous episode</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pi0.5 Results</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pi0.5 Results</x:v>
      </x:c>
      <x:c r="AM386" s="9" t="n">
        <x:v>86</x:v>
      </x:c>
      <x:c r="AN386" s="9" t="n">
        <x:v>86</x:v>
      </x:c>
    </x:row>
    <x:row r="387">
      <x:c r="A387" s="9" t="str">
        <x:v>Failure</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t="str">
        <x:v>picked yellow pen</x:v>
      </x:c>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pi0.5 Results</x:v>
      </x:c>
      <x:c r="AM387" s="9" t="n">
        <x:v>87</x:v>
      </x:c>
      <x:c r="AN387" s="9" t="n">
        <x:v>87</x:v>
      </x:c>
    </x:row>
    <x:row r="388">
      <x:c r="A388" s="9" t="str">
        <x:v>Failure</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t="str">
        <x:v>picked airplane toy</x:v>
      </x:c>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pi0.5 Results</x:v>
      </x:c>
      <x:c r="AM388" s="9" t="n">
        <x:v>88</x:v>
      </x:c>
      <x:c r="AN388" s="9" t="n">
        <x:v>88</x:v>
      </x:c>
    </x:row>
    <x:row r="389">
      <x:c r="A389" s="9" t="str">
        <x:v>Success</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pi0.5 Results</x:v>
      </x:c>
      <x:c r="AM389" s="9" t="n">
        <x:v>89</x:v>
      </x:c>
      <x:c r="AN389" s="9" t="n">
        <x:v>89</x:v>
      </x:c>
    </x:row>
    <x:row r="390">
      <x:c r="A390" s="9" t="str">
        <x:v>Failure</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t="str">
        <x:v>picked green highlighter</x:v>
      </x:c>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pi0.5 Results</x:v>
      </x:c>
      <x:c r="AM390" s="9" t="n">
        <x:v>90</x:v>
      </x:c>
      <x:c r="AN390" s="9" t="n">
        <x:v>90</x:v>
      </x:c>
    </x:row>
    <x:row r="391">
      <x:c r="A391" s="9" t="str">
        <x:v>Success</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pi0.5 Results</x:v>
      </x:c>
      <x:c r="AM391" s="9" t="n">
        <x:v>91</x:v>
      </x:c>
      <x:c r="AN391" s="9" t="n">
        <x:v>91</x:v>
      </x:c>
    </x:row>
    <x:row r="392">
      <x:c r="A392" s="9" t="str">
        <x:v>Success</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pi0.5 Results</x:v>
      </x:c>
      <x:c r="AM392" s="9" t="n">
        <x:v>92</x:v>
      </x:c>
      <x:c r="AN392" s="9" t="n">
        <x:v>92</x:v>
      </x:c>
    </x:row>
    <x:row r="393">
      <x:c r="A393" s="9" t="str">
        <x:v>Success</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pi0.5 Results</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blue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pi0.5 Results</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pi0.5 Results</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pi0.5 Results</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airplane toy</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pi0.5 Results</x:v>
      </x:c>
      <x:c r="AM397" s="9" t="n">
        <x:v>97</x:v>
      </x:c>
      <x:c r="AN397" s="9" t="n">
        <x:v>97</x:v>
      </x:c>
    </x:row>
    <x:row r="398">
      <x:c r="A398" s="9" t="str">
        <x:v>Success</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pi0.5 Results</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green highlighter</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pi0.5 Results</x:v>
      </x:c>
      <x:c r="AM399" s="9" t="n">
        <x:v>99</x:v>
      </x:c>
      <x:c r="AN399" s="9" t="n">
        <x:v>99</x:v>
      </x:c>
    </x:row>
    <x:row r="400">
      <x:c r="A400" s="9" t="str">
        <x:v>Success</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pi0.5 Results</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pi0.5 Results</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pi0.5 Results</x:v>
      </x:c>
      <x:c r="AM402" s="9" t="n">
        <x:v>102</x:v>
      </x:c>
      <x:c r="AN402" s="9" t="n">
        <x:v>102</x:v>
      </x:c>
    </x:row>
    <x:row r="403">
      <x:c r="A403" s="9" t="str">
        <x:v>Failure</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t="str">
        <x:v>picked yellow pen</x:v>
      </x:c>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pi0.5 Results</x:v>
      </x:c>
      <x:c r="AM403" s="9" t="n">
        <x:v>103</x:v>
      </x:c>
      <x:c r="AN403" s="9" t="n">
        <x:v>103</x:v>
      </x:c>
    </x:row>
    <x:row r="404">
      <x:c r="A404" s="9" t="str">
        <x:v>Failure</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t="str">
        <x:v>picked airplane toy</x:v>
      </x:c>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pi0.5 Results</x:v>
      </x:c>
      <x:c r="AM404" s="9" t="n">
        <x:v>104</x:v>
      </x:c>
      <x:c r="AN404" s="9" t="n">
        <x:v>104</x:v>
      </x:c>
    </x:row>
    <x:row r="405">
      <x:c r="A405" s="9" t="str">
        <x:v>Failure</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t="str">
        <x:v>picked airplane toy</x:v>
      </x:c>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pi0.5 Results</x:v>
      </x:c>
      <x:c r="AM405" s="9" t="n">
        <x:v>105</x:v>
      </x:c>
      <x:c r="AN405" s="9" t="n">
        <x:v>105</x:v>
      </x:c>
    </x:row>
    <x:row r="406">
      <x:c r="A406" s="9" t="str">
        <x:v>Success</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pi0.5 Results</x:v>
      </x:c>
      <x:c r="AM406" s="9" t="n">
        <x:v>106</x:v>
      </x:c>
      <x:c r="AN406" s="9" t="n">
        <x:v>106</x:v>
      </x:c>
    </x:row>
    <x:row r="407">
      <x:c r="A407" s="9" t="str">
        <x:v>Failure</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t="str">
        <x:v>picked airplane toy</x:v>
      </x:c>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pi0.5 Results</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pi0.5 Results</x:v>
      </x:c>
      <x:c r="AM408" s="9" t="n">
        <x:v>108</x:v>
      </x:c>
      <x:c r="AN408" s="9" t="n">
        <x:v>108</x:v>
      </x:c>
    </x:row>
    <x:row r="409">
      <x:c r="A409" s="9" t="str">
        <x:v>Failure</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t="str">
        <x:v>picked green highlighter</x:v>
      </x:c>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pi0.5 Results</x:v>
      </x:c>
      <x:c r="AM409" s="9" t="n">
        <x:v>109</x:v>
      </x:c>
      <x:c r="AN409" s="9" t="n">
        <x:v>109</x:v>
      </x:c>
    </x:row>
    <x:row r="410">
      <x:c r="A410" s="9" t="str">
        <x:v>Failure</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t="str">
        <x:v>picked airplane toy</x:v>
      </x:c>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pi0.5 Results</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picked airplane toy</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pi0.5 Results</x:v>
      </x:c>
      <x:c r="AM411" s="9" t="n">
        <x:v>111</x:v>
      </x:c>
      <x:c r="AN411" s="9" t="n">
        <x:v>111</x:v>
      </x:c>
    </x:row>
    <x:row r="412">
      <x:c r="A412" s="9" t="str">
        <x:v>Failure</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t="str">
        <x:v>picked airplane toy</x:v>
      </x:c>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pi0.5 Results</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pi0.5 Results</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pi0.5 Results</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pi0.5 Results</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picked green highlighter</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pi0.5 Results</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pi0.5 Results</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red block</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pi0.5 Results</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pi0.5 Results</x:v>
      </x:c>
      <x:c r="AM419" s="9" t="n">
        <x:v>119</x:v>
      </x:c>
      <x:c r="AN419" s="9" t="n">
        <x:v>119</x:v>
      </x:c>
    </x:row>
    <x:row r="420">
      <x:c r="A420" s="9" t="str">
        <x:v>Failure</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t="str">
        <x:v>picked blue tape ball</x:v>
      </x:c>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pi0.5 Results</x:v>
      </x:c>
      <x:c r="AM420" s="9" t="n">
        <x:v>120</x:v>
      </x:c>
      <x:c r="AN420" s="9" t="n">
        <x:v>120</x:v>
      </x:c>
    </x:row>
    <x:row r="421">
      <x:c r="A421" s="9" t="str">
        <x:v>Failure</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t="str">
        <x:v>picked blue tape ball</x:v>
      </x:c>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pi0.5 Results</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pi0.5 Results</x:v>
      </x:c>
      <x:c r="AM422" s="9" t="n">
        <x:v>122</x:v>
      </x:c>
      <x:c r="AN422" s="9" t="n">
        <x:v>122</x:v>
      </x:c>
    </x:row>
    <x:row r="423">
      <x:c r="A423" s="9" t="str">
        <x:v>Failure</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t="str">
        <x:v>picked blue tape ball</x:v>
      </x:c>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pi0.5 Results</x:v>
      </x:c>
      <x:c r="AM423" s="9" t="n">
        <x:v>123</x:v>
      </x:c>
      <x:c r="AN423" s="9" t="n">
        <x:v>123</x:v>
      </x:c>
    </x:row>
    <x:row r="424">
      <x:c r="A424" s="9" t="str">
        <x:v>Failure</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t="str">
        <x:v>picked blue tape ball</x:v>
      </x:c>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pi0.5 Results</x:v>
      </x:c>
      <x:c r="AM424" s="9" t="n">
        <x:v>124</x:v>
      </x:c>
      <x:c r="AN424" s="9" t="n">
        <x:v>124</x:v>
      </x:c>
    </x:row>
    <x:row r="425">
      <x:c r="A425" s="9" t="str">
        <x:v>Success</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pi0.5 Results</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pi0.5 Results</x:v>
      </x:c>
      <x:c r="AM426" s="9" t="n">
        <x:v>126</x:v>
      </x:c>
      <x:c r="AN426" s="9" t="n">
        <x:v>126</x:v>
      </x:c>
    </x:row>
    <x:row r="427">
      <x:c r="A427" s="9" t="str">
        <x:v>Failure</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t="str">
        <x:v>picked yellow pen</x:v>
      </x:c>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pi0.5 Results</x:v>
      </x:c>
      <x:c r="AM427" s="9" t="n">
        <x:v>127</x:v>
      </x:c>
      <x:c r="AN427" s="9" t="n">
        <x:v>127</x:v>
      </x:c>
    </x:row>
    <x:row r="428">
      <x:c r="A428" s="9" t="str">
        <x:v>Failure</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t="str">
        <x:v>picked airplane toy</x:v>
      </x:c>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pi0.5 Results</x:v>
      </x:c>
      <x:c r="AM428" s="9" t="n">
        <x:v>128</x:v>
      </x:c>
      <x:c r="AN428" s="9" t="n">
        <x:v>128</x:v>
      </x:c>
    </x:row>
    <x:row r="429">
      <x:c r="A429" s="9" t="str">
        <x:v>Failure</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picked red block</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pi0.5 Results</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airplane toy</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pi0.5 Results</x:v>
      </x:c>
      <x:c r="AM430" s="9" t="n">
        <x:v>130</x:v>
      </x:c>
      <x:c r="AN430" s="9" t="n">
        <x:v>130</x:v>
      </x:c>
    </x:row>
    <x:row r="431">
      <x:c r="A431" s="9" t="str">
        <x:v>Success</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pi0.5 Results</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airplane toy</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pi0.5 Results</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airplane toy</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pi0.5 Results</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tape ball</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pi0.5 Results</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pi0.5 Results</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airplane toy</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pi0.5 Results</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airplane toy</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pi0.5 Results</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airplane toy</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pi0.5 Results</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airplane toy, dropped it not in the bowl, then went for the yellow pen </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pi0.5 Results</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pi0.5 Results</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tape ball</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pi0.5 Results</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airplane toy</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pi0.5 Results</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airplane toy</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pi0.5 Results</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pi0.5 Results</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green highlighter</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pi0.5 Results</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pi0.5 Results</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picked green highlighter</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pi0.5 Results</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tried to pick airplane toy, but couldn't</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pi0.5 Results</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tried to pick airplane toy, but couldn't</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pi0.5 Results</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the airplane toy; dropped it and got it!</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pi0.5 Results</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picked airplane toy</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pi0.5 Results</x:v>
      </x:c>
      <x:c r="AM451" s="9" t="n">
        <x:v>151</x:v>
      </x:c>
      <x:c r="AN451" s="9" t="n">
        <x:v>151</x:v>
      </x:c>
    </x:row>
    <x:row r="452">
      <x:c r="A452" s="9" t="str">
        <x:v>Failure</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t="str">
        <x:v>did move to the front, but didn't let go of the green pen. successful reasoning</x:v>
      </x:c>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pi0.5 Results</x:v>
      </x:c>
      <x:c r="AM452" s="9" t="n">
        <x:v>2</x:v>
      </x:c>
      <x:c r="AN452" s="9" t="n">
        <x:v>2</x:v>
      </x:c>
    </x:row>
    <x:row r="453">
      <x:c r="A453" s="9" t="str">
        <x:v>Failure</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t="str">
        <x:v>put in front of the green pen</x:v>
      </x:c>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pi0.5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pi0.5 Results</x:v>
      </x:c>
      <x:c r="AM454" s="9" t="n">
        <x:v>4</x:v>
      </x:c>
      <x:c r="AN454" s="9" t="n">
        <x:v>4</x:v>
      </x:c>
    </x:row>
    <x:row r="455">
      <x:c r="A455" s="9" t="str">
        <x:v>Success</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pi0.5 Results</x:v>
      </x:c>
      <x:c r="AM455" s="9" t="n">
        <x:v>5</x:v>
      </x:c>
      <x:c r="AN455" s="9" t="n">
        <x:v>5</x:v>
      </x:c>
    </x:row>
    <x:row r="456">
      <x:c r="A456" s="9" t="str">
        <x:v>Success</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t="str">
        <x:v>front left, but I think it counts</x:v>
      </x:c>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pi0.5 Results</x:v>
      </x:c>
      <x:c r="AM456" s="9" t="n">
        <x:v>6</x:v>
      </x:c>
      <x:c r="AN456" s="9" t="n">
        <x:v>6</x:v>
      </x:c>
    </x:row>
    <x:row r="457">
      <x:c r="A457" s="9" t="str">
        <x:v>Success</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pi0.5 Results</x:v>
      </x:c>
      <x:c r="AM457" s="9" t="n">
        <x:v>7</x:v>
      </x:c>
      <x:c r="AN457" s="9" t="n">
        <x:v>7</x:v>
      </x:c>
    </x:row>
    <x:row r="458">
      <x:c r="A458" s="9" t="str">
        <x:v>Success</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pi0.5 Results</x:v>
      </x:c>
      <x:c r="AM458" s="9" t="n">
        <x:v>8</x:v>
      </x:c>
      <x:c r="AN458" s="9" t="n">
        <x:v>8</x:v>
      </x:c>
    </x:row>
    <x:row r="459">
      <x:c r="A459" s="9" t="str">
        <x:v>Success</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pi0.5 Results</x:v>
      </x:c>
      <x:c r="AM459" s="9" t="n">
        <x:v>9</x:v>
      </x:c>
      <x:c r="AN459" s="9" t="n">
        <x:v>9</x:v>
      </x:c>
    </x:row>
    <x:row r="460">
      <x:c r="A460" s="9" t="str">
        <x:v>Success</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t="str">
        <x:v>left back</x:v>
      </x:c>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pi0.5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pi0.5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pi0.5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t="str">
        <x:v>right back</x:v>
      </x:c>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pi0.5 Results</x:v>
      </x:c>
      <x:c r="AM463" s="9" t="n">
        <x:v>13</x:v>
      </x:c>
      <x:c r="AN463" s="9" t="n">
        <x:v>13</x:v>
      </x:c>
    </x:row>
    <x:row r="464">
      <x:c r="A464" s="9" t="str">
        <x:v>Failure</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t="str">
        <x:v>placed in front</x:v>
      </x:c>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pi0.5 Results</x:v>
      </x:c>
      <x:c r="AM464" s="9" t="n">
        <x:v>14</x:v>
      </x:c>
      <x:c r="AN464" s="9" t="n">
        <x:v>14</x:v>
      </x:c>
    </x:row>
    <x:row r="465">
      <x:c r="A465" s="9" t="str">
        <x:v>Failure</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t="str">
        <x:v>dropped on top, then rolled over to the front right, but mostly front</x:v>
      </x:c>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pi0.5 Results</x:v>
      </x:c>
      <x:c r="AM465" s="9" t="n">
        <x:v>15</x:v>
      </x:c>
      <x:c r="AN465" s="9" t="n">
        <x:v>15</x:v>
      </x:c>
    </x:row>
    <x:row r="466">
      <x:c r="A466" s="9" t="str">
        <x:v>Success</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pi0.5 Results</x:v>
      </x:c>
      <x:c r="AM466" s="9" t="n">
        <x:v>16</x:v>
      </x:c>
      <x:c r="AN466" s="9" t="n">
        <x:v>16</x:v>
      </x:c>
    </x:row>
    <x:row r="467">
      <x:c r="A467" s="9" t="str">
        <x:v>Failure</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t="str">
        <x:v>placed back</x:v>
      </x:c>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pi0.5 Results</x:v>
      </x:c>
      <x:c r="AM467" s="9" t="n">
        <x:v>17</x:v>
      </x:c>
      <x:c r="AN467" s="9" t="n">
        <x:v>17</x:v>
      </x:c>
    </x:row>
    <x:row r="468">
      <x:c r="A468" s="9" t="str">
        <x:v>Failure</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t="str">
        <x:v>placed on top and slid right</x:v>
      </x:c>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pi0.5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pi0.5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pi0.5 Results</x:v>
      </x:c>
      <x:c r="AM470" s="9" t="n">
        <x:v>20</x:v>
      </x:c>
      <x:c r="AN470" s="9" t="n">
        <x:v>20</x:v>
      </x:c>
    </x:row>
    <x:row r="471">
      <x:c r="A471" s="9" t="str">
        <x:v>Failure</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t="str">
        <x:v>placed left</x:v>
      </x:c>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pi0.5 Results</x:v>
      </x:c>
      <x:c r="AM471" s="9" t="n">
        <x:v>21</x:v>
      </x:c>
      <x:c r="AN471" s="9" t="n">
        <x:v>21</x:v>
      </x:c>
    </x:row>
    <x:row r="472">
      <x:c r="A472" s="9" t="str">
        <x:v>Success</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pi0.5 Results</x:v>
      </x:c>
      <x:c r="AM472" s="9" t="n">
        <x:v>22</x:v>
      </x:c>
      <x:c r="AN472" s="9" t="n">
        <x:v>22</x:v>
      </x:c>
    </x:row>
    <x:row r="473">
      <x:c r="A473" s="9" t="str">
        <x:v>Failure</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t="str">
        <x:v>placed right</x:v>
      </x:c>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pi0.5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pi0.5 Results</x:v>
      </x:c>
      <x:c r="AM474" s="9" t="n">
        <x:v>24</x:v>
      </x:c>
      <x:c r="AN474" s="9" t="n">
        <x:v>24</x:v>
      </x:c>
    </x:row>
    <x:row r="475">
      <x:c r="A475" s="9" t="str">
        <x:v>Success</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pi0.5 Results</x:v>
      </x:c>
      <x:c r="AM475" s="9" t="n">
        <x:v>25</x:v>
      </x:c>
      <x:c r="AN475" s="9" t="n">
        <x:v>25</x:v>
      </x:c>
    </x:row>
    <x:row r="476">
      <x:c r="A476" s="9" t="str">
        <x:v>Success</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pi0.5 Results</x:v>
      </x:c>
      <x:c r="AM476" s="9" t="n">
        <x:v>26</x:v>
      </x:c>
      <x:c r="AN476" s="9" t="n">
        <x:v>26</x:v>
      </x:c>
    </x:row>
    <x:row r="477">
      <x:c r="A477" s="9" t="str">
        <x:v>Success</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t="str">
        <x:v>behind and right</x:v>
      </x:c>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pi0.5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pi0.5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pi0.5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t="str">
        <x:v>placed to the left</x:v>
      </x:c>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pi0.5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placed to the left</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pi0.5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pi0.5 Results</x:v>
      </x:c>
      <x:c r="AM482" s="9" t="n">
        <x:v>32</x:v>
      </x:c>
      <x:c r="AN482" s="9" t="n">
        <x:v>32</x:v>
      </x:c>
    </x:row>
    <x:row r="483">
      <x:c r="A483" s="9" t="str">
        <x:v>Failure</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t="str">
        <x:v>placed in front but pushed the pen forwards</x:v>
      </x:c>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pi0.5 Results</x:v>
      </x:c>
      <x:c r="AM483" s="9" t="n">
        <x:v>33</x:v>
      </x:c>
      <x:c r="AN483" s="9" t="n">
        <x:v>33</x:v>
      </x:c>
    </x:row>
    <x:row r="484">
      <x:c r="A484" s="9" t="str">
        <x:v>Failure</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t="str">
        <x:v>placed behind red block</x:v>
      </x:c>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pi0.5 Results</x:v>
      </x:c>
      <x:c r="AM484" s="9" t="n">
        <x:v>34</x:v>
      </x:c>
      <x:c r="AN484" s="9" t="n">
        <x:v>34</x:v>
      </x:c>
    </x:row>
    <x:row r="485">
      <x:c r="A485" s="9" t="str">
        <x:v>Failure</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t="str">
        <x:v>placed to the right of pink pen and front of red block</x:v>
      </x:c>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pi0.5 Results</x:v>
      </x:c>
      <x:c r="AM485" s="9" t="n">
        <x:v>35</x:v>
      </x:c>
      <x:c r="AN485" s="9" t="n">
        <x:v>35</x:v>
      </x:c>
    </x:row>
    <x:row r="486">
      <x:c r="A486" s="9" t="str">
        <x:v>Failure</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rotated the green pen so the red block is in front of the green pen</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pi0.5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pi0.5 Results</x:v>
      </x:c>
      <x:c r="AM487" s="9" t="n">
        <x:v>37</x:v>
      </x:c>
      <x:c r="AN487" s="9" t="n">
        <x:v>37</x:v>
      </x:c>
    </x:row>
    <x:row r="488">
      <x:c r="A488" s="9" t="str">
        <x:v>Success</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pi0.5 Results</x:v>
      </x:c>
      <x:c r="AM488" s="9" t="n">
        <x:v>38</x:v>
      </x:c>
      <x:c r="AN488" s="9" t="n">
        <x:v>38</x:v>
      </x:c>
    </x:row>
    <x:row r="489">
      <x:c r="A489" s="9" t="str">
        <x:v>Failure</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t="str">
        <x:v>placed to the left again</x:v>
      </x:c>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pi0.5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t="str">
        <x:v>top left but I'll count it</x:v>
      </x:c>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pi0.5 Results</x:v>
      </x:c>
      <x:c r="AM490" s="9" t="n">
        <x:v>40</x:v>
      </x:c>
      <x:c r="AN490" s="9" t="n">
        <x:v>40</x:v>
      </x:c>
    </x:row>
    <x:row r="491">
      <x:c r="A491" s="9" t="str">
        <x:v>Success</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pi0.5 Results</x:v>
      </x:c>
      <x:c r="AM491" s="9" t="n">
        <x:v>41</x:v>
      </x:c>
      <x:c r="AN491" s="9" t="n">
        <x:v>41</x:v>
      </x:c>
    </x:row>
    <x:row r="492">
      <x:c r="A492" s="9" t="str">
        <x:v>Failure</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t="str">
        <x:v>placed behind</x:v>
      </x:c>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pi0.5 Results</x:v>
      </x:c>
      <x:c r="AM492" s="9" t="n">
        <x:v>42</x:v>
      </x:c>
      <x:c r="AN492" s="9" t="n">
        <x:v>42</x:v>
      </x:c>
    </x:row>
    <x:row r="493">
      <x:c r="A493" s="9" t="str">
        <x:v>Success</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pi0.5 Results</x:v>
      </x:c>
      <x:c r="AM493" s="9" t="n">
        <x:v>43</x:v>
      </x:c>
      <x:c r="AN493" s="9" t="n">
        <x:v>43</x:v>
      </x:c>
    </x:row>
    <x:row r="494">
      <x:c r="A494" s="9" t="str">
        <x:v>Failure</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t="str">
        <x:v>placed in front</x:v>
      </x:c>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pi0.5 Results</x:v>
      </x:c>
      <x:c r="AM494" s="9" t="n">
        <x:v>44</x:v>
      </x:c>
      <x:c r="AN494" s="9" t="n">
        <x:v>44</x:v>
      </x:c>
    </x:row>
    <x:row r="495">
      <x:c r="A495" s="9" t="str">
        <x:v>Success</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t="str">
        <x:v>put on the right side of the pen, and it rotated such that it ended on the right of the pen.</x:v>
      </x:c>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pi0.5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t="str">
        <x:v>super good rollout</x:v>
      </x:c>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pi0.5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t="str">
        <x:v>placed in front</x:v>
      </x:c>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pi0.5 Results</x:v>
      </x:c>
      <x:c r="AM497" s="9" t="n">
        <x:v>47</x:v>
      </x:c>
      <x:c r="AN497" s="9" t="n">
        <x:v>47</x:v>
      </x:c>
    </x:row>
    <x:row r="498">
      <x:c r="A498" s="9" t="str">
        <x:v>Success</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pi0.5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t="str">
        <x:v>placed left. put on top but slid to the left</x:v>
      </x:c>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pi0.5 Results</x:v>
      </x:c>
      <x:c r="AM499" s="9" t="n">
        <x:v>49</x:v>
      </x:c>
      <x:c r="AN499" s="9" t="n">
        <x:v>49</x:v>
      </x:c>
    </x:row>
    <x:row r="500">
      <x:c r="A500" s="9" t="str">
        <x:v>Success</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t="str">
        <x:v>struggled with grasping pen, but got it</x:v>
      </x:c>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pi0.5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t="str">
        <x:v>placed to the left</x:v>
      </x:c>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pi0.5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to the left</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pi0.5 Results</x:v>
      </x:c>
      <x:c r="AM502" s="9" t="n">
        <x:v>52</x:v>
      </x:c>
      <x:c r="AN502" s="9" t="n">
        <x:v>52</x:v>
      </x:c>
    </x:row>
    <x:row r="503">
      <x:c r="A503" s="9" t="str">
        <x:v>Success</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t="str">
        <x:v>placed to the left</x:v>
      </x:c>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pi0.5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pi0.5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in front</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pi0.5 Results</x:v>
      </x:c>
      <x:c r="AM505" s="9" t="n">
        <x:v>55</x:v>
      </x:c>
      <x:c r="AN505" s="9" t="n">
        <x:v>55</x:v>
      </x:c>
    </x:row>
    <x:row r="506">
      <x:c r="A506" s="9" t="str">
        <x:v>Success</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in front</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pi0.5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t="str">
        <x:v>placed in front</x:v>
      </x:c>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pi0.5 Results</x:v>
      </x:c>
      <x:c r="AM507" s="9" t="n">
        <x:v>57</x:v>
      </x:c>
      <x:c r="AN507" s="9" t="n">
        <x:v>57</x:v>
      </x:c>
    </x:row>
    <x:row r="508">
      <x:c r="A508" s="9" t="str">
        <x:v>Success</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pi0.5 Results</x:v>
      </x:c>
      <x:c r="AM508" s="9" t="n">
        <x:v>58</x:v>
      </x:c>
      <x:c r="AN508" s="9" t="n">
        <x:v>58</x:v>
      </x:c>
    </x:row>
    <x:row r="509">
      <x:c r="A509" s="9" t="str">
        <x:v>Failure</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placed smack on top</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pi0.5 Results</x:v>
      </x:c>
      <x:c r="AM509" s="9" t="n">
        <x:v>59</x:v>
      </x:c>
      <x:c r="AN509" s="9" t="n">
        <x:v>59</x:v>
      </x:c>
    </x:row>
    <x:row r="510">
      <x:c r="A510" s="9" t="str">
        <x:v>Success</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pi0.5 Results</x:v>
      </x:c>
      <x:c r="AM510" s="9" t="n">
        <x:v>60</x:v>
      </x:c>
      <x:c r="AN510" s="9" t="n">
        <x:v>60</x:v>
      </x:c>
    </x:row>
    <x:row r="511">
      <x:c r="A511" s="9" t="str">
        <x:v>Success</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t="str">
        <x:v>placed to the right; leaning on the block though</x:v>
      </x:c>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pi0.5 Results</x:v>
      </x:c>
      <x:c r="AM511" s="9" t="n">
        <x:v>61</x:v>
      </x:c>
      <x:c r="AN511" s="9" t="n">
        <x:v>61</x:v>
      </x:c>
    </x:row>
    <x:row r="512">
      <x:c r="A512" s="9" t="str">
        <x:v>Success</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pi0.5 Results</x:v>
      </x:c>
      <x:c r="AM512" s="9" t="n">
        <x:v>62</x:v>
      </x:c>
      <x:c r="AN512" s="9" t="n">
        <x:v>62</x:v>
      </x:c>
    </x:row>
    <x:row r="513">
      <x:c r="A513" s="9" t="str">
        <x:v>Success</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t="str">
        <x:v>placed behind</x:v>
      </x:c>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pi0.5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pi0.5 Results</x:v>
      </x:c>
      <x:c r="AM514" s="9" t="n">
        <x:v>64</x:v>
      </x:c>
      <x:c r="AN514" s="9" t="n">
        <x:v>64</x:v>
      </x:c>
    </x:row>
    <x:row r="515">
      <x:c r="A515" s="9" t="str">
        <x:v>Success</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placed in front</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pi0.5 Results</x:v>
      </x:c>
      <x:c r="AM515" s="9" t="n">
        <x:v>65</x:v>
      </x:c>
      <x:c r="AN515" s="9" t="n">
        <x:v>65</x:v>
      </x:c>
    </x:row>
    <x:row r="516">
      <x:c r="A516" s="9" t="str">
        <x:v>Success</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pi0.5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the back; leaning on the pen towards the back</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pi0.5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pi0.5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placed in front</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pi0.5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pi0.5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t="str">
        <x:v>put on left</x:v>
      </x:c>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pi0.5 Results</x:v>
      </x:c>
      <x:c r="AM521" s="9" t="n">
        <x:v>71</x:v>
      </x:c>
      <x:c r="AN521" s="9" t="n">
        <x:v>71</x:v>
      </x:c>
    </x:row>
    <x:row r="522">
      <x:c r="A522" s="9" t="str">
        <x:v>Success</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pi0.5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pushed the block with the pen and plen ended up in front of the block</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pi0.5 Results</x:v>
      </x:c>
      <x:c r="AM523" s="9" t="n">
        <x:v>73</x:v>
      </x:c>
      <x:c r="AN523" s="9" t="n">
        <x:v>73</x:v>
      </x:c>
    </x:row>
    <x:row r="524">
      <x:c r="A524" s="9" t="str">
        <x:v>Failure</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t="str">
        <x:v>failed to grasp the red block</x:v>
      </x:c>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pi0.5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to left</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pi0.5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pi0.5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to right</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pi0.5 Results</x:v>
      </x:c>
      <x:c r="AM527" s="9" t="n">
        <x:v>77</x:v>
      </x:c>
      <x:c r="AN527" s="9" t="n">
        <x:v>77</x:v>
      </x:c>
    </x:row>
    <x:row r="528">
      <x:c r="A528" s="9" t="str">
        <x:v>Failure</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t="str">
        <x:v>placed in front</x:v>
      </x:c>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pi0.5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t="str">
        <x:v>placed in back</x:v>
      </x:c>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pi0.5 Results</x:v>
      </x:c>
      <x:c r="AM529" s="9" t="n">
        <x:v>79</x:v>
      </x:c>
      <x:c r="AN529" s="9" t="n">
        <x:v>79</x:v>
      </x:c>
    </x:row>
    <x:row r="530">
      <x:c r="A530" s="9" t="str">
        <x:v>Failure</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t="str">
        <x:v>placed on top and slid to the left</x:v>
      </x:c>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pi0.5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placed in front</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pi0.5 Results</x:v>
      </x:c>
      <x:c r="AM531" s="9" t="n">
        <x:v>81</x:v>
      </x:c>
      <x:c r="AN531" s="9" t="n">
        <x:v>81</x:v>
      </x:c>
    </x:row>
    <x:row r="532">
      <x:c r="A532" s="9" t="str">
        <x:v>Success</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pi0.5 Results</x:v>
      </x:c>
      <x:c r="AM532" s="9" t="n">
        <x:v>82</x:v>
      </x:c>
      <x:c r="AN532" s="9" t="n">
        <x:v>82</x:v>
      </x:c>
    </x:row>
    <x:row r="533">
      <x:c r="A533" s="9" t="str">
        <x:v>Success</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t="str">
        <x:v>placed on right</x:v>
      </x:c>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pi0.5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on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pi0.5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t="str">
        <x:v>placed on the left</x:v>
      </x:c>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pi0.5 Results</x:v>
      </x:c>
      <x:c r="AM535" s="9" t="n">
        <x:v>85</x:v>
      </x:c>
      <x:c r="AN535" s="9" t="n">
        <x:v>85</x:v>
      </x:c>
    </x:row>
    <x:row r="536">
      <x:c r="A536" s="9" t="str">
        <x:v>Success</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pi0.5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front left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pi0.5 Results</x:v>
      </x:c>
      <x:c r="AM537" s="9" t="n">
        <x:v>87</x:v>
      </x:c>
      <x:c r="AN537" s="9" t="n">
        <x:v>87</x:v>
      </x:c>
    </x:row>
    <x:row r="538">
      <x:c r="A538" s="9" t="str">
        <x:v>Success</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pi0.5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t="str">
        <x:v>placed red block in front</x:v>
      </x:c>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pi0.5 Results</x:v>
      </x:c>
      <x:c r="AM539" s="9" t="n">
        <x:v>89</x:v>
      </x:c>
      <x:c r="AN539" s="9" t="n">
        <x:v>89</x:v>
      </x:c>
    </x:row>
    <x:row r="540">
      <x:c r="A540" s="9" t="str">
        <x:v>Success</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pi0.5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behind</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pi0.5 Results</x:v>
      </x:c>
      <x:c r="AM541" s="9" t="n">
        <x:v>91</x:v>
      </x:c>
      <x:c r="AN541" s="9" t="n">
        <x:v>91</x:v>
      </x:c>
    </x:row>
    <x:row r="542">
      <x:c r="A542" s="9" t="str">
        <x:v>Success</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pi0.5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placed in front</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pi0.5 Results</x:v>
      </x:c>
      <x:c r="AM543" s="9" t="n">
        <x:v>93</x:v>
      </x:c>
      <x:c r="AN543" s="9" t="n">
        <x:v>93</x:v>
      </x:c>
    </x:row>
    <x:row r="544">
      <x:c r="A544" s="9" t="str">
        <x:v>Success</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pi0.5 Results</x:v>
      </x:c>
      <x:c r="AM544" s="9" t="n">
        <x:v>94</x:v>
      </x:c>
      <x:c r="AN544" s="9" t="n">
        <x:v>94</x:v>
      </x:c>
    </x:row>
    <x:row r="545">
      <x:c r="A545" s="9" t="str">
        <x:v>Failure</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t="str">
        <x:v>placed behind</x:v>
      </x:c>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pi0.5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pi0.5 Results</x:v>
      </x:c>
      <x:c r="AM546" s="9" t="n">
        <x:v>96</x:v>
      </x:c>
      <x:c r="AN546" s="9" t="n">
        <x:v>96</x:v>
      </x:c>
    </x:row>
    <x:row r="547">
      <x:c r="A547" s="9" t="str">
        <x:v>Success</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placed to the left</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pi0.5 Results</x:v>
      </x:c>
      <x:c r="AM547" s="9" t="n">
        <x:v>97</x:v>
      </x:c>
      <x:c r="AN547" s="9" t="n">
        <x:v>97</x:v>
      </x:c>
    </x:row>
    <x:row r="548">
      <x:c r="A548" s="9" t="str">
        <x:v>Failure</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t="str">
        <x:v>placed right; leaning on pen</x:v>
      </x:c>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pi0.5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placed on right</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pi0.5 Results</x:v>
      </x:c>
      <x:c r="AM549" s="9" t="n">
        <x:v>99</x:v>
      </x:c>
      <x:c r="AN549" s="9" t="n">
        <x:v>99</x:v>
      </x:c>
    </x:row>
    <x:row r="550">
      <x:c r="A550" s="9" t="str">
        <x:v>Success</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pi0.5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right back</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pi0.5 Results</x:v>
      </x:c>
      <x:c r="AM551" s="9" t="n">
        <x:v>101</x:v>
      </x:c>
      <x:c r="AN551" s="9" t="n">
        <x:v>101</x:v>
      </x:c>
    </x:row>
    <x:row r="552">
      <x:c r="A552" s="9" t="str">
        <x:v>Success</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pi0.5 Results</x:v>
      </x:c>
      <x:c r="AM552" s="9" t="n">
        <x:v>102</x:v>
      </x:c>
      <x:c r="AN552" s="9" t="n">
        <x:v>102</x:v>
      </x:c>
    </x:row>
    <x:row r="553">
      <x:c r="A553" s="9" t="str">
        <x:v>Success</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placed in front</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pi0.5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pi0.5 Results</x:v>
      </x:c>
      <x:c r="AM554" s="9" t="n">
        <x:v>104</x:v>
      </x:c>
      <x:c r="AN554" s="9" t="n">
        <x:v>104</x:v>
      </x:c>
    </x:row>
    <x:row r="555">
      <x:c r="A555" s="9" t="str">
        <x:v>Success</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placed on right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pi0.5 Results</x:v>
      </x:c>
      <x:c r="AM555" s="9" t="n">
        <x:v>105</x:v>
      </x:c>
      <x:c r="AN555" s="9" t="n">
        <x:v>105</x:v>
      </x:c>
    </x:row>
    <x:row r="556">
      <x:c r="A556" s="9" t="str">
        <x:v>Success</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pi0.5 Results</x:v>
      </x:c>
      <x:c r="AM556" s="9" t="n">
        <x:v>106</x:v>
      </x:c>
      <x:c r="AN556" s="9" t="n">
        <x:v>106</x:v>
      </x:c>
    </x:row>
    <x:row r="557">
      <x:c r="A557" s="9" t="str">
        <x:v>Failure</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t="str">
        <x:v>placed behind; leaning on green pen</x:v>
      </x:c>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pi0.5 Results</x:v>
      </x:c>
      <x:c r="AM557" s="9" t="n">
        <x:v>107</x:v>
      </x:c>
      <x:c r="AN557" s="9" t="n">
        <x:v>107</x:v>
      </x:c>
    </x:row>
    <x:row r="558">
      <x:c r="A558" s="9" t="str">
        <x:v>Failure</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t="str">
        <x:v>placed to the right of the red blcok</x:v>
      </x:c>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pi0.5 Results</x:v>
      </x:c>
      <x:c r="AM558" s="9" t="n">
        <x:v>108</x:v>
      </x:c>
      <x:c r="AN558" s="9" t="n">
        <x:v>108</x:v>
      </x:c>
    </x:row>
    <x:row r="559">
      <x:c r="A559" s="9" t="str">
        <x:v>Success</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pi0.5 Results</x:v>
      </x:c>
      <x:c r="AM559" s="9" t="n">
        <x:v>109</x:v>
      </x:c>
      <x:c r="AN559" s="9" t="n">
        <x:v>109</x:v>
      </x:c>
    </x:row>
    <x:row r="560">
      <x:c r="A560" s="9" t="str">
        <x:v>Success</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pi0.5 Results</x:v>
      </x:c>
      <x:c r="AM560" s="9" t="n">
        <x:v>110</x:v>
      </x:c>
      <x:c r="AN560" s="9" t="n">
        <x:v>110</x:v>
      </x:c>
    </x:row>
    <x:row r="561">
      <x:c r="A561" s="9" t="str">
        <x:v>Success</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leaning on the pen</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pi0.5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pi0.5 Results</x:v>
      </x:c>
      <x:c r="AM562" s="9" t="n">
        <x:v>112</x:v>
      </x:c>
      <x:c r="AN562" s="9" t="n">
        <x:v>112</x:v>
      </x:c>
    </x:row>
    <x:row r="563">
      <x:c r="A563" s="9" t="str">
        <x:v>Success</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behind and to the right</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pi0.5 Results</x:v>
      </x:c>
      <x:c r="AM563" s="9" t="n">
        <x:v>113</x:v>
      </x:c>
      <x:c r="AN563" s="9" t="n">
        <x:v>113</x:v>
      </x:c>
    </x:row>
    <x:row r="564">
      <x:c r="A564" s="9" t="str">
        <x:v>Failure</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t="str">
        <x:v>placed on the left; hesitation before movement</x:v>
      </x:c>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pi0.5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hesitation before movement. placed in back, but it rolled off the ball to the right.</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pi0.5 Results</x:v>
      </x:c>
      <x:c r="AM565" s="9" t="n">
        <x:v>115</x:v>
      </x:c>
      <x:c r="AN565" s="9" t="n">
        <x:v>115</x:v>
      </x:c>
    </x:row>
    <x:row r="566">
      <x:c r="A566" s="9" t="str">
        <x:v>Failure</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t="str">
        <x:v>plcaed left</x:v>
      </x:c>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pi0.5 Results</x:v>
      </x:c>
      <x:c r="AM566" s="9" t="n">
        <x:v>116</x:v>
      </x:c>
      <x:c r="AN566" s="9" t="n">
        <x:v>116</x:v>
      </x:c>
    </x:row>
    <x:row r="567">
      <x:c r="A567" s="9" t="str">
        <x:v>Success</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pi0.5 Results</x:v>
      </x:c>
      <x:c r="AM567" s="9" t="n">
        <x:v>117</x:v>
      </x:c>
      <x:c r="AN567" s="9" t="n">
        <x:v>117</x:v>
      </x:c>
    </x:row>
    <x:row r="568">
      <x:c r="A568" s="9" t="str">
        <x:v>Success</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t="str">
        <x:v>front right, but I'll count it</x:v>
      </x:c>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pi0.5 Results</x:v>
      </x:c>
      <x:c r="AM568" s="9" t="n">
        <x:v>118</x:v>
      </x:c>
      <x:c r="AN568" s="9" t="n">
        <x:v>118</x:v>
      </x:c>
    </x:row>
    <x:row r="569">
      <x:c r="A569" s="9" t="str">
        <x:v>Success</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pi0.5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pi0.5 Results</x:v>
      </x:c>
      <x:c r="AM570" s="9" t="n">
        <x:v>120</x:v>
      </x:c>
      <x:c r="AN570" s="9" t="n">
        <x:v>120</x:v>
      </x:c>
    </x:row>
    <x:row r="571">
      <x:c r="A571" s="9" t="str">
        <x:v>Success</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pi0.5 Results</x:v>
      </x:c>
      <x:c r="AM571" s="9" t="n">
        <x:v>121</x:v>
      </x:c>
      <x:c r="AN571" s="9" t="n">
        <x:v>121</x:v>
      </x:c>
    </x:row>
    <x:row r="572">
      <x:c r="A572" s="9" t="str">
        <x:v>Failure</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placed to the front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pi0.5 Results</x:v>
      </x:c>
      <x:c r="AM572" s="9" t="n">
        <x:v>122</x:v>
      </x:c>
      <x:c r="AN572" s="9" t="n">
        <x:v>122</x:v>
      </x:c>
    </x:row>
    <x:row r="573">
      <x:c r="A573" s="9" t="str">
        <x:v>Failure</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t="str">
        <x:v>placed to the front</x:v>
      </x:c>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pi0.5 Results</x:v>
      </x:c>
      <x:c r="AM573" s="9" t="n">
        <x:v>123</x:v>
      </x:c>
      <x:c r="AN573" s="9" t="n">
        <x:v>123</x:v>
      </x:c>
    </x:row>
    <x:row r="574">
      <x:c r="A574" s="9" t="str">
        <x:v>Failure</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t="str">
        <x:v>placed ball right on top of the block</x:v>
      </x:c>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pi0.5 Results</x:v>
      </x:c>
      <x:c r="AM574" s="9" t="n">
        <x:v>124</x:v>
      </x:c>
      <x:c r="AN574" s="9" t="n">
        <x:v>124</x:v>
      </x:c>
    </x:row>
    <x:row r="575">
      <x:c r="A575" s="9" t="str">
        <x:v>Success</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put on top and rolled to the right</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pi0.5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placed to the back</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pi0.5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on top and rolled to the back</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pi0.5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pi0.5 Results</x:v>
      </x:c>
      <x:c r="AM578" s="9" t="n">
        <x:v>128</x:v>
      </x:c>
      <x:c r="AN578" s="9" t="n">
        <x:v>128</x:v>
      </x:c>
    </x:row>
    <x:row r="579">
      <x:c r="A579" s="9" t="str">
        <x:v>Success</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pi0.5 Results</x:v>
      </x:c>
      <x:c r="AM579" s="9" t="n">
        <x:v>129</x:v>
      </x:c>
      <x:c r="AN579" s="9" t="n">
        <x:v>129</x:v>
      </x:c>
    </x:row>
    <x:row r="580">
      <x:c r="A580" s="9" t="str">
        <x:v>Failure</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t="str">
        <x:v>placed on top of pen and rolled to the right</x:v>
      </x:c>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pi0.5 Results</x:v>
      </x:c>
      <x:c r="AM580" s="9" t="n">
        <x:v>130</x:v>
      </x:c>
      <x:c r="AN580" s="9" t="n">
        <x:v>130</x:v>
      </x:c>
    </x:row>
    <x:row r="581">
      <x:c r="A581" s="9" t="str">
        <x:v>Success</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pi0.5 Results</x:v>
      </x:c>
      <x:c r="AM581" s="9" t="n">
        <x:v>131</x:v>
      </x:c>
      <x:c r="AN581" s="9" t="n">
        <x:v>131</x:v>
      </x:c>
    </x:row>
    <x:row r="582">
      <x:c r="A582" s="9" t="str">
        <x:v>Success</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pi0.5 Results</x:v>
      </x:c>
      <x:c r="AM582" s="9" t="n">
        <x:v>132</x:v>
      </x:c>
      <x:c r="AN582" s="9" t="n">
        <x:v>132</x:v>
      </x:c>
    </x:row>
    <x:row r="583">
      <x:c r="A583" s="9" t="str">
        <x:v>Failure</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t="str">
        <x:v>went for the pink marker, but didn't grab it</x:v>
      </x:c>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pi0.5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robot didn't move</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pi0.5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placed in front</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pi0.5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went for the green pen twice, but didn't move it.</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pi0.5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didn't move</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pi0.5 Results</x:v>
      </x:c>
      <x:c r="AM587" s="9" t="n">
        <x:v>137</x:v>
      </x:c>
      <x:c r="AN587" s="9" t="n">
        <x:v>137</x:v>
      </x:c>
    </x:row>
    <x:row r="588">
      <x:c r="A588" s="9" t="str">
        <x:v>Success</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pi0.5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pi0.5 Results</x:v>
      </x:c>
      <x:c r="AM589" s="9" t="n">
        <x:v>139</x:v>
      </x:c>
      <x:c r="AN589" s="9" t="n">
        <x:v>139</x:v>
      </x:c>
    </x:row>
    <x:row r="590">
      <x:c r="A590" s="9" t="str">
        <x:v>Failure</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t="str">
        <x:v>moved the green pen to the front of the blue block</x:v>
      </x:c>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pi0.5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went to the blue block 5 times, and pushed it around a little bit. Still stayed on the right.</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pi0.5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didn't move</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pi0.5 Results</x:v>
      </x:c>
      <x:c r="AM592" s="9" t="n">
        <x:v>142</x:v>
      </x:c>
      <x:c r="AN592" s="9" t="n">
        <x:v>142</x:v>
      </x:c>
    </x:row>
    <x:row r="593">
      <x:c r="A593" s="9" t="str">
        <x:v>Failure</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t="str">
        <x:v>didn't move</x:v>
      </x:c>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pi0.5 Results</x:v>
      </x:c>
      <x:c r="AM593" s="9" t="n">
        <x:v>143</x:v>
      </x:c>
      <x:c r="AN593" s="9" t="n">
        <x:v>143</x:v>
      </x:c>
    </x:row>
    <x:row r="594">
      <x:c r="A594" s="9" t="str">
        <x:v>Success</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pi0.5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t="str">
        <x:v>didn't move</x:v>
      </x:c>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pi0.5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pi0.5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pi0.5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pi0.5 Results</x:v>
      </x:c>
      <x:c r="AM598" s="9" t="n">
        <x:v>148</x:v>
      </x:c>
      <x:c r="AN598" s="9" t="n">
        <x:v>148</x:v>
      </x:c>
    </x:row>
    <x:row r="599">
      <x:c r="A599" s="9" t="str">
        <x:v>Success</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pi0.5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didn't move</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pi0.5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didn't move</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pi0.5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didn't move</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pi0.5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t="str">
        <x:v>went for pink marker twice but didn't move it</x:v>
      </x:c>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pi0.5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pi0.5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pi0.5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pi0.5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pi0.5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pi0.5 Results</x:v>
      </x:c>
      <x:c r="AM608" s="9" t="n">
        <x:v>158</x:v>
      </x:c>
      <x:c r="AN608" s="9" t="n">
        <x:v>158</x:v>
      </x:c>
    </x:row>
    <x:row r="609">
      <x:c r="A609" s="9" t="str">
        <x:v>Success</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very interesting rollout. Put it in front once, but no that close. went home and then back to put it closer</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pi0.5 Results</x:v>
      </x:c>
      <x:c r="AM609" s="9" t="n">
        <x:v>159</x:v>
      </x:c>
      <x:c r="AN609" s="9" t="n">
        <x:v>159</x:v>
      </x:c>
    </x:row>
    <x:row r="610">
      <x:c r="A610" s="9" t="str">
        <x:v>Success</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pi0.5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pi0.5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pi0.5 Results</x:v>
      </x:c>
      <x:c r="AM612" s="9" t="n">
        <x:v>162</x:v>
      </x:c>
      <x:c r="AN612" s="9" t="n">
        <x:v>162</x:v>
      </x:c>
    </x:row>
    <x:row r="613">
      <x:c r="A613" s="9" t="str">
        <x:v>Failure</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t="str">
        <x:v>moved to the pink marker 2 times</x:v>
      </x:c>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pi0.5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pi0.5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pi0.5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pi0.5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pi0.5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didn't move</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pi0.5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pi0.5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pi0.5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pi0.5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pi0.5 Results</x:v>
      </x:c>
      <x:c r="AM622" s="9" t="n">
        <x:v>2</x:v>
      </x:c>
      <x:c r="AN622" s="9" t="n">
        <x:v>2</x:v>
      </x:c>
    </x:row>
    <x:row r="623">
      <x:c r="A623" s="9" t="str">
        <x:v>Success</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pi0.5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pi0.5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pi0.5 Results</x:v>
      </x:c>
      <x:c r="AM625" s="9" t="n">
        <x:v>5</x:v>
      </x:c>
      <x:c r="AN625" s="9" t="n">
        <x:v>5</x:v>
      </x:c>
    </x:row>
    <x:row r="626">
      <x:c r="A626" s="9" t="str">
        <x:v>Failure</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t="str">
        <x:v>picked pepsi can</x:v>
      </x:c>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pi0.5 Results</x:v>
      </x:c>
      <x:c r="AM626" s="9" t="n">
        <x:v>6</x:v>
      </x:c>
      <x:c r="AN626" s="9" t="n">
        <x:v>6</x:v>
      </x:c>
    </x:row>
    <x:row r="627">
      <x:c r="A627" s="9" t="str">
        <x:v>Success</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pi0.5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pi0.5 Results</x:v>
      </x:c>
      <x:c r="AM628" s="9" t="n">
        <x:v>8</x:v>
      </x:c>
      <x:c r="AN628" s="9" t="n">
        <x:v>8</x:v>
      </x:c>
    </x:row>
    <x:row r="629">
      <x:c r="A629" s="9" t="str">
        <x:v>Success</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pi0.5 Results</x:v>
      </x:c>
      <x:c r="AM629" s="9" t="n">
        <x:v>9</x:v>
      </x:c>
      <x:c r="AN629" s="9" t="n">
        <x:v>9</x:v>
      </x:c>
    </x:row>
    <x:row r="630">
      <x:c r="A630" s="9" t="str">
        <x:v>Success</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pi0.5 Results</x:v>
      </x:c>
      <x:c r="AM630" s="9" t="n">
        <x:v>10</x:v>
      </x:c>
      <x:c r="AN630" s="9" t="n">
        <x:v>10</x:v>
      </x:c>
    </x:row>
    <x:row r="631">
      <x:c r="A631" s="9" t="str">
        <x:v>Failure</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t="str">
        <x:v>picked one closest</x:v>
      </x:c>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pi0.5 Results</x:v>
      </x:c>
      <x:c r="AM631" s="9" t="n">
        <x:v>11</x:v>
      </x:c>
      <x:c r="AN631" s="9" t="n">
        <x:v>11</x:v>
      </x:c>
    </x:row>
    <x:row r="632">
      <x:c r="A632" s="9" t="str">
        <x:v>Success</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pi0.5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pi0.5 Results</x:v>
      </x:c>
      <x:c r="AM633" s="9" t="n">
        <x:v>13</x:v>
      </x:c>
      <x:c r="AN633" s="9" t="n">
        <x:v>13</x:v>
      </x:c>
    </x:row>
    <x:row r="634">
      <x:c r="A634" s="9" t="str">
        <x:v>Failure</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t="str">
        <x:v>picked aiplanetoy between the pencil sharpeners</x:v>
      </x:c>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pi0.5 Results</x:v>
      </x:c>
      <x:c r="AM634" s="9" t="n">
        <x:v>14</x:v>
      </x:c>
      <x:c r="AN634" s="9" t="n">
        <x:v>14</x:v>
      </x:c>
    </x:row>
    <x:row r="635">
      <x:c r="A635" s="9" t="str">
        <x:v>Success</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t="str">
        <x:v>reasoning failure. went for the plane toy not between, dropped it, and during recovery, went for the correct one and got. failure for reasoning though.</x:v>
      </x:c>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pi0.5 Results</x:v>
      </x:c>
      <x:c r="AM635" s="9" t="n">
        <x:v>15</x:v>
      </x:c>
      <x:c r="AN635" s="9" t="n">
        <x:v>15</x:v>
      </x:c>
    </x:row>
    <x:row r="636">
      <x:c r="A636" s="9" t="str">
        <x:v>Success</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pi0.5 Results</x:v>
      </x:c>
      <x:c r="AM636" s="9" t="n">
        <x:v>16</x:v>
      </x:c>
      <x:c r="AN636" s="9" t="n">
        <x:v>16</x:v>
      </x:c>
    </x:row>
    <x:row r="637">
      <x:c r="A637" s="9" t="str">
        <x:v>Success</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pi0.5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pi0.5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pi0.5 Results</x:v>
      </x:c>
      <x:c r="AM639" s="9" t="n">
        <x:v>19</x:v>
      </x:c>
      <x:c r="AN639" s="9" t="n">
        <x:v>19</x:v>
      </x:c>
    </x:row>
    <x:row r="640">
      <x:c r="A640" s="9" t="str">
        <x:v>Failure</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t="str">
        <x:v>picked pen closest</x:v>
      </x:c>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pi0.5 Results</x:v>
      </x:c>
      <x:c r="AM640" s="9" t="n">
        <x:v>20</x:v>
      </x:c>
      <x:c r="AN640" s="9" t="n">
        <x:v>20</x:v>
      </x:c>
    </x:row>
    <x:row r="641">
      <x:c r="A641" s="9" t="str">
        <x:v>Success</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pi0.5 Results</x:v>
      </x:c>
      <x:c r="AM641" s="9" t="n">
        <x:v>21</x:v>
      </x:c>
      <x:c r="AN641" s="9" t="n">
        <x:v>21</x:v>
      </x:c>
    </x:row>
    <x:row r="642">
      <x:c r="A642" s="9" t="str">
        <x:v>Failure</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t="str">
        <x:v>picked the closest one</x:v>
      </x:c>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pi0.5 Results</x:v>
      </x:c>
      <x:c r="AM642" s="9" t="n">
        <x:v>22</x:v>
      </x:c>
      <x:c r="AN642" s="9" t="n">
        <x:v>22</x:v>
      </x:c>
    </x:row>
    <x:row r="643">
      <x:c r="A643" s="9" t="str">
        <x:v>Failure</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t="str">
        <x:v>picked airplane without propellors</x:v>
      </x:c>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pi0.5 Results</x:v>
      </x:c>
      <x:c r="AM643" s="9" t="n">
        <x:v>23</x:v>
      </x:c>
      <x:c r="AN643" s="9" t="n">
        <x:v>23</x:v>
      </x:c>
    </x:row>
    <x:row r="644">
      <x:c r="A644" s="9" t="str">
        <x:v>Failure</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t="str">
        <x:v>went for closest one and couldn't grasp it. failed reasoning and grasping</x:v>
      </x:c>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pi0.5 Results</x:v>
      </x:c>
      <x:c r="AM644" s="9" t="n">
        <x:v>24</x:v>
      </x:c>
      <x:c r="AN644" s="9" t="n">
        <x:v>24</x:v>
      </x:c>
    </x:row>
    <x:row r="645">
      <x:c r="A645" s="9" t="str">
        <x:v>Failure</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t="str">
        <x:v>picked non-propellor plane</x:v>
      </x:c>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pi0.5 Results</x:v>
      </x:c>
      <x:c r="AM645" s="9" t="n">
        <x:v>25</x:v>
      </x:c>
      <x:c r="AN645" s="9" t="n">
        <x:v>25</x:v>
      </x:c>
    </x:row>
    <x:row r="646">
      <x:c r="A646" s="9" t="str">
        <x:v>Failure</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t="str">
        <x:v>picked soda can furthest from green pen</x:v>
      </x:c>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pi0.5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pi0.5 Results</x:v>
      </x:c>
      <x:c r="AM647" s="9" t="n">
        <x:v>27</x:v>
      </x:c>
      <x:c r="AN647" s="9" t="n">
        <x:v>27</x:v>
      </x:c>
    </x:row>
    <x:row r="648">
      <x:c r="A648" s="9" t="str">
        <x:v>Failure</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pi0.5 Results</x:v>
      </x:c>
      <x:c r="AM648" s="9" t="n">
        <x:v>28</x:v>
      </x:c>
      <x:c r="AN648" s="9" t="n">
        <x:v>28</x:v>
      </x:c>
    </x:row>
    <x:row r="649">
      <x:c r="A649" s="9" t="str">
        <x:v>Failure</x:v>
      </x:c>
      <x:c r="B649" s="9" t="str">
        <x:v>Referential Disambiguation</x:v>
      </x:c>
      <x:c r="C649" s="10" t="n">
        <x:v>27</x:v>
      </x:c>
      <x:c r="D649" s="9" t="str">
        <x:v>Take the crushed Coke can and set it in the bowl.</x:v>
      </x:c>
      <x:c r="E649" s="9" t="str">
        <x:v>crushed Coke can; crushed Pepsi can; green pen</x:v>
      </x:c>
      <x:c r="F649" s="9" t="str">
        <x:v>crushed Coke can</x:v>
      </x:c>
      <x:c r="G649" s="9" t="str">
        <x:v>picked the crushed pepsi can </x:v>
      </x:c>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pi0.5 Results</x:v>
      </x:c>
      <x:c r="AM649" s="9" t="n">
        <x:v>29</x:v>
      </x:c>
      <x:c r="AN649" s="9" t="n">
        <x:v>29</x:v>
      </x:c>
    </x:row>
    <x:row r="650">
      <x:c r="A650" s="9" t="str">
        <x:v>Success</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pi0.5 Results</x:v>
      </x:c>
      <x:c r="AM650" s="9" t="n">
        <x:v>30</x:v>
      </x:c>
      <x:c r="AN650" s="9" t="n">
        <x:v>30</x:v>
      </x:c>
    </x:row>
    <x:row r="651">
      <x:c r="A651" s="9" t="str">
        <x:v>Success</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pi0.5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pi0.5 Results</x:v>
      </x:c>
      <x:c r="AM652" s="9" t="n">
        <x:v>32</x:v>
      </x:c>
      <x:c r="AN652" s="9" t="n">
        <x:v>32</x:v>
      </x:c>
    </x:row>
    <x:row r="653">
      <x:c r="A653" s="9" t="str">
        <x:v>Success</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pi0.5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pi0.5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pi0.5 Results</x:v>
      </x:c>
      <x:c r="AM655" s="9" t="n">
        <x:v>35</x:v>
      </x:c>
      <x:c r="AN655" s="9" t="n">
        <x:v>35</x:v>
      </x:c>
    </x:row>
    <x:row r="656">
      <x:c r="A656" s="9" t="str">
        <x:v>Success</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pi0.5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pi0.5 Results</x:v>
      </x:c>
      <x:c r="AM657" s="9" t="n">
        <x:v>37</x:v>
      </x:c>
      <x:c r="AN657" s="9" t="n">
        <x:v>37</x:v>
      </x:c>
    </x:row>
    <x:row r="658">
      <x:c r="A658" s="9" t="str">
        <x:v>Failure</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t="str">
        <x:v>picked pepsi can; furthest from ariplane toy</x:v>
      </x:c>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pi0.5 Results</x:v>
      </x:c>
      <x:c r="AM658" s="9" t="n">
        <x:v>38</x:v>
      </x:c>
      <x:c r="AN658" s="9" t="n">
        <x:v>38</x:v>
      </x:c>
    </x:row>
    <x:row r="659">
      <x:c r="A659" s="9" t="str">
        <x:v>Failure</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t="str">
        <x:v>went for the coke can, but couldn't grasp it. Reasoning succeeded</x:v>
      </x:c>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pi0.5 Results</x:v>
      </x:c>
      <x:c r="AM659" s="9" t="n">
        <x:v>39</x:v>
      </x:c>
      <x:c r="AN659" s="9" t="n">
        <x:v>39</x:v>
      </x:c>
    </x:row>
    <x:row r="660">
      <x:c r="A660" s="9" t="str">
        <x:v>Success</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t="str">
        <x:v>failed reasoning. went for pepsi can, knocked it out of range, then got the coke can. </x:v>
      </x:c>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pi0.5 Results</x:v>
      </x:c>
      <x:c r="AM660" s="9" t="n">
        <x:v>40</x:v>
      </x:c>
      <x:c r="AN660" s="9" t="n">
        <x:v>40</x:v>
      </x:c>
    </x:row>
    <x:row r="661">
      <x:c r="A661" s="9" t="str">
        <x:v>Success</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pi0.5 Results</x:v>
      </x:c>
      <x:c r="AM661" s="9" t="n">
        <x:v>41</x:v>
      </x:c>
      <x:c r="AN661" s="9" t="n">
        <x:v>41</x:v>
      </x:c>
    </x:row>
    <x:row r="662">
      <x:c r="A662" s="9" t="str">
        <x:v>Failure</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t="str">
        <x:v>picked the sharpener between the yellow pen and airplane toy without propellors</x:v>
      </x:c>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pi0.5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pi0.5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picked the sharpener between the yellow pen and airplane toy without propellors</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pi0.5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pi0.5 Results</x:v>
      </x:c>
      <x:c r="AM665" s="9" t="n">
        <x:v>45</x:v>
      </x:c>
      <x:c r="AN665" s="9" t="n">
        <x:v>45</x:v>
      </x:c>
    </x:row>
    <x:row r="666">
      <x:c r="A666" s="9" t="str">
        <x:v>Failure</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t="str">
        <x:v>picked the airplane toy closest</x:v>
      </x:c>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pi0.5 Results</x:v>
      </x:c>
      <x:c r="AM666" s="9" t="n">
        <x:v>46</x:v>
      </x:c>
      <x:c r="AN666" s="9" t="n">
        <x:v>46</x:v>
      </x:c>
    </x:row>
    <x:row r="667">
      <x:c r="A667" s="9" t="str">
        <x:v>Failure</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t="str">
        <x:v>picked the propellor plane</x:v>
      </x:c>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pi0.5 Results</x:v>
      </x:c>
      <x:c r="AM667" s="9" t="n">
        <x:v>47</x:v>
      </x:c>
      <x:c r="AN667" s="9" t="n">
        <x:v>47</x:v>
      </x:c>
    </x:row>
    <x:row r="668">
      <x:c r="A668" s="9" t="str">
        <x:v>Failure</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t="str">
        <x:v>picked the airplane toy closest</x:v>
      </x:c>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pi0.5 Results</x:v>
      </x:c>
      <x:c r="AM668" s="9" t="n">
        <x:v>48</x:v>
      </x:c>
      <x:c r="AN668" s="9" t="n">
        <x:v>48</x:v>
      </x:c>
    </x:row>
    <x:row r="669">
      <x:c r="A669" s="9" t="str">
        <x:v>Failure</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pi0.5 Results</x:v>
      </x:c>
      <x:c r="AM669" s="9" t="n">
        <x:v>49</x:v>
      </x:c>
      <x:c r="AN669" s="9" t="n">
        <x:v>49</x:v>
      </x:c>
    </x:row>
    <x:row r="670">
      <x:c r="A670" s="9" t="str">
        <x:v>Success</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pi0.5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pi0.5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pi0.5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pi0.5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pi0.5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pi0.5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pi0.5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pi0.5 Results</x:v>
      </x:c>
      <x:c r="AM677" s="9" t="n">
        <x:v>57</x:v>
      </x:c>
      <x:c r="AN677" s="9" t="n">
        <x:v>57</x:v>
      </x:c>
    </x:row>
    <x:row r="678">
      <x:c r="A678" s="9" t="str">
        <x:v>Failure</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t="str">
        <x:v>successful reasoning, but failed grasping. </x:v>
      </x:c>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pi0.5 Results</x:v>
      </x:c>
      <x:c r="AM678" s="9" t="n">
        <x:v>58</x:v>
      </x:c>
      <x:c r="AN678" s="9" t="n">
        <x:v>58</x:v>
      </x:c>
    </x:row>
    <x:row r="679">
      <x:c r="A679" s="9" t="str">
        <x:v>Success</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pi0.5 Results</x:v>
      </x:c>
      <x:c r="AM679" s="9" t="n">
        <x:v>59</x:v>
      </x:c>
      <x:c r="AN679" s="9" t="n">
        <x:v>59</x:v>
      </x:c>
    </x:row>
    <x:row r="680">
      <x:c r="A680" s="9" t="str">
        <x:v>Success</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pi0.5 Results</x:v>
      </x:c>
      <x:c r="AM680" s="9" t="n">
        <x:v>60</x:v>
      </x:c>
      <x:c r="AN680" s="9" t="n">
        <x:v>60</x:v>
      </x:c>
    </x:row>
    <x:row r="681">
      <x:c r="A681" s="9" t="str">
        <x:v>Success</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pi0.5 Results</x:v>
      </x:c>
      <x:c r="AM681" s="9" t="n">
        <x:v>61</x:v>
      </x:c>
      <x:c r="AN681" s="9" t="n">
        <x:v>61</x:v>
      </x:c>
    </x:row>
    <x:row r="682">
      <x:c r="A682" s="9" t="str">
        <x:v>Failure</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t="str">
        <x:v>picked the can furthest from the yellow pen</x:v>
      </x:c>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pi0.5 Results</x:v>
      </x:c>
      <x:c r="AM682" s="9" t="n">
        <x:v>62</x:v>
      </x:c>
      <x:c r="AN682" s="9" t="n">
        <x:v>62</x:v>
      </x:c>
    </x:row>
    <x:row r="683">
      <x:c r="A683" s="9" t="str">
        <x:v>Failure</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picked coke can</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pi0.5 Results</x:v>
      </x:c>
      <x:c r="AM683" s="9" t="n">
        <x:v>63</x:v>
      </x:c>
      <x:c r="AN683" s="9" t="n">
        <x:v>63</x:v>
      </x:c>
    </x:row>
    <x:row r="684">
      <x:c r="A684" s="9" t="str">
        <x:v>Failure</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t="str">
        <x:v>picked the green pencil sharpener</x:v>
      </x:c>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pi0.5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pi0.5 Results</x:v>
      </x:c>
      <x:c r="AM685" s="9" t="n">
        <x:v>65</x:v>
      </x:c>
      <x:c r="AN685" s="9" t="n">
        <x:v>65</x:v>
      </x:c>
    </x:row>
    <x:row r="686">
      <x:c r="A686" s="9" t="str">
        <x:v>Failure</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t="str">
        <x:v>picked closest</x:v>
      </x:c>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pi0.5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picked non-propellor plane</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pi0.5 Results</x:v>
      </x:c>
      <x:c r="AM687" s="9" t="n">
        <x:v>67</x:v>
      </x:c>
      <x:c r="AN687" s="9" t="n">
        <x:v>67</x:v>
      </x:c>
    </x:row>
    <x:row r="688">
      <x:c r="A688" s="9" t="str">
        <x:v>Failure</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t="str">
        <x:v>successful reasoning, but knocked can over and couldn't recover</x:v>
      </x:c>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pi0.5 Results</x:v>
      </x:c>
      <x:c r="AM688" s="9" t="n">
        <x:v>68</x:v>
      </x:c>
      <x:c r="AN688" s="9" t="n">
        <x:v>68</x:v>
      </x:c>
    </x:row>
    <x:row r="689">
      <x:c r="A689" s="9" t="str">
        <x:v>Failure</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t="str">
        <x:v>went for the coke can, but couldn't grasp it. successfully went for coke can, but then started to go for the airplane toy</x:v>
      </x:c>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pi0.5 Results</x:v>
      </x:c>
      <x:c r="AM689" s="9" t="n">
        <x:v>69</x:v>
      </x:c>
      <x:c r="AN689" s="9" t="n">
        <x:v>69</x:v>
      </x:c>
    </x:row>
    <x:row r="690">
      <x:c r="A690" s="9" t="str">
        <x:v>Failure</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t="str">
        <x:v>picked the red pencil sharpener</x:v>
      </x:c>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pi0.5 Results</x:v>
      </x:c>
      <x:c r="AM690" s="9" t="n">
        <x:v>70</x:v>
      </x:c>
      <x:c r="AN690" s="9" t="n">
        <x:v>70</x:v>
      </x:c>
    </x:row>
    <x:row r="691">
      <x:c r="A691" s="9" t="str">
        <x:v>Success</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pi0.5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pi0.5 Results</x:v>
      </x:c>
      <x:c r="AM692" s="9" t="n">
        <x:v>72</x:v>
      </x:c>
      <x:c r="AN692" s="9" t="n">
        <x:v>72</x:v>
      </x:c>
    </x:row>
    <x:row r="693">
      <x:c r="A693" s="9" t="str">
        <x:v>Failure</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t="str">
        <x:v>succeeded reasoning, but failed grasping</x:v>
      </x:c>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pi0.5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pi0.5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pi0.5 Results</x:v>
      </x:c>
      <x:c r="AM695" s="9" t="n">
        <x:v>75</x:v>
      </x:c>
      <x:c r="AN695" s="9" t="n">
        <x:v>75</x:v>
      </x:c>
    </x:row>
    <x:row r="696">
      <x:c r="A696" s="9" t="str">
        <x:v>Failure</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picked the red pencil sharpener</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pi0.5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pi0.5 Results</x:v>
      </x:c>
      <x:c r="AM697" s="9" t="n">
        <x:v>77</x:v>
      </x:c>
      <x:c r="AN697" s="9" t="n">
        <x:v>77</x:v>
      </x:c>
    </x:row>
    <x:row r="698">
      <x:c r="A698" s="9" t="str">
        <x:v>Failure</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t="str">
        <x:v>picked closest</x:v>
      </x:c>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pi0.5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pi0.5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pi0.5 Results</x:v>
      </x:c>
      <x:c r="AM700" s="9" t="n">
        <x:v>80</x:v>
      </x:c>
      <x:c r="AN700" s="9" t="n">
        <x:v>80</x:v>
      </x:c>
    </x:row>
    <x:row r="701">
      <x:c r="A701" s="9" t="str">
        <x:v>Success</x:v>
      </x:c>
      <x:c r="B701" s="9" t="str">
        <x:v>Referential Disambiguation</x:v>
      </x:c>
      <x:c r="C701" s="10" t="n">
        <x:v>79</x:v>
      </x:c>
      <x:c r="D701" s="9" t="str">
        <x:v>Move the crushed Pepsi can into the bowl.</x:v>
      </x:c>
      <x:c r="E701" s="9" t="str">
        <x:v>crushed Coke can; crushed Pepsi can; green pen</x:v>
      </x:c>
      <x:c r="F701" s="9" t="str">
        <x:v>crushed Pepsi can</x:v>
      </x:c>
      <x:c r="G701" s="9"/>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pi0.5 Results</x:v>
      </x:c>
      <x:c r="AM701" s="9" t="n">
        <x:v>81</x:v>
      </x:c>
      <x:c r="AN701" s="9" t="n">
        <x:v>81</x:v>
      </x:c>
    </x:row>
    <x:row r="702">
      <x:c r="A702" s="9" t="str">
        <x:v>Success</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pi0.5 Results</x:v>
      </x:c>
      <x:c r="AM702" s="9" t="n">
        <x:v>82</x:v>
      </x:c>
      <x:c r="AN702" s="9" t="n">
        <x:v>82</x:v>
      </x:c>
    </x:row>
    <x:row r="703">
      <x:c r="A703" s="9" t="str">
        <x:v>Failure</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t="str">
        <x:v>picked closest</x:v>
      </x:c>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pi0.5 Results</x:v>
      </x:c>
      <x:c r="AM703" s="9" t="n">
        <x:v>83</x:v>
      </x:c>
      <x:c r="AN703" s="9" t="n">
        <x:v>83</x:v>
      </x:c>
    </x:row>
    <x:row r="704">
      <x:c r="A704" s="9" t="str">
        <x:v>Failure</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t="str">
        <x:v>picked the coke can; furthest</x:v>
      </x:c>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pi0.5 Results</x:v>
      </x:c>
      <x:c r="AM704" s="9" t="n">
        <x:v>84</x:v>
      </x:c>
      <x:c r="AN704" s="9" t="n">
        <x:v>84</x:v>
      </x:c>
    </x:row>
    <x:row r="705">
      <x:c r="A705" s="9" t="str">
        <x:v>Success</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t="str">
        <x:v>failed reasoning; first went for the yellow pen and picked it, but dropped it. Then during recovery got the red pencil sharpener.</x:v>
      </x:c>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pi0.5 Results</x:v>
      </x:c>
      <x:c r="AM705" s="9" t="n">
        <x:v>85</x:v>
      </x:c>
      <x:c r="AN705" s="9" t="n">
        <x:v>85</x:v>
      </x:c>
    </x:row>
    <x:row r="706">
      <x:c r="A706" s="9" t="str">
        <x:v>Success</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pi0.5 Results</x:v>
      </x:c>
      <x:c r="AM706" s="9" t="n">
        <x:v>86</x:v>
      </x:c>
      <x:c r="AN706" s="9" t="n">
        <x:v>86</x:v>
      </x:c>
    </x:row>
    <x:row r="707">
      <x:c r="A707" s="9" t="str">
        <x:v>Failure</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t="str">
        <x:v>picked pepsi can</x:v>
      </x:c>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pi0.5 Results</x:v>
      </x:c>
      <x:c r="AM707" s="9" t="n">
        <x:v>87</x:v>
      </x:c>
      <x:c r="AN707" s="9" t="n">
        <x:v>87</x:v>
      </x:c>
    </x:row>
    <x:row r="708">
      <x:c r="A708" s="9" t="str">
        <x:v>Failure</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picked airplane toy</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pi0.5 Results</x:v>
      </x:c>
      <x:c r="AM708" s="9" t="n">
        <x:v>88</x:v>
      </x:c>
      <x:c r="AN708" s="9" t="n">
        <x:v>88</x:v>
      </x:c>
    </x:row>
    <x:row r="709">
      <x:c r="A709" s="9" t="str">
        <x:v>Failure</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t="str">
        <x:v>picked airplane toy closest</x:v>
      </x:c>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pi0.5 Results</x:v>
      </x:c>
      <x:c r="AM709" s="9" t="n">
        <x:v>89</x:v>
      </x:c>
      <x:c r="AN709" s="9" t="n">
        <x:v>89</x:v>
      </x:c>
    </x:row>
    <x:row r="710">
      <x:c r="A710" s="9" t="str">
        <x:v>Failure</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t="str">
        <x:v>went for crushed coke can, knocked it over, then picked and placed yellow pen in the bowl during recovery.</x:v>
      </x:c>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pi0.5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picked red pencil sharpener</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pi0.5 Results</x:v>
      </x:c>
      <x:c r="AM711" s="9" t="n">
        <x:v>91</x:v>
      </x:c>
      <x:c r="AN711" s="9" t="n">
        <x:v>91</x:v>
      </x:c>
    </x:row>
    <x:row r="712">
      <x:c r="A712" s="9" t="str">
        <x:v>Failure</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t="str">
        <x:v>picked closest airplane toy</x:v>
      </x:c>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pi0.5 Results</x:v>
      </x:c>
      <x:c r="AM712" s="9" t="n">
        <x:v>92</x:v>
      </x:c>
      <x:c r="AN712" s="9" t="n">
        <x:v>92</x:v>
      </x:c>
    </x:row>
    <x:row r="713">
      <x:c r="A713" s="9" t="str">
        <x:v>Failure</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t="str">
        <x:v>picked soda can furthest from airplane toy</x:v>
      </x:c>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pi0.5 Results</x:v>
      </x:c>
      <x:c r="AM713" s="9" t="n">
        <x:v>93</x:v>
      </x:c>
      <x:c r="AN713" s="9" t="n">
        <x:v>93</x:v>
      </x:c>
    </x:row>
    <x:row r="714">
      <x:c r="A714" s="9" t="str">
        <x:v>Success</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pi0.5 Results</x:v>
      </x:c>
      <x:c r="AM714" s="9" t="n">
        <x:v>94</x:v>
      </x:c>
      <x:c r="AN714" s="9" t="n">
        <x:v>94</x:v>
      </x:c>
    </x:row>
    <x:row r="715">
      <x:c r="A715" s="9" t="str">
        <x:v>Failure</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t="str">
        <x:v>picked the one closest</x:v>
      </x:c>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pi0.5 Results</x:v>
      </x:c>
      <x:c r="AM715" s="9" t="n">
        <x:v>95</x:v>
      </x:c>
      <x:c r="AN715" s="9" t="n">
        <x:v>95</x:v>
      </x:c>
    </x:row>
    <x:row r="716">
      <x:c r="A716" s="9" t="str">
        <x:v>Failure</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t="str">
        <x:v>picked coke can </x:v>
      </x:c>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pi0.5 Results</x:v>
      </x:c>
      <x:c r="AM716" s="9" t="n">
        <x:v>96</x:v>
      </x:c>
      <x:c r="AN716" s="9" t="n">
        <x:v>96</x:v>
      </x:c>
    </x:row>
    <x:row r="717">
      <x:c r="A717" s="9" t="str">
        <x:v>Success</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pi0.5 Results</x:v>
      </x:c>
      <x:c r="AM717" s="9" t="n">
        <x:v>97</x:v>
      </x:c>
      <x:c r="AN717" s="9" t="n">
        <x:v>97</x:v>
      </x:c>
    </x:row>
    <x:row r="718">
      <x:c r="A718" s="9" t="str">
        <x:v>Failure</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t="str">
        <x:v>picked closest</x:v>
      </x:c>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pi0.5 Results</x:v>
      </x:c>
      <x:c r="AM718" s="9" t="n">
        <x:v>98</x:v>
      </x:c>
      <x:c r="AN718" s="9" t="n">
        <x:v>98</x:v>
      </x:c>
    </x:row>
    <x:row r="719">
      <x:c r="A719" s="9" t="str">
        <x:v>Failure</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t="str">
        <x:v>went for pepsi can, knocked it over, and tried again, but couldn't get it. </x:v>
      </x:c>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pi0.5 Results</x:v>
      </x:c>
      <x:c r="AM719" s="9" t="n">
        <x:v>99</x:v>
      </x:c>
      <x:c r="AN719" s="9" t="n">
        <x:v>99</x:v>
      </x:c>
    </x:row>
    <x:row r="720">
      <x:c r="A720" s="9" t="str">
        <x:v>Success</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pi0.5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pi0.5 Results</x:v>
      </x:c>
      <x:c r="AM721" s="9" t="n">
        <x:v>101</x:v>
      </x:c>
      <x:c r="AN721" s="9" t="n">
        <x:v>101</x:v>
      </x:c>
    </x:row>
    <x:row r="722">
      <x:c r="A722" s="9" t="str">
        <x:v>Failure</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t="str">
        <x:v>picked pepsi can</x:v>
      </x:c>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pi0.5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just started grasping nothing in the workspace</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pi0.5 Results</x:v>
      </x:c>
      <x:c r="AM723" s="9" t="n">
        <x:v>103</x:v>
      </x:c>
      <x:c r="AN723" s="9" t="n">
        <x:v>103</x:v>
      </x:c>
    </x:row>
    <x:row r="724">
      <x:c r="A724" s="9" t="str">
        <x:v>Failure</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t="str">
        <x:v>picked closest airplane toy</x:v>
      </x:c>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pi0.5 Results</x:v>
      </x:c>
      <x:c r="AM724" s="9" t="n">
        <x:v>104</x:v>
      </x:c>
      <x:c r="AN724" s="9" t="n">
        <x:v>104</x:v>
      </x:c>
    </x:row>
    <x:row r="725">
      <x:c r="A725" s="9" t="str">
        <x:v>Failure</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t="str">
        <x:v>picked furthest soda can</x:v>
      </x:c>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pi0.5 Results</x:v>
      </x:c>
      <x:c r="AM725" s="9" t="n">
        <x:v>105</x:v>
      </x:c>
      <x:c r="AN725" s="9" t="n">
        <x:v>105</x:v>
      </x:c>
    </x:row>
    <x:row r="726">
      <x:c r="A726" s="9" t="str">
        <x:v>Success</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pi0.5 Results</x:v>
      </x:c>
      <x:c r="AM726" s="9" t="n">
        <x:v>106</x:v>
      </x:c>
      <x:c r="AN726" s="9" t="n">
        <x:v>106</x:v>
      </x:c>
    </x:row>
    <x:row r="727">
      <x:c r="A727" s="9" t="str">
        <x:v>Success</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pi0.5 Results</x:v>
      </x:c>
      <x:c r="AM727" s="9" t="n">
        <x:v>107</x:v>
      </x:c>
      <x:c r="AN727" s="9" t="n">
        <x:v>107</x:v>
      </x:c>
    </x:row>
    <x:row r="728">
      <x:c r="A728" s="9" t="str">
        <x:v>Failure</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t="str">
        <x:v>picked the coke can; furthest from yellow pen, closest to green pen.</x:v>
      </x:c>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pi0.5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pi0.5 Results</x:v>
      </x:c>
      <x:c r="AM729" s="9" t="n">
        <x:v>109</x:v>
      </x:c>
      <x:c r="AN729" s="9" t="n">
        <x:v>109</x:v>
      </x:c>
    </x:row>
    <x:row r="730">
      <x:c r="A730" s="9" t="str">
        <x:v>Success</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pi0.5 Results</x:v>
      </x:c>
      <x:c r="AM730" s="9" t="n">
        <x:v>110</x:v>
      </x:c>
      <x:c r="AN730" s="9" t="n">
        <x:v>110</x:v>
      </x:c>
    </x:row>
    <x:row r="731">
      <x:c r="A731" s="9" t="str">
        <x:v>Failure</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t="str">
        <x:v>picked furthest from airplane toy/closest to green pencil sharpener</x:v>
      </x:c>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pi0.5 Results</x:v>
      </x:c>
      <x:c r="AM731" s="9" t="n">
        <x:v>111</x:v>
      </x:c>
      <x:c r="AN731" s="9" t="n">
        <x:v>111</x:v>
      </x:c>
    </x:row>
    <x:row r="732">
      <x:c r="A732" s="9" t="str">
        <x:v>Failure</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t="str">
        <x:v>picked up the coke can</x:v>
      </x:c>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pi0.5 Results</x:v>
      </x:c>
      <x:c r="AM732" s="9" t="n">
        <x:v>112</x:v>
      </x:c>
      <x:c r="AN732" s="9" t="n">
        <x:v>112</x:v>
      </x:c>
    </x:row>
    <x:row r="733">
      <x:c r="A733" s="9" t="str">
        <x:v>Failure</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t="str">
        <x:v>tried picking the crushed coke can, but failed to grasp it. During recovery, got the green block, which was right next to the coke can. </x:v>
      </x:c>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pi0.5 Results</x:v>
      </x:c>
      <x:c r="AM733" s="9" t="n">
        <x:v>113</x:v>
      </x:c>
      <x:c r="AN733" s="9" t="n">
        <x:v>113</x:v>
      </x:c>
    </x:row>
    <x:row r="734">
      <x:c r="A734" s="9" t="str">
        <x:v>Failure</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t="str">
        <x:v>picked green block</x:v>
      </x:c>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pi0.5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green pencil sharpener</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pi0.5 Results</x:v>
      </x:c>
      <x:c r="AM735" s="9" t="n">
        <x:v>115</x:v>
      </x:c>
      <x:c r="AN735" s="9" t="n">
        <x:v>115</x:v>
      </x:c>
    </x:row>
    <x:row r="736">
      <x:c r="A736" s="9" t="str">
        <x:v>Success</x:v>
      </x:c>
      <x:c r="B736" s="9" t="str">
        <x:v>Referential Disambiguation</x:v>
      </x:c>
      <x:c r="C736" s="10" t="n">
        <x:v>114</x:v>
      </x:c>
      <x:c r="D736" s="9" t="str">
        <x:v>Move the block closest to the green pen into the bowl.</x:v>
      </x:c>
      <x:c r="E736" s="9" t="str">
        <x:v>green block; blue block; green pen</x:v>
      </x:c>
      <x:c r="F736" s="9" t="str">
        <x:v>green block</x:v>
      </x:c>
      <x:c r="G736" s="9"/>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pi0.5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pi0.5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pi0.5 Results</x:v>
      </x:c>
      <x:c r="AM738" s="9" t="n">
        <x:v>118</x:v>
      </x:c>
      <x:c r="AN738" s="9" t="n">
        <x:v>118</x:v>
      </x:c>
    </x:row>
    <x:row r="739">
      <x:c r="A739" s="9" t="str">
        <x:v>Success</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pi0.5 Results</x:v>
      </x:c>
      <x:c r="AM739" s="9" t="n">
        <x:v>119</x:v>
      </x:c>
      <x:c r="AN739" s="9" t="n">
        <x:v>119</x:v>
      </x:c>
    </x:row>
    <x:row r="740">
      <x:c r="A740" s="9" t="str">
        <x:v>Failure</x:v>
      </x:c>
      <x:c r="B740" s="9" t="str">
        <x:v>Referential Disambiguation</x:v>
      </x:c>
      <x:c r="C740" s="10" t="n">
        <x:v>118</x:v>
      </x:c>
      <x:c r="D740" s="9" t="str">
        <x:v>Put the block closest to the crushed Coke can in the bowl.</x:v>
      </x:c>
      <x:c r="E740" s="9" t="str">
        <x:v>green block; blue block; crushed Coke can</x:v>
      </x:c>
      <x:c r="F740" s="9" t="str">
        <x:v>green block</x:v>
      </x:c>
      <x:c r="G740" s="9" t="str">
        <x:v>picked the coke can</x:v>
      </x:c>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pi0.5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pi0.5 Results</x:v>
      </x:c>
      <x:c r="AM741" s="9" t="n">
        <x:v>121</x:v>
      </x:c>
      <x:c r="AN741" s="9" t="n">
        <x:v>121</x:v>
      </x:c>
    </x:row>
    <x:row r="742">
      <x:c r="A742" s="9" t="str">
        <x:v>Success</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pi0.5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tried to pick the green block, got it and dropped it. Then during recovery picked up the green pencil sharpener</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pi0.5 Results</x:v>
      </x:c>
      <x:c r="AM743" s="9" t="n">
        <x:v>123</x:v>
      </x:c>
      <x:c r="AN743" s="9" t="n">
        <x:v>123</x:v>
      </x:c>
    </x:row>
    <x:row r="744">
      <x:c r="A744" s="9" t="str">
        <x:v>Success</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pi0.5 Results</x:v>
      </x:c>
      <x:c r="AM744" s="9" t="n">
        <x:v>124</x:v>
      </x:c>
      <x:c r="AN744" s="9" t="n">
        <x:v>124</x:v>
      </x:c>
    </x:row>
    <x:row r="745">
      <x:c r="A745" s="9" t="str">
        <x:v>Failure</x:v>
      </x:c>
      <x:c r="B745" s="9" t="str">
        <x:v>Referential Disambiguation</x:v>
      </x:c>
      <x:c r="C745" s="10" t="n">
        <x:v>123</x:v>
      </x:c>
      <x:c r="D745" s="9" t="str">
        <x:v>Put the block furthest from the green pen in the bowl.</x:v>
      </x:c>
      <x:c r="E745" s="9" t="str">
        <x:v>green block; blue block; green pen; yellow pen</x:v>
      </x:c>
      <x:c r="F745" s="9" t="str">
        <x:v>blue block</x:v>
      </x:c>
      <x:c r="G745" s="9" t="str">
        <x:v>picked the green block</x:v>
      </x:c>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pi0.5 Results</x:v>
      </x:c>
      <x:c r="AM745" s="9" t="n">
        <x:v>125</x:v>
      </x:c>
      <x:c r="AN745" s="9" t="n">
        <x:v>125</x:v>
      </x:c>
    </x:row>
    <x:row r="746">
      <x:c r="A746" s="9" t="str">
        <x:v>Success</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pi0.5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pi0.5 Results</x:v>
      </x:c>
      <x:c r="AM747" s="9" t="n">
        <x:v>127</x:v>
      </x:c>
      <x:c r="AN747" s="9" t="n">
        <x:v>127</x:v>
      </x:c>
    </x:row>
    <x:row r="748">
      <x:c r="A748" s="9" t="str">
        <x:v>Success</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pi0.5 Results</x:v>
      </x:c>
      <x:c r="AM748" s="9" t="n">
        <x:v>128</x:v>
      </x:c>
      <x:c r="AN748" s="9" t="n">
        <x:v>128</x:v>
      </x:c>
    </x:row>
    <x:row r="749">
      <x:c r="A749" s="9" t="str">
        <x:v>Failure</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t="str">
        <x:v>picked the red pencil sharpener</x:v>
      </x:c>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pi0.5 Results</x:v>
      </x:c>
      <x:c r="AM749" s="9" t="n">
        <x:v>129</x:v>
      </x:c>
      <x:c r="AN749" s="9" t="n">
        <x:v>129</x:v>
      </x:c>
    </x:row>
    <x:row r="750">
      <x:c r="A750" s="9" t="str">
        <x:v>Success</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pi0.5 Results</x:v>
      </x:c>
      <x:c r="AM750" s="9" t="n">
        <x:v>130</x:v>
      </x:c>
      <x:c r="AN750" s="9" t="n">
        <x:v>130</x:v>
      </x:c>
    </x:row>
    <x:row r="751">
      <x:c r="A751" s="9" t="str">
        <x:v>Failure</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picked green block between the yellow pen and coke can</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pi0.5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picked the airplane toy closest to the green pen</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pi0.5 Results</x:v>
      </x:c>
      <x:c r="AM752" s="9" t="n">
        <x:v>132</x:v>
      </x:c>
      <x:c r="AN752" s="9" t="n">
        <x:v>132</x:v>
      </x:c>
    </x:row>
    <x:row r="753">
      <x:c r="A753" s="9" t="str">
        <x:v>Failure</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t="str">
        <x:v>picked the green pen</x:v>
      </x:c>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pi0.5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green pencil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pi0.5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pepsi can</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pi0.5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tried picking up thge airplane toy with propellors and then dropped it and then picked up the red pencil sharpener in the bowl during recovery</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pi0.5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airplane toy</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pi0.5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tried picking the coke can, knocked it over, and couldn't recover</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pi0.5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picked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pi0.5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picked the red pencil sharpener</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pi0.5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the coke can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pi0.5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tried picking the coke can, knocked it over, and couldn't recover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pi0.5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went for pepsi can, couldn't pick it</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pi0.5 Results</x:v>
      </x:c>
      <x:c r="AM763" s="9" t="n">
        <x:v>143</x:v>
      </x:c>
      <x:c r="AN763" s="9" t="n">
        <x:v>143</x:v>
      </x:c>
    </x:row>
    <x:row r="764">
      <x:c r="A764" s="9" t="str">
        <x:v>Failure</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t="str">
        <x:v>picked the yellow pen</x:v>
      </x:c>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pi0.5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tried to pick airplane toy without propellors, dropped it, then went for propellor airplane toy. Could get it either.</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pi0.5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picked the green pencil sharpener</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pi0.5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picked the pepsi can </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pi0.5 Results</x:v>
      </x:c>
      <x:c r="AM767" s="9" t="n">
        <x:v>147</x:v>
      </x:c>
      <x:c r="AN767" s="9" t="n">
        <x:v>147</x:v>
      </x:c>
    </x:row>
    <x:row r="768">
      <x:c r="A768" s="9" t="str">
        <x:v>Failure</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picked the yellow pen</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pi0.5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picked the yellow pen. Furthest from propellor airplane</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pi0.5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tried to pick the coke can but couldn't</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pi0.5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t="str">
        <x:v>picked the green pencil sharpener</x:v>
      </x:c>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pi0.5 Results</x:v>
      </x:c>
      <x:c r="AM771" s="9" t="n">
        <x:v>151</x:v>
      </x:c>
      <x:c r="AN771" s="9" t="n">
        <x:v>151</x:v>
      </x:c>
    </x:row>
    <x:row r="772">
      <x:c r="A772" s="9" t="str">
        <x:v>Success</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pi0.5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pi0.5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pi0.5 Results</x:v>
      </x:c>
      <x:c r="AM774" s="9" t="n">
        <x:v>4</x:v>
      </x:c>
      <x:c r="AN774" s="9" t="n">
        <x:v>4</x:v>
      </x:c>
    </x:row>
    <x:row r="775">
      <x:c r="A775" s="9" t="str">
        <x:v>Success</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pi0.5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pi0.5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pi0.5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pi0.5 Results</x:v>
      </x:c>
      <x:c r="AM778" s="9" t="n">
        <x:v>8</x:v>
      </x:c>
      <x:c r="AN778" s="9" t="n">
        <x:v>8</x:v>
      </x:c>
    </x:row>
    <x:row r="779">
      <x:c r="A779" s="9" t="str">
        <x:v>Failure</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t="str">
        <x:v>Failed grasping the can and during recovery, went for juggling ball. Grasping failure.</x:v>
      </x:c>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pi0.5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pi0.5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pi0.5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pi0.5 Results</x:v>
      </x:c>
      <x:c r="AM782" s="9" t="n">
        <x:v>12</x:v>
      </x:c>
      <x:c r="AN782" s="9" t="n">
        <x:v>12</x:v>
      </x:c>
    </x:row>
    <x:row r="783">
      <x:c r="A783" s="9" t="str">
        <x:v>Success</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pi0.5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t="str">
        <x:v>Picked largest object.</x:v>
      </x:c>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pi0.5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pi0.5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pi0.5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pi0.5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pi0.5 Results</x:v>
      </x:c>
      <x:c r="AM788" s="9" t="n">
        <x:v>18</x:v>
      </x:c>
      <x:c r="AN788" s="9" t="n">
        <x:v>18</x:v>
      </x:c>
    </x:row>
    <x:row r="789">
      <x:c r="A789" s="9" t="str">
        <x:v>Success</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pi0.5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pi0.5 Results</x:v>
      </x:c>
      <x:c r="AM790" s="9" t="n">
        <x:v>20</x:v>
      </x:c>
      <x:c r="AN790" s="9" t="n">
        <x:v>20</x:v>
      </x:c>
    </x:row>
    <x:row r="791">
      <x:c r="A791" s="9" t="str">
        <x:v>Success</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pi0.5 Results</x:v>
      </x:c>
      <x:c r="AM791" s="9" t="n">
        <x:v>21</x:v>
      </x:c>
      <x:c r="AN791" s="9" t="n">
        <x:v>21</x:v>
      </x:c>
    </x:row>
    <x:row r="792">
      <x:c r="A792" s="9" t="str">
        <x:v>Success</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pi0.5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pi0.5 Results</x:v>
      </x:c>
      <x:c r="AM793" s="9" t="n">
        <x:v>23</x:v>
      </x:c>
      <x:c r="AN793" s="9" t="n">
        <x:v>23</x:v>
      </x:c>
    </x:row>
    <x:row r="794">
      <x:c r="A794" s="9" t="str">
        <x:v>Success</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pi0.5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pi0.5 Results</x:v>
      </x:c>
      <x:c r="AM795" s="9" t="n">
        <x:v>25</x:v>
      </x:c>
      <x:c r="AN795" s="9" t="n">
        <x:v>25</x:v>
      </x:c>
    </x:row>
    <x:row r="796">
      <x:c r="A796" s="9" t="str">
        <x:v>Success</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pi0.5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pi0.5 Results</x:v>
      </x:c>
      <x:c r="AM797" s="9" t="n">
        <x:v>27</x:v>
      </x:c>
      <x:c r="AN797" s="9" t="n">
        <x:v>27</x:v>
      </x:c>
    </x:row>
    <x:row r="798">
      <x:c r="A798" s="9" t="str">
        <x:v>Failure</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t="str">
        <x:v>Picked the soda can</x:v>
      </x:c>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pi0.5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pi0.5 Results</x:v>
      </x:c>
      <x:c r="AM799" s="9" t="n">
        <x:v>29</x:v>
      </x:c>
      <x:c r="AN799" s="9" t="n">
        <x:v>29</x:v>
      </x:c>
    </x:row>
    <x:row r="800">
      <x:c r="A800" s="9" t="str">
        <x:v>Failure</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t="str">
        <x:v>Picked the pencil sharpener</x:v>
      </x:c>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pi0.5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pi0.5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pi0.5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pi0.5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pi0.5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pi0.5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t="str">
        <x:v>Used the gripping strategy for the pepsi can, but got the ball.</x:v>
      </x:c>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pi0.5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pi0.5 Results</x:v>
      </x:c>
      <x:c r="AM807" s="9" t="n">
        <x:v>37</x:v>
      </x:c>
      <x:c r="AN807" s="9" t="n">
        <x:v>37</x:v>
      </x:c>
    </x:row>
    <x:row r="808">
      <x:c r="A808" s="9" t="str">
        <x:v>Failure</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t="str">
        <x:v>Picked pencil sharpener</x:v>
      </x:c>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pi0.5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pi0.5 Results</x:v>
      </x:c>
      <x:c r="AM809" s="9" t="n">
        <x:v>39</x:v>
      </x:c>
      <x:c r="AN809" s="9" t="n">
        <x:v>39</x:v>
      </x:c>
    </x:row>
    <x:row r="810">
      <x:c r="A810" s="9" t="str">
        <x:v>Success</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pi0.5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pi0.5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pi0.5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pi0.5 Results</x:v>
      </x:c>
      <x:c r="AM813" s="9" t="n">
        <x:v>43</x:v>
      </x:c>
      <x:c r="AN813" s="9" t="n">
        <x:v>43</x:v>
      </x:c>
    </x:row>
    <x:row r="814">
      <x:c r="A814" s="9" t="str">
        <x:v>Failure</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t="str">
        <x:v>grabbed soda can</x:v>
      </x:c>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pi0.5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pi0.5 Results</x:v>
      </x:c>
      <x:c r="AM815" s="9" t="n">
        <x:v>45</x:v>
      </x:c>
      <x:c r="AN815" s="9" t="n">
        <x:v>45</x:v>
      </x:c>
    </x:row>
    <x:row r="816">
      <x:c r="A816" s="9" t="str">
        <x:v>Success</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pi0.5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pi0.5 Results</x:v>
      </x:c>
      <x:c r="AM817" s="9" t="n">
        <x:v>47</x:v>
      </x:c>
      <x:c r="AN817" s="9" t="n">
        <x:v>47</x:v>
      </x:c>
    </x:row>
    <x:row r="818">
      <x:c r="A818" s="9" t="str">
        <x:v>Success</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pi0.5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pi0.5 Results</x:v>
      </x:c>
      <x:c r="AM819" s="9" t="n">
        <x:v>49</x:v>
      </x:c>
      <x:c r="AN819" s="9" t="n">
        <x:v>49</x:v>
      </x:c>
    </x:row>
    <x:row r="820">
      <x:c r="A820" s="9" t="str">
        <x:v>Failure</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t="str">
        <x:v>Picked soda can</x:v>
      </x:c>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pi0.5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pi0.5 Results</x:v>
      </x:c>
      <x:c r="AM821" s="9" t="n">
        <x:v>51</x:v>
      </x:c>
      <x:c r="AN821" s="9" t="n">
        <x:v>51</x:v>
      </x:c>
    </x:row>
    <x:row r="822">
      <x:c r="A822" s="9" t="str">
        <x:v>Failure</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t="str">
        <x:v>Picked soda can</x:v>
      </x:c>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pi0.5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pi0.5 Results</x:v>
      </x:c>
      <x:c r="AM823" s="9" t="n">
        <x:v>53</x:v>
      </x:c>
      <x:c r="AN823" s="9" t="n">
        <x:v>53</x:v>
      </x:c>
    </x:row>
    <x:row r="824">
      <x:c r="A824" s="9" t="str">
        <x:v>Success</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pi0.5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pi0.5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pi0.5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pi0.5 Results</x:v>
      </x:c>
      <x:c r="AM827" s="9" t="n">
        <x:v>57</x:v>
      </x:c>
      <x:c r="AN827" s="9" t="n">
        <x:v>57</x:v>
      </x:c>
    </x:row>
    <x:row r="828">
      <x:c r="A828" s="9" t="str">
        <x:v>Failure</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t="str">
        <x:v>Placed the soda can</x:v>
      </x:c>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pi0.5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pi0.5 Results</x:v>
      </x:c>
      <x:c r="AM829" s="9" t="n">
        <x:v>59</x:v>
      </x:c>
      <x:c r="AN829" s="9" t="n">
        <x:v>59</x:v>
      </x:c>
    </x:row>
    <x:row r="830">
      <x:c r="A830" s="9" t="str">
        <x:v>Failure</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t="str">
        <x:v>Placed the soda can</x:v>
      </x:c>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pi0.5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pi0.5 Results</x:v>
      </x:c>
      <x:c r="AM831" s="9" t="n">
        <x:v>61</x:v>
      </x:c>
      <x:c r="AN831" s="9" t="n">
        <x:v>61</x:v>
      </x:c>
    </x:row>
    <x:row r="832">
      <x:c r="A832" s="9" t="str">
        <x:v>Success</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pi0.5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pi0.5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pi0.5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pi0.5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Grabbed red pencil sharpener. pencil sharpener was placed in front of the robot. </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pi0.5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pi0.5 Results</x:v>
      </x:c>
      <x:c r="AM837" s="9" t="n">
        <x:v>67</x:v>
      </x:c>
      <x:c r="AN837" s="9" t="n">
        <x:v>67</x:v>
      </x:c>
    </x:row>
    <x:row r="838">
      <x:c r="A838" s="9" t="str">
        <x:v>Failure</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t="str">
        <x:v>Grabbed soda can. can was placed in front of the robot</x:v>
      </x:c>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pi0.5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t="str">
        <x:v>Had a good recovery</x:v>
      </x:c>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pi0.5 Results</x:v>
      </x:c>
      <x:c r="AM839" s="9" t="n">
        <x:v>69</x:v>
      </x:c>
      <x:c r="AN839" s="9" t="n">
        <x:v>69</x:v>
      </x:c>
    </x:row>
    <x:row r="840">
      <x:c r="A840" s="9" t="str">
        <x:v>Success</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pi0.5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pi0.5 Results</x:v>
      </x:c>
      <x:c r="AM841" s="9" t="n">
        <x:v>71</x:v>
      </x:c>
      <x:c r="AN841" s="9" t="n">
        <x:v>71</x:v>
      </x:c>
    </x:row>
    <x:row r="842">
      <x:c r="A842" s="9" t="str">
        <x:v>Failure</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t="str">
        <x:v>Grabbed soda can</x:v>
      </x:c>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pi0.5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pi0.5 Results</x:v>
      </x:c>
      <x:c r="AM843" s="9" t="n">
        <x:v>73</x:v>
      </x:c>
      <x:c r="AN843" s="9" t="n">
        <x:v>73</x:v>
      </x:c>
    </x:row>
    <x:row r="844">
      <x:c r="A844" s="9" t="str">
        <x:v>Failure</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t="str">
        <x:v>Grabbed pencil sharpener. I think the model may have learned to detect smaller visual pixel area from the middle camera. the block was oriented so it would look smaller</x:v>
      </x:c>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pi0.5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pi0.5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pi0.5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pi0.5 Results</x:v>
      </x:c>
      <x:c r="AM847" s="9" t="n">
        <x:v>77</x:v>
      </x:c>
      <x:c r="AN847" s="9" t="n">
        <x:v>77</x:v>
      </x:c>
    </x:row>
    <x:row r="848">
      <x:c r="A848" s="9" t="str">
        <x:v>Failure</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t="str">
        <x:v>Went for red pencil sharpener. Positioned closer to the camera than green block and green block oriented with the top of the block facing the camera.</x:v>
      </x:c>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pi0.5 Results</x:v>
      </x:c>
      <x:c r="AM848" s="9" t="n">
        <x:v>78</x:v>
      </x:c>
      <x:c r="AN848" s="9" t="n">
        <x:v>78</x:v>
      </x:c>
    </x:row>
    <x:row r="849">
      <x:c r="A849" s="9" t="str">
        <x:v>Success</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pi0.5 Results</x:v>
      </x:c>
      <x:c r="AM849" s="9" t="n">
        <x:v>79</x:v>
      </x:c>
      <x:c r="AN849" s="9" t="n">
        <x:v>79</x:v>
      </x:c>
    </x:row>
    <x:row r="850">
      <x:c r="A850" s="9" t="str">
        <x:v>Success</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pi0.5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pi0.5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pi0.5 Results</x:v>
      </x:c>
      <x:c r="AM852" s="9" t="n">
        <x:v>82</x:v>
      </x:c>
      <x:c r="AN852" s="9" t="n">
        <x:v>82</x:v>
      </x:c>
    </x:row>
    <x:row r="853">
      <x:c r="A853" s="9" t="str">
        <x:v>Failure</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t="str">
        <x:v>grabbed soda can. soda can near front of robot.</x:v>
      </x:c>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pi0.5 Results</x:v>
      </x:c>
      <x:c r="AM853" s="9" t="n">
        <x:v>83</x:v>
      </x:c>
      <x:c r="AN853" s="9" t="n">
        <x:v>83</x:v>
      </x:c>
    </x:row>
    <x:row r="854">
      <x:c r="A854" s="9" t="str">
        <x:v>Success</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pi0.5 Results</x:v>
      </x:c>
      <x:c r="AM854" s="9" t="n">
        <x:v>84</x:v>
      </x:c>
      <x:c r="AN854" s="9" t="n">
        <x:v>84</x:v>
      </x:c>
    </x:row>
    <x:row r="855">
      <x:c r="A855" s="9" t="str">
        <x:v>Failure</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t="str">
        <x:v>Picked soda can; I think the middle camera would have more pixels for the soda can than the juggling ball, so maybe hypothesis is incorrect</x:v>
      </x:c>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pi0.5 Results</x:v>
      </x:c>
      <x:c r="AM855" s="9" t="n">
        <x:v>85</x:v>
      </x:c>
      <x:c r="AN855" s="9" t="n">
        <x:v>85</x:v>
      </x:c>
    </x:row>
    <x:row r="856">
      <x:c r="A856" s="9" t="str">
        <x:v>Success</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pi0.5 Results</x:v>
      </x:c>
      <x:c r="AM856" s="9" t="n">
        <x:v>86</x:v>
      </x:c>
      <x:c r="AN856" s="9" t="n">
        <x:v>86</x:v>
      </x:c>
    </x:row>
    <x:row r="857">
      <x:c r="A857" s="9" t="str">
        <x:v>Failure</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Picked soda can; I think the middle camera would have more pixels for the soda can than the juggling ball, so maybe hypothesis is incorrect</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pi0.5 Results</x:v>
      </x:c>
      <x:c r="AM857" s="9" t="n">
        <x:v>87</x:v>
      </x:c>
      <x:c r="AN857" s="9" t="n">
        <x:v>87</x:v>
      </x:c>
    </x:row>
    <x:row r="858">
      <x:c r="A858" s="9" t="str">
        <x:v>Failure</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t="str">
        <x:v>Grabbed red pencil sharpener; was placed in front of the robot.</x:v>
      </x:c>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pi0.5 Results</x:v>
      </x:c>
      <x:c r="AM858" s="9" t="n">
        <x:v>88</x:v>
      </x:c>
      <x:c r="AN858" s="9" t="n">
        <x:v>88</x:v>
      </x:c>
    </x:row>
    <x:row r="859">
      <x:c r="A859" s="9" t="str">
        <x:v>Success</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pi0.5 Results</x:v>
      </x:c>
      <x:c r="AM859" s="9" t="n">
        <x:v>89</x:v>
      </x:c>
      <x:c r="AN859" s="9" t="n">
        <x:v>89</x:v>
      </x:c>
    </x:row>
    <x:row r="860">
      <x:c r="A860" s="9" t="str">
        <x:v>Success</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pi0.5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pi0.5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red pencil sharpener. pixels on middle camera prob would have green block bigger. Maybe the green block was too far at edge of the robots reaching range.</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pi0.5 Results</x:v>
      </x:c>
      <x:c r="AM862" s="9" t="n">
        <x:v>92</x:v>
      </x:c>
      <x:c r="AN862" s="9" t="n">
        <x:v>92</x:v>
      </x:c>
    </x:row>
    <x:row r="863">
      <x:c r="A863" s="9" t="str">
        <x:v>Failure</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t="str">
        <x:v>Weird behavoir. trying to pick up object that isn't there. Didn't even grasp anything.</x:v>
      </x:c>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pi0.5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red pencil sharpener. pixels on middle camera prob would have green block bigger. green block definitely in range this time.</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pi0.5 Results</x:v>
      </x:c>
      <x:c r="AM864" s="9" t="n">
        <x:v>94</x:v>
      </x:c>
      <x:c r="AN864" s="9" t="n">
        <x:v>94</x:v>
      </x:c>
    </x:row>
    <x:row r="865">
      <x:c r="A865" s="9" t="str">
        <x:v>Failure</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t="str">
        <x:v>Went for soda can and then knocked it over and could not recover</x:v>
      </x:c>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pi0.5 Results</x:v>
      </x:c>
      <x:c r="AM865" s="9" t="n">
        <x:v>95</x:v>
      </x:c>
      <x:c r="AN865" s="9" t="n">
        <x:v>95</x:v>
      </x:c>
    </x:row>
    <x:row r="866">
      <x:c r="A866" s="9" t="str">
        <x:v>Failure</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t="str">
        <x:v>Grabbed red pencil sharpener.</x:v>
      </x:c>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pi0.5 Results</x:v>
      </x:c>
      <x:c r="AM866" s="9" t="n">
        <x:v>96</x:v>
      </x:c>
      <x:c r="AN866" s="9" t="n">
        <x:v>96</x:v>
      </x:c>
    </x:row>
    <x:row r="867">
      <x:c r="A867" s="9" t="str">
        <x:v>Success</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pi0.5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grabbed red pencil sharpener</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pi0.5 Results</x:v>
      </x:c>
      <x:c r="AM868" s="9" t="n">
        <x:v>98</x:v>
      </x:c>
      <x:c r="AN868" s="9" t="n">
        <x:v>98</x:v>
      </x:c>
    </x:row>
    <x:row r="869">
      <x:c r="A869" s="9" t="str">
        <x:v>Failure</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t="str">
        <x:v>grabbed soda can</x:v>
      </x:c>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pi0.5 Results</x:v>
      </x:c>
      <x:c r="AM869" s="9" t="n">
        <x:v>99</x:v>
      </x:c>
      <x:c r="AN869" s="9" t="n">
        <x:v>99</x:v>
      </x:c>
    </x:row>
    <x:row r="870">
      <x:c r="A870" s="9" t="str">
        <x:v>Success</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pi0.5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t="str">
        <x:v>Tried to pick can, knocked it out of range and during recovery, went for juggling ball</x:v>
      </x:c>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pi0.5 Results</x:v>
      </x:c>
      <x:c r="AM871" s="9" t="n">
        <x:v>101</x:v>
      </x:c>
      <x:c r="AN871" s="9" t="n">
        <x:v>101</x:v>
      </x:c>
    </x:row>
    <x:row r="872">
      <x:c r="A872" s="9" t="str">
        <x:v>Success</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pi0.5 Results</x:v>
      </x:c>
      <x:c r="AM872" s="9" t="n">
        <x:v>102</x:v>
      </x:c>
      <x:c r="AN872" s="9" t="n">
        <x:v>102</x:v>
      </x:c>
    </x:row>
    <x:row r="873">
      <x:c r="A873" s="9" t="str">
        <x:v>Success</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pi0.5 Results</x:v>
      </x:c>
      <x:c r="AM873" s="9" t="n">
        <x:v>103</x:v>
      </x:c>
      <x:c r="AN873" s="9" t="n">
        <x:v>103</x:v>
      </x:c>
    </x:row>
    <x:row r="874">
      <x:c r="A874" s="9" t="str">
        <x:v>Failure</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t="str">
        <x:v>Picked red sharpener</x:v>
      </x:c>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pi0.5 Results</x:v>
      </x:c>
      <x:c r="AM874" s="9" t="n">
        <x:v>104</x:v>
      </x:c>
      <x:c r="AN874" s="9" t="n">
        <x:v>104</x:v>
      </x:c>
    </x:row>
    <x:row r="875">
      <x:c r="A875" s="9" t="str">
        <x:v>Failure</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t="str">
        <x:v>Picked the soda can</x:v>
      </x:c>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pi0.5 Results</x:v>
      </x:c>
      <x:c r="AM875" s="9" t="n">
        <x:v>105</x:v>
      </x:c>
      <x:c r="AN875" s="9" t="n">
        <x:v>105</x:v>
      </x:c>
    </x:row>
    <x:row r="876">
      <x:c r="A876" s="9" t="str">
        <x:v>Success</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t="str">
        <x:v>Started doing grasping strategy for pepsi can and was jittering around before eventually finding the green block and getting it.</x:v>
      </x:c>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pi0.5 Results</x:v>
      </x:c>
      <x:c r="AM876" s="9" t="n">
        <x:v>106</x:v>
      </x:c>
      <x:c r="AN876" s="9" t="n">
        <x:v>106</x:v>
      </x:c>
    </x:row>
    <x:row r="877">
      <x:c r="A877" s="9" t="str">
        <x:v>Failure</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t="str">
        <x:v>Tried to get the soda can, dropped it, and then during recovery, started going for ball, but didn't get it and went back trying to get pepsi can.</x:v>
      </x:c>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pi0.5 Results</x:v>
      </x:c>
      <x:c r="AM877" s="9" t="n">
        <x:v>107</x:v>
      </x:c>
      <x:c r="AN877" s="9" t="n">
        <x:v>107</x:v>
      </x:c>
    </x:row>
    <x:row r="878">
      <x:c r="A878" s="9" t="str">
        <x:v>Success</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pi0.5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t="str">
        <x:v>Grabbed the ball with the soda can gripping strategy.</x:v>
      </x:c>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pi0.5 Results</x:v>
      </x:c>
      <x:c r="AM879" s="9" t="n">
        <x:v>109</x:v>
      </x:c>
      <x:c r="AN879" s="9" t="n">
        <x:v>109</x:v>
      </x:c>
    </x:row>
    <x:row r="880">
      <x:c r="A880" s="9" t="str">
        <x:v>Success</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pi0.5 Results</x:v>
      </x:c>
      <x:c r="AM880" s="9" t="n">
        <x:v>110</x:v>
      </x:c>
      <x:c r="AN880" s="9" t="n">
        <x:v>110</x:v>
      </x:c>
    </x:row>
    <x:row r="881">
      <x:c r="A881" s="9" t="str">
        <x:v>Success</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pi0.5 Results</x:v>
      </x:c>
      <x:c r="AM881" s="9" t="n">
        <x:v>111</x:v>
      </x:c>
      <x:c r="AN881" s="9" t="n">
        <x:v>111</x:v>
      </x:c>
    </x:row>
    <x:row r="882">
      <x:c r="A882" s="9" t="str">
        <x:v>Success</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pi0.5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pi0.5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pi0.5 Results</x:v>
      </x:c>
      <x:c r="AM884" s="9" t="n">
        <x:v>114</x:v>
      </x:c>
      <x:c r="AN884" s="9" t="n">
        <x:v>114</x:v>
      </x:c>
    </x:row>
    <x:row r="885">
      <x:c r="A885" s="9" t="str">
        <x:v>Success</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pi0.5 Results</x:v>
      </x:c>
      <x:c r="AM885" s="9" t="n">
        <x:v>115</x:v>
      </x:c>
      <x:c r="AN885" s="9" t="n">
        <x:v>115</x:v>
      </x:c>
    </x:row>
    <x:row r="886">
      <x:c r="A886" s="9" t="str">
        <x:v>Success</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pi0.5 Results</x:v>
      </x:c>
      <x:c r="AM886" s="9" t="n">
        <x:v>116</x:v>
      </x:c>
      <x:c r="AN886" s="9" t="n">
        <x:v>116</x:v>
      </x:c>
    </x:row>
    <x:row r="887">
      <x:c r="A887" s="9" t="str">
        <x:v>Success</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pi0.5 Results</x:v>
      </x:c>
      <x:c r="AM887" s="9" t="n">
        <x:v>117</x:v>
      </x:c>
      <x:c r="AN887" s="9" t="n">
        <x:v>117</x:v>
      </x:c>
    </x:row>
    <x:row r="888">
      <x:c r="A888" s="9" t="str">
        <x:v>Success</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pi0.5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pi0.5 Results</x:v>
      </x:c>
      <x:c r="AM889" s="9" t="n">
        <x:v>119</x:v>
      </x:c>
      <x:c r="AN889" s="9" t="n">
        <x:v>119</x:v>
      </x:c>
    </x:row>
    <x:row r="890">
      <x:c r="A890" s="9" t="str">
        <x:v>Success</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pi0.5 Results</x:v>
      </x:c>
      <x:c r="AM890" s="9" t="n">
        <x:v>120</x:v>
      </x:c>
      <x:c r="AN890" s="9" t="n">
        <x:v>120</x:v>
      </x:c>
    </x:row>
    <x:row r="891">
      <x:c r="A891" s="9" t="str">
        <x:v>Success</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pi0.5 Results</x:v>
      </x:c>
      <x:c r="AM891" s="9" t="n">
        <x:v>121</x:v>
      </x:c>
      <x:c r="AN891" s="9" t="n">
        <x:v>121</x:v>
      </x:c>
    </x:row>
    <x:row r="892">
      <x:c r="A892" s="9" t="str">
        <x:v>Failure</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t="str">
        <x:v>Picked up green block</x:v>
      </x:c>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pi0.5 Results</x:v>
      </x:c>
      <x:c r="AM892" s="9" t="n">
        <x:v>122</x:v>
      </x:c>
      <x:c r="AN892" s="9" t="n">
        <x:v>122</x:v>
      </x:c>
    </x:row>
    <x:row r="893">
      <x:c r="A893" s="9" t="str">
        <x:v>Success</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pi0.5 Results</x:v>
      </x:c>
      <x:c r="AM893" s="9" t="n">
        <x:v>123</x:v>
      </x:c>
      <x:c r="AN893" s="9" t="n">
        <x:v>123</x:v>
      </x:c>
    </x:row>
    <x:row r="894">
      <x:c r="A894" s="9" t="str">
        <x:v>Success</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pi0.5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Failed grasping. Picked the block, it went up on its side, then it flew out of the range of the robot. Reasoning succeeded</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pi0.5 Results</x:v>
      </x:c>
      <x:c r="AM895" s="9" t="n">
        <x:v>125</x:v>
      </x:c>
      <x:c r="AN895" s="9" t="n">
        <x:v>125</x:v>
      </x:c>
    </x:row>
    <x:row r="896">
      <x:c r="A896" s="9" t="str">
        <x:v>Failure</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t="str">
        <x:v>Grabbed the green block</x:v>
      </x:c>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pi0.5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pi0.5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pi0.5 Results</x:v>
      </x:c>
      <x:c r="AM898" s="9" t="n">
        <x:v>128</x:v>
      </x:c>
      <x:c r="AN898" s="9" t="n">
        <x:v>128</x:v>
      </x:c>
    </x:row>
    <x:row r="899">
      <x:c r="A899" s="9" t="str">
        <x:v>Success</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pi0.5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pi0.5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pi0.5 Results</x:v>
      </x:c>
      <x:c r="AM901" s="9" t="n">
        <x:v>131</x:v>
      </x:c>
      <x:c r="AN901" s="9" t="n">
        <x:v>131</x:v>
      </x:c>
    </x:row>
  </x:sheetData>
  <x:conditionalFormatting sqref="A2:A901">
    <x:cfRule type="containsText" dxfId="8" priority="1" operator="containsText" text="Success"/>
    <x:cfRule type="containsText" dxfId="9"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0be3543a7c7944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picked glass jar</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action only 1 epoch Resul</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picked upside down cup</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action only 1 epoch Resul</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picked the closed white cup</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action only 1 epoch Resul</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picked the closed brown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action only 1 epoch Resul</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action only 1 epoch Resul</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t="str">
        <x:v>picked the upright brown cup</x:v>
      </x:c>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action only 1 epoch Resul</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didn't even grab anything. just was reaching around where there wasn't a cup</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action only 1 epoch Resul</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action only 1 epoch Resul</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action only 1 epoch Resul</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action only 1 epoch Resul</x:v>
      </x:c>
      <x:c r="AM11" s="9" t="n">
        <x:v>11</x:v>
      </x:c>
      <x:c r="AN11" s="9" t="n">
        <x:v>11</x:v>
      </x:c>
    </x:row>
    <x:row r="12">
      <x:c r="A12" s="9" t="str">
        <x:v>Failure</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picked the open white cup</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action only 1 epoch Resul</x:v>
      </x:c>
      <x:c r="AM12" s="9" t="n">
        <x:v>12</x:v>
      </x:c>
      <x:c r="AN12" s="9" t="n">
        <x:v>12</x:v>
      </x:c>
    </x:row>
    <x:row r="13">
      <x:c r="A13" s="9" t="str">
        <x:v>Failure</x:v>
      </x:c>
      <x:c r="B13" s="9" t="str">
        <x:v>State Recognition</x:v>
      </x:c>
      <x:c r="C13" s="10" t="n">
        <x:v>11</x:v>
      </x:c>
      <x:c r="D13" s="9" t="str">
        <x:v>Place the closed white cup in the bowl.</x:v>
      </x:c>
      <x:c r="E13" s="9" t="str">
        <x:v>white cup A (C, RU); white cup B (O, RU); brown cup B (O, RU)</x:v>
      </x:c>
      <x:c r="F13" s="9" t="str">
        <x:v>white cup A</x:v>
      </x:c>
      <x:c r="G13" s="9" t="str">
        <x:v>picked open brown cup</x:v>
      </x:c>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action only 1 epoch Resul</x:v>
      </x:c>
      <x:c r="AM13" s="9" t="n">
        <x:v>13</x:v>
      </x:c>
      <x:c r="AN13" s="9" t="n">
        <x:v>13</x:v>
      </x:c>
    </x:row>
    <x:row r="14">
      <x:c r="A14" s="9" t="str">
        <x:v>Failure</x:v>
      </x:c>
      <x:c r="B14" s="9" t="str">
        <x:v>State Recognition</x:v>
      </x:c>
      <x:c r="C14" s="10" t="n">
        <x:v>12</x:v>
      </x:c>
      <x:c r="D14" s="9" t="str">
        <x:v>Put the open white cup in the bowl.</x:v>
      </x:c>
      <x:c r="E14" s="9" t="str">
        <x:v>white cup B (O, RU); white cup A (C, RU); glass spice container B (O, RU)</x:v>
      </x:c>
      <x:c r="F14" s="9" t="str">
        <x:v>white cup B</x:v>
      </x:c>
      <x:c r="G14" s="9" t="str">
        <x:v>picked the glass spice jar, but dropped it on the table and not the bowl. couldn't recover</x:v>
      </x:c>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action only 1 epoch Resul</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action only 1 epoch Resul</x:v>
      </x:c>
      <x:c r="AM15" s="9" t="n">
        <x:v>15</x:v>
      </x:c>
      <x:c r="AN15" s="9" t="n">
        <x:v>15</x:v>
      </x:c>
    </x:row>
    <x:row r="16">
      <x:c r="A16" s="9" t="str">
        <x:v>Failure</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t="str">
        <x:v>picked the open glass container</x:v>
      </x:c>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action only 1 epoch Resul</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picked the upside down cup</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action only 1 epoch Resul</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action only 1 epoch Resul</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picked the upside down brown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action only 1 epoch Resul</x:v>
      </x:c>
      <x:c r="AM19" s="9" t="n">
        <x:v>19</x:v>
      </x:c>
      <x:c r="AN19" s="9" t="n">
        <x:v>19</x:v>
      </x:c>
    </x:row>
    <x:row r="20">
      <x:c r="A20" s="9" t="str">
        <x:v>Failure</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t="str">
        <x:v>picked the open white cup</x:v>
      </x:c>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action only 1 epoch Resul</x:v>
      </x:c>
      <x:c r="AM20" s="9" t="n">
        <x:v>20</x:v>
      </x:c>
      <x:c r="AN20" s="9" t="n">
        <x:v>20</x:v>
      </x:c>
    </x:row>
    <x:row r="21">
      <x:c r="A21" s="9" t="str">
        <x:v>Failure</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t="str">
        <x:v>didn't move for the start of the episde. when movement happened, it did go for the glass container, but it didn't end up have enough time to grasp it and put it in the bowl.</x:v>
      </x:c>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action only 1 epoch Resul</x:v>
      </x:c>
      <x:c r="AM21" s="9" t="n">
        <x:v>21</x:v>
      </x:c>
      <x:c r="AN21" s="9" t="n">
        <x:v>21</x:v>
      </x:c>
    </x:row>
  </x:sheetData>
  <x:conditionalFormatting sqref="A2:A21">
    <x:cfRule type="containsText" dxfId="10" priority="1" operator="containsText" text="Success"/>
    <x:cfRule type="containsText" dxfId="11" priority="2" operator="containsText" text="Failure"/>
  </x:conditionalFormatting>
  <x:dataValidations count="1">
    <x:dataValidation type="list" sqref="A2:A21">
      <x:formula1>"Success,Failure"</x:formula1>
    </x:dataValidation>
  </x:dataValidations>
  <x:pageMargins left="0.7" right="0.7" top="0.75" bottom="0.75" header="0.3" footer="0.3"/>
  <x:tableParts count="1">
    <x:tablePart xmlns:r="http://schemas.openxmlformats.org/officeDocument/2006/relationships" r:id="R2cce9fd0260f430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31" hidden="0" customWidth="1"/>
    <x:col min="3" max="3" width="35" hidden="0" customWidth="1"/>
    <x:col min="4" max="4" width="22" hidden="0" customWidth="1"/>
    <x:col min="5" max="5" width="12" hidden="0" customWidth="1"/>
    <x:col min="6" max="6" width="12" hidden="0" customWidth="1"/>
    <x:col min="7" max="7" width="12" hidden="0" customWidth="1"/>
    <x:col min="8" max="8" width="15" hidden="0" customWidth="1"/>
    <x:col min="9" max="9" width="15" hidden="0" customWidth="1"/>
    <x:col min="10" max="10" width="17" hidden="0" customWidth="1"/>
    <x:col min="11" max="11" width="13" hidden="0" customWidth="1"/>
    <x:col min="12" max="12" width="13" hidden="0" customWidth="1"/>
    <x:col min="13" max="13" width="24" hidden="0" customWidth="1"/>
    <x:col min="14" max="14" width="28" hidden="0" customWidth="1"/>
    <x:col min="15" max="15" width="36" hidden="0" customWidth="1"/>
    <x:col min="17" max="17" width="18" hidden="0" customWidth="1"/>
    <x:col min="18" max="18" width="20" hidden="0" customWidth="1"/>
    <x:col min="19" max="19" width="20" hidden="0" customWidth="1"/>
    <x:col min="20" max="20" width="20" hidden="0" customWidth="1"/>
    <x:col min="21" max="21" width="20" hidden="0" customWidth="1"/>
    <x:col min="22" max="22" width="20" hidden="0" customWidth="1"/>
  </x:cols>
  <x:sheetData>
    <x:row r="1">
      <x:c r="A1" s="14" t="str">
        <x:v>Segment</x:v>
      </x:c>
      <x:c r="B1" s="14" t="str">
        <x:v>Task</x:v>
      </x:c>
      <x:c r="C1" s="14" t="str">
        <x:v>Model</x:v>
      </x:c>
      <x:c r="D1" s="14" t="str">
        <x:v>Model Sheet</x:v>
      </x:c>
      <x:c r="E1" s="14" t="str">
        <x:v>Success</x:v>
      </x:c>
      <x:c r="F1" s="14" t="str">
        <x:v>Failure</x:v>
      </x:c>
      <x:c r="G1" s="14" t="str">
        <x:v>Scored</x:v>
      </x:c>
      <x:c r="H1" s="14" t="str">
        <x:v>Success Rate</x:v>
      </x:c>
      <x:c r="I1" s="14" t="str">
        <x:v>Wilson Center</x:v>
      </x:c>
      <x:c r="J1" s="14" t="str">
        <x:v>Wilson Half-width</x:v>
      </x:c>
      <x:c r="K1" s="14" t="str">
        <x:v>CI Lower</x:v>
      </x:c>
      <x:c r="L1" s="14" t="str">
        <x:v>CI Upper</x:v>
      </x:c>
      <x:c r="M1" s="14" t="str">
        <x:v>Wilson 95% CI</x:v>
      </x:c>
      <x:c r="N1" s="14" t="str">
        <x:v>Parameter</x:v>
      </x:c>
      <x:c r="O1" s="14" t="str">
        <x:v>Value</x:v>
      </x:c>
      <x:c r="Q1" s="23" t="str">
        <x:v>Task</x:v>
      </x:c>
      <x:c r="R1" s="23" t="str">
        <x:v>VLA-0</x:v>
      </x:c>
      <x:c r="S1" s="23" t="str">
        <x:v>GR00T-N1.7 Vision</x:v>
      </x:c>
      <x:c r="T1" s="23" t="str">
        <x:v>GR00T-N1.7 Full FT</x:v>
      </x:c>
      <x:c r="U1" s="23" t="str">
        <x:v>MolmoAct2</x:v>
      </x:c>
      <x:c r="V1" s="23" t="str">
        <x:v>Pi0.5</x:v>
      </x:c>
    </x:row>
    <x:row r="2">
      <x:c r="A2" s="18" t="str">
        <x:v>In-distribution</x:v>
      </x:c>
      <x:c r="B2" s="18" t="str">
        <x:v>All tasks</x:v>
      </x:c>
      <x:c r="C2" s="18" t="str">
        <x:v>VLA-0</x:v>
      </x:c>
      <x:c r="D2" s="18" t="str">
        <x:v>VLA-0</x:v>
      </x:c>
      <x:c r="E2" s="19" t="n">
        <x:f>COUNTIFS('VLA-0'!$A$2:$A$73,"Success",'VLA-0'!$H$2:$H$73,$O$2)</x:f>
        <x:v>0</x:v>
      </x:c>
      <x:c r="F2" s="19" t="n">
        <x:f>COUNTIFS('VLA-0'!$A$2:$A$73,"Failure",'VLA-0'!$H$2:$H$73,$O$2)</x:f>
        <x:v>72</x:v>
      </x:c>
      <x:c r="G2" s="19" t="n">
        <x:f>E2+F2</x:f>
        <x:v>72</x:v>
      </x:c>
      <x:c r="H2" s="20" t="n">
        <x:f>IF(G2=0,"",E2/G2)</x:f>
        <x:v>0</x:v>
      </x:c>
      <x:c r="I2" s="20" t="n">
        <x:f>IF(G2=0,"",(H2+$O$4^2/(2*G2))/(1+$O$4^2/G2))</x:f>
        <x:v>0.02532646990569819</x:v>
      </x:c>
      <x:c r="J2" s="20" t="n">
        <x:f>IF(G2=0,"",$O$4*SQRT(H2*(1-H2)/G2+$O$4^2/(4*G2^2))/(1+$O$4^2/G2))</x:f>
        <x:v>0.02532646990569819</x:v>
      </x:c>
      <x:c r="K2" s="20" t="n">
        <x:f>IF(G2=0,"",MAX(0,I2-J2))</x:f>
        <x:v>0</x:v>
      </x:c>
      <x:c r="L2" s="20" t="n">
        <x:f>IF(G2=0,"",MIN(1,I2+J2))</x:f>
        <x:v>0.05065293981139638</x:v>
      </x:c>
      <x:c r="M2" s="18" t="str">
        <x:f>IF(G2=0,"",TEXT(K2,"0.0%")&amp;" – "&amp;TEXT(L2,"0.0%"))</x:f>
        <x:v>0.0% – 5.1%</x:v>
      </x:c>
      <x:c r="N2" s="18" t="str">
        <x:v>In-distribution condition</x:v>
      </x:c>
      <x:c r="O2" s="18" t="str">
        <x:v>In-distribution concept baseline</x:v>
      </x:c>
      <x:c r="Q2" s="21" t="str">
        <x:v>All tasks</x:v>
      </x:c>
      <x:c r="R2" s="24" t="n">
        <x:f>H2</x:f>
        <x:v>0</x:v>
      </x:c>
      <x:c r="S2" s="24" t="n">
        <x:f>H3</x:f>
        <x:v>0.675</x:v>
      </x:c>
      <x:c r="T2" s="24" t="n">
        <x:f>H4</x:f>
        <x:v>0.21008403361344538</x:v>
      </x:c>
      <x:c r="U2" s="24" t="n">
        <x:f>H5</x:f>
        <x:v>0.725</x:v>
      </x:c>
      <x:c r="V2" s="24" t="n">
        <x:f>H6</x:f>
        <x:v>0.6833333333333333</x:v>
      </x:c>
    </x:row>
    <x:row r="3">
      <x:c r="A3" s="18" t="str">
        <x:v>In-distribution</x:v>
      </x:c>
      <x:c r="B3" s="18" t="str">
        <x:v>All tasks</x:v>
      </x:c>
      <x:c r="C3" s="18" t="str">
        <x:v>GR00T-N1.7 (vision only)</x:v>
      </x:c>
      <x:c r="D3" s="18" t="str">
        <x:v>GR00T Vision</x:v>
      </x:c>
      <x:c r="E3" s="19" t="n">
        <x:f>COUNTIFS('GR00T Vision'!$A$2:$A$901,"Success",'GR00T Vision'!$H$2:$H$901,$O$2)</x:f>
        <x:v>81</x:v>
      </x:c>
      <x:c r="F3" s="19" t="n">
        <x:f>COUNTIFS('GR00T Vision'!$A$2:$A$901,"Failure",'GR00T Vision'!$H$2:$H$901,$O$2)</x:f>
        <x:v>39</x:v>
      </x:c>
      <x:c r="G3" s="19" t="n">
        <x:f>E3+F3</x:f>
        <x:v>120</x:v>
      </x:c>
      <x:c r="H3" s="20" t="n">
        <x:f>IF(G3=0,"",E3/G3)</x:f>
        <x:v>0.675</x:v>
      </x:c>
      <x:c r="I3" s="20" t="n">
        <x:f>IF(G3=0,"",(H3+$O$4^2/(2*G3))/(1+$O$4^2/G3))</x:f>
        <x:v>0.6695714525652124</x:v>
      </x:c>
      <x:c r="J3" s="20" t="n">
        <x:f>IF(G3=0,"",$O$4*SQRT(H3*(1-H3)/G3+$O$4^2/(4*G3^2))/(1+$O$4^2/G3))</x:f>
        <x:v>0.0826712833464334</x:v>
      </x:c>
      <x:c r="K3" s="20" t="n">
        <x:f>IF(G3=0,"",MAX(0,I3-J3))</x:f>
        <x:v>0.5869001692187791</x:v>
      </x:c>
      <x:c r="L3" s="20" t="n">
        <x:f>IF(G3=0,"",MIN(1,I3+J3))</x:f>
        <x:v>0.7522427359116458</x:v>
      </x:c>
      <x:c r="M3" s="18" t="str">
        <x:f>IF(G3=0,"",TEXT(K3,"0.0%")&amp;" – "&amp;TEXT(L3,"0.0%"))</x:f>
        <x:v>58.7% – 75.2%</x:v>
      </x:c>
      <x:c r="N3" s="18" t="str">
        <x:v>Concept-transfer condition</x:v>
      </x:c>
      <x:c r="O3" s="18" t="str">
        <x:v>Concept/compositional transfer</x:v>
      </x:c>
    </x:row>
    <x:row r="4">
      <x:c r="A4" s="18" t="str">
        <x:v>In-distribution</x:v>
      </x:c>
      <x:c r="B4" s="18" t="str">
        <x:v>All tasks</x:v>
      </x:c>
      <x:c r="C4" s="18" t="str">
        <x:v>GR00T-N1.7 (full finetune)</x:v>
      </x:c>
      <x:c r="D4" s="18" t="str">
        <x:v>GR00T Full</x:v>
      </x:c>
      <x:c r="E4" s="19" t="n">
        <x:f>COUNTIFS('GR00T Full'!$A$2:$A$120,"Success",'GR00T Full'!$H$2:$H$120,$O$2)</x:f>
        <x:v>25</x:v>
      </x:c>
      <x:c r="F4" s="19" t="n">
        <x:f>COUNTIFS('GR00T Full'!$A$2:$A$120,"Failure",'GR00T Full'!$H$2:$H$120,$O$2)</x:f>
        <x:v>94</x:v>
      </x:c>
      <x:c r="G4" s="19" t="n">
        <x:f>E4+F4</x:f>
        <x:v>119</x:v>
      </x:c>
      <x:c r="H4" s="20" t="n">
        <x:f>IF(G4=0,"",E4/G4)</x:f>
        <x:v>0.21008403361344538</x:v>
      </x:c>
      <x:c r="I4" s="20" t="n">
        <x:f>IF(G4=0,"",(H4+$O$4^2/(2*G4))/(1+$O$4^2/G4))</x:f>
        <x:v>0.2191505157861832</x:v>
      </x:c>
      <x:c r="J4" s="20" t="n">
        <x:f>IF(G4=0,"",$O$4*SQRT(H4*(1-H4)/G4+$O$4^2/(4*G4^2))/(1+$O$4^2/G4))</x:f>
        <x:v>0.07260772378669295</x:v>
      </x:c>
      <x:c r="K4" s="20" t="n">
        <x:f>IF(G4=0,"",MAX(0,I4-J4))</x:f>
        <x:v>0.14654279199949025</x:v>
      </x:c>
      <x:c r="L4" s="20" t="n">
        <x:f>IF(G4=0,"",MIN(1,I4+J4))</x:f>
        <x:v>0.29175823957287617</x:v>
      </x:c>
      <x:c r="M4" s="18" t="str">
        <x:f>IF(G4=0,"",TEXT(K4,"0.0%")&amp;" – "&amp;TEXT(L4,"0.0%"))</x:f>
        <x:v>14.7% – 29.2%</x:v>
      </x:c>
      <x:c r="N4" s="18" t="str">
        <x:v>Wilson z</x:v>
      </x:c>
      <x:c r="O4" s="18" t="n">
        <x:v>1.96</x:v>
      </x:c>
    </x:row>
    <x:row r="5">
      <x:c r="A5" s="18" t="str">
        <x:v>In-distribution</x:v>
      </x:c>
      <x:c r="B5" s="18" t="str">
        <x:v>All tasks</x:v>
      </x:c>
      <x:c r="C5" s="18" t="str">
        <x:v>MolmoAct2</x:v>
      </x:c>
      <x:c r="D5" s="18" t="str">
        <x:v>MolmoAct2</x:v>
      </x:c>
      <x:c r="E5" s="19" t="n">
        <x:f>COUNTIFS('MolmoAct2'!$A$2:$A$901,"Success",'MolmoAct2'!$H$2:$H$901,$O$2)</x:f>
        <x:v>87</x:v>
      </x:c>
      <x:c r="F5" s="19" t="n">
        <x:f>COUNTIFS('MolmoAct2'!$A$2:$A$901,"Failure",'MolmoAct2'!$H$2:$H$901,$O$2)</x:f>
        <x:v>33</x:v>
      </x:c>
      <x:c r="G5" s="19" t="n">
        <x:f>E5+F5</x:f>
        <x:v>120</x:v>
      </x:c>
      <x:c r="H5" s="20" t="n">
        <x:f>IF(G5=0,"",E5/G5)</x:f>
        <x:v>0.725</x:v>
      </x:c>
      <x:c r="I5" s="20" t="n">
        <x:f>IF(G5=0,"",(H5+$O$4^2/(2*G5))/(1+$O$4^2/G5))</x:f>
        <x:v>0.7180204390124159</x:v>
      </x:c>
      <x:c r="J5" s="20" t="n">
        <x:f>IF(G5=0,"",$O$4*SQRT(H5*(1-H5)/G5+$O$4^2/(4*G5^2))/(1+$O$4^2/G5))</x:f>
        <x:v>0.07895176257282262</x:v>
      </x:c>
      <x:c r="K5" s="20" t="n">
        <x:f>IF(G5=0,"",MAX(0,I5-J5))</x:f>
        <x:v>0.6390686764395932</x:v>
      </x:c>
      <x:c r="L5" s="20" t="n">
        <x:f>IF(G5=0,"",MIN(1,I5+J5))</x:f>
        <x:v>0.7969722015852385</x:v>
      </x:c>
      <x:c r="M5" s="18" t="str">
        <x:f>IF(G5=0,"",TEXT(K5,"0.0%")&amp;" – "&amp;TEXT(L5,"0.0%"))</x:f>
        <x:v>63.9% – 79.7%</x:v>
      </x:c>
      <x:c r="N5" s="18"/>
      <x:c r="O5" s="18"/>
      <x:c r="Q5" s="23" t="str">
        <x:v>Task</x:v>
      </x:c>
      <x:c r="R5" s="23" t="str">
        <x:v>GR00T-N1.7 Vision</x:v>
      </x:c>
      <x:c r="S5" s="23" t="str">
        <x:v>MolmoAct2</x:v>
      </x:c>
      <x:c r="T5" s="23" t="str">
        <x:v>Pi0.5</x:v>
      </x:c>
    </x:row>
    <x:row r="6">
      <x:c r="A6" s="18" t="str">
        <x:v>In-distribution</x:v>
      </x:c>
      <x:c r="B6" s="18" t="str">
        <x:v>All tasks</x:v>
      </x:c>
      <x:c r="C6" s="18" t="str">
        <x:v>Pi0.5</x:v>
      </x:c>
      <x:c r="D6" s="18" t="str">
        <x:v>Pi0.5</x:v>
      </x:c>
      <x:c r="E6" s="19" t="n">
        <x:f>COUNTIFS('Pi0.5'!$A$2:$A$901,"Success",'Pi0.5'!$H$2:$H$901,$O$2)</x:f>
        <x:v>82</x:v>
      </x:c>
      <x:c r="F6" s="19" t="n">
        <x:f>COUNTIFS('Pi0.5'!$A$2:$A$901,"Failure",'Pi0.5'!$H$2:$H$901,$O$2)</x:f>
        <x:v>38</x:v>
      </x:c>
      <x:c r="G6" s="19" t="n">
        <x:f>E6+F6</x:f>
        <x:v>120</x:v>
      </x:c>
      <x:c r="H6" s="20" t="n">
        <x:f>IF(G6=0,"",E6/G6)</x:f>
        <x:v>0.6833333333333333</x:v>
      </x:c>
      <x:c r="I6" s="20" t="n">
        <x:f>IF(G6=0,"",(H6+$O$4^2/(2*G6))/(1+$O$4^2/G6))</x:f>
        <x:v>0.6776462836397463</x:v>
      </x:c>
      <x:c r="J6" s="20" t="n">
        <x:f>IF(G6=0,"",$O$4*SQRT(H6*(1-H6)/G6+$O$4^2/(4*G6^2))/(1+$O$4^2/G6))</x:f>
        <x:v>0.08212663709809429</x:v>
      </x:c>
      <x:c r="K6" s="20" t="n">
        <x:f>IF(G6=0,"",MAX(0,I6-J6))</x:f>
        <x:v>0.595519646541652</x:v>
      </x:c>
      <x:c r="L6" s="20" t="n">
        <x:f>IF(G6=0,"",MIN(1,I6+J6))</x:f>
        <x:v>0.7597729207378406</x:v>
      </x:c>
      <x:c r="M6" s="18" t="str">
        <x:f>IF(G6=0,"",TEXT(K6,"0.0%")&amp;" – "&amp;TEXT(L6,"0.0%"))</x:f>
        <x:v>59.6% – 76.0%</x:v>
      </x:c>
      <x:c r="N6" s="18"/>
      <x:c r="O6" s="18"/>
      <x:c r="Q6" s="21" t="str">
        <x:v>All tasks</x:v>
      </x:c>
      <x:c r="R6" s="24" t="n">
        <x:f>H7</x:f>
        <x:v>0.44333333333333336</x:v>
      </x:c>
      <x:c r="S6" s="24" t="n">
        <x:f>H8</x:f>
        <x:v>0.52</x:v>
      </x:c>
      <x:c r="T6" s="24" t="n">
        <x:f>H9</x:f>
        <x:v>0.4066666666666667</x:v>
      </x:c>
    </x:row>
    <x:row r="7">
      <x:c r="A7" s="18" t="str">
        <x:v>Concept transfer</x:v>
      </x:c>
      <x:c r="B7" s="18" t="str">
        <x:v>All tasks</x:v>
      </x:c>
      <x:c r="C7" s="18" t="str">
        <x:v>GR00T-N1.7 (vision only)</x:v>
      </x:c>
      <x:c r="D7" s="18" t="str">
        <x:v>GR00T Vision</x:v>
      </x:c>
      <x:c r="E7" s="19" t="n">
        <x:f>COUNTIFS('GR00T Vision'!$A$2:$A$901,"Success",'GR00T Vision'!$H$2:$H$901,$O$3)</x:f>
        <x:v>133</x:v>
      </x:c>
      <x:c r="F7" s="19" t="n">
        <x:f>COUNTIFS('GR00T Vision'!$A$2:$A$901,"Failure",'GR00T Vision'!$H$2:$H$901,$O$3)</x:f>
        <x:v>167</x:v>
      </x:c>
      <x:c r="G7" s="19" t="n">
        <x:f>E7+F7</x:f>
        <x:v>300</x:v>
      </x:c>
      <x:c r="H7" s="20" t="n">
        <x:f>IF(G7=0,"",E7/G7)</x:f>
        <x:v>0.44333333333333336</x:v>
      </x:c>
      <x:c r="I7" s="20" t="n">
        <x:f>IF(G7=0,"",(H7+$O$4^2/(2*G7))/(1+$O$4^2/G7))</x:f>
        <x:v>0.44404979436653835</x:v>
      </x:c>
      <x:c r="J7" s="20" t="n">
        <x:f>IF(G7=0,"",$O$4*SQRT(H7*(1-H7)/G7+$O$4^2/(4*G7^2))/(1+$O$4^2/G7))</x:f>
        <x:v>0.05586386450378932</x:v>
      </x:c>
      <x:c r="K7" s="20" t="n">
        <x:f>IF(G7=0,"",MAX(0,I7-J7))</x:f>
        <x:v>0.388185929862749</x:v>
      </x:c>
      <x:c r="L7" s="20" t="n">
        <x:f>IF(G7=0,"",MIN(1,I7+J7))</x:f>
        <x:v>0.4999136588703277</x:v>
      </x:c>
      <x:c r="M7" s="18" t="str">
        <x:f>IF(G7=0,"",TEXT(K7,"0.0%")&amp;" – "&amp;TEXT(L7,"0.0%"))</x:f>
        <x:v>38.8% – 50.0%</x:v>
      </x:c>
      <x:c r="N7" s="18"/>
      <x:c r="O7" s="18"/>
    </x:row>
    <x:row r="8">
      <x:c r="A8" s="18" t="str">
        <x:v>Concept transfer</x:v>
      </x:c>
      <x:c r="B8" s="18" t="str">
        <x:v>All tasks</x:v>
      </x:c>
      <x:c r="C8" s="18" t="str">
        <x:v>MolmoAct2</x:v>
      </x:c>
      <x:c r="D8" s="18" t="str">
        <x:v>MolmoAct2</x:v>
      </x:c>
      <x:c r="E8" s="19" t="n">
        <x:f>COUNTIFS('MolmoAct2'!$A$2:$A$901,"Success",'MolmoAct2'!$H$2:$H$901,$O$3)</x:f>
        <x:v>156</x:v>
      </x:c>
      <x:c r="F8" s="19" t="n">
        <x:f>COUNTIFS('MolmoAct2'!$A$2:$A$901,"Failure",'MolmoAct2'!$H$2:$H$901,$O$3)</x:f>
        <x:v>144</x:v>
      </x:c>
      <x:c r="G8" s="19" t="n">
        <x:f>E8+F8</x:f>
        <x:v>300</x:v>
      </x:c>
      <x:c r="H8" s="20" t="n">
        <x:f>IF(G8=0,"",E8/G8)</x:f>
        <x:v>0.52</x:v>
      </x:c>
      <x:c r="I8" s="20" t="n">
        <x:f>IF(G8=0,"",(H8+$O$4^2/(2*G8))/(1+$O$4^2/G8))</x:f>
        <x:v>0.5197471314000454</x:v>
      </x:c>
      <x:c r="J8" s="20" t="n">
        <x:f>IF(G8=0,"",$O$4*SQRT(H8*(1-H8)/G8+$O$4^2/(4*G8^2))/(1+$O$4^2/G8))</x:f>
        <x:v>0.05617707779836598</x:v>
      </x:c>
      <x:c r="K8" s="20" t="n">
        <x:f>IF(G8=0,"",MAX(0,I8-J8))</x:f>
        <x:v>0.46357005360167935</x:v>
      </x:c>
      <x:c r="L8" s="20" t="n">
        <x:f>IF(G8=0,"",MIN(1,I8+J8))</x:f>
        <x:v>0.5759242091984114</x:v>
      </x:c>
      <x:c r="M8" s="18" t="str">
        <x:f>IF(G8=0,"",TEXT(K8,"0.0%")&amp;" – "&amp;TEXT(L8,"0.0%"))</x:f>
        <x:v>46.4% – 57.6%</x:v>
      </x:c>
      <x:c r="N8" s="18"/>
      <x:c r="O8" s="18"/>
    </x:row>
    <x:row r="9">
      <x:c r="A9" s="18" t="str">
        <x:v>Concept transfer</x:v>
      </x:c>
      <x:c r="B9" s="18" t="str">
        <x:v>All tasks</x:v>
      </x:c>
      <x:c r="C9" s="18" t="str">
        <x:v>Pi0.5</x:v>
      </x:c>
      <x:c r="D9" s="18" t="str">
        <x:v>Pi0.5</x:v>
      </x:c>
      <x:c r="E9" s="19" t="n">
        <x:f>COUNTIFS('Pi0.5'!$A$2:$A$901,"Success",'Pi0.5'!$H$2:$H$901,$O$3)</x:f>
        <x:v>122</x:v>
      </x:c>
      <x:c r="F9" s="19" t="n">
        <x:f>COUNTIFS('Pi0.5'!$A$2:$A$901,"Failure",'Pi0.5'!$H$2:$H$901,$O$3)</x:f>
        <x:v>178</x:v>
      </x:c>
      <x:c r="G9" s="19" t="n">
        <x:f>E9+F9</x:f>
        <x:v>300</x:v>
      </x:c>
      <x:c r="H9" s="20" t="n">
        <x:f>IF(G9=0,"",E9/G9)</x:f>
        <x:v>0.4066666666666667</x:v>
      </x:c>
      <x:c r="I9" s="20" t="n">
        <x:f>IF(G9=0,"",(H9+$O$4^2/(2*G9))/(1+$O$4^2/G9))</x:f>
        <x:v>0.407846720133122</x:v>
      </x:c>
      <x:c r="J9" s="20" t="n">
        <x:f>IF(G9=0,"",$O$4*SQRT(H9*(1-H9)/G9+$O$4^2/(4*G9^2))/(1+$O$4^2/G9))</x:f>
        <x:v>0.05524592023020142</x:v>
      </x:c>
      <x:c r="K9" s="20" t="n">
        <x:f>IF(G9=0,"",MAX(0,I9-J9))</x:f>
        <x:v>0.3526007999029206</x:v>
      </x:c>
      <x:c r="L9" s="20" t="n">
        <x:f>IF(G9=0,"",MIN(1,I9+J9))</x:f>
        <x:v>0.4630926403633234</x:v>
      </x:c>
      <x:c r="M9" s="18" t="str">
        <x:f>IF(G9=0,"",TEXT(K9,"0.0%")&amp;" – "&amp;TEXT(L9,"0.0%"))</x:f>
        <x:v>35.3% – 46.3%</x:v>
      </x:c>
      <x:c r="N9" s="18"/>
      <x:c r="O9" s="18"/>
      <x:c r="Q9" s="23" t="str">
        <x:v>Task</x:v>
      </x:c>
      <x:c r="R9" s="23" t="str">
        <x:v>VLA-0</x:v>
      </x:c>
      <x:c r="S9" s="23" t="str">
        <x:v>GR00T-N1.7 Vision</x:v>
      </x:c>
      <x:c r="T9" s="23" t="str">
        <x:v>GR00T-N1.7 Full FT</x:v>
      </x:c>
      <x:c r="U9" s="23" t="str">
        <x:v>MolmoAct2</x:v>
      </x:c>
      <x:c r="V9" s="23" t="str">
        <x:v>Pi0.5</x:v>
      </x:c>
    </x:row>
    <x:row r="10">
      <x:c r="A10" s="18" t="str">
        <x:v>In-distribution</x:v>
      </x:c>
      <x:c r="B10" s="18" t="str">
        <x:v>State Recognition</x:v>
      </x:c>
      <x:c r="C10" s="18" t="str">
        <x:v>VLA-0</x:v>
      </x:c>
      <x:c r="D10" s="18" t="str">
        <x:v>VLA-0</x:v>
      </x:c>
      <x:c r="E10" s="19" t="n">
        <x:f>COUNTIFS('VLA-0'!$A$2:$A$73,"Success",'VLA-0'!$H$2:$H$73,$O$2,'VLA-0'!$B$2:$B$73,$B10)</x:f>
        <x:v>0</x:v>
      </x:c>
      <x:c r="F10" s="19" t="n">
        <x:f>COUNTIFS('VLA-0'!$A$2:$A$73,"Failure",'VLA-0'!$H$2:$H$73,$O$2,'VLA-0'!$B$2:$B$73,$B10)</x:f>
        <x:v>10</x:v>
      </x:c>
      <x:c r="G10" s="19" t="n">
        <x:f>E10+F10</x:f>
        <x:v>10</x:v>
      </x:c>
      <x:c r="H10" s="20" t="n">
        <x:f>IF(G10=0,"",E10/G10)</x:f>
        <x:v>0</x:v>
      </x:c>
      <x:c r="I10" s="20" t="n">
        <x:f>IF(G10=0,"",(H10+$O$4^2/(2*G10))/(1+$O$4^2/G10))</x:f>
        <x:v>0.13877008438330826</x:v>
      </x:c>
      <x:c r="J10" s="20" t="n">
        <x:f>IF(G10=0,"",$O$4*SQRT(H10*(1-H10)/G10+$O$4^2/(4*G10^2))/(1+$O$4^2/G10))</x:f>
        <x:v>0.1387700843833083</x:v>
      </x:c>
      <x:c r="K10" s="20" t="n">
        <x:f>IF(G10=0,"",MAX(0,I10-J10))</x:f>
        <x:v>0</x:v>
      </x:c>
      <x:c r="L10" s="20" t="n">
        <x:f>IF(G10=0,"",MIN(1,I10+J10))</x:f>
        <x:v>0.2775401687666166</x:v>
      </x:c>
      <x:c r="M10" s="18" t="str">
        <x:f>IF(G10=0,"",TEXT(K10,"0.0%")&amp;" – "&amp;TEXT(L10,"0.0%"))</x:f>
        <x:v>0.0% – 27.8%</x:v>
      </x:c>
      <x:c r="N10" s="18"/>
      <x:c r="O10" s="18"/>
      <x:c r="Q10" s="21" t="str">
        <x:v>State</x:v>
      </x:c>
      <x:c r="R10" s="24" t="n">
        <x:f>H10</x:f>
        <x:v>0</x:v>
      </x:c>
      <x:c r="S10" s="24" t="n">
        <x:f>H11</x:f>
        <x:v>0.85</x:v>
      </x:c>
      <x:c r="T10" s="24" t="n">
        <x:f>H12</x:f>
        <x:v>0.2</x:v>
      </x:c>
      <x:c r="U10" s="24" t="n">
        <x:f>H13</x:f>
        <x:v>0.9</x:v>
      </x:c>
      <x:c r="V10" s="24" t="n">
        <x:f>H14</x:f>
        <x:v>0.8</x:v>
      </x:c>
    </x:row>
    <x:row r="11">
      <x:c r="A11" s="18" t="str">
        <x:v>In-distribution</x:v>
      </x:c>
      <x:c r="B11" s="18" t="str">
        <x:v>State Recognition</x:v>
      </x:c>
      <x:c r="C11" s="18" t="str">
        <x:v>GR00T-N1.7 (vision only)</x:v>
      </x:c>
      <x:c r="D11" s="18" t="str">
        <x:v>GR00T Vision</x:v>
      </x:c>
      <x:c r="E11" s="19" t="n">
        <x:f>COUNTIFS('GR00T Vision'!$A$2:$A$901,"Success",'GR00T Vision'!$H$2:$H$901,$O$2,'GR00T Vision'!$B$2:$B$901,$B11)</x:f>
        <x:v>17</x:v>
      </x:c>
      <x:c r="F11" s="19" t="n">
        <x:f>COUNTIFS('GR00T Vision'!$A$2:$A$901,"Failure",'GR00T Vision'!$H$2:$H$901,$O$2,'GR00T Vision'!$B$2:$B$901,$B11)</x:f>
        <x:v>3</x:v>
      </x:c>
      <x:c r="G11" s="19" t="n">
        <x:f>E11+F11</x:f>
        <x:v>20</x:v>
      </x:c>
      <x:c r="H11" s="20" t="n">
        <x:f>IF(G11=0,"",E11/G11)</x:f>
        <x:v>0.85</x:v>
      </x:c>
      <x:c r="I11" s="20" t="n">
        <x:f>IF(G11=0,"",(H11+$O$4^2/(2*G11))/(1+$O$4^2/G11))</x:f>
        <x:v>0.7936044560767733</x:v>
      </x:c>
      <x:c r="J11" s="20" t="n">
        <x:f>IF(G11=0,"",$O$4*SQRT(H11*(1-H11)/G11+$O$4^2/(4*G11^2))/(1+$O$4^2/G11))</x:f>
        <x:v>0.15402775196373078</x:v>
      </x:c>
      <x:c r="K11" s="20" t="n">
        <x:f>IF(G11=0,"",MAX(0,I11-J11))</x:f>
        <x:v>0.6395767041130426</x:v>
      </x:c>
      <x:c r="L11" s="20" t="n">
        <x:f>IF(G11=0,"",MIN(1,I11+J11))</x:f>
        <x:v>0.9476322080405041</x:v>
      </x:c>
      <x:c r="M11" s="18" t="str">
        <x:f>IF(G11=0,"",TEXT(K11,"0.0%")&amp;" – "&amp;TEXT(L11,"0.0%"))</x:f>
        <x:v>64.0% – 94.8%</x:v>
      </x:c>
      <x:c r="N11" s="18"/>
      <x:c r="O11" s="18"/>
      <x:c r="Q11" s="21" t="str">
        <x:v>Counting</x:v>
      </x:c>
      <x:c r="R11" s="24" t="n">
        <x:f>H15</x:f>
        <x:v>0</x:v>
      </x:c>
      <x:c r="S11" s="24" t="n">
        <x:f>H16</x:f>
        <x:v>0.6</x:v>
      </x:c>
      <x:c r="T11" s="24" t="n">
        <x:f>H17</x:f>
        <x:v>0.3684210526315789</x:v>
      </x:c>
      <x:c r="U11" s="24" t="n">
        <x:f>H18</x:f>
        <x:v>0.6</x:v>
      </x:c>
      <x:c r="V11" s="24" t="n">
        <x:f>H19</x:f>
        <x:v>0.55</x:v>
      </x:c>
    </x:row>
    <x:row r="12">
      <x:c r="A12" s="18" t="str">
        <x:v>In-distribution</x:v>
      </x:c>
      <x:c r="B12" s="18" t="str">
        <x:v>State Recognition</x:v>
      </x:c>
      <x:c r="C12" s="18" t="str">
        <x:v>GR00T-N1.7 (full finetune)</x:v>
      </x:c>
      <x:c r="D12" s="18" t="str">
        <x:v>GR00T Full</x:v>
      </x:c>
      <x:c r="E12" s="19" t="n">
        <x:f>COUNTIFS('GR00T Full'!$A$2:$A$120,"Success",'GR00T Full'!$H$2:$H$120,$O$2,'GR00T Full'!$B$2:$B$120,$B12)</x:f>
        <x:v>4</x:v>
      </x:c>
      <x:c r="F12" s="19" t="n">
        <x:f>COUNTIFS('GR00T Full'!$A$2:$A$120,"Failure",'GR00T Full'!$H$2:$H$120,$O$2,'GR00T Full'!$B$2:$B$120,$B12)</x:f>
        <x:v>16</x:v>
      </x:c>
      <x:c r="G12" s="19" t="n">
        <x:f>E12+F12</x:f>
        <x:v>20</x:v>
      </x:c>
      <x:c r="H12" s="20" t="n">
        <x:f>IF(G12=0,"",E12/G12)</x:f>
        <x:v>0.2</x:v>
      </x:c>
      <x:c r="I12" s="20" t="n">
        <x:f>IF(G12=0,"",(H12+$O$4^2/(2*G12))/(1+$O$4^2/G12))</x:f>
        <x:v>0.24833903764847995</x:v>
      </x:c>
      <x:c r="J12" s="20" t="n">
        <x:f>IF(G12=0,"",$O$4*SQRT(H12*(1-H12)/G12+$O$4^2/(4*G12^2))/(1+$O$4^2/G12))</x:f>
        <x:v>0.16768268437727996</x:v>
      </x:c>
      <x:c r="K12" s="20" t="n">
        <x:f>IF(G12=0,"",MAX(0,I12-J12))</x:f>
        <x:v>0.0806563532712</x:v>
      </x:c>
      <x:c r="L12" s="20" t="n">
        <x:f>IF(G12=0,"",MIN(1,I12+J12))</x:f>
        <x:v>0.41602172202575993</x:v>
      </x:c>
      <x:c r="M12" s="18" t="str">
        <x:f>IF(G12=0,"",TEXT(K12,"0.0%")&amp;" – "&amp;TEXT(L12,"0.0%"))</x:f>
        <x:v>8.1% – 41.6%</x:v>
      </x:c>
      <x:c r="N12" s="18"/>
      <x:c r="O12" s="18"/>
      <x:c r="Q12" s="21" t="str">
        <x:v>Ordinal</x:v>
      </x:c>
      <x:c r="R12" s="24" t="n">
        <x:f>H20</x:f>
        <x:v>0</x:v>
      </x:c>
      <x:c r="S12" s="24" t="n">
        <x:f>H21</x:f>
        <x:v>0.45</x:v>
      </x:c>
      <x:c r="T12" s="24" t="n">
        <x:f>H22</x:f>
        <x:v>0.15</x:v>
      </x:c>
      <x:c r="U12" s="24" t="n">
        <x:f>H23</x:f>
        <x:v>0.5</x:v>
      </x:c>
      <x:c r="V12" s="24" t="n">
        <x:f>H24</x:f>
        <x:v>0.35</x:v>
      </x:c>
    </x:row>
    <x:row r="13">
      <x:c r="A13" s="18" t="str">
        <x:v>In-distribution</x:v>
      </x:c>
      <x:c r="B13" s="18" t="str">
        <x:v>State Recognition</x:v>
      </x:c>
      <x:c r="C13" s="18" t="str">
        <x:v>MolmoAct2</x:v>
      </x:c>
      <x:c r="D13" s="18" t="str">
        <x:v>MolmoAct2</x:v>
      </x:c>
      <x:c r="E13" s="19" t="n">
        <x:f>COUNTIFS('MolmoAct2'!$A$2:$A$901,"Success",'MolmoAct2'!$H$2:$H$901,$O$2,'MolmoAct2'!$B$2:$B$901,$B13)</x:f>
        <x:v>18</x:v>
      </x:c>
      <x:c r="F13" s="19" t="n">
        <x:f>COUNTIFS('MolmoAct2'!$A$2:$A$901,"Failure",'MolmoAct2'!$H$2:$H$901,$O$2,'MolmoAct2'!$B$2:$B$901,$B13)</x:f>
        <x:v>2</x:v>
      </x:c>
      <x:c r="G13" s="19" t="n">
        <x:f>E13+F13</x:f>
        <x:v>20</x:v>
      </x:c>
      <x:c r="H13" s="20" t="n">
        <x:f>IF(G13=0,"",E13/G13)</x:f>
        <x:v>0.9</x:v>
      </x:c>
      <x:c r="I13" s="20" t="n">
        <x:f>IF(G13=0,"",(H13+$O$4^2/(2*G13))/(1+$O$4^2/G13))</x:f>
        <x:v>0.8355479498020267</x:v>
      </x:c>
      <x:c r="J13" s="20" t="n">
        <x:f>IF(G13=0,"",$O$4*SQRT(H13*(1-H13)/G13+$O$4^2/(4*G13^2))/(1+$O$4^2/G13))</x:f>
        <x:v>0.13658615621382006</x:v>
      </x:c>
      <x:c r="K13" s="20" t="n">
        <x:f>IF(G13=0,"",MAX(0,I13-J13))</x:f>
        <x:v>0.6989617935882066</x:v>
      </x:c>
      <x:c r="L13" s="20" t="n">
        <x:f>IF(G13=0,"",MIN(1,I13+J13))</x:f>
        <x:v>0.9721341060158468</x:v>
      </x:c>
      <x:c r="M13" s="18" t="str">
        <x:f>IF(G13=0,"",TEXT(K13,"0.0%")&amp;" – "&amp;TEXT(L13,"0.0%"))</x:f>
        <x:v>69.9% – 97.2%</x:v>
      </x:c>
      <x:c r="N13" s="18"/>
      <x:c r="O13" s="18"/>
      <x:c r="Q13" s="21" t="str">
        <x:v>Relational</x:v>
      </x:c>
      <x:c r="R13" s="24" t="n">
        <x:f>H25</x:f>
        <x:v>0</x:v>
      </x:c>
      <x:c r="S13" s="24" t="n">
        <x:f>H26</x:f>
        <x:v>0.7</x:v>
      </x:c>
      <x:c r="T13" s="24" t="n">
        <x:f>H27</x:f>
        <x:v>0</x:v>
      </x:c>
      <x:c r="U13" s="24" t="n">
        <x:f>H28</x:f>
        <x:v>0.8</x:v>
      </x:c>
      <x:c r="V13" s="24" t="n">
        <x:f>H29</x:f>
        <x:v>0.65</x:v>
      </x:c>
    </x:row>
    <x:row r="14">
      <x:c r="A14" s="18" t="str">
        <x:v>In-distribution</x:v>
      </x:c>
      <x:c r="B14" s="18" t="str">
        <x:v>State Recognition</x:v>
      </x:c>
      <x:c r="C14" s="18" t="str">
        <x:v>Pi0.5</x:v>
      </x:c>
      <x:c r="D14" s="18" t="str">
        <x:v>Pi0.5</x:v>
      </x:c>
      <x:c r="E14" s="19" t="n">
        <x:f>COUNTIFS('Pi0.5'!$A$2:$A$901,"Success",'Pi0.5'!$H$2:$H$901,$O$2,'Pi0.5'!$B$2:$B$901,$B14)</x:f>
        <x:v>16</x:v>
      </x:c>
      <x:c r="F14" s="19" t="n">
        <x:f>COUNTIFS('Pi0.5'!$A$2:$A$901,"Failure",'Pi0.5'!$H$2:$H$901,$O$2,'Pi0.5'!$B$2:$B$901,$B14)</x:f>
        <x:v>4</x:v>
      </x:c>
      <x:c r="G14" s="19" t="n">
        <x:f>E14+F14</x:f>
        <x:v>20</x:v>
      </x:c>
      <x:c r="H14" s="20" t="n">
        <x:f>IF(G14=0,"",E14/G14)</x:f>
        <x:v>0.8</x:v>
      </x:c>
      <x:c r="I14" s="20" t="n">
        <x:f>IF(G14=0,"",(H14+$O$4^2/(2*G14))/(1+$O$4^2/G14))</x:f>
        <x:v>0.75166096235152</x:v>
      </x:c>
      <x:c r="J14" s="20" t="n">
        <x:f>IF(G14=0,"",$O$4*SQRT(H14*(1-H14)/G14+$O$4^2/(4*G14^2))/(1+$O$4^2/G14))</x:f>
        <x:v>0.16768268437727993</x:v>
      </x:c>
      <x:c r="K14" s="20" t="n">
        <x:f>IF(G14=0,"",MAX(0,I14-J14))</x:f>
        <x:v>0.5839782779742401</x:v>
      </x:c>
      <x:c r="L14" s="20" t="n">
        <x:f>IF(G14=0,"",MIN(1,I14+J14))</x:f>
        <x:v>0.9193436467288</x:v>
      </x:c>
      <x:c r="M14" s="18" t="str">
        <x:f>IF(G14=0,"",TEXT(K14,"0.0%")&amp;" – "&amp;TEXT(L14,"0.0%"))</x:f>
        <x:v>58.4% – 91.9%</x:v>
      </x:c>
      <x:c r="N14" s="18"/>
      <x:c r="O14" s="18"/>
      <x:c r="Q14" s="21" t="str">
        <x:v>Referential</x:v>
      </x:c>
      <x:c r="R14" s="24" t="n">
        <x:f>H30</x:f>
        <x:v>0</x:v>
      </x:c>
      <x:c r="S14" s="24" t="n">
        <x:f>H31</x:f>
        <x:v>0.6</x:v>
      </x:c>
      <x:c r="T14" s="24" t="n">
        <x:f>H32</x:f>
        <x:v>0.2</x:v>
      </x:c>
      <x:c r="U14" s="24" t="n">
        <x:f>H33</x:f>
        <x:v>0.75</x:v>
      </x:c>
      <x:c r="V14" s="24" t="n">
        <x:f>H34</x:f>
        <x:v>0.8</x:v>
      </x:c>
    </x:row>
    <x:row r="15">
      <x:c r="A15" s="18" t="str">
        <x:v>In-distribution</x:v>
      </x:c>
      <x:c r="B15" s="18" t="str">
        <x:v>Counting</x:v>
      </x:c>
      <x:c r="C15" s="18" t="str">
        <x:v>VLA-0</x:v>
      </x:c>
      <x:c r="D15" s="18" t="str">
        <x:v>VLA-0</x:v>
      </x:c>
      <x:c r="E15" s="19" t="n">
        <x:f>COUNTIFS('VLA-0'!$A$2:$A$73,"Success",'VLA-0'!$H$2:$H$73,$O$2,'VLA-0'!$B$2:$B$73,$B15)</x:f>
        <x:v>0</x:v>
      </x:c>
      <x:c r="F15" s="19" t="n">
        <x:f>COUNTIFS('VLA-0'!$A$2:$A$73,"Failure",'VLA-0'!$H$2:$H$73,$O$2,'VLA-0'!$B$2:$B$73,$B15)</x:f>
        <x:v>10</x:v>
      </x:c>
      <x:c r="G15" s="19" t="n">
        <x:f>E15+F15</x:f>
        <x:v>10</x:v>
      </x:c>
      <x:c r="H15" s="20" t="n">
        <x:f>IF(G15=0,"",E15/G15)</x:f>
        <x:v>0</x:v>
      </x:c>
      <x:c r="I15" s="20" t="n">
        <x:f>IF(G15=0,"",(H15+$O$4^2/(2*G15))/(1+$O$4^2/G15))</x:f>
        <x:v>0.13877008438330826</x:v>
      </x:c>
      <x:c r="J15" s="20" t="n">
        <x:f>IF(G15=0,"",$O$4*SQRT(H15*(1-H15)/G15+$O$4^2/(4*G15^2))/(1+$O$4^2/G15))</x:f>
        <x:v>0.1387700843833083</x:v>
      </x:c>
      <x:c r="K15" s="20" t="n">
        <x:f>IF(G15=0,"",MAX(0,I15-J15))</x:f>
        <x:v>0</x:v>
      </x:c>
      <x:c r="L15" s="20" t="n">
        <x:f>IF(G15=0,"",MIN(1,I15+J15))</x:f>
        <x:v>0.2775401687666166</x:v>
      </x:c>
      <x:c r="M15" s="18" t="str">
        <x:f>IF(G15=0,"",TEXT(K15,"0.0%")&amp;" – "&amp;TEXT(L15,"0.0%"))</x:f>
        <x:v>0.0% – 27.8%</x:v>
      </x:c>
      <x:c r="N15" s="18"/>
      <x:c r="O15" s="18"/>
      <x:c r="Q15" s="21" t="str">
        <x:v>Size</x:v>
      </x:c>
      <x:c r="R15" s="24" t="n">
        <x:f>H35</x:f>
        <x:v>0</x:v>
      </x:c>
      <x:c r="S15" s="24" t="n">
        <x:f>H36</x:f>
        <x:v>0.85</x:v>
      </x:c>
      <x:c r="T15" s="24" t="n">
        <x:f>H37</x:f>
        <x:v>0.35</x:v>
      </x:c>
      <x:c r="U15" s="24" t="n">
        <x:f>H38</x:f>
        <x:v>0.8</x:v>
      </x:c>
      <x:c r="V15" s="24" t="n">
        <x:f>H39</x:f>
        <x:v>0.95</x:v>
      </x:c>
    </x:row>
    <x:row r="16">
      <x:c r="A16" s="18" t="str">
        <x:v>In-distribution</x:v>
      </x:c>
      <x:c r="B16" s="18" t="str">
        <x:v>Counting</x:v>
      </x:c>
      <x:c r="C16" s="18" t="str">
        <x:v>GR00T-N1.7 (vision only)</x:v>
      </x:c>
      <x:c r="D16" s="18" t="str">
        <x:v>GR00T Vision</x:v>
      </x:c>
      <x:c r="E16" s="19" t="n">
        <x:f>COUNTIFS('GR00T Vision'!$A$2:$A$901,"Success",'GR00T Vision'!$H$2:$H$901,$O$2,'GR00T Vision'!$B$2:$B$901,$B16)</x:f>
        <x:v>12</x:v>
      </x:c>
      <x:c r="F16" s="19" t="n">
        <x:f>COUNTIFS('GR00T Vision'!$A$2:$A$901,"Failure",'GR00T Vision'!$H$2:$H$901,$O$2,'GR00T Vision'!$B$2:$B$901,$B16)</x:f>
        <x:v>8</x:v>
      </x:c>
      <x:c r="G16" s="19" t="n">
        <x:f>E16+F16</x:f>
        <x:v>20</x:v>
      </x:c>
      <x:c r="H16" s="20" t="n">
        <x:f>IF(G16=0,"",E16/G16)</x:f>
        <x:v>0.6</x:v>
      </x:c>
      <x:c r="I16" s="20" t="n">
        <x:f>IF(G16=0,"",(H16+$O$4^2/(2*G16))/(1+$O$4^2/G16))</x:f>
        <x:v>0.5838869874505067</x:v>
      </x:c>
      <x:c r="J16" s="20" t="n">
        <x:f>IF(G16=0,"",$O$4*SQRT(H16*(1-H16)/G16+$O$4^2/(4*G16^2))/(1+$O$4^2/G16))</x:f>
        <x:v>0.19730904513530062</x:v>
      </x:c>
      <x:c r="K16" s="20" t="n">
        <x:f>IF(G16=0,"",MAX(0,I16-J16))</x:f>
        <x:v>0.3865779423152061</x:v>
      </x:c>
      <x:c r="L16" s="20" t="n">
        <x:f>IF(G16=0,"",MIN(1,I16+J16))</x:f>
        <x:v>0.7811960325858074</x:v>
      </x:c>
      <x:c r="M16" s="18" t="str">
        <x:f>IF(G16=0,"",TEXT(K16,"0.0%")&amp;" – "&amp;TEXT(L16,"0.0%"))</x:f>
        <x:v>38.7% – 78.1%</x:v>
      </x:c>
      <x:c r="N16" s="18"/>
      <x:c r="O16" s="18"/>
    </x:row>
    <x:row r="17">
      <x:c r="A17" s="18" t="str">
        <x:v>In-distribution</x:v>
      </x:c>
      <x:c r="B17" s="18" t="str">
        <x:v>Counting</x:v>
      </x:c>
      <x:c r="C17" s="18" t="str">
        <x:v>GR00T-N1.7 (full finetune)</x:v>
      </x:c>
      <x:c r="D17" s="18" t="str">
        <x:v>GR00T Full</x:v>
      </x:c>
      <x:c r="E17" s="19" t="n">
        <x:f>COUNTIFS('GR00T Full'!$A$2:$A$120,"Success",'GR00T Full'!$H$2:$H$120,$O$2,'GR00T Full'!$B$2:$B$120,$B17)</x:f>
        <x:v>7</x:v>
      </x:c>
      <x:c r="F17" s="19" t="n">
        <x:f>COUNTIFS('GR00T Full'!$A$2:$A$120,"Failure",'GR00T Full'!$H$2:$H$120,$O$2,'GR00T Full'!$B$2:$B$120,$B17)</x:f>
        <x:v>12</x:v>
      </x:c>
      <x:c r="G17" s="19" t="n">
        <x:f>E17+F17</x:f>
        <x:v>19</x:v>
      </x:c>
      <x:c r="H17" s="20" t="n">
        <x:f>IF(G17=0,"",E17/G17)</x:f>
        <x:v>0.3684210526315789</x:v>
      </x:c>
      <x:c r="I17" s="20" t="n">
        <x:f>IF(G17=0,"",(H17+$O$4^2/(2*G17))/(1+$O$4^2/G17))</x:f>
        <x:v>0.3905505743905856</x:v>
      </x:c>
      <x:c r="J17" s="20" t="n">
        <x:f>IF(G17=0,"",$O$4*SQRT(H17*(1-H17)/G17+$O$4^2/(4*G17^2))/(1+$O$4^2/G17))</x:f>
        <x:v>0.19905785062784717</x:v>
      </x:c>
      <x:c r="K17" s="20" t="n">
        <x:f>IF(G17=0,"",MAX(0,I17-J17))</x:f>
        <x:v>0.19149272376273843</x:v>
      </x:c>
      <x:c r="L17" s="20" t="n">
        <x:f>IF(G17=0,"",MIN(1,I17+J17))</x:f>
        <x:v>0.5896084250184328</x:v>
      </x:c>
      <x:c r="M17" s="18" t="str">
        <x:f>IF(G17=0,"",TEXT(K17,"0.0%")&amp;" – "&amp;TEXT(L17,"0.0%"))</x:f>
        <x:v>19.1% – 59.0%</x:v>
      </x:c>
      <x:c r="N17" s="18"/>
      <x:c r="O17" s="18"/>
    </x:row>
    <x:row r="18">
      <x:c r="A18" s="18" t="str">
        <x:v>In-distribution</x:v>
      </x:c>
      <x:c r="B18" s="18" t="str">
        <x:v>Counting</x:v>
      </x:c>
      <x:c r="C18" s="18" t="str">
        <x:v>MolmoAct2</x:v>
      </x:c>
      <x:c r="D18" s="18" t="str">
        <x:v>MolmoAct2</x:v>
      </x:c>
      <x:c r="E18" s="19" t="n">
        <x:f>COUNTIFS('MolmoAct2'!$A$2:$A$901,"Success",'MolmoAct2'!$H$2:$H$901,$O$2,'MolmoAct2'!$B$2:$B$901,$B18)</x:f>
        <x:v>12</x:v>
      </x:c>
      <x:c r="F18" s="19" t="n">
        <x:f>COUNTIFS('MolmoAct2'!$A$2:$A$901,"Failure",'MolmoAct2'!$H$2:$H$901,$O$2,'MolmoAct2'!$B$2:$B$901,$B18)</x:f>
        <x:v>8</x:v>
      </x:c>
      <x:c r="G18" s="19" t="n">
        <x:f>E18+F18</x:f>
        <x:v>20</x:v>
      </x:c>
      <x:c r="H18" s="20" t="n">
        <x:f>IF(G18=0,"",E18/G18)</x:f>
        <x:v>0.6</x:v>
      </x:c>
      <x:c r="I18" s="20" t="n">
        <x:f>IF(G18=0,"",(H18+$O$4^2/(2*G18))/(1+$O$4^2/G18))</x:f>
        <x:v>0.5838869874505067</x:v>
      </x:c>
      <x:c r="J18" s="20" t="n">
        <x:f>IF(G18=0,"",$O$4*SQRT(H18*(1-H18)/G18+$O$4^2/(4*G18^2))/(1+$O$4^2/G18))</x:f>
        <x:v>0.19730904513530062</x:v>
      </x:c>
      <x:c r="K18" s="20" t="n">
        <x:f>IF(G18=0,"",MAX(0,I18-J18))</x:f>
        <x:v>0.3865779423152061</x:v>
      </x:c>
      <x:c r="L18" s="20" t="n">
        <x:f>IF(G18=0,"",MIN(1,I18+J18))</x:f>
        <x:v>0.7811960325858074</x:v>
      </x:c>
      <x:c r="M18" s="18" t="str">
        <x:f>IF(G18=0,"",TEXT(K18,"0.0%")&amp;" – "&amp;TEXT(L18,"0.0%"))</x:f>
        <x:v>38.7% – 78.1%</x:v>
      </x:c>
      <x:c r="N18" s="18"/>
      <x:c r="O18" s="18"/>
      <x:c r="Q18" s="23" t="str">
        <x:v>Task</x:v>
      </x:c>
      <x:c r="R18" s="23" t="str">
        <x:v>GR00T-N1.7 Vision</x:v>
      </x:c>
      <x:c r="S18" s="23" t="str">
        <x:v>MolmoAct2</x:v>
      </x:c>
      <x:c r="T18" s="23" t="str">
        <x:v>Pi0.5</x:v>
      </x:c>
    </x:row>
    <x:row r="19">
      <x:c r="A19" s="18" t="str">
        <x:v>In-distribution</x:v>
      </x:c>
      <x:c r="B19" s="18" t="str">
        <x:v>Counting</x:v>
      </x:c>
      <x:c r="C19" s="18" t="str">
        <x:v>Pi0.5</x:v>
      </x:c>
      <x:c r="D19" s="18" t="str">
        <x:v>Pi0.5</x:v>
      </x:c>
      <x:c r="E19" s="19" t="n">
        <x:f>COUNTIFS('Pi0.5'!$A$2:$A$901,"Success",'Pi0.5'!$H$2:$H$901,$O$2,'Pi0.5'!$B$2:$B$901,$B19)</x:f>
        <x:v>11</x:v>
      </x:c>
      <x:c r="F19" s="19" t="n">
        <x:f>COUNTIFS('Pi0.5'!$A$2:$A$901,"Failure",'Pi0.5'!$H$2:$H$901,$O$2,'Pi0.5'!$B$2:$B$901,$B19)</x:f>
        <x:v>9</x:v>
      </x:c>
      <x:c r="G19" s="19" t="n">
        <x:f>E19+F19</x:f>
        <x:v>20</x:v>
      </x:c>
      <x:c r="H19" s="20" t="n">
        <x:f>IF(G19=0,"",E19/G19)</x:f>
        <x:v>0.55</x:v>
      </x:c>
      <x:c r="I19" s="20" t="n">
        <x:f>IF(G19=0,"",(H19+$O$4^2/(2*G19))/(1+$O$4^2/G19))</x:f>
        <x:v>0.5419434937252534</x:v>
      </x:c>
      <x:c r="J19" s="20" t="n">
        <x:f>IF(G19=0,"",$O$4*SQRT(H19*(1-H19)/G19+$O$4^2/(4*G19^2))/(1+$O$4^2/G19))</x:f>
        <x:v>0.1998614854176537</x:v>
      </x:c>
      <x:c r="K19" s="20" t="n">
        <x:f>IF(G19=0,"",MAX(0,I19-J19))</x:f>
        <x:v>0.3420820083075997</x:v>
      </x:c>
      <x:c r="L19" s="20" t="n">
        <x:f>IF(G19=0,"",MIN(1,I19+J19))</x:f>
        <x:v>0.7418049791429071</x:v>
      </x:c>
      <x:c r="M19" s="18" t="str">
        <x:f>IF(G19=0,"",TEXT(K19,"0.0%")&amp;" – "&amp;TEXT(L19,"0.0%"))</x:f>
        <x:v>34.2% – 74.2%</x:v>
      </x:c>
      <x:c r="N19" s="18"/>
      <x:c r="O19" s="18"/>
      <x:c r="Q19" s="21" t="str">
        <x:v>State</x:v>
      </x:c>
      <x:c r="R19" s="24" t="n">
        <x:f>H40</x:f>
        <x:v>0.34</x:v>
      </x:c>
      <x:c r="S19" s="24" t="n">
        <x:f>H41</x:f>
        <x:v>0.76</x:v>
      </x:c>
      <x:c r="T19" s="24" t="n">
        <x:f>H42</x:f>
        <x:v>0.36</x:v>
      </x:c>
    </x:row>
    <x:row r="20">
      <x:c r="A20" s="18" t="str">
        <x:v>In-distribution</x:v>
      </x:c>
      <x:c r="B20" s="18" t="str">
        <x:v>Ordinal Reference Ordering</x:v>
      </x:c>
      <x:c r="C20" s="18" t="str">
        <x:v>VLA-0</x:v>
      </x:c>
      <x:c r="D20" s="18" t="str">
        <x:v>VLA-0</x:v>
      </x:c>
      <x:c r="E20" s="19" t="n">
        <x:f>COUNTIFS('VLA-0'!$A$2:$A$73,"Success",'VLA-0'!$H$2:$H$73,$O$2,'VLA-0'!$B$2:$B$73,$B20)</x:f>
        <x:v>0</x:v>
      </x:c>
      <x:c r="F20" s="19" t="n">
        <x:f>COUNTIFS('VLA-0'!$A$2:$A$73,"Failure",'VLA-0'!$H$2:$H$73,$O$2,'VLA-0'!$B$2:$B$73,$B20)</x:f>
        <x:v>10</x:v>
      </x:c>
      <x:c r="G20" s="19" t="n">
        <x:f>E20+F20</x:f>
        <x:v>10</x:v>
      </x:c>
      <x:c r="H20" s="20" t="n">
        <x:f>IF(G20=0,"",E20/G20)</x:f>
        <x:v>0</x:v>
      </x:c>
      <x:c r="I20" s="20" t="n">
        <x:f>IF(G20=0,"",(H20+$O$4^2/(2*G20))/(1+$O$4^2/G20))</x:f>
        <x:v>0.13877008438330826</x:v>
      </x:c>
      <x:c r="J20" s="20" t="n">
        <x:f>IF(G20=0,"",$O$4*SQRT(H20*(1-H20)/G20+$O$4^2/(4*G20^2))/(1+$O$4^2/G20))</x:f>
        <x:v>0.1387700843833083</x:v>
      </x:c>
      <x:c r="K20" s="20" t="n">
        <x:f>IF(G20=0,"",MAX(0,I20-J20))</x:f>
        <x:v>0</x:v>
      </x:c>
      <x:c r="L20" s="20" t="n">
        <x:f>IF(G20=0,"",MIN(1,I20+J20))</x:f>
        <x:v>0.2775401687666166</x:v>
      </x:c>
      <x:c r="M20" s="18" t="str">
        <x:f>IF(G20=0,"",TEXT(K20,"0.0%")&amp;" – "&amp;TEXT(L20,"0.0%"))</x:f>
        <x:v>0.0% – 27.8%</x:v>
      </x:c>
      <x:c r="N20" s="18"/>
      <x:c r="O20" s="18"/>
      <x:c r="Q20" s="21" t="str">
        <x:v>Counting</x:v>
      </x:c>
      <x:c r="R20" s="24" t="n">
        <x:f>H43</x:f>
        <x:v>0</x:v>
      </x:c>
      <x:c r="S20" s="24" t="n">
        <x:f>H44</x:f>
        <x:v>0</x:v>
      </x:c>
      <x:c r="T20" s="24" t="n">
        <x:f>H45</x:f>
        <x:v>0</x:v>
      </x:c>
    </x:row>
    <x:row r="21">
      <x:c r="A21" s="18" t="str">
        <x:v>In-distribution</x:v>
      </x:c>
      <x:c r="B21" s="18" t="str">
        <x:v>Ordinal Reference Ordering</x:v>
      </x:c>
      <x:c r="C21" s="18" t="str">
        <x:v>GR00T-N1.7 (vision only)</x:v>
      </x:c>
      <x:c r="D21" s="18" t="str">
        <x:v>GR00T Vision</x:v>
      </x:c>
      <x:c r="E21" s="19" t="n">
        <x:f>COUNTIFS('GR00T Vision'!$A$2:$A$901,"Success",'GR00T Vision'!$H$2:$H$901,$O$2,'GR00T Vision'!$B$2:$B$901,$B21)</x:f>
        <x:v>9</x:v>
      </x:c>
      <x:c r="F21" s="19" t="n">
        <x:f>COUNTIFS('GR00T Vision'!$A$2:$A$901,"Failure",'GR00T Vision'!$H$2:$H$901,$O$2,'GR00T Vision'!$B$2:$B$901,$B21)</x:f>
        <x:v>11</x:v>
      </x:c>
      <x:c r="G21" s="19" t="n">
        <x:f>E21+F21</x:f>
        <x:v>20</x:v>
      </x:c>
      <x:c r="H21" s="20" t="n">
        <x:f>IF(G21=0,"",E21/G21)</x:f>
        <x:v>0.45</x:v>
      </x:c>
      <x:c r="I21" s="20" t="n">
        <x:f>IF(G21=0,"",(H21+$O$4^2/(2*G21))/(1+$O$4^2/G21))</x:f>
        <x:v>0.45805650627474664</x:v>
      </x:c>
      <x:c r="J21" s="20" t="n">
        <x:f>IF(G21=0,"",$O$4*SQRT(H21*(1-H21)/G21+$O$4^2/(4*G21^2))/(1+$O$4^2/G21))</x:f>
        <x:v>0.1998614854176537</x:v>
      </x:c>
      <x:c r="K21" s="20" t="n">
        <x:f>IF(G21=0,"",MAX(0,I21-J21))</x:f>
        <x:v>0.25819502085709295</x:v>
      </x:c>
      <x:c r="L21" s="20" t="n">
        <x:f>IF(G21=0,"",MIN(1,I21+J21))</x:f>
        <x:v>0.6579179916924003</x:v>
      </x:c>
      <x:c r="M21" s="18" t="str">
        <x:f>IF(G21=0,"",TEXT(K21,"0.0%")&amp;" – "&amp;TEXT(L21,"0.0%"))</x:f>
        <x:v>25.8% – 65.8%</x:v>
      </x:c>
      <x:c r="N21" s="18"/>
      <x:c r="O21" s="18"/>
      <x:c r="Q21" s="21" t="str">
        <x:v>Ordinal</x:v>
      </x:c>
      <x:c r="R21" s="24" t="n">
        <x:f>H46</x:f>
        <x:v>0.42</x:v>
      </x:c>
      <x:c r="S21" s="24" t="n">
        <x:f>H47</x:f>
        <x:v>0.54</x:v>
      </x:c>
      <x:c r="T21" s="24" t="n">
        <x:f>H48</x:f>
        <x:v>0.46</x:v>
      </x:c>
    </x:row>
    <x:row r="22">
      <x:c r="A22" s="18" t="str">
        <x:v>In-distribution</x:v>
      </x:c>
      <x:c r="B22" s="18" t="str">
        <x:v>Ordinal Reference Ordering</x:v>
      </x:c>
      <x:c r="C22" s="18" t="str">
        <x:v>GR00T-N1.7 (full finetune)</x:v>
      </x:c>
      <x:c r="D22" s="18" t="str">
        <x:v>GR00T Full</x:v>
      </x:c>
      <x:c r="E22" s="19" t="n">
        <x:f>COUNTIFS('GR00T Full'!$A$2:$A$120,"Success",'GR00T Full'!$H$2:$H$120,$O$2,'GR00T Full'!$B$2:$B$120,$B22)</x:f>
        <x:v>3</x:v>
      </x:c>
      <x:c r="F22" s="19" t="n">
        <x:f>COUNTIFS('GR00T Full'!$A$2:$A$120,"Failure",'GR00T Full'!$H$2:$H$120,$O$2,'GR00T Full'!$B$2:$B$120,$B22)</x:f>
        <x:v>17</x:v>
      </x:c>
      <x:c r="G22" s="19" t="n">
        <x:f>E22+F22</x:f>
        <x:v>20</x:v>
      </x:c>
      <x:c r="H22" s="20" t="n">
        <x:f>IF(G22=0,"",E22/G22)</x:f>
        <x:v>0.15</x:v>
      </x:c>
      <x:c r="I22" s="20" t="n">
        <x:f>IF(G22=0,"",(H22+$O$4^2/(2*G22))/(1+$O$4^2/G22))</x:f>
        <x:v>0.20639554392322662</x:v>
      </x:c>
      <x:c r="J22" s="20" t="n">
        <x:f>IF(G22=0,"",$O$4*SQRT(H22*(1-H22)/G22+$O$4^2/(4*G22^2))/(1+$O$4^2/G22))</x:f>
        <x:v>0.15402775196373078</x:v>
      </x:c>
      <x:c r="K22" s="20" t="n">
        <x:f>IF(G22=0,"",MAX(0,I22-J22))</x:f>
        <x:v>0.05236779195949584</x:v>
      </x:c>
      <x:c r="L22" s="20" t="n">
        <x:f>IF(G22=0,"",MIN(1,I22+J22))</x:f>
        <x:v>0.36042329588695743</x:v>
      </x:c>
      <x:c r="M22" s="18" t="str">
        <x:f>IF(G22=0,"",TEXT(K22,"0.0%")&amp;" – "&amp;TEXT(L22,"0.0%"))</x:f>
        <x:v>5.2% – 36.0%</x:v>
      </x:c>
      <x:c r="N22" s="18"/>
      <x:c r="O22" s="18"/>
      <x:c r="Q22" s="21" t="str">
        <x:v>Relational</x:v>
      </x:c>
      <x:c r="R22" s="24" t="n">
        <x:f>H49</x:f>
        <x:v>0.78</x:v>
      </x:c>
      <x:c r="S22" s="24" t="n">
        <x:f>H50</x:f>
        <x:v>0.5</x:v>
      </x:c>
      <x:c r="T22" s="24" t="n">
        <x:f>H51</x:f>
        <x:v>0.72</x:v>
      </x:c>
    </x:row>
    <x:row r="23">
      <x:c r="A23" s="18" t="str">
        <x:v>In-distribution</x:v>
      </x:c>
      <x:c r="B23" s="18" t="str">
        <x:v>Ordinal Reference Ordering</x:v>
      </x:c>
      <x:c r="C23" s="18" t="str">
        <x:v>MolmoAct2</x:v>
      </x:c>
      <x:c r="D23" s="18" t="str">
        <x:v>MolmoAct2</x:v>
      </x:c>
      <x:c r="E23" s="19" t="n">
        <x:f>COUNTIFS('MolmoAct2'!$A$2:$A$901,"Success",'MolmoAct2'!$H$2:$H$901,$O$2,'MolmoAct2'!$B$2:$B$901,$B23)</x:f>
        <x:v>10</x:v>
      </x:c>
      <x:c r="F23" s="19" t="n">
        <x:f>COUNTIFS('MolmoAct2'!$A$2:$A$901,"Failure",'MolmoAct2'!$H$2:$H$901,$O$2,'MolmoAct2'!$B$2:$B$901,$B23)</x:f>
        <x:v>10</x:v>
      </x:c>
      <x:c r="G23" s="19" t="n">
        <x:f>E23+F23</x:f>
        <x:v>20</x:v>
      </x:c>
      <x:c r="H23" s="20" t="n">
        <x:f>IF(G23=0,"",E23/G23)</x:f>
        <x:v>0.5</x:v>
      </x:c>
      <x:c r="I23" s="20" t="n">
        <x:f>IF(G23=0,"",(H23+$O$4^2/(2*G23))/(1+$O$4^2/G23))</x:f>
        <x:v>0.5</x:v>
      </x:c>
      <x:c r="J23" s="20" t="n">
        <x:f>IF(G23=0,"",$O$4*SQRT(H23*(1-H23)/G23+$O$4^2/(4*G23^2))/(1+$O$4^2/G23))</x:f>
        <x:v>0.20070508557018005</x:v>
      </x:c>
      <x:c r="K23" s="20" t="n">
        <x:f>IF(G23=0,"",MAX(0,I23-J23))</x:f>
        <x:v>0.2992949144298199</x:v>
      </x:c>
      <x:c r="L23" s="20" t="n">
        <x:f>IF(G23=0,"",MIN(1,I23+J23))</x:f>
        <x:v>0.7007050855701801</x:v>
      </x:c>
      <x:c r="M23" s="18" t="str">
        <x:f>IF(G23=0,"",TEXT(K23,"0.0%")&amp;" – "&amp;TEXT(L23,"0.0%"))</x:f>
        <x:v>29.9% – 70.1%</x:v>
      </x:c>
      <x:c r="N23" s="18"/>
      <x:c r="O23" s="18"/>
      <x:c r="Q23" s="21" t="str">
        <x:v>Referential</x:v>
      </x:c>
      <x:c r="R23" s="24" t="n">
        <x:f>H52</x:f>
        <x:v>0.54</x:v>
      </x:c>
      <x:c r="S23" s="24" t="n">
        <x:f>H53</x:f>
        <x:v>0.68</x:v>
      </x:c>
      <x:c r="T23" s="24" t="n">
        <x:f>H54</x:f>
        <x:v>0.36</x:v>
      </x:c>
    </x:row>
    <x:row r="24">
      <x:c r="A24" s="18" t="str">
        <x:v>In-distribution</x:v>
      </x:c>
      <x:c r="B24" s="18" t="str">
        <x:v>Ordinal Reference Ordering</x:v>
      </x:c>
      <x:c r="C24" s="18" t="str">
        <x:v>Pi0.5</x:v>
      </x:c>
      <x:c r="D24" s="18" t="str">
        <x:v>Pi0.5</x:v>
      </x:c>
      <x:c r="E24" s="19" t="n">
        <x:f>COUNTIFS('Pi0.5'!$A$2:$A$901,"Success",'Pi0.5'!$H$2:$H$901,$O$2,'Pi0.5'!$B$2:$B$901,$B24)</x:f>
        <x:v>7</x:v>
      </x:c>
      <x:c r="F24" s="19" t="n">
        <x:f>COUNTIFS('Pi0.5'!$A$2:$A$901,"Failure",'Pi0.5'!$H$2:$H$901,$O$2,'Pi0.5'!$B$2:$B$901,$B24)</x:f>
        <x:v>13</x:v>
      </x:c>
      <x:c r="G24" s="19" t="n">
        <x:f>E24+F24</x:f>
        <x:v>20</x:v>
      </x:c>
      <x:c r="H24" s="20" t="n">
        <x:f>IF(G24=0,"",E24/G24)</x:f>
        <x:v>0.35</x:v>
      </x:c>
      <x:c r="I24" s="20" t="n">
        <x:f>IF(G24=0,"",(H24+$O$4^2/(2*G24))/(1+$O$4^2/G24))</x:f>
        <x:v>0.37416951882424</x:v>
      </x:c>
      <x:c r="J24" s="20" t="n">
        <x:f>IF(G24=0,"",$O$4*SQRT(H24*(1-H24)/G24+$O$4^2/(4*G24^2))/(1+$O$4^2/G24))</x:f>
        <x:v>0.19297997095629535</x:v>
      </x:c>
      <x:c r="K24" s="20" t="n">
        <x:f>IF(G24=0,"",MAX(0,I24-J24))</x:f>
        <x:v>0.18118954786794464</x:v>
      </x:c>
      <x:c r="L24" s="20" t="n">
        <x:f>IF(G24=0,"",MIN(1,I24+J24))</x:f>
        <x:v>0.5671494897805354</x:v>
      </x:c>
      <x:c r="M24" s="18" t="str">
        <x:f>IF(G24=0,"",TEXT(K24,"0.0%")&amp;" – "&amp;TEXT(L24,"0.0%"))</x:f>
        <x:v>18.1% – 56.7%</x:v>
      </x:c>
      <x:c r="N24" s="18"/>
      <x:c r="O24" s="18"/>
      <x:c r="Q24" s="21" t="str">
        <x:v>Size</x:v>
      </x:c>
      <x:c r="R24" s="24" t="n">
        <x:f>H55</x:f>
        <x:v>0.58</x:v>
      </x:c>
      <x:c r="S24" s="24" t="n">
        <x:f>H56</x:f>
        <x:v>0.64</x:v>
      </x:c>
      <x:c r="T24" s="24" t="n">
        <x:f>H57</x:f>
        <x:v>0.54</x:v>
      </x:c>
    </x:row>
    <x:row r="25">
      <x:c r="A25" s="18" t="str">
        <x:v>In-distribution</x:v>
      </x:c>
      <x:c r="B25" s="18" t="str">
        <x:v>Relational Placement</x:v>
      </x:c>
      <x:c r="C25" s="18" t="str">
        <x:v>VLA-0</x:v>
      </x:c>
      <x:c r="D25" s="18" t="str">
        <x:v>VLA-0</x:v>
      </x:c>
      <x:c r="E25" s="19" t="n">
        <x:f>COUNTIFS('VLA-0'!$A$2:$A$73,"Success",'VLA-0'!$H$2:$H$73,$O$2,'VLA-0'!$B$2:$B$73,$B25)</x:f>
        <x:v>0</x:v>
      </x:c>
      <x:c r="F25" s="19" t="n">
        <x:f>COUNTIFS('VLA-0'!$A$2:$A$73,"Failure",'VLA-0'!$H$2:$H$73,$O$2,'VLA-0'!$B$2:$B$73,$B25)</x:f>
        <x:v>12</x:v>
      </x:c>
      <x:c r="G25" s="19" t="n">
        <x:f>E25+F25</x:f>
        <x:v>12</x:v>
      </x:c>
      <x:c r="H25" s="20" t="n">
        <x:f>IF(G25=0,"",E25/G25)</x:f>
        <x:v>0</x:v>
      </x:c>
      <x:c r="I25" s="20" t="n">
        <x:f>IF(G25=0,"",(H25+$O$4^2/(2*G25))/(1+$O$4^2/G25))</x:f>
        <x:v>0.12125037874962125</x:v>
      </x:c>
      <x:c r="J25" s="20" t="n">
        <x:f>IF(G25=0,"",$O$4*SQRT(H25*(1-H25)/G25+$O$4^2/(4*G25^2))/(1+$O$4^2/G25))</x:f>
        <x:v>0.12125037874962125</x:v>
      </x:c>
      <x:c r="K25" s="20" t="n">
        <x:f>IF(G25=0,"",MAX(0,I25-J25))</x:f>
        <x:v>0</x:v>
      </x:c>
      <x:c r="L25" s="20" t="n">
        <x:f>IF(G25=0,"",MIN(1,I25+J25))</x:f>
        <x:v>0.2425007574992425</x:v>
      </x:c>
      <x:c r="M25" s="18" t="str">
        <x:f>IF(G25=0,"",TEXT(K25,"0.0%")&amp;" – "&amp;TEXT(L25,"0.0%"))</x:f>
        <x:v>0.0% – 24.3%</x:v>
      </x:c>
      <x:c r="N25" s="18"/>
      <x:c r="O25" s="18"/>
    </x:row>
    <x:row r="26">
      <x:c r="A26" s="18" t="str">
        <x:v>In-distribution</x:v>
      </x:c>
      <x:c r="B26" s="18" t="str">
        <x:v>Relational Placement</x:v>
      </x:c>
      <x:c r="C26" s="18" t="str">
        <x:v>GR00T-N1.7 (vision only)</x:v>
      </x:c>
      <x:c r="D26" s="18" t="str">
        <x:v>GR00T Vision</x:v>
      </x:c>
      <x:c r="E26" s="19" t="n">
        <x:f>COUNTIFS('GR00T Vision'!$A$2:$A$901,"Success",'GR00T Vision'!$H$2:$H$901,$O$2,'GR00T Vision'!$B$2:$B$901,$B26)</x:f>
        <x:v>14</x:v>
      </x:c>
      <x:c r="F26" s="19" t="n">
        <x:f>COUNTIFS('GR00T Vision'!$A$2:$A$901,"Failure",'GR00T Vision'!$H$2:$H$901,$O$2,'GR00T Vision'!$B$2:$B$901,$B26)</x:f>
        <x:v>6</x:v>
      </x:c>
      <x:c r="G26" s="19" t="n">
        <x:f>E26+F26</x:f>
        <x:v>20</x:v>
      </x:c>
      <x:c r="H26" s="20" t="n">
        <x:f>IF(G26=0,"",E26/G26)</x:f>
        <x:v>0.7</x:v>
      </x:c>
      <x:c r="I26" s="20" t="n">
        <x:f>IF(G26=0,"",(H26+$O$4^2/(2*G26))/(1+$O$4^2/G26))</x:f>
        <x:v>0.6677739749010133</x:v>
      </x:c>
      <x:c r="J26" s="20" t="n">
        <x:f>IF(G26=0,"",$O$4*SQRT(H26*(1-H26)/G26+$O$4^2/(4*G26^2))/(1+$O$4^2/G26))</x:f>
        <x:v>0.18675075112999276</x:v>
      </x:c>
      <x:c r="K26" s="20" t="n">
        <x:f>IF(G26=0,"",MAX(0,I26-J26))</x:f>
        <x:v>0.4810232237710206</x:v>
      </x:c>
      <x:c r="L26" s="20" t="n">
        <x:f>IF(G26=0,"",MIN(1,I26+J26))</x:f>
        <x:v>0.854524726031006</x:v>
      </x:c>
      <x:c r="M26" s="18" t="str">
        <x:f>IF(G26=0,"",TEXT(K26,"0.0%")&amp;" – "&amp;TEXT(L26,"0.0%"))</x:f>
        <x:v>48.1% – 85.5%</x:v>
      </x:c>
      <x:c r="N26" s="18"/>
      <x:c r="O26" s="18"/>
    </x:row>
    <x:row r="27">
      <x:c r="A27" s="18" t="str">
        <x:v>In-distribution</x:v>
      </x:c>
      <x:c r="B27" s="18" t="str">
        <x:v>Relational Placement</x:v>
      </x:c>
      <x:c r="C27" s="18" t="str">
        <x:v>GR00T-N1.7 (full finetune)</x:v>
      </x:c>
      <x:c r="D27" s="18" t="str">
        <x:v>GR00T Full</x:v>
      </x:c>
      <x:c r="E27" s="19" t="n">
        <x:f>COUNTIFS('GR00T Full'!$A$2:$A$120,"Success",'GR00T Full'!$H$2:$H$120,$O$2,'GR00T Full'!$B$2:$B$120,$B27)</x:f>
        <x:v>0</x:v>
      </x:c>
      <x:c r="F27" s="19" t="n">
        <x:f>COUNTIFS('GR00T Full'!$A$2:$A$120,"Failure",'GR00T Full'!$H$2:$H$120,$O$2,'GR00T Full'!$B$2:$B$120,$B27)</x:f>
        <x:v>20</x:v>
      </x:c>
      <x:c r="G27" s="19" t="n">
        <x:f>E27+F27</x:f>
        <x:v>20</x:v>
      </x:c>
      <x:c r="H27" s="20" t="n">
        <x:f>IF(G27=0,"",E27/G27)</x:f>
        <x:v>0</x:v>
      </x:c>
      <x:c r="I27" s="20" t="n">
        <x:f>IF(G27=0,"",(H27+$O$4^2/(2*G27))/(1+$O$4^2/G27))</x:f>
        <x:v>0.0805650627474666</x:v>
      </x:c>
      <x:c r="J27" s="20" t="n">
        <x:f>IF(G27=0,"",$O$4*SQRT(H27*(1-H27)/G27+$O$4^2/(4*G27^2))/(1+$O$4^2/G27))</x:f>
        <x:v>0.08056506274746661</x:v>
      </x:c>
      <x:c r="K27" s="20" t="n">
        <x:f>IF(G27=0,"",MAX(0,I27-J27))</x:f>
        <x:v>0</x:v>
      </x:c>
      <x:c r="L27" s="20" t="n">
        <x:f>IF(G27=0,"",MIN(1,I27+J27))</x:f>
        <x:v>0.16113012549493322</x:v>
      </x:c>
      <x:c r="M27" s="18" t="str">
        <x:f>IF(G27=0,"",TEXT(K27,"0.0%")&amp;" – "&amp;TEXT(L27,"0.0%"))</x:f>
        <x:v>0.0% – 16.1%</x:v>
      </x:c>
      <x:c r="N27" s="18"/>
      <x:c r="O27" s="18"/>
    </x:row>
    <x:row r="28">
      <x:c r="A28" s="18" t="str">
        <x:v>In-distribution</x:v>
      </x:c>
      <x:c r="B28" s="18" t="str">
        <x:v>Relational Placement</x:v>
      </x:c>
      <x:c r="C28" s="18" t="str">
        <x:v>MolmoAct2</x:v>
      </x:c>
      <x:c r="D28" s="18" t="str">
        <x:v>MolmoAct2</x:v>
      </x:c>
      <x:c r="E28" s="19" t="n">
        <x:f>COUNTIFS('MolmoAct2'!$A$2:$A$901,"Success",'MolmoAct2'!$H$2:$H$901,$O$2,'MolmoAct2'!$B$2:$B$901,$B28)</x:f>
        <x:v>16</x:v>
      </x:c>
      <x:c r="F28" s="19" t="n">
        <x:f>COUNTIFS('MolmoAct2'!$A$2:$A$901,"Failure",'MolmoAct2'!$H$2:$H$901,$O$2,'MolmoAct2'!$B$2:$B$901,$B28)</x:f>
        <x:v>4</x:v>
      </x:c>
      <x:c r="G28" s="19" t="n">
        <x:f>E28+F28</x:f>
        <x:v>20</x:v>
      </x:c>
      <x:c r="H28" s="20" t="n">
        <x:f>IF(G28=0,"",E28/G28)</x:f>
        <x:v>0.8</x:v>
      </x:c>
      <x:c r="I28" s="20" t="n">
        <x:f>IF(G28=0,"",(H28+$O$4^2/(2*G28))/(1+$O$4^2/G28))</x:f>
        <x:v>0.75166096235152</x:v>
      </x:c>
      <x:c r="J28" s="20" t="n">
        <x:f>IF(G28=0,"",$O$4*SQRT(H28*(1-H28)/G28+$O$4^2/(4*G28^2))/(1+$O$4^2/G28))</x:f>
        <x:v>0.16768268437727993</x:v>
      </x:c>
      <x:c r="K28" s="20" t="n">
        <x:f>IF(G28=0,"",MAX(0,I28-J28))</x:f>
        <x:v>0.5839782779742401</x:v>
      </x:c>
      <x:c r="L28" s="20" t="n">
        <x:f>IF(G28=0,"",MIN(1,I28+J28))</x:f>
        <x:v>0.9193436467288</x:v>
      </x:c>
      <x:c r="M28" s="18" t="str">
        <x:f>IF(G28=0,"",TEXT(K28,"0.0%")&amp;" – "&amp;TEXT(L28,"0.0%"))</x:f>
        <x:v>58.4% – 91.9%</x:v>
      </x:c>
      <x:c r="N28" s="18"/>
      <x:c r="O28" s="18"/>
    </x:row>
    <x:row r="29">
      <x:c r="A29" s="18" t="str">
        <x:v>In-distribution</x:v>
      </x:c>
      <x:c r="B29" s="18" t="str">
        <x:v>Relational Placement</x:v>
      </x:c>
      <x:c r="C29" s="18" t="str">
        <x:v>Pi0.5</x:v>
      </x:c>
      <x:c r="D29" s="18" t="str">
        <x:v>Pi0.5</x:v>
      </x:c>
      <x:c r="E29" s="19" t="n">
        <x:f>COUNTIFS('Pi0.5'!$A$2:$A$901,"Success",'Pi0.5'!$H$2:$H$901,$O$2,'Pi0.5'!$B$2:$B$901,$B29)</x:f>
        <x:v>13</x:v>
      </x:c>
      <x:c r="F29" s="19" t="n">
        <x:f>COUNTIFS('Pi0.5'!$A$2:$A$901,"Failure",'Pi0.5'!$H$2:$H$901,$O$2,'Pi0.5'!$B$2:$B$901,$B29)</x:f>
        <x:v>7</x:v>
      </x:c>
      <x:c r="G29" s="19" t="n">
        <x:f>E29+F29</x:f>
        <x:v>20</x:v>
      </x:c>
      <x:c r="H29" s="20" t="n">
        <x:f>IF(G29=0,"",E29/G29)</x:f>
        <x:v>0.65</x:v>
      </x:c>
      <x:c r="I29" s="20" t="n">
        <x:f>IF(G29=0,"",(H29+$O$4^2/(2*G29))/(1+$O$4^2/G29))</x:f>
        <x:v>0.62583048117576</x:v>
      </x:c>
      <x:c r="J29" s="20" t="n">
        <x:f>IF(G29=0,"",$O$4*SQRT(H29*(1-H29)/G29+$O$4^2/(4*G29^2))/(1+$O$4^2/G29))</x:f>
        <x:v>0.19297997095629535</x:v>
      </x:c>
      <x:c r="K29" s="20" t="n">
        <x:f>IF(G29=0,"",MAX(0,I29-J29))</x:f>
        <x:v>0.43285051021946463</x:v>
      </x:c>
      <x:c r="L29" s="20" t="n">
        <x:f>IF(G29=0,"",MIN(1,I29+J29))</x:f>
        <x:v>0.8188104521320554</x:v>
      </x:c>
      <x:c r="M29" s="18" t="str">
        <x:f>IF(G29=0,"",TEXT(K29,"0.0%")&amp;" – "&amp;TEXT(L29,"0.0%"))</x:f>
        <x:v>43.3% – 81.9%</x:v>
      </x:c>
      <x:c r="N29" s="18"/>
      <x:c r="O29" s="18"/>
    </x:row>
    <x:row r="30">
      <x:c r="A30" s="18" t="str">
        <x:v>In-distribution</x:v>
      </x:c>
      <x:c r="B30" s="18" t="str">
        <x:v>Referential Disambiguation</x:v>
      </x:c>
      <x:c r="C30" s="18" t="str">
        <x:v>VLA-0</x:v>
      </x:c>
      <x:c r="D30" s="18" t="str">
        <x:v>VLA-0</x:v>
      </x:c>
      <x:c r="E30" s="19" t="n">
        <x:f>COUNTIFS('VLA-0'!$A$2:$A$73,"Success",'VLA-0'!$H$2:$H$73,$O$2,'VLA-0'!$B$2:$B$73,$B30)</x:f>
        <x:v>0</x:v>
      </x:c>
      <x:c r="F30" s="19" t="n">
        <x:f>COUNTIFS('VLA-0'!$A$2:$A$73,"Failure",'VLA-0'!$H$2:$H$73,$O$2,'VLA-0'!$B$2:$B$73,$B30)</x:f>
        <x:v>10</x:v>
      </x:c>
      <x:c r="G30" s="19" t="n">
        <x:f>E30+F30</x:f>
        <x:v>10</x:v>
      </x:c>
      <x:c r="H30" s="20" t="n">
        <x:f>IF(G30=0,"",E30/G30)</x:f>
        <x:v>0</x:v>
      </x:c>
      <x:c r="I30" s="20" t="n">
        <x:f>IF(G30=0,"",(H30+$O$4^2/(2*G30))/(1+$O$4^2/G30))</x:f>
        <x:v>0.13877008438330826</x:v>
      </x:c>
      <x:c r="J30" s="20" t="n">
        <x:f>IF(G30=0,"",$O$4*SQRT(H30*(1-H30)/G30+$O$4^2/(4*G30^2))/(1+$O$4^2/G30))</x:f>
        <x:v>0.1387700843833083</x:v>
      </x:c>
      <x:c r="K30" s="20" t="n">
        <x:f>IF(G30=0,"",MAX(0,I30-J30))</x:f>
        <x:v>0</x:v>
      </x:c>
      <x:c r="L30" s="20" t="n">
        <x:f>IF(G30=0,"",MIN(1,I30+J30))</x:f>
        <x:v>0.2775401687666166</x:v>
      </x:c>
      <x:c r="M30" s="18" t="str">
        <x:f>IF(G30=0,"",TEXT(K30,"0.0%")&amp;" – "&amp;TEXT(L30,"0.0%"))</x:f>
        <x:v>0.0% – 27.8%</x:v>
      </x:c>
      <x:c r="N30" s="18"/>
      <x:c r="O30" s="18"/>
    </x:row>
    <x:row r="31">
      <x:c r="A31" s="18" t="str">
        <x:v>In-distribution</x:v>
      </x:c>
      <x:c r="B31" s="18" t="str">
        <x:v>Referential Disambiguation</x:v>
      </x:c>
      <x:c r="C31" s="18" t="str">
        <x:v>GR00T-N1.7 (vision only)</x:v>
      </x:c>
      <x:c r="D31" s="18" t="str">
        <x:v>GR00T Vision</x:v>
      </x:c>
      <x:c r="E31" s="19" t="n">
        <x:f>COUNTIFS('GR00T Vision'!$A$2:$A$901,"Success",'GR00T Vision'!$H$2:$H$901,$O$2,'GR00T Vision'!$B$2:$B$901,$B31)</x:f>
        <x:v>12</x:v>
      </x:c>
      <x:c r="F31" s="19" t="n">
        <x:f>COUNTIFS('GR00T Vision'!$A$2:$A$901,"Failure",'GR00T Vision'!$H$2:$H$901,$O$2,'GR00T Vision'!$B$2:$B$901,$B31)</x:f>
        <x:v>8</x:v>
      </x:c>
      <x:c r="G31" s="19" t="n">
        <x:f>E31+F31</x:f>
        <x:v>20</x:v>
      </x:c>
      <x:c r="H31" s="20" t="n">
        <x:f>IF(G31=0,"",E31/G31)</x:f>
        <x:v>0.6</x:v>
      </x:c>
      <x:c r="I31" s="20" t="n">
        <x:f>IF(G31=0,"",(H31+$O$4^2/(2*G31))/(1+$O$4^2/G31))</x:f>
        <x:v>0.5838869874505067</x:v>
      </x:c>
      <x:c r="J31" s="20" t="n">
        <x:f>IF(G31=0,"",$O$4*SQRT(H31*(1-H31)/G31+$O$4^2/(4*G31^2))/(1+$O$4^2/G31))</x:f>
        <x:v>0.19730904513530062</x:v>
      </x:c>
      <x:c r="K31" s="20" t="n">
        <x:f>IF(G31=0,"",MAX(0,I31-J31))</x:f>
        <x:v>0.3865779423152061</x:v>
      </x:c>
      <x:c r="L31" s="20" t="n">
        <x:f>IF(G31=0,"",MIN(1,I31+J31))</x:f>
        <x:v>0.7811960325858074</x:v>
      </x:c>
      <x:c r="M31" s="18" t="str">
        <x:f>IF(G31=0,"",TEXT(K31,"0.0%")&amp;" – "&amp;TEXT(L31,"0.0%"))</x:f>
        <x:v>38.7% – 78.1%</x:v>
      </x:c>
      <x:c r="N31" s="18"/>
      <x:c r="O31" s="18"/>
    </x:row>
    <x:row r="32">
      <x:c r="A32" s="18" t="str">
        <x:v>In-distribution</x:v>
      </x:c>
      <x:c r="B32" s="18" t="str">
        <x:v>Referential Disambiguation</x:v>
      </x:c>
      <x:c r="C32" s="18" t="str">
        <x:v>GR00T-N1.7 (full finetune)</x:v>
      </x:c>
      <x:c r="D32" s="18" t="str">
        <x:v>GR00T Full</x:v>
      </x:c>
      <x:c r="E32" s="19" t="n">
        <x:f>COUNTIFS('GR00T Full'!$A$2:$A$120,"Success",'GR00T Full'!$H$2:$H$120,$O$2,'GR00T Full'!$B$2:$B$120,$B32)</x:f>
        <x:v>4</x:v>
      </x:c>
      <x:c r="F32" s="19" t="n">
        <x:f>COUNTIFS('GR00T Full'!$A$2:$A$120,"Failure",'GR00T Full'!$H$2:$H$120,$O$2,'GR00T Full'!$B$2:$B$120,$B32)</x:f>
        <x:v>16</x:v>
      </x:c>
      <x:c r="G32" s="19" t="n">
        <x:f>E32+F32</x:f>
        <x:v>20</x:v>
      </x:c>
      <x:c r="H32" s="20" t="n">
        <x:f>IF(G32=0,"",E32/G32)</x:f>
        <x:v>0.2</x:v>
      </x:c>
      <x:c r="I32" s="20" t="n">
        <x:f>IF(G32=0,"",(H32+$O$4^2/(2*G32))/(1+$O$4^2/G32))</x:f>
        <x:v>0.24833903764847995</x:v>
      </x:c>
      <x:c r="J32" s="20" t="n">
        <x:f>IF(G32=0,"",$O$4*SQRT(H32*(1-H32)/G32+$O$4^2/(4*G32^2))/(1+$O$4^2/G32))</x:f>
        <x:v>0.16768268437727996</x:v>
      </x:c>
      <x:c r="K32" s="20" t="n">
        <x:f>IF(G32=0,"",MAX(0,I32-J32))</x:f>
        <x:v>0.0806563532712</x:v>
      </x:c>
      <x:c r="L32" s="20" t="n">
        <x:f>IF(G32=0,"",MIN(1,I32+J32))</x:f>
        <x:v>0.41602172202575993</x:v>
      </x:c>
      <x:c r="M32" s="18" t="str">
        <x:f>IF(G32=0,"",TEXT(K32,"0.0%")&amp;" – "&amp;TEXT(L32,"0.0%"))</x:f>
        <x:v>8.1% – 41.6%</x:v>
      </x:c>
      <x:c r="N32" s="18"/>
      <x:c r="O32" s="18"/>
    </x:row>
    <x:row r="33">
      <x:c r="A33" s="18" t="str">
        <x:v>In-distribution</x:v>
      </x:c>
      <x:c r="B33" s="18" t="str">
        <x:v>Referential Disambiguation</x:v>
      </x:c>
      <x:c r="C33" s="18" t="str">
        <x:v>MolmoAct2</x:v>
      </x:c>
      <x:c r="D33" s="18" t="str">
        <x:v>MolmoAct2</x:v>
      </x:c>
      <x:c r="E33" s="19" t="n">
        <x:f>COUNTIFS('MolmoAct2'!$A$2:$A$901,"Success",'MolmoAct2'!$H$2:$H$901,$O$2,'MolmoAct2'!$B$2:$B$901,$B33)</x:f>
        <x:v>15</x:v>
      </x:c>
      <x:c r="F33" s="19" t="n">
        <x:f>COUNTIFS('MolmoAct2'!$A$2:$A$901,"Failure",'MolmoAct2'!$H$2:$H$901,$O$2,'MolmoAct2'!$B$2:$B$901,$B33)</x:f>
        <x:v>5</x:v>
      </x:c>
      <x:c r="G33" s="19" t="n">
        <x:f>E33+F33</x:f>
        <x:v>20</x:v>
      </x:c>
      <x:c r="H33" s="20" t="n">
        <x:f>IF(G33=0,"",E33/G33)</x:f>
        <x:v>0.75</x:v>
      </x:c>
      <x:c r="I33" s="20" t="n">
        <x:f>IF(G33=0,"",(H33+$O$4^2/(2*G33))/(1+$O$4^2/G33))</x:f>
        <x:v>0.7097174686262667</x:v>
      </x:c>
      <x:c r="J33" s="20" t="n">
        <x:f>IF(G33=0,"",$O$4*SQRT(H33*(1-H33)/G33+$O$4^2/(4*G33^2))/(1+$O$4^2/G33))</x:f>
        <x:v>0.17842247858433025</x:v>
      </x:c>
      <x:c r="K33" s="20" t="n">
        <x:f>IF(G33=0,"",MAX(0,I33-J33))</x:f>
        <x:v>0.5312949900419365</x:v>
      </x:c>
      <x:c r="L33" s="20" t="n">
        <x:f>IF(G33=0,"",MIN(1,I33+J33))</x:f>
        <x:v>0.888139947210597</x:v>
      </x:c>
      <x:c r="M33" s="18" t="str">
        <x:f>IF(G33=0,"",TEXT(K33,"0.0%")&amp;" – "&amp;TEXT(L33,"0.0%"))</x:f>
        <x:v>53.1% – 88.8%</x:v>
      </x:c>
      <x:c r="N33" s="18"/>
      <x:c r="O33" s="18"/>
    </x:row>
    <x:row r="34">
      <x:c r="A34" s="18" t="str">
        <x:v>In-distribution</x:v>
      </x:c>
      <x:c r="B34" s="18" t="str">
        <x:v>Referential Disambiguation</x:v>
      </x:c>
      <x:c r="C34" s="18" t="str">
        <x:v>Pi0.5</x:v>
      </x:c>
      <x:c r="D34" s="18" t="str">
        <x:v>Pi0.5</x:v>
      </x:c>
      <x:c r="E34" s="19" t="n">
        <x:f>COUNTIFS('Pi0.5'!$A$2:$A$901,"Success",'Pi0.5'!$H$2:$H$901,$O$2,'Pi0.5'!$B$2:$B$901,$B34)</x:f>
        <x:v>16</x:v>
      </x:c>
      <x:c r="F34" s="19" t="n">
        <x:f>COUNTIFS('Pi0.5'!$A$2:$A$901,"Failure",'Pi0.5'!$H$2:$H$901,$O$2,'Pi0.5'!$B$2:$B$901,$B34)</x:f>
        <x:v>4</x:v>
      </x:c>
      <x:c r="G34" s="19" t="n">
        <x:f>E34+F34</x:f>
        <x:v>20</x:v>
      </x:c>
      <x:c r="H34" s="20" t="n">
        <x:f>IF(G34=0,"",E34/G34)</x:f>
        <x:v>0.8</x:v>
      </x:c>
      <x:c r="I34" s="20" t="n">
        <x:f>IF(G34=0,"",(H34+$O$4^2/(2*G34))/(1+$O$4^2/G34))</x:f>
        <x:v>0.75166096235152</x:v>
      </x:c>
      <x:c r="J34" s="20" t="n">
        <x:f>IF(G34=0,"",$O$4*SQRT(H34*(1-H34)/G34+$O$4^2/(4*G34^2))/(1+$O$4^2/G34))</x:f>
        <x:v>0.16768268437727993</x:v>
      </x:c>
      <x:c r="K34" s="20" t="n">
        <x:f>IF(G34=0,"",MAX(0,I34-J34))</x:f>
        <x:v>0.5839782779742401</x:v>
      </x:c>
      <x:c r="L34" s="20" t="n">
        <x:f>IF(G34=0,"",MIN(1,I34+J34))</x:f>
        <x:v>0.9193436467288</x:v>
      </x:c>
      <x:c r="M34" s="18" t="str">
        <x:f>IF(G34=0,"",TEXT(K34,"0.0%")&amp;" – "&amp;TEXT(L34,"0.0%"))</x:f>
        <x:v>58.4% – 91.9%</x:v>
      </x:c>
      <x:c r="N34" s="18"/>
      <x:c r="O34" s="18"/>
    </x:row>
    <x:row r="35">
      <x:c r="A35" s="18" t="str">
        <x:v>In-distribution</x:v>
      </x:c>
      <x:c r="B35" s="18" t="str">
        <x:v>Size Recognition</x:v>
      </x:c>
      <x:c r="C35" s="18" t="str">
        <x:v>VLA-0</x:v>
      </x:c>
      <x:c r="D35" s="18" t="str">
        <x:v>VLA-0</x:v>
      </x:c>
      <x:c r="E35" s="19" t="n">
        <x:f>COUNTIFS('VLA-0'!$A$2:$A$73,"Success",'VLA-0'!$H$2:$H$73,$O$2,'VLA-0'!$B$2:$B$73,$B35)</x:f>
        <x:v>0</x:v>
      </x:c>
      <x:c r="F35" s="19" t="n">
        <x:f>COUNTIFS('VLA-0'!$A$2:$A$73,"Failure",'VLA-0'!$H$2:$H$73,$O$2,'VLA-0'!$B$2:$B$73,$B35)</x:f>
        <x:v>20</x:v>
      </x:c>
      <x:c r="G35" s="19" t="n">
        <x:f>E35+F35</x:f>
        <x:v>20</x:v>
      </x:c>
      <x:c r="H35" s="20" t="n">
        <x:f>IF(G35=0,"",E35/G35)</x:f>
        <x:v>0</x:v>
      </x:c>
      <x:c r="I35" s="20" t="n">
        <x:f>IF(G35=0,"",(H35+$O$4^2/(2*G35))/(1+$O$4^2/G35))</x:f>
        <x:v>0.0805650627474666</x:v>
      </x:c>
      <x:c r="J35" s="20" t="n">
        <x:f>IF(G35=0,"",$O$4*SQRT(H35*(1-H35)/G35+$O$4^2/(4*G35^2))/(1+$O$4^2/G35))</x:f>
        <x:v>0.08056506274746661</x:v>
      </x:c>
      <x:c r="K35" s="20" t="n">
        <x:f>IF(G35=0,"",MAX(0,I35-J35))</x:f>
        <x:v>0</x:v>
      </x:c>
      <x:c r="L35" s="20" t="n">
        <x:f>IF(G35=0,"",MIN(1,I35+J35))</x:f>
        <x:v>0.16113012549493322</x:v>
      </x:c>
      <x:c r="M35" s="18" t="str">
        <x:f>IF(G35=0,"",TEXT(K35,"0.0%")&amp;" – "&amp;TEXT(L35,"0.0%"))</x:f>
        <x:v>0.0% – 16.1%</x:v>
      </x:c>
      <x:c r="N35" s="18"/>
      <x:c r="O35" s="18"/>
    </x:row>
    <x:row r="36">
      <x:c r="A36" s="18" t="str">
        <x:v>In-distribution</x:v>
      </x:c>
      <x:c r="B36" s="18" t="str">
        <x:v>Size Recognition</x:v>
      </x:c>
      <x:c r="C36" s="18" t="str">
        <x:v>GR00T-N1.7 (vision only)</x:v>
      </x:c>
      <x:c r="D36" s="18" t="str">
        <x:v>GR00T Vision</x:v>
      </x:c>
      <x:c r="E36" s="19" t="n">
        <x:f>COUNTIFS('GR00T Vision'!$A$2:$A$901,"Success",'GR00T Vision'!$H$2:$H$901,$O$2,'GR00T Vision'!$B$2:$B$901,$B36)</x:f>
        <x:v>17</x:v>
      </x:c>
      <x:c r="F36" s="19" t="n">
        <x:f>COUNTIFS('GR00T Vision'!$A$2:$A$901,"Failure",'GR00T Vision'!$H$2:$H$901,$O$2,'GR00T Vision'!$B$2:$B$901,$B36)</x:f>
        <x:v>3</x:v>
      </x:c>
      <x:c r="G36" s="19" t="n">
        <x:f>E36+F36</x:f>
        <x:v>20</x:v>
      </x:c>
      <x:c r="H36" s="20" t="n">
        <x:f>IF(G36=0,"",E36/G36)</x:f>
        <x:v>0.85</x:v>
      </x:c>
      <x:c r="I36" s="20" t="n">
        <x:f>IF(G36=0,"",(H36+$O$4^2/(2*G36))/(1+$O$4^2/G36))</x:f>
        <x:v>0.7936044560767733</x:v>
      </x:c>
      <x:c r="J36" s="20" t="n">
        <x:f>IF(G36=0,"",$O$4*SQRT(H36*(1-H36)/G36+$O$4^2/(4*G36^2))/(1+$O$4^2/G36))</x:f>
        <x:v>0.15402775196373078</x:v>
      </x:c>
      <x:c r="K36" s="20" t="n">
        <x:f>IF(G36=0,"",MAX(0,I36-J36))</x:f>
        <x:v>0.6395767041130426</x:v>
      </x:c>
      <x:c r="L36" s="20" t="n">
        <x:f>IF(G36=0,"",MIN(1,I36+J36))</x:f>
        <x:v>0.9476322080405041</x:v>
      </x:c>
      <x:c r="M36" s="18" t="str">
        <x:f>IF(G36=0,"",TEXT(K36,"0.0%")&amp;" – "&amp;TEXT(L36,"0.0%"))</x:f>
        <x:v>64.0% – 94.8%</x:v>
      </x:c>
      <x:c r="N36" s="18"/>
      <x:c r="O36" s="18"/>
    </x:row>
    <x:row r="37">
      <x:c r="A37" s="18" t="str">
        <x:v>In-distribution</x:v>
      </x:c>
      <x:c r="B37" s="18" t="str">
        <x:v>Size Recognition</x:v>
      </x:c>
      <x:c r="C37" s="18" t="str">
        <x:v>GR00T-N1.7 (full finetune)</x:v>
      </x:c>
      <x:c r="D37" s="18" t="str">
        <x:v>GR00T Full</x:v>
      </x:c>
      <x:c r="E37" s="19" t="n">
        <x:f>COUNTIFS('GR00T Full'!$A$2:$A$120,"Success",'GR00T Full'!$H$2:$H$120,$O$2,'GR00T Full'!$B$2:$B$120,$B37)</x:f>
        <x:v>7</x:v>
      </x:c>
      <x:c r="F37" s="19" t="n">
        <x:f>COUNTIFS('GR00T Full'!$A$2:$A$120,"Failure",'GR00T Full'!$H$2:$H$120,$O$2,'GR00T Full'!$B$2:$B$120,$B37)</x:f>
        <x:v>13</x:v>
      </x:c>
      <x:c r="G37" s="19" t="n">
        <x:f>E37+F37</x:f>
        <x:v>20</x:v>
      </x:c>
      <x:c r="H37" s="20" t="n">
        <x:f>IF(G37=0,"",E37/G37)</x:f>
        <x:v>0.35</x:v>
      </x:c>
      <x:c r="I37" s="20" t="n">
        <x:f>IF(G37=0,"",(H37+$O$4^2/(2*G37))/(1+$O$4^2/G37))</x:f>
        <x:v>0.37416951882424</x:v>
      </x:c>
      <x:c r="J37" s="20" t="n">
        <x:f>IF(G37=0,"",$O$4*SQRT(H37*(1-H37)/G37+$O$4^2/(4*G37^2))/(1+$O$4^2/G37))</x:f>
        <x:v>0.19297997095629535</x:v>
      </x:c>
      <x:c r="K37" s="20" t="n">
        <x:f>IF(G37=0,"",MAX(0,I37-J37))</x:f>
        <x:v>0.18118954786794464</x:v>
      </x:c>
      <x:c r="L37" s="20" t="n">
        <x:f>IF(G37=0,"",MIN(1,I37+J37))</x:f>
        <x:v>0.5671494897805354</x:v>
      </x:c>
      <x:c r="M37" s="18" t="str">
        <x:f>IF(G37=0,"",TEXT(K37,"0.0%")&amp;" – "&amp;TEXT(L37,"0.0%"))</x:f>
        <x:v>18.1% – 56.7%</x:v>
      </x:c>
      <x:c r="N37" s="18"/>
      <x:c r="O37" s="18"/>
    </x:row>
    <x:row r="38">
      <x:c r="A38" s="18" t="str">
        <x:v>In-distribution</x:v>
      </x:c>
      <x:c r="B38" s="18" t="str">
        <x:v>Size Recognition</x:v>
      </x:c>
      <x:c r="C38" s="18" t="str">
        <x:v>MolmoAct2</x:v>
      </x:c>
      <x:c r="D38" s="18" t="str">
        <x:v>MolmoAct2</x:v>
      </x:c>
      <x:c r="E38" s="19" t="n">
        <x:f>COUNTIFS('MolmoAct2'!$A$2:$A$901,"Success",'MolmoAct2'!$H$2:$H$901,$O$2,'MolmoAct2'!$B$2:$B$901,$B38)</x:f>
        <x:v>16</x:v>
      </x:c>
      <x:c r="F38" s="19" t="n">
        <x:f>COUNTIFS('MolmoAct2'!$A$2:$A$901,"Failure",'MolmoAct2'!$H$2:$H$901,$O$2,'MolmoAct2'!$B$2:$B$901,$B38)</x:f>
        <x:v>4</x:v>
      </x:c>
      <x:c r="G38" s="19" t="n">
        <x:f>E38+F38</x:f>
        <x:v>20</x:v>
      </x:c>
      <x:c r="H38" s="20" t="n">
        <x:f>IF(G38=0,"",E38/G38)</x:f>
        <x:v>0.8</x:v>
      </x:c>
      <x:c r="I38" s="20" t="n">
        <x:f>IF(G38=0,"",(H38+$O$4^2/(2*G38))/(1+$O$4^2/G38))</x:f>
        <x:v>0.75166096235152</x:v>
      </x:c>
      <x:c r="J38" s="20" t="n">
        <x:f>IF(G38=0,"",$O$4*SQRT(H38*(1-H38)/G38+$O$4^2/(4*G38^2))/(1+$O$4^2/G38))</x:f>
        <x:v>0.16768268437727993</x:v>
      </x:c>
      <x:c r="K38" s="20" t="n">
        <x:f>IF(G38=0,"",MAX(0,I38-J38))</x:f>
        <x:v>0.5839782779742401</x:v>
      </x:c>
      <x:c r="L38" s="20" t="n">
        <x:f>IF(G38=0,"",MIN(1,I38+J38))</x:f>
        <x:v>0.9193436467288</x:v>
      </x:c>
      <x:c r="M38" s="18" t="str">
        <x:f>IF(G38=0,"",TEXT(K38,"0.0%")&amp;" – "&amp;TEXT(L38,"0.0%"))</x:f>
        <x:v>58.4% – 91.9%</x:v>
      </x:c>
      <x:c r="N38" s="18"/>
      <x:c r="O38" s="18"/>
    </x:row>
    <x:row r="39">
      <x:c r="A39" s="18" t="str">
        <x:v>In-distribution</x:v>
      </x:c>
      <x:c r="B39" s="18" t="str">
        <x:v>Size Recognition</x:v>
      </x:c>
      <x:c r="C39" s="18" t="str">
        <x:v>Pi0.5</x:v>
      </x:c>
      <x:c r="D39" s="18" t="str">
        <x:v>Pi0.5</x:v>
      </x:c>
      <x:c r="E39" s="19" t="n">
        <x:f>COUNTIFS('Pi0.5'!$A$2:$A$901,"Success",'Pi0.5'!$H$2:$H$901,$O$2,'Pi0.5'!$B$2:$B$901,$B39)</x:f>
        <x:v>19</x:v>
      </x:c>
      <x:c r="F39" s="19" t="n">
        <x:f>COUNTIFS('Pi0.5'!$A$2:$A$901,"Failure",'Pi0.5'!$H$2:$H$901,$O$2,'Pi0.5'!$B$2:$B$901,$B39)</x:f>
        <x:v>1</x:v>
      </x:c>
      <x:c r="G39" s="19" t="n">
        <x:f>E39+F39</x:f>
        <x:v>20</x:v>
      </x:c>
      <x:c r="H39" s="20" t="n">
        <x:f>IF(G39=0,"",E39/G39)</x:f>
        <x:v>0.95</x:v>
      </x:c>
      <x:c r="I39" s="20" t="n">
        <x:f>IF(G39=0,"",(H39+$O$4^2/(2*G39))/(1+$O$4^2/G39))</x:f>
        <x:v>0.8774914435272799</x:v>
      </x:c>
      <x:c r="J39" s="20" t="n">
        <x:f>IF(G39=0,"",$O$4*SQRT(H39*(1-H39)/G39+$O$4^2/(4*G39^2))/(1+$O$4^2/G39))</x:f>
        <x:v>0.11362733703984686</x:v>
      </x:c>
      <x:c r="K39" s="20" t="n">
        <x:f>IF(G39=0,"",MAX(0,I39-J39))</x:f>
        <x:v>0.7638641064874331</x:v>
      </x:c>
      <x:c r="L39" s="20" t="n">
        <x:f>IF(G39=0,"",MIN(1,I39+J39))</x:f>
        <x:v>0.9911187805671268</x:v>
      </x:c>
      <x:c r="M39" s="18" t="str">
        <x:f>IF(G39=0,"",TEXT(K39,"0.0%")&amp;" – "&amp;TEXT(L39,"0.0%"))</x:f>
        <x:v>76.4% – 99.1%</x:v>
      </x:c>
      <x:c r="N39" s="18"/>
      <x:c r="O39" s="18"/>
    </x:row>
    <x:row r="40">
      <x:c r="A40" s="18" t="str">
        <x:v>Concept transfer</x:v>
      </x:c>
      <x:c r="B40" s="18" t="str">
        <x:v>State Recognition</x:v>
      </x:c>
      <x:c r="C40" s="18" t="str">
        <x:v>GR00T-N1.7 (vision only)</x:v>
      </x:c>
      <x:c r="D40" s="18" t="str">
        <x:v>GR00T Vision</x:v>
      </x:c>
      <x:c r="E40" s="19" t="n">
        <x:f>COUNTIFS('GR00T Vision'!$A$2:$A$901,"Success",'GR00T Vision'!$H$2:$H$901,$O$3,'GR00T Vision'!$B$2:$B$901,$B40)</x:f>
        <x:v>17</x:v>
      </x:c>
      <x:c r="F40" s="19" t="n">
        <x:f>COUNTIFS('GR00T Vision'!$A$2:$A$901,"Failure",'GR00T Vision'!$H$2:$H$901,$O$3,'GR00T Vision'!$B$2:$B$901,$B40)</x:f>
        <x:v>33</x:v>
      </x:c>
      <x:c r="G40" s="19" t="n">
        <x:f>E40+F40</x:f>
        <x:v>50</x:v>
      </x:c>
      <x:c r="H40" s="20" t="n">
        <x:f>IF(G40=0,"",E40/G40)</x:f>
        <x:v>0.34</x:v>
      </x:c>
      <x:c r="I40" s="20" t="n">
        <x:f>IF(G40=0,"",(H40+$O$4^2/(2*G40))/(1+$O$4^2/G40))</x:f>
        <x:v>0.35141600546789103</x:v>
      </x:c>
      <x:c r="J40" s="20" t="n">
        <x:f>IF(G40=0,"",$O$4*SQRT(H40*(1-H40)/G40+$O$4^2/(4*G40^2))/(1+$O$4^2/G40))</x:f>
        <x:v>0.12704830911728043</x:v>
      </x:c>
      <x:c r="K40" s="20" t="n">
        <x:f>IF(G40=0,"",MAX(0,I40-J40))</x:f>
        <x:v>0.2243676963506106</x:v>
      </x:c>
      <x:c r="L40" s="20" t="n">
        <x:f>IF(G40=0,"",MIN(1,I40+J40))</x:f>
        <x:v>0.47846431458517147</x:v>
      </x:c>
      <x:c r="M40" s="18" t="str">
        <x:f>IF(G40=0,"",TEXT(K40,"0.0%")&amp;" – "&amp;TEXT(L40,"0.0%"))</x:f>
        <x:v>22.4% – 47.8%</x:v>
      </x:c>
      <x:c r="N40" s="18"/>
      <x:c r="O40" s="18"/>
    </x:row>
    <x:row r="41">
      <x:c r="A41" s="18" t="str">
        <x:v>Concept transfer</x:v>
      </x:c>
      <x:c r="B41" s="18" t="str">
        <x:v>State Recognition</x:v>
      </x:c>
      <x:c r="C41" s="18" t="str">
        <x:v>MolmoAct2</x:v>
      </x:c>
      <x:c r="D41" s="18" t="str">
        <x:v>MolmoAct2</x:v>
      </x:c>
      <x:c r="E41" s="19" t="n">
        <x:f>COUNTIFS('MolmoAct2'!$A$2:$A$901,"Success",'MolmoAct2'!$H$2:$H$901,$O$3,'MolmoAct2'!$B$2:$B$901,$B41)</x:f>
        <x:v>38</x:v>
      </x:c>
      <x:c r="F41" s="19" t="n">
        <x:f>COUNTIFS('MolmoAct2'!$A$2:$A$901,"Failure",'MolmoAct2'!$H$2:$H$901,$O$3,'MolmoAct2'!$B$2:$B$901,$B41)</x:f>
        <x:v>12</x:v>
      </x:c>
      <x:c r="G41" s="19" t="n">
        <x:f>E41+F41</x:f>
        <x:v>50</x:v>
      </x:c>
      <x:c r="H41" s="20" t="n">
        <x:f>IF(G41=0,"",E41/G41)</x:f>
        <x:v>0.76</x:v>
      </x:c>
      <x:c r="I41" s="20" t="n">
        <x:f>IF(G41=0,"",(H41+$O$4^2/(2*G41))/(1+$O$4^2/G41))</x:f>
        <x:v>0.7414489911146771</x:v>
      </x:c>
      <x:c r="J41" s="20" t="n">
        <x:f>IF(G41=0,"",$O$4*SQRT(H41*(1-H41)/G41+$O$4^2/(4*G41^2))/(1+$O$4^2/G41))</x:f>
        <x:v>0.11557848486660079</x:v>
      </x:c>
      <x:c r="K41" s="20" t="n">
        <x:f>IF(G41=0,"",MAX(0,I41-J41))</x:f>
        <x:v>0.6258705062480763</x:v>
      </x:c>
      <x:c r="L41" s="20" t="n">
        <x:f>IF(G41=0,"",MIN(1,I41+J41))</x:f>
        <x:v>0.8570274759812779</x:v>
      </x:c>
      <x:c r="M41" s="18" t="str">
        <x:f>IF(G41=0,"",TEXT(K41,"0.0%")&amp;" – "&amp;TEXT(L41,"0.0%"))</x:f>
        <x:v>62.6% – 85.7%</x:v>
      </x:c>
      <x:c r="N41" s="18"/>
      <x:c r="O41" s="18"/>
    </x:row>
    <x:row r="42">
      <x:c r="A42" s="18" t="str">
        <x:v>Concept transfer</x:v>
      </x:c>
      <x:c r="B42" s="18" t="str">
        <x:v>State Recognition</x:v>
      </x:c>
      <x:c r="C42" s="18" t="str">
        <x:v>Pi0.5</x:v>
      </x:c>
      <x:c r="D42" s="18" t="str">
        <x:v>Pi0.5</x:v>
      </x:c>
      <x:c r="E42" s="19" t="n">
        <x:f>COUNTIFS('Pi0.5'!$A$2:$A$901,"Success",'Pi0.5'!$H$2:$H$901,$O$3,'Pi0.5'!$B$2:$B$901,$B42)</x:f>
        <x:v>18</x:v>
      </x:c>
      <x:c r="F42" s="19" t="n">
        <x:f>COUNTIFS('Pi0.5'!$A$2:$A$901,"Failure",'Pi0.5'!$H$2:$H$901,$O$3,'Pi0.5'!$B$2:$B$901,$B42)</x:f>
        <x:v>32</x:v>
      </x:c>
      <x:c r="G42" s="19" t="n">
        <x:f>E42+F42</x:f>
        <x:v>50</x:v>
      </x:c>
      <x:c r="H42" s="20" t="n">
        <x:f>IF(G42=0,"",E42/G42)</x:f>
        <x:v>0.36</x:v>
      </x:c>
      <x:c r="I42" s="20" t="n">
        <x:f>IF(G42=0,"",(H42+$O$4^2/(2*G42))/(1+$O$4^2/G42))</x:f>
        <x:v>0.3699890047844046</x:v>
      </x:c>
      <x:c r="J42" s="20" t="n">
        <x:f>IF(G42=0,"",$O$4*SQRT(H42*(1-H42)/G42+$O$4^2/(4*G42^2))/(1+$O$4^2/G42))</x:f>
        <x:v>0.12860337511257586</x:v>
      </x:c>
      <x:c r="K42" s="20" t="n">
        <x:f>IF(G42=0,"",MAX(0,I42-J42))</x:f>
        <x:v>0.24138562967182875</x:v>
      </x:c>
      <x:c r="L42" s="20" t="n">
        <x:f>IF(G42=0,"",MIN(1,I42+J42))</x:f>
        <x:v>0.49859237989698046</x:v>
      </x:c>
      <x:c r="M42" s="18" t="str">
        <x:f>IF(G42=0,"",TEXT(K42,"0.0%")&amp;" – "&amp;TEXT(L42,"0.0%"))</x:f>
        <x:v>24.1% – 49.9%</x:v>
      </x:c>
      <x:c r="N42" s="18"/>
      <x:c r="O42" s="18"/>
    </x:row>
    <x:row r="43">
      <x:c r="A43" s="18" t="str">
        <x:v>Concept transfer</x:v>
      </x:c>
      <x:c r="B43" s="18" t="str">
        <x:v>Counting</x:v>
      </x:c>
      <x:c r="C43" s="18" t="str">
        <x:v>GR00T-N1.7 (vision only)</x:v>
      </x:c>
      <x:c r="D43" s="18" t="str">
        <x:v>GR00T Vision</x:v>
      </x:c>
      <x:c r="E43" s="19" t="n">
        <x:f>COUNTIFS('GR00T Vision'!$A$2:$A$901,"Success",'GR00T Vision'!$H$2:$H$901,$O$3,'GR00T Vision'!$B$2:$B$901,$B43)</x:f>
        <x:v>0</x:v>
      </x:c>
      <x:c r="F43" s="19" t="n">
        <x:f>COUNTIFS('GR00T Vision'!$A$2:$A$901,"Failure",'GR00T Vision'!$H$2:$H$901,$O$3,'GR00T Vision'!$B$2:$B$901,$B43)</x:f>
        <x:v>50</x:v>
      </x:c>
      <x:c r="G43" s="19" t="n">
        <x:f>E43+F43</x:f>
        <x:v>50</x:v>
      </x:c>
      <x:c r="H43" s="20" t="n">
        <x:f>IF(G43=0,"",E43/G43)</x:f>
        <x:v>0</x:v>
      </x:c>
      <x:c r="I43" s="20" t="n">
        <x:f>IF(G43=0,"",(H43+$O$4^2/(2*G43))/(1+$O$4^2/G43))</x:f>
        <x:v>0.035675017087159366</x:v>
      </x:c>
      <x:c r="J43" s="20" t="n">
        <x:f>IF(G43=0,"",$O$4*SQRT(H43*(1-H43)/G43+$O$4^2/(4*G43^2))/(1+$O$4^2/G43))</x:f>
        <x:v>0.035675017087159366</x:v>
      </x:c>
      <x:c r="K43" s="20" t="n">
        <x:f>IF(G43=0,"",MAX(0,I43-J43))</x:f>
        <x:v>0</x:v>
      </x:c>
      <x:c r="L43" s="20" t="n">
        <x:f>IF(G43=0,"",MIN(1,I43+J43))</x:f>
        <x:v>0.07135003417431873</x:v>
      </x:c>
      <x:c r="M43" s="18" t="str">
        <x:f>IF(G43=0,"",TEXT(K43,"0.0%")&amp;" – "&amp;TEXT(L43,"0.0%"))</x:f>
        <x:v>0.0% – 7.1%</x:v>
      </x:c>
      <x:c r="N43" s="18"/>
      <x:c r="O43" s="18"/>
    </x:row>
    <x:row r="44">
      <x:c r="A44" s="18" t="str">
        <x:v>Concept transfer</x:v>
      </x:c>
      <x:c r="B44" s="18" t="str">
        <x:v>Counting</x:v>
      </x:c>
      <x:c r="C44" s="18" t="str">
        <x:v>MolmoAct2</x:v>
      </x:c>
      <x:c r="D44" s="18" t="str">
        <x:v>MolmoAct2</x:v>
      </x:c>
      <x:c r="E44" s="19" t="n">
        <x:f>COUNTIFS('MolmoAct2'!$A$2:$A$901,"Success",'MolmoAct2'!$H$2:$H$901,$O$3,'MolmoAct2'!$B$2:$B$901,$B44)</x:f>
        <x:v>0</x:v>
      </x:c>
      <x:c r="F44" s="19" t="n">
        <x:f>COUNTIFS('MolmoAct2'!$A$2:$A$901,"Failure",'MolmoAct2'!$H$2:$H$901,$O$3,'MolmoAct2'!$B$2:$B$901,$B44)</x:f>
        <x:v>50</x:v>
      </x:c>
      <x:c r="G44" s="19" t="n">
        <x:f>E44+F44</x:f>
        <x:v>50</x:v>
      </x:c>
      <x:c r="H44" s="20" t="n">
        <x:f>IF(G44=0,"",E44/G44)</x:f>
        <x:v>0</x:v>
      </x:c>
      <x:c r="I44" s="20" t="n">
        <x:f>IF(G44=0,"",(H44+$O$4^2/(2*G44))/(1+$O$4^2/G44))</x:f>
        <x:v>0.035675017087159366</x:v>
      </x:c>
      <x:c r="J44" s="20" t="n">
        <x:f>IF(G44=0,"",$O$4*SQRT(H44*(1-H44)/G44+$O$4^2/(4*G44^2))/(1+$O$4^2/G44))</x:f>
        <x:v>0.035675017087159366</x:v>
      </x:c>
      <x:c r="K44" s="20" t="n">
        <x:f>IF(G44=0,"",MAX(0,I44-J44))</x:f>
        <x:v>0</x:v>
      </x:c>
      <x:c r="L44" s="20" t="n">
        <x:f>IF(G44=0,"",MIN(1,I44+J44))</x:f>
        <x:v>0.07135003417431873</x:v>
      </x:c>
      <x:c r="M44" s="18" t="str">
        <x:f>IF(G44=0,"",TEXT(K44,"0.0%")&amp;" – "&amp;TEXT(L44,"0.0%"))</x:f>
        <x:v>0.0% – 7.1%</x:v>
      </x:c>
      <x:c r="N44" s="18"/>
      <x:c r="O44" s="18"/>
    </x:row>
    <x:row r="45">
      <x:c r="A45" s="18" t="str">
        <x:v>Concept transfer</x:v>
      </x:c>
      <x:c r="B45" s="18" t="str">
        <x:v>Counting</x:v>
      </x:c>
      <x:c r="C45" s="18" t="str">
        <x:v>Pi0.5</x:v>
      </x:c>
      <x:c r="D45" s="18" t="str">
        <x:v>Pi0.5</x:v>
      </x:c>
      <x:c r="E45" s="19" t="n">
        <x:f>COUNTIFS('Pi0.5'!$A$2:$A$901,"Success",'Pi0.5'!$H$2:$H$901,$O$3,'Pi0.5'!$B$2:$B$901,$B45)</x:f>
        <x:v>0</x:v>
      </x:c>
      <x:c r="F45" s="19" t="n">
        <x:f>COUNTIFS('Pi0.5'!$A$2:$A$901,"Failure",'Pi0.5'!$H$2:$H$901,$O$3,'Pi0.5'!$B$2:$B$901,$B45)</x:f>
        <x:v>50</x:v>
      </x:c>
      <x:c r="G45" s="19" t="n">
        <x:f>E45+F45</x:f>
        <x:v>50</x:v>
      </x:c>
      <x:c r="H45" s="20" t="n">
        <x:f>IF(G45=0,"",E45/G45)</x:f>
        <x:v>0</x:v>
      </x:c>
      <x:c r="I45" s="20" t="n">
        <x:f>IF(G45=0,"",(H45+$O$4^2/(2*G45))/(1+$O$4^2/G45))</x:f>
        <x:v>0.035675017087159366</x:v>
      </x:c>
      <x:c r="J45" s="20" t="n">
        <x:f>IF(G45=0,"",$O$4*SQRT(H45*(1-H45)/G45+$O$4^2/(4*G45^2))/(1+$O$4^2/G45))</x:f>
        <x:v>0.035675017087159366</x:v>
      </x:c>
      <x:c r="K45" s="20" t="n">
        <x:f>IF(G45=0,"",MAX(0,I45-J45))</x:f>
        <x:v>0</x:v>
      </x:c>
      <x:c r="L45" s="20" t="n">
        <x:f>IF(G45=0,"",MIN(1,I45+J45))</x:f>
        <x:v>0.07135003417431873</x:v>
      </x:c>
      <x:c r="M45" s="18" t="str">
        <x:f>IF(G45=0,"",TEXT(K45,"0.0%")&amp;" – "&amp;TEXT(L45,"0.0%"))</x:f>
        <x:v>0.0% – 7.1%</x:v>
      </x:c>
      <x:c r="N45" s="18"/>
      <x:c r="O45" s="18"/>
    </x:row>
    <x:row r="46">
      <x:c r="A46" s="18" t="str">
        <x:v>Concept transfer</x:v>
      </x:c>
      <x:c r="B46" s="18" t="str">
        <x:v>Ordinal Reference Ordering</x:v>
      </x:c>
      <x:c r="C46" s="18" t="str">
        <x:v>GR00T-N1.7 (vision only)</x:v>
      </x:c>
      <x:c r="D46" s="18" t="str">
        <x:v>GR00T Vision</x:v>
      </x:c>
      <x:c r="E46" s="19" t="n">
        <x:f>COUNTIFS('GR00T Vision'!$A$2:$A$901,"Success",'GR00T Vision'!$H$2:$H$901,$O$3,'GR00T Vision'!$B$2:$B$901,$B46)</x:f>
        <x:v>21</x:v>
      </x:c>
      <x:c r="F46" s="19" t="n">
        <x:f>COUNTIFS('GR00T Vision'!$A$2:$A$901,"Failure",'GR00T Vision'!$H$2:$H$901,$O$3,'GR00T Vision'!$B$2:$B$901,$B46)</x:f>
        <x:v>29</x:v>
      </x:c>
      <x:c r="G46" s="19" t="n">
        <x:f>E46+F46</x:f>
        <x:v>50</x:v>
      </x:c>
      <x:c r="H46" s="20" t="n">
        <x:f>IF(G46=0,"",E46/G46)</x:f>
        <x:v>0.42</x:v>
      </x:c>
      <x:c r="I46" s="20" t="n">
        <x:f>IF(G46=0,"",(H46+$O$4^2/(2*G46))/(1+$O$4^2/G46))</x:f>
        <x:v>0.4257080027339455</x:v>
      </x:c>
      <x:c r="J46" s="20" t="n">
        <x:f>IF(G46=0,"",$O$4*SQRT(H46*(1-H46)/G46+$O$4^2/(4*G46^2))/(1+$O$4^2/G46))</x:f>
        <x:v>0.13196003038827617</x:v>
      </x:c>
      <x:c r="K46" s="20" t="n">
        <x:f>IF(G46=0,"",MAX(0,I46-J46))</x:f>
        <x:v>0.2937479723456693</x:v>
      </x:c>
      <x:c r="L46" s="20" t="n">
        <x:f>IF(G46=0,"",MIN(1,I46+J46))</x:f>
        <x:v>0.5576680331222217</x:v>
      </x:c>
      <x:c r="M46" s="18" t="str">
        <x:f>IF(G46=0,"",TEXT(K46,"0.0%")&amp;" – "&amp;TEXT(L46,"0.0%"))</x:f>
        <x:v>29.4% – 55.8%</x:v>
      </x:c>
      <x:c r="N46" s="18"/>
      <x:c r="O46" s="18"/>
    </x:row>
    <x:row r="47">
      <x:c r="A47" s="18" t="str">
        <x:v>Concept transfer</x:v>
      </x:c>
      <x:c r="B47" s="18" t="str">
        <x:v>Ordinal Reference Ordering</x:v>
      </x:c>
      <x:c r="C47" s="18" t="str">
        <x:v>MolmoAct2</x:v>
      </x:c>
      <x:c r="D47" s="18" t="str">
        <x:v>MolmoAct2</x:v>
      </x:c>
      <x:c r="E47" s="19" t="n">
        <x:f>COUNTIFS('MolmoAct2'!$A$2:$A$901,"Success",'MolmoAct2'!$H$2:$H$901,$O$3,'MolmoAct2'!$B$2:$B$901,$B47)</x:f>
        <x:v>27</x:v>
      </x:c>
      <x:c r="F47" s="19" t="n">
        <x:f>COUNTIFS('MolmoAct2'!$A$2:$A$901,"Failure",'MolmoAct2'!$H$2:$H$901,$O$3,'MolmoAct2'!$B$2:$B$901,$B47)</x:f>
        <x:v>23</x:v>
      </x:c>
      <x:c r="G47" s="19" t="n">
        <x:f>E47+F47</x:f>
        <x:v>50</x:v>
      </x:c>
      <x:c r="H47" s="20" t="n">
        <x:f>IF(G47=0,"",E47/G47)</x:f>
        <x:v>0.54</x:v>
      </x:c>
      <x:c r="I47" s="20" t="n">
        <x:f>IF(G47=0,"",(H47+$O$4^2/(2*G47))/(1+$O$4^2/G47))</x:f>
        <x:v>0.5371459986330273</x:v>
      </x:c>
      <x:c r="J47" s="20" t="n">
        <x:f>IF(G47=0,"",$O$4*SQRT(H47*(1-H47)/G47+$O$4^2/(4*G47^2))/(1+$O$4^2/G47))</x:f>
        <x:v>0.13315965534914642</x:v>
      </x:c>
      <x:c r="K47" s="20" t="n">
        <x:f>IF(G47=0,"",MAX(0,I47-J47))</x:f>
        <x:v>0.40398634328388083</x:v>
      </x:c>
      <x:c r="L47" s="20" t="n">
        <x:f>IF(G47=0,"",MIN(1,I47+J47))</x:f>
        <x:v>0.6703056539821737</x:v>
      </x:c>
      <x:c r="M47" s="18" t="str">
        <x:f>IF(G47=0,"",TEXT(K47,"0.0%")&amp;" – "&amp;TEXT(L47,"0.0%"))</x:f>
        <x:v>40.4% – 67.0%</x:v>
      </x:c>
      <x:c r="N47" s="18"/>
      <x:c r="O47" s="18"/>
    </x:row>
    <x:row r="48">
      <x:c r="A48" s="18" t="str">
        <x:v>Concept transfer</x:v>
      </x:c>
      <x:c r="B48" s="18" t="str">
        <x:v>Ordinal Reference Ordering</x:v>
      </x:c>
      <x:c r="C48" s="18" t="str">
        <x:v>Pi0.5</x:v>
      </x:c>
      <x:c r="D48" s="18" t="str">
        <x:v>Pi0.5</x:v>
      </x:c>
      <x:c r="E48" s="19" t="n">
        <x:f>COUNTIFS('Pi0.5'!$A$2:$A$901,"Success",'Pi0.5'!$H$2:$H$901,$O$3,'Pi0.5'!$B$2:$B$901,$B48)</x:f>
        <x:v>23</x:v>
      </x:c>
      <x:c r="F48" s="19" t="n">
        <x:f>COUNTIFS('Pi0.5'!$A$2:$A$901,"Failure",'Pi0.5'!$H$2:$H$901,$O$3,'Pi0.5'!$B$2:$B$901,$B48)</x:f>
        <x:v>27</x:v>
      </x:c>
      <x:c r="G48" s="19" t="n">
        <x:f>E48+F48</x:f>
        <x:v>50</x:v>
      </x:c>
      <x:c r="H48" s="20" t="n">
        <x:f>IF(G48=0,"",E48/G48)</x:f>
        <x:v>0.46</x:v>
      </x:c>
      <x:c r="I48" s="20" t="n">
        <x:f>IF(G48=0,"",(H48+$O$4^2/(2*G48))/(1+$O$4^2/G48))</x:f>
        <x:v>0.46285400136697274</x:v>
      </x:c>
      <x:c r="J48" s="20" t="n">
        <x:f>IF(G48=0,"",$O$4*SQRT(H48*(1-H48)/G48+$O$4^2/(4*G48^2))/(1+$O$4^2/G48))</x:f>
        <x:v>0.13315965534914642</x:v>
      </x:c>
      <x:c r="K48" s="20" t="n">
        <x:f>IF(G48=0,"",MAX(0,I48-J48))</x:f>
        <x:v>0.3296943460178263</x:v>
      </x:c>
      <x:c r="L48" s="20" t="n">
        <x:f>IF(G48=0,"",MIN(1,I48+J48))</x:f>
        <x:v>0.5960136567161192</x:v>
      </x:c>
      <x:c r="M48" s="18" t="str">
        <x:f>IF(G48=0,"",TEXT(K48,"0.0%")&amp;" – "&amp;TEXT(L48,"0.0%"))</x:f>
        <x:v>33.0% – 59.6%</x:v>
      </x:c>
      <x:c r="N48" s="18"/>
      <x:c r="O48" s="18"/>
    </x:row>
    <x:row r="49">
      <x:c r="A49" s="18" t="str">
        <x:v>Concept transfer</x:v>
      </x:c>
      <x:c r="B49" s="18" t="str">
        <x:v>Relational Placement</x:v>
      </x:c>
      <x:c r="C49" s="18" t="str">
        <x:v>GR00T-N1.7 (vision only)</x:v>
      </x:c>
      <x:c r="D49" s="18" t="str">
        <x:v>GR00T Vision</x:v>
      </x:c>
      <x:c r="E49" s="19" t="n">
        <x:f>COUNTIFS('GR00T Vision'!$A$2:$A$901,"Success",'GR00T Vision'!$H$2:$H$901,$O$3,'GR00T Vision'!$B$2:$B$901,$B49)</x:f>
        <x:v>39</x:v>
      </x:c>
      <x:c r="F49" s="19" t="n">
        <x:f>COUNTIFS('GR00T Vision'!$A$2:$A$901,"Failure",'GR00T Vision'!$H$2:$H$901,$O$3,'GR00T Vision'!$B$2:$B$901,$B49)</x:f>
        <x:v>11</x:v>
      </x:c>
      <x:c r="G49" s="19" t="n">
        <x:f>E49+F49</x:f>
        <x:v>50</x:v>
      </x:c>
      <x:c r="H49" s="20" t="n">
        <x:f>IF(G49=0,"",E49/G49)</x:f>
        <x:v>0.78</x:v>
      </x:c>
      <x:c r="I49" s="20" t="n">
        <x:f>IF(G49=0,"",(H49+$O$4^2/(2*G49))/(1+$O$4^2/G49))</x:f>
        <x:v>0.7600219904311908</x:v>
      </x:c>
      <x:c r="J49" s="20" t="n">
        <x:f>IF(G49=0,"",$O$4*SQRT(H49*(1-H49)/G49+$O$4^2/(4*G49^2))/(1+$O$4^2/G49))</x:f>
        <x:v>0.1124401473257863</x:v>
      </x:c>
      <x:c r="K49" s="20" t="n">
        <x:f>IF(G49=0,"",MAX(0,I49-J49))</x:f>
        <x:v>0.6475818431054045</x:v>
      </x:c>
      <x:c r="L49" s="20" t="n">
        <x:f>IF(G49=0,"",MIN(1,I49+J49))</x:f>
        <x:v>0.8724621377569771</x:v>
      </x:c>
      <x:c r="M49" s="18" t="str">
        <x:f>IF(G49=0,"",TEXT(K49,"0.0%")&amp;" – "&amp;TEXT(L49,"0.0%"))</x:f>
        <x:v>64.8% – 87.2%</x:v>
      </x:c>
      <x:c r="N49" s="18"/>
      <x:c r="O49" s="18"/>
    </x:row>
    <x:row r="50">
      <x:c r="A50" s="18" t="str">
        <x:v>Concept transfer</x:v>
      </x:c>
      <x:c r="B50" s="18" t="str">
        <x:v>Relational Placement</x:v>
      </x:c>
      <x:c r="C50" s="18" t="str">
        <x:v>MolmoAct2</x:v>
      </x:c>
      <x:c r="D50" s="18" t="str">
        <x:v>MolmoAct2</x:v>
      </x:c>
      <x:c r="E50" s="19" t="n">
        <x:f>COUNTIFS('MolmoAct2'!$A$2:$A$901,"Success",'MolmoAct2'!$H$2:$H$901,$O$3,'MolmoAct2'!$B$2:$B$901,$B50)</x:f>
        <x:v>25</x:v>
      </x:c>
      <x:c r="F50" s="19" t="n">
        <x:f>COUNTIFS('MolmoAct2'!$A$2:$A$901,"Failure",'MolmoAct2'!$H$2:$H$901,$O$3,'MolmoAct2'!$B$2:$B$901,$B50)</x:f>
        <x:v>25</x:v>
      </x:c>
      <x:c r="G50" s="19" t="n">
        <x:f>E50+F50</x:f>
        <x:v>50</x:v>
      </x:c>
      <x:c r="H50" s="20" t="n">
        <x:f>IF(G50=0,"",E50/G50)</x:f>
        <x:v>0.5</x:v>
      </x:c>
      <x:c r="I50" s="20" t="n">
        <x:f>IF(G50=0,"",(H50+$O$4^2/(2*G50))/(1+$O$4^2/G50))</x:f>
        <x:v>0.5</x:v>
      </x:c>
      <x:c r="J50" s="20" t="n">
        <x:f>IF(G50=0,"",$O$4*SQRT(H50*(1-H50)/G50+$O$4^2/(4*G50^2))/(1+$O$4^2/G50))</x:f>
        <x:v>0.13355713587667145</x:v>
      </x:c>
      <x:c r="K50" s="20" t="n">
        <x:f>IF(G50=0,"",MAX(0,I50-J50))</x:f>
        <x:v>0.36644286412332855</x:v>
      </x:c>
      <x:c r="L50" s="20" t="n">
        <x:f>IF(G50=0,"",MIN(1,I50+J50))</x:f>
        <x:v>0.6335571358766714</x:v>
      </x:c>
      <x:c r="M50" s="18" t="str">
        <x:f>IF(G50=0,"",TEXT(K50,"0.0%")&amp;" – "&amp;TEXT(L50,"0.0%"))</x:f>
        <x:v>36.6% – 63.4%</x:v>
      </x:c>
      <x:c r="N50" s="18"/>
      <x:c r="O50" s="18"/>
    </x:row>
    <x:row r="51">
      <x:c r="A51" s="18" t="str">
        <x:v>Concept transfer</x:v>
      </x:c>
      <x:c r="B51" s="18" t="str">
        <x:v>Relational Placement</x:v>
      </x:c>
      <x:c r="C51" s="18" t="str">
        <x:v>Pi0.5</x:v>
      </x:c>
      <x:c r="D51" s="18" t="str">
        <x:v>Pi0.5</x:v>
      </x:c>
      <x:c r="E51" s="19" t="n">
        <x:f>COUNTIFS('Pi0.5'!$A$2:$A$901,"Success",'Pi0.5'!$H$2:$H$901,$O$3,'Pi0.5'!$B$2:$B$901,$B51)</x:f>
        <x:v>36</x:v>
      </x:c>
      <x:c r="F51" s="19" t="n">
        <x:f>COUNTIFS('Pi0.5'!$A$2:$A$901,"Failure",'Pi0.5'!$H$2:$H$901,$O$3,'Pi0.5'!$B$2:$B$901,$B51)</x:f>
        <x:v>14</x:v>
      </x:c>
      <x:c r="G51" s="19" t="n">
        <x:f>E51+F51</x:f>
        <x:v>50</x:v>
      </x:c>
      <x:c r="H51" s="20" t="n">
        <x:f>IF(G51=0,"",E51/G51)</x:f>
        <x:v>0.72</x:v>
      </x:c>
      <x:c r="I51" s="20" t="n">
        <x:f>IF(G51=0,"",(H51+$O$4^2/(2*G51))/(1+$O$4^2/G51))</x:f>
        <x:v>0.7043029924816498</x:v>
      </x:c>
      <x:c r="J51" s="20" t="n">
        <x:f>IF(G51=0,"",$O$4*SQRT(H51*(1-H51)/G51+$O$4^2/(4*G51^2))/(1+$O$4^2/G51))</x:f>
        <x:v>0.12095686394154652</x:v>
      </x:c>
      <x:c r="K51" s="20" t="n">
        <x:f>IF(G51=0,"",MAX(0,I51-J51))</x:f>
        <x:v>0.5833461285401034</x:v>
      </x:c>
      <x:c r="L51" s="20" t="n">
        <x:f>IF(G51=0,"",MIN(1,I51+J51))</x:f>
        <x:v>0.8252598564231963</x:v>
      </x:c>
      <x:c r="M51" s="18" t="str">
        <x:f>IF(G51=0,"",TEXT(K51,"0.0%")&amp;" – "&amp;TEXT(L51,"0.0%"))</x:f>
        <x:v>58.3% – 82.5%</x:v>
      </x:c>
      <x:c r="N51" s="18"/>
      <x:c r="O51" s="18"/>
    </x:row>
    <x:row r="52">
      <x:c r="A52" s="18" t="str">
        <x:v>Concept transfer</x:v>
      </x:c>
      <x:c r="B52" s="18" t="str">
        <x:v>Referential Disambiguation</x:v>
      </x:c>
      <x:c r="C52" s="18" t="str">
        <x:v>GR00T-N1.7 (vision only)</x:v>
      </x:c>
      <x:c r="D52" s="18" t="str">
        <x:v>GR00T Vision</x:v>
      </x:c>
      <x:c r="E52" s="19" t="n">
        <x:f>COUNTIFS('GR00T Vision'!$A$2:$A$901,"Success",'GR00T Vision'!$H$2:$H$901,$O$3,'GR00T Vision'!$B$2:$B$901,$B52)</x:f>
        <x:v>27</x:v>
      </x:c>
      <x:c r="F52" s="19" t="n">
        <x:f>COUNTIFS('GR00T Vision'!$A$2:$A$901,"Failure",'GR00T Vision'!$H$2:$H$901,$O$3,'GR00T Vision'!$B$2:$B$901,$B52)</x:f>
        <x:v>23</x:v>
      </x:c>
      <x:c r="G52" s="19" t="n">
        <x:f>E52+F52</x:f>
        <x:v>50</x:v>
      </x:c>
      <x:c r="H52" s="20" t="n">
        <x:f>IF(G52=0,"",E52/G52)</x:f>
        <x:v>0.54</x:v>
      </x:c>
      <x:c r="I52" s="20" t="n">
        <x:f>IF(G52=0,"",(H52+$O$4^2/(2*G52))/(1+$O$4^2/G52))</x:f>
        <x:v>0.5371459986330273</x:v>
      </x:c>
      <x:c r="J52" s="20" t="n">
        <x:f>IF(G52=0,"",$O$4*SQRT(H52*(1-H52)/G52+$O$4^2/(4*G52^2))/(1+$O$4^2/G52))</x:f>
        <x:v>0.13315965534914642</x:v>
      </x:c>
      <x:c r="K52" s="20" t="n">
        <x:f>IF(G52=0,"",MAX(0,I52-J52))</x:f>
        <x:v>0.40398634328388083</x:v>
      </x:c>
      <x:c r="L52" s="20" t="n">
        <x:f>IF(G52=0,"",MIN(1,I52+J52))</x:f>
        <x:v>0.6703056539821737</x:v>
      </x:c>
      <x:c r="M52" s="18" t="str">
        <x:f>IF(G52=0,"",TEXT(K52,"0.0%")&amp;" – "&amp;TEXT(L52,"0.0%"))</x:f>
        <x:v>40.4% – 67.0%</x:v>
      </x:c>
      <x:c r="N52" s="18"/>
      <x:c r="O52" s="18"/>
    </x:row>
    <x:row r="53">
      <x:c r="A53" s="18" t="str">
        <x:v>Concept transfer</x:v>
      </x:c>
      <x:c r="B53" s="18" t="str">
        <x:v>Referential Disambiguation</x:v>
      </x:c>
      <x:c r="C53" s="18" t="str">
        <x:v>MolmoAct2</x:v>
      </x:c>
      <x:c r="D53" s="18" t="str">
        <x:v>MolmoAct2</x:v>
      </x:c>
      <x:c r="E53" s="19" t="n">
        <x:f>COUNTIFS('MolmoAct2'!$A$2:$A$901,"Success",'MolmoAct2'!$H$2:$H$901,$O$3,'MolmoAct2'!$B$2:$B$901,$B53)</x:f>
        <x:v>34</x:v>
      </x:c>
      <x:c r="F53" s="19" t="n">
        <x:f>COUNTIFS('MolmoAct2'!$A$2:$A$901,"Failure",'MolmoAct2'!$H$2:$H$901,$O$3,'MolmoAct2'!$B$2:$B$901,$B53)</x:f>
        <x:v>16</x:v>
      </x:c>
      <x:c r="G53" s="19" t="n">
        <x:f>E53+F53</x:f>
        <x:v>50</x:v>
      </x:c>
      <x:c r="H53" s="20" t="n">
        <x:f>IF(G53=0,"",E53/G53)</x:f>
        <x:v>0.68</x:v>
      </x:c>
      <x:c r="I53" s="20" t="n">
        <x:f>IF(G53=0,"",(H53+$O$4^2/(2*G53))/(1+$O$4^2/G53))</x:f>
        <x:v>0.6671569938486227</x:v>
      </x:c>
      <x:c r="J53" s="20" t="n">
        <x:f>IF(G53=0,"",$O$4*SQRT(H53*(1-H53)/G53+$O$4^2/(4*G53^2))/(1+$O$4^2/G53))</x:f>
        <x:v>0.12526256521138338</x:v>
      </x:c>
      <x:c r="K53" s="20" t="n">
        <x:f>IF(G53=0,"",MAX(0,I53-J53))</x:f>
        <x:v>0.5418944286372394</x:v>
      </x:c>
      <x:c r="L53" s="20" t="n">
        <x:f>IF(G53=0,"",MIN(1,I53+J53))</x:f>
        <x:v>0.792419559060006</x:v>
      </x:c>
      <x:c r="M53" s="18" t="str">
        <x:f>IF(G53=0,"",TEXT(K53,"0.0%")&amp;" – "&amp;TEXT(L53,"0.0%"))</x:f>
        <x:v>54.2% – 79.2%</x:v>
      </x:c>
      <x:c r="N53" s="18"/>
      <x:c r="O53" s="18"/>
    </x:row>
    <x:row r="54">
      <x:c r="A54" s="18" t="str">
        <x:v>Concept transfer</x:v>
      </x:c>
      <x:c r="B54" s="18" t="str">
        <x:v>Referential Disambiguation</x:v>
      </x:c>
      <x:c r="C54" s="18" t="str">
        <x:v>Pi0.5</x:v>
      </x:c>
      <x:c r="D54" s="18" t="str">
        <x:v>Pi0.5</x:v>
      </x:c>
      <x:c r="E54" s="19" t="n">
        <x:f>COUNTIFS('Pi0.5'!$A$2:$A$901,"Success",'Pi0.5'!$H$2:$H$901,$O$3,'Pi0.5'!$B$2:$B$901,$B54)</x:f>
        <x:v>18</x:v>
      </x:c>
      <x:c r="F54" s="19" t="n">
        <x:f>COUNTIFS('Pi0.5'!$A$2:$A$901,"Failure",'Pi0.5'!$H$2:$H$901,$O$3,'Pi0.5'!$B$2:$B$901,$B54)</x:f>
        <x:v>32</x:v>
      </x:c>
      <x:c r="G54" s="19" t="n">
        <x:f>E54+F54</x:f>
        <x:v>50</x:v>
      </x:c>
      <x:c r="H54" s="20" t="n">
        <x:f>IF(G54=0,"",E54/G54)</x:f>
        <x:v>0.36</x:v>
      </x:c>
      <x:c r="I54" s="20" t="n">
        <x:f>IF(G54=0,"",(H54+$O$4^2/(2*G54))/(1+$O$4^2/G54))</x:f>
        <x:v>0.3699890047844046</x:v>
      </x:c>
      <x:c r="J54" s="20" t="n">
        <x:f>IF(G54=0,"",$O$4*SQRT(H54*(1-H54)/G54+$O$4^2/(4*G54^2))/(1+$O$4^2/G54))</x:f>
        <x:v>0.12860337511257586</x:v>
      </x:c>
      <x:c r="K54" s="20" t="n">
        <x:f>IF(G54=0,"",MAX(0,I54-J54))</x:f>
        <x:v>0.24138562967182875</x:v>
      </x:c>
      <x:c r="L54" s="20" t="n">
        <x:f>IF(G54=0,"",MIN(1,I54+J54))</x:f>
        <x:v>0.49859237989698046</x:v>
      </x:c>
      <x:c r="M54" s="18" t="str">
        <x:f>IF(G54=0,"",TEXT(K54,"0.0%")&amp;" – "&amp;TEXT(L54,"0.0%"))</x:f>
        <x:v>24.1% – 49.9%</x:v>
      </x:c>
      <x:c r="N54" s="18"/>
      <x:c r="O54" s="18"/>
    </x:row>
    <x:row r="55">
      <x:c r="A55" s="18" t="str">
        <x:v>Concept transfer</x:v>
      </x:c>
      <x:c r="B55" s="18" t="str">
        <x:v>Size Recognition</x:v>
      </x:c>
      <x:c r="C55" s="18" t="str">
        <x:v>GR00T-N1.7 (vision only)</x:v>
      </x:c>
      <x:c r="D55" s="18" t="str">
        <x:v>GR00T Vision</x:v>
      </x:c>
      <x:c r="E55" s="19" t="n">
        <x:f>COUNTIFS('GR00T Vision'!$A$2:$A$901,"Success",'GR00T Vision'!$H$2:$H$901,$O$3,'GR00T Vision'!$B$2:$B$901,$B55)</x:f>
        <x:v>29</x:v>
      </x:c>
      <x:c r="F55" s="19" t="n">
        <x:f>COUNTIFS('GR00T Vision'!$A$2:$A$901,"Failure",'GR00T Vision'!$H$2:$H$901,$O$3,'GR00T Vision'!$B$2:$B$901,$B55)</x:f>
        <x:v>21</x:v>
      </x:c>
      <x:c r="G55" s="19" t="n">
        <x:f>E55+F55</x:f>
        <x:v>50</x:v>
      </x:c>
      <x:c r="H55" s="20" t="n">
        <x:f>IF(G55=0,"",E55/G55)</x:f>
        <x:v>0.58</x:v>
      </x:c>
      <x:c r="I55" s="20" t="n">
        <x:f>IF(G55=0,"",(H55+$O$4^2/(2*G55))/(1+$O$4^2/G55))</x:f>
        <x:v>0.5742919972660545</x:v>
      </x:c>
      <x:c r="J55" s="20" t="n">
        <x:f>IF(G55=0,"",$O$4*SQRT(H55*(1-H55)/G55+$O$4^2/(4*G55^2))/(1+$O$4^2/G55))</x:f>
        <x:v>0.13196003038827617</x:v>
      </x:c>
      <x:c r="K55" s="20" t="n">
        <x:f>IF(G55=0,"",MAX(0,I55-J55))</x:f>
        <x:v>0.4423319668777783</x:v>
      </x:c>
      <x:c r="L55" s="20" t="n">
        <x:f>IF(G55=0,"",MIN(1,I55+J55))</x:f>
        <x:v>0.7062520276543307</x:v>
      </x:c>
      <x:c r="M55" s="18" t="str">
        <x:f>IF(G55=0,"",TEXT(K55,"0.0%")&amp;" – "&amp;TEXT(L55,"0.0%"))</x:f>
        <x:v>44.2% – 70.6%</x:v>
      </x:c>
      <x:c r="N55" s="18"/>
      <x:c r="O55" s="18"/>
    </x:row>
    <x:row r="56">
      <x:c r="A56" s="18" t="str">
        <x:v>Concept transfer</x:v>
      </x:c>
      <x:c r="B56" s="18" t="str">
        <x:v>Size Recognition</x:v>
      </x:c>
      <x:c r="C56" s="18" t="str">
        <x:v>MolmoAct2</x:v>
      </x:c>
      <x:c r="D56" s="18" t="str">
        <x:v>MolmoAct2</x:v>
      </x:c>
      <x:c r="E56" s="19" t="n">
        <x:f>COUNTIFS('MolmoAct2'!$A$2:$A$901,"Success",'MolmoAct2'!$H$2:$H$901,$O$3,'MolmoAct2'!$B$2:$B$901,$B56)</x:f>
        <x:v>32</x:v>
      </x:c>
      <x:c r="F56" s="19" t="n">
        <x:f>COUNTIFS('MolmoAct2'!$A$2:$A$901,"Failure",'MolmoAct2'!$H$2:$H$901,$O$3,'MolmoAct2'!$B$2:$B$901,$B56)</x:f>
        <x:v>18</x:v>
      </x:c>
      <x:c r="G56" s="19" t="n">
        <x:f>E56+F56</x:f>
        <x:v>50</x:v>
      </x:c>
      <x:c r="H56" s="20" t="n">
        <x:f>IF(G56=0,"",E56/G56)</x:f>
        <x:v>0.64</x:v>
      </x:c>
      <x:c r="I56" s="20" t="n">
        <x:f>IF(G56=0,"",(H56+$O$4^2/(2*G56))/(1+$O$4^2/G56))</x:f>
        <x:v>0.6300109952155953</x:v>
      </x:c>
      <x:c r="J56" s="20" t="n">
        <x:f>IF(G56=0,"",$O$4*SQRT(H56*(1-H56)/G56+$O$4^2/(4*G56^2))/(1+$O$4^2/G56))</x:f>
        <x:v>0.12860337511257586</x:v>
      </x:c>
      <x:c r="K56" s="20" t="n">
        <x:f>IF(G56=0,"",MAX(0,I56-J56))</x:f>
        <x:v>0.5014076201030195</x:v>
      </x:c>
      <x:c r="L56" s="20" t="n">
        <x:f>IF(G56=0,"",MIN(1,I56+J56))</x:f>
        <x:v>0.7586143703281711</x:v>
      </x:c>
      <x:c r="M56" s="18" t="str">
        <x:f>IF(G56=0,"",TEXT(K56,"0.0%")&amp;" – "&amp;TEXT(L56,"0.0%"))</x:f>
        <x:v>50.1% – 75.9%</x:v>
      </x:c>
      <x:c r="N56" s="18"/>
      <x:c r="O56" s="18"/>
    </x:row>
    <x:row r="57">
      <x:c r="A57" s="18" t="str">
        <x:v>Concept transfer</x:v>
      </x:c>
      <x:c r="B57" s="18" t="str">
        <x:v>Size Recognition</x:v>
      </x:c>
      <x:c r="C57" s="18" t="str">
        <x:v>Pi0.5</x:v>
      </x:c>
      <x:c r="D57" s="18" t="str">
        <x:v>Pi0.5</x:v>
      </x:c>
      <x:c r="E57" s="19" t="n">
        <x:f>COUNTIFS('Pi0.5'!$A$2:$A$901,"Success",'Pi0.5'!$H$2:$H$901,$O$3,'Pi0.5'!$B$2:$B$901,$B57)</x:f>
        <x:v>27</x:v>
      </x:c>
      <x:c r="F57" s="19" t="n">
        <x:f>COUNTIFS('Pi0.5'!$A$2:$A$901,"Failure",'Pi0.5'!$H$2:$H$901,$O$3,'Pi0.5'!$B$2:$B$901,$B57)</x:f>
        <x:v>23</x:v>
      </x:c>
      <x:c r="G57" s="19" t="n">
        <x:f>E57+F57</x:f>
        <x:v>50</x:v>
      </x:c>
      <x:c r="H57" s="20" t="n">
        <x:f>IF(G57=0,"",E57/G57)</x:f>
        <x:v>0.54</x:v>
      </x:c>
      <x:c r="I57" s="20" t="n">
        <x:f>IF(G57=0,"",(H57+$O$4^2/(2*G57))/(1+$O$4^2/G57))</x:f>
        <x:v>0.5371459986330273</x:v>
      </x:c>
      <x:c r="J57" s="20" t="n">
        <x:f>IF(G57=0,"",$O$4*SQRT(H57*(1-H57)/G57+$O$4^2/(4*G57^2))/(1+$O$4^2/G57))</x:f>
        <x:v>0.13315965534914642</x:v>
      </x:c>
      <x:c r="K57" s="20" t="n">
        <x:f>IF(G57=0,"",MAX(0,I57-J57))</x:f>
        <x:v>0.40398634328388083</x:v>
      </x:c>
      <x:c r="L57" s="20" t="n">
        <x:f>IF(G57=0,"",MIN(1,I57+J57))</x:f>
        <x:v>0.6703056539821737</x:v>
      </x:c>
      <x:c r="M57" s="18" t="str">
        <x:f>IF(G57=0,"",TEXT(K57,"0.0%")&amp;" – "&amp;TEXT(L57,"0.0%"))</x:f>
        <x:v>40.4% – 67.0%</x:v>
      </x:c>
      <x:c r="N57" s="18"/>
      <x:c r="O57" s="18"/>
    </x:row>
  </x:sheetData>
  <x:pageMargins left="0.7" right="0.7" top="0.75" bottom="0.75" header="0.3" footer="0.3"/>
  <x:tableParts count="1">
    <x:tablePart xmlns:r="http://schemas.openxmlformats.org/officeDocument/2006/relationships" r:id="Rd39687246e33489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6.440000057220459" hidden="0" customWidth="1"/>
    <x:col min="3" max="3" width="6.440000057220459" hidden="0" customWidth="1"/>
    <x:col min="4" max="4" width="6.440000057220459" hidden="0" customWidth="1"/>
    <x:col min="5" max="5" width="6.440000057220459" hidden="0" customWidth="1"/>
    <x:col min="6" max="6" width="6.440000057220459" hidden="0" customWidth="1"/>
    <x:col min="7" max="7" width="6.440000057220459" hidden="0" customWidth="1"/>
    <x:col min="8" max="8" width="6.440000057220459" hidden="0" customWidth="1"/>
    <x:col min="10" max="10" width="6.440000057220459" hidden="0" customWidth="1"/>
    <x:col min="11" max="11" width="6.440000057220459" hidden="0" customWidth="1"/>
    <x:col min="12" max="12" width="6.440000057220459" hidden="0" customWidth="1"/>
    <x:col min="13" max="13" width="6.440000057220459" hidden="0" customWidth="1"/>
    <x:col min="14" max="14" width="6.440000057220459" hidden="0" customWidth="1"/>
    <x:col min="15" max="15" width="6.440000057220459" hidden="0" customWidth="1"/>
    <x:col min="16" max="16" width="6.440000057220459" hidden="0" customWidth="1"/>
    <x:col min="17" max="17" width="6.440000057220459" hidden="0" customWidth="1"/>
    <x:col min="19" max="19" width="6.440000057220459" hidden="0" customWidth="1"/>
    <x:col min="20" max="20" width="6.440000057220459" hidden="0" customWidth="1"/>
    <x:col min="21" max="21" width="6.440000057220459" hidden="0" customWidth="1"/>
    <x:col min="22" max="22" width="6.440000057220459" hidden="0" customWidth="1"/>
    <x:col min="23" max="23" width="6.440000057220459" hidden="0" customWidth="1"/>
    <x:col min="24" max="24" width="6.440000057220459" hidden="0" customWidth="1"/>
    <x:col min="25" max="25" width="6.440000057220459" hidden="0" customWidth="1"/>
    <x:col min="26" max="26" width="6.440000057220459" hidden="0" customWidth="1"/>
    <x:col min="9" max="9" width="2.2200000286102295" hidden="0" customWidth="1"/>
    <x:col min="18" max="18" width="2.2200000286102295" hidden="0" customWidth="1"/>
  </x:cols>
  <x:sheetData>
    <x:row r="1" ht="24" customHeight="1">
      <x:c r="A1" s="120" t="str">
        <x:v>TASK-LEVEL SUCCESS CHARTS</x:v>
      </x:c>
      <x:c r="B1" s="120"/>
      <x:c r="C1" s="120"/>
      <x:c r="D1" s="120"/>
      <x:c r="E1" s="120"/>
      <x:c r="F1" s="120"/>
      <x:c r="G1" s="120"/>
      <x:c r="H1" s="120"/>
      <x:c r="I1" s="120"/>
      <x:c r="J1" s="120"/>
      <x:c r="K1" s="120"/>
      <x:c r="L1" s="120"/>
      <x:c r="M1" s="120"/>
      <x:c r="N1" s="120"/>
      <x:c r="O1" s="120"/>
      <x:c r="P1" s="120"/>
      <x:c r="Q1" s="120"/>
      <x:c r="R1" s="120"/>
      <x:c r="S1" s="120"/>
      <x:c r="T1" s="120"/>
      <x:c r="U1" s="120"/>
      <x:c r="V1" s="120"/>
      <x:c r="W1" s="120"/>
      <x:c r="X1" s="120"/>
      <x:c r="Y1" s="120"/>
      <x:c r="Z1" s="120"/>
    </x:row>
    <x:row r="2" ht="25.5" customHeight="1">
      <x:c r="A2" s="124" t="str">
        <x:v>Native charts show binary success rates. Formula-backed rows below each chart provide Wilson 95% lower/upper bounds and the asymmetric lower/upper error magnitudes for final graphic design.</x:v>
      </x:c>
      <x:c r="B2" s="124"/>
      <x:c r="C2" s="124"/>
      <x:c r="D2" s="124"/>
      <x:c r="E2" s="124"/>
      <x:c r="F2" s="124"/>
      <x:c r="G2" s="124"/>
      <x:c r="H2" s="124"/>
      <x:c r="I2" s="124"/>
      <x:c r="J2" s="124"/>
      <x:c r="K2" s="124"/>
      <x:c r="L2" s="124"/>
      <x:c r="M2" s="124"/>
      <x:c r="N2" s="124"/>
      <x:c r="O2" s="124"/>
      <x:c r="P2" s="124"/>
      <x:c r="Q2" s="124"/>
      <x:c r="R2" s="124"/>
      <x:c r="S2" s="124"/>
      <x:c r="T2" s="124"/>
      <x:c r="U2" s="124"/>
      <x:c r="V2" s="124"/>
      <x:c r="W2" s="124"/>
      <x:c r="X2" s="124"/>
      <x:c r="Y2" s="124"/>
      <x:c r="Z2" s="124"/>
    </x:row>
    <x:row r="3" ht="18" customHeight="1">
      <x:c r="A3" s="128" t="str">
        <x:v>IN-DISTRIBUTION</x:v>
      </x:c>
      <x:c r="B3" s="128"/>
      <x:c r="C3" s="128"/>
      <x:c r="D3" s="128"/>
      <x:c r="E3" s="128"/>
      <x:c r="F3" s="128"/>
      <x:c r="G3" s="128"/>
      <x:c r="H3" s="128"/>
      <x:c r="I3" s="128"/>
      <x:c r="J3" s="128"/>
      <x:c r="K3" s="128"/>
      <x:c r="L3" s="128"/>
      <x:c r="M3" s="128"/>
      <x:c r="N3" s="128"/>
      <x:c r="O3" s="128"/>
      <x:c r="P3" s="128"/>
      <x:c r="Q3" s="128"/>
      <x:c r="R3" s="128"/>
      <x:c r="S3" s="128"/>
      <x:c r="T3" s="128"/>
      <x:c r="U3" s="128"/>
      <x:c r="V3" s="128"/>
      <x:c r="W3" s="128"/>
      <x:c r="X3" s="128"/>
      <x:c r="Y3" s="128"/>
      <x:c r="Z3" s="128"/>
    </x:row>
    <x:row r="4" ht="15" customHeight="1"/>
    <x:row r="5" ht="15" customHeight="1"/>
    <x:row r="6" ht="15" customHeight="1"/>
    <x:row r="7" ht="15" customHeight="1"/>
    <x:row r="8" ht="15" customHeight="1"/>
    <x:row r="9" ht="15" customHeight="1"/>
    <x:row r="10" ht="15" customHeight="1"/>
    <x:row r="11" ht="15" customHeight="1"/>
    <x:row r="12" ht="15" customHeight="1"/>
    <x:row r="13" ht="15" customHeight="1"/>
    <x:row r="14" ht="15" customHeight="1"/>
    <x:row r="15" ht="15" customHeight="1"/>
    <x:row r="16" ht="15" customHeight="1"/>
    <x:row r="17" ht="15" customHeight="1"/>
    <x:row r="18" ht="15" customHeight="1">
      <x:c r="A18" s="135" t="str">
        <x:v>Metric</x:v>
      </x:c>
      <x:c r="B18" s="135" t="str">
        <x:v>VLA-0</x:v>
      </x:c>
      <x:c r="C18" s="135" t="str">
        <x:v>GR00T-N1.7 Vision</x:v>
      </x:c>
      <x:c r="D18" s="135" t="str">
        <x:v>GR00T-N1.7 Full FT</x:v>
      </x:c>
      <x:c r="E18" s="135" t="str">
        <x:v>MolmoAct2</x:v>
      </x:c>
      <x:c r="F18" s="135" t="str">
        <x:v>Pi0.5</x:v>
      </x:c>
      <x:c r="J18" s="135" t="str">
        <x:v>Metric</x:v>
      </x:c>
      <x:c r="K18" s="135" t="str">
        <x:v>VLA-0</x:v>
      </x:c>
      <x:c r="L18" s="135" t="str">
        <x:v>GR00T-N1.7 Vision</x:v>
      </x:c>
      <x:c r="M18" s="135" t="str">
        <x:v>GR00T-N1.7 Full FT</x:v>
      </x:c>
      <x:c r="N18" s="135" t="str">
        <x:v>MolmoAct2</x:v>
      </x:c>
      <x:c r="O18" s="135" t="str">
        <x:v>Pi0.5</x:v>
      </x:c>
      <x:c r="S18" s="135" t="str">
        <x:v>Metric</x:v>
      </x:c>
      <x:c r="T18" s="135" t="str">
        <x:v>VLA-0</x:v>
      </x:c>
      <x:c r="U18" s="135" t="str">
        <x:v>GR00T-N1.7 Vision</x:v>
      </x:c>
      <x:c r="V18" s="135" t="str">
        <x:v>GR00T-N1.7 Full FT</x:v>
      </x:c>
      <x:c r="W18" s="135" t="str">
        <x:v>MolmoAct2</x:v>
      </x:c>
      <x:c r="X18" s="135" t="str">
        <x:v>Pi0.5</x:v>
      </x:c>
    </x:row>
    <x:row r="19" ht="15" customHeight="1">
      <x:c r="A19" s="137" t="str">
        <x:v>Rate</x:v>
      </x:c>
      <x:c r="B19" s="139" t="n">
        <x:f>'Analysis Data'!H15</x:f>
        <x:v>0</x:v>
      </x:c>
      <x:c r="C19" s="139" t="n">
        <x:f>'Analysis Data'!H16</x:f>
        <x:v>0.6</x:v>
      </x:c>
      <x:c r="D19" s="139" t="n">
        <x:f>'Analysis Data'!H17</x:f>
        <x:v>0.3684210526315789</x:v>
      </x:c>
      <x:c r="E19" s="139" t="n">
        <x:f>'Analysis Data'!H18</x:f>
        <x:v>0.6</x:v>
      </x:c>
      <x:c r="F19" s="139" t="n">
        <x:f>'Analysis Data'!H19</x:f>
        <x:v>0.55</x:v>
      </x:c>
      <x:c r="J19" s="137" t="str">
        <x:v>Rate</x:v>
      </x:c>
      <x:c r="K19" s="139" t="n">
        <x:f>'Analysis Data'!H20</x:f>
        <x:v>0</x:v>
      </x:c>
      <x:c r="L19" s="139" t="n">
        <x:f>'Analysis Data'!H21</x:f>
        <x:v>0.45</x:v>
      </x:c>
      <x:c r="M19" s="139" t="n">
        <x:f>'Analysis Data'!H22</x:f>
        <x:v>0.15</x:v>
      </x:c>
      <x:c r="N19" s="139" t="n">
        <x:f>'Analysis Data'!H23</x:f>
        <x:v>0.5</x:v>
      </x:c>
      <x:c r="O19" s="139" t="n">
        <x:f>'Analysis Data'!H24</x:f>
        <x:v>0.35</x:v>
      </x:c>
      <x:c r="S19" s="137" t="str">
        <x:v>Rate</x:v>
      </x:c>
      <x:c r="T19" s="139" t="n">
        <x:f>'Analysis Data'!H25</x:f>
        <x:v>0</x:v>
      </x:c>
      <x:c r="U19" s="139" t="n">
        <x:f>'Analysis Data'!H26</x:f>
        <x:v>0.7</x:v>
      </x:c>
      <x:c r="V19" s="139" t="n">
        <x:f>'Analysis Data'!H27</x:f>
        <x:v>0</x:v>
      </x:c>
      <x:c r="W19" s="139" t="n">
        <x:f>'Analysis Data'!H28</x:f>
        <x:v>0.8</x:v>
      </x:c>
      <x:c r="X19" s="139" t="n">
        <x:f>'Analysis Data'!H29</x:f>
        <x:v>0.65</x:v>
      </x:c>
    </x:row>
    <x:row r="20" ht="15" customHeight="1">
      <x:c r="A20" s="137" t="str">
        <x:v>CI lower</x:v>
      </x:c>
      <x:c r="B20" s="139" t="n">
        <x:f>'Analysis Data'!K15</x:f>
        <x:v>0</x:v>
      </x:c>
      <x:c r="C20" s="139" t="n">
        <x:f>'Analysis Data'!K16</x:f>
        <x:v>0.3865779423152061</x:v>
      </x:c>
      <x:c r="D20" s="139" t="n">
        <x:f>'Analysis Data'!K17</x:f>
        <x:v>0.19149272376273843</x:v>
      </x:c>
      <x:c r="E20" s="139" t="n">
        <x:f>'Analysis Data'!K18</x:f>
        <x:v>0.3865779423152061</x:v>
      </x:c>
      <x:c r="F20" s="139" t="n">
        <x:f>'Analysis Data'!K19</x:f>
        <x:v>0.3420820083075997</x:v>
      </x:c>
      <x:c r="J20" s="137" t="str">
        <x:v>CI lower</x:v>
      </x:c>
      <x:c r="K20" s="139" t="n">
        <x:f>'Analysis Data'!K20</x:f>
        <x:v>0</x:v>
      </x:c>
      <x:c r="L20" s="139" t="n">
        <x:f>'Analysis Data'!K21</x:f>
        <x:v>0.25819502085709295</x:v>
      </x:c>
      <x:c r="M20" s="139" t="n">
        <x:f>'Analysis Data'!K22</x:f>
        <x:v>0.05236779195949584</x:v>
      </x:c>
      <x:c r="N20" s="139" t="n">
        <x:f>'Analysis Data'!K23</x:f>
        <x:v>0.2992949144298199</x:v>
      </x:c>
      <x:c r="O20" s="139" t="n">
        <x:f>'Analysis Data'!K24</x:f>
        <x:v>0.18118954786794464</x:v>
      </x:c>
      <x:c r="S20" s="137" t="str">
        <x:v>CI lower</x:v>
      </x:c>
      <x:c r="T20" s="139" t="n">
        <x:f>'Analysis Data'!K25</x:f>
        <x:v>0</x:v>
      </x:c>
      <x:c r="U20" s="139" t="n">
        <x:f>'Analysis Data'!K26</x:f>
        <x:v>0.4810232237710206</x:v>
      </x:c>
      <x:c r="V20" s="139" t="n">
        <x:f>'Analysis Data'!K27</x:f>
        <x:v>0</x:v>
      </x:c>
      <x:c r="W20" s="139" t="n">
        <x:f>'Analysis Data'!K28</x:f>
        <x:v>0.5839782779742401</x:v>
      </x:c>
      <x:c r="X20" s="139" t="n">
        <x:f>'Analysis Data'!K29</x:f>
        <x:v>0.43285051021946463</x:v>
      </x:c>
    </x:row>
    <x:row r="21" ht="15" customHeight="1">
      <x:c r="A21" s="137" t="str">
        <x:v>CI upper</x:v>
      </x:c>
      <x:c r="B21" s="139" t="n">
        <x:f>'Analysis Data'!L15</x:f>
        <x:v>0.2775401687666166</x:v>
      </x:c>
      <x:c r="C21" s="139" t="n">
        <x:f>'Analysis Data'!L16</x:f>
        <x:v>0.7811960325858074</x:v>
      </x:c>
      <x:c r="D21" s="139" t="n">
        <x:f>'Analysis Data'!L17</x:f>
        <x:v>0.5896084250184328</x:v>
      </x:c>
      <x:c r="E21" s="139" t="n">
        <x:f>'Analysis Data'!L18</x:f>
        <x:v>0.7811960325858074</x:v>
      </x:c>
      <x:c r="F21" s="139" t="n">
        <x:f>'Analysis Data'!L19</x:f>
        <x:v>0.7418049791429071</x:v>
      </x:c>
      <x:c r="J21" s="137" t="str">
        <x:v>CI upper</x:v>
      </x:c>
      <x:c r="K21" s="139" t="n">
        <x:f>'Analysis Data'!L20</x:f>
        <x:v>0.2775401687666166</x:v>
      </x:c>
      <x:c r="L21" s="139" t="n">
        <x:f>'Analysis Data'!L21</x:f>
        <x:v>0.6579179916924003</x:v>
      </x:c>
      <x:c r="M21" s="139" t="n">
        <x:f>'Analysis Data'!L22</x:f>
        <x:v>0.36042329588695743</x:v>
      </x:c>
      <x:c r="N21" s="139" t="n">
        <x:f>'Analysis Data'!L23</x:f>
        <x:v>0.7007050855701801</x:v>
      </x:c>
      <x:c r="O21" s="139" t="n">
        <x:f>'Analysis Data'!L24</x:f>
        <x:v>0.5671494897805354</x:v>
      </x:c>
      <x:c r="S21" s="137" t="str">
        <x:v>CI upper</x:v>
      </x:c>
      <x:c r="T21" s="139" t="n">
        <x:f>'Analysis Data'!L25</x:f>
        <x:v>0.2425007574992425</x:v>
      </x:c>
      <x:c r="U21" s="139" t="n">
        <x:f>'Analysis Data'!L26</x:f>
        <x:v>0.854524726031006</x:v>
      </x:c>
      <x:c r="V21" s="139" t="n">
        <x:f>'Analysis Data'!L27</x:f>
        <x:v>0.16113012549493322</x:v>
      </x:c>
      <x:c r="W21" s="139" t="n">
        <x:f>'Analysis Data'!L28</x:f>
        <x:v>0.9193436467288</x:v>
      </x:c>
      <x:c r="X21" s="139" t="n">
        <x:f>'Analysis Data'!L29</x:f>
        <x:v>0.8188104521320554</x:v>
      </x:c>
    </x:row>
    <x:row r="22" ht="15" customHeight="1">
      <x:c r="A22" s="137" t="str">
        <x:v>Lower error</x:v>
      </x:c>
      <x:c r="B22" s="139" t="n">
        <x:f>B19-B20</x:f>
        <x:v>0</x:v>
      </x:c>
      <x:c r="C22" s="139" t="n">
        <x:f>C19-C20</x:f>
        <x:v>0.2134220576847939</x:v>
      </x:c>
      <x:c r="D22" s="139" t="n">
        <x:f>D19-D20</x:f>
        <x:v>0.1769283288688405</x:v>
      </x:c>
      <x:c r="E22" s="139" t="n">
        <x:f>E19-E20</x:f>
        <x:v>0.2134220576847939</x:v>
      </x:c>
      <x:c r="F22" s="139" t="n">
        <x:f>F19-F20</x:f>
        <x:v>0.20791799169240033</x:v>
      </x:c>
      <x:c r="J22" s="137" t="str">
        <x:v>Lower error</x:v>
      </x:c>
      <x:c r="K22" s="139" t="n">
        <x:f>K19-K20</x:f>
        <x:v>0</x:v>
      </x:c>
      <x:c r="L22" s="139" t="n">
        <x:f>L19-L20</x:f>
        <x:v>0.19180497914290706</x:v>
      </x:c>
      <x:c r="M22" s="139" t="n">
        <x:f>M19-M20</x:f>
        <x:v>0.09763220804050415</x:v>
      </x:c>
      <x:c r="N22" s="139" t="n">
        <x:f>N19-N20</x:f>
        <x:v>0.20070508557018008</x:v>
      </x:c>
      <x:c r="O22" s="139" t="n">
        <x:f>O19-O20</x:f>
        <x:v>0.16881045213205534</x:v>
      </x:c>
      <x:c r="S22" s="137" t="str">
        <x:v>Lower error</x:v>
      </x:c>
      <x:c r="T22" s="139" t="n">
        <x:f>T19-T20</x:f>
        <x:v>0</x:v>
      </x:c>
      <x:c r="U22" s="139" t="n">
        <x:f>U19-U20</x:f>
        <x:v>0.21897677622897938</x:v>
      </x:c>
      <x:c r="V22" s="139" t="n">
        <x:f>V19-V20</x:f>
        <x:v>0</x:v>
      </x:c>
      <x:c r="W22" s="139" t="n">
        <x:f>W19-W20</x:f>
        <x:v>0.21602172202575998</x:v>
      </x:c>
      <x:c r="X22" s="139" t="n">
        <x:f>X19-X20</x:f>
        <x:v>0.2171494897805354</x:v>
      </x:c>
    </x:row>
    <x:row r="23" ht="15" customHeight="1">
      <x:c r="A23" s="137" t="str">
        <x:v>Upper error</x:v>
      </x:c>
      <x:c r="B23" s="139" t="n">
        <x:f>B21-B19</x:f>
        <x:v>0.2775401687666166</x:v>
      </x:c>
      <x:c r="C23" s="139" t="n">
        <x:f>C21-C19</x:f>
        <x:v>0.1811960325858074</x:v>
      </x:c>
      <x:c r="D23" s="139" t="n">
        <x:f>D21-D19</x:f>
        <x:v>0.22118737238685388</x:v>
      </x:c>
      <x:c r="E23" s="139" t="n">
        <x:f>E21-E19</x:f>
        <x:v>0.1811960325858074</x:v>
      </x:c>
      <x:c r="F23" s="139" t="n">
        <x:f>F21-F19</x:f>
        <x:v>0.19180497914290706</x:v>
      </x:c>
      <x:c r="J23" s="137" t="str">
        <x:v>Upper error</x:v>
      </x:c>
      <x:c r="K23" s="139" t="n">
        <x:f>K21-K19</x:f>
        <x:v>0.2775401687666166</x:v>
      </x:c>
      <x:c r="L23" s="139" t="n">
        <x:f>L21-L19</x:f>
        <x:v>0.20791799169240027</x:v>
      </x:c>
      <x:c r="M23" s="139" t="n">
        <x:f>M21-M19</x:f>
        <x:v>0.21042329588695743</x:v>
      </x:c>
      <x:c r="N23" s="139" t="n">
        <x:f>N21-N19</x:f>
        <x:v>0.20070508557018008</x:v>
      </x:c>
      <x:c r="O23" s="139" t="n">
        <x:f>O21-O19</x:f>
        <x:v>0.2171494897805354</x:v>
      </x:c>
      <x:c r="S23" s="137" t="str">
        <x:v>Upper error</x:v>
      </x:c>
      <x:c r="T23" s="139" t="n">
        <x:f>T21-T19</x:f>
        <x:v>0.2425007574992425</x:v>
      </x:c>
      <x:c r="U23" s="139" t="n">
        <x:f>U21-U19</x:f>
        <x:v>0.1545247260310061</x:v>
      </x:c>
      <x:c r="V23" s="139" t="n">
        <x:f>V21-V19</x:f>
        <x:v>0.16113012549493322</x:v>
      </x:c>
      <x:c r="W23" s="139" t="n">
        <x:f>W21-W19</x:f>
        <x:v>0.11934364672879993</x:v>
      </x:c>
      <x:c r="X23" s="139" t="n">
        <x:f>X21-X19</x:f>
        <x:v>0.16881045213205537</x:v>
      </x:c>
    </x:row>
    <x:row r="24" ht="15" customHeight="1">
      <x:c r="A24" s="137" t="str">
        <x:v>Scored</x:v>
      </x:c>
      <x:c r="B24" s="141" t="n">
        <x:f>'Analysis Data'!G15</x:f>
        <x:v>10</x:v>
      </x:c>
      <x:c r="C24" s="141" t="n">
        <x:f>'Analysis Data'!G16</x:f>
        <x:v>20</x:v>
      </x:c>
      <x:c r="D24" s="141" t="n">
        <x:f>'Analysis Data'!G17</x:f>
        <x:v>19</x:v>
      </x:c>
      <x:c r="E24" s="141" t="n">
        <x:f>'Analysis Data'!G18</x:f>
        <x:v>20</x:v>
      </x:c>
      <x:c r="F24" s="141" t="n">
        <x:f>'Analysis Data'!G19</x:f>
        <x:v>20</x:v>
      </x:c>
      <x:c r="J24" s="137" t="str">
        <x:v>Scored</x:v>
      </x:c>
      <x:c r="K24" s="141" t="n">
        <x:f>'Analysis Data'!G20</x:f>
        <x:v>10</x:v>
      </x:c>
      <x:c r="L24" s="141" t="n">
        <x:f>'Analysis Data'!G21</x:f>
        <x:v>20</x:v>
      </x:c>
      <x:c r="M24" s="141" t="n">
        <x:f>'Analysis Data'!G22</x:f>
        <x:v>20</x:v>
      </x:c>
      <x:c r="N24" s="141" t="n">
        <x:f>'Analysis Data'!G23</x:f>
        <x:v>20</x:v>
      </x:c>
      <x:c r="O24" s="141" t="n">
        <x:f>'Analysis Data'!G24</x:f>
        <x:v>20</x:v>
      </x:c>
      <x:c r="S24" s="137" t="str">
        <x:v>Scored</x:v>
      </x:c>
      <x:c r="T24" s="141" t="n">
        <x:f>'Analysis Data'!G25</x:f>
        <x:v>12</x:v>
      </x:c>
      <x:c r="U24" s="141" t="n">
        <x:f>'Analysis Data'!G26</x:f>
        <x:v>20</x:v>
      </x:c>
      <x:c r="V24" s="141" t="n">
        <x:f>'Analysis Data'!G27</x:f>
        <x:v>20</x:v>
      </x:c>
      <x:c r="W24" s="141" t="n">
        <x:f>'Analysis Data'!G28</x:f>
        <x:v>20</x:v>
      </x:c>
      <x:c r="X24" s="141" t="n">
        <x:f>'Analysis Data'!G29</x:f>
        <x:v>20</x:v>
      </x:c>
    </x:row>
    <x:row r="25" ht="15" customHeight="1"/>
    <x:row r="26" ht="15" customHeight="1"/>
    <x:row r="27" ht="15" customHeight="1"/>
    <x:row r="28" ht="15" customHeight="1"/>
    <x:row r="29" ht="15" customHeight="1"/>
    <x:row r="30" ht="15" customHeight="1"/>
    <x:row r="31" ht="15" customHeight="1"/>
    <x:row r="32" ht="15" customHeight="1"/>
    <x:row r="33" ht="15" customHeight="1"/>
    <x:row r="34" ht="15" customHeight="1"/>
    <x:row r="35" ht="15" customHeight="1"/>
    <x:row r="36" ht="15" customHeight="1"/>
    <x:row r="37" ht="15" customHeight="1"/>
    <x:row r="38" ht="15" customHeight="1"/>
    <x:row r="39" ht="15" customHeight="1"/>
    <x:row r="40" ht="15" customHeight="1"/>
    <x:row r="41" ht="15" customHeight="1"/>
    <x:row r="42" ht="15" customHeight="1">
      <x:c r="A42" s="135" t="str">
        <x:v>Metric</x:v>
      </x:c>
      <x:c r="B42" s="135" t="str">
        <x:v>VLA-0</x:v>
      </x:c>
      <x:c r="C42" s="135" t="str">
        <x:v>GR00T-N1.7 Vision</x:v>
      </x:c>
      <x:c r="D42" s="135" t="str">
        <x:v>GR00T-N1.7 Full FT</x:v>
      </x:c>
      <x:c r="E42" s="135" t="str">
        <x:v>MolmoAct2</x:v>
      </x:c>
      <x:c r="F42" s="135" t="str">
        <x:v>Pi0.5</x:v>
      </x:c>
      <x:c r="J42" s="135" t="str">
        <x:v>Metric</x:v>
      </x:c>
      <x:c r="K42" s="135" t="str">
        <x:v>VLA-0</x:v>
      </x:c>
      <x:c r="L42" s="135" t="str">
        <x:v>GR00T-N1.7 Vision</x:v>
      </x:c>
      <x:c r="M42" s="135" t="str">
        <x:v>GR00T-N1.7 Full FT</x:v>
      </x:c>
      <x:c r="N42" s="135" t="str">
        <x:v>MolmoAct2</x:v>
      </x:c>
      <x:c r="O42" s="135" t="str">
        <x:v>Pi0.5</x:v>
      </x:c>
      <x:c r="S42" s="135" t="str">
        <x:v>Metric</x:v>
      </x:c>
      <x:c r="T42" s="135" t="str">
        <x:v>VLA-0</x:v>
      </x:c>
      <x:c r="U42" s="135" t="str">
        <x:v>GR00T-N1.7 Vision</x:v>
      </x:c>
      <x:c r="V42" s="135" t="str">
        <x:v>GR00T-N1.7 Full FT</x:v>
      </x:c>
      <x:c r="W42" s="135" t="str">
        <x:v>MolmoAct2</x:v>
      </x:c>
      <x:c r="X42" s="135" t="str">
        <x:v>Pi0.5</x:v>
      </x:c>
    </x:row>
    <x:row r="43" ht="15" customHeight="1">
      <x:c r="A43" s="137" t="str">
        <x:v>Rate</x:v>
      </x:c>
      <x:c r="B43" s="139" t="n">
        <x:f>'Analysis Data'!H10</x:f>
        <x:v>0</x:v>
      </x:c>
      <x:c r="C43" s="139" t="n">
        <x:f>'Analysis Data'!H11</x:f>
        <x:v>0.85</x:v>
      </x:c>
      <x:c r="D43" s="139" t="n">
        <x:f>'Analysis Data'!H12</x:f>
        <x:v>0.2</x:v>
      </x:c>
      <x:c r="E43" s="139" t="n">
        <x:f>'Analysis Data'!H13</x:f>
        <x:v>0.9</x:v>
      </x:c>
      <x:c r="F43" s="139" t="n">
        <x:f>'Analysis Data'!H14</x:f>
        <x:v>0.8</x:v>
      </x:c>
      <x:c r="J43" s="137" t="str">
        <x:v>Rate</x:v>
      </x:c>
      <x:c r="K43" s="139" t="n">
        <x:f>'Analysis Data'!H35</x:f>
        <x:v>0</x:v>
      </x:c>
      <x:c r="L43" s="139" t="n">
        <x:f>'Analysis Data'!H36</x:f>
        <x:v>0.85</x:v>
      </x:c>
      <x:c r="M43" s="139" t="n">
        <x:f>'Analysis Data'!H37</x:f>
        <x:v>0.35</x:v>
      </x:c>
      <x:c r="N43" s="139" t="n">
        <x:f>'Analysis Data'!H38</x:f>
        <x:v>0.8</x:v>
      </x:c>
      <x:c r="O43" s="139" t="n">
        <x:f>'Analysis Data'!H39</x:f>
        <x:v>0.95</x:v>
      </x:c>
      <x:c r="S43" s="137" t="str">
        <x:v>Rate</x:v>
      </x:c>
      <x:c r="T43" s="139" t="n">
        <x:f>'Analysis Data'!H30</x:f>
        <x:v>0</x:v>
      </x:c>
      <x:c r="U43" s="139" t="n">
        <x:f>'Analysis Data'!H31</x:f>
        <x:v>0.6</x:v>
      </x:c>
      <x:c r="V43" s="139" t="n">
        <x:f>'Analysis Data'!H32</x:f>
        <x:v>0.2</x:v>
      </x:c>
      <x:c r="W43" s="139" t="n">
        <x:f>'Analysis Data'!H33</x:f>
        <x:v>0.75</x:v>
      </x:c>
      <x:c r="X43" s="139" t="n">
        <x:f>'Analysis Data'!H34</x:f>
        <x:v>0.8</x:v>
      </x:c>
    </x:row>
    <x:row r="44" ht="15" customHeight="1">
      <x:c r="A44" s="137" t="str">
        <x:v>CI lower</x:v>
      </x:c>
      <x:c r="B44" s="139" t="n">
        <x:f>'Analysis Data'!K10</x:f>
        <x:v>0</x:v>
      </x:c>
      <x:c r="C44" s="139" t="n">
        <x:f>'Analysis Data'!K11</x:f>
        <x:v>0.6395767041130426</x:v>
      </x:c>
      <x:c r="D44" s="139" t="n">
        <x:f>'Analysis Data'!K12</x:f>
        <x:v>0.0806563532712</x:v>
      </x:c>
      <x:c r="E44" s="139" t="n">
        <x:f>'Analysis Data'!K13</x:f>
        <x:v>0.6989617935882066</x:v>
      </x:c>
      <x:c r="F44" s="139" t="n">
        <x:f>'Analysis Data'!K14</x:f>
        <x:v>0.5839782779742401</x:v>
      </x:c>
      <x:c r="J44" s="137" t="str">
        <x:v>CI lower</x:v>
      </x:c>
      <x:c r="K44" s="139" t="n">
        <x:f>'Analysis Data'!K35</x:f>
        <x:v>0</x:v>
      </x:c>
      <x:c r="L44" s="139" t="n">
        <x:f>'Analysis Data'!K36</x:f>
        <x:v>0.6395767041130426</x:v>
      </x:c>
      <x:c r="M44" s="139" t="n">
        <x:f>'Analysis Data'!K37</x:f>
        <x:v>0.18118954786794464</x:v>
      </x:c>
      <x:c r="N44" s="139" t="n">
        <x:f>'Analysis Data'!K38</x:f>
        <x:v>0.5839782779742401</x:v>
      </x:c>
      <x:c r="O44" s="139" t="n">
        <x:f>'Analysis Data'!K39</x:f>
        <x:v>0.7638641064874331</x:v>
      </x:c>
      <x:c r="S44" s="137" t="str">
        <x:v>CI lower</x:v>
      </x:c>
      <x:c r="T44" s="139" t="n">
        <x:f>'Analysis Data'!K30</x:f>
        <x:v>0</x:v>
      </x:c>
      <x:c r="U44" s="139" t="n">
        <x:f>'Analysis Data'!K31</x:f>
        <x:v>0.3865779423152061</x:v>
      </x:c>
      <x:c r="V44" s="139" t="n">
        <x:f>'Analysis Data'!K32</x:f>
        <x:v>0.0806563532712</x:v>
      </x:c>
      <x:c r="W44" s="139" t="n">
        <x:f>'Analysis Data'!K33</x:f>
        <x:v>0.5312949900419365</x:v>
      </x:c>
      <x:c r="X44" s="139" t="n">
        <x:f>'Analysis Data'!K34</x:f>
        <x:v>0.5839782779742401</x:v>
      </x:c>
    </x:row>
    <x:row r="45" ht="15" customHeight="1">
      <x:c r="A45" s="137" t="str">
        <x:v>CI upper</x:v>
      </x:c>
      <x:c r="B45" s="139" t="n">
        <x:f>'Analysis Data'!L10</x:f>
        <x:v>0.2775401687666166</x:v>
      </x:c>
      <x:c r="C45" s="139" t="n">
        <x:f>'Analysis Data'!L11</x:f>
        <x:v>0.9476322080405041</x:v>
      </x:c>
      <x:c r="D45" s="139" t="n">
        <x:f>'Analysis Data'!L12</x:f>
        <x:v>0.41602172202575993</x:v>
      </x:c>
      <x:c r="E45" s="139" t="n">
        <x:f>'Analysis Data'!L13</x:f>
        <x:v>0.9721341060158468</x:v>
      </x:c>
      <x:c r="F45" s="139" t="n">
        <x:f>'Analysis Data'!L14</x:f>
        <x:v>0.9193436467288</x:v>
      </x:c>
      <x:c r="J45" s="137" t="str">
        <x:v>CI upper</x:v>
      </x:c>
      <x:c r="K45" s="139" t="n">
        <x:f>'Analysis Data'!L35</x:f>
        <x:v>0.16113012549493322</x:v>
      </x:c>
      <x:c r="L45" s="139" t="n">
        <x:f>'Analysis Data'!L36</x:f>
        <x:v>0.9476322080405041</x:v>
      </x:c>
      <x:c r="M45" s="139" t="n">
        <x:f>'Analysis Data'!L37</x:f>
        <x:v>0.5671494897805354</x:v>
      </x:c>
      <x:c r="N45" s="139" t="n">
        <x:f>'Analysis Data'!L38</x:f>
        <x:v>0.9193436467288</x:v>
      </x:c>
      <x:c r="O45" s="139" t="n">
        <x:f>'Analysis Data'!L39</x:f>
        <x:v>0.9911187805671268</x:v>
      </x:c>
      <x:c r="S45" s="137" t="str">
        <x:v>CI upper</x:v>
      </x:c>
      <x:c r="T45" s="139" t="n">
        <x:f>'Analysis Data'!L30</x:f>
        <x:v>0.2775401687666166</x:v>
      </x:c>
      <x:c r="U45" s="139" t="n">
        <x:f>'Analysis Data'!L31</x:f>
        <x:v>0.7811960325858074</x:v>
      </x:c>
      <x:c r="V45" s="139" t="n">
        <x:f>'Analysis Data'!L32</x:f>
        <x:v>0.41602172202575993</x:v>
      </x:c>
      <x:c r="W45" s="139" t="n">
        <x:f>'Analysis Data'!L33</x:f>
        <x:v>0.888139947210597</x:v>
      </x:c>
      <x:c r="X45" s="139" t="n">
        <x:f>'Analysis Data'!L34</x:f>
        <x:v>0.9193436467288</x:v>
      </x:c>
    </x:row>
    <x:row r="46" ht="15" customHeight="1">
      <x:c r="A46" s="137" t="str">
        <x:v>Lower error</x:v>
      </x:c>
      <x:c r="B46" s="139" t="n">
        <x:f>B43-B44</x:f>
        <x:v>0</x:v>
      </x:c>
      <x:c r="C46" s="139" t="n">
        <x:f>C43-C44</x:f>
        <x:v>0.2104232958869574</x:v>
      </x:c>
      <x:c r="D46" s="139" t="n">
        <x:f>D43-D44</x:f>
        <x:v>0.11934364672880002</x:v>
      </x:c>
      <x:c r="E46" s="139" t="n">
        <x:f>E43-E44</x:f>
        <x:v>0.20103820641179337</x:v>
      </x:c>
      <x:c r="F46" s="139" t="n">
        <x:f>F43-F44</x:f>
        <x:v>0.21602172202575998</x:v>
      </x:c>
      <x:c r="J46" s="137" t="str">
        <x:v>Lower error</x:v>
      </x:c>
      <x:c r="K46" s="139" t="n">
        <x:f>K43-K44</x:f>
        <x:v>0</x:v>
      </x:c>
      <x:c r="L46" s="139" t="n">
        <x:f>L43-L44</x:f>
        <x:v>0.2104232958869574</x:v>
      </x:c>
      <x:c r="M46" s="139" t="n">
        <x:f>M43-M44</x:f>
        <x:v>0.16881045213205534</x:v>
      </x:c>
      <x:c r="N46" s="139" t="n">
        <x:f>N43-N44</x:f>
        <x:v>0.21602172202575998</x:v>
      </x:c>
      <x:c r="O46" s="139" t="n">
        <x:f>O43-O44</x:f>
        <x:v>0.18613589351256687</x:v>
      </x:c>
      <x:c r="S46" s="137" t="str">
        <x:v>Lower error</x:v>
      </x:c>
      <x:c r="T46" s="139" t="n">
        <x:f>T43-T44</x:f>
        <x:v>0</x:v>
      </x:c>
      <x:c r="U46" s="139" t="n">
        <x:f>U43-U44</x:f>
        <x:v>0.2134220576847939</x:v>
      </x:c>
      <x:c r="V46" s="139" t="n">
        <x:f>V43-V44</x:f>
        <x:v>0.11934364672880002</x:v>
      </x:c>
      <x:c r="W46" s="139" t="n">
        <x:f>W43-W44</x:f>
        <x:v>0.21870500995806352</x:v>
      </x:c>
      <x:c r="X46" s="139" t="n">
        <x:f>X43-X44</x:f>
        <x:v>0.21602172202575998</x:v>
      </x:c>
    </x:row>
    <x:row r="47" ht="15" customHeight="1">
      <x:c r="A47" s="137" t="str">
        <x:v>Upper error</x:v>
      </x:c>
      <x:c r="B47" s="139" t="n">
        <x:f>B45-B43</x:f>
        <x:v>0.2775401687666166</x:v>
      </x:c>
      <x:c r="C47" s="139" t="n">
        <x:f>C45-C43</x:f>
        <x:v>0.0976322080405041</x:v>
      </x:c>
      <x:c r="D47" s="139" t="n">
        <x:f>D45-D43</x:f>
        <x:v>0.21602172202575992</x:v>
      </x:c>
      <x:c r="E47" s="139" t="n">
        <x:f>E45-E43</x:f>
        <x:v>0.0721341060158468</x:v>
      </x:c>
      <x:c r="F47" s="139" t="n">
        <x:f>F45-F43</x:f>
        <x:v>0.11934364672879993</x:v>
      </x:c>
      <x:c r="J47" s="137" t="str">
        <x:v>Upper error</x:v>
      </x:c>
      <x:c r="K47" s="139" t="n">
        <x:f>K45-K43</x:f>
        <x:v>0.16113012549493322</x:v>
      </x:c>
      <x:c r="L47" s="139" t="n">
        <x:f>L45-L43</x:f>
        <x:v>0.0976322080405041</x:v>
      </x:c>
      <x:c r="M47" s="139" t="n">
        <x:f>M45-M43</x:f>
        <x:v>0.2171494897805354</x:v>
      </x:c>
      <x:c r="N47" s="139" t="n">
        <x:f>N45-N43</x:f>
        <x:v>0.11934364672879993</x:v>
      </x:c>
      <x:c r="O47" s="139" t="n">
        <x:f>O45-O43</x:f>
        <x:v>0.04111878056712681</x:v>
      </x:c>
      <x:c r="S47" s="137" t="str">
        <x:v>Upper error</x:v>
      </x:c>
      <x:c r="T47" s="139" t="n">
        <x:f>T45-T43</x:f>
        <x:v>0.2775401687666166</x:v>
      </x:c>
      <x:c r="U47" s="139" t="n">
        <x:f>U45-U43</x:f>
        <x:v>0.1811960325858074</x:v>
      </x:c>
      <x:c r="V47" s="139" t="n">
        <x:f>V45-V43</x:f>
        <x:v>0.21602172202575992</x:v>
      </x:c>
      <x:c r="W47" s="139" t="n">
        <x:f>W45-W43</x:f>
        <x:v>0.13813994721059697</x:v>
      </x:c>
      <x:c r="X47" s="139" t="n">
        <x:f>X45-X43</x:f>
        <x:v>0.11934364672879993</x:v>
      </x:c>
    </x:row>
    <x:row r="48" ht="15" customHeight="1">
      <x:c r="A48" s="137" t="str">
        <x:v>Scored</x:v>
      </x:c>
      <x:c r="B48" s="141" t="n">
        <x:f>'Analysis Data'!G10</x:f>
        <x:v>10</x:v>
      </x:c>
      <x:c r="C48" s="141" t="n">
        <x:f>'Analysis Data'!G11</x:f>
        <x:v>20</x:v>
      </x:c>
      <x:c r="D48" s="141" t="n">
        <x:f>'Analysis Data'!G12</x:f>
        <x:v>20</x:v>
      </x:c>
      <x:c r="E48" s="141" t="n">
        <x:f>'Analysis Data'!G13</x:f>
        <x:v>20</x:v>
      </x:c>
      <x:c r="F48" s="141" t="n">
        <x:f>'Analysis Data'!G14</x:f>
        <x:v>20</x:v>
      </x:c>
      <x:c r="J48" s="137" t="str">
        <x:v>Scored</x:v>
      </x:c>
      <x:c r="K48" s="141" t="n">
        <x:f>'Analysis Data'!G35</x:f>
        <x:v>20</x:v>
      </x:c>
      <x:c r="L48" s="141" t="n">
        <x:f>'Analysis Data'!G36</x:f>
        <x:v>20</x:v>
      </x:c>
      <x:c r="M48" s="141" t="n">
        <x:f>'Analysis Data'!G37</x:f>
        <x:v>20</x:v>
      </x:c>
      <x:c r="N48" s="141" t="n">
        <x:f>'Analysis Data'!G38</x:f>
        <x:v>20</x:v>
      </x:c>
      <x:c r="O48" s="141" t="n">
        <x:f>'Analysis Data'!G39</x:f>
        <x:v>20</x:v>
      </x:c>
      <x:c r="S48" s="137" t="str">
        <x:v>Scored</x:v>
      </x:c>
      <x:c r="T48" s="141" t="n">
        <x:f>'Analysis Data'!G30</x:f>
        <x:v>10</x:v>
      </x:c>
      <x:c r="U48" s="141" t="n">
        <x:f>'Analysis Data'!G31</x:f>
        <x:v>20</x:v>
      </x:c>
      <x:c r="V48" s="141" t="n">
        <x:f>'Analysis Data'!G32</x:f>
        <x:v>20</x:v>
      </x:c>
      <x:c r="W48" s="141" t="n">
        <x:f>'Analysis Data'!G33</x:f>
        <x:v>20</x:v>
      </x:c>
      <x:c r="X48" s="141" t="n">
        <x:f>'Analysis Data'!G34</x:f>
        <x:v>20</x:v>
      </x:c>
    </x:row>
    <x:row r="49" ht="15" customHeight="1"/>
    <x:row r="50" ht="15" customHeight="1"/>
    <x:row r="51" ht="18" customHeight="1">
      <x:c r="A51" s="128" t="str">
        <x:v>COMPOSITIONAL TRANSFER</x:v>
      </x:c>
      <x:c r="B51" s="128"/>
      <x:c r="C51" s="128"/>
      <x:c r="D51" s="128"/>
      <x:c r="E51" s="128"/>
      <x:c r="F51" s="128"/>
      <x:c r="G51" s="128"/>
      <x:c r="H51" s="128"/>
      <x:c r="I51" s="128"/>
      <x:c r="J51" s="128"/>
      <x:c r="K51" s="128"/>
      <x:c r="L51" s="128"/>
      <x:c r="M51" s="128"/>
      <x:c r="N51" s="128"/>
      <x:c r="O51" s="128"/>
      <x:c r="P51" s="128"/>
      <x:c r="Q51" s="128"/>
      <x:c r="R51" s="128"/>
      <x:c r="S51" s="128"/>
      <x:c r="T51" s="128"/>
      <x:c r="U51" s="128"/>
      <x:c r="V51" s="128"/>
      <x:c r="W51" s="128"/>
      <x:c r="X51" s="128"/>
      <x:c r="Y51" s="128"/>
      <x:c r="Z51" s="128"/>
    </x:row>
    <x:row r="52" ht="15" customHeight="1"/>
    <x:row r="53" ht="15" customHeight="1"/>
    <x:row r="54" ht="15" customHeight="1"/>
    <x:row r="55" ht="15" customHeight="1"/>
    <x:row r="56" ht="15" customHeight="1"/>
    <x:row r="57" ht="15" customHeight="1"/>
    <x:row r="58" ht="15" customHeight="1"/>
    <x:row r="59" ht="15" customHeight="1"/>
    <x:row r="60" ht="15" customHeight="1"/>
    <x:row r="61" ht="15" customHeight="1"/>
    <x:row r="62" ht="15" customHeight="1"/>
    <x:row r="63" ht="15" customHeight="1"/>
    <x:row r="64" ht="15" customHeight="1"/>
    <x:row r="65" ht="15" customHeight="1"/>
    <x:row r="66" ht="15" customHeight="1"/>
    <x:row r="67" ht="15" customHeight="1">
      <x:c r="A67" s="135" t="str">
        <x:v>Metric</x:v>
      </x:c>
      <x:c r="B67" s="135" t="str">
        <x:v>GR00T-N1.7 Vision</x:v>
      </x:c>
      <x:c r="C67" s="135" t="str">
        <x:v>MolmoAct2</x:v>
      </x:c>
      <x:c r="D67" s="135" t="str">
        <x:v>Pi0.5</x:v>
      </x:c>
      <x:c r="J67" s="135" t="str">
        <x:v>Metric</x:v>
      </x:c>
      <x:c r="K67" s="135" t="str">
        <x:v>GR00T-N1.7 Vision</x:v>
      </x:c>
      <x:c r="L67" s="135" t="str">
        <x:v>MolmoAct2</x:v>
      </x:c>
      <x:c r="M67" s="135" t="str">
        <x:v>Pi0.5</x:v>
      </x:c>
      <x:c r="S67" s="135" t="str">
        <x:v>Metric</x:v>
      </x:c>
      <x:c r="T67" s="135" t="str">
        <x:v>GR00T-N1.7 Vision</x:v>
      </x:c>
      <x:c r="U67" s="135" t="str">
        <x:v>MolmoAct2</x:v>
      </x:c>
      <x:c r="V67" s="135" t="str">
        <x:v>Pi0.5</x:v>
      </x:c>
    </x:row>
    <x:row r="68" ht="15" customHeight="1">
      <x:c r="A68" s="137" t="str">
        <x:v>Rate</x:v>
      </x:c>
      <x:c r="B68" s="139" t="n">
        <x:f>'Analysis Data'!H43</x:f>
        <x:v>0</x:v>
      </x:c>
      <x:c r="C68" s="139" t="n">
        <x:f>'Analysis Data'!H44</x:f>
        <x:v>0</x:v>
      </x:c>
      <x:c r="D68" s="139" t="n">
        <x:f>'Analysis Data'!H45</x:f>
        <x:v>0</x:v>
      </x:c>
      <x:c r="J68" s="137" t="str">
        <x:v>Rate</x:v>
      </x:c>
      <x:c r="K68" s="139" t="n">
        <x:f>'Analysis Data'!H46</x:f>
        <x:v>0.42</x:v>
      </x:c>
      <x:c r="L68" s="139" t="n">
        <x:f>'Analysis Data'!H47</x:f>
        <x:v>0.54</x:v>
      </x:c>
      <x:c r="M68" s="139" t="n">
        <x:f>'Analysis Data'!H48</x:f>
        <x:v>0.46</x:v>
      </x:c>
      <x:c r="S68" s="137" t="str">
        <x:v>Rate</x:v>
      </x:c>
      <x:c r="T68" s="139" t="n">
        <x:f>'Analysis Data'!H49</x:f>
        <x:v>0.78</x:v>
      </x:c>
      <x:c r="U68" s="139" t="n">
        <x:f>'Analysis Data'!H50</x:f>
        <x:v>0.5</x:v>
      </x:c>
      <x:c r="V68" s="139" t="n">
        <x:f>'Analysis Data'!H51</x:f>
        <x:v>0.72</x:v>
      </x:c>
    </x:row>
    <x:row r="69" ht="15" customHeight="1">
      <x:c r="A69" s="137" t="str">
        <x:v>CI lower</x:v>
      </x:c>
      <x:c r="B69" s="139" t="n">
        <x:f>'Analysis Data'!K43</x:f>
        <x:v>0</x:v>
      </x:c>
      <x:c r="C69" s="139" t="n">
        <x:f>'Analysis Data'!K44</x:f>
        <x:v>0</x:v>
      </x:c>
      <x:c r="D69" s="139" t="n">
        <x:f>'Analysis Data'!K45</x:f>
        <x:v>0</x:v>
      </x:c>
      <x:c r="J69" s="137" t="str">
        <x:v>CI lower</x:v>
      </x:c>
      <x:c r="K69" s="139" t="n">
        <x:f>'Analysis Data'!K46</x:f>
        <x:v>0.2937479723456693</x:v>
      </x:c>
      <x:c r="L69" s="139" t="n">
        <x:f>'Analysis Data'!K47</x:f>
        <x:v>0.40398634328388083</x:v>
      </x:c>
      <x:c r="M69" s="139" t="n">
        <x:f>'Analysis Data'!K48</x:f>
        <x:v>0.3296943460178263</x:v>
      </x:c>
      <x:c r="S69" s="137" t="str">
        <x:v>CI lower</x:v>
      </x:c>
      <x:c r="T69" s="139" t="n">
        <x:f>'Analysis Data'!K49</x:f>
        <x:v>0.6475818431054045</x:v>
      </x:c>
      <x:c r="U69" s="139" t="n">
        <x:f>'Analysis Data'!K50</x:f>
        <x:v>0.36644286412332855</x:v>
      </x:c>
      <x:c r="V69" s="139" t="n">
        <x:f>'Analysis Data'!K51</x:f>
        <x:v>0.5833461285401034</x:v>
      </x:c>
    </x:row>
    <x:row r="70" ht="15" customHeight="1">
      <x:c r="A70" s="137" t="str">
        <x:v>CI upper</x:v>
      </x:c>
      <x:c r="B70" s="139" t="n">
        <x:f>'Analysis Data'!L43</x:f>
        <x:v>0.07135003417431873</x:v>
      </x:c>
      <x:c r="C70" s="139" t="n">
        <x:f>'Analysis Data'!L44</x:f>
        <x:v>0.07135003417431873</x:v>
      </x:c>
      <x:c r="D70" s="139" t="n">
        <x:f>'Analysis Data'!L45</x:f>
        <x:v>0.07135003417431873</x:v>
      </x:c>
      <x:c r="J70" s="137" t="str">
        <x:v>CI upper</x:v>
      </x:c>
      <x:c r="K70" s="139" t="n">
        <x:f>'Analysis Data'!L46</x:f>
        <x:v>0.5576680331222217</x:v>
      </x:c>
      <x:c r="L70" s="139" t="n">
        <x:f>'Analysis Data'!L47</x:f>
        <x:v>0.6703056539821737</x:v>
      </x:c>
      <x:c r="M70" s="139" t="n">
        <x:f>'Analysis Data'!L48</x:f>
        <x:v>0.5960136567161192</x:v>
      </x:c>
      <x:c r="S70" s="137" t="str">
        <x:v>CI upper</x:v>
      </x:c>
      <x:c r="T70" s="139" t="n">
        <x:f>'Analysis Data'!L49</x:f>
        <x:v>0.8724621377569771</x:v>
      </x:c>
      <x:c r="U70" s="139" t="n">
        <x:f>'Analysis Data'!L50</x:f>
        <x:v>0.6335571358766714</x:v>
      </x:c>
      <x:c r="V70" s="139" t="n">
        <x:f>'Analysis Data'!L51</x:f>
        <x:v>0.8252598564231963</x:v>
      </x:c>
    </x:row>
    <x:row r="71" ht="15" customHeight="1">
      <x:c r="A71" s="137" t="str">
        <x:v>Lower error</x:v>
      </x:c>
      <x:c r="B71" s="139" t="n">
        <x:f>B68-B69</x:f>
        <x:v>0</x:v>
      </x:c>
      <x:c r="C71" s="139" t="n">
        <x:f>C68-C69</x:f>
        <x:v>0</x:v>
      </x:c>
      <x:c r="D71" s="139" t="n">
        <x:f>D68-D69</x:f>
        <x:v>0</x:v>
      </x:c>
      <x:c r="J71" s="137" t="str">
        <x:v>Lower error</x:v>
      </x:c>
      <x:c r="K71" s="139" t="n">
        <x:f>K68-K69</x:f>
        <x:v>0.1262520276543307</x:v>
      </x:c>
      <x:c r="L71" s="139" t="n">
        <x:f>L68-L69</x:f>
        <x:v>0.1360136567161192</x:v>
      </x:c>
      <x:c r="M71" s="139" t="n">
        <x:f>M68-M69</x:f>
        <x:v>0.1303056539821737</x:v>
      </x:c>
      <x:c r="S71" s="137" t="str">
        <x:v>Lower error</x:v>
      </x:c>
      <x:c r="T71" s="139" t="n">
        <x:f>T68-T69</x:f>
        <x:v>0.13241815689459557</x:v>
      </x:c>
      <x:c r="U71" s="139" t="n">
        <x:f>U68-U69</x:f>
        <x:v>0.13355713587667145</x:v>
      </x:c>
      <x:c r="V71" s="139" t="n">
        <x:f>V68-V69</x:f>
        <x:v>0.1366538714598966</x:v>
      </x:c>
    </x:row>
    <x:row r="72" ht="15" customHeight="1">
      <x:c r="A72" s="137" t="str">
        <x:v>Upper error</x:v>
      </x:c>
      <x:c r="B72" s="139" t="n">
        <x:f>B70-B68</x:f>
        <x:v>0.07135003417431873</x:v>
      </x:c>
      <x:c r="C72" s="139" t="n">
        <x:f>C70-C68</x:f>
        <x:v>0.07135003417431873</x:v>
      </x:c>
      <x:c r="D72" s="139" t="n">
        <x:f>D70-D68</x:f>
        <x:v>0.07135003417431873</x:v>
      </x:c>
      <x:c r="J72" s="137" t="str">
        <x:v>Upper error</x:v>
      </x:c>
      <x:c r="K72" s="139" t="n">
        <x:f>K70-K68</x:f>
        <x:v>0.1376680331222217</x:v>
      </x:c>
      <x:c r="L72" s="139" t="n">
        <x:f>L70-L68</x:f>
        <x:v>0.13030565398217364</x:v>
      </x:c>
      <x:c r="M72" s="139" t="n">
        <x:f>M70-M68</x:f>
        <x:v>0.13601365671611915</x:v>
      </x:c>
      <x:c r="S72" s="137" t="str">
        <x:v>Upper error</x:v>
      </x:c>
      <x:c r="T72" s="139" t="n">
        <x:f>T70-T68</x:f>
        <x:v>0.09246213775697709</x:v>
      </x:c>
      <x:c r="U72" s="139" t="n">
        <x:f>U70-U68</x:f>
        <x:v>0.1335571358766714</x:v>
      </x:c>
      <x:c r="V72" s="139" t="n">
        <x:f>V70-V68</x:f>
        <x:v>0.10525985642319635</x:v>
      </x:c>
    </x:row>
    <x:row r="73" ht="15" customHeight="1">
      <x:c r="A73" s="137" t="str">
        <x:v>Scored</x:v>
      </x:c>
      <x:c r="B73" s="141" t="n">
        <x:f>'Analysis Data'!G43</x:f>
        <x:v>50</x:v>
      </x:c>
      <x:c r="C73" s="141" t="n">
        <x:f>'Analysis Data'!G44</x:f>
        <x:v>50</x:v>
      </x:c>
      <x:c r="D73" s="141" t="n">
        <x:f>'Analysis Data'!G45</x:f>
        <x:v>50</x:v>
      </x:c>
      <x:c r="J73" s="137" t="str">
        <x:v>Scored</x:v>
      </x:c>
      <x:c r="K73" s="141" t="n">
        <x:f>'Analysis Data'!G46</x:f>
        <x:v>50</x:v>
      </x:c>
      <x:c r="L73" s="141" t="n">
        <x:f>'Analysis Data'!G47</x:f>
        <x:v>50</x:v>
      </x:c>
      <x:c r="M73" s="141" t="n">
        <x:f>'Analysis Data'!G48</x:f>
        <x:v>50</x:v>
      </x:c>
      <x:c r="S73" s="137" t="str">
        <x:v>Scored</x:v>
      </x:c>
      <x:c r="T73" s="141" t="n">
        <x:f>'Analysis Data'!G49</x:f>
        <x:v>50</x:v>
      </x:c>
      <x:c r="U73" s="141" t="n">
        <x:f>'Analysis Data'!G50</x:f>
        <x:v>50</x:v>
      </x:c>
      <x:c r="V73" s="141" t="n">
        <x:f>'Analysis Data'!G51</x:f>
        <x:v>50</x:v>
      </x:c>
    </x:row>
    <x:row r="74" ht="15" customHeight="1"/>
    <x:row r="75" ht="15" customHeight="1"/>
    <x:row r="76" ht="15" customHeight="1"/>
    <x:row r="77" ht="15" customHeight="1"/>
    <x:row r="78" ht="15" customHeight="1"/>
    <x:row r="79" ht="15" customHeight="1"/>
    <x:row r="80" ht="15" customHeight="1"/>
    <x:row r="81" ht="15" customHeight="1"/>
    <x:row r="82" ht="15" customHeight="1"/>
    <x:row r="83" ht="15" customHeight="1"/>
    <x:row r="84" ht="15" customHeight="1"/>
    <x:row r="85" ht="15" customHeight="1"/>
    <x:row r="86" ht="15" customHeight="1"/>
    <x:row r="87" ht="15" customHeight="1"/>
    <x:row r="88" ht="15" customHeight="1"/>
    <x:row r="89" ht="15" customHeight="1"/>
    <x:row r="90" ht="15" customHeight="1"/>
    <x:row r="91" ht="15" customHeight="1">
      <x:c r="A91" s="135" t="str">
        <x:v>Metric</x:v>
      </x:c>
      <x:c r="B91" s="135" t="str">
        <x:v>GR00T-N1.7 Vision</x:v>
      </x:c>
      <x:c r="C91" s="135" t="str">
        <x:v>MolmoAct2</x:v>
      </x:c>
      <x:c r="D91" s="135" t="str">
        <x:v>Pi0.5</x:v>
      </x:c>
      <x:c r="J91" s="135" t="str">
        <x:v>Metric</x:v>
      </x:c>
      <x:c r="K91" s="135" t="str">
        <x:v>GR00T-N1.7 Vision</x:v>
      </x:c>
      <x:c r="L91" s="135" t="str">
        <x:v>MolmoAct2</x:v>
      </x:c>
      <x:c r="M91" s="135" t="str">
        <x:v>Pi0.5</x:v>
      </x:c>
      <x:c r="S91" s="135" t="str">
        <x:v>Metric</x:v>
      </x:c>
      <x:c r="T91" s="135" t="str">
        <x:v>GR00T-N1.7 Vision</x:v>
      </x:c>
      <x:c r="U91" s="135" t="str">
        <x:v>MolmoAct2</x:v>
      </x:c>
      <x:c r="V91" s="135" t="str">
        <x:v>Pi0.5</x:v>
      </x:c>
    </x:row>
    <x:row r="92" ht="15" customHeight="1">
      <x:c r="A92" s="137" t="str">
        <x:v>Rate</x:v>
      </x:c>
      <x:c r="B92" s="139" t="n">
        <x:f>'Analysis Data'!H40</x:f>
        <x:v>0.34</x:v>
      </x:c>
      <x:c r="C92" s="139" t="n">
        <x:f>'Analysis Data'!H41</x:f>
        <x:v>0.76</x:v>
      </x:c>
      <x:c r="D92" s="139" t="n">
        <x:f>'Analysis Data'!H42</x:f>
        <x:v>0.36</x:v>
      </x:c>
      <x:c r="J92" s="137" t="str">
        <x:v>Rate</x:v>
      </x:c>
      <x:c r="K92" s="139" t="n">
        <x:f>'Analysis Data'!H55</x:f>
        <x:v>0.58</x:v>
      </x:c>
      <x:c r="L92" s="139" t="n">
        <x:f>'Analysis Data'!H56</x:f>
        <x:v>0.64</x:v>
      </x:c>
      <x:c r="M92" s="139" t="n">
        <x:f>'Analysis Data'!H57</x:f>
        <x:v>0.54</x:v>
      </x:c>
      <x:c r="S92" s="137" t="str">
        <x:v>Rate</x:v>
      </x:c>
      <x:c r="T92" s="139" t="n">
        <x:f>'Analysis Data'!H52</x:f>
        <x:v>0.54</x:v>
      </x:c>
      <x:c r="U92" s="139" t="n">
        <x:f>'Analysis Data'!H53</x:f>
        <x:v>0.68</x:v>
      </x:c>
      <x:c r="V92" s="139" t="n">
        <x:f>'Analysis Data'!H54</x:f>
        <x:v>0.36</x:v>
      </x:c>
    </x:row>
    <x:row r="93" ht="15" customHeight="1">
      <x:c r="A93" s="137" t="str">
        <x:v>CI lower</x:v>
      </x:c>
      <x:c r="B93" s="139" t="n">
        <x:f>'Analysis Data'!K40</x:f>
        <x:v>0.2243676963506106</x:v>
      </x:c>
      <x:c r="C93" s="139" t="n">
        <x:f>'Analysis Data'!K41</x:f>
        <x:v>0.6258705062480763</x:v>
      </x:c>
      <x:c r="D93" s="139" t="n">
        <x:f>'Analysis Data'!K42</x:f>
        <x:v>0.24138562967182875</x:v>
      </x:c>
      <x:c r="J93" s="137" t="str">
        <x:v>CI lower</x:v>
      </x:c>
      <x:c r="K93" s="139" t="n">
        <x:f>'Analysis Data'!K55</x:f>
        <x:v>0.4423319668777783</x:v>
      </x:c>
      <x:c r="L93" s="139" t="n">
        <x:f>'Analysis Data'!K56</x:f>
        <x:v>0.5014076201030195</x:v>
      </x:c>
      <x:c r="M93" s="139" t="n">
        <x:f>'Analysis Data'!K57</x:f>
        <x:v>0.40398634328388083</x:v>
      </x:c>
      <x:c r="S93" s="137" t="str">
        <x:v>CI lower</x:v>
      </x:c>
      <x:c r="T93" s="139" t="n">
        <x:f>'Analysis Data'!K52</x:f>
        <x:v>0.40398634328388083</x:v>
      </x:c>
      <x:c r="U93" s="139" t="n">
        <x:f>'Analysis Data'!K53</x:f>
        <x:v>0.5418944286372394</x:v>
      </x:c>
      <x:c r="V93" s="139" t="n">
        <x:f>'Analysis Data'!K54</x:f>
        <x:v>0.24138562967182875</x:v>
      </x:c>
    </x:row>
    <x:row r="94" ht="15" customHeight="1">
      <x:c r="A94" s="137" t="str">
        <x:v>CI upper</x:v>
      </x:c>
      <x:c r="B94" s="139" t="n">
        <x:f>'Analysis Data'!L40</x:f>
        <x:v>0.47846431458517147</x:v>
      </x:c>
      <x:c r="C94" s="139" t="n">
        <x:f>'Analysis Data'!L41</x:f>
        <x:v>0.8570274759812779</x:v>
      </x:c>
      <x:c r="D94" s="139" t="n">
        <x:f>'Analysis Data'!L42</x:f>
        <x:v>0.49859237989698046</x:v>
      </x:c>
      <x:c r="J94" s="137" t="str">
        <x:v>CI upper</x:v>
      </x:c>
      <x:c r="K94" s="139" t="n">
        <x:f>'Analysis Data'!L55</x:f>
        <x:v>0.7062520276543307</x:v>
      </x:c>
      <x:c r="L94" s="139" t="n">
        <x:f>'Analysis Data'!L56</x:f>
        <x:v>0.7586143703281711</x:v>
      </x:c>
      <x:c r="M94" s="139" t="n">
        <x:f>'Analysis Data'!L57</x:f>
        <x:v>0.6703056539821737</x:v>
      </x:c>
      <x:c r="S94" s="137" t="str">
        <x:v>CI upper</x:v>
      </x:c>
      <x:c r="T94" s="139" t="n">
        <x:f>'Analysis Data'!L52</x:f>
        <x:v>0.6703056539821737</x:v>
      </x:c>
      <x:c r="U94" s="139" t="n">
        <x:f>'Analysis Data'!L53</x:f>
        <x:v>0.792419559060006</x:v>
      </x:c>
      <x:c r="V94" s="139" t="n">
        <x:f>'Analysis Data'!L54</x:f>
        <x:v>0.49859237989698046</x:v>
      </x:c>
    </x:row>
    <x:row r="95" ht="15" customHeight="1">
      <x:c r="A95" s="137" t="str">
        <x:v>Lower error</x:v>
      </x:c>
      <x:c r="B95" s="139" t="n">
        <x:f>B92-B93</x:f>
        <x:v>0.11563230364938942</x:v>
      </x:c>
      <x:c r="C95" s="139" t="n">
        <x:f>C92-C93</x:f>
        <x:v>0.13412949375192373</x:v>
      </x:c>
      <x:c r="D95" s="139" t="n">
        <x:f>D92-D93</x:f>
        <x:v>0.11861437032817124</x:v>
      </x:c>
      <x:c r="J95" s="137" t="str">
        <x:v>Lower error</x:v>
      </x:c>
      <x:c r="K95" s="139" t="n">
        <x:f>K92-K93</x:f>
        <x:v>0.13766803312222164</x:v>
      </x:c>
      <x:c r="L95" s="139" t="n">
        <x:f>L92-L93</x:f>
        <x:v>0.13859237989698048</x:v>
      </x:c>
      <x:c r="M95" s="139" t="n">
        <x:f>M92-M93</x:f>
        <x:v>0.1360136567161192</x:v>
      </x:c>
      <x:c r="S95" s="137" t="str">
        <x:v>Lower error</x:v>
      </x:c>
      <x:c r="T95" s="139" t="n">
        <x:f>T92-T93</x:f>
        <x:v>0.1360136567161192</x:v>
      </x:c>
      <x:c r="U95" s="139" t="n">
        <x:f>U92-U93</x:f>
        <x:v>0.1381055713627607</x:v>
      </x:c>
      <x:c r="V95" s="139" t="n">
        <x:f>V92-V93</x:f>
        <x:v>0.11861437032817124</x:v>
      </x:c>
    </x:row>
    <x:row r="96" ht="15" customHeight="1">
      <x:c r="A96" s="137" t="str">
        <x:v>Upper error</x:v>
      </x:c>
      <x:c r="B96" s="139" t="n">
        <x:f>B94-B92</x:f>
        <x:v>0.13846431458517144</x:v>
      </x:c>
      <x:c r="C96" s="139" t="n">
        <x:f>C94-C92</x:f>
        <x:v>0.09702747598127792</x:v>
      </x:c>
      <x:c r="D96" s="139" t="n">
        <x:f>D94-D92</x:f>
        <x:v>0.13859237989698048</x:v>
      </x:c>
      <x:c r="J96" s="137" t="str">
        <x:v>Upper error</x:v>
      </x:c>
      <x:c r="K96" s="139" t="n">
        <x:f>K94-K92</x:f>
        <x:v>0.12625202765433075</x:v>
      </x:c>
      <x:c r="L96" s="139" t="n">
        <x:f>L94-L92</x:f>
        <x:v>0.11861437032817113</x:v>
      </x:c>
      <x:c r="M96" s="139" t="n">
        <x:f>M94-M92</x:f>
        <x:v>0.13030565398217364</x:v>
      </x:c>
      <x:c r="S96" s="137" t="str">
        <x:v>Upper error</x:v>
      </x:c>
      <x:c r="T96" s="139" t="n">
        <x:f>T94-T92</x:f>
        <x:v>0.13030565398217364</x:v>
      </x:c>
      <x:c r="U96" s="139" t="n">
        <x:f>U94-U92</x:f>
        <x:v>0.112419559060006</x:v>
      </x:c>
      <x:c r="V96" s="139" t="n">
        <x:f>V94-V92</x:f>
        <x:v>0.13859237989698048</x:v>
      </x:c>
    </x:row>
    <x:row r="97" ht="15" customHeight="1">
      <x:c r="A97" s="137" t="str">
        <x:v>Scored</x:v>
      </x:c>
      <x:c r="B97" s="141" t="n">
        <x:f>'Analysis Data'!G40</x:f>
        <x:v>50</x:v>
      </x:c>
      <x:c r="C97" s="141" t="n">
        <x:f>'Analysis Data'!G41</x:f>
        <x:v>50</x:v>
      </x:c>
      <x:c r="D97" s="141" t="n">
        <x:f>'Analysis Data'!G42</x:f>
        <x:v>50</x:v>
      </x:c>
      <x:c r="J97" s="137" t="str">
        <x:v>Scored</x:v>
      </x:c>
      <x:c r="K97" s="141" t="n">
        <x:f>'Analysis Data'!G55</x:f>
        <x:v>50</x:v>
      </x:c>
      <x:c r="L97" s="141" t="n">
        <x:f>'Analysis Data'!G56</x:f>
        <x:v>50</x:v>
      </x:c>
      <x:c r="M97" s="141" t="n">
        <x:f>'Analysis Data'!G57</x:f>
        <x:v>50</x:v>
      </x:c>
      <x:c r="S97" s="137" t="str">
        <x:v>Scored</x:v>
      </x:c>
      <x:c r="T97" s="141" t="n">
        <x:f>'Analysis Data'!G52</x:f>
        <x:v>50</x:v>
      </x:c>
      <x:c r="U97" s="141" t="n">
        <x:f>'Analysis Data'!G53</x:f>
        <x:v>50</x:v>
      </x:c>
      <x:c r="V97" s="141" t="n">
        <x:f>'Analysis Data'!G54</x:f>
        <x:v>50</x:v>
      </x:c>
    </x:row>
    <x:row r="98" ht="15" customHeight="1"/>
    <x:row r="99" ht="15" customHeight="1"/>
    <x:row r="100" ht="15" customHeight="1"/>
  </x:sheetData>
  <x:mergeCells>
    <x:mergeCell ref="A1:Z1"/>
    <x:mergeCell ref="A2:Z2"/>
    <x:mergeCell ref="A3:Z3"/>
    <x:mergeCell ref="A51:Z51"/>
  </x:mergeCells>
  <x:pageMargins left="0.7" right="0.7" top="0.75" bottom="0.75" header="0.3" footer="0.3"/>
  <x:drawing xmlns:r="http://schemas.openxmlformats.org/officeDocument/2006/relationships" r:id="Rd1beba8a4f244432"/>
</x:worksheet>
</file>