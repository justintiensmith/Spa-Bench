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b33393a96f4084" /></Relationships>
</file>

<file path=xl/workbook.xml><?xml version="1.0" encoding="utf-8"?>
<x:workbook xmlns:x="http://schemas.openxmlformats.org/spreadsheetml/2006/main">
  <x:sheets>
    <x:sheet xmlns:r="http://schemas.openxmlformats.org/officeDocument/2006/relationships" name="Design Summary" sheetId="1" r:id="R2748b1b1eaf340d9"/>
    <x:sheet xmlns:r="http://schemas.openxmlformats.org/officeDocument/2006/relationships" name="Updated Prompt Manifest" sheetId="2" r:id="Rde2bc32ec9594fa5"/>
    <x:sheet xmlns:r="http://schemas.openxmlformats.org/officeDocument/2006/relationships" name="Recollection Queue" sheetId="3" r:id="R2d7ad62e49d44087"/>
    <x:sheet xmlns:r="http://schemas.openxmlformats.org/officeDocument/2006/relationships" name="Manifest QA" sheetId="4" r:id="R53c2a7616da243cd"/>
    <x:sheet xmlns:r="http://schemas.openxmlformats.org/officeDocument/2006/relationships" name="Relational Eval Summary" sheetId="5" r:id="R14b5afc224f84d41"/>
    <x:sheet xmlns:r="http://schemas.openxmlformats.org/officeDocument/2006/relationships" name="Relational Eval Raw" sheetId="6" r:id="Rfcc840c71208476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2">
    <x:font>
      <x:sz val="11"/>
      <x:name val="Carlito"/>
    </x:font>
    <x:font>
      <x:b/>
      <x:sz val="16"/>
      <x:color rgb="FFFFFFFF"/>
      <x:name val="Carlito"/>
    </x:font>
    <x:font>
      <x:sz val="11"/>
      <x:color rgb="FF17324D"/>
      <x:name val="Carlito"/>
    </x:font>
    <x:font>
      <x:b/>
      <x:sz val="11"/>
      <x:color rgb="FFFFFFFF"/>
      <x:name val="Carlito"/>
    </x:font>
    <x:font>
      <x:b/>
      <x:sz val="10"/>
      <x:color rgb="FFFFFFFF"/>
      <x:name val="Aptos"/>
    </x:font>
    <x:font>
      <x:sz val="10"/>
      <x:color rgb="FF17324D"/>
      <x:name val="Aptos"/>
    </x:font>
    <x:font>
      <x:sz val="10"/>
      <x:name val="Aptos"/>
    </x:font>
    <x:font>
      <x:sz val="11"/>
      <x:color rgb="FF7A4E00"/>
      <x:name val="Carlito"/>
    </x:font>
    <x:font>
      <x:b/>
      <x:sz val="11"/>
      <x:color rgb="FF17324D"/>
      <x:name val="Carlito"/>
    </x:font>
    <x:font>
      <x:sz val="10"/>
      <x:color rgb="FF7A4E00"/>
      <x:name val="Aptos"/>
    </x:font>
    <x:font>
      <x:b/>
      <x:sz val="10"/>
      <x:color rgb="FF17324D"/>
      <x:name val="Aptos"/>
    </x:font>
    <x:font>
      <x:b/>
      <x:sz val="16"/>
      <x:color rgb="FFFFFFFF"/>
      <x:name val="Aptos Display"/>
    </x:font>
  </x:fonts>
  <x:fills count="8">
    <x:fill>
      <x:patternFill patternType="none"/>
    </x:fill>
    <x:fill>
      <x:patternFill patternType="gray125"/>
    </x:fill>
    <x:fill>
      <x:patternFill patternType="solid">
        <x:fgColor rgb="FF17324D"/>
      </x:patternFill>
    </x:fill>
    <x:fill>
      <x:patternFill patternType="solid">
        <x:fgColor rgb="FFEAF1F8"/>
      </x:patternFill>
    </x:fill>
    <x:fill>
      <x:patternFill patternType="solid">
        <x:fgColor rgb="FF167D8D"/>
      </x:patternFill>
    </x:fill>
    <x:fill>
      <x:patternFill patternType="solid">
        <x:fgColor rgb="FFF2F4F7"/>
      </x:patternFill>
    </x:fill>
    <x:fill>
      <x:patternFill patternType="solid">
        <x:fgColor rgb="FFFFF3CD"/>
      </x:patternFill>
    </x:fill>
    <x:fill>
      <x:patternFill patternType="solid">
        <x:fgColor rgb="FFDDF3F5"/>
      </x:patternFill>
    </x:fill>
  </x:fills>
  <x:borders count="19">
    <x:border/>
    <x:border>
      <x:left style="thin">
        <x:color rgb="FFCBD5E1"/>
      </x:left>
      <x:right style="thin">
        <x:color rgb="FFCBD5E1"/>
      </x:right>
      <x:top style="thin">
        <x:color rgb="FFCBD5E1"/>
      </x:top>
      <x:bottom style="thin">
        <x:color rgb="FFCBD5E1"/>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s>
  <x:cellStyleXfs count="1">
    <x:xf numFmtId="0" fontId="0" fillId="0" borderId="0"/>
  </x:cellStyleXfs>
  <x:cellXfs count="10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7" xfId="0" applyNumberFormat="1" applyFont="1" applyFill="1" applyBorder="1"/>
    <x:xf numFmtId="0" fontId="0" fillId="5" borderId="18" xfId="0" applyNumberFormat="1" applyFont="1" applyFill="1" applyBorder="1"/>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7" xfId="0" applyNumberFormat="1" applyFont="1" applyFill="1" applyBorder="1" applyAlignment="1">
      <x:alignment wrapText="1"/>
    </x:xf>
    <x:xf numFmtId="0" fontId="0" fillId="5" borderId="18" xfId="0" applyNumberFormat="1" applyFont="1" applyFill="1" applyBorder="1" applyAlignment="1">
      <x:alignment wrapText="1"/>
    </x:xf>
    <x:xf numFmtId="0" fontId="4" fillId="2" borderId="0" xfId="0" applyNumberFormat="1" applyFont="1" applyFill="1" applyBorder="1" applyAlignment="1">
      <x:alignment horizontal="left" vertical="center"/>
    </x:xf>
    <x:xf numFmtId="0" fontId="5" fillId="3" borderId="0" xfId="0" applyNumberFormat="1" applyFont="1" applyFill="1" applyBorder="1" applyAlignment="1">
      <x:alignment vertical="center" wrapText="1"/>
    </x:xf>
    <x:xf numFmtId="0" fontId="6" fillId="0" borderId="0" xfId="0" applyNumberFormat="1" applyFont="1" applyFill="1" applyBorder="1"/>
    <x:xf numFmtId="0" fontId="4" fillId="4" borderId="1" xfId="0" applyNumberFormat="1" applyFont="1" applyFill="1" applyBorder="1" applyAlignment="1">
      <x:alignment vertical="center"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4" fillId="2" borderId="0" xfId="0" applyNumberFormat="1" applyFont="1" applyFill="1" applyBorder="1"/>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13" xfId="0" applyNumberFormat="1" applyFont="1" applyFill="1" applyBorder="1" applyAlignment="1">
      <x:alignment wrapText="1"/>
    </x:xf>
    <x:xf numFmtId="0" fontId="6" fillId="5" borderId="14" xfId="0" applyNumberFormat="1" applyFont="1" applyFill="1" applyBorder="1" applyAlignment="1">
      <x:alignment wrapText="1"/>
    </x:xf>
    <x:xf numFmtId="0" fontId="6" fillId="5" borderId="1" xfId="0" applyNumberFormat="1" applyFont="1" applyFill="1" applyBorder="1" applyAlignment="1">
      <x:alignment wrapText="1"/>
    </x:xf>
    <x:xf numFmtId="0" fontId="6" fillId="5" borderId="15" xfId="0" applyNumberFormat="1" applyFont="1" applyFill="1" applyBorder="1" applyAlignment="1">
      <x:alignment wrapText="1"/>
    </x:xf>
    <x:xf numFmtId="0" fontId="6" fillId="5" borderId="16" xfId="0" applyNumberFormat="1" applyFont="1" applyFill="1" applyBorder="1" applyAlignment="1">
      <x:alignment wrapText="1"/>
    </x:xf>
    <x:xf numFmtId="0" fontId="6" fillId="5" borderId="17" xfId="0" applyNumberFormat="1" applyFont="1" applyFill="1" applyBorder="1" applyAlignment="1">
      <x:alignment wrapText="1"/>
    </x:xf>
    <x:xf numFmtId="0" fontId="6" fillId="5" borderId="18" xfId="0" applyNumberFormat="1" applyFont="1" applyFill="1" applyBorder="1" applyAlignment="1">
      <x:alignment wrapText="1"/>
    </x:xf>
    <x:xf numFmtId="200" fontId="0" fillId="0" borderId="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2" xfId="0" applyNumberFormat="1" applyFont="1" applyFill="1" applyBorder="1" applyAlignment="1">
      <x:alignment horizontal="right" vertical="top" wrapText="1"/>
    </x:xf>
    <x:xf numFmtId="200" fontId="0" fillId="0" borderId="5" xfId="0" applyNumberFormat="1" applyFont="1" applyFill="1" applyBorder="1" applyAlignment="1">
      <x:alignment horizontal="right" vertical="top" wrapText="1"/>
    </x:xf>
    <x:xf numFmtId="200" fontId="0" fillId="0" borderId="8" xfId="0" applyNumberFormat="1" applyFont="1" applyFill="1" applyBorder="1" applyAlignment="1">
      <x:alignment horizontal="righ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201" fontId="0" fillId="0" borderId="3" xfId="0" applyNumberFormat="1" applyFont="1" applyFill="1" applyBorder="1" applyAlignment="1">
      <x:alignment vertical="top" wrapText="1"/>
    </x:xf>
    <x:xf numFmtId="201" fontId="0" fillId="0" borderId="6" xfId="0" applyNumberFormat="1" applyFont="1" applyFill="1" applyBorder="1" applyAlignment="1">
      <x:alignment vertical="top" wrapText="1"/>
    </x:xf>
    <x:xf numFmtId="201" fontId="0" fillId="0" borderId="9"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200" fontId="6" fillId="0" borderId="2" xfId="0" applyNumberFormat="1" applyFont="1" applyFill="1" applyBorder="1" applyAlignment="1">
      <x:alignment horizontal="right" vertical="top" wrapText="1"/>
    </x:xf>
    <x:xf numFmtId="200" fontId="6" fillId="0" borderId="5" xfId="0" applyNumberFormat="1" applyFont="1" applyFill="1" applyBorder="1" applyAlignment="1">
      <x:alignment horizontal="right" vertical="top" wrapText="1"/>
    </x:xf>
    <x:xf numFmtId="200" fontId="6" fillId="0" borderId="8" xfId="0" applyNumberFormat="1" applyFont="1" applyFill="1" applyBorder="1" applyAlignment="1">
      <x:alignment horizontal="right" vertical="top" wrapText="1"/>
    </x:xf>
    <x:xf numFmtId="0" fontId="9" fillId="6" borderId="0" xfId="0" applyNumberFormat="1" applyFont="1" applyFill="1" applyBorder="1" applyAlignment="1">
      <x:alignment wrapText="1"/>
    </x:xf>
    <x:xf numFmtId="201" fontId="6" fillId="0" borderId="3" xfId="0" applyNumberFormat="1" applyFont="1" applyFill="1" applyBorder="1" applyAlignment="1">
      <x:alignment vertical="top" wrapText="1"/>
    </x:xf>
    <x:xf numFmtId="201" fontId="6" fillId="0" borderId="6" xfId="0" applyNumberFormat="1" applyFont="1" applyFill="1" applyBorder="1" applyAlignment="1">
      <x:alignment vertical="top" wrapText="1"/>
    </x:xf>
    <x:xf numFmtId="201" fontId="6" fillId="0" borderId="9" xfId="0" applyNumberFormat="1" applyFont="1" applyFill="1" applyBorder="1" applyAlignment="1">
      <x:alignment vertical="top" wrapText="1"/>
    </x:xf>
    <x:xf numFmtId="0" fontId="10" fillId="7" borderId="0" xfId="0" applyNumberFormat="1" applyFont="1" applyFill="1" applyBorder="1" applyAlignment="1">
      <x:alignment wrapText="1"/>
    </x:xf>
    <x:xf numFmtId="0" fontId="11" fillId="2" borderId="0" xfId="0" applyNumberFormat="1" applyFont="1" applyFill="1" applyBorder="1" applyAlignment="1">
      <x:alignment horizontal="left" vertical="center"/>
    </x:xf>
  </x:cellXfs>
  <x:cellStyles count="1">
    <x:cellStyle name="Normal" xfId="0"/>
  </x:cellStyles>
  <x:dxfs count="6">
    <x:dxf>
      <x:font>
        <x:b/>
        <x:color rgb="FF7A4E00"/>
      </x:font>
      <x:fill>
        <x:patternFill patternType="solid">
          <x:bgColor rgb="FFFFF3CD"/>
        </x:patternFill>
      </x:fill>
    </x:dxf>
    <x:dxf>
      <x:font>
        <x:color rgb="FF2E7D32"/>
      </x:font>
      <x:fill>
        <x:patternFill patternType="solid">
          <x:bgColor rgb="FFE4F3E5"/>
        </x:patternFill>
      </x:fill>
    </x:dxf>
    <x:dxf>
      <x:font>
        <x:color rgb="FF2E7D32"/>
      </x:font>
      <x:fill>
        <x:patternFill patternType="solid">
          <x:bgColor rgb="FFE4F3E5"/>
        </x:patternFill>
      </x:fill>
    </x:dxf>
    <x:dxf>
      <x:font>
        <x:color rgb="FF9B1C1C"/>
      </x:font>
      <x:fill>
        <x:patternFill patternType="solid">
          <x:bgColor rgb="FFFDE2E1"/>
        </x:patternFill>
      </x:fill>
    </x:dxf>
    <x:dxf>
      <x:font>
        <x:b/>
        <x:color rgb="FF2E7D32"/>
      </x:font>
      <x:fill>
        <x:patternFill patternType="solid">
          <x:bgColor rgb="FFE4F3E5"/>
        </x:patternFill>
      </x:fill>
    </x:dxf>
    <x:dxf>
      <x:font>
        <x:b/>
        <x:color rgb="FF9B1C1C"/>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42820891d84898" /><Relationship Type="http://schemas.openxmlformats.org/officeDocument/2006/relationships/theme" Target="/xl/theme/theme1.xml" Id="R97f0de222d764d1d" /><Relationship Type="http://schemas.openxmlformats.org/officeDocument/2006/relationships/sharedStrings" Target="/xl/sharedStrings.xml" Id="R3983b4b788c141b3" /><Relationship Type="http://schemas.openxmlformats.org/officeDocument/2006/relationships/worksheet" Target="/xl/worksheets/sheet1.xml" Id="R2748b1b1eaf340d9" /><Relationship Type="http://schemas.openxmlformats.org/officeDocument/2006/relationships/worksheet" Target="/xl/worksheets/sheet2.xml" Id="Rde2bc32ec9594fa5" /><Relationship Type="http://schemas.openxmlformats.org/officeDocument/2006/relationships/worksheet" Target="/xl/worksheets/sheet3.xml" Id="R2d7ad62e49d44087" /><Relationship Type="http://schemas.openxmlformats.org/officeDocument/2006/relationships/worksheet" Target="/xl/worksheets/sheet4.xml" Id="R53c2a7616da243cd" /><Relationship Type="http://schemas.openxmlformats.org/officeDocument/2006/relationships/worksheet" Target="/xl/worksheets/sheet5.xml" Id="R14b5afc224f84d41" /><Relationship Type="http://schemas.openxmlformats.org/officeDocument/2006/relationships/worksheet" Target="/xl/worksheets/sheet6.xml" Id="Rfcc840c71208476b" /></Relationships>
</file>

<file path=xl/tables/table1.xml><?xml version="1.0" encoding="utf-8"?>
<x:table xmlns:x="http://schemas.openxmlformats.org/spreadsheetml/2006/main" id="1" name="UpdatedPromptManifestTable" displayName="UpdatedPromptManifestTable" ref="A1:P1201" headerRowCount="1" totalsRowCount="0" totalsRowShown="0">
  <x:tableColumns count="16">
    <x:tableColumn id="1" name="Episode"/>
    <x:tableColumn id="2" name="Task"/>
    <x:tableColumn id="3" name="Final Training Prompt"/>
    <x:tableColumn id="4" name="Training Role"/>
    <x:tableColumn id="5" name="Explicit Concept / Output"/>
    <x:tableColumn id="6" name="Factor Key"/>
    <x:tableColumn id="7" name="Held-Out Composition"/>
    <x:tableColumn id="8" name="Recollect?"/>
    <x:tableColumn id="9" name="Recollection Reason"/>
    <x:tableColumn id="10" name="Planned Scene Setup / Objects"/>
    <x:tableColumn id="11" name="Planned Target"/>
    <x:tableColumn id="12" name="Start"/>
    <x:tableColumn id="13" name="Source Prompt"/>
    <x:tableColumn id="14" name="Source Scene / Objects"/>
    <x:tableColumn id="15" name="Source Target"/>
    <x:tableColumn id="16" name="Design Rationale"/>
  </x:tableColumns>
  <x:tableStyleInfo name="TableStyleMedium2" showFirstColumn="0" showLastColumn="0" showRowStripes="1" showColumnStripes="0"/>
</x:table>
</file>

<file path=xl/tables/table2.xml><?xml version="1.0" encoding="utf-8"?>
<x:table xmlns:x="http://schemas.openxmlformats.org/spreadsheetml/2006/main" id="2" name="RecollectionQueueTable" displayName="RecollectionQueueTable" ref="A1:J431" headerRowCount="1" totalsRowCount="0" totalsRowShown="0">
  <x:tableColumns count="10">
    <x:tableColumn id="1" name="Status"/>
    <x:tableColumn id="2" name="Recording Episode"/>
    <x:tableColumn id="3" name="Dataset Episode"/>
    <x:tableColumn id="4" name="Task"/>
    <x:tableColumn id="5" name="Prompt"/>
    <x:tableColumn id="6" name="Scene Setup"/>
    <x:tableColumn id="7" name="Target"/>
    <x:tableColumn id="8" name="Start"/>
    <x:tableColumn id="9" name="Reason"/>
    <x:tableColumn id="10" name="Original Episode Prompt"/>
  </x:tableColumns>
  <x:tableStyleInfo name="TableStyleMedium4" showFirstColumn="0" showLastColumn="0" showRowStripes="1" showColumnStripes="0"/>
</x:table>
</file>

<file path=xl/tables/table3.xml><?xml version="1.0" encoding="utf-8"?>
<x:table xmlns:x="http://schemas.openxmlformats.org/spreadsheetml/2006/main" id="3" name="RelationalEvalRawTable" displayName="RelationalEvalRawTable" ref="A1:P151" headerRowCount="1" totalsRowCount="0" totalsRowShown="0">
  <x:tableColumns count="16">
    <x:tableColumn id="1" name="Status"/>
    <x:tableColumn id="2" name="Episode"/>
    <x:tableColumn id="3" name="Prompt"/>
    <x:tableColumn id="4" name="Scene Setup (P1-P4)"/>
    <x:tableColumn id="5" name="Reference Episode"/>
    <x:tableColumn id="6" name="Expected Target / Placement"/>
    <x:tableColumn id="7" name="Observations"/>
    <x:tableColumn id="8" name="Condition"/>
    <x:tableColumn id="9" name="Scene Family"/>
    <x:tableColumn id="10" name="Relation"/>
    <x:tableColumn id="11" name="Object Count"/>
    <x:tableColumn id="12" name="Comparison / Subtype"/>
    <x:tableColumn id="13" name="Collection Block"/>
    <x:tableColumn id="14" name="Setup Change from Previous"/>
    <x:tableColumn id="15" name="Design Note"/>
    <x:tableColumn id="16" name="Reference Media Filena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d41edb67ce54a1d" /></Relationships>
</file>

<file path=xl/worksheets/_rels/sheet3.xml.rels>&#65279;<?xml version="1.0" encoding="utf-8"?><Relationships xmlns="http://schemas.openxmlformats.org/package/2006/relationships"><Relationship Type="http://schemas.openxmlformats.org/officeDocument/2006/relationships/table" Target="/xl/tables/table2.xml" Id="R37dbdb95bd674893" /></Relationships>
</file>

<file path=xl/worksheets/_rels/sheet6.xml.rels>&#65279;<?xml version="1.0" encoding="utf-8"?><Relationships xmlns="http://schemas.openxmlformats.org/package/2006/relationships"><Relationship Type="http://schemas.openxmlformats.org/officeDocument/2006/relationships/table" Target="/xl/tables/table3.xml" Id="Refd0f0fbe8764fad"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1"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s>
  <x:sheetData>
    <x:row r="1" ht="30" customHeight="1">
      <x:c r="A1" s="107" t="str">
        <x:v>Clean Prompt-Manifest Revision (State Recognition Deferred)</x:v>
      </x:c>
      <x:c r="B1" s="107" t="str">
        <x:v>Clean Prompt-Manifest Revision (State Recognition Deferred)</x:v>
      </x:c>
      <x:c r="C1" s="107" t="str">
        <x:v>Clean Prompt-Manifest Revision (State Recognition Deferred)</x:v>
      </x:c>
      <x:c r="D1" s="107" t="str">
        <x:v>Clean Prompt-Manifest Revision (State Recognition Deferred)</x:v>
      </x:c>
      <x:c r="E1" s="107" t="str">
        <x:v>Clean Prompt-Manifest Revision (State Recognition Deferred)</x:v>
      </x:c>
      <x:c r="F1" s="107" t="str">
        <x:v>Clean Prompt-Manifest Revision (State Recognition Deferred)</x:v>
      </x:c>
      <x:c r="G1" s="107" t="str">
        <x:v>Clean Prompt-Manifest Revision (State Recognition Deferred)</x:v>
      </x:c>
      <x:c r="H1" s="107" t="str">
        <x:v>Clean Prompt-Manifest Revision (State Recognition Deferred)</x:v>
      </x:c>
    </x:row>
    <x:row r="2">
      <x:c r="A2" s="62" t="str">
        <x:v>Purpose: make the primary endpoint test held-out combinations rather than unseen words, unseen output positions, or unseen count values. State Recognition is copied unchanged for a separate discussion.</x:v>
      </x:c>
      <x:c r="B2" s="62"/>
      <x:c r="C2" s="62"/>
      <x:c r="D2" s="62"/>
      <x:c r="E2" s="62"/>
      <x:c r="F2" s="62"/>
      <x:c r="G2" s="62"/>
      <x:c r="H2" s="62"/>
    </x:row>
    <x:row r="3">
      <x:c r="A3" s="63"/>
      <x:c r="B3" s="63"/>
      <x:c r="C3" s="63"/>
      <x:c r="D3" s="63"/>
      <x:c r="E3" s="63"/>
      <x:c r="F3" s="63"/>
      <x:c r="G3" s="63"/>
      <x:c r="H3" s="63"/>
    </x:row>
    <x:row r="4">
      <x:c r="A4" s="64" t="str">
        <x:v>Task</x:v>
      </x:c>
      <x:c r="B4" s="64" t="str">
        <x:v>Episodes</x:v>
      </x:c>
      <x:c r="C4" s="64" t="str">
        <x:v>Manifest change</x:v>
      </x:c>
      <x:c r="D4" s="64" t="str">
        <x:v>Explicit grounding</x:v>
      </x:c>
      <x:c r="E4" s="64" t="str">
        <x:v>Evaluation holdout</x:v>
      </x:c>
      <x:c r="F4" s="64" t="str">
        <x:v>Final role counts</x:v>
      </x:c>
      <x:c r="G4" s="64" t="str">
        <x:v>Rows to recollect</x:v>
      </x:c>
      <x:c r="H4" s="64" t="str">
        <x:v>Decision</x:v>
      </x:c>
    </x:row>
    <x:row r="5" ht="68" customHeight="1">
      <x:c r="A5" s="65" t="str">
        <x:v>State Recognition</x:v>
      </x:c>
      <x:c r="B5" s="66" t="n">
        <x:f>COUNTIF('Updated Prompt Manifest'!$B$2:$B$1201,A5)</x:f>
        <x:v>200</x:v>
      </x:c>
      <x:c r="C5" s="66" t="str">
        <x:v>No change in this file</x:v>
      </x:c>
      <x:c r="D5" s="66" t="str">
        <x:v>Current design retained verbatim</x:v>
      </x:c>
      <x:c r="E5" s="66" t="str">
        <x:v>Deferred</x:v>
      </x:c>
      <x:c r="F5" s="66" t="str">
        <x:v>Current 200-row state manifest</x:v>
      </x:c>
      <x:c r="G5" s="66" t="n">
        <x:f>COUNTIFS('Updated Prompt Manifest'!$B$2:$B$1201,A5,'Updated Prompt Manifest'!$H$2:$H$1201,"Yes")</x:f>
        <x:v>0</x:v>
      </x:c>
      <x:c r="H5" s="67" t="str">
        <x:v>Discuss separately</x:v>
      </x:c>
    </x:row>
    <x:row r="6" ht="68" customHeight="1">
      <x:c r="A6" s="68" t="str">
        <x:v>Relational Placement</x:v>
      </x:c>
      <x:c r="B6" s="69" t="n">
        <x:f>COUNTIF('Updated Prompt Manifest'!$B$2:$B$1201,A6)</x:f>
        <x:v>200</x:v>
      </x:c>
      <x:c r="C6" s="69" t="str">
        <x:v>Keep current prompts</x:v>
      </x:c>
      <x:c r="D6" s="69" t="str">
        <x:v>All four directions on other ordered pairs</x:v>
      </x:c>
      <x:c r="E6" s="69" t="str">
        <x:v>direction × green-pen/red-block pair</x:v>
      </x:c>
      <x:c r="F6" s="69" t="str">
        <x:v>166 explicit directional; 34 masked pair</x:v>
      </x:c>
      <x:c r="G6" s="69" t="n">
        <x:f>COUNTIFS('Updated Prompt Manifest'!$B$2:$B$1201,A6,'Updated Prompt Manifest'!$H$2:$H$1201,"Yes")</x:f>
        <x:v>0</x:v>
      </x:c>
      <x:c r="H6" s="70" t="str">
        <x:v>Preserve: evaluation transfer was 36/50</x:v>
      </x:c>
    </x:row>
    <x:row r="7" ht="68" customHeight="1">
      <x:c r="A7" s="68" t="str">
        <x:v>Referential Disambiguation</x:v>
      </x:c>
      <x:c r="B7" s="69" t="n">
        <x:f>COUNTIF('Updated Prompt Manifest'!$B$2:$B$1201,A7)</x:f>
        <x:v>200</x:v>
      </x:c>
      <x:c r="C7" s="69" t="str">
        <x:v>Add explicit furthest grounding on non-evaluation reference pairings</x:v>
      </x:c>
      <x:c r="D7" s="69" t="str">
        <x:v>closest; between; furthest</x:v>
      </x:c>
      <x:c r="E7" s="69" t="str">
        <x:v>furthest × evaluation-specific category/reference pairing</x:v>
      </x:c>
      <x:c r="F7" s="69" t="str">
        <x:v>60 closest; 80 between; 30 furthest; 30 masked</x:v>
      </x:c>
      <x:c r="G7" s="69" t="n">
        <x:f>COUNTIFS('Updated Prompt Manifest'!$B$2:$B$1201,A7,'Updated Prompt Manifest'!$H$2:$H$1201,"Yes")</x:f>
        <x:v>30</x:v>
      </x:c>
      <x:c r="H7" s="70" t="str">
        <x:v>Recollect 30 discriminative scenes</x:v>
      </x:c>
    </x:row>
    <x:row r="8" ht="68" customHeight="1">
      <x:c r="A8" s="68" t="str">
        <x:v>Ordering/Sequencing</x:v>
      </x:c>
      <x:c r="B8" s="69" t="n">
        <x:f>COUNTIF('Updated Prompt Manifest'!$B$2:$B$1201,A8)</x:f>
        <x:v>200</x:v>
      </x:c>
      <x:c r="C8" s="69" t="str">
        <x:v>Replace all rows with fixed four-object sequences</x:v>
      </x:c>
      <x:c r="D8" s="69" t="str">
        <x:v>Positions L1-L4 through six trained expressions</x:v>
      </x:c>
      <x:c r="E8" s="69" t="str">
        <x:v>first from right; third from left</x:v>
      </x:c>
      <x:c r="F8" s="69" t="str">
        <x:v>160 explicit ordinal; 40 direct controls</x:v>
      </x:c>
      <x:c r="G8" s="69" t="n">
        <x:f>COUNTIFS('Updated Prompt Manifest'!$B$2:$B$1201,A8,'Updated Prompt Manifest'!$H$2:$H$1201,"Yes")</x:f>
        <x:v>200</x:v>
      </x:c>
      <x:c r="H8" s="70" t="str">
        <x:v>Recollect all 200</x:v>
      </x:c>
    </x:row>
    <x:row r="9" ht="68" customHeight="1">
      <x:c r="A9" s="68" t="str">
        <x:v>Counting</x:v>
      </x:c>
      <x:c r="B9" s="69" t="n">
        <x:f>COUNTIF('Updated Prompt Manifest'!$B$2:$B$1201,A9)</x:f>
        <x:v>200</x:v>
      </x:c>
      <x:c r="C9" s="69" t="str">
        <x:v>Replace rows with explicit initial/final-count scenes</x:v>
      </x:c>
      <x:c r="D9" s="69" t="str">
        <x:v>Goal counts 0, 1, 2, 3</x:v>
      </x:c>
      <x:c r="E9" s="69" t="str">
        <x:v>goal 1 via 2→1; goal 3 via 2→3</x:v>
      </x:c>
      <x:c r="F9" s="69" t="str">
        <x:v>160 explicit goals; 40 masked transitions</x:v>
      </x:c>
      <x:c r="G9" s="69" t="n">
        <x:f>COUNTIFS('Updated Prompt Manifest'!$B$2:$B$1201,A9,'Updated Prompt Manifest'!$H$2:$H$1201,"Yes")</x:f>
        <x:v>200</x:v>
      </x:c>
      <x:c r="H9" s="70" t="str">
        <x:v>Recollect all 200</x:v>
      </x:c>
    </x:row>
    <x:row r="10" ht="68" customHeight="1">
      <x:c r="A10" s="71" t="str">
        <x:v>Size Recognition</x:v>
      </x:c>
      <x:c r="B10" s="72" t="n">
        <x:f>COUNTIF('Updated Prompt Manifest'!$B$2:$B$1201,A10)</x:f>
        <x:v>200</x:v>
      </x:c>
      <x:c r="C10" s="72" t="str">
        <x:v>Add balanced direct controls for every identity</x:v>
      </x:c>
      <x:c r="D10" s="72" t="str">
        <x:v>smallest/largest in familiar object roles</x:v>
      </x:c>
      <x:c r="E10" s="72" t="str">
        <x:v>largest green block; smallest juggling ball</x:v>
      </x:c>
      <x:c r="F10" s="72" t="str">
        <x:v>140 explicit size; 40 masked; 20 direct</x:v>
      </x:c>
      <x:c r="G10" s="72" t="n">
        <x:f>COUNTIFS('Updated Prompt Manifest'!$B$2:$B$1201,A10,'Updated Prompt Manifest'!$H$2:$H$1201,"Yes")</x:f>
        <x:v>0</x:v>
      </x:c>
      <x:c r="H10" s="73" t="str">
        <x:v>Prompt relabel only</x:v>
      </x:c>
    </x:row>
    <x:row r="11">
      <x:c r="A11" s="63"/>
      <x:c r="B11" s="63"/>
      <x:c r="C11" s="63"/>
      <x:c r="D11" s="63"/>
      <x:c r="E11" s="63"/>
      <x:c r="F11" s="63"/>
      <x:c r="G11" s="63"/>
      <x:c r="H11" s="63"/>
    </x:row>
    <x:row r="12">
      <x:c r="A12" s="74" t="str">
        <x:v>Core interpretation</x:v>
      </x:c>
      <x:c r="B12" s="74"/>
      <x:c r="C12" s="74"/>
      <x:c r="D12" s="74"/>
      <x:c r="E12" s="74"/>
      <x:c r="F12" s="74"/>
      <x:c r="G12" s="74"/>
      <x:c r="H12" s="74"/>
    </x:row>
    <x:row r="13">
      <x:c r="A13" s="75" t="str">
        <x:v>1</x:v>
      </x:c>
      <x:c r="B13" s="76" t="str">
        <x:v>Every atomic concept is explicit during training.</x:v>
      </x:c>
      <x:c r="C13" s="76"/>
      <x:c r="D13" s="76"/>
      <x:c r="E13" s="76"/>
      <x:c r="F13" s="76"/>
      <x:c r="G13" s="76"/>
      <x:c r="H13" s="77"/>
    </x:row>
    <x:row r="14">
      <x:c r="A14" s="78" t="str">
        <x:v>2</x:v>
      </x:c>
      <x:c r="B14" s="79" t="str">
        <x:v>Only a concept × object/reference/transition combination is withheld.</x:v>
      </x:c>
      <x:c r="C14" s="79"/>
      <x:c r="D14" s="79"/>
      <x:c r="E14" s="79"/>
      <x:c r="F14" s="79"/>
      <x:c r="G14" s="79"/>
      <x:c r="H14" s="80"/>
    </x:row>
    <x:row r="15">
      <x:c r="A15" s="78" t="str">
        <x:v>3</x:v>
      </x:c>
      <x:c r="B15" s="79" t="str">
        <x:v>Familiar controls reach the same physical outputs, preventing prompt type from predicting the target.</x:v>
      </x:c>
      <x:c r="C15" s="79"/>
      <x:c r="D15" s="79"/>
      <x:c r="E15" s="79"/>
      <x:c r="F15" s="79"/>
      <x:c r="G15" s="79"/>
      <x:c r="H15" s="80"/>
    </x:row>
    <x:row r="16">
      <x:c r="A16" s="81" t="str">
        <x:v>4</x:v>
      </x:c>
      <x:c r="B16" s="82" t="str">
        <x:v>Novel paraphrases remain evaluation-only.</x:v>
      </x:c>
      <x:c r="C16" s="82"/>
      <x:c r="D16" s="82"/>
      <x:c r="E16" s="82"/>
      <x:c r="F16" s="82"/>
      <x:c r="G16" s="82"/>
      <x:c r="H16" s="83"/>
    </x:row>
  </x:sheetData>
  <x:mergeCells>
    <x:mergeCell ref="A1:H1"/>
    <x:mergeCell ref="A2:H2"/>
    <x:mergeCell ref="A12:H12"/>
    <x:mergeCell ref="B13:H13"/>
    <x:mergeCell ref="B14:H14"/>
    <x:mergeCell ref="B15:H15"/>
    <x:mergeCell ref="B16: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42" hidden="0" customWidth="1"/>
    <x:col min="4" max="4" width="31" hidden="0" customWidth="1"/>
    <x:col min="5" max="5" width="34" hidden="0" customWidth="1"/>
    <x:col min="6" max="6" width="34" hidden="0" customWidth="1"/>
    <x:col min="7" max="7" width="46" hidden="0" customWidth="1"/>
    <x:col min="8" max="8" width="12" hidden="0" customWidth="1"/>
    <x:col min="9" max="9" width="28" hidden="0" customWidth="1"/>
    <x:col min="10" max="10" width="68" hidden="0" customWidth="1"/>
    <x:col min="11" max="11" width="28" hidden="0" customWidth="1"/>
    <x:col min="12" max="12" width="12" hidden="0" customWidth="1"/>
    <x:col min="13" max="13" width="42" hidden="0" customWidth="1"/>
    <x:col min="14" max="14" width="52" hidden="0" customWidth="1"/>
    <x:col min="15" max="15" width="26" hidden="0" customWidth="1"/>
    <x:col min="16" max="16" width="52" hidden="0" customWidth="1"/>
  </x:cols>
  <x:sheetData>
    <x:row r="1" ht="34" customHeight="1">
      <x:c r="A1" s="64" t="str">
        <x:v>Episode</x:v>
      </x:c>
      <x:c r="B1" s="64" t="str">
        <x:v>Task</x:v>
      </x:c>
      <x:c r="C1" s="64" t="str">
        <x:v>Final Training Prompt</x:v>
      </x:c>
      <x:c r="D1" s="64" t="str">
        <x:v>Training Role</x:v>
      </x:c>
      <x:c r="E1" s="64" t="str">
        <x:v>Explicit Concept / Output</x:v>
      </x:c>
      <x:c r="F1" s="64" t="str">
        <x:v>Factor Key</x:v>
      </x:c>
      <x:c r="G1" s="64" t="str">
        <x:v>Held-Out Composition</x:v>
      </x:c>
      <x:c r="H1" s="64" t="str">
        <x:v>Recollect?</x:v>
      </x:c>
      <x:c r="I1" s="64" t="str">
        <x:v>Recollection Reason</x:v>
      </x:c>
      <x:c r="J1" s="64" t="str">
        <x:v>Planned Scene Setup / Objects</x:v>
      </x:c>
      <x:c r="K1" s="64" t="str">
        <x:v>Planned Target</x:v>
      </x:c>
      <x:c r="L1" s="64" t="str">
        <x:v>Start</x:v>
      </x:c>
      <x:c r="M1" s="64" t="str">
        <x:v>Source Prompt</x:v>
      </x:c>
      <x:c r="N1" s="64" t="str">
        <x:v>Source Scene / Objects</x:v>
      </x:c>
      <x:c r="O1" s="64" t="str">
        <x:v>Source Target</x:v>
      </x:c>
      <x:c r="P1" s="64" t="str">
        <x:v>Design Rationale</x:v>
      </x:c>
    </x:row>
    <x:row r="2" ht="58" customHeight="1">
      <x:c r="A2" s="99" t="n">
        <x:v>0</x:v>
      </x:c>
      <x:c r="B2" s="66" t="str">
        <x:v>State Recognition</x:v>
      </x:c>
      <x:c r="C2" s="66" t="str">
        <x:v>Place a white cup in the bowl.</x:v>
      </x:c>
      <x:c r="D2" s="66" t="str">
        <x:v>Clean state-masked replacement</x:v>
      </x:c>
      <x:c r="E2" s="66" t="str">
        <x:v>Unchanged in this revision</x:v>
      </x:c>
      <x:c r="F2" s="66" t="str">
        <x:v>state_unchanged</x:v>
      </x:c>
      <x:c r="G2" s="66" t="str">
        <x:v>State Recognition intentionally deferred for separate redesign discussion</x:v>
      </x:c>
      <x:c r="H2" s="66" t="str">
        <x:v>No</x:v>
      </x:c>
      <x:c r="I2" s="66" t="str"/>
      <x:c r="J2" s="66" t="str">
        <x:v>white cup B (O, UD) [target, P1]; yellow-white striped cup A (O, UR); brown cup A (C, UD); glass spice container B (C, UR)</x:v>
      </x:c>
      <x:c r="K2" s="66" t="str">
        <x:v>white cup B</x:v>
      </x:c>
      <x:c r="L2" s="66" t="str">
        <x:v>Recovery</x:v>
      </x:c>
      <x:c r="M2" s="66" t="str">
        <x:v>Place a white cup in the bowl.</x:v>
      </x:c>
      <x:c r="N2" s="66" t="str">
        <x:v>white cup B (O, UD) [target, P1]; yellow-white striped cup A (O, UR); brown cup A (C, UD); glass spice container B (C, UR)</x:v>
      </x:c>
      <x:c r="O2" s="66" t="str">
        <x:v>white cup B</x:v>
      </x:c>
      <x:c r="P2" s="67" t="str">
        <x:v>Copied unchanged from the latest manifest. This workbook does not endorse or revise the state-recognition design.</x:v>
      </x:c>
    </x:row>
    <x:row r="3" ht="58" customHeight="1">
      <x:c r="A3" s="100" t="n">
        <x:v>1</x:v>
      </x:c>
      <x:c r="B3" s="69" t="str">
        <x:v>State Recognition</x:v>
      </x:c>
      <x:c r="C3" s="69" t="str">
        <x:v>Put a white cup in the bowl.</x:v>
      </x:c>
      <x:c r="D3" s="69" t="str">
        <x:v>Clean state-masked replacement</x:v>
      </x:c>
      <x:c r="E3" s="69" t="str">
        <x:v>Unchanged in this revision</x:v>
      </x:c>
      <x:c r="F3" s="69" t="str">
        <x:v>state_unchanged</x:v>
      </x:c>
      <x:c r="G3" s="69" t="str">
        <x:v>State Recognition intentionally deferred for separate redesign discussion</x:v>
      </x:c>
      <x:c r="H3" s="69" t="str">
        <x:v>No</x:v>
      </x:c>
      <x:c r="I3" s="69" t="str"/>
      <x:c r="J3" s="69" t="str">
        <x:v>white cup B (O, UR) [target, P1]; yellow-white striped cup B (O, UD) [P2]; brown cup A (C, UR) [P3]; glass spice container B (O, UR) [P4]</x:v>
      </x:c>
      <x:c r="K3" s="69" t="str">
        <x:v>white cup B</x:v>
      </x:c>
      <x:c r="L3" s="69" t="str">
        <x:v>Home</x:v>
      </x:c>
      <x:c r="M3" s="69" t="str">
        <x:v>Put a white cup in the bowl.</x:v>
      </x:c>
      <x:c r="N3" s="69" t="str">
        <x:v>white cup B (O, UR) [target, P1]; yellow-white striped cup B (O, UD) [P2]; brown cup A (C, UR) [P3]; glass spice container B (O, UR) [P4]</x:v>
      </x:c>
      <x:c r="O3" s="69" t="str">
        <x:v>white cup B</x:v>
      </x:c>
      <x:c r="P3" s="70" t="str">
        <x:v>Copied unchanged from the latest manifest. This workbook does not endorse or revise the state-recognition design.</x:v>
      </x:c>
    </x:row>
    <x:row r="4" ht="58" customHeight="1">
      <x:c r="A4" s="100" t="n">
        <x:v>2</x:v>
      </x:c>
      <x:c r="B4" s="69" t="str">
        <x:v>State Recognition</x:v>
      </x:c>
      <x:c r="C4" s="69" t="str">
        <x:v>Move the open white cup into the bowl.</x:v>
      </x:c>
      <x:c r="D4" s="69" t="str">
        <x:v>Explicit seen-state grounding</x:v>
      </x:c>
      <x:c r="E4" s="69" t="str">
        <x:v>Unchanged in this revision</x:v>
      </x:c>
      <x:c r="F4" s="69" t="str">
        <x:v>state_unchanged</x:v>
      </x:c>
      <x:c r="G4" s="69" t="str">
        <x:v>State Recognition intentionally deferred for separate redesign discussion</x:v>
      </x:c>
      <x:c r="H4" s="69" t="str">
        <x:v>No</x:v>
      </x:c>
      <x:c r="I4" s="69" t="str"/>
      <x:c r="J4" s="69" t="str">
        <x:v>white cup A, white cup B, glass spice container A, yellow-white striped cup B</x:v>
      </x:c>
      <x:c r="K4" s="69" t="str">
        <x:v>white cup A</x:v>
      </x:c>
      <x:c r="L4" s="69" t="str">
        <x:v>Home</x:v>
      </x:c>
      <x:c r="M4" s="69" t="str">
        <x:v>Move the open white cup into the bowl.</x:v>
      </x:c>
      <x:c r="N4" s="69" t="str">
        <x:v>white cup A, white cup B, glass spice container A, yellow-white striped cup B</x:v>
      </x:c>
      <x:c r="O4" s="69" t="str">
        <x:v>white cup A</x:v>
      </x:c>
      <x:c r="P4" s="70" t="str">
        <x:v>Copied unchanged from the latest manifest. This workbook does not endorse or revise the state-recognition design.</x:v>
      </x:c>
    </x:row>
    <x:row r="5" ht="58" customHeight="1">
      <x:c r="A5" s="100" t="n">
        <x:v>3</x:v>
      </x:c>
      <x:c r="B5" s="69" t="str">
        <x:v>State Recognition</x:v>
      </x:c>
      <x:c r="C5" s="69" t="str">
        <x:v>Place a white cup in the bowl.</x:v>
      </x:c>
      <x:c r="D5" s="69" t="str">
        <x:v>Clean state-masked replacement</x:v>
      </x:c>
      <x:c r="E5" s="69" t="str">
        <x:v>Unchanged in this revision</x:v>
      </x:c>
      <x:c r="F5" s="69" t="str">
        <x:v>state_unchanged</x:v>
      </x:c>
      <x:c r="G5" s="69" t="str">
        <x:v>State Recognition intentionally deferred for separate redesign discussion</x:v>
      </x:c>
      <x:c r="H5" s="69" t="str">
        <x:v>No</x:v>
      </x:c>
      <x:c r="I5" s="69" t="str"/>
      <x:c r="J5" s="69" t="str">
        <x:v>white cup A (C, UR) [target, P2]; yellow-white striped cup B (C, UR); brown cup A (C, UD); glass spice container A (O, UR)</x:v>
      </x:c>
      <x:c r="K5" s="69" t="str">
        <x:v>white cup A</x:v>
      </x:c>
      <x:c r="L5" s="69" t="str">
        <x:v>Home</x:v>
      </x:c>
      <x:c r="M5" s="69" t="str">
        <x:v>Place a white cup in the bowl.</x:v>
      </x:c>
      <x:c r="N5" s="69" t="str">
        <x:v>white cup A (C, UR) [target, P2]; yellow-white striped cup B (C, UR); brown cup A (C, UD); glass spice container A (O, UR)</x:v>
      </x:c>
      <x:c r="O5" s="69" t="str">
        <x:v>white cup A</x:v>
      </x:c>
      <x:c r="P5" s="70" t="str">
        <x:v>Copied unchanged from the latest manifest. This workbook does not endorse or revise the state-recognition design.</x:v>
      </x:c>
    </x:row>
    <x:row r="6" ht="58" customHeight="1">
      <x:c r="A6" s="100" t="n">
        <x:v>4</x:v>
      </x:c>
      <x:c r="B6" s="69" t="str">
        <x:v>State Recognition</x:v>
      </x:c>
      <x:c r="C6" s="69" t="str">
        <x:v>Put a white cup in the bowl.</x:v>
      </x:c>
      <x:c r="D6" s="69" t="str">
        <x:v>Clean state-masked exposure</x:v>
      </x:c>
      <x:c r="E6" s="69" t="str">
        <x:v>Unchanged in this revision</x:v>
      </x:c>
      <x:c r="F6" s="69" t="str">
        <x:v>state_unchanged</x:v>
      </x:c>
      <x:c r="G6" s="69" t="str">
        <x:v>State Recognition intentionally deferred for separate redesign discussion</x:v>
      </x:c>
      <x:c r="H6" s="69" t="str">
        <x:v>No</x:v>
      </x:c>
      <x:c r="I6" s="69" t="str"/>
      <x:c r="J6" s="69" t="str">
        <x:v>white cup B, yellow-white striped cup A, brown cup A</x:v>
      </x:c>
      <x:c r="K6" s="69" t="str">
        <x:v>white cup B</x:v>
      </x:c>
      <x:c r="L6" s="69" t="str">
        <x:v>Home</x:v>
      </x:c>
      <x:c r="M6" s="69" t="str">
        <x:v>Put a white cup in the bowl.</x:v>
      </x:c>
      <x:c r="N6" s="69" t="str">
        <x:v>white cup B, yellow-white striped cup A, brown cup A</x:v>
      </x:c>
      <x:c r="O6" s="69" t="str">
        <x:v>white cup B</x:v>
      </x:c>
      <x:c r="P6" s="70" t="str">
        <x:v>Copied unchanged from the latest manifest. This workbook does not endorse or revise the state-recognition design.</x:v>
      </x:c>
    </x:row>
    <x:row r="7" ht="58" customHeight="1">
      <x:c r="A7" s="100" t="n">
        <x:v>5</x:v>
      </x:c>
      <x:c r="B7" s="69" t="str">
        <x:v>State Recognition</x:v>
      </x:c>
      <x:c r="C7" s="69" t="str">
        <x:v>Move a white cup into the bowl.</x:v>
      </x:c>
      <x:c r="D7" s="69" t="str">
        <x:v>Clean state-masked exposure</x:v>
      </x:c>
      <x:c r="E7" s="69" t="str">
        <x:v>Unchanged in this revision</x:v>
      </x:c>
      <x:c r="F7" s="69" t="str">
        <x:v>state_unchanged</x:v>
      </x:c>
      <x:c r="G7" s="69" t="str">
        <x:v>State Recognition intentionally deferred for separate redesign discussion</x:v>
      </x:c>
      <x:c r="H7" s="69" t="str">
        <x:v>No</x:v>
      </x:c>
      <x:c r="I7" s="69" t="str"/>
      <x:c r="J7" s="69" t="str">
        <x:v>white cup B, brown cup A, glass spice container A</x:v>
      </x:c>
      <x:c r="K7" s="69" t="str">
        <x:v>white cup B</x:v>
      </x:c>
      <x:c r="L7" s="69" t="str">
        <x:v>Home</x:v>
      </x:c>
      <x:c r="M7" s="69" t="str">
        <x:v>Move a white cup into the bowl.</x:v>
      </x:c>
      <x:c r="N7" s="69" t="str">
        <x:v>white cup B, brown cup A, glass spice container A</x:v>
      </x:c>
      <x:c r="O7" s="69" t="str">
        <x:v>white cup B</x:v>
      </x:c>
      <x:c r="P7" s="70" t="str">
        <x:v>Copied unchanged from the latest manifest. This workbook does not endorse or revise the state-recognition design.</x:v>
      </x:c>
    </x:row>
    <x:row r="8" ht="58" customHeight="1">
      <x:c r="A8" s="100" t="n">
        <x:v>6</x:v>
      </x:c>
      <x:c r="B8" s="69" t="str">
        <x:v>State Recognition</x:v>
      </x:c>
      <x:c r="C8" s="69" t="str">
        <x:v>Place a white cup in the bowl.</x:v>
      </x:c>
      <x:c r="D8" s="69" t="str">
        <x:v>Clean state-masked replacement</x:v>
      </x:c>
      <x:c r="E8" s="69" t="str">
        <x:v>Unchanged in this revision</x:v>
      </x:c>
      <x:c r="F8" s="69" t="str">
        <x:v>state_unchanged</x:v>
      </x:c>
      <x:c r="G8" s="69" t="str">
        <x:v>State Recognition intentionally deferred for separate redesign discussion</x:v>
      </x:c>
      <x:c r="H8" s="69" t="str">
        <x:v>No</x:v>
      </x:c>
      <x:c r="I8" s="69" t="str"/>
      <x:c r="J8" s="69" t="str">
        <x:v>white cup B (C, UD) [target, P2]; yellow-white striped cup A (C, UD) [P3]; brown cup B (O, UD) [P4]; glass spice container A (C, UR) [P1]</x:v>
      </x:c>
      <x:c r="K8" s="69" t="str">
        <x:v>white cup B</x:v>
      </x:c>
      <x:c r="L8" s="69" t="str">
        <x:v>Home</x:v>
      </x:c>
      <x:c r="M8" s="69" t="str">
        <x:v>Place a white cup in the bowl.</x:v>
      </x:c>
      <x:c r="N8" s="69" t="str">
        <x:v>white cup B (C, UD) [target, P2]; yellow-white striped cup A (C, UD) [P3]; brown cup B (O, UD) [P4]; glass spice container A (C, UR) [P1]</x:v>
      </x:c>
      <x:c r="O8" s="69" t="str">
        <x:v>white cup B</x:v>
      </x:c>
      <x:c r="P8" s="70" t="str">
        <x:v>Copied unchanged from the latest manifest. This workbook does not endorse or revise the state-recognition design.</x:v>
      </x:c>
    </x:row>
    <x:row r="9" ht="58" customHeight="1">
      <x:c r="A9" s="100" t="n">
        <x:v>7</x:v>
      </x:c>
      <x:c r="B9" s="69" t="str">
        <x:v>State Recognition</x:v>
      </x:c>
      <x:c r="C9" s="69" t="str">
        <x:v>Put a white cup in the bowl.</x:v>
      </x:c>
      <x:c r="D9" s="69" t="str">
        <x:v>Clean state-masked replacement</x:v>
      </x:c>
      <x:c r="E9" s="69" t="str">
        <x:v>Unchanged in this revision</x:v>
      </x:c>
      <x:c r="F9" s="69" t="str">
        <x:v>state_unchanged</x:v>
      </x:c>
      <x:c r="G9" s="69" t="str">
        <x:v>State Recognition intentionally deferred for separate redesign discussion</x:v>
      </x:c>
      <x:c r="H9" s="69" t="str">
        <x:v>No</x:v>
      </x:c>
      <x:c r="I9" s="69" t="str"/>
      <x:c r="J9" s="69" t="str">
        <x:v>white cup A (O, UD) [target, P3]; yellow-white striped cup B (O, UR) [P4]; brown cup A (C, UD) [P1]; glass spice container B (O, UD) [P2]</x:v>
      </x:c>
      <x:c r="K9" s="69" t="str">
        <x:v>white cup A</x:v>
      </x:c>
      <x:c r="L9" s="69" t="str">
        <x:v>Recovery</x:v>
      </x:c>
      <x:c r="M9" s="69" t="str">
        <x:v>Put a white cup in the bowl.</x:v>
      </x:c>
      <x:c r="N9" s="69" t="str">
        <x:v>white cup A (O, UD) [target, P3]; yellow-white striped cup B (O, UR) [P4]; brown cup A (C, UD) [P1]; glass spice container B (O, UD) [P2]</x:v>
      </x:c>
      <x:c r="O9" s="69" t="str">
        <x:v>white cup A</x:v>
      </x:c>
      <x:c r="P9" s="70" t="str">
        <x:v>Copied unchanged from the latest manifest. This workbook does not endorse or revise the state-recognition design.</x:v>
      </x:c>
    </x:row>
    <x:row r="10" ht="58" customHeight="1">
      <x:c r="A10" s="100" t="n">
        <x:v>8</x:v>
      </x:c>
      <x:c r="B10" s="69" t="str">
        <x:v>State Recognition</x:v>
      </x:c>
      <x:c r="C10" s="69" t="str">
        <x:v>Move a white cup into the bowl.</x:v>
      </x:c>
      <x:c r="D10" s="69" t="str">
        <x:v>Clean state-masked exposure</x:v>
      </x:c>
      <x:c r="E10" s="69" t="str">
        <x:v>Unchanged in this revision</x:v>
      </x:c>
      <x:c r="F10" s="69" t="str">
        <x:v>state_unchanged</x:v>
      </x:c>
      <x:c r="G10" s="69" t="str">
        <x:v>State Recognition intentionally deferred for separate redesign discussion</x:v>
      </x:c>
      <x:c r="H10" s="69" t="str">
        <x:v>No</x:v>
      </x:c>
      <x:c r="I10" s="69" t="str"/>
      <x:c r="J10" s="69" t="str">
        <x:v>white cup A, glass spice container A, yellow-white striped cup B, brown cup B</x:v>
      </x:c>
      <x:c r="K10" s="69" t="str">
        <x:v>white cup A</x:v>
      </x:c>
      <x:c r="L10" s="69" t="str">
        <x:v>Home</x:v>
      </x:c>
      <x:c r="M10" s="69" t="str">
        <x:v>Move a white cup into the bowl.</x:v>
      </x:c>
      <x:c r="N10" s="69" t="str">
        <x:v>white cup A, glass spice container A, yellow-white striped cup B, brown cup B</x:v>
      </x:c>
      <x:c r="O10" s="69" t="str">
        <x:v>white cup A</x:v>
      </x:c>
      <x:c r="P10" s="70" t="str">
        <x:v>Copied unchanged from the latest manifest. This workbook does not endorse or revise the state-recognition design.</x:v>
      </x:c>
    </x:row>
    <x:row r="11" ht="58" customHeight="1">
      <x:c r="A11" s="100" t="n">
        <x:v>9</x:v>
      </x:c>
      <x:c r="B11" s="69" t="str">
        <x:v>State Recognition</x:v>
      </x:c>
      <x:c r="C11" s="69" t="str">
        <x:v>Place a white cup in the bowl.</x:v>
      </x:c>
      <x:c r="D11" s="69" t="str">
        <x:v>Clean state-masked replacement</x:v>
      </x:c>
      <x:c r="E11" s="69" t="str">
        <x:v>Unchanged in this revision</x:v>
      </x:c>
      <x:c r="F11" s="69" t="str">
        <x:v>state_unchanged</x:v>
      </x:c>
      <x:c r="G11" s="69" t="str">
        <x:v>State Recognition intentionally deferred for separate redesign discussion</x:v>
      </x:c>
      <x:c r="H11" s="69" t="str">
        <x:v>No</x:v>
      </x:c>
      <x:c r="I11" s="69" t="str"/>
      <x:c r="J11" s="69" t="str">
        <x:v>white cup B (C, UR) [target, P3]; yellow-white striped cup A (O, UR); brown cup B (C, UD); glass spice container A (C, UD)</x:v>
      </x:c>
      <x:c r="K11" s="69" t="str">
        <x:v>white cup B</x:v>
      </x:c>
      <x:c r="L11" s="69" t="str">
        <x:v>Home</x:v>
      </x:c>
      <x:c r="M11" s="69" t="str">
        <x:v>Place a white cup in the bowl.</x:v>
      </x:c>
      <x:c r="N11" s="69" t="str">
        <x:v>white cup B (C, UR) [target, P3]; yellow-white striped cup A (O, UR); brown cup B (C, UD); glass spice container A (C, UD)</x:v>
      </x:c>
      <x:c r="O11" s="69" t="str">
        <x:v>white cup B</x:v>
      </x:c>
      <x:c r="P11" s="70" t="str">
        <x:v>Copied unchanged from the latest manifest. This workbook does not endorse or revise the state-recognition design.</x:v>
      </x:c>
    </x:row>
    <x:row r="12" ht="58" customHeight="1">
      <x:c r="A12" s="100" t="n">
        <x:v>10</x:v>
      </x:c>
      <x:c r="B12" s="69" t="str">
        <x:v>State Recognition</x:v>
      </x:c>
      <x:c r="C12" s="69" t="str">
        <x:v>Put a white cup in the bowl.</x:v>
      </x:c>
      <x:c r="D12" s="69" t="str">
        <x:v>Clean state-masked replacement</x:v>
      </x:c>
      <x:c r="E12" s="69" t="str">
        <x:v>Unchanged in this revision</x:v>
      </x:c>
      <x:c r="F12" s="69" t="str">
        <x:v>state_unchanged</x:v>
      </x:c>
      <x:c r="G12" s="69" t="str">
        <x:v>State Recognition intentionally deferred for separate redesign discussion</x:v>
      </x:c>
      <x:c r="H12" s="69" t="str">
        <x:v>No</x:v>
      </x:c>
      <x:c r="I12" s="69" t="str"/>
      <x:c r="J12" s="69" t="str">
        <x:v>white cup A (C, UR) [target, P4]; yellow-white striped cup A (C, UR) [P1]; brown cup B (O, UR) [P2]; glass spice container A (C, UD) [P3]</x:v>
      </x:c>
      <x:c r="K12" s="69" t="str">
        <x:v>white cup A</x:v>
      </x:c>
      <x:c r="L12" s="69" t="str">
        <x:v>Home</x:v>
      </x:c>
      <x:c r="M12" s="69" t="str">
        <x:v>Put a white cup in the bowl.</x:v>
      </x:c>
      <x:c r="N12" s="69" t="str">
        <x:v>white cup A (C, UR) [target, P4]; yellow-white striped cup A (C, UR) [P1]; brown cup B (O, UR) [P2]; glass spice container A (C, UD) [P3]</x:v>
      </x:c>
      <x:c r="O12" s="69" t="str">
        <x:v>white cup A</x:v>
      </x:c>
      <x:c r="P12" s="70" t="str">
        <x:v>Copied unchanged from the latest manifest. This workbook does not endorse or revise the state-recognition design.</x:v>
      </x:c>
    </x:row>
    <x:row r="13" ht="58" customHeight="1">
      <x:c r="A13" s="100" t="n">
        <x:v>11</x:v>
      </x:c>
      <x:c r="B13" s="69" t="str">
        <x:v>State Recognition</x:v>
      </x:c>
      <x:c r="C13" s="69" t="str">
        <x:v>Move the open white cup into the bowl.</x:v>
      </x:c>
      <x:c r="D13" s="69" t="str">
        <x:v>Explicit seen-state grounding</x:v>
      </x:c>
      <x:c r="E13" s="69" t="str">
        <x:v>Unchanged in this revision</x:v>
      </x:c>
      <x:c r="F13" s="69" t="str">
        <x:v>state_unchanged</x:v>
      </x:c>
      <x:c r="G13" s="69" t="str">
        <x:v>State Recognition intentionally deferred for separate redesign discussion</x:v>
      </x:c>
      <x:c r="H13" s="69" t="str">
        <x:v>No</x:v>
      </x:c>
      <x:c r="I13" s="69" t="str"/>
      <x:c r="J13" s="69" t="str">
        <x:v>white cup A, white cup B, glass spice container B</x:v>
      </x:c>
      <x:c r="K13" s="69" t="str">
        <x:v>white cup A</x:v>
      </x:c>
      <x:c r="L13" s="69" t="str">
        <x:v>Home</x:v>
      </x:c>
      <x:c r="M13" s="69" t="str">
        <x:v>Move the open white cup into the bowl.</x:v>
      </x:c>
      <x:c r="N13" s="69" t="str">
        <x:v>white cup A, white cup B, glass spice container B</x:v>
      </x:c>
      <x:c r="O13" s="69" t="str">
        <x:v>white cup A</x:v>
      </x:c>
      <x:c r="P13" s="70" t="str">
        <x:v>Copied unchanged from the latest manifest. This workbook does not endorse or revise the state-recognition design.</x:v>
      </x:c>
    </x:row>
    <x:row r="14" ht="58" customHeight="1">
      <x:c r="A14" s="100" t="n">
        <x:v>12</x:v>
      </x:c>
      <x:c r="B14" s="69" t="str">
        <x:v>State Recognition</x:v>
      </x:c>
      <x:c r="C14" s="69" t="str">
        <x:v>Place a white cup in the bowl.</x:v>
      </x:c>
      <x:c r="D14" s="69" t="str">
        <x:v>Clean state-masked replacement</x:v>
      </x:c>
      <x:c r="E14" s="69" t="str">
        <x:v>Unchanged in this revision</x:v>
      </x:c>
      <x:c r="F14" s="69" t="str">
        <x:v>state_unchanged</x:v>
      </x:c>
      <x:c r="G14" s="69" t="str">
        <x:v>State Recognition intentionally deferred for separate redesign discussion</x:v>
      </x:c>
      <x:c r="H14" s="69" t="str">
        <x:v>No</x:v>
      </x:c>
      <x:c r="I14" s="69" t="str"/>
      <x:c r="J14" s="69" t="str">
        <x:v>white cup A (O, UR) [target, P1]; yellow-white striped cup B (O, UD) [P3]; brown cup A (C, UR) [P4]; glass spice container B (O, UR) [P2]</x:v>
      </x:c>
      <x:c r="K14" s="69" t="str">
        <x:v>white cup A</x:v>
      </x:c>
      <x:c r="L14" s="69" t="str">
        <x:v>Home</x:v>
      </x:c>
      <x:c r="M14" s="69" t="str">
        <x:v>Place a white cup in the bowl.</x:v>
      </x:c>
      <x:c r="N14" s="69" t="str">
        <x:v>white cup A (O, UR) [target, P1]; yellow-white striped cup B (O, UD) [P3]; brown cup A (C, UR) [P4]; glass spice container B (O, UR) [P2]</x:v>
      </x:c>
      <x:c r="O14" s="69" t="str">
        <x:v>white cup A</x:v>
      </x:c>
      <x:c r="P14" s="70" t="str">
        <x:v>Copied unchanged from the latest manifest. This workbook does not endorse or revise the state-recognition design.</x:v>
      </x:c>
    </x:row>
    <x:row r="15" ht="58" customHeight="1">
      <x:c r="A15" s="100" t="n">
        <x:v>13</x:v>
      </x:c>
      <x:c r="B15" s="69" t="str">
        <x:v>State Recognition</x:v>
      </x:c>
      <x:c r="C15" s="69" t="str">
        <x:v>Put a white cup in the bowl.</x:v>
      </x:c>
      <x:c r="D15" s="69" t="str">
        <x:v>Clean state-masked exposure</x:v>
      </x:c>
      <x:c r="E15" s="69" t="str">
        <x:v>Unchanged in this revision</x:v>
      </x:c>
      <x:c r="F15" s="69" t="str">
        <x:v>state_unchanged</x:v>
      </x:c>
      <x:c r="G15" s="69" t="str">
        <x:v>State Recognition intentionally deferred for separate redesign discussion</x:v>
      </x:c>
      <x:c r="H15" s="69" t="str">
        <x:v>No</x:v>
      </x:c>
      <x:c r="I15" s="69" t="str"/>
      <x:c r="J15" s="69" t="str">
        <x:v>white cup B, yellow-white striped cup B, brown cup B</x:v>
      </x:c>
      <x:c r="K15" s="69" t="str">
        <x:v>white cup B</x:v>
      </x:c>
      <x:c r="L15" s="69" t="str">
        <x:v>Home</x:v>
      </x:c>
      <x:c r="M15" s="69" t="str">
        <x:v>Put a white cup in the bowl.</x:v>
      </x:c>
      <x:c r="N15" s="69" t="str">
        <x:v>white cup B, yellow-white striped cup B, brown cup B</x:v>
      </x:c>
      <x:c r="O15" s="69" t="str">
        <x:v>white cup B</x:v>
      </x:c>
      <x:c r="P15" s="70" t="str">
        <x:v>Copied unchanged from the latest manifest. This workbook does not endorse or revise the state-recognition design.</x:v>
      </x:c>
    </x:row>
    <x:row r="16" ht="58" customHeight="1">
      <x:c r="A16" s="100" t="n">
        <x:v>14</x:v>
      </x:c>
      <x:c r="B16" s="69" t="str">
        <x:v>State Recognition</x:v>
      </x:c>
      <x:c r="C16" s="69" t="str">
        <x:v>Move the open white cup into the bowl.</x:v>
      </x:c>
      <x:c r="D16" s="69" t="str">
        <x:v>Explicit seen-state grounding</x:v>
      </x:c>
      <x:c r="E16" s="69" t="str">
        <x:v>Unchanged in this revision</x:v>
      </x:c>
      <x:c r="F16" s="69" t="str">
        <x:v>state_unchanged</x:v>
      </x:c>
      <x:c r="G16" s="69" t="str">
        <x:v>State Recognition intentionally deferred for separate redesign discussion</x:v>
      </x:c>
      <x:c r="H16" s="69" t="str">
        <x:v>No</x:v>
      </x:c>
      <x:c r="I16" s="69" t="str"/>
      <x:c r="J16" s="69" t="str">
        <x:v>white cup B, white cup A, glass spice container A, yellow-white striped cup B</x:v>
      </x:c>
      <x:c r="K16" s="69" t="str">
        <x:v>white cup B</x:v>
      </x:c>
      <x:c r="L16" s="69" t="str">
        <x:v>Recovery</x:v>
      </x:c>
      <x:c r="M16" s="69" t="str">
        <x:v>Move the open white cup into the bowl.</x:v>
      </x:c>
      <x:c r="N16" s="69" t="str">
        <x:v>white cup B, white cup A, glass spice container A, yellow-white striped cup B</x:v>
      </x:c>
      <x:c r="O16" s="69" t="str">
        <x:v>white cup B</x:v>
      </x:c>
      <x:c r="P16" s="70" t="str">
        <x:v>Copied unchanged from the latest manifest. This workbook does not endorse or revise the state-recognition design.</x:v>
      </x:c>
    </x:row>
    <x:row r="17" ht="58" customHeight="1">
      <x:c r="A17" s="100" t="n">
        <x:v>15</x:v>
      </x:c>
      <x:c r="B17" s="69" t="str">
        <x:v>State Recognition</x:v>
      </x:c>
      <x:c r="C17" s="69" t="str">
        <x:v>Place a white cup in the bowl.</x:v>
      </x:c>
      <x:c r="D17" s="69" t="str">
        <x:v>Clean state-masked replacement</x:v>
      </x:c>
      <x:c r="E17" s="69" t="str">
        <x:v>Unchanged in this revision</x:v>
      </x:c>
      <x:c r="F17" s="69" t="str">
        <x:v>state_unchanged</x:v>
      </x:c>
      <x:c r="G17" s="69" t="str">
        <x:v>State Recognition intentionally deferred for separate redesign discussion</x:v>
      </x:c>
      <x:c r="H17" s="69" t="str">
        <x:v>No</x:v>
      </x:c>
      <x:c r="I17" s="69" t="str"/>
      <x:c r="J17" s="69" t="str">
        <x:v>white cup A (C, UD) [target, P2]; yellow-white striped cup A (C, UD) [P4]; brown cup B (O, UD) [P1]; glass spice container A (C, UR) [P3]</x:v>
      </x:c>
      <x:c r="K17" s="69" t="str">
        <x:v>white cup A</x:v>
      </x:c>
      <x:c r="L17" s="69" t="str">
        <x:v>Home</x:v>
      </x:c>
      <x:c r="M17" s="69" t="str">
        <x:v>Place a white cup in the bowl.</x:v>
      </x:c>
      <x:c r="N17" s="69" t="str">
        <x:v>white cup A (C, UD) [target, P2]; yellow-white striped cup A (C, UD) [P4]; brown cup B (O, UD) [P1]; glass spice container A (C, UR) [P3]</x:v>
      </x:c>
      <x:c r="O17" s="69" t="str">
        <x:v>white cup A</x:v>
      </x:c>
      <x:c r="P17" s="70" t="str">
        <x:v>Copied unchanged from the latest manifest. This workbook does not endorse or revise the state-recognition design.</x:v>
      </x:c>
    </x:row>
    <x:row r="18" ht="58" customHeight="1">
      <x:c r="A18" s="100" t="n">
        <x:v>16</x:v>
      </x:c>
      <x:c r="B18" s="69" t="str">
        <x:v>State Recognition</x:v>
      </x:c>
      <x:c r="C18" s="69" t="str">
        <x:v>Put a white cup in the bowl.</x:v>
      </x:c>
      <x:c r="D18" s="69" t="str">
        <x:v>Clean state-masked replacement</x:v>
      </x:c>
      <x:c r="E18" s="69" t="str">
        <x:v>Unchanged in this revision</x:v>
      </x:c>
      <x:c r="F18" s="69" t="str">
        <x:v>state_unchanged</x:v>
      </x:c>
      <x:c r="G18" s="69" t="str">
        <x:v>State Recognition intentionally deferred for separate redesign discussion</x:v>
      </x:c>
      <x:c r="H18" s="69" t="str">
        <x:v>No</x:v>
      </x:c>
      <x:c r="I18" s="69" t="str"/>
      <x:c r="J18" s="69" t="str">
        <x:v>white cup A (O, UD) [target, P3]; yellow-white striped cup B (O, UR) [P1]; brown cup A (C, UD) [P2]; glass spice container B (O, UD) [P4]</x:v>
      </x:c>
      <x:c r="K18" s="69" t="str">
        <x:v>white cup A</x:v>
      </x:c>
      <x:c r="L18" s="69" t="str">
        <x:v>Home</x:v>
      </x:c>
      <x:c r="M18" s="69" t="str">
        <x:v>Put a white cup in the bowl.</x:v>
      </x:c>
      <x:c r="N18" s="69" t="str">
        <x:v>white cup A (O, UD) [target, P3]; yellow-white striped cup B (O, UR) [P1]; brown cup A (C, UD) [P2]; glass spice container B (O, UD) [P4]</x:v>
      </x:c>
      <x:c r="O18" s="69" t="str">
        <x:v>white cup A</x:v>
      </x:c>
      <x:c r="P18" s="70" t="str">
        <x:v>Copied unchanged from the latest manifest. This workbook does not endorse or revise the state-recognition design.</x:v>
      </x:c>
    </x:row>
    <x:row r="19" ht="58" customHeight="1">
      <x:c r="A19" s="100" t="n">
        <x:v>17</x:v>
      </x:c>
      <x:c r="B19" s="69" t="str">
        <x:v>State Recognition</x:v>
      </x:c>
      <x:c r="C19" s="69" t="str">
        <x:v>Move a white cup into the bowl.</x:v>
      </x:c>
      <x:c r="D19" s="69" t="str">
        <x:v>Clean state-masked replacement</x:v>
      </x:c>
      <x:c r="E19" s="69" t="str">
        <x:v>Unchanged in this revision</x:v>
      </x:c>
      <x:c r="F19" s="69" t="str">
        <x:v>state_unchanged</x:v>
      </x:c>
      <x:c r="G19" s="69" t="str">
        <x:v>State Recognition intentionally deferred for separate redesign discussion</x:v>
      </x:c>
      <x:c r="H19" s="69" t="str">
        <x:v>No</x:v>
      </x:c>
      <x:c r="I19" s="69" t="str"/>
      <x:c r="J19" s="69" t="str">
        <x:v>white cup B (C, UD) [target, P4]; yellow-white striped cup B (C, UR); brown cup B (C, UD); glass spice container A (O, UR)</x:v>
      </x:c>
      <x:c r="K19" s="69" t="str">
        <x:v>white cup B</x:v>
      </x:c>
      <x:c r="L19" s="69" t="str">
        <x:v>Home</x:v>
      </x:c>
      <x:c r="M19" s="69" t="str">
        <x:v>Move a white cup into the bowl.</x:v>
      </x:c>
      <x:c r="N19" s="69" t="str">
        <x:v>white cup B (C, UD) [target, P4]; yellow-white striped cup B (C, UR); brown cup B (C, UD); glass spice container A (O, UR)</x:v>
      </x:c>
      <x:c r="O19" s="69" t="str">
        <x:v>white cup B</x:v>
      </x:c>
      <x:c r="P19" s="70" t="str">
        <x:v>Copied unchanged from the latest manifest. This workbook does not endorse or revise the state-recognition design.</x:v>
      </x:c>
    </x:row>
    <x:row r="20" ht="58" customHeight="1">
      <x:c r="A20" s="100" t="n">
        <x:v>18</x:v>
      </x:c>
      <x:c r="B20" s="69" t="str">
        <x:v>State Recognition</x:v>
      </x:c>
      <x:c r="C20" s="69" t="str">
        <x:v>Place a white cup in the bowl.</x:v>
      </x:c>
      <x:c r="D20" s="69" t="str">
        <x:v>Clean state-masked exposure</x:v>
      </x:c>
      <x:c r="E20" s="69" t="str">
        <x:v>Unchanged in this revision</x:v>
      </x:c>
      <x:c r="F20" s="69" t="str">
        <x:v>state_unchanged</x:v>
      </x:c>
      <x:c r="G20" s="69" t="str">
        <x:v>State Recognition intentionally deferred for separate redesign discussion</x:v>
      </x:c>
      <x:c r="H20" s="69" t="str">
        <x:v>No</x:v>
      </x:c>
      <x:c r="I20" s="69" t="str"/>
      <x:c r="J20" s="69" t="str">
        <x:v>white cup A, brown cup B, glass spice container B</x:v>
      </x:c>
      <x:c r="K20" s="69" t="str">
        <x:v>white cup A</x:v>
      </x:c>
      <x:c r="L20" s="69" t="str">
        <x:v>Home</x:v>
      </x:c>
      <x:c r="M20" s="69" t="str">
        <x:v>Place a white cup in the bowl.</x:v>
      </x:c>
      <x:c r="N20" s="69" t="str">
        <x:v>white cup A, brown cup B, glass spice container B</x:v>
      </x:c>
      <x:c r="O20" s="69" t="str">
        <x:v>white cup A</x:v>
      </x:c>
      <x:c r="P20" s="70" t="str">
        <x:v>Copied unchanged from the latest manifest. This workbook does not endorse or revise the state-recognition design.</x:v>
      </x:c>
    </x:row>
    <x:row r="21" ht="58" customHeight="1">
      <x:c r="A21" s="100" t="n">
        <x:v>19</x:v>
      </x:c>
      <x:c r="B21" s="69" t="str">
        <x:v>State Recognition</x:v>
      </x:c>
      <x:c r="C21" s="69" t="str">
        <x:v>Put the open white cup in the bowl.</x:v>
      </x:c>
      <x:c r="D21" s="69" t="str">
        <x:v>Explicit seen-state grounding</x:v>
      </x:c>
      <x:c r="E21" s="69" t="str">
        <x:v>Unchanged in this revision</x:v>
      </x:c>
      <x:c r="F21" s="69" t="str">
        <x:v>state_unchanged</x:v>
      </x:c>
      <x:c r="G21" s="69" t="str">
        <x:v>State Recognition intentionally deferred for separate redesign discussion</x:v>
      </x:c>
      <x:c r="H21" s="69" t="str">
        <x:v>No</x:v>
      </x:c>
      <x:c r="I21" s="69" t="str"/>
      <x:c r="J21" s="69" t="str">
        <x:v>white cup B, white cup A, brown cup B</x:v>
      </x:c>
      <x:c r="K21" s="69" t="str">
        <x:v>white cup B</x:v>
      </x:c>
      <x:c r="L21" s="69" t="str">
        <x:v>Recovery</x:v>
      </x:c>
      <x:c r="M21" s="69" t="str">
        <x:v>Put the open white cup in the bowl.</x:v>
      </x:c>
      <x:c r="N21" s="69" t="str">
        <x:v>white cup B, white cup A, brown cup B</x:v>
      </x:c>
      <x:c r="O21" s="69" t="str">
        <x:v>white cup B</x:v>
      </x:c>
      <x:c r="P21" s="70" t="str">
        <x:v>Copied unchanged from the latest manifest. This workbook does not endorse or revise the state-recognition design.</x:v>
      </x:c>
    </x:row>
    <x:row r="22" ht="58" customHeight="1">
      <x:c r="A22" s="100" t="n">
        <x:v>20</x:v>
      </x:c>
      <x:c r="B22" s="69" t="str">
        <x:v>State Recognition</x:v>
      </x:c>
      <x:c r="C22" s="69" t="str">
        <x:v>Move a white cup into the bowl.</x:v>
      </x:c>
      <x:c r="D22" s="69" t="str">
        <x:v>Clean state-masked exposure</x:v>
      </x:c>
      <x:c r="E22" s="69" t="str">
        <x:v>Unchanged in this revision</x:v>
      </x:c>
      <x:c r="F22" s="69" t="str">
        <x:v>state_unchanged</x:v>
      </x:c>
      <x:c r="G22" s="69" t="str">
        <x:v>State Recognition intentionally deferred for separate redesign discussion</x:v>
      </x:c>
      <x:c r="H22" s="69" t="str">
        <x:v>No</x:v>
      </x:c>
      <x:c r="I22" s="69" t="str"/>
      <x:c r="J22" s="69" t="str">
        <x:v>white cup A, glass spice container B, yellow-white striped cup A, brown cup A</x:v>
      </x:c>
      <x:c r="K22" s="69" t="str">
        <x:v>white cup A</x:v>
      </x:c>
      <x:c r="L22" s="69" t="str">
        <x:v>Home</x:v>
      </x:c>
      <x:c r="M22" s="69" t="str">
        <x:v>Move a white cup into the bowl.</x:v>
      </x:c>
      <x:c r="N22" s="69" t="str">
        <x:v>white cup A, glass spice container B, yellow-white striped cup A, brown cup A</x:v>
      </x:c>
      <x:c r="O22" s="69" t="str">
        <x:v>white cup A</x:v>
      </x:c>
      <x:c r="P22" s="70" t="str">
        <x:v>Copied unchanged from the latest manifest. This workbook does not endorse or revise the state-recognition design.</x:v>
      </x:c>
    </x:row>
    <x:row r="23" ht="58" customHeight="1">
      <x:c r="A23" s="100" t="n">
        <x:v>21</x:v>
      </x:c>
      <x:c r="B23" s="69" t="str">
        <x:v>State Recognition</x:v>
      </x:c>
      <x:c r="C23" s="69" t="str">
        <x:v>Place a white cup in the bowl.</x:v>
      </x:c>
      <x:c r="D23" s="69" t="str">
        <x:v>Clean state-masked replacement</x:v>
      </x:c>
      <x:c r="E23" s="69" t="str">
        <x:v>Unchanged in this revision</x:v>
      </x:c>
      <x:c r="F23" s="69" t="str">
        <x:v>state_unchanged</x:v>
      </x:c>
      <x:c r="G23" s="69" t="str">
        <x:v>State Recognition intentionally deferred for separate redesign discussion</x:v>
      </x:c>
      <x:c r="H23" s="69" t="str">
        <x:v>No</x:v>
      </x:c>
      <x:c r="I23" s="69" t="str"/>
      <x:c r="J23" s="69" t="str">
        <x:v>white cup B (O, UR) [target, P1]; yellow-white striped cup A (C, UD); brown cup A (O, UD); glass spice container A (C, UR)</x:v>
      </x:c>
      <x:c r="K23" s="69" t="str">
        <x:v>white cup B</x:v>
      </x:c>
      <x:c r="L23" s="69" t="str">
        <x:v>Home</x:v>
      </x:c>
      <x:c r="M23" s="69" t="str">
        <x:v>Place a white cup in the bowl.</x:v>
      </x:c>
      <x:c r="N23" s="69" t="str">
        <x:v>white cup B (O, UR) [target, P1]; yellow-white striped cup A (C, UD); brown cup A (O, UD); glass spice container A (C, UR)</x:v>
      </x:c>
      <x:c r="O23" s="69" t="str">
        <x:v>white cup B</x:v>
      </x:c>
      <x:c r="P23" s="70" t="str">
        <x:v>Copied unchanged from the latest manifest. This workbook does not endorse or revise the state-recognition design.</x:v>
      </x:c>
    </x:row>
    <x:row r="24" ht="58" customHeight="1">
      <x:c r="A24" s="100" t="n">
        <x:v>22</x:v>
      </x:c>
      <x:c r="B24" s="69" t="str">
        <x:v>State Recognition</x:v>
      </x:c>
      <x:c r="C24" s="69" t="str">
        <x:v>Put the open white cup in the bowl.</x:v>
      </x:c>
      <x:c r="D24" s="69" t="str">
        <x:v>Explicit seen-state grounding</x:v>
      </x:c>
      <x:c r="E24" s="69" t="str">
        <x:v>Unchanged in this revision</x:v>
      </x:c>
      <x:c r="F24" s="69" t="str">
        <x:v>state_unchanged</x:v>
      </x:c>
      <x:c r="G24" s="69" t="str">
        <x:v>State Recognition intentionally deferred for separate redesign discussion</x:v>
      </x:c>
      <x:c r="H24" s="69" t="str">
        <x:v>No</x:v>
      </x:c>
      <x:c r="I24" s="69" t="str"/>
      <x:c r="J24" s="69" t="str">
        <x:v>white cup B, white cup A, brown cup A, glass spice container B</x:v>
      </x:c>
      <x:c r="K24" s="69" t="str">
        <x:v>white cup B</x:v>
      </x:c>
      <x:c r="L24" s="69" t="str">
        <x:v>Home</x:v>
      </x:c>
      <x:c r="M24" s="69" t="str">
        <x:v>Put the open white cup in the bowl.</x:v>
      </x:c>
      <x:c r="N24" s="69" t="str">
        <x:v>white cup B, white cup A, brown cup A, glass spice container B</x:v>
      </x:c>
      <x:c r="O24" s="69" t="str">
        <x:v>white cup B</x:v>
      </x:c>
      <x:c r="P24" s="70" t="str">
        <x:v>Copied unchanged from the latest manifest. This workbook does not endorse or revise the state-recognition design.</x:v>
      </x:c>
    </x:row>
    <x:row r="25" ht="58" customHeight="1">
      <x:c r="A25" s="100" t="n">
        <x:v>23</x:v>
      </x:c>
      <x:c r="B25" s="69" t="str">
        <x:v>State Recognition</x:v>
      </x:c>
      <x:c r="C25" s="69" t="str">
        <x:v>Move a white cup into the bowl.</x:v>
      </x:c>
      <x:c r="D25" s="69" t="str">
        <x:v>Clean state-masked replacement</x:v>
      </x:c>
      <x:c r="E25" s="69" t="str">
        <x:v>Unchanged in this revision</x:v>
      </x:c>
      <x:c r="F25" s="69" t="str">
        <x:v>state_unchanged</x:v>
      </x:c>
      <x:c r="G25" s="69" t="str">
        <x:v>State Recognition intentionally deferred for separate redesign discussion</x:v>
      </x:c>
      <x:c r="H25" s="69" t="str">
        <x:v>No</x:v>
      </x:c>
      <x:c r="I25" s="69" t="str"/>
      <x:c r="J25" s="69" t="str">
        <x:v>white cup A (C, UR) [target, P2]; yellow-white striped cup B (C, UR); brown cup A (O, UR); glass spice container B (C, UD)</x:v>
      </x:c>
      <x:c r="K25" s="69" t="str">
        <x:v>white cup A</x:v>
      </x:c>
      <x:c r="L25" s="69" t="str">
        <x:v>Recovery</x:v>
      </x:c>
      <x:c r="M25" s="69" t="str">
        <x:v>Move a white cup into the bowl.</x:v>
      </x:c>
      <x:c r="N25" s="69" t="str">
        <x:v>white cup A (C, UR) [target, P2]; yellow-white striped cup B (C, UR); brown cup A (O, UR); glass spice container B (C, UD)</x:v>
      </x:c>
      <x:c r="O25" s="69" t="str">
        <x:v>white cup A</x:v>
      </x:c>
      <x:c r="P25" s="70" t="str">
        <x:v>Copied unchanged from the latest manifest. This workbook does not endorse or revise the state-recognition design.</x:v>
      </x:c>
    </x:row>
    <x:row r="26" ht="58" customHeight="1">
      <x:c r="A26" s="100" t="n">
        <x:v>24</x:v>
      </x:c>
      <x:c r="B26" s="69" t="str">
        <x:v>State Recognition</x:v>
      </x:c>
      <x:c r="C26" s="69" t="str">
        <x:v>Place a white cup in the bowl.</x:v>
      </x:c>
      <x:c r="D26" s="69" t="str">
        <x:v>Clean state-masked replacement</x:v>
      </x:c>
      <x:c r="E26" s="69" t="str">
        <x:v>Unchanged in this revision</x:v>
      </x:c>
      <x:c r="F26" s="69" t="str">
        <x:v>state_unchanged</x:v>
      </x:c>
      <x:c r="G26" s="69" t="str">
        <x:v>State Recognition intentionally deferred for separate redesign discussion</x:v>
      </x:c>
      <x:c r="H26" s="69" t="str">
        <x:v>No</x:v>
      </x:c>
      <x:c r="I26" s="69" t="str"/>
      <x:c r="J26" s="69" t="str">
        <x:v>white cup A (C, UR) [target, P4]; yellow-white striped cup A (C, UR) [P2]; brown cup B (O, UR) [P3]; glass spice container A (C, UD) [P1]</x:v>
      </x:c>
      <x:c r="K26" s="69" t="str">
        <x:v>white cup A</x:v>
      </x:c>
      <x:c r="L26" s="69" t="str">
        <x:v>Home</x:v>
      </x:c>
      <x:c r="M26" s="69" t="str">
        <x:v>Place a white cup in the bowl.</x:v>
      </x:c>
      <x:c r="N26" s="69" t="str">
        <x:v>white cup A (C, UR) [target, P4]; yellow-white striped cup A (C, UR) [P2]; brown cup B (O, UR) [P3]; glass spice container A (C, UD) [P1]</x:v>
      </x:c>
      <x:c r="O26" s="69" t="str">
        <x:v>white cup A</x:v>
      </x:c>
      <x:c r="P26" s="70" t="str">
        <x:v>Copied unchanged from the latest manifest. This workbook does not endorse or revise the state-recognition design.</x:v>
      </x:c>
    </x:row>
    <x:row r="27" ht="58" customHeight="1">
      <x:c r="A27" s="100" t="n">
        <x:v>25</x:v>
      </x:c>
      <x:c r="B27" s="69" t="str">
        <x:v>State Recognition</x:v>
      </x:c>
      <x:c r="C27" s="69" t="str">
        <x:v>Put a white cup in the bowl.</x:v>
      </x:c>
      <x:c r="D27" s="69" t="str">
        <x:v>Clean state-masked exposure</x:v>
      </x:c>
      <x:c r="E27" s="69" t="str">
        <x:v>Unchanged in this revision</x:v>
      </x:c>
      <x:c r="F27" s="69" t="str">
        <x:v>state_unchanged</x:v>
      </x:c>
      <x:c r="G27" s="69" t="str">
        <x:v>State Recognition intentionally deferred for separate redesign discussion</x:v>
      </x:c>
      <x:c r="H27" s="69" t="str">
        <x:v>No</x:v>
      </x:c>
      <x:c r="I27" s="69" t="str"/>
      <x:c r="J27" s="69" t="str">
        <x:v>white cup B, brown cup B, glass spice container B, yellow-white striped cup A</x:v>
      </x:c>
      <x:c r="K27" s="69" t="str">
        <x:v>white cup B</x:v>
      </x:c>
      <x:c r="L27" s="69" t="str">
        <x:v>Home</x:v>
      </x:c>
      <x:c r="M27" s="69" t="str">
        <x:v>Put a white cup in the bowl.</x:v>
      </x:c>
      <x:c r="N27" s="69" t="str">
        <x:v>white cup B, brown cup B, glass spice container B, yellow-white striped cup A</x:v>
      </x:c>
      <x:c r="O27" s="69" t="str">
        <x:v>white cup B</x:v>
      </x:c>
      <x:c r="P27" s="70" t="str">
        <x:v>Copied unchanged from the latest manifest. This workbook does not endorse or revise the state-recognition design.</x:v>
      </x:c>
    </x:row>
    <x:row r="28" ht="58" customHeight="1">
      <x:c r="A28" s="100" t="n">
        <x:v>26</x:v>
      </x:c>
      <x:c r="B28" s="69" t="str">
        <x:v>State Recognition</x:v>
      </x:c>
      <x:c r="C28" s="69" t="str">
        <x:v>Move the open white cup into the bowl.</x:v>
      </x:c>
      <x:c r="D28" s="69" t="str">
        <x:v>Explicit seen-state grounding</x:v>
      </x:c>
      <x:c r="E28" s="69" t="str">
        <x:v>Unchanged in this revision</x:v>
      </x:c>
      <x:c r="F28" s="69" t="str">
        <x:v>state_unchanged</x:v>
      </x:c>
      <x:c r="G28" s="69" t="str">
        <x:v>State Recognition intentionally deferred for separate redesign discussion</x:v>
      </x:c>
      <x:c r="H28" s="69" t="str">
        <x:v>No</x:v>
      </x:c>
      <x:c r="I28" s="69" t="str"/>
      <x:c r="J28" s="69" t="str">
        <x:v>white cup A, white cup B, yellow-white striped cup A, brown cup B</x:v>
      </x:c>
      <x:c r="K28" s="69" t="str">
        <x:v>white cup A</x:v>
      </x:c>
      <x:c r="L28" s="69" t="str">
        <x:v>Home</x:v>
      </x:c>
      <x:c r="M28" s="69" t="str">
        <x:v>Move the open white cup into the bowl.</x:v>
      </x:c>
      <x:c r="N28" s="69" t="str">
        <x:v>white cup A, white cup B, yellow-white striped cup A, brown cup B</x:v>
      </x:c>
      <x:c r="O28" s="69" t="str">
        <x:v>white cup A</x:v>
      </x:c>
      <x:c r="P28" s="70" t="str">
        <x:v>Copied unchanged from the latest manifest. This workbook does not endorse or revise the state-recognition design.</x:v>
      </x:c>
    </x:row>
    <x:row r="29" ht="58" customHeight="1">
      <x:c r="A29" s="100" t="n">
        <x:v>27</x:v>
      </x:c>
      <x:c r="B29" s="69" t="str">
        <x:v>State Recognition</x:v>
      </x:c>
      <x:c r="C29" s="69" t="str">
        <x:v>Place a white cup in the bowl.</x:v>
      </x:c>
      <x:c r="D29" s="69" t="str">
        <x:v>Clean state-masked replacement</x:v>
      </x:c>
      <x:c r="E29" s="69" t="str">
        <x:v>Unchanged in this revision</x:v>
      </x:c>
      <x:c r="F29" s="69" t="str">
        <x:v>state_unchanged</x:v>
      </x:c>
      <x:c r="G29" s="69" t="str">
        <x:v>State Recognition intentionally deferred for separate redesign discussion</x:v>
      </x:c>
      <x:c r="H29" s="69" t="str">
        <x:v>No</x:v>
      </x:c>
      <x:c r="I29" s="69" t="str"/>
      <x:c r="J29" s="69" t="str">
        <x:v>white cup B (O, UR) [target, P1]; yellow-white striped cup B (O, UD) [P4]; brown cup A (C, UR) [P2]; glass spice container B (O, UR) [P3]</x:v>
      </x:c>
      <x:c r="K29" s="69" t="str">
        <x:v>white cup B</x:v>
      </x:c>
      <x:c r="L29" s="69" t="str">
        <x:v>Home</x:v>
      </x:c>
      <x:c r="M29" s="69" t="str">
        <x:v>Place a white cup in the bowl.</x:v>
      </x:c>
      <x:c r="N29" s="69" t="str">
        <x:v>white cup B (O, UR) [target, P1]; yellow-white striped cup B (O, UD) [P4]; brown cup A (C, UR) [P2]; glass spice container B (O, UR) [P3]</x:v>
      </x:c>
      <x:c r="O29" s="69" t="str">
        <x:v>white cup B</x:v>
      </x:c>
      <x:c r="P29" s="70" t="str">
        <x:v>Copied unchanged from the latest manifest. This workbook does not endorse or revise the state-recognition design.</x:v>
      </x:c>
    </x:row>
    <x:row r="30" ht="58" customHeight="1">
      <x:c r="A30" s="100" t="n">
        <x:v>28</x:v>
      </x:c>
      <x:c r="B30" s="69" t="str">
        <x:v>State Recognition</x:v>
      </x:c>
      <x:c r="C30" s="69" t="str">
        <x:v>Put a white cup in the bowl.</x:v>
      </x:c>
      <x:c r="D30" s="69" t="str">
        <x:v>Clean state-masked replacement</x:v>
      </x:c>
      <x:c r="E30" s="69" t="str">
        <x:v>Unchanged in this revision</x:v>
      </x:c>
      <x:c r="F30" s="69" t="str">
        <x:v>state_unchanged</x:v>
      </x:c>
      <x:c r="G30" s="69" t="str">
        <x:v>State Recognition intentionally deferred for separate redesign discussion</x:v>
      </x:c>
      <x:c r="H30" s="69" t="str">
        <x:v>No</x:v>
      </x:c>
      <x:c r="I30" s="69" t="str"/>
      <x:c r="J30" s="69" t="str">
        <x:v>white cup B (C, UD) [target, P2]; yellow-white striped cup A (C, UD) [P1]; brown cup B (O, UD) [P3]; glass spice container A (C, UR) [P4]</x:v>
      </x:c>
      <x:c r="K30" s="69" t="str">
        <x:v>white cup B</x:v>
      </x:c>
      <x:c r="L30" s="69" t="str">
        <x:v>Recovery</x:v>
      </x:c>
      <x:c r="M30" s="69" t="str">
        <x:v>Put a white cup in the bowl.</x:v>
      </x:c>
      <x:c r="N30" s="69" t="str">
        <x:v>white cup B (C, UD) [target, P2]; yellow-white striped cup A (C, UD) [P1]; brown cup B (O, UD) [P3]; glass spice container A (C, UR) [P4]</x:v>
      </x:c>
      <x:c r="O30" s="69" t="str">
        <x:v>white cup B</x:v>
      </x:c>
      <x:c r="P30" s="70" t="str">
        <x:v>Copied unchanged from the latest manifest. This workbook does not endorse or revise the state-recognition design.</x:v>
      </x:c>
    </x:row>
    <x:row r="31" ht="58" customHeight="1">
      <x:c r="A31" s="100" t="n">
        <x:v>29</x:v>
      </x:c>
      <x:c r="B31" s="69" t="str">
        <x:v>State Recognition</x:v>
      </x:c>
      <x:c r="C31" s="69" t="str">
        <x:v>Move the upside-down white cup into the bowl.</x:v>
      </x:c>
      <x:c r="D31" s="69" t="str">
        <x:v>Explicit seen-state grounding</x:v>
      </x:c>
      <x:c r="E31" s="69" t="str">
        <x:v>Unchanged in this revision</x:v>
      </x:c>
      <x:c r="F31" s="69" t="str">
        <x:v>state_unchanged</x:v>
      </x:c>
      <x:c r="G31" s="69" t="str">
        <x:v>State Recognition intentionally deferred for separate redesign discussion</x:v>
      </x:c>
      <x:c r="H31" s="69" t="str">
        <x:v>No</x:v>
      </x:c>
      <x:c r="I31" s="69" t="str"/>
      <x:c r="J31" s="69" t="str">
        <x:v>white cup A, white cup B, yellow-white striped cup B</x:v>
      </x:c>
      <x:c r="K31" s="69" t="str">
        <x:v>white cup A</x:v>
      </x:c>
      <x:c r="L31" s="69" t="str">
        <x:v>Home</x:v>
      </x:c>
      <x:c r="M31" s="69" t="str">
        <x:v>Move the upside-down white cup into the bowl.</x:v>
      </x:c>
      <x:c r="N31" s="69" t="str">
        <x:v>white cup A, white cup B, yellow-white striped cup B</x:v>
      </x:c>
      <x:c r="O31" s="69" t="str">
        <x:v>white cup A</x:v>
      </x:c>
      <x:c r="P31" s="70" t="str">
        <x:v>Copied unchanged from the latest manifest. This workbook does not endorse or revise the state-recognition design.</x:v>
      </x:c>
    </x:row>
    <x:row r="32" ht="58" customHeight="1">
      <x:c r="A32" s="100" t="n">
        <x:v>30</x:v>
      </x:c>
      <x:c r="B32" s="69" t="str">
        <x:v>State Recognition</x:v>
      </x:c>
      <x:c r="C32" s="69" t="str">
        <x:v>Place a white cup in the bowl.</x:v>
      </x:c>
      <x:c r="D32" s="69" t="str">
        <x:v>Clean state-masked exposure</x:v>
      </x:c>
      <x:c r="E32" s="69" t="str">
        <x:v>Unchanged in this revision</x:v>
      </x:c>
      <x:c r="F32" s="69" t="str">
        <x:v>state_unchanged</x:v>
      </x:c>
      <x:c r="G32" s="69" t="str">
        <x:v>State Recognition intentionally deferred for separate redesign discussion</x:v>
      </x:c>
      <x:c r="H32" s="69" t="str">
        <x:v>No</x:v>
      </x:c>
      <x:c r="I32" s="69" t="str"/>
      <x:c r="J32" s="69" t="str">
        <x:v>white cup A, glass spice container B, yellow-white striped cup A, brown cup A</x:v>
      </x:c>
      <x:c r="K32" s="69" t="str">
        <x:v>white cup A</x:v>
      </x:c>
      <x:c r="L32" s="69" t="str">
        <x:v>Home</x:v>
      </x:c>
      <x:c r="M32" s="69" t="str">
        <x:v>Place a white cup in the bowl.</x:v>
      </x:c>
      <x:c r="N32" s="69" t="str">
        <x:v>white cup A, glass spice container B, yellow-white striped cup A, brown cup A</x:v>
      </x:c>
      <x:c r="O32" s="69" t="str">
        <x:v>white cup A</x:v>
      </x:c>
      <x:c r="P32" s="70" t="str">
        <x:v>Copied unchanged from the latest manifest. This workbook does not endorse or revise the state-recognition design.</x:v>
      </x:c>
    </x:row>
    <x:row r="33" ht="58" customHeight="1">
      <x:c r="A33" s="100" t="n">
        <x:v>31</x:v>
      </x:c>
      <x:c r="B33" s="69" t="str">
        <x:v>State Recognition</x:v>
      </x:c>
      <x:c r="C33" s="69" t="str">
        <x:v>Put a white cup in the bowl.</x:v>
      </x:c>
      <x:c r="D33" s="69" t="str">
        <x:v>Clean state-masked replacement</x:v>
      </x:c>
      <x:c r="E33" s="69" t="str">
        <x:v>Unchanged in this revision</x:v>
      </x:c>
      <x:c r="F33" s="69" t="str">
        <x:v>state_unchanged</x:v>
      </x:c>
      <x:c r="G33" s="69" t="str">
        <x:v>State Recognition intentionally deferred for separate redesign discussion</x:v>
      </x:c>
      <x:c r="H33" s="69" t="str">
        <x:v>No</x:v>
      </x:c>
      <x:c r="I33" s="69" t="str"/>
      <x:c r="J33" s="69" t="str">
        <x:v>white cup B (O, UD) [target, P3]; yellow-white striped cup A (O, UD); brown cup B (C, UR); glass spice container B (O, UD)</x:v>
      </x:c>
      <x:c r="K33" s="69" t="str">
        <x:v>white cup B</x:v>
      </x:c>
      <x:c r="L33" s="69" t="str">
        <x:v>Home</x:v>
      </x:c>
      <x:c r="M33" s="69" t="str">
        <x:v>Put a white cup in the bowl.</x:v>
      </x:c>
      <x:c r="N33" s="69" t="str">
        <x:v>white cup B (O, UD) [target, P3]; yellow-white striped cup A (O, UD); brown cup B (C, UR); glass spice container B (O, UD)</x:v>
      </x:c>
      <x:c r="O33" s="69" t="str">
        <x:v>white cup B</x:v>
      </x:c>
      <x:c r="P33" s="70" t="str">
        <x:v>Copied unchanged from the latest manifest. This workbook does not endorse or revise the state-recognition design.</x:v>
      </x:c>
    </x:row>
    <x:row r="34" ht="58" customHeight="1">
      <x:c r="A34" s="100" t="n">
        <x:v>32</x:v>
      </x:c>
      <x:c r="B34" s="69" t="str">
        <x:v>State Recognition</x:v>
      </x:c>
      <x:c r="C34" s="69" t="str">
        <x:v>Move a white cup into the bowl.</x:v>
      </x:c>
      <x:c r="D34" s="69" t="str">
        <x:v>Clean state-masked replacement</x:v>
      </x:c>
      <x:c r="E34" s="69" t="str">
        <x:v>Unchanged in this revision</x:v>
      </x:c>
      <x:c r="F34" s="69" t="str">
        <x:v>state_unchanged</x:v>
      </x:c>
      <x:c r="G34" s="69" t="str">
        <x:v>State Recognition intentionally deferred for separate redesign discussion</x:v>
      </x:c>
      <x:c r="H34" s="69" t="str">
        <x:v>No</x:v>
      </x:c>
      <x:c r="I34" s="69" t="str"/>
      <x:c r="J34" s="69" t="str">
        <x:v>white cup A (O, UD) [target, P3]; yellow-white striped cup B (O, UR) [P2]; brown cup A (C, UD) [P4]; glass spice container B (O, UD) [P1]</x:v>
      </x:c>
      <x:c r="K34" s="69" t="str">
        <x:v>white cup A</x:v>
      </x:c>
      <x:c r="L34" s="69" t="str">
        <x:v>Home</x:v>
      </x:c>
      <x:c r="M34" s="69" t="str">
        <x:v>Move a white cup into the bowl.</x:v>
      </x:c>
      <x:c r="N34" s="69" t="str">
        <x:v>white cup A (O, UD) [target, P3]; yellow-white striped cup B (O, UR) [P2]; brown cup A (C, UD) [P4]; glass spice container B (O, UD) [P1]</x:v>
      </x:c>
      <x:c r="O34" s="69" t="str">
        <x:v>white cup A</x:v>
      </x:c>
      <x:c r="P34" s="70" t="str">
        <x:v>Copied unchanged from the latest manifest. This workbook does not endorse or revise the state-recognition design.</x:v>
      </x:c>
    </x:row>
    <x:row r="35" ht="58" customHeight="1">
      <x:c r="A35" s="100" t="n">
        <x:v>33</x:v>
      </x:c>
      <x:c r="B35" s="69" t="str">
        <x:v>State Recognition</x:v>
      </x:c>
      <x:c r="C35" s="69" t="str">
        <x:v>Place a white cup in the bowl.</x:v>
      </x:c>
      <x:c r="D35" s="69" t="str">
        <x:v>Clean state-masked replacement</x:v>
      </x:c>
      <x:c r="E35" s="69" t="str">
        <x:v>Unchanged in this revision</x:v>
      </x:c>
      <x:c r="F35" s="69" t="str">
        <x:v>state_unchanged</x:v>
      </x:c>
      <x:c r="G35" s="69" t="str">
        <x:v>State Recognition intentionally deferred for separate redesign discussion</x:v>
      </x:c>
      <x:c r="H35" s="69" t="str">
        <x:v>No</x:v>
      </x:c>
      <x:c r="I35" s="69" t="str"/>
      <x:c r="J35" s="69" t="str">
        <x:v>white cup A (C, UR) [target, P4]; yellow-white striped cup A (C, UR) [P3]; brown cup B (O, UR) [P1]; glass spice container A (C, UD) [P2]</x:v>
      </x:c>
      <x:c r="K35" s="69" t="str">
        <x:v>white cup A</x:v>
      </x:c>
      <x:c r="L35" s="69" t="str">
        <x:v>Home</x:v>
      </x:c>
      <x:c r="M35" s="69" t="str">
        <x:v>Place a white cup in the bowl.</x:v>
      </x:c>
      <x:c r="N35" s="69" t="str">
        <x:v>white cup A (C, UR) [target, P4]; yellow-white striped cup A (C, UR) [P3]; brown cup B (O, UR) [P1]; glass spice container A (C, UD) [P2]</x:v>
      </x:c>
      <x:c r="O35" s="69" t="str">
        <x:v>white cup A</x:v>
      </x:c>
      <x:c r="P35" s="70" t="str">
        <x:v>Copied unchanged from the latest manifest. This workbook does not endorse or revise the state-recognition design.</x:v>
      </x:c>
    </x:row>
    <x:row r="36" ht="58" customHeight="1">
      <x:c r="A36" s="100" t="n">
        <x:v>34</x:v>
      </x:c>
      <x:c r="B36" s="69" t="str">
        <x:v>State Recognition</x:v>
      </x:c>
      <x:c r="C36" s="69" t="str">
        <x:v>Put the upside-down white cup in the bowl.</x:v>
      </x:c>
      <x:c r="D36" s="69" t="str">
        <x:v>Explicit seen-state grounding</x:v>
      </x:c>
      <x:c r="E36" s="69" t="str">
        <x:v>Unchanged in this revision</x:v>
      </x:c>
      <x:c r="F36" s="69" t="str">
        <x:v>state_unchanged</x:v>
      </x:c>
      <x:c r="G36" s="69" t="str">
        <x:v>State Recognition intentionally deferred for separate redesign discussion</x:v>
      </x:c>
      <x:c r="H36" s="69" t="str">
        <x:v>No</x:v>
      </x:c>
      <x:c r="I36" s="69" t="str"/>
      <x:c r="J36" s="69" t="str">
        <x:v>white cup B, white cup A, glass spice container A</x:v>
      </x:c>
      <x:c r="K36" s="69" t="str">
        <x:v>white cup B</x:v>
      </x:c>
      <x:c r="L36" s="69" t="str">
        <x:v>Recovery</x:v>
      </x:c>
      <x:c r="M36" s="69" t="str">
        <x:v>Put the upside-down white cup in the bowl.</x:v>
      </x:c>
      <x:c r="N36" s="69" t="str">
        <x:v>white cup B, white cup A, glass spice container A</x:v>
      </x:c>
      <x:c r="O36" s="69" t="str">
        <x:v>white cup B</x:v>
      </x:c>
      <x:c r="P36" s="70" t="str">
        <x:v>Copied unchanged from the latest manifest. This workbook does not endorse or revise the state-recognition design.</x:v>
      </x:c>
    </x:row>
    <x:row r="37" ht="58" customHeight="1">
      <x:c r="A37" s="100" t="n">
        <x:v>35</x:v>
      </x:c>
      <x:c r="B37" s="69" t="str">
        <x:v>State Recognition</x:v>
      </x:c>
      <x:c r="C37" s="69" t="str">
        <x:v>Move a white cup into the bowl.</x:v>
      </x:c>
      <x:c r="D37" s="69" t="str">
        <x:v>Clean state-masked replacement</x:v>
      </x:c>
      <x:c r="E37" s="69" t="str">
        <x:v>Unchanged in this revision</x:v>
      </x:c>
      <x:c r="F37" s="69" t="str">
        <x:v>state_unchanged</x:v>
      </x:c>
      <x:c r="G37" s="69" t="str">
        <x:v>State Recognition intentionally deferred for separate redesign discussion</x:v>
      </x:c>
      <x:c r="H37" s="69" t="str">
        <x:v>No</x:v>
      </x:c>
      <x:c r="I37" s="69" t="str"/>
      <x:c r="J37" s="69" t="str">
        <x:v>white cup A (C, UD) [target, P4]; yellow-white striped cup B (C, UR); brown cup B (O, UD); glass spice container B (C, UR)</x:v>
      </x:c>
      <x:c r="K37" s="69" t="str">
        <x:v>white cup A</x:v>
      </x:c>
      <x:c r="L37" s="69" t="str">
        <x:v>Home</x:v>
      </x:c>
      <x:c r="M37" s="69" t="str">
        <x:v>Move a white cup into the bowl.</x:v>
      </x:c>
      <x:c r="N37" s="69" t="str">
        <x:v>white cup A (C, UD) [target, P4]; yellow-white striped cup B (C, UR); brown cup B (O, UD); glass spice container B (C, UR)</x:v>
      </x:c>
      <x:c r="O37" s="69" t="str">
        <x:v>white cup A</x:v>
      </x:c>
      <x:c r="P37" s="70" t="str">
        <x:v>Copied unchanged from the latest manifest. This workbook does not endorse or revise the state-recognition design.</x:v>
      </x:c>
    </x:row>
    <x:row r="38" ht="58" customHeight="1">
      <x:c r="A38" s="100" t="n">
        <x:v>36</x:v>
      </x:c>
      <x:c r="B38" s="69" t="str">
        <x:v>State Recognition</x:v>
      </x:c>
      <x:c r="C38" s="69" t="str">
        <x:v>Place a white cup in the bowl.</x:v>
      </x:c>
      <x:c r="D38" s="69" t="str">
        <x:v>Clean state-masked exposure</x:v>
      </x:c>
      <x:c r="E38" s="69" t="str">
        <x:v>Unchanged in this revision</x:v>
      </x:c>
      <x:c r="F38" s="69" t="str">
        <x:v>state_unchanged</x:v>
      </x:c>
      <x:c r="G38" s="69" t="str">
        <x:v>State Recognition intentionally deferred for separate redesign discussion</x:v>
      </x:c>
      <x:c r="H38" s="69" t="str">
        <x:v>No</x:v>
      </x:c>
      <x:c r="I38" s="69" t="str"/>
      <x:c r="J38" s="69" t="str">
        <x:v>white cup B, yellow-white striped cup A, brown cup A</x:v>
      </x:c>
      <x:c r="K38" s="69" t="str">
        <x:v>white cup B</x:v>
      </x:c>
      <x:c r="L38" s="69" t="str">
        <x:v>Home</x:v>
      </x:c>
      <x:c r="M38" s="69" t="str">
        <x:v>Place a white cup in the bowl.</x:v>
      </x:c>
      <x:c r="N38" s="69" t="str">
        <x:v>white cup B, yellow-white striped cup A, brown cup A</x:v>
      </x:c>
      <x:c r="O38" s="69" t="str">
        <x:v>white cup B</x:v>
      </x:c>
      <x:c r="P38" s="70" t="str">
        <x:v>Copied unchanged from the latest manifest. This workbook does not endorse or revise the state-recognition design.</x:v>
      </x:c>
    </x:row>
    <x:row r="39" ht="58" customHeight="1">
      <x:c r="A39" s="100" t="n">
        <x:v>37</x:v>
      </x:c>
      <x:c r="B39" s="69" t="str">
        <x:v>State Recognition</x:v>
      </x:c>
      <x:c r="C39" s="69" t="str">
        <x:v>Put a white cup in the bowl.</x:v>
      </x:c>
      <x:c r="D39" s="69" t="str">
        <x:v>Clean state-masked exposure</x:v>
      </x:c>
      <x:c r="E39" s="69" t="str">
        <x:v>Unchanged in this revision</x:v>
      </x:c>
      <x:c r="F39" s="69" t="str">
        <x:v>state_unchanged</x:v>
      </x:c>
      <x:c r="G39" s="69" t="str">
        <x:v>State Recognition intentionally deferred for separate redesign discussion</x:v>
      </x:c>
      <x:c r="H39" s="69" t="str">
        <x:v>No</x:v>
      </x:c>
      <x:c r="I39" s="69" t="str"/>
      <x:c r="J39" s="69" t="str">
        <x:v>white cup A, brown cup A, glass spice container A, yellow-white striped cup B</x:v>
      </x:c>
      <x:c r="K39" s="69" t="str">
        <x:v>white cup A</x:v>
      </x:c>
      <x:c r="L39" s="69" t="str">
        <x:v>Recovery</x:v>
      </x:c>
      <x:c r="M39" s="69" t="str">
        <x:v>Put a white cup in the bowl.</x:v>
      </x:c>
      <x:c r="N39" s="69" t="str">
        <x:v>white cup A, brown cup A, glass spice container A, yellow-white striped cup B</x:v>
      </x:c>
      <x:c r="O39" s="69" t="str">
        <x:v>white cup A</x:v>
      </x:c>
      <x:c r="P39" s="70" t="str">
        <x:v>Copied unchanged from the latest manifest. This workbook does not endorse or revise the state-recognition design.</x:v>
      </x:c>
    </x:row>
    <x:row r="40" ht="58" customHeight="1">
      <x:c r="A40" s="100" t="n">
        <x:v>38</x:v>
      </x:c>
      <x:c r="B40" s="69" t="str">
        <x:v>State Recognition</x:v>
      </x:c>
      <x:c r="C40" s="69" t="str">
        <x:v>Move a white cup into the bowl.</x:v>
      </x:c>
      <x:c r="D40" s="69" t="str">
        <x:v>Clean state-masked replacement</x:v>
      </x:c>
      <x:c r="E40" s="69" t="str">
        <x:v>Unchanged in this revision</x:v>
      </x:c>
      <x:c r="F40" s="69" t="str">
        <x:v>state_unchanged</x:v>
      </x:c>
      <x:c r="G40" s="69" t="str">
        <x:v>State Recognition intentionally deferred for separate redesign discussion</x:v>
      </x:c>
      <x:c r="H40" s="69" t="str">
        <x:v>No</x:v>
      </x:c>
      <x:c r="I40" s="69" t="str"/>
      <x:c r="J40" s="69" t="str">
        <x:v>white cup B (O, UR) [target, P1]; yellow-white striped cup B (O, UD) [P2]; brown cup A (C, UR) [P3]; glass spice container B (O, UR) [P4]</x:v>
      </x:c>
      <x:c r="K40" s="69" t="str">
        <x:v>white cup B</x:v>
      </x:c>
      <x:c r="L40" s="69" t="str">
        <x:v>Home</x:v>
      </x:c>
      <x:c r="M40" s="69" t="str">
        <x:v>Move a white cup into the bowl.</x:v>
      </x:c>
      <x:c r="N40" s="69" t="str">
        <x:v>white cup B (O, UR) [target, P1]; yellow-white striped cup B (O, UD) [P2]; brown cup A (C, UR) [P3]; glass spice container B (O, UR) [P4]</x:v>
      </x:c>
      <x:c r="O40" s="69" t="str">
        <x:v>white cup B</x:v>
      </x:c>
      <x:c r="P40" s="70" t="str">
        <x:v>Copied unchanged from the latest manifest. This workbook does not endorse or revise the state-recognition design.</x:v>
      </x:c>
    </x:row>
    <x:row r="41" ht="58" customHeight="1">
      <x:c r="A41" s="100" t="n">
        <x:v>39</x:v>
      </x:c>
      <x:c r="B41" s="69" t="str">
        <x:v>State Recognition</x:v>
      </x:c>
      <x:c r="C41" s="69" t="str">
        <x:v>Place the upside-down white cup in the bowl.</x:v>
      </x:c>
      <x:c r="D41" s="69" t="str">
        <x:v>Explicit seen-state grounding</x:v>
      </x:c>
      <x:c r="E41" s="69" t="str">
        <x:v>Unchanged in this revision</x:v>
      </x:c>
      <x:c r="F41" s="69" t="str">
        <x:v>state_unchanged</x:v>
      </x:c>
      <x:c r="G41" s="69" t="str">
        <x:v>State Recognition intentionally deferred for separate redesign discussion</x:v>
      </x:c>
      <x:c r="H41" s="69" t="str">
        <x:v>No</x:v>
      </x:c>
      <x:c r="I41" s="69" t="str"/>
      <x:c r="J41" s="69" t="str">
        <x:v>white cup A, white cup B, brown cup B, glass spice container A</x:v>
      </x:c>
      <x:c r="K41" s="69" t="str">
        <x:v>white cup A</x:v>
      </x:c>
      <x:c r="L41" s="69" t="str">
        <x:v>Home</x:v>
      </x:c>
      <x:c r="M41" s="69" t="str">
        <x:v>Place the upside-down white cup in the bowl.</x:v>
      </x:c>
      <x:c r="N41" s="69" t="str">
        <x:v>white cup A, white cup B, brown cup B, glass spice container A</x:v>
      </x:c>
      <x:c r="O41" s="69" t="str">
        <x:v>white cup A</x:v>
      </x:c>
      <x:c r="P41" s="70" t="str">
        <x:v>Copied unchanged from the latest manifest. This workbook does not endorse or revise the state-recognition design.</x:v>
      </x:c>
    </x:row>
    <x:row r="42" ht="58" customHeight="1">
      <x:c r="A42" s="100" t="n">
        <x:v>40</x:v>
      </x:c>
      <x:c r="B42" s="69" t="str">
        <x:v>State Recognition</x:v>
      </x:c>
      <x:c r="C42" s="69" t="str">
        <x:v>Put the open white cup in the bowl.</x:v>
      </x:c>
      <x:c r="D42" s="69" t="str">
        <x:v>Explicit seen-state grounding</x:v>
      </x:c>
      <x:c r="E42" s="69" t="str">
        <x:v>Unchanged in this revision</x:v>
      </x:c>
      <x:c r="F42" s="69" t="str">
        <x:v>state_unchanged</x:v>
      </x:c>
      <x:c r="G42" s="69" t="str">
        <x:v>State Recognition intentionally deferred for separate redesign discussion</x:v>
      </x:c>
      <x:c r="H42" s="69" t="str">
        <x:v>No</x:v>
      </x:c>
      <x:c r="I42" s="69" t="str"/>
      <x:c r="J42" s="69" t="str">
        <x:v>white cup A, white cup B, glass spice container A, yellow-white striped cup B</x:v>
      </x:c>
      <x:c r="K42" s="69" t="str">
        <x:v>white cup A</x:v>
      </x:c>
      <x:c r="L42" s="69" t="str">
        <x:v>Recovery</x:v>
      </x:c>
      <x:c r="M42" s="69" t="str">
        <x:v>Put the open white cup in the bowl.</x:v>
      </x:c>
      <x:c r="N42" s="69" t="str">
        <x:v>white cup A, white cup B, glass spice container A, yellow-white striped cup B</x:v>
      </x:c>
      <x:c r="O42" s="69" t="str">
        <x:v>white cup A</x:v>
      </x:c>
      <x:c r="P42" s="70" t="str">
        <x:v>Copied unchanged from the latest manifest. This workbook does not endorse or revise the state-recognition design.</x:v>
      </x:c>
    </x:row>
    <x:row r="43" ht="58" customHeight="1">
      <x:c r="A43" s="100" t="n">
        <x:v>41</x:v>
      </x:c>
      <x:c r="B43" s="69" t="str">
        <x:v>State Recognition</x:v>
      </x:c>
      <x:c r="C43" s="69" t="str">
        <x:v>Move a white cup into the bowl.</x:v>
      </x:c>
      <x:c r="D43" s="69" t="str">
        <x:v>Clean state-masked replacement</x:v>
      </x:c>
      <x:c r="E43" s="69" t="str">
        <x:v>Unchanged in this revision</x:v>
      </x:c>
      <x:c r="F43" s="69" t="str">
        <x:v>state_unchanged</x:v>
      </x:c>
      <x:c r="G43" s="69" t="str">
        <x:v>State Recognition intentionally deferred for separate redesign discussion</x:v>
      </x:c>
      <x:c r="H43" s="69" t="str">
        <x:v>No</x:v>
      </x:c>
      <x:c r="I43" s="69" t="str"/>
      <x:c r="J43" s="69" t="str">
        <x:v>white cup B (C, UD) [target, P2]; yellow-white striped cup A (C, UD) [P3]; brown cup B (O, UD) [P4]; glass spice container A (C, UR) [P1]</x:v>
      </x:c>
      <x:c r="K43" s="69" t="str">
        <x:v>white cup B</x:v>
      </x:c>
      <x:c r="L43" s="69" t="str">
        <x:v>Home</x:v>
      </x:c>
      <x:c r="M43" s="69" t="str">
        <x:v>Move a white cup into the bowl.</x:v>
      </x:c>
      <x:c r="N43" s="69" t="str">
        <x:v>white cup B (C, UD) [target, P2]; yellow-white striped cup A (C, UD) [P3]; brown cup B (O, UD) [P4]; glass spice container A (C, UR) [P1]</x:v>
      </x:c>
      <x:c r="O43" s="69" t="str">
        <x:v>white cup B</x:v>
      </x:c>
      <x:c r="P43" s="70" t="str">
        <x:v>Copied unchanged from the latest manifest. This workbook does not endorse or revise the state-recognition design.</x:v>
      </x:c>
    </x:row>
    <x:row r="44" ht="58" customHeight="1">
      <x:c r="A44" s="100" t="n">
        <x:v>42</x:v>
      </x:c>
      <x:c r="B44" s="69" t="str">
        <x:v>State Recognition</x:v>
      </x:c>
      <x:c r="C44" s="69" t="str">
        <x:v>Place a white cup in the bowl.</x:v>
      </x:c>
      <x:c r="D44" s="69" t="str">
        <x:v>Clean state-masked exposure</x:v>
      </x:c>
      <x:c r="E44" s="69" t="str">
        <x:v>Unchanged in this revision</x:v>
      </x:c>
      <x:c r="F44" s="69" t="str">
        <x:v>state_unchanged</x:v>
      </x:c>
      <x:c r="G44" s="69" t="str">
        <x:v>State Recognition intentionally deferred for separate redesign discussion</x:v>
      </x:c>
      <x:c r="H44" s="69" t="str">
        <x:v>No</x:v>
      </x:c>
      <x:c r="I44" s="69" t="str"/>
      <x:c r="J44" s="69" t="str">
        <x:v>white cup B, glass spice container A, yellow-white striped cup B</x:v>
      </x:c>
      <x:c r="K44" s="69" t="str">
        <x:v>white cup B</x:v>
      </x:c>
      <x:c r="L44" s="69" t="str">
        <x:v>Home</x:v>
      </x:c>
      <x:c r="M44" s="69" t="str">
        <x:v>Place a white cup in the bowl.</x:v>
      </x:c>
      <x:c r="N44" s="69" t="str">
        <x:v>white cup B, glass spice container A, yellow-white striped cup B</x:v>
      </x:c>
      <x:c r="O44" s="69" t="str">
        <x:v>white cup B</x:v>
      </x:c>
      <x:c r="P44" s="70" t="str">
        <x:v>Copied unchanged from the latest manifest. This workbook does not endorse or revise the state-recognition design.</x:v>
      </x:c>
    </x:row>
    <x:row r="45" ht="58" customHeight="1">
      <x:c r="A45" s="100" t="n">
        <x:v>43</x:v>
      </x:c>
      <x:c r="B45" s="69" t="str">
        <x:v>State Recognition</x:v>
      </x:c>
      <x:c r="C45" s="69" t="str">
        <x:v>Put a white cup in the bowl.</x:v>
      </x:c>
      <x:c r="D45" s="69" t="str">
        <x:v>Clean state-masked replacement</x:v>
      </x:c>
      <x:c r="E45" s="69" t="str">
        <x:v>Unchanged in this revision</x:v>
      </x:c>
      <x:c r="F45" s="69" t="str">
        <x:v>state_unchanged</x:v>
      </x:c>
      <x:c r="G45" s="69" t="str">
        <x:v>State Recognition intentionally deferred for separate redesign discussion</x:v>
      </x:c>
      <x:c r="H45" s="69" t="str">
        <x:v>No</x:v>
      </x:c>
      <x:c r="I45" s="69" t="str"/>
      <x:c r="J45" s="69" t="str">
        <x:v>white cup A (O, UR) [target, P1]; yellow-white striped cup A (O, UD); brown cup A (C, UR); glass spice container B (O, UD)</x:v>
      </x:c>
      <x:c r="K45" s="69" t="str">
        <x:v>white cup A</x:v>
      </x:c>
      <x:c r="L45" s="69" t="str">
        <x:v>Home</x:v>
      </x:c>
      <x:c r="M45" s="69" t="str">
        <x:v>Put a white cup in the bowl.</x:v>
      </x:c>
      <x:c r="N45" s="69" t="str">
        <x:v>white cup A (O, UR) [target, P1]; yellow-white striped cup A (O, UD); brown cup A (C, UR); glass spice container B (O, UD)</x:v>
      </x:c>
      <x:c r="O45" s="69" t="str">
        <x:v>white cup A</x:v>
      </x:c>
      <x:c r="P45" s="70" t="str">
        <x:v>Copied unchanged from the latest manifest. This workbook does not endorse or revise the state-recognition design.</x:v>
      </x:c>
    </x:row>
    <x:row r="46" ht="58" customHeight="1">
      <x:c r="A46" s="100" t="n">
        <x:v>44</x:v>
      </x:c>
      <x:c r="B46" s="69" t="str">
        <x:v>State Recognition</x:v>
      </x:c>
      <x:c r="C46" s="69" t="str">
        <x:v>Move a white cup into the bowl.</x:v>
      </x:c>
      <x:c r="D46" s="69" t="str">
        <x:v>Clean state-masked replacement</x:v>
      </x:c>
      <x:c r="E46" s="69" t="str">
        <x:v>Unchanged in this revision</x:v>
      </x:c>
      <x:c r="F46" s="69" t="str">
        <x:v>state_unchanged</x:v>
      </x:c>
      <x:c r="G46" s="69" t="str">
        <x:v>State Recognition intentionally deferred for separate redesign discussion</x:v>
      </x:c>
      <x:c r="H46" s="69" t="str">
        <x:v>No</x:v>
      </x:c>
      <x:c r="I46" s="69" t="str"/>
      <x:c r="J46" s="69" t="str">
        <x:v>white cup B (O, UD) [target, P3]; yellow-white striped cup B (O, UR) [P4]; brown cup A (C, UD) [P1]; glass spice container B (O, UD) [P2]</x:v>
      </x:c>
      <x:c r="K46" s="69" t="str">
        <x:v>white cup B</x:v>
      </x:c>
      <x:c r="L46" s="69" t="str">
        <x:v>Home</x:v>
      </x:c>
      <x:c r="M46" s="69" t="str">
        <x:v>Move a white cup into the bowl.</x:v>
      </x:c>
      <x:c r="N46" s="69" t="str">
        <x:v>white cup B (O, UD) [target, P3]; yellow-white striped cup B (O, UR) [P4]; brown cup A (C, UD) [P1]; glass spice container B (O, UD) [P2]</x:v>
      </x:c>
      <x:c r="O46" s="69" t="str">
        <x:v>white cup B</x:v>
      </x:c>
      <x:c r="P46" s="70" t="str">
        <x:v>Copied unchanged from the latest manifest. This workbook does not endorse or revise the state-recognition design.</x:v>
      </x:c>
    </x:row>
    <x:row r="47" ht="58" customHeight="1">
      <x:c r="A47" s="100" t="n">
        <x:v>45</x:v>
      </x:c>
      <x:c r="B47" s="69" t="str">
        <x:v>State Recognition</x:v>
      </x:c>
      <x:c r="C47" s="69" t="str">
        <x:v>Place a white cup in the bowl.</x:v>
      </x:c>
      <x:c r="D47" s="69" t="str">
        <x:v>Clean state-masked exposure</x:v>
      </x:c>
      <x:c r="E47" s="69" t="str">
        <x:v>Unchanged in this revision</x:v>
      </x:c>
      <x:c r="F47" s="69" t="str">
        <x:v>state_unchanged</x:v>
      </x:c>
      <x:c r="G47" s="69" t="str">
        <x:v>State Recognition intentionally deferred for separate redesign discussion</x:v>
      </x:c>
      <x:c r="H47" s="69" t="str">
        <x:v>No</x:v>
      </x:c>
      <x:c r="I47" s="69" t="str"/>
      <x:c r="J47" s="69" t="str">
        <x:v>white cup A, yellow-white striped cup B, brown cup B</x:v>
      </x:c>
      <x:c r="K47" s="69" t="str">
        <x:v>white cup A</x:v>
      </x:c>
      <x:c r="L47" s="69" t="str">
        <x:v>Recovery</x:v>
      </x:c>
      <x:c r="M47" s="69" t="str">
        <x:v>Place a white cup in the bowl.</x:v>
      </x:c>
      <x:c r="N47" s="69" t="str">
        <x:v>white cup A, yellow-white striped cup B, brown cup B</x:v>
      </x:c>
      <x:c r="O47" s="69" t="str">
        <x:v>white cup A</x:v>
      </x:c>
      <x:c r="P47" s="70" t="str">
        <x:v>Copied unchanged from the latest manifest. This workbook does not endorse or revise the state-recognition design.</x:v>
      </x:c>
    </x:row>
    <x:row r="48" ht="58" customHeight="1">
      <x:c r="A48" s="100" t="n">
        <x:v>46</x:v>
      </x:c>
      <x:c r="B48" s="69" t="str">
        <x:v>State Recognition</x:v>
      </x:c>
      <x:c r="C48" s="69" t="str">
        <x:v>Put a white cup in the bowl.</x:v>
      </x:c>
      <x:c r="D48" s="69" t="str">
        <x:v>Clean state-masked replacement</x:v>
      </x:c>
      <x:c r="E48" s="69" t="str">
        <x:v>Unchanged in this revision</x:v>
      </x:c>
      <x:c r="F48" s="69" t="str">
        <x:v>state_unchanged</x:v>
      </x:c>
      <x:c r="G48" s="69" t="str">
        <x:v>State Recognition intentionally deferred for separate redesign discussion</x:v>
      </x:c>
      <x:c r="H48" s="69" t="str">
        <x:v>No</x:v>
      </x:c>
      <x:c r="I48" s="69" t="str"/>
      <x:c r="J48" s="69" t="str">
        <x:v>white cup B (C, UR) [target, P4]; yellow-white striped cup A (C, UR) [P1]; brown cup B (O, UR) [P2]; glass spice container A (C, UD) [P3]</x:v>
      </x:c>
      <x:c r="K48" s="69" t="str">
        <x:v>white cup B</x:v>
      </x:c>
      <x:c r="L48" s="69" t="str">
        <x:v>Home</x:v>
      </x:c>
      <x:c r="M48" s="69" t="str">
        <x:v>Put a white cup in the bowl.</x:v>
      </x:c>
      <x:c r="N48" s="69" t="str">
        <x:v>white cup B (C, UR) [target, P4]; yellow-white striped cup A (C, UR) [P1]; brown cup B (O, UR) [P2]; glass spice container A (C, UD) [P3]</x:v>
      </x:c>
      <x:c r="O48" s="69" t="str">
        <x:v>white cup B</x:v>
      </x:c>
      <x:c r="P48" s="70" t="str">
        <x:v>Copied unchanged from the latest manifest. This workbook does not endorse or revise the state-recognition design.</x:v>
      </x:c>
    </x:row>
    <x:row r="49" ht="58" customHeight="1">
      <x:c r="A49" s="100" t="n">
        <x:v>47</x:v>
      </x:c>
      <x:c r="B49" s="69" t="str">
        <x:v>State Recognition</x:v>
      </x:c>
      <x:c r="C49" s="69" t="str">
        <x:v>Move a white cup into the bowl.</x:v>
      </x:c>
      <x:c r="D49" s="69" t="str">
        <x:v>Clean state-masked replacement</x:v>
      </x:c>
      <x:c r="E49" s="69" t="str">
        <x:v>Unchanged in this revision</x:v>
      </x:c>
      <x:c r="F49" s="69" t="str">
        <x:v>state_unchanged</x:v>
      </x:c>
      <x:c r="G49" s="69" t="str">
        <x:v>State Recognition intentionally deferred for separate redesign discussion</x:v>
      </x:c>
      <x:c r="H49" s="69" t="str">
        <x:v>No</x:v>
      </x:c>
      <x:c r="I49" s="69" t="str"/>
      <x:c r="J49" s="69" t="str">
        <x:v>white cup A (O, UD) [target, P2]; yellow-white striped cup B (C, UD); brown cup B (C, UR); glass spice container A (O, UD)</x:v>
      </x:c>
      <x:c r="K49" s="69" t="str">
        <x:v>white cup A</x:v>
      </x:c>
      <x:c r="L49" s="69" t="str">
        <x:v>Home</x:v>
      </x:c>
      <x:c r="M49" s="69" t="str">
        <x:v>Move a white cup into the bowl.</x:v>
      </x:c>
      <x:c r="N49" s="69" t="str">
        <x:v>white cup A (O, UD) [target, P2]; yellow-white striped cup B (C, UD); brown cup B (C, UR); glass spice container A (O, UD)</x:v>
      </x:c>
      <x:c r="O49" s="69" t="str">
        <x:v>white cup A</x:v>
      </x:c>
      <x:c r="P49" s="70" t="str">
        <x:v>Copied unchanged from the latest manifest. This workbook does not endorse or revise the state-recognition design.</x:v>
      </x:c>
    </x:row>
    <x:row r="50" ht="58" customHeight="1">
      <x:c r="A50" s="100" t="n">
        <x:v>48</x:v>
      </x:c>
      <x:c r="B50" s="69" t="str">
        <x:v>State Recognition</x:v>
      </x:c>
      <x:c r="C50" s="69" t="str">
        <x:v>Place the open white cup in the bowl.</x:v>
      </x:c>
      <x:c r="D50" s="69" t="str">
        <x:v>Explicit seen-state grounding</x:v>
      </x:c>
      <x:c r="E50" s="69" t="str">
        <x:v>Unchanged in this revision</x:v>
      </x:c>
      <x:c r="F50" s="69" t="str">
        <x:v>state_unchanged</x:v>
      </x:c>
      <x:c r="G50" s="69" t="str">
        <x:v>State Recognition intentionally deferred for separate redesign discussion</x:v>
      </x:c>
      <x:c r="H50" s="69" t="str">
        <x:v>No</x:v>
      </x:c>
      <x:c r="I50" s="69" t="str"/>
      <x:c r="J50" s="69" t="str">
        <x:v>white cup B, white cup A, brown cup A, glass spice container B</x:v>
      </x:c>
      <x:c r="K50" s="69" t="str">
        <x:v>white cup B</x:v>
      </x:c>
      <x:c r="L50" s="69" t="str">
        <x:v>Home</x:v>
      </x:c>
      <x:c r="M50" s="69" t="str">
        <x:v>Place the open white cup in the bowl.</x:v>
      </x:c>
      <x:c r="N50" s="69" t="str">
        <x:v>white cup B, white cup A, brown cup A, glass spice container B</x:v>
      </x:c>
      <x:c r="O50" s="69" t="str">
        <x:v>white cup B</x:v>
      </x:c>
      <x:c r="P50" s="70" t="str">
        <x:v>Copied unchanged from the latest manifest. This workbook does not endorse or revise the state-recognition design.</x:v>
      </x:c>
    </x:row>
    <x:row r="51" ht="58" customHeight="1">
      <x:c r="A51" s="100" t="n">
        <x:v>49</x:v>
      </x:c>
      <x:c r="B51" s="69" t="str">
        <x:v>State Recognition</x:v>
      </x:c>
      <x:c r="C51" s="69" t="str">
        <x:v>Put a white cup in the bowl.</x:v>
      </x:c>
      <x:c r="D51" s="69" t="str">
        <x:v>Clean state-masked replacement</x:v>
      </x:c>
      <x:c r="E51" s="69" t="str">
        <x:v>Unchanged in this revision</x:v>
      </x:c>
      <x:c r="F51" s="69" t="str">
        <x:v>state_unchanged</x:v>
      </x:c>
      <x:c r="G51" s="69" t="str">
        <x:v>State Recognition intentionally deferred for separate redesign discussion</x:v>
      </x:c>
      <x:c r="H51" s="69" t="str">
        <x:v>No</x:v>
      </x:c>
      <x:c r="I51" s="69" t="str"/>
      <x:c r="J51" s="69" t="str">
        <x:v>white cup B (O, UR) [target, P1]; yellow-white striped cup B (O, UD) [P3]; brown cup A (C, UR) [P4]; glass spice container B (O, UR) [P2]</x:v>
      </x:c>
      <x:c r="K51" s="69" t="str">
        <x:v>white cup B</x:v>
      </x:c>
      <x:c r="L51" s="69" t="str">
        <x:v>Home</x:v>
      </x:c>
      <x:c r="M51" s="69" t="str">
        <x:v>Put a white cup in the bowl.</x:v>
      </x:c>
      <x:c r="N51" s="69" t="str">
        <x:v>white cup B (O, UR) [target, P1]; yellow-white striped cup B (O, UD) [P3]; brown cup A (C, UR) [P4]; glass spice container B (O, UR) [P2]</x:v>
      </x:c>
      <x:c r="O51" s="69" t="str">
        <x:v>white cup B</x:v>
      </x:c>
      <x:c r="P51" s="70" t="str">
        <x:v>Copied unchanged from the latest manifest. This workbook does not endorse or revise the state-recognition design.</x:v>
      </x:c>
    </x:row>
    <x:row r="52" ht="58" customHeight="1">
      <x:c r="A52" s="100" t="n">
        <x:v>50</x:v>
      </x:c>
      <x:c r="B52" s="69" t="str">
        <x:v>State Recognition</x:v>
      </x:c>
      <x:c r="C52" s="69" t="str">
        <x:v>Move a yellow-white striped cup into the bowl.</x:v>
      </x:c>
      <x:c r="D52" s="69" t="str">
        <x:v>Clean state-masked replacement</x:v>
      </x:c>
      <x:c r="E52" s="69" t="str">
        <x:v>Unchanged in this revision</x:v>
      </x:c>
      <x:c r="F52" s="69" t="str">
        <x:v>state_unchanged</x:v>
      </x:c>
      <x:c r="G52" s="69" t="str">
        <x:v>State Recognition intentionally deferred for separate redesign discussion</x:v>
      </x:c>
      <x:c r="H52" s="69" t="str">
        <x:v>No</x:v>
      </x:c>
      <x:c r="I52" s="69" t="str"/>
      <x:c r="J52" s="69" t="str">
        <x:v>yellow-white striped cup B (C, UR) [target, P2]; white cup B (C, UD); brown cup A (C, UR); glass spice container A (O, UR)</x:v>
      </x:c>
      <x:c r="K52" s="69" t="str">
        <x:v>yellow-white striped cup B</x:v>
      </x:c>
      <x:c r="L52" s="69" t="str">
        <x:v>Home</x:v>
      </x:c>
      <x:c r="M52" s="69" t="str">
        <x:v>Move a yellow-white striped cup into the bowl.</x:v>
      </x:c>
      <x:c r="N52" s="69" t="str">
        <x:v>yellow-white striped cup B (C, UR) [target, P2]; white cup B (C, UD); brown cup A (C, UR); glass spice container A (O, UR)</x:v>
      </x:c>
      <x:c r="O52" s="69" t="str">
        <x:v>yellow-white striped cup B</x:v>
      </x:c>
      <x:c r="P52" s="70" t="str">
        <x:v>Copied unchanged from the latest manifest. This workbook does not endorse or revise the state-recognition design.</x:v>
      </x:c>
    </x:row>
    <x:row r="53" ht="58" customHeight="1">
      <x:c r="A53" s="100" t="n">
        <x:v>51</x:v>
      </x:c>
      <x:c r="B53" s="69" t="str">
        <x:v>State Recognition</x:v>
      </x:c>
      <x:c r="C53" s="69" t="str">
        <x:v>Place a yellow-white striped cup in the bowl.</x:v>
      </x:c>
      <x:c r="D53" s="69" t="str">
        <x:v>Clean state-masked replacement</x:v>
      </x:c>
      <x:c r="E53" s="69" t="str">
        <x:v>Unchanged in this revision</x:v>
      </x:c>
      <x:c r="F53" s="69" t="str">
        <x:v>state_unchanged</x:v>
      </x:c>
      <x:c r="G53" s="69" t="str">
        <x:v>State Recognition intentionally deferred for separate redesign discussion</x:v>
      </x:c>
      <x:c r="H53" s="69" t="str">
        <x:v>No</x:v>
      </x:c>
      <x:c r="I53" s="69" t="str"/>
      <x:c r="J53" s="69" t="str">
        <x:v>yellow-white striped cup B (C, UR) [target, P3]; white cup A (O, UD); brown cup B (C, UR); glass spice container A (O, UD)</x:v>
      </x:c>
      <x:c r="K53" s="69" t="str">
        <x:v>yellow-white striped cup B</x:v>
      </x:c>
      <x:c r="L53" s="69" t="str">
        <x:v>Home</x:v>
      </x:c>
      <x:c r="M53" s="69" t="str">
        <x:v>Place a yellow-white striped cup in the bowl.</x:v>
      </x:c>
      <x:c r="N53" s="69" t="str">
        <x:v>yellow-white striped cup B (C, UR) [target, P3]; white cup A (O, UD); brown cup B (C, UR); glass spice container A (O, UD)</x:v>
      </x:c>
      <x:c r="O53" s="69" t="str">
        <x:v>yellow-white striped cup B</x:v>
      </x:c>
      <x:c r="P53" s="70" t="str">
        <x:v>Copied unchanged from the latest manifest. This workbook does not endorse or revise the state-recognition design.</x:v>
      </x:c>
    </x:row>
    <x:row r="54" ht="58" customHeight="1">
      <x:c r="A54" s="100" t="n">
        <x:v>52</x:v>
      </x:c>
      <x:c r="B54" s="69" t="str">
        <x:v>State Recognition</x:v>
      </x:c>
      <x:c r="C54" s="69" t="str">
        <x:v>Put a yellow-white striped cup in the bowl.</x:v>
      </x:c>
      <x:c r="D54" s="69" t="str">
        <x:v>Clean state-masked exposure</x:v>
      </x:c>
      <x:c r="E54" s="69" t="str">
        <x:v>Unchanged in this revision</x:v>
      </x:c>
      <x:c r="F54" s="69" t="str">
        <x:v>state_unchanged</x:v>
      </x:c>
      <x:c r="G54" s="69" t="str">
        <x:v>State Recognition intentionally deferred for separate redesign discussion</x:v>
      </x:c>
      <x:c r="H54" s="69" t="str">
        <x:v>No</x:v>
      </x:c>
      <x:c r="I54" s="69" t="str"/>
      <x:c r="J54" s="69" t="str">
        <x:v>yellow-white striped cup A, white cup A, brown cup B</x:v>
      </x:c>
      <x:c r="K54" s="69" t="str">
        <x:v>yellow-white striped cup A</x:v>
      </x:c>
      <x:c r="L54" s="69" t="str">
        <x:v>Home</x:v>
      </x:c>
      <x:c r="M54" s="69" t="str">
        <x:v>Put a yellow-white striped cup in the bowl.</x:v>
      </x:c>
      <x:c r="N54" s="69" t="str">
        <x:v>yellow-white striped cup A, white cup A, brown cup B</x:v>
      </x:c>
      <x:c r="O54" s="69" t="str">
        <x:v>yellow-white striped cup A</x:v>
      </x:c>
      <x:c r="P54" s="70" t="str">
        <x:v>Copied unchanged from the latest manifest. This workbook does not endorse or revise the state-recognition design.</x:v>
      </x:c>
    </x:row>
    <x:row r="55" ht="58" customHeight="1">
      <x:c r="A55" s="100" t="n">
        <x:v>53</x:v>
      </x:c>
      <x:c r="B55" s="69" t="str">
        <x:v>State Recognition</x:v>
      </x:c>
      <x:c r="C55" s="69" t="str">
        <x:v>Move a yellow-white striped cup into the bowl.</x:v>
      </x:c>
      <x:c r="D55" s="69" t="str">
        <x:v>Clean state-masked replacement</x:v>
      </x:c>
      <x:c r="E55" s="69" t="str">
        <x:v>Unchanged in this revision</x:v>
      </x:c>
      <x:c r="F55" s="69" t="str">
        <x:v>state_unchanged</x:v>
      </x:c>
      <x:c r="G55" s="69" t="str">
        <x:v>State Recognition intentionally deferred for separate redesign discussion</x:v>
      </x:c>
      <x:c r="H55" s="69" t="str">
        <x:v>No</x:v>
      </x:c>
      <x:c r="I55" s="69" t="str"/>
      <x:c r="J55" s="69" t="str">
        <x:v>yellow-white striped cup B (C, UD) [target, P2]; white cup B (O, UR) [P4]; brown cup B (O, UD) [P1]; glass spice container A (C, UR) [P3]</x:v>
      </x:c>
      <x:c r="K55" s="69" t="str">
        <x:v>yellow-white striped cup B</x:v>
      </x:c>
      <x:c r="L55" s="69" t="str">
        <x:v>Recovery</x:v>
      </x:c>
      <x:c r="M55" s="69" t="str">
        <x:v>Move a yellow-white striped cup into the bowl.</x:v>
      </x:c>
      <x:c r="N55" s="69" t="str">
        <x:v>yellow-white striped cup B (C, UD) [target, P2]; white cup B (O, UR) [P4]; brown cup B (O, UD) [P1]; glass spice container A (C, UR) [P3]</x:v>
      </x:c>
      <x:c r="O55" s="69" t="str">
        <x:v>yellow-white striped cup B</x:v>
      </x:c>
      <x:c r="P55" s="70" t="str">
        <x:v>Copied unchanged from the latest manifest. This workbook does not endorse or revise the state-recognition design.</x:v>
      </x:c>
    </x:row>
    <x:row r="56" ht="58" customHeight="1">
      <x:c r="A56" s="100" t="n">
        <x:v>54</x:v>
      </x:c>
      <x:c r="B56" s="69" t="str">
        <x:v>State Recognition</x:v>
      </x:c>
      <x:c r="C56" s="69" t="str">
        <x:v>Place the open yellow-white striped cup in the bowl.</x:v>
      </x:c>
      <x:c r="D56" s="69" t="str">
        <x:v>Explicit seen-state grounding</x:v>
      </x:c>
      <x:c r="E56" s="69" t="str">
        <x:v>Unchanged in this revision</x:v>
      </x:c>
      <x:c r="F56" s="69" t="str">
        <x:v>state_unchanged</x:v>
      </x:c>
      <x:c r="G56" s="69" t="str">
        <x:v>State Recognition intentionally deferred for separate redesign discussion</x:v>
      </x:c>
      <x:c r="H56" s="69" t="str">
        <x:v>No</x:v>
      </x:c>
      <x:c r="I56" s="69" t="str"/>
      <x:c r="J56" s="69" t="str">
        <x:v>yellow-white striped cup B, yellow-white striped cup A, white cup B</x:v>
      </x:c>
      <x:c r="K56" s="69" t="str">
        <x:v>yellow-white striped cup B</x:v>
      </x:c>
      <x:c r="L56" s="69" t="str">
        <x:v>Home</x:v>
      </x:c>
      <x:c r="M56" s="69" t="str">
        <x:v>Place the open yellow-white striped cup in the bowl.</x:v>
      </x:c>
      <x:c r="N56" s="69" t="str">
        <x:v>yellow-white striped cup B, yellow-white striped cup A, white cup B</x:v>
      </x:c>
      <x:c r="O56" s="69" t="str">
        <x:v>yellow-white striped cup B</x:v>
      </x:c>
      <x:c r="P56" s="70" t="str">
        <x:v>Copied unchanged from the latest manifest. This workbook does not endorse or revise the state-recognition design.</x:v>
      </x:c>
    </x:row>
    <x:row r="57" ht="58" customHeight="1">
      <x:c r="A57" s="100" t="n">
        <x:v>55</x:v>
      </x:c>
      <x:c r="B57" s="69" t="str">
        <x:v>State Recognition</x:v>
      </x:c>
      <x:c r="C57" s="69" t="str">
        <x:v>Put a yellow-white striped cup in the bowl.</x:v>
      </x:c>
      <x:c r="D57" s="69" t="str">
        <x:v>Clean state-masked replacement</x:v>
      </x:c>
      <x:c r="E57" s="69" t="str">
        <x:v>Unchanged in this revision</x:v>
      </x:c>
      <x:c r="F57" s="69" t="str">
        <x:v>state_unchanged</x:v>
      </x:c>
      <x:c r="G57" s="69" t="str">
        <x:v>State Recognition intentionally deferred for separate redesign discussion</x:v>
      </x:c>
      <x:c r="H57" s="69" t="str">
        <x:v>No</x:v>
      </x:c>
      <x:c r="I57" s="69" t="str"/>
      <x:c r="J57" s="69" t="str">
        <x:v>yellow-white striped cup A (O, UD) [target, P3]; white cup A (C, UR) [P1]; brown cup A (C, UD) [P2]; glass spice container B (O, UD) [P4]</x:v>
      </x:c>
      <x:c r="K57" s="69" t="str">
        <x:v>yellow-white striped cup A</x:v>
      </x:c>
      <x:c r="L57" s="69" t="str">
        <x:v>Home</x:v>
      </x:c>
      <x:c r="M57" s="69" t="str">
        <x:v>Put a yellow-white striped cup in the bowl.</x:v>
      </x:c>
      <x:c r="N57" s="69" t="str">
        <x:v>yellow-white striped cup A (O, UD) [target, P3]; white cup A (C, UR) [P1]; brown cup A (C, UD) [P2]; glass spice container B (O, UD) [P4]</x:v>
      </x:c>
      <x:c r="O57" s="69" t="str">
        <x:v>yellow-white striped cup A</x:v>
      </x:c>
      <x:c r="P57" s="70" t="str">
        <x:v>Copied unchanged from the latest manifest. This workbook does not endorse or revise the state-recognition design.</x:v>
      </x:c>
    </x:row>
    <x:row r="58" ht="58" customHeight="1">
      <x:c r="A58" s="100" t="n">
        <x:v>56</x:v>
      </x:c>
      <x:c r="B58" s="69" t="str">
        <x:v>State Recognition</x:v>
      </x:c>
      <x:c r="C58" s="69" t="str">
        <x:v>Move a yellow-white striped cup into the bowl.</x:v>
      </x:c>
      <x:c r="D58" s="69" t="str">
        <x:v>Clean state-masked replacement</x:v>
      </x:c>
      <x:c r="E58" s="69" t="str">
        <x:v>Unchanged in this revision</x:v>
      </x:c>
      <x:c r="F58" s="69" t="str">
        <x:v>state_unchanged</x:v>
      </x:c>
      <x:c r="G58" s="69" t="str">
        <x:v>State Recognition intentionally deferred for separate redesign discussion</x:v>
      </x:c>
      <x:c r="H58" s="69" t="str">
        <x:v>No</x:v>
      </x:c>
      <x:c r="I58" s="69" t="str"/>
      <x:c r="J58" s="69" t="str">
        <x:v>yellow-white striped cup B (C, UR) [target, P4]; white cup B (O, UD) [P2]; brown cup B (O, UR) [P3]; glass spice container A (C, UD) [P1]</x:v>
      </x:c>
      <x:c r="K58" s="69" t="str">
        <x:v>yellow-white striped cup B</x:v>
      </x:c>
      <x:c r="L58" s="69" t="str">
        <x:v>Recovery</x:v>
      </x:c>
      <x:c r="M58" s="69" t="str">
        <x:v>Move a yellow-white striped cup into the bowl.</x:v>
      </x:c>
      <x:c r="N58" s="69" t="str">
        <x:v>yellow-white striped cup B (C, UR) [target, P4]; white cup B (O, UD) [P2]; brown cup B (O, UR) [P3]; glass spice container A (C, UD) [P1]</x:v>
      </x:c>
      <x:c r="O58" s="69" t="str">
        <x:v>yellow-white striped cup B</x:v>
      </x:c>
      <x:c r="P58" s="70" t="str">
        <x:v>Copied unchanged from the latest manifest. This workbook does not endorse or revise the state-recognition design.</x:v>
      </x:c>
    </x:row>
    <x:row r="59" ht="58" customHeight="1">
      <x:c r="A59" s="100" t="n">
        <x:v>57</x:v>
      </x:c>
      <x:c r="B59" s="69" t="str">
        <x:v>State Recognition</x:v>
      </x:c>
      <x:c r="C59" s="69" t="str">
        <x:v>Place a yellow-white striped cup in the bowl.</x:v>
      </x:c>
      <x:c r="D59" s="69" t="str">
        <x:v>Clean state-masked exposure</x:v>
      </x:c>
      <x:c r="E59" s="69" t="str">
        <x:v>Unchanged in this revision</x:v>
      </x:c>
      <x:c r="F59" s="69" t="str">
        <x:v>state_unchanged</x:v>
      </x:c>
      <x:c r="G59" s="69" t="str">
        <x:v>State Recognition intentionally deferred for separate redesign discussion</x:v>
      </x:c>
      <x:c r="H59" s="69" t="str">
        <x:v>No</x:v>
      </x:c>
      <x:c r="I59" s="69" t="str"/>
      <x:c r="J59" s="69" t="str">
        <x:v>yellow-white striped cup A, brown cup B, glass spice container B</x:v>
      </x:c>
      <x:c r="K59" s="69" t="str">
        <x:v>yellow-white striped cup A</x:v>
      </x:c>
      <x:c r="L59" s="69" t="str">
        <x:v>Home</x:v>
      </x:c>
      <x:c r="M59" s="69" t="str">
        <x:v>Place a yellow-white striped cup in the bowl.</x:v>
      </x:c>
      <x:c r="N59" s="69" t="str">
        <x:v>yellow-white striped cup A, brown cup B, glass spice container B</x:v>
      </x:c>
      <x:c r="O59" s="69" t="str">
        <x:v>yellow-white striped cup A</x:v>
      </x:c>
      <x:c r="P59" s="70" t="str">
        <x:v>Copied unchanged from the latest manifest. This workbook does not endorse or revise the state-recognition design.</x:v>
      </x:c>
    </x:row>
    <x:row r="60" ht="58" customHeight="1">
      <x:c r="A60" s="100" t="n">
        <x:v>58</x:v>
      </x:c>
      <x:c r="B60" s="69" t="str">
        <x:v>State Recognition</x:v>
      </x:c>
      <x:c r="C60" s="69" t="str">
        <x:v>Put a yellow-white striped cup in the bowl.</x:v>
      </x:c>
      <x:c r="D60" s="69" t="str">
        <x:v>Clean state-masked exposure</x:v>
      </x:c>
      <x:c r="E60" s="69" t="str">
        <x:v>Unchanged in this revision</x:v>
      </x:c>
      <x:c r="F60" s="69" t="str">
        <x:v>state_unchanged</x:v>
      </x:c>
      <x:c r="G60" s="69" t="str">
        <x:v>State Recognition intentionally deferred for separate redesign discussion</x:v>
      </x:c>
      <x:c r="H60" s="69" t="str">
        <x:v>No</x:v>
      </x:c>
      <x:c r="I60" s="69" t="str"/>
      <x:c r="J60" s="69" t="str">
        <x:v>yellow-white striped cup B, glass spice container B, white cup B, brown cup A</x:v>
      </x:c>
      <x:c r="K60" s="69" t="str">
        <x:v>yellow-white striped cup B</x:v>
      </x:c>
      <x:c r="L60" s="69" t="str">
        <x:v>Home</x:v>
      </x:c>
      <x:c r="M60" s="69" t="str">
        <x:v>Put a yellow-white striped cup in the bowl.</x:v>
      </x:c>
      <x:c r="N60" s="69" t="str">
        <x:v>yellow-white striped cup B, glass spice container B, white cup B, brown cup A</x:v>
      </x:c>
      <x:c r="O60" s="69" t="str">
        <x:v>yellow-white striped cup B</x:v>
      </x:c>
      <x:c r="P60" s="70" t="str">
        <x:v>Copied unchanged from the latest manifest. This workbook does not endorse or revise the state-recognition design.</x:v>
      </x:c>
    </x:row>
    <x:row r="61" ht="58" customHeight="1">
      <x:c r="A61" s="100" t="n">
        <x:v>59</x:v>
      </x:c>
      <x:c r="B61" s="69" t="str">
        <x:v>State Recognition</x:v>
      </x:c>
      <x:c r="C61" s="69" t="str">
        <x:v>Move the open yellow-white striped cup into the bowl.</x:v>
      </x:c>
      <x:c r="D61" s="69" t="str">
        <x:v>Explicit seen-state grounding</x:v>
      </x:c>
      <x:c r="E61" s="69" t="str">
        <x:v>Unchanged in this revision</x:v>
      </x:c>
      <x:c r="F61" s="69" t="str">
        <x:v>state_unchanged</x:v>
      </x:c>
      <x:c r="G61" s="69" t="str">
        <x:v>State Recognition intentionally deferred for separate redesign discussion</x:v>
      </x:c>
      <x:c r="H61" s="69" t="str">
        <x:v>No</x:v>
      </x:c>
      <x:c r="I61" s="69" t="str"/>
      <x:c r="J61" s="69" t="str">
        <x:v>yellow-white striped cup A, yellow-white striped cup B, glass spice container A</x:v>
      </x:c>
      <x:c r="K61" s="69" t="str">
        <x:v>yellow-white striped cup A</x:v>
      </x:c>
      <x:c r="L61" s="69" t="str">
        <x:v>Home</x:v>
      </x:c>
      <x:c r="M61" s="69" t="str">
        <x:v>Move the open yellow-white striped cup into the bowl.</x:v>
      </x:c>
      <x:c r="N61" s="69" t="str">
        <x:v>yellow-white striped cup A, yellow-white striped cup B, glass spice container A</x:v>
      </x:c>
      <x:c r="O61" s="69" t="str">
        <x:v>yellow-white striped cup A</x:v>
      </x:c>
      <x:c r="P61" s="70" t="str">
        <x:v>Copied unchanged from the latest manifest. This workbook does not endorse or revise the state-recognition design.</x:v>
      </x:c>
    </x:row>
    <x:row r="62" ht="58" customHeight="1">
      <x:c r="A62" s="100" t="n">
        <x:v>60</x:v>
      </x:c>
      <x:c r="B62" s="69" t="str">
        <x:v>State Recognition</x:v>
      </x:c>
      <x:c r="C62" s="69" t="str">
        <x:v>Place a yellow-white striped cup in the bowl.</x:v>
      </x:c>
      <x:c r="D62" s="69" t="str">
        <x:v>Clean state-masked replacement</x:v>
      </x:c>
      <x:c r="E62" s="69" t="str">
        <x:v>Unchanged in this revision</x:v>
      </x:c>
      <x:c r="F62" s="69" t="str">
        <x:v>state_unchanged</x:v>
      </x:c>
      <x:c r="G62" s="69" t="str">
        <x:v>State Recognition intentionally deferred for separate redesign discussion</x:v>
      </x:c>
      <x:c r="H62" s="69" t="str">
        <x:v>No</x:v>
      </x:c>
      <x:c r="I62" s="69" t="str"/>
      <x:c r="J62" s="69" t="str">
        <x:v>yellow-white striped cup B (O, UR) [target, P1]; white cup A (C, UD) [P4]; brown cup A (C, UR) [P2]; glass spice container B (O, UR) [P3]</x:v>
      </x:c>
      <x:c r="K62" s="69" t="str">
        <x:v>yellow-white striped cup B</x:v>
      </x:c>
      <x:c r="L62" s="69" t="str">
        <x:v>Home</x:v>
      </x:c>
      <x:c r="M62" s="69" t="str">
        <x:v>Place a yellow-white striped cup in the bowl.</x:v>
      </x:c>
      <x:c r="N62" s="69" t="str">
        <x:v>yellow-white striped cup B (O, UR) [target, P1]; white cup A (C, UD) [P4]; brown cup A (C, UR) [P2]; glass spice container B (O, UR) [P3]</x:v>
      </x:c>
      <x:c r="O62" s="69" t="str">
        <x:v>yellow-white striped cup B</x:v>
      </x:c>
      <x:c r="P62" s="70" t="str">
        <x:v>Copied unchanged from the latest manifest. This workbook does not endorse or revise the state-recognition design.</x:v>
      </x:c>
    </x:row>
    <x:row r="63" ht="58" customHeight="1">
      <x:c r="A63" s="100" t="n">
        <x:v>61</x:v>
      </x:c>
      <x:c r="B63" s="69" t="str">
        <x:v>State Recognition</x:v>
      </x:c>
      <x:c r="C63" s="69" t="str">
        <x:v>Put a yellow-white striped cup in the bowl.</x:v>
      </x:c>
      <x:c r="D63" s="69" t="str">
        <x:v>Clean state-masked replacement</x:v>
      </x:c>
      <x:c r="E63" s="69" t="str">
        <x:v>Unchanged in this revision</x:v>
      </x:c>
      <x:c r="F63" s="69" t="str">
        <x:v>state_unchanged</x:v>
      </x:c>
      <x:c r="G63" s="69" t="str">
        <x:v>State Recognition intentionally deferred for separate redesign discussion</x:v>
      </x:c>
      <x:c r="H63" s="69" t="str">
        <x:v>No</x:v>
      </x:c>
      <x:c r="I63" s="69" t="str"/>
      <x:c r="J63" s="69" t="str">
        <x:v>yellow-white striped cup A (C, UD) [target, P2]; white cup B (O, UR) [P1]; brown cup B (O, UD) [P3]; glass spice container A (C, UR) [P4]</x:v>
      </x:c>
      <x:c r="K63" s="69" t="str">
        <x:v>yellow-white striped cup A</x:v>
      </x:c>
      <x:c r="L63" s="69" t="str">
        <x:v>Recovery</x:v>
      </x:c>
      <x:c r="M63" s="69" t="str">
        <x:v>Put a yellow-white striped cup in the bowl.</x:v>
      </x:c>
      <x:c r="N63" s="69" t="str">
        <x:v>yellow-white striped cup A (C, UD) [target, P2]; white cup B (O, UR) [P1]; brown cup B (O, UD) [P3]; glass spice container A (C, UR) [P4]</x:v>
      </x:c>
      <x:c r="O63" s="69" t="str">
        <x:v>yellow-white striped cup A</x:v>
      </x:c>
      <x:c r="P63" s="70" t="str">
        <x:v>Copied unchanged from the latest manifest. This workbook does not endorse or revise the state-recognition design.</x:v>
      </x:c>
    </x:row>
    <x:row r="64" ht="58" customHeight="1">
      <x:c r="A64" s="100" t="n">
        <x:v>62</x:v>
      </x:c>
      <x:c r="B64" s="69" t="str">
        <x:v>State Recognition</x:v>
      </x:c>
      <x:c r="C64" s="69" t="str">
        <x:v>Move a yellow-white striped cup into the bowl.</x:v>
      </x:c>
      <x:c r="D64" s="69" t="str">
        <x:v>Clean state-masked exposure</x:v>
      </x:c>
      <x:c r="E64" s="69" t="str">
        <x:v>Unchanged in this revision</x:v>
      </x:c>
      <x:c r="F64" s="69" t="str">
        <x:v>state_unchanged</x:v>
      </x:c>
      <x:c r="G64" s="69" t="str">
        <x:v>State Recognition intentionally deferred for separate redesign discussion</x:v>
      </x:c>
      <x:c r="H64" s="69" t="str">
        <x:v>No</x:v>
      </x:c>
      <x:c r="I64" s="69" t="str"/>
      <x:c r="J64" s="69" t="str">
        <x:v>yellow-white striped cup B, white cup B, brown cup A</x:v>
      </x:c>
      <x:c r="K64" s="69" t="str">
        <x:v>yellow-white striped cup B</x:v>
      </x:c>
      <x:c r="L64" s="69" t="str">
        <x:v>Home</x:v>
      </x:c>
      <x:c r="M64" s="69" t="str">
        <x:v>Move a yellow-white striped cup into the bowl.</x:v>
      </x:c>
      <x:c r="N64" s="69" t="str">
        <x:v>yellow-white striped cup B, white cup B, brown cup A</x:v>
      </x:c>
      <x:c r="O64" s="69" t="str">
        <x:v>yellow-white striped cup B</x:v>
      </x:c>
      <x:c r="P64" s="70" t="str">
        <x:v>Copied unchanged from the latest manifest. This workbook does not endorse or revise the state-recognition design.</x:v>
      </x:c>
    </x:row>
    <x:row r="65" ht="58" customHeight="1">
      <x:c r="A65" s="100" t="n">
        <x:v>63</x:v>
      </x:c>
      <x:c r="B65" s="69" t="str">
        <x:v>State Recognition</x:v>
      </x:c>
      <x:c r="C65" s="69" t="str">
        <x:v>Place a yellow-white striped cup in the bowl.</x:v>
      </x:c>
      <x:c r="D65" s="69" t="str">
        <x:v>Clean state-masked replacement</x:v>
      </x:c>
      <x:c r="E65" s="69" t="str">
        <x:v>Unchanged in this revision</x:v>
      </x:c>
      <x:c r="F65" s="69" t="str">
        <x:v>state_unchanged</x:v>
      </x:c>
      <x:c r="G65" s="69" t="str">
        <x:v>State Recognition intentionally deferred for separate redesign discussion</x:v>
      </x:c>
      <x:c r="H65" s="69" t="str">
        <x:v>No</x:v>
      </x:c>
      <x:c r="I65" s="69" t="str"/>
      <x:c r="J65" s="69" t="str">
        <x:v>yellow-white striped cup B (C, UD) [target, P4]; white cup B (O, UR); brown cup B (O, UR); glass spice container A (C, UD)</x:v>
      </x:c>
      <x:c r="K65" s="69" t="str">
        <x:v>yellow-white striped cup B</x:v>
      </x:c>
      <x:c r="L65" s="69" t="str">
        <x:v>Home</x:v>
      </x:c>
      <x:c r="M65" s="69" t="str">
        <x:v>Place a yellow-white striped cup in the bowl.</x:v>
      </x:c>
      <x:c r="N65" s="69" t="str">
        <x:v>yellow-white striped cup B (C, UD) [target, P4]; white cup B (O, UR); brown cup B (O, UR); glass spice container A (C, UD)</x:v>
      </x:c>
      <x:c r="O65" s="69" t="str">
        <x:v>yellow-white striped cup B</x:v>
      </x:c>
      <x:c r="P65" s="70" t="str">
        <x:v>Copied unchanged from the latest manifest. This workbook does not endorse or revise the state-recognition design.</x:v>
      </x:c>
    </x:row>
    <x:row r="66" ht="58" customHeight="1">
      <x:c r="A66" s="100" t="n">
        <x:v>64</x:v>
      </x:c>
      <x:c r="B66" s="69" t="str">
        <x:v>State Recognition</x:v>
      </x:c>
      <x:c r="C66" s="69" t="str">
        <x:v>Put the open yellow-white striped cup in the bowl.</x:v>
      </x:c>
      <x:c r="D66" s="69" t="str">
        <x:v>Explicit seen-state grounding</x:v>
      </x:c>
      <x:c r="E66" s="69" t="str">
        <x:v>Unchanged in this revision</x:v>
      </x:c>
      <x:c r="F66" s="69" t="str">
        <x:v>state_unchanged</x:v>
      </x:c>
      <x:c r="G66" s="69" t="str">
        <x:v>State Recognition intentionally deferred for separate redesign discussion</x:v>
      </x:c>
      <x:c r="H66" s="69" t="str">
        <x:v>No</x:v>
      </x:c>
      <x:c r="I66" s="69" t="str"/>
      <x:c r="J66" s="69" t="str">
        <x:v>yellow-white striped cup A, yellow-white striped cup B, brown cup B, glass spice container A</x:v>
      </x:c>
      <x:c r="K66" s="69" t="str">
        <x:v>yellow-white striped cup A</x:v>
      </x:c>
      <x:c r="L66" s="69" t="str">
        <x:v>Home</x:v>
      </x:c>
      <x:c r="M66" s="69" t="str">
        <x:v>Put the open yellow-white striped cup in the bowl.</x:v>
      </x:c>
      <x:c r="N66" s="69" t="str">
        <x:v>yellow-white striped cup A, yellow-white striped cup B, brown cup B, glass spice container A</x:v>
      </x:c>
      <x:c r="O66" s="69" t="str">
        <x:v>yellow-white striped cup A</x:v>
      </x:c>
      <x:c r="P66" s="70" t="str">
        <x:v>Copied unchanged from the latest manifest. This workbook does not endorse or revise the state-recognition design.</x:v>
      </x:c>
    </x:row>
    <x:row r="67" ht="58" customHeight="1">
      <x:c r="A67" s="100" t="n">
        <x:v>65</x:v>
      </x:c>
      <x:c r="B67" s="69" t="str">
        <x:v>State Recognition</x:v>
      </x:c>
      <x:c r="C67" s="69" t="str">
        <x:v>Move a yellow-white striped cup into the bowl.</x:v>
      </x:c>
      <x:c r="D67" s="69" t="str">
        <x:v>Clean state-masked replacement</x:v>
      </x:c>
      <x:c r="E67" s="69" t="str">
        <x:v>Unchanged in this revision</x:v>
      </x:c>
      <x:c r="F67" s="69" t="str">
        <x:v>state_unchanged</x:v>
      </x:c>
      <x:c r="G67" s="69" t="str">
        <x:v>State Recognition intentionally deferred for separate redesign discussion</x:v>
      </x:c>
      <x:c r="H67" s="69" t="str">
        <x:v>No</x:v>
      </x:c>
      <x:c r="I67" s="69" t="str"/>
      <x:c r="J67" s="69" t="str">
        <x:v>yellow-white striped cup B (O, UD) [target, P3]; white cup A (C, UR) [P2]; brown cup A (C, UD) [P4]; glass spice container B (O, UD) [P1]</x:v>
      </x:c>
      <x:c r="K67" s="69" t="str">
        <x:v>yellow-white striped cup B</x:v>
      </x:c>
      <x:c r="L67" s="69" t="str">
        <x:v>Home</x:v>
      </x:c>
      <x:c r="M67" s="69" t="str">
        <x:v>Move a yellow-white striped cup into the bowl.</x:v>
      </x:c>
      <x:c r="N67" s="69" t="str">
        <x:v>yellow-white striped cup B (O, UD) [target, P3]; white cup A (C, UR) [P2]; brown cup A (C, UD) [P4]; glass spice container B (O, UD) [P1]</x:v>
      </x:c>
      <x:c r="O67" s="69" t="str">
        <x:v>yellow-white striped cup B</x:v>
      </x:c>
      <x:c r="P67" s="70" t="str">
        <x:v>Copied unchanged from the latest manifest. This workbook does not endorse or revise the state-recognition design.</x:v>
      </x:c>
    </x:row>
    <x:row r="68" ht="58" customHeight="1">
      <x:c r="A68" s="100" t="n">
        <x:v>66</x:v>
      </x:c>
      <x:c r="B68" s="69" t="str">
        <x:v>State Recognition</x:v>
      </x:c>
      <x:c r="C68" s="69" t="str">
        <x:v>Place a yellow-white striped cup in the bowl.</x:v>
      </x:c>
      <x:c r="D68" s="69" t="str">
        <x:v>Clean state-masked exposure</x:v>
      </x:c>
      <x:c r="E68" s="69" t="str">
        <x:v>Unchanged in this revision</x:v>
      </x:c>
      <x:c r="F68" s="69" t="str">
        <x:v>state_unchanged</x:v>
      </x:c>
      <x:c r="G68" s="69" t="str">
        <x:v>State Recognition intentionally deferred for separate redesign discussion</x:v>
      </x:c>
      <x:c r="H68" s="69" t="str">
        <x:v>No</x:v>
      </x:c>
      <x:c r="I68" s="69" t="str"/>
      <x:c r="J68" s="69" t="str">
        <x:v>yellow-white striped cup A, brown cup A, glass spice container A, white cup A</x:v>
      </x:c>
      <x:c r="K68" s="69" t="str">
        <x:v>yellow-white striped cup A</x:v>
      </x:c>
      <x:c r="L68" s="69" t="str">
        <x:v>Home</x:v>
      </x:c>
      <x:c r="M68" s="69" t="str">
        <x:v>Place a yellow-white striped cup in the bowl.</x:v>
      </x:c>
      <x:c r="N68" s="69" t="str">
        <x:v>yellow-white striped cup A, brown cup A, glass spice container A, white cup A</x:v>
      </x:c>
      <x:c r="O68" s="69" t="str">
        <x:v>yellow-white striped cup A</x:v>
      </x:c>
      <x:c r="P68" s="70" t="str">
        <x:v>Copied unchanged from the latest manifest. This workbook does not endorse or revise the state-recognition design.</x:v>
      </x:c>
    </x:row>
    <x:row r="69" ht="58" customHeight="1">
      <x:c r="A69" s="100" t="n">
        <x:v>67</x:v>
      </x:c>
      <x:c r="B69" s="69" t="str">
        <x:v>State Recognition</x:v>
      </x:c>
      <x:c r="C69" s="69" t="str">
        <x:v>Put a yellow-white striped cup in the bowl.</x:v>
      </x:c>
      <x:c r="D69" s="69" t="str">
        <x:v>Clean state-masked replacement</x:v>
      </x:c>
      <x:c r="E69" s="69" t="str">
        <x:v>Unchanged in this revision</x:v>
      </x:c>
      <x:c r="F69" s="69" t="str">
        <x:v>state_unchanged</x:v>
      </x:c>
      <x:c r="G69" s="69" t="str">
        <x:v>State Recognition intentionally deferred for separate redesign discussion</x:v>
      </x:c>
      <x:c r="H69" s="69" t="str">
        <x:v>No</x:v>
      </x:c>
      <x:c r="I69" s="69" t="str"/>
      <x:c r="J69" s="69" t="str">
        <x:v>yellow-white striped cup A (C, UR) [target, P4]; white cup B (O, UD) [P3]; brown cup B (O, UR) [P1]; glass spice container A (C, UD) [P2]</x:v>
      </x:c>
      <x:c r="K69" s="69" t="str">
        <x:v>yellow-white striped cup A</x:v>
      </x:c>
      <x:c r="L69" s="69" t="str">
        <x:v>Home</x:v>
      </x:c>
      <x:c r="M69" s="69" t="str">
        <x:v>Put a yellow-white striped cup in the bowl.</x:v>
      </x:c>
      <x:c r="N69" s="69" t="str">
        <x:v>yellow-white striped cup A (C, UR) [target, P4]; white cup B (O, UD) [P3]; brown cup B (O, UR) [P1]; glass spice container A (C, UD) [P2]</x:v>
      </x:c>
      <x:c r="O69" s="69" t="str">
        <x:v>yellow-white striped cup A</x:v>
      </x:c>
      <x:c r="P69" s="70" t="str">
        <x:v>Copied unchanged from the latest manifest. This workbook does not endorse or revise the state-recognition design.</x:v>
      </x:c>
    </x:row>
    <x:row r="70" ht="58" customHeight="1">
      <x:c r="A70" s="100" t="n">
        <x:v>68</x:v>
      </x:c>
      <x:c r="B70" s="69" t="str">
        <x:v>State Recognition</x:v>
      </x:c>
      <x:c r="C70" s="69" t="str">
        <x:v>Move a yellow-white striped cup into the bowl.</x:v>
      </x:c>
      <x:c r="D70" s="69" t="str">
        <x:v>Clean state-masked replacement</x:v>
      </x:c>
      <x:c r="E70" s="69" t="str">
        <x:v>Unchanged in this revision</x:v>
      </x:c>
      <x:c r="F70" s="69" t="str">
        <x:v>state_unchanged</x:v>
      </x:c>
      <x:c r="G70" s="69" t="str">
        <x:v>State Recognition intentionally deferred for separate redesign discussion</x:v>
      </x:c>
      <x:c r="H70" s="69" t="str">
        <x:v>No</x:v>
      </x:c>
      <x:c r="I70" s="69" t="str"/>
      <x:c r="J70" s="69" t="str">
        <x:v>yellow-white striped cup B (O, UR) [target, P1]; white cup A (O, UD); brown cup A (C, UD); glass spice container A (O, UR)</x:v>
      </x:c>
      <x:c r="K70" s="69" t="str">
        <x:v>yellow-white striped cup B</x:v>
      </x:c>
      <x:c r="L70" s="69" t="str">
        <x:v>Home</x:v>
      </x:c>
      <x:c r="M70" s="69" t="str">
        <x:v>Move a yellow-white striped cup into the bowl.</x:v>
      </x:c>
      <x:c r="N70" s="69" t="str">
        <x:v>yellow-white striped cup B (O, UR) [target, P1]; white cup A (O, UD); brown cup A (C, UD); glass spice container A (O, UR)</x:v>
      </x:c>
      <x:c r="O70" s="69" t="str">
        <x:v>yellow-white striped cup B</x:v>
      </x:c>
      <x:c r="P70" s="70" t="str">
        <x:v>Copied unchanged from the latest manifest. This workbook does not endorse or revise the state-recognition design.</x:v>
      </x:c>
    </x:row>
    <x:row r="71" ht="58" customHeight="1">
      <x:c r="A71" s="100" t="n">
        <x:v>69</x:v>
      </x:c>
      <x:c r="B71" s="69" t="str">
        <x:v>State Recognition</x:v>
      </x:c>
      <x:c r="C71" s="69" t="str">
        <x:v>Place the open yellow-white striped cup in the bowl.</x:v>
      </x:c>
      <x:c r="D71" s="69" t="str">
        <x:v>Explicit seen-state grounding</x:v>
      </x:c>
      <x:c r="E71" s="69" t="str">
        <x:v>Unchanged in this revision</x:v>
      </x:c>
      <x:c r="F71" s="69" t="str">
        <x:v>state_unchanged</x:v>
      </x:c>
      <x:c r="G71" s="69" t="str">
        <x:v>State Recognition intentionally deferred for separate redesign discussion</x:v>
      </x:c>
      <x:c r="H71" s="69" t="str">
        <x:v>No</x:v>
      </x:c>
      <x:c r="I71" s="69" t="str"/>
      <x:c r="J71" s="69" t="str">
        <x:v>yellow-white striped cup A, yellow-white striped cup B, white cup A, brown cup B</x:v>
      </x:c>
      <x:c r="K71" s="69" t="str">
        <x:v>yellow-white striped cup A</x:v>
      </x:c>
      <x:c r="L71" s="69" t="str">
        <x:v>Recovery</x:v>
      </x:c>
      <x:c r="M71" s="69" t="str">
        <x:v>Place the open yellow-white striped cup in the bowl.</x:v>
      </x:c>
      <x:c r="N71" s="69" t="str">
        <x:v>yellow-white striped cup A, yellow-white striped cup B, white cup A, brown cup B</x:v>
      </x:c>
      <x:c r="O71" s="69" t="str">
        <x:v>yellow-white striped cup A</x:v>
      </x:c>
      <x:c r="P71" s="70" t="str">
        <x:v>Copied unchanged from the latest manifest. This workbook does not endorse or revise the state-recognition design.</x:v>
      </x:c>
    </x:row>
    <x:row r="72" ht="58" customHeight="1">
      <x:c r="A72" s="100" t="n">
        <x:v>70</x:v>
      </x:c>
      <x:c r="B72" s="69" t="str">
        <x:v>State Recognition</x:v>
      </x:c>
      <x:c r="C72" s="69" t="str">
        <x:v>Put a yellow-white striped cup in the bowl.</x:v>
      </x:c>
      <x:c r="D72" s="69" t="str">
        <x:v>Clean state-masked exposure</x:v>
      </x:c>
      <x:c r="E72" s="69" t="str">
        <x:v>Unchanged in this revision</x:v>
      </x:c>
      <x:c r="F72" s="69" t="str">
        <x:v>state_unchanged</x:v>
      </x:c>
      <x:c r="G72" s="69" t="str">
        <x:v>State Recognition intentionally deferred for separate redesign discussion</x:v>
      </x:c>
      <x:c r="H72" s="69" t="str">
        <x:v>No</x:v>
      </x:c>
      <x:c r="I72" s="69" t="str"/>
      <x:c r="J72" s="69" t="str">
        <x:v>yellow-white striped cup A, glass spice container A, white cup A</x:v>
      </x:c>
      <x:c r="K72" s="69" t="str">
        <x:v>yellow-white striped cup A</x:v>
      </x:c>
      <x:c r="L72" s="69" t="str">
        <x:v>Home</x:v>
      </x:c>
      <x:c r="M72" s="69" t="str">
        <x:v>Put a yellow-white striped cup in the bowl.</x:v>
      </x:c>
      <x:c r="N72" s="69" t="str">
        <x:v>yellow-white striped cup A, glass spice container A, white cup A</x:v>
      </x:c>
      <x:c r="O72" s="69" t="str">
        <x:v>yellow-white striped cup A</x:v>
      </x:c>
      <x:c r="P72" s="70" t="str">
        <x:v>Copied unchanged from the latest manifest. This workbook does not endorse or revise the state-recognition design.</x:v>
      </x:c>
    </x:row>
    <x:row r="73" ht="58" customHeight="1">
      <x:c r="A73" s="100" t="n">
        <x:v>71</x:v>
      </x:c>
      <x:c r="B73" s="69" t="str">
        <x:v>State Recognition</x:v>
      </x:c>
      <x:c r="C73" s="69" t="str">
        <x:v>Move a yellow-white striped cup into the bowl.</x:v>
      </x:c>
      <x:c r="D73" s="69" t="str">
        <x:v>Clean state-masked replacement</x:v>
      </x:c>
      <x:c r="E73" s="69" t="str">
        <x:v>Unchanged in this revision</x:v>
      </x:c>
      <x:c r="F73" s="69" t="str">
        <x:v>state_unchanged</x:v>
      </x:c>
      <x:c r="G73" s="69" t="str">
        <x:v>State Recognition intentionally deferred for separate redesign discussion</x:v>
      </x:c>
      <x:c r="H73" s="69" t="str">
        <x:v>No</x:v>
      </x:c>
      <x:c r="I73" s="69" t="str"/>
      <x:c r="J73" s="69" t="str">
        <x:v>yellow-white striped cup B (O, UR) [target, P1]; white cup A (C, UD) [P2]; brown cup A (C, UR) [P3]; glass spice container B (O, UR) [P4]</x:v>
      </x:c>
      <x:c r="K73" s="69" t="str">
        <x:v>yellow-white striped cup B</x:v>
      </x:c>
      <x:c r="L73" s="69" t="str">
        <x:v>Home</x:v>
      </x:c>
      <x:c r="M73" s="69" t="str">
        <x:v>Move a yellow-white striped cup into the bowl.</x:v>
      </x:c>
      <x:c r="N73" s="69" t="str">
        <x:v>yellow-white striped cup B (O, UR) [target, P1]; white cup A (C, UD) [P2]; brown cup A (C, UR) [P3]; glass spice container B (O, UR) [P4]</x:v>
      </x:c>
      <x:c r="O73" s="69" t="str">
        <x:v>yellow-white striped cup B</x:v>
      </x:c>
      <x:c r="P73" s="70" t="str">
        <x:v>Copied unchanged from the latest manifest. This workbook does not endorse or revise the state-recognition design.</x:v>
      </x:c>
    </x:row>
    <x:row r="74" ht="58" customHeight="1">
      <x:c r="A74" s="100" t="n">
        <x:v>72</x:v>
      </x:c>
      <x:c r="B74" s="69" t="str">
        <x:v>State Recognition</x:v>
      </x:c>
      <x:c r="C74" s="69" t="str">
        <x:v>Place a yellow-white striped cup in the bowl.</x:v>
      </x:c>
      <x:c r="D74" s="69" t="str">
        <x:v>Clean state-masked exposure</x:v>
      </x:c>
      <x:c r="E74" s="69" t="str">
        <x:v>Unchanged in this revision</x:v>
      </x:c>
      <x:c r="F74" s="69" t="str">
        <x:v>state_unchanged</x:v>
      </x:c>
      <x:c r="G74" s="69" t="str">
        <x:v>State Recognition intentionally deferred for separate redesign discussion</x:v>
      </x:c>
      <x:c r="H74" s="69" t="str">
        <x:v>No</x:v>
      </x:c>
      <x:c r="I74" s="69" t="str"/>
      <x:c r="J74" s="69" t="str">
        <x:v>yellow-white striped cup B, white cup A, brown cup B, glass spice container B</x:v>
      </x:c>
      <x:c r="K74" s="69" t="str">
        <x:v>yellow-white striped cup B</x:v>
      </x:c>
      <x:c r="L74" s="69" t="str">
        <x:v>Recovery</x:v>
      </x:c>
      <x:c r="M74" s="69" t="str">
        <x:v>Place a yellow-white striped cup in the bowl.</x:v>
      </x:c>
      <x:c r="N74" s="69" t="str">
        <x:v>yellow-white striped cup B, white cup A, brown cup B, glass spice container B</x:v>
      </x:c>
      <x:c r="O74" s="69" t="str">
        <x:v>yellow-white striped cup B</x:v>
      </x:c>
      <x:c r="P74" s="70" t="str">
        <x:v>Copied unchanged from the latest manifest. This workbook does not endorse or revise the state-recognition design.</x:v>
      </x:c>
    </x:row>
    <x:row r="75" ht="58" customHeight="1">
      <x:c r="A75" s="100" t="n">
        <x:v>73</x:v>
      </x:c>
      <x:c r="B75" s="69" t="str">
        <x:v>State Recognition</x:v>
      </x:c>
      <x:c r="C75" s="69" t="str">
        <x:v>Put a yellow-white striped cup in the bowl.</x:v>
      </x:c>
      <x:c r="D75" s="69" t="str">
        <x:v>Clean state-masked replacement</x:v>
      </x:c>
      <x:c r="E75" s="69" t="str">
        <x:v>Unchanged in this revision</x:v>
      </x:c>
      <x:c r="F75" s="69" t="str">
        <x:v>state_unchanged</x:v>
      </x:c>
      <x:c r="G75" s="69" t="str">
        <x:v>State Recognition intentionally deferred for separate redesign discussion</x:v>
      </x:c>
      <x:c r="H75" s="69" t="str">
        <x:v>No</x:v>
      </x:c>
      <x:c r="I75" s="69" t="str"/>
      <x:c r="J75" s="69" t="str">
        <x:v>yellow-white striped cup A (C, UR) [target, P2]; white cup B (C, UD); brown cup A (O, UR); glass spice container B (O, UD)</x:v>
      </x:c>
      <x:c r="K75" s="69" t="str">
        <x:v>yellow-white striped cup A</x:v>
      </x:c>
      <x:c r="L75" s="69" t="str">
        <x:v>Home</x:v>
      </x:c>
      <x:c r="M75" s="69" t="str">
        <x:v>Put a yellow-white striped cup in the bowl.</x:v>
      </x:c>
      <x:c r="N75" s="69" t="str">
        <x:v>yellow-white striped cup A (C, UR) [target, P2]; white cup B (C, UD); brown cup A (O, UR); glass spice container B (O, UD)</x:v>
      </x:c>
      <x:c r="O75" s="69" t="str">
        <x:v>yellow-white striped cup A</x:v>
      </x:c>
      <x:c r="P75" s="70" t="str">
        <x:v>Copied unchanged from the latest manifest. This workbook does not endorse or revise the state-recognition design.</x:v>
      </x:c>
    </x:row>
    <x:row r="76" ht="58" customHeight="1">
      <x:c r="A76" s="100" t="n">
        <x:v>74</x:v>
      </x:c>
      <x:c r="B76" s="69" t="str">
        <x:v>State Recognition</x:v>
      </x:c>
      <x:c r="C76" s="69" t="str">
        <x:v>Move a yellow-white striped cup into the bowl.</x:v>
      </x:c>
      <x:c r="D76" s="69" t="str">
        <x:v>Clean state-masked replacement</x:v>
      </x:c>
      <x:c r="E76" s="69" t="str">
        <x:v>Unchanged in this revision</x:v>
      </x:c>
      <x:c r="F76" s="69" t="str">
        <x:v>state_unchanged</x:v>
      </x:c>
      <x:c r="G76" s="69" t="str">
        <x:v>State Recognition intentionally deferred for separate redesign discussion</x:v>
      </x:c>
      <x:c r="H76" s="69" t="str">
        <x:v>No</x:v>
      </x:c>
      <x:c r="I76" s="69" t="str"/>
      <x:c r="J76" s="69" t="str">
        <x:v>yellow-white striped cup A (O, UD) [target, P3]; white cup A (O, UR); brown cup B (C, UD); glass spice container B (C, UR)</x:v>
      </x:c>
      <x:c r="K76" s="69" t="str">
        <x:v>yellow-white striped cup A</x:v>
      </x:c>
      <x:c r="L76" s="69" t="str">
        <x:v>Home</x:v>
      </x:c>
      <x:c r="M76" s="69" t="str">
        <x:v>Move a yellow-white striped cup into the bowl.</x:v>
      </x:c>
      <x:c r="N76" s="69" t="str">
        <x:v>yellow-white striped cup A (O, UD) [target, P3]; white cup A (O, UR); brown cup B (C, UD); glass spice container B (C, UR)</x:v>
      </x:c>
      <x:c r="O76" s="69" t="str">
        <x:v>yellow-white striped cup A</x:v>
      </x:c>
      <x:c r="P76" s="70" t="str">
        <x:v>Copied unchanged from the latest manifest. This workbook does not endorse or revise the state-recognition design.</x:v>
      </x:c>
    </x:row>
    <x:row r="77" ht="58" customHeight="1">
      <x:c r="A77" s="100" t="n">
        <x:v>75</x:v>
      </x:c>
      <x:c r="B77" s="69" t="str">
        <x:v>State Recognition</x:v>
      </x:c>
      <x:c r="C77" s="69" t="str">
        <x:v>Place a yellow-white striped cup in the bowl.</x:v>
      </x:c>
      <x:c r="D77" s="69" t="str">
        <x:v>Clean state-masked replacement</x:v>
      </x:c>
      <x:c r="E77" s="69" t="str">
        <x:v>Unchanged in this revision</x:v>
      </x:c>
      <x:c r="F77" s="69" t="str">
        <x:v>state_unchanged</x:v>
      </x:c>
      <x:c r="G77" s="69" t="str">
        <x:v>State Recognition intentionally deferred for separate redesign discussion</x:v>
      </x:c>
      <x:c r="H77" s="69" t="str">
        <x:v>No</x:v>
      </x:c>
      <x:c r="I77" s="69" t="str"/>
      <x:c r="J77" s="69" t="str">
        <x:v>yellow-white striped cup B (C, UD) [target, P2]; white cup B (O, UR) [P3]; brown cup B (O, UD) [P4]; glass spice container A (C, UR) [P1]</x:v>
      </x:c>
      <x:c r="K77" s="69" t="str">
        <x:v>yellow-white striped cup B</x:v>
      </x:c>
      <x:c r="L77" s="69" t="str">
        <x:v>Recovery</x:v>
      </x:c>
      <x:c r="M77" s="69" t="str">
        <x:v>Place a yellow-white striped cup in the bowl.</x:v>
      </x:c>
      <x:c r="N77" s="69" t="str">
        <x:v>yellow-white striped cup B (C, UD) [target, P2]; white cup B (O, UR) [P3]; brown cup B (O, UD) [P4]; glass spice container A (C, UR) [P1]</x:v>
      </x:c>
      <x:c r="O77" s="69" t="str">
        <x:v>yellow-white striped cup B</x:v>
      </x:c>
      <x:c r="P77" s="70" t="str">
        <x:v>Copied unchanged from the latest manifest. This workbook does not endorse or revise the state-recognition design.</x:v>
      </x:c>
    </x:row>
    <x:row r="78" ht="58" customHeight="1">
      <x:c r="A78" s="100" t="n">
        <x:v>76</x:v>
      </x:c>
      <x:c r="B78" s="69" t="str">
        <x:v>State Recognition</x:v>
      </x:c>
      <x:c r="C78" s="69" t="str">
        <x:v>Put a yellow-white striped cup in the bowl.</x:v>
      </x:c>
      <x:c r="D78" s="69" t="str">
        <x:v>Clean state-masked replacement</x:v>
      </x:c>
      <x:c r="E78" s="69" t="str">
        <x:v>Unchanged in this revision</x:v>
      </x:c>
      <x:c r="F78" s="69" t="str">
        <x:v>state_unchanged</x:v>
      </x:c>
      <x:c r="G78" s="69" t="str">
        <x:v>State Recognition intentionally deferred for separate redesign discussion</x:v>
      </x:c>
      <x:c r="H78" s="69" t="str">
        <x:v>No</x:v>
      </x:c>
      <x:c r="I78" s="69" t="str"/>
      <x:c r="J78" s="69" t="str">
        <x:v>yellow-white striped cup B (O, UD) [target, P4]; white cup B (C, UD); brown cup B (O, UD); glass spice container B (O, UR)</x:v>
      </x:c>
      <x:c r="K78" s="69" t="str">
        <x:v>yellow-white striped cup B</x:v>
      </x:c>
      <x:c r="L78" s="69" t="str">
        <x:v>Home</x:v>
      </x:c>
      <x:c r="M78" s="69" t="str">
        <x:v>Put a yellow-white striped cup in the bowl.</x:v>
      </x:c>
      <x:c r="N78" s="69" t="str">
        <x:v>yellow-white striped cup B (O, UD) [target, P4]; white cup B (C, UD); brown cup B (O, UD); glass spice container B (O, UR)</x:v>
      </x:c>
      <x:c r="O78" s="69" t="str">
        <x:v>yellow-white striped cup B</x:v>
      </x:c>
      <x:c r="P78" s="70" t="str">
        <x:v>Copied unchanged from the latest manifest. This workbook does not endorse or revise the state-recognition design.</x:v>
      </x:c>
    </x:row>
    <x:row r="79" ht="58" customHeight="1">
      <x:c r="A79" s="100" t="n">
        <x:v>77</x:v>
      </x:c>
      <x:c r="B79" s="69" t="str">
        <x:v>State Recognition</x:v>
      </x:c>
      <x:c r="C79" s="69" t="str">
        <x:v>Move a yellow-white striped cup into the bowl.</x:v>
      </x:c>
      <x:c r="D79" s="69" t="str">
        <x:v>Clean state-masked exposure</x:v>
      </x:c>
      <x:c r="E79" s="69" t="str">
        <x:v>Unchanged in this revision</x:v>
      </x:c>
      <x:c r="F79" s="69" t="str">
        <x:v>state_unchanged</x:v>
      </x:c>
      <x:c r="G79" s="69" t="str">
        <x:v>State Recognition intentionally deferred for separate redesign discussion</x:v>
      </x:c>
      <x:c r="H79" s="69" t="str">
        <x:v>No</x:v>
      </x:c>
      <x:c r="I79" s="69" t="str"/>
      <x:c r="J79" s="69" t="str">
        <x:v>yellow-white striped cup A, glass spice container A, white cup A</x:v>
      </x:c>
      <x:c r="K79" s="69" t="str">
        <x:v>yellow-white striped cup A</x:v>
      </x:c>
      <x:c r="L79" s="69" t="str">
        <x:v>Home</x:v>
      </x:c>
      <x:c r="M79" s="69" t="str">
        <x:v>Move a yellow-white striped cup into the bowl.</x:v>
      </x:c>
      <x:c r="N79" s="69" t="str">
        <x:v>yellow-white striped cup A, glass spice container A, white cup A</x:v>
      </x:c>
      <x:c r="O79" s="69" t="str">
        <x:v>yellow-white striped cup A</x:v>
      </x:c>
      <x:c r="P79" s="70" t="str">
        <x:v>Copied unchanged from the latest manifest. This workbook does not endorse or revise the state-recognition design.</x:v>
      </x:c>
    </x:row>
    <x:row r="80" ht="58" customHeight="1">
      <x:c r="A80" s="100" t="n">
        <x:v>78</x:v>
      </x:c>
      <x:c r="B80" s="69" t="str">
        <x:v>State Recognition</x:v>
      </x:c>
      <x:c r="C80" s="69" t="str">
        <x:v>Place a yellow-white striped cup in the bowl.</x:v>
      </x:c>
      <x:c r="D80" s="69" t="str">
        <x:v>Clean state-masked replacement</x:v>
      </x:c>
      <x:c r="E80" s="69" t="str">
        <x:v>Unchanged in this revision</x:v>
      </x:c>
      <x:c r="F80" s="69" t="str">
        <x:v>state_unchanged</x:v>
      </x:c>
      <x:c r="G80" s="69" t="str">
        <x:v>State Recognition intentionally deferred for separate redesign discussion</x:v>
      </x:c>
      <x:c r="H80" s="69" t="str">
        <x:v>No</x:v>
      </x:c>
      <x:c r="I80" s="69" t="str"/>
      <x:c r="J80" s="69" t="str">
        <x:v>yellow-white striped cup B (O, UD) [target, P3]; white cup A (C, UR) [P4]; brown cup A (C, UD) [P1]; glass spice container B (O, UD) [P2]</x:v>
      </x:c>
      <x:c r="K80" s="69" t="str">
        <x:v>yellow-white striped cup B</x:v>
      </x:c>
      <x:c r="L80" s="69" t="str">
        <x:v>Home</x:v>
      </x:c>
      <x:c r="M80" s="69" t="str">
        <x:v>Place a yellow-white striped cup in the bowl.</x:v>
      </x:c>
      <x:c r="N80" s="69" t="str">
        <x:v>yellow-white striped cup B (O, UD) [target, P3]; white cup A (C, UR) [P4]; brown cup A (C, UD) [P1]; glass spice container B (O, UD) [P2]</x:v>
      </x:c>
      <x:c r="O80" s="69" t="str">
        <x:v>yellow-white striped cup B</x:v>
      </x:c>
      <x:c r="P80" s="70" t="str">
        <x:v>Copied unchanged from the latest manifest. This workbook does not endorse or revise the state-recognition design.</x:v>
      </x:c>
    </x:row>
    <x:row r="81" ht="58" customHeight="1">
      <x:c r="A81" s="100" t="n">
        <x:v>79</x:v>
      </x:c>
      <x:c r="B81" s="69" t="str">
        <x:v>State Recognition</x:v>
      </x:c>
      <x:c r="C81" s="69" t="str">
        <x:v>Put a yellow-white striped cup in the bowl.</x:v>
      </x:c>
      <x:c r="D81" s="69" t="str">
        <x:v>Clean state-masked replacement</x:v>
      </x:c>
      <x:c r="E81" s="69" t="str">
        <x:v>Unchanged in this revision</x:v>
      </x:c>
      <x:c r="F81" s="69" t="str">
        <x:v>state_unchanged</x:v>
      </x:c>
      <x:c r="G81" s="69" t="str">
        <x:v>State Recognition intentionally deferred for separate redesign discussion</x:v>
      </x:c>
      <x:c r="H81" s="69" t="str">
        <x:v>No</x:v>
      </x:c>
      <x:c r="I81" s="69" t="str"/>
      <x:c r="J81" s="69" t="str">
        <x:v>yellow-white striped cup A (O, UD) [target, P1]; white cup A (C, UD); brown cup A (O, UD); glass spice container B (C, UR)</x:v>
      </x:c>
      <x:c r="K81" s="69" t="str">
        <x:v>yellow-white striped cup A</x:v>
      </x:c>
      <x:c r="L81" s="69" t="str">
        <x:v>Home</x:v>
      </x:c>
      <x:c r="M81" s="69" t="str">
        <x:v>Put a yellow-white striped cup in the bowl.</x:v>
      </x:c>
      <x:c r="N81" s="69" t="str">
        <x:v>yellow-white striped cup A (O, UD) [target, P1]; white cup A (C, UD); brown cup A (O, UD); glass spice container B (C, UR)</x:v>
      </x:c>
      <x:c r="O81" s="69" t="str">
        <x:v>yellow-white striped cup A</x:v>
      </x:c>
      <x:c r="P81" s="70" t="str">
        <x:v>Copied unchanged from the latest manifest. This workbook does not endorse or revise the state-recognition design.</x:v>
      </x:c>
    </x:row>
    <x:row r="82" ht="58" customHeight="1">
      <x:c r="A82" s="100" t="n">
        <x:v>80</x:v>
      </x:c>
      <x:c r="B82" s="69" t="str">
        <x:v>State Recognition</x:v>
      </x:c>
      <x:c r="C82" s="69" t="str">
        <x:v>Move the open yellow-white striped cup into the bowl.</x:v>
      </x:c>
      <x:c r="D82" s="69" t="str">
        <x:v>Explicit seen-state grounding</x:v>
      </x:c>
      <x:c r="E82" s="69" t="str">
        <x:v>Unchanged in this revision</x:v>
      </x:c>
      <x:c r="F82" s="69" t="str">
        <x:v>state_unchanged</x:v>
      </x:c>
      <x:c r="G82" s="69" t="str">
        <x:v>State Recognition intentionally deferred for separate redesign discussion</x:v>
      </x:c>
      <x:c r="H82" s="69" t="str">
        <x:v>No</x:v>
      </x:c>
      <x:c r="I82" s="69" t="str"/>
      <x:c r="J82" s="69" t="str">
        <x:v>yellow-white striped cup A, yellow-white striped cup B, white cup B, brown cup A</x:v>
      </x:c>
      <x:c r="K82" s="69" t="str">
        <x:v>yellow-white striped cup A</x:v>
      </x:c>
      <x:c r="L82" s="69" t="str">
        <x:v>Home</x:v>
      </x:c>
      <x:c r="M82" s="69" t="str">
        <x:v>Move the open yellow-white striped cup into the bowl.</x:v>
      </x:c>
      <x:c r="N82" s="69" t="str">
        <x:v>yellow-white striped cup A, yellow-white striped cup B, white cup B, brown cup A</x:v>
      </x:c>
      <x:c r="O82" s="69" t="str">
        <x:v>yellow-white striped cup A</x:v>
      </x:c>
      <x:c r="P82" s="70" t="str">
        <x:v>Copied unchanged from the latest manifest. This workbook does not endorse or revise the state-recognition design.</x:v>
      </x:c>
    </x:row>
    <x:row r="83" ht="58" customHeight="1">
      <x:c r="A83" s="100" t="n">
        <x:v>81</x:v>
      </x:c>
      <x:c r="B83" s="69" t="str">
        <x:v>State Recognition</x:v>
      </x:c>
      <x:c r="C83" s="69" t="str">
        <x:v>Place a yellow-white striped cup in the bowl.</x:v>
      </x:c>
      <x:c r="D83" s="69" t="str">
        <x:v>Clean state-masked exposure</x:v>
      </x:c>
      <x:c r="E83" s="69" t="str">
        <x:v>Unchanged in this revision</x:v>
      </x:c>
      <x:c r="F83" s="69" t="str">
        <x:v>state_unchanged</x:v>
      </x:c>
      <x:c r="G83" s="69" t="str">
        <x:v>State Recognition intentionally deferred for separate redesign discussion</x:v>
      </x:c>
      <x:c r="H83" s="69" t="str">
        <x:v>No</x:v>
      </x:c>
      <x:c r="I83" s="69" t="str"/>
      <x:c r="J83" s="69" t="str">
        <x:v>yellow-white striped cup B, white cup A, brown cup B, glass spice container B</x:v>
      </x:c>
      <x:c r="K83" s="69" t="str">
        <x:v>yellow-white striped cup B</x:v>
      </x:c>
      <x:c r="L83" s="69" t="str">
        <x:v>Home</x:v>
      </x:c>
      <x:c r="M83" s="69" t="str">
        <x:v>Place a yellow-white striped cup in the bowl.</x:v>
      </x:c>
      <x:c r="N83" s="69" t="str">
        <x:v>yellow-white striped cup B, white cup A, brown cup B, glass spice container B</x:v>
      </x:c>
      <x:c r="O83" s="69" t="str">
        <x:v>yellow-white striped cup B</x:v>
      </x:c>
      <x:c r="P83" s="70" t="str">
        <x:v>Copied unchanged from the latest manifest. This workbook does not endorse or revise the state-recognition design.</x:v>
      </x:c>
    </x:row>
    <x:row r="84" ht="58" customHeight="1">
      <x:c r="A84" s="100" t="n">
        <x:v>82</x:v>
      </x:c>
      <x:c r="B84" s="69" t="str">
        <x:v>State Recognition</x:v>
      </x:c>
      <x:c r="C84" s="69" t="str">
        <x:v>Put a yellow-white striped cup in the bowl.</x:v>
      </x:c>
      <x:c r="D84" s="69" t="str">
        <x:v>Clean state-masked replacement</x:v>
      </x:c>
      <x:c r="E84" s="69" t="str">
        <x:v>Unchanged in this revision</x:v>
      </x:c>
      <x:c r="F84" s="69" t="str">
        <x:v>state_unchanged</x:v>
      </x:c>
      <x:c r="G84" s="69" t="str">
        <x:v>State Recognition intentionally deferred for separate redesign discussion</x:v>
      </x:c>
      <x:c r="H84" s="69" t="str">
        <x:v>No</x:v>
      </x:c>
      <x:c r="I84" s="69" t="str"/>
      <x:c r="J84" s="69" t="str">
        <x:v>yellow-white striped cup B (C, UR) [target, P4]; white cup B (O, UD) [P1]; brown cup B (O, UR) [P2]; glass spice container A (C, UD) [P3]</x:v>
      </x:c>
      <x:c r="K84" s="69" t="str">
        <x:v>yellow-white striped cup B</x:v>
      </x:c>
      <x:c r="L84" s="69" t="str">
        <x:v>Home</x:v>
      </x:c>
      <x:c r="M84" s="69" t="str">
        <x:v>Put a yellow-white striped cup in the bowl.</x:v>
      </x:c>
      <x:c r="N84" s="69" t="str">
        <x:v>yellow-white striped cup B (C, UR) [target, P4]; white cup B (O, UD) [P1]; brown cup B (O, UR) [P2]; glass spice container A (C, UD) [P3]</x:v>
      </x:c>
      <x:c r="O84" s="69" t="str">
        <x:v>yellow-white striped cup B</x:v>
      </x:c>
      <x:c r="P84" s="70" t="str">
        <x:v>Copied unchanged from the latest manifest. This workbook does not endorse or revise the state-recognition design.</x:v>
      </x:c>
    </x:row>
    <x:row r="85" ht="58" customHeight="1">
      <x:c r="A85" s="100" t="n">
        <x:v>83</x:v>
      </x:c>
      <x:c r="B85" s="69" t="str">
        <x:v>State Recognition</x:v>
      </x:c>
      <x:c r="C85" s="69" t="str">
        <x:v>Move a yellow-white striped cup into the bowl.</x:v>
      </x:c>
      <x:c r="D85" s="69" t="str">
        <x:v>Clean state-masked replacement</x:v>
      </x:c>
      <x:c r="E85" s="69" t="str">
        <x:v>Unchanged in this revision</x:v>
      </x:c>
      <x:c r="F85" s="69" t="str">
        <x:v>state_unchanged</x:v>
      </x:c>
      <x:c r="G85" s="69" t="str">
        <x:v>State Recognition intentionally deferred for separate redesign discussion</x:v>
      </x:c>
      <x:c r="H85" s="69" t="str">
        <x:v>No</x:v>
      </x:c>
      <x:c r="I85" s="69" t="str"/>
      <x:c r="J85" s="69" t="str">
        <x:v>yellow-white striped cup A (C, UD) [target, P2]; white cup B (O, UD); brown cup B (O, UR); glass spice container A (C, UD)</x:v>
      </x:c>
      <x:c r="K85" s="69" t="str">
        <x:v>yellow-white striped cup A</x:v>
      </x:c>
      <x:c r="L85" s="69" t="str">
        <x:v>Recovery</x:v>
      </x:c>
      <x:c r="M85" s="69" t="str">
        <x:v>Move a yellow-white striped cup into the bowl.</x:v>
      </x:c>
      <x:c r="N85" s="69" t="str">
        <x:v>yellow-white striped cup A (C, UD) [target, P2]; white cup B (O, UD); brown cup B (O, UR); glass spice container A (C, UD)</x:v>
      </x:c>
      <x:c r="O85" s="69" t="str">
        <x:v>yellow-white striped cup A</x:v>
      </x:c>
      <x:c r="P85" s="70" t="str">
        <x:v>Copied unchanged from the latest manifest. This workbook does not endorse or revise the state-recognition design.</x:v>
      </x:c>
    </x:row>
    <x:row r="86" ht="58" customHeight="1">
      <x:c r="A86" s="100" t="n">
        <x:v>84</x:v>
      </x:c>
      <x:c r="B86" s="69" t="str">
        <x:v>State Recognition</x:v>
      </x:c>
      <x:c r="C86" s="69" t="str">
        <x:v>Place the open yellow-white striped cup in the bowl.</x:v>
      </x:c>
      <x:c r="D86" s="69" t="str">
        <x:v>Explicit seen-state grounding</x:v>
      </x:c>
      <x:c r="E86" s="69" t="str">
        <x:v>Unchanged in this revision</x:v>
      </x:c>
      <x:c r="F86" s="69" t="str">
        <x:v>state_unchanged</x:v>
      </x:c>
      <x:c r="G86" s="69" t="str">
        <x:v>State Recognition intentionally deferred for separate redesign discussion</x:v>
      </x:c>
      <x:c r="H86" s="69" t="str">
        <x:v>No</x:v>
      </x:c>
      <x:c r="I86" s="69" t="str"/>
      <x:c r="J86" s="69" t="str">
        <x:v>yellow-white striped cup A, yellow-white striped cup B, brown cup B</x:v>
      </x:c>
      <x:c r="K86" s="69" t="str">
        <x:v>yellow-white striped cup A</x:v>
      </x:c>
      <x:c r="L86" s="69" t="str">
        <x:v>Home</x:v>
      </x:c>
      <x:c r="M86" s="69" t="str">
        <x:v>Place the open yellow-white striped cup in the bowl.</x:v>
      </x:c>
      <x:c r="N86" s="69" t="str">
        <x:v>yellow-white striped cup A, yellow-white striped cup B, brown cup B</x:v>
      </x:c>
      <x:c r="O86" s="69" t="str">
        <x:v>yellow-white striped cup A</x:v>
      </x:c>
      <x:c r="P86" s="70" t="str">
        <x:v>Copied unchanged from the latest manifest. This workbook does not endorse or revise the state-recognition design.</x:v>
      </x:c>
    </x:row>
    <x:row r="87" ht="58" customHeight="1">
      <x:c r="A87" s="100" t="n">
        <x:v>85</x:v>
      </x:c>
      <x:c r="B87" s="69" t="str">
        <x:v>State Recognition</x:v>
      </x:c>
      <x:c r="C87" s="69" t="str">
        <x:v>Put the upside-down yellow-white striped cup in the bowl.</x:v>
      </x:c>
      <x:c r="D87" s="69" t="str">
        <x:v>Explicit seen-state grounding</x:v>
      </x:c>
      <x:c r="E87" s="69" t="str">
        <x:v>Unchanged in this revision</x:v>
      </x:c>
      <x:c r="F87" s="69" t="str">
        <x:v>state_unchanged</x:v>
      </x:c>
      <x:c r="G87" s="69" t="str">
        <x:v>State Recognition intentionally deferred for separate redesign discussion</x:v>
      </x:c>
      <x:c r="H87" s="69" t="str">
        <x:v>No</x:v>
      </x:c>
      <x:c r="I87" s="69" t="str"/>
      <x:c r="J87" s="69" t="str">
        <x:v>yellow-white striped cup B, yellow-white striped cup A, glass spice container A, white cup B</x:v>
      </x:c>
      <x:c r="K87" s="69" t="str">
        <x:v>yellow-white striped cup B</x:v>
      </x:c>
      <x:c r="L87" s="69" t="str">
        <x:v>Home</x:v>
      </x:c>
      <x:c r="M87" s="69" t="str">
        <x:v>Put the upside-down yellow-white striped cup in the bowl.</x:v>
      </x:c>
      <x:c r="N87" s="69" t="str">
        <x:v>yellow-white striped cup B, yellow-white striped cup A, glass spice container A, white cup B</x:v>
      </x:c>
      <x:c r="O87" s="69" t="str">
        <x:v>yellow-white striped cup B</x:v>
      </x:c>
      <x:c r="P87" s="70" t="str">
        <x:v>Copied unchanged from the latest manifest. This workbook does not endorse or revise the state-recognition design.</x:v>
      </x:c>
    </x:row>
    <x:row r="88" ht="58" customHeight="1">
      <x:c r="A88" s="100" t="n">
        <x:v>86</x:v>
      </x:c>
      <x:c r="B88" s="69" t="str">
        <x:v>State Recognition</x:v>
      </x:c>
      <x:c r="C88" s="69" t="str">
        <x:v>Move the open yellow-white striped cup into the bowl.</x:v>
      </x:c>
      <x:c r="D88" s="69" t="str">
        <x:v>Explicit seen-state grounding</x:v>
      </x:c>
      <x:c r="E88" s="69" t="str">
        <x:v>Unchanged in this revision</x:v>
      </x:c>
      <x:c r="F88" s="69" t="str">
        <x:v>state_unchanged</x:v>
      </x:c>
      <x:c r="G88" s="69" t="str">
        <x:v>State Recognition intentionally deferred for separate redesign discussion</x:v>
      </x:c>
      <x:c r="H88" s="69" t="str">
        <x:v>No</x:v>
      </x:c>
      <x:c r="I88" s="69" t="str"/>
      <x:c r="J88" s="69" t="str">
        <x:v>yellow-white striped cup B, yellow-white striped cup A, white cup B, brown cup A</x:v>
      </x:c>
      <x:c r="K88" s="69" t="str">
        <x:v>yellow-white striped cup B</x:v>
      </x:c>
      <x:c r="L88" s="69" t="str">
        <x:v>Home</x:v>
      </x:c>
      <x:c r="M88" s="69" t="str">
        <x:v>Move the open yellow-white striped cup into the bowl.</x:v>
      </x:c>
      <x:c r="N88" s="69" t="str">
        <x:v>yellow-white striped cup B, yellow-white striped cup A, white cup B, brown cup A</x:v>
      </x:c>
      <x:c r="O88" s="69" t="str">
        <x:v>yellow-white striped cup B</x:v>
      </x:c>
      <x:c r="P88" s="70" t="str">
        <x:v>Copied unchanged from the latest manifest. This workbook does not endorse or revise the state-recognition design.</x:v>
      </x:c>
    </x:row>
    <x:row r="89" ht="58" customHeight="1">
      <x:c r="A89" s="100" t="n">
        <x:v>87</x:v>
      </x:c>
      <x:c r="B89" s="69" t="str">
        <x:v>State Recognition</x:v>
      </x:c>
      <x:c r="C89" s="69" t="str">
        <x:v>Place a yellow-white striped cup in the bowl.</x:v>
      </x:c>
      <x:c r="D89" s="69" t="str">
        <x:v>Clean state-masked exposure</x:v>
      </x:c>
      <x:c r="E89" s="69" t="str">
        <x:v>Unchanged in this revision</x:v>
      </x:c>
      <x:c r="F89" s="69" t="str">
        <x:v>state_unchanged</x:v>
      </x:c>
      <x:c r="G89" s="69" t="str">
        <x:v>State Recognition intentionally deferred for separate redesign discussion</x:v>
      </x:c>
      <x:c r="H89" s="69" t="str">
        <x:v>No</x:v>
      </x:c>
      <x:c r="I89" s="69" t="str"/>
      <x:c r="J89" s="69" t="str">
        <x:v>yellow-white striped cup A, brown cup B, glass spice container B, white cup B</x:v>
      </x:c>
      <x:c r="K89" s="69" t="str">
        <x:v>yellow-white striped cup A</x:v>
      </x:c>
      <x:c r="L89" s="69" t="str">
        <x:v>Home</x:v>
      </x:c>
      <x:c r="M89" s="69" t="str">
        <x:v>Place a yellow-white striped cup in the bowl.</x:v>
      </x:c>
      <x:c r="N89" s="69" t="str">
        <x:v>yellow-white striped cup A, brown cup B, glass spice container B, white cup B</x:v>
      </x:c>
      <x:c r="O89" s="69" t="str">
        <x:v>yellow-white striped cup A</x:v>
      </x:c>
      <x:c r="P89" s="70" t="str">
        <x:v>Copied unchanged from the latest manifest. This workbook does not endorse or revise the state-recognition design.</x:v>
      </x:c>
    </x:row>
    <x:row r="90" ht="58" customHeight="1">
      <x:c r="A90" s="100" t="n">
        <x:v>88</x:v>
      </x:c>
      <x:c r="B90" s="69" t="str">
        <x:v>State Recognition</x:v>
      </x:c>
      <x:c r="C90" s="69" t="str">
        <x:v>Put a yellow-white striped cup in the bowl.</x:v>
      </x:c>
      <x:c r="D90" s="69" t="str">
        <x:v>Clean state-masked replacement</x:v>
      </x:c>
      <x:c r="E90" s="69" t="str">
        <x:v>Unchanged in this revision</x:v>
      </x:c>
      <x:c r="F90" s="69" t="str">
        <x:v>state_unchanged</x:v>
      </x:c>
      <x:c r="G90" s="69" t="str">
        <x:v>State Recognition intentionally deferred for separate redesign discussion</x:v>
      </x:c>
      <x:c r="H90" s="69" t="str">
        <x:v>No</x:v>
      </x:c>
      <x:c r="I90" s="69" t="str"/>
      <x:c r="J90" s="69" t="str">
        <x:v>yellow-white striped cup A (O, UR) [target, P3]; white cup A (C, UR); brown cup A (O, UD); glass spice container B (C, UD)</x:v>
      </x:c>
      <x:c r="K90" s="69" t="str">
        <x:v>yellow-white striped cup A</x:v>
      </x:c>
      <x:c r="L90" s="69" t="str">
        <x:v>Recovery</x:v>
      </x:c>
      <x:c r="M90" s="69" t="str">
        <x:v>Put a yellow-white striped cup in the bowl.</x:v>
      </x:c>
      <x:c r="N90" s="69" t="str">
        <x:v>yellow-white striped cup A (O, UR) [target, P3]; white cup A (C, UR); brown cup A (O, UD); glass spice container B (C, UD)</x:v>
      </x:c>
      <x:c r="O90" s="69" t="str">
        <x:v>yellow-white striped cup A</x:v>
      </x:c>
      <x:c r="P90" s="70" t="str">
        <x:v>Copied unchanged from the latest manifest. This workbook does not endorse or revise the state-recognition design.</x:v>
      </x:c>
    </x:row>
    <x:row r="91" ht="58" customHeight="1">
      <x:c r="A91" s="100" t="n">
        <x:v>89</x:v>
      </x:c>
      <x:c r="B91" s="69" t="str">
        <x:v>State Recognition</x:v>
      </x:c>
      <x:c r="C91" s="69" t="str">
        <x:v>Move a yellow-white striped cup into the bowl.</x:v>
      </x:c>
      <x:c r="D91" s="69" t="str">
        <x:v>Clean state-masked replacement</x:v>
      </x:c>
      <x:c r="E91" s="69" t="str">
        <x:v>Unchanged in this revision</x:v>
      </x:c>
      <x:c r="F91" s="69" t="str">
        <x:v>state_unchanged</x:v>
      </x:c>
      <x:c r="G91" s="69" t="str">
        <x:v>State Recognition intentionally deferred for separate redesign discussion</x:v>
      </x:c>
      <x:c r="H91" s="69" t="str">
        <x:v>No</x:v>
      </x:c>
      <x:c r="I91" s="69" t="str"/>
      <x:c r="J91" s="69" t="str">
        <x:v>yellow-white striped cup B (O, UR) [target, P1]; white cup A (C, UD) [P3]; brown cup A (C, UR) [P4]; glass spice container B (O, UR) [P2]</x:v>
      </x:c>
      <x:c r="K91" s="69" t="str">
        <x:v>yellow-white striped cup B</x:v>
      </x:c>
      <x:c r="L91" s="69" t="str">
        <x:v>Home</x:v>
      </x:c>
      <x:c r="M91" s="69" t="str">
        <x:v>Move a yellow-white striped cup into the bowl.</x:v>
      </x:c>
      <x:c r="N91" s="69" t="str">
        <x:v>yellow-white striped cup B (O, UR) [target, P1]; white cup A (C, UD) [P3]; brown cup A (C, UR) [P4]; glass spice container B (O, UR) [P2]</x:v>
      </x:c>
      <x:c r="O91" s="69" t="str">
        <x:v>yellow-white striped cup B</x:v>
      </x:c>
      <x:c r="P91" s="70" t="str">
        <x:v>Copied unchanged from the latest manifest. This workbook does not endorse or revise the state-recognition design.</x:v>
      </x:c>
    </x:row>
    <x:row r="92" ht="58" customHeight="1">
      <x:c r="A92" s="100" t="n">
        <x:v>90</x:v>
      </x:c>
      <x:c r="B92" s="69" t="str">
        <x:v>State Recognition</x:v>
      </x:c>
      <x:c r="C92" s="69" t="str">
        <x:v>Place a yellow-white striped cup in the bowl.</x:v>
      </x:c>
      <x:c r="D92" s="69" t="str">
        <x:v>Clean state-masked replacement</x:v>
      </x:c>
      <x:c r="E92" s="69" t="str">
        <x:v>Unchanged in this revision</x:v>
      </x:c>
      <x:c r="F92" s="69" t="str">
        <x:v>state_unchanged</x:v>
      </x:c>
      <x:c r="G92" s="69" t="str">
        <x:v>State Recognition intentionally deferred for separate redesign discussion</x:v>
      </x:c>
      <x:c r="H92" s="69" t="str">
        <x:v>No</x:v>
      </x:c>
      <x:c r="I92" s="69" t="str"/>
      <x:c r="J92" s="69" t="str">
        <x:v>yellow-white striped cup A (C, UD) [target, P2]; white cup B (O, UR) [P4]; brown cup B (O, UD) [P1]; glass spice container A (C, UR) [P3]</x:v>
      </x:c>
      <x:c r="K92" s="69" t="str">
        <x:v>yellow-white striped cup A</x:v>
      </x:c>
      <x:c r="L92" s="69" t="str">
        <x:v>Home</x:v>
      </x:c>
      <x:c r="M92" s="69" t="str">
        <x:v>Place a yellow-white striped cup in the bowl.</x:v>
      </x:c>
      <x:c r="N92" s="69" t="str">
        <x:v>yellow-white striped cup A (C, UD) [target, P2]; white cup B (O, UR) [P4]; brown cup B (O, UD) [P1]; glass spice container A (C, UR) [P3]</x:v>
      </x:c>
      <x:c r="O92" s="69" t="str">
        <x:v>yellow-white striped cup A</x:v>
      </x:c>
      <x:c r="P92" s="70" t="str">
        <x:v>Copied unchanged from the latest manifest. This workbook does not endorse or revise the state-recognition design.</x:v>
      </x:c>
    </x:row>
    <x:row r="93" ht="58" customHeight="1">
      <x:c r="A93" s="100" t="n">
        <x:v>91</x:v>
      </x:c>
      <x:c r="B93" s="69" t="str">
        <x:v>State Recognition</x:v>
      </x:c>
      <x:c r="C93" s="69" t="str">
        <x:v>Put the upside-down yellow-white striped cup in the bowl.</x:v>
      </x:c>
      <x:c r="D93" s="69" t="str">
        <x:v>Explicit seen-state grounding</x:v>
      </x:c>
      <x:c r="E93" s="69" t="str">
        <x:v>Unchanged in this revision</x:v>
      </x:c>
      <x:c r="F93" s="69" t="str">
        <x:v>state_unchanged</x:v>
      </x:c>
      <x:c r="G93" s="69" t="str">
        <x:v>State Recognition intentionally deferred for separate redesign discussion</x:v>
      </x:c>
      <x:c r="H93" s="69" t="str">
        <x:v>No</x:v>
      </x:c>
      <x:c r="I93" s="69" t="str"/>
      <x:c r="J93" s="69" t="str">
        <x:v>yellow-white striped cup A, yellow-white striped cup B, glass spice container A</x:v>
      </x:c>
      <x:c r="K93" s="69" t="str">
        <x:v>yellow-white striped cup A</x:v>
      </x:c>
      <x:c r="L93" s="69" t="str">
        <x:v>Home</x:v>
      </x:c>
      <x:c r="M93" s="69" t="str">
        <x:v>Put the upside-down yellow-white striped cup in the bowl.</x:v>
      </x:c>
      <x:c r="N93" s="69" t="str">
        <x:v>yellow-white striped cup A, yellow-white striped cup B, glass spice container A</x:v>
      </x:c>
      <x:c r="O93" s="69" t="str">
        <x:v>yellow-white striped cup A</x:v>
      </x:c>
      <x:c r="P93" s="70" t="str">
        <x:v>Copied unchanged from the latest manifest. This workbook does not endorse or revise the state-recognition design.</x:v>
      </x:c>
    </x:row>
    <x:row r="94" ht="58" customHeight="1">
      <x:c r="A94" s="100" t="n">
        <x:v>92</x:v>
      </x:c>
      <x:c r="B94" s="69" t="str">
        <x:v>State Recognition</x:v>
      </x:c>
      <x:c r="C94" s="69" t="str">
        <x:v>Move the open yellow-white striped cup into the bowl.</x:v>
      </x:c>
      <x:c r="D94" s="69" t="str">
        <x:v>Explicit seen-state grounding</x:v>
      </x:c>
      <x:c r="E94" s="69" t="str">
        <x:v>Unchanged in this revision</x:v>
      </x:c>
      <x:c r="F94" s="69" t="str">
        <x:v>state_unchanged</x:v>
      </x:c>
      <x:c r="G94" s="69" t="str">
        <x:v>State Recognition intentionally deferred for separate redesign discussion</x:v>
      </x:c>
      <x:c r="H94" s="69" t="str">
        <x:v>No</x:v>
      </x:c>
      <x:c r="I94" s="69" t="str"/>
      <x:c r="J94" s="69" t="str">
        <x:v>yellow-white striped cup A, yellow-white striped cup B, white cup B, brown cup A</x:v>
      </x:c>
      <x:c r="K94" s="69" t="str">
        <x:v>yellow-white striped cup A</x:v>
      </x:c>
      <x:c r="L94" s="69" t="str">
        <x:v>Home</x:v>
      </x:c>
      <x:c r="M94" s="69" t="str">
        <x:v>Move the open yellow-white striped cup into the bowl.</x:v>
      </x:c>
      <x:c r="N94" s="69" t="str">
        <x:v>yellow-white striped cup A, yellow-white striped cup B, white cup B, brown cup A</x:v>
      </x:c>
      <x:c r="O94" s="69" t="str">
        <x:v>yellow-white striped cup A</x:v>
      </x:c>
      <x:c r="P94" s="70" t="str">
        <x:v>Copied unchanged from the latest manifest. This workbook does not endorse or revise the state-recognition design.</x:v>
      </x:c>
    </x:row>
    <x:row r="95" ht="58" customHeight="1">
      <x:c r="A95" s="100" t="n">
        <x:v>93</x:v>
      </x:c>
      <x:c r="B95" s="69" t="str">
        <x:v>State Recognition</x:v>
      </x:c>
      <x:c r="C95" s="69" t="str">
        <x:v>Place a yellow-white striped cup in the bowl.</x:v>
      </x:c>
      <x:c r="D95" s="69" t="str">
        <x:v>Clean state-masked exposure</x:v>
      </x:c>
      <x:c r="E95" s="69" t="str">
        <x:v>Unchanged in this revision</x:v>
      </x:c>
      <x:c r="F95" s="69" t="str">
        <x:v>state_unchanged</x:v>
      </x:c>
      <x:c r="G95" s="69" t="str">
        <x:v>State Recognition intentionally deferred for separate redesign discussion</x:v>
      </x:c>
      <x:c r="H95" s="69" t="str">
        <x:v>No</x:v>
      </x:c>
      <x:c r="I95" s="69" t="str"/>
      <x:c r="J95" s="69" t="str">
        <x:v>yellow-white striped cup B, glass spice container B, white cup B, brown cup A</x:v>
      </x:c>
      <x:c r="K95" s="69" t="str">
        <x:v>yellow-white striped cup B</x:v>
      </x:c>
      <x:c r="L95" s="69" t="str">
        <x:v>Recovery</x:v>
      </x:c>
      <x:c r="M95" s="69" t="str">
        <x:v>Place a yellow-white striped cup in the bowl.</x:v>
      </x:c>
      <x:c r="N95" s="69" t="str">
        <x:v>yellow-white striped cup B, glass spice container B, white cup B, brown cup A</x:v>
      </x:c>
      <x:c r="O95" s="69" t="str">
        <x:v>yellow-white striped cup B</x:v>
      </x:c>
      <x:c r="P95" s="70" t="str">
        <x:v>Copied unchanged from the latest manifest. This workbook does not endorse or revise the state-recognition design.</x:v>
      </x:c>
    </x:row>
    <x:row r="96" ht="58" customHeight="1">
      <x:c r="A96" s="100" t="n">
        <x:v>94</x:v>
      </x:c>
      <x:c r="B96" s="69" t="str">
        <x:v>State Recognition</x:v>
      </x:c>
      <x:c r="C96" s="69" t="str">
        <x:v>Put the upside-down yellow-white striped cup in the bowl.</x:v>
      </x:c>
      <x:c r="D96" s="69" t="str">
        <x:v>Explicit seen-state grounding</x:v>
      </x:c>
      <x:c r="E96" s="69" t="str">
        <x:v>Unchanged in this revision</x:v>
      </x:c>
      <x:c r="F96" s="69" t="str">
        <x:v>state_unchanged</x:v>
      </x:c>
      <x:c r="G96" s="69" t="str">
        <x:v>State Recognition intentionally deferred for separate redesign discussion</x:v>
      </x:c>
      <x:c r="H96" s="69" t="str">
        <x:v>No</x:v>
      </x:c>
      <x:c r="I96" s="69" t="str"/>
      <x:c r="J96" s="69" t="str">
        <x:v>yellow-white striped cup A, yellow-white striped cup B, glass spice container B</x:v>
      </x:c>
      <x:c r="K96" s="69" t="str">
        <x:v>yellow-white striped cup A</x:v>
      </x:c>
      <x:c r="L96" s="69" t="str">
        <x:v>Home</x:v>
      </x:c>
      <x:c r="M96" s="69" t="str">
        <x:v>Put the upside-down yellow-white striped cup in the bowl.</x:v>
      </x:c>
      <x:c r="N96" s="69" t="str">
        <x:v>yellow-white striped cup A, yellow-white striped cup B, glass spice container B</x:v>
      </x:c>
      <x:c r="O96" s="69" t="str">
        <x:v>yellow-white striped cup A</x:v>
      </x:c>
      <x:c r="P96" s="70" t="str">
        <x:v>Copied unchanged from the latest manifest. This workbook does not endorse or revise the state-recognition design.</x:v>
      </x:c>
    </x:row>
    <x:row r="97" ht="58" customHeight="1">
      <x:c r="A97" s="100" t="n">
        <x:v>95</x:v>
      </x:c>
      <x:c r="B97" s="69" t="str">
        <x:v>State Recognition</x:v>
      </x:c>
      <x:c r="C97" s="69" t="str">
        <x:v>Move a yellow-white striped cup into the bowl.</x:v>
      </x:c>
      <x:c r="D97" s="69" t="str">
        <x:v>Clean state-masked exposure</x:v>
      </x:c>
      <x:c r="E97" s="69" t="str">
        <x:v>Unchanged in this revision</x:v>
      </x:c>
      <x:c r="F97" s="69" t="str">
        <x:v>state_unchanged</x:v>
      </x:c>
      <x:c r="G97" s="69" t="str">
        <x:v>State Recognition intentionally deferred for separate redesign discussion</x:v>
      </x:c>
      <x:c r="H97" s="69" t="str">
        <x:v>No</x:v>
      </x:c>
      <x:c r="I97" s="69" t="str"/>
      <x:c r="J97" s="69" t="str">
        <x:v>yellow-white striped cup B, white cup B, brown cup A, glass spice container A</x:v>
      </x:c>
      <x:c r="K97" s="69" t="str">
        <x:v>yellow-white striped cup B</x:v>
      </x:c>
      <x:c r="L97" s="69" t="str">
        <x:v>Home</x:v>
      </x:c>
      <x:c r="M97" s="69" t="str">
        <x:v>Move a yellow-white striped cup into the bowl.</x:v>
      </x:c>
      <x:c r="N97" s="69" t="str">
        <x:v>yellow-white striped cup B, white cup B, brown cup A, glass spice container A</x:v>
      </x:c>
      <x:c r="O97" s="69" t="str">
        <x:v>yellow-white striped cup B</x:v>
      </x:c>
      <x:c r="P97" s="70" t="str">
        <x:v>Copied unchanged from the latest manifest. This workbook does not endorse or revise the state-recognition design.</x:v>
      </x:c>
    </x:row>
    <x:row r="98" ht="58" customHeight="1">
      <x:c r="A98" s="100" t="n">
        <x:v>96</x:v>
      </x:c>
      <x:c r="B98" s="69" t="str">
        <x:v>State Recognition</x:v>
      </x:c>
      <x:c r="C98" s="69" t="str">
        <x:v>Place a yellow-white striped cup in the bowl.</x:v>
      </x:c>
      <x:c r="D98" s="69" t="str">
        <x:v>Clean state-masked replacement</x:v>
      </x:c>
      <x:c r="E98" s="69" t="str">
        <x:v>Unchanged in this revision</x:v>
      </x:c>
      <x:c r="F98" s="69" t="str">
        <x:v>state_unchanged</x:v>
      </x:c>
      <x:c r="G98" s="69" t="str">
        <x:v>State Recognition intentionally deferred for separate redesign discussion</x:v>
      </x:c>
      <x:c r="H98" s="69" t="str">
        <x:v>No</x:v>
      </x:c>
      <x:c r="I98" s="69" t="str"/>
      <x:c r="J98" s="69" t="str">
        <x:v>yellow-white striped cup A (O, UD) [target, P3]; white cup A (C, UR) [P1]; brown cup A (C, UD) [P2]; glass spice container B (O, UD) [P4]</x:v>
      </x:c>
      <x:c r="K98" s="69" t="str">
        <x:v>yellow-white striped cup A</x:v>
      </x:c>
      <x:c r="L98" s="69" t="str">
        <x:v>Recovery</x:v>
      </x:c>
      <x:c r="M98" s="69" t="str">
        <x:v>Place a yellow-white striped cup in the bowl.</x:v>
      </x:c>
      <x:c r="N98" s="69" t="str">
        <x:v>yellow-white striped cup A (O, UD) [target, P3]; white cup A (C, UR) [P1]; brown cup A (C, UD) [P2]; glass spice container B (O, UD) [P4]</x:v>
      </x:c>
      <x:c r="O98" s="69" t="str">
        <x:v>yellow-white striped cup A</x:v>
      </x:c>
      <x:c r="P98" s="70" t="str">
        <x:v>Copied unchanged from the latest manifest. This workbook does not endorse or revise the state-recognition design.</x:v>
      </x:c>
    </x:row>
    <x:row r="99" ht="58" customHeight="1">
      <x:c r="A99" s="100" t="n">
        <x:v>97</x:v>
      </x:c>
      <x:c r="B99" s="69" t="str">
        <x:v>State Recognition</x:v>
      </x:c>
      <x:c r="C99" s="69" t="str">
        <x:v>Put a yellow-white striped cup in the bowl.</x:v>
      </x:c>
      <x:c r="D99" s="69" t="str">
        <x:v>Clean state-masked replacement</x:v>
      </x:c>
      <x:c r="E99" s="69" t="str">
        <x:v>Unchanged in this revision</x:v>
      </x:c>
      <x:c r="F99" s="69" t="str">
        <x:v>state_unchanged</x:v>
      </x:c>
      <x:c r="G99" s="69" t="str">
        <x:v>State Recognition intentionally deferred for separate redesign discussion</x:v>
      </x:c>
      <x:c r="H99" s="69" t="str">
        <x:v>No</x:v>
      </x:c>
      <x:c r="I99" s="69" t="str"/>
      <x:c r="J99" s="69" t="str">
        <x:v>yellow-white striped cup B (C, UR) [target, P4]; white cup B (O, UD) [P2]; brown cup B (O, UR) [P3]; glass spice container A (C, UD) [P1]</x:v>
      </x:c>
      <x:c r="K99" s="69" t="str">
        <x:v>yellow-white striped cup B</x:v>
      </x:c>
      <x:c r="L99" s="69" t="str">
        <x:v>Home</x:v>
      </x:c>
      <x:c r="M99" s="69" t="str">
        <x:v>Put a yellow-white striped cup in the bowl.</x:v>
      </x:c>
      <x:c r="N99" s="69" t="str">
        <x:v>yellow-white striped cup B (C, UR) [target, P4]; white cup B (O, UD) [P2]; brown cup B (O, UR) [P3]; glass spice container A (C, UD) [P1]</x:v>
      </x:c>
      <x:c r="O99" s="69" t="str">
        <x:v>yellow-white striped cup B</x:v>
      </x:c>
      <x:c r="P99" s="70" t="str">
        <x:v>Copied unchanged from the latest manifest. This workbook does not endorse or revise the state-recognition design.</x:v>
      </x:c>
    </x:row>
    <x:row r="100" ht="58" customHeight="1">
      <x:c r="A100" s="100" t="n">
        <x:v>98</x:v>
      </x:c>
      <x:c r="B100" s="69" t="str">
        <x:v>State Recognition</x:v>
      </x:c>
      <x:c r="C100" s="69" t="str">
        <x:v>Move a yellow-white striped cup into the bowl.</x:v>
      </x:c>
      <x:c r="D100" s="69" t="str">
        <x:v>Clean state-masked exposure</x:v>
      </x:c>
      <x:c r="E100" s="69" t="str">
        <x:v>Unchanged in this revision</x:v>
      </x:c>
      <x:c r="F100" s="69" t="str">
        <x:v>state_unchanged</x:v>
      </x:c>
      <x:c r="G100" s="69" t="str">
        <x:v>State Recognition intentionally deferred for separate redesign discussion</x:v>
      </x:c>
      <x:c r="H100" s="69" t="str">
        <x:v>No</x:v>
      </x:c>
      <x:c r="I100" s="69" t="str"/>
      <x:c r="J100" s="69" t="str">
        <x:v>yellow-white striped cup A, brown cup A, glass spice container A, white cup A</x:v>
      </x:c>
      <x:c r="K100" s="69" t="str">
        <x:v>yellow-white striped cup A</x:v>
      </x:c>
      <x:c r="L100" s="69" t="str">
        <x:v>Home</x:v>
      </x:c>
      <x:c r="M100" s="69" t="str">
        <x:v>Move a yellow-white striped cup into the bowl.</x:v>
      </x:c>
      <x:c r="N100" s="69" t="str">
        <x:v>yellow-white striped cup A, brown cup A, glass spice container A, white cup A</x:v>
      </x:c>
      <x:c r="O100" s="69" t="str">
        <x:v>yellow-white striped cup A</x:v>
      </x:c>
      <x:c r="P100" s="70" t="str">
        <x:v>Copied unchanged from the latest manifest. This workbook does not endorse or revise the state-recognition design.</x:v>
      </x:c>
    </x:row>
    <x:row r="101" ht="58" customHeight="1">
      <x:c r="A101" s="100" t="n">
        <x:v>99</x:v>
      </x:c>
      <x:c r="B101" s="69" t="str">
        <x:v>State Recognition</x:v>
      </x:c>
      <x:c r="C101" s="69" t="str">
        <x:v>Place the upside-down yellow-white striped cup in the bowl.</x:v>
      </x:c>
      <x:c r="D101" s="69" t="str">
        <x:v>Explicit seen-state grounding</x:v>
      </x:c>
      <x:c r="E101" s="69" t="str">
        <x:v>Unchanged in this revision</x:v>
      </x:c>
      <x:c r="F101" s="69" t="str">
        <x:v>state_unchanged</x:v>
      </x:c>
      <x:c r="G101" s="69" t="str">
        <x:v>State Recognition intentionally deferred for separate redesign discussion</x:v>
      </x:c>
      <x:c r="H101" s="69" t="str">
        <x:v>No</x:v>
      </x:c>
      <x:c r="I101" s="69" t="str"/>
      <x:c r="J101" s="69" t="str">
        <x:v>yellow-white striped cup B, yellow-white striped cup A, brown cup A</x:v>
      </x:c>
      <x:c r="K101" s="69" t="str">
        <x:v>yellow-white striped cup B</x:v>
      </x:c>
      <x:c r="L101" s="69" t="str">
        <x:v>Home</x:v>
      </x:c>
      <x:c r="M101" s="69" t="str">
        <x:v>Place the upside-down yellow-white striped cup in the bowl.</x:v>
      </x:c>
      <x:c r="N101" s="69" t="str">
        <x:v>yellow-white striped cup B, yellow-white striped cup A, brown cup A</x:v>
      </x:c>
      <x:c r="O101" s="69" t="str">
        <x:v>yellow-white striped cup B</x:v>
      </x:c>
      <x:c r="P101" s="70" t="str">
        <x:v>Copied unchanged from the latest manifest. This workbook does not endorse or revise the state-recognition design.</x:v>
      </x:c>
    </x:row>
    <x:row r="102" ht="58" customHeight="1">
      <x:c r="A102" s="100" t="n">
        <x:v>100</x:v>
      </x:c>
      <x:c r="B102" s="69" t="str">
        <x:v>State Recognition</x:v>
      </x:c>
      <x:c r="C102" s="69" t="str">
        <x:v>Put a brown cup in the bowl.</x:v>
      </x:c>
      <x:c r="D102" s="69" t="str">
        <x:v>Clean state-masked replacement</x:v>
      </x:c>
      <x:c r="E102" s="69" t="str">
        <x:v>Unchanged in this revision</x:v>
      </x:c>
      <x:c r="F102" s="69" t="str">
        <x:v>state_unchanged</x:v>
      </x:c>
      <x:c r="G102" s="69" t="str">
        <x:v>State Recognition intentionally deferred for separate redesign discussion</x:v>
      </x:c>
      <x:c r="H102" s="69" t="str">
        <x:v>No</x:v>
      </x:c>
      <x:c r="I102" s="69" t="str"/>
      <x:c r="J102" s="69" t="str">
        <x:v>brown cup B (C, UR) [target, P3]; white cup A (C, UR); yellow-white striped cup B (O, UR); glass spice container A (O, UD)</x:v>
      </x:c>
      <x:c r="K102" s="69" t="str">
        <x:v>brown cup B</x:v>
      </x:c>
      <x:c r="L102" s="69" t="str">
        <x:v>Home</x:v>
      </x:c>
      <x:c r="M102" s="69" t="str">
        <x:v>Put a brown cup in the bowl.</x:v>
      </x:c>
      <x:c r="N102" s="69" t="str">
        <x:v>brown cup B (C, UR) [target, P3]; white cup A (C, UR); yellow-white striped cup B (O, UR); glass spice container A (O, UD)</x:v>
      </x:c>
      <x:c r="O102" s="69" t="str">
        <x:v>brown cup B</x:v>
      </x:c>
      <x:c r="P102" s="70" t="str">
        <x:v>Copied unchanged from the latest manifest. This workbook does not endorse or revise the state-recognition design.</x:v>
      </x:c>
    </x:row>
    <x:row r="103" ht="58" customHeight="1">
      <x:c r="A103" s="100" t="n">
        <x:v>101</x:v>
      </x:c>
      <x:c r="B103" s="69" t="str">
        <x:v>State Recognition</x:v>
      </x:c>
      <x:c r="C103" s="69" t="str">
        <x:v>Move a brown cup into the bowl.</x:v>
      </x:c>
      <x:c r="D103" s="69" t="str">
        <x:v>Clean state-masked replacement</x:v>
      </x:c>
      <x:c r="E103" s="69" t="str">
        <x:v>Unchanged in this revision</x:v>
      </x:c>
      <x:c r="F103" s="69" t="str">
        <x:v>state_unchanged</x:v>
      </x:c>
      <x:c r="G103" s="69" t="str">
        <x:v>State Recognition intentionally deferred for separate redesign discussion</x:v>
      </x:c>
      <x:c r="H103" s="69" t="str">
        <x:v>No</x:v>
      </x:c>
      <x:c r="I103" s="69" t="str"/>
      <x:c r="J103" s="69" t="str">
        <x:v>brown cup A (C, UR) [target, P4]; white cup B (O, UD); yellow-white striped cup B (O, UD); glass spice container A (C, UR)</x:v>
      </x:c>
      <x:c r="K103" s="69" t="str">
        <x:v>brown cup A</x:v>
      </x:c>
      <x:c r="L103" s="69" t="str">
        <x:v>Home</x:v>
      </x:c>
      <x:c r="M103" s="69" t="str">
        <x:v>Move a brown cup into the bowl.</x:v>
      </x:c>
      <x:c r="N103" s="69" t="str">
        <x:v>brown cup A (C, UR) [target, P4]; white cup B (O, UD); yellow-white striped cup B (O, UD); glass spice container A (C, UR)</x:v>
      </x:c>
      <x:c r="O103" s="69" t="str">
        <x:v>brown cup A</x:v>
      </x:c>
      <x:c r="P103" s="70" t="str">
        <x:v>Copied unchanged from the latest manifest. This workbook does not endorse or revise the state-recognition design.</x:v>
      </x:c>
    </x:row>
    <x:row r="104" ht="58" customHeight="1">
      <x:c r="A104" s="100" t="n">
        <x:v>102</x:v>
      </x:c>
      <x:c r="B104" s="69" t="str">
        <x:v>State Recognition</x:v>
      </x:c>
      <x:c r="C104" s="69" t="str">
        <x:v>Place a brown cup in the bowl.</x:v>
      </x:c>
      <x:c r="D104" s="69" t="str">
        <x:v>Clean state-masked exposure</x:v>
      </x:c>
      <x:c r="E104" s="69" t="str">
        <x:v>Unchanged in this revision</x:v>
      </x:c>
      <x:c r="F104" s="69" t="str">
        <x:v>state_unchanged</x:v>
      </x:c>
      <x:c r="G104" s="69" t="str">
        <x:v>State Recognition intentionally deferred for separate redesign discussion</x:v>
      </x:c>
      <x:c r="H104" s="69" t="str">
        <x:v>No</x:v>
      </x:c>
      <x:c r="I104" s="69" t="str"/>
      <x:c r="J104" s="69" t="str">
        <x:v>brown cup A, white cup B, yellow-white striped cup B</x:v>
      </x:c>
      <x:c r="K104" s="69" t="str">
        <x:v>brown cup A</x:v>
      </x:c>
      <x:c r="L104" s="69" t="str">
        <x:v>Home</x:v>
      </x:c>
      <x:c r="M104" s="69" t="str">
        <x:v>Place a brown cup in the bowl.</x:v>
      </x:c>
      <x:c r="N104" s="69" t="str">
        <x:v>brown cup A, white cup B, yellow-white striped cup B</x:v>
      </x:c>
      <x:c r="O104" s="69" t="str">
        <x:v>brown cup A</x:v>
      </x:c>
      <x:c r="P104" s="70" t="str">
        <x:v>Copied unchanged from the latest manifest. This workbook does not endorse or revise the state-recognition design.</x:v>
      </x:c>
    </x:row>
    <x:row r="105" ht="58" customHeight="1">
      <x:c r="A105" s="100" t="n">
        <x:v>103</x:v>
      </x:c>
      <x:c r="B105" s="69" t="str">
        <x:v>State Recognition</x:v>
      </x:c>
      <x:c r="C105" s="69" t="str">
        <x:v>Put a brown cup in the bowl.</x:v>
      </x:c>
      <x:c r="D105" s="69" t="str">
        <x:v>Clean state-masked replacement</x:v>
      </x:c>
      <x:c r="E105" s="69" t="str">
        <x:v>Unchanged in this revision</x:v>
      </x:c>
      <x:c r="F105" s="69" t="str">
        <x:v>state_unchanged</x:v>
      </x:c>
      <x:c r="G105" s="69" t="str">
        <x:v>State Recognition intentionally deferred for separate redesign discussion</x:v>
      </x:c>
      <x:c r="H105" s="69" t="str">
        <x:v>No</x:v>
      </x:c>
      <x:c r="I105" s="69" t="str"/>
      <x:c r="J105" s="69" t="str">
        <x:v>brown cup B (C, UD) [target, P1]; white cup A (O, UR); yellow-white striped cup A (O, UR); glass spice container A (C, UD)</x:v>
      </x:c>
      <x:c r="K105" s="69" t="str">
        <x:v>brown cup B</x:v>
      </x:c>
      <x:c r="L105" s="69" t="str">
        <x:v>Home</x:v>
      </x:c>
      <x:c r="M105" s="69" t="str">
        <x:v>Put a brown cup in the bowl.</x:v>
      </x:c>
      <x:c r="N105" s="69" t="str">
        <x:v>brown cup B (C, UD) [target, P1]; white cup A (O, UR); yellow-white striped cup A (O, UR); glass spice container A (C, UD)</x:v>
      </x:c>
      <x:c r="O105" s="69" t="str">
        <x:v>brown cup B</x:v>
      </x:c>
      <x:c r="P105" s="70" t="str">
        <x:v>Copied unchanged from the latest manifest. This workbook does not endorse or revise the state-recognition design.</x:v>
      </x:c>
    </x:row>
    <x:row r="106" ht="58" customHeight="1">
      <x:c r="A106" s="100" t="n">
        <x:v>104</x:v>
      </x:c>
      <x:c r="B106" s="69" t="str">
        <x:v>State Recognition</x:v>
      </x:c>
      <x:c r="C106" s="69" t="str">
        <x:v>Move the open brown cup into the bowl.</x:v>
      </x:c>
      <x:c r="D106" s="69" t="str">
        <x:v>Explicit seen-state grounding</x:v>
      </x:c>
      <x:c r="E106" s="69" t="str">
        <x:v>Unchanged in this revision</x:v>
      </x:c>
      <x:c r="F106" s="69" t="str">
        <x:v>state_unchanged</x:v>
      </x:c>
      <x:c r="G106" s="69" t="str">
        <x:v>State Recognition intentionally deferred for separate redesign discussion</x:v>
      </x:c>
      <x:c r="H106" s="69" t="str">
        <x:v>No</x:v>
      </x:c>
      <x:c r="I106" s="69" t="str"/>
      <x:c r="J106" s="69" t="str">
        <x:v>brown cup B, brown cup A, glass spice container A</x:v>
      </x:c>
      <x:c r="K106" s="69" t="str">
        <x:v>brown cup B</x:v>
      </x:c>
      <x:c r="L106" s="69" t="str">
        <x:v>Recovery</x:v>
      </x:c>
      <x:c r="M106" s="69" t="str">
        <x:v>Move the open brown cup into the bowl.</x:v>
      </x:c>
      <x:c r="N106" s="69" t="str">
        <x:v>brown cup B, brown cup A, glass spice container A</x:v>
      </x:c>
      <x:c r="O106" s="69" t="str">
        <x:v>brown cup B</x:v>
      </x:c>
      <x:c r="P106" s="70" t="str">
        <x:v>Copied unchanged from the latest manifest. This workbook does not endorse or revise the state-recognition design.</x:v>
      </x:c>
    </x:row>
    <x:row r="107" ht="58" customHeight="1">
      <x:c r="A107" s="100" t="n">
        <x:v>105</x:v>
      </x:c>
      <x:c r="B107" s="69" t="str">
        <x:v>State Recognition</x:v>
      </x:c>
      <x:c r="C107" s="69" t="str">
        <x:v>Place a brown cup in the bowl.</x:v>
      </x:c>
      <x:c r="D107" s="69" t="str">
        <x:v>Clean state-masked exposure</x:v>
      </x:c>
      <x:c r="E107" s="69" t="str">
        <x:v>Unchanged in this revision</x:v>
      </x:c>
      <x:c r="F107" s="69" t="str">
        <x:v>state_unchanged</x:v>
      </x:c>
      <x:c r="G107" s="69" t="str">
        <x:v>State Recognition intentionally deferred for separate redesign discussion</x:v>
      </x:c>
      <x:c r="H107" s="69" t="str">
        <x:v>No</x:v>
      </x:c>
      <x:c r="I107" s="69" t="str"/>
      <x:c r="J107" s="69" t="str">
        <x:v>brown cup A, yellow-white striped cup B, glass spice container A, white cup A</x:v>
      </x:c>
      <x:c r="K107" s="69" t="str">
        <x:v>brown cup A</x:v>
      </x:c>
      <x:c r="L107" s="69" t="str">
        <x:v>Recovery</x:v>
      </x:c>
      <x:c r="M107" s="69" t="str">
        <x:v>Place a brown cup in the bowl.</x:v>
      </x:c>
      <x:c r="N107" s="69" t="str">
        <x:v>brown cup A, yellow-white striped cup B, glass spice container A, white cup A</x:v>
      </x:c>
      <x:c r="O107" s="69" t="str">
        <x:v>brown cup A</x:v>
      </x:c>
      <x:c r="P107" s="70" t="str">
        <x:v>Copied unchanged from the latest manifest. This workbook does not endorse or revise the state-recognition design.</x:v>
      </x:c>
    </x:row>
    <x:row r="108" ht="58" customHeight="1">
      <x:c r="A108" s="100" t="n">
        <x:v>106</x:v>
      </x:c>
      <x:c r="B108" s="69" t="str">
        <x:v>State Recognition</x:v>
      </x:c>
      <x:c r="C108" s="69" t="str">
        <x:v>Put a brown cup in the bowl.</x:v>
      </x:c>
      <x:c r="D108" s="69" t="str">
        <x:v>Clean state-masked replacement</x:v>
      </x:c>
      <x:c r="E108" s="69" t="str">
        <x:v>Unchanged in this revision</x:v>
      </x:c>
      <x:c r="F108" s="69" t="str">
        <x:v>state_unchanged</x:v>
      </x:c>
      <x:c r="G108" s="69" t="str">
        <x:v>State Recognition intentionally deferred for separate redesign discussion</x:v>
      </x:c>
      <x:c r="H108" s="69" t="str">
        <x:v>No</x:v>
      </x:c>
      <x:c r="I108" s="69" t="str"/>
      <x:c r="J108" s="69" t="str">
        <x:v>brown cup B (O, UR) [target, P2]; white cup B (C, UD); yellow-white striped cup A (O, UR); glass spice container B (O, UR)</x:v>
      </x:c>
      <x:c r="K108" s="69" t="str">
        <x:v>brown cup B</x:v>
      </x:c>
      <x:c r="L108" s="69" t="str">
        <x:v>Home</x:v>
      </x:c>
      <x:c r="M108" s="69" t="str">
        <x:v>Put a brown cup in the bowl.</x:v>
      </x:c>
      <x:c r="N108" s="69" t="str">
        <x:v>brown cup B (O, UR) [target, P2]; white cup B (C, UD); yellow-white striped cup A (O, UR); glass spice container B (O, UR)</x:v>
      </x:c>
      <x:c r="O108" s="69" t="str">
        <x:v>brown cup B</x:v>
      </x:c>
      <x:c r="P108" s="70" t="str">
        <x:v>Copied unchanged from the latest manifest. This workbook does not endorse or revise the state-recognition design.</x:v>
      </x:c>
    </x:row>
    <x:row r="109" ht="58" customHeight="1">
      <x:c r="A109" s="100" t="n">
        <x:v>107</x:v>
      </x:c>
      <x:c r="B109" s="69" t="str">
        <x:v>State Recognition</x:v>
      </x:c>
      <x:c r="C109" s="69" t="str">
        <x:v>Move a brown cup into the bowl.</x:v>
      </x:c>
      <x:c r="D109" s="69" t="str">
        <x:v>Clean state-masked replacement</x:v>
      </x:c>
      <x:c r="E109" s="69" t="str">
        <x:v>Unchanged in this revision</x:v>
      </x:c>
      <x:c r="F109" s="69" t="str">
        <x:v>state_unchanged</x:v>
      </x:c>
      <x:c r="G109" s="69" t="str">
        <x:v>State Recognition intentionally deferred for separate redesign discussion</x:v>
      </x:c>
      <x:c r="H109" s="69" t="str">
        <x:v>No</x:v>
      </x:c>
      <x:c r="I109" s="69" t="str"/>
      <x:c r="J109" s="69" t="str">
        <x:v>brown cup A (C, UD) [target, P3]; white cup A (C, UR); yellow-white striped cup B (O, UD); glass spice container B (O, UR)</x:v>
      </x:c>
      <x:c r="K109" s="69" t="str">
        <x:v>brown cup A</x:v>
      </x:c>
      <x:c r="L109" s="69" t="str">
        <x:v>Home</x:v>
      </x:c>
      <x:c r="M109" s="69" t="str">
        <x:v>Move a brown cup into the bowl.</x:v>
      </x:c>
      <x:c r="N109" s="69" t="str">
        <x:v>brown cup A (C, UD) [target, P3]; white cup A (C, UR); yellow-white striped cup B (O, UD); glass spice container B (O, UR)</x:v>
      </x:c>
      <x:c r="O109" s="69" t="str">
        <x:v>brown cup A</x:v>
      </x:c>
      <x:c r="P109" s="70" t="str">
        <x:v>Copied unchanged from the latest manifest. This workbook does not endorse or revise the state-recognition design.</x:v>
      </x:c>
    </x:row>
    <x:row r="110" ht="58" customHeight="1">
      <x:c r="A110" s="100" t="n">
        <x:v>108</x:v>
      </x:c>
      <x:c r="B110" s="69" t="str">
        <x:v>State Recognition</x:v>
      </x:c>
      <x:c r="C110" s="69" t="str">
        <x:v>Place a brown cup in the bowl.</x:v>
      </x:c>
      <x:c r="D110" s="69" t="str">
        <x:v>Clean state-masked exposure</x:v>
      </x:c>
      <x:c r="E110" s="69" t="str">
        <x:v>Unchanged in this revision</x:v>
      </x:c>
      <x:c r="F110" s="69" t="str">
        <x:v>state_unchanged</x:v>
      </x:c>
      <x:c r="G110" s="69" t="str">
        <x:v>State Recognition intentionally deferred for separate redesign discussion</x:v>
      </x:c>
      <x:c r="H110" s="69" t="str">
        <x:v>No</x:v>
      </x:c>
      <x:c r="I110" s="69" t="str"/>
      <x:c r="J110" s="69" t="str">
        <x:v>brown cup B, glass spice container A, white cup A, yellow-white striped cup A</x:v>
      </x:c>
      <x:c r="K110" s="69" t="str">
        <x:v>brown cup B</x:v>
      </x:c>
      <x:c r="L110" s="69" t="str">
        <x:v>Home</x:v>
      </x:c>
      <x:c r="M110" s="69" t="str">
        <x:v>Place a brown cup in the bowl.</x:v>
      </x:c>
      <x:c r="N110" s="69" t="str">
        <x:v>brown cup B, glass spice container A, white cup A, yellow-white striped cup A</x:v>
      </x:c>
      <x:c r="O110" s="69" t="str">
        <x:v>brown cup B</x:v>
      </x:c>
      <x:c r="P110" s="70" t="str">
        <x:v>Copied unchanged from the latest manifest. This workbook does not endorse or revise the state-recognition design.</x:v>
      </x:c>
    </x:row>
    <x:row r="111" ht="58" customHeight="1">
      <x:c r="A111" s="100" t="n">
        <x:v>109</x:v>
      </x:c>
      <x:c r="B111" s="69" t="str">
        <x:v>State Recognition</x:v>
      </x:c>
      <x:c r="C111" s="69" t="str">
        <x:v>Put a brown cup in the bowl.</x:v>
      </x:c>
      <x:c r="D111" s="69" t="str">
        <x:v>Clean state-masked replacement</x:v>
      </x:c>
      <x:c r="E111" s="69" t="str">
        <x:v>Unchanged in this revision</x:v>
      </x:c>
      <x:c r="F111" s="69" t="str">
        <x:v>state_unchanged</x:v>
      </x:c>
      <x:c r="G111" s="69" t="str">
        <x:v>State Recognition intentionally deferred for separate redesign discussion</x:v>
      </x:c>
      <x:c r="H111" s="69" t="str">
        <x:v>No</x:v>
      </x:c>
      <x:c r="I111" s="69" t="str"/>
      <x:c r="J111" s="69" t="str">
        <x:v>brown cup B (O, UD) [target, P4]; white cup B (C, UR); yellow-white striped cup B (O, UR); glass spice container B (C, UD)</x:v>
      </x:c>
      <x:c r="K111" s="69" t="str">
        <x:v>brown cup B</x:v>
      </x:c>
      <x:c r="L111" s="69" t="str">
        <x:v>Home</x:v>
      </x:c>
      <x:c r="M111" s="69" t="str">
        <x:v>Put a brown cup in the bowl.</x:v>
      </x:c>
      <x:c r="N111" s="69" t="str">
        <x:v>brown cup B (O, UD) [target, P4]; white cup B (C, UR); yellow-white striped cup B (O, UR); glass spice container B (C, UD)</x:v>
      </x:c>
      <x:c r="O111" s="69" t="str">
        <x:v>brown cup B</x:v>
      </x:c>
      <x:c r="P111" s="70" t="str">
        <x:v>Copied unchanged from the latest manifest. This workbook does not endorse or revise the state-recognition design.</x:v>
      </x:c>
    </x:row>
    <x:row r="112" ht="58" customHeight="1">
      <x:c r="A112" s="100" t="n">
        <x:v>110</x:v>
      </x:c>
      <x:c r="B112" s="69" t="str">
        <x:v>State Recognition</x:v>
      </x:c>
      <x:c r="C112" s="69" t="str">
        <x:v>Move a brown cup into the bowl.</x:v>
      </x:c>
      <x:c r="D112" s="69" t="str">
        <x:v>Clean state-masked replacement</x:v>
      </x:c>
      <x:c r="E112" s="69" t="str">
        <x:v>Unchanged in this revision</x:v>
      </x:c>
      <x:c r="F112" s="69" t="str">
        <x:v>state_unchanged</x:v>
      </x:c>
      <x:c r="G112" s="69" t="str">
        <x:v>State Recognition intentionally deferred for separate redesign discussion</x:v>
      </x:c>
      <x:c r="H112" s="69" t="str">
        <x:v>No</x:v>
      </x:c>
      <x:c r="I112" s="69" t="str"/>
      <x:c r="J112" s="69" t="str">
        <x:v>brown cup A (O, UR) [target, P1]; white cup A (O, UR); yellow-white striped cup A (C, UD); glass spice container B (C, UD)</x:v>
      </x:c>
      <x:c r="K112" s="69" t="str">
        <x:v>brown cup A</x:v>
      </x:c>
      <x:c r="L112" s="69" t="str">
        <x:v>Home</x:v>
      </x:c>
      <x:c r="M112" s="69" t="str">
        <x:v>Move a brown cup into the bowl.</x:v>
      </x:c>
      <x:c r="N112" s="69" t="str">
        <x:v>brown cup A (O, UR) [target, P1]; white cup A (O, UR); yellow-white striped cup A (C, UD); glass spice container B (C, UD)</x:v>
      </x:c>
      <x:c r="O112" s="69" t="str">
        <x:v>brown cup A</x:v>
      </x:c>
      <x:c r="P112" s="70" t="str">
        <x:v>Copied unchanged from the latest manifest. This workbook does not endorse or revise the state-recognition design.</x:v>
      </x:c>
    </x:row>
    <x:row r="113" ht="58" customHeight="1">
      <x:c r="A113" s="100" t="n">
        <x:v>111</x:v>
      </x:c>
      <x:c r="B113" s="69" t="str">
        <x:v>State Recognition</x:v>
      </x:c>
      <x:c r="C113" s="69" t="str">
        <x:v>Place the open brown cup in the bowl.</x:v>
      </x:c>
      <x:c r="D113" s="69" t="str">
        <x:v>Explicit seen-state grounding</x:v>
      </x:c>
      <x:c r="E113" s="69" t="str">
        <x:v>Unchanged in this revision</x:v>
      </x:c>
      <x:c r="F113" s="69" t="str">
        <x:v>state_unchanged</x:v>
      </x:c>
      <x:c r="G113" s="69" t="str">
        <x:v>State Recognition intentionally deferred for separate redesign discussion</x:v>
      </x:c>
      <x:c r="H113" s="69" t="str">
        <x:v>No</x:v>
      </x:c>
      <x:c r="I113" s="69" t="str"/>
      <x:c r="J113" s="69" t="str">
        <x:v>brown cup A, brown cup B, white cup A</x:v>
      </x:c>
      <x:c r="K113" s="69" t="str">
        <x:v>brown cup A</x:v>
      </x:c>
      <x:c r="L113" s="69" t="str">
        <x:v>Home</x:v>
      </x:c>
      <x:c r="M113" s="69" t="str">
        <x:v>Place the open brown cup in the bowl.</x:v>
      </x:c>
      <x:c r="N113" s="69" t="str">
        <x:v>brown cup A, brown cup B, white cup A</x:v>
      </x:c>
      <x:c r="O113" s="69" t="str">
        <x:v>brown cup A</x:v>
      </x:c>
      <x:c r="P113" s="70" t="str">
        <x:v>Copied unchanged from the latest manifest. This workbook does not endorse or revise the state-recognition design.</x:v>
      </x:c>
    </x:row>
    <x:row r="114" ht="58" customHeight="1">
      <x:c r="A114" s="100" t="n">
        <x:v>112</x:v>
      </x:c>
      <x:c r="B114" s="69" t="str">
        <x:v>State Recognition</x:v>
      </x:c>
      <x:c r="C114" s="69" t="str">
        <x:v>Put a brown cup in the bowl.</x:v>
      </x:c>
      <x:c r="D114" s="69" t="str">
        <x:v>Clean state-masked exposure</x:v>
      </x:c>
      <x:c r="E114" s="69" t="str">
        <x:v>Unchanged in this revision</x:v>
      </x:c>
      <x:c r="F114" s="69" t="str">
        <x:v>state_unchanged</x:v>
      </x:c>
      <x:c r="G114" s="69" t="str">
        <x:v>State Recognition intentionally deferred for separate redesign discussion</x:v>
      </x:c>
      <x:c r="H114" s="69" t="str">
        <x:v>No</x:v>
      </x:c>
      <x:c r="I114" s="69" t="str"/>
      <x:c r="J114" s="69" t="str">
        <x:v>brown cup B, white cup A, yellow-white striped cup A, glass spice container B</x:v>
      </x:c>
      <x:c r="K114" s="69" t="str">
        <x:v>brown cup B</x:v>
      </x:c>
      <x:c r="L114" s="69" t="str">
        <x:v>Home</x:v>
      </x:c>
      <x:c r="M114" s="69" t="str">
        <x:v>Put a brown cup in the bowl.</x:v>
      </x:c>
      <x:c r="N114" s="69" t="str">
        <x:v>brown cup B, white cup A, yellow-white striped cup A, glass spice container B</x:v>
      </x:c>
      <x:c r="O114" s="69" t="str">
        <x:v>brown cup B</x:v>
      </x:c>
      <x:c r="P114" s="70" t="str">
        <x:v>Copied unchanged from the latest manifest. This workbook does not endorse or revise the state-recognition design.</x:v>
      </x:c>
    </x:row>
    <x:row r="115" ht="58" customHeight="1">
      <x:c r="A115" s="100" t="n">
        <x:v>113</x:v>
      </x:c>
      <x:c r="B115" s="69" t="str">
        <x:v>State Recognition</x:v>
      </x:c>
      <x:c r="C115" s="69" t="str">
        <x:v>Move a brown cup into the bowl.</x:v>
      </x:c>
      <x:c r="D115" s="69" t="str">
        <x:v>Clean state-masked replacement</x:v>
      </x:c>
      <x:c r="E115" s="69" t="str">
        <x:v>Unchanged in this revision</x:v>
      </x:c>
      <x:c r="F115" s="69" t="str">
        <x:v>state_unchanged</x:v>
      </x:c>
      <x:c r="G115" s="69" t="str">
        <x:v>State Recognition intentionally deferred for separate redesign discussion</x:v>
      </x:c>
      <x:c r="H115" s="69" t="str">
        <x:v>No</x:v>
      </x:c>
      <x:c r="I115" s="69" t="str"/>
      <x:c r="J115" s="69" t="str">
        <x:v>brown cup A (O, UR) [target, P1]; white cup A (C, UD) [P4]; yellow-white striped cup B (O, UD) [P2]; glass spice container B (O, UR) [P3]</x:v>
      </x:c>
      <x:c r="K115" s="69" t="str">
        <x:v>brown cup A</x:v>
      </x:c>
      <x:c r="L115" s="69" t="str">
        <x:v>Home</x:v>
      </x:c>
      <x:c r="M115" s="69" t="str">
        <x:v>Move a brown cup into the bowl.</x:v>
      </x:c>
      <x:c r="N115" s="69" t="str">
        <x:v>brown cup A (O, UR) [target, P1]; white cup A (C, UD) [P4]; yellow-white striped cup B (O, UD) [P2]; glass spice container B (O, UR) [P3]</x:v>
      </x:c>
      <x:c r="O115" s="69" t="str">
        <x:v>brown cup A</x:v>
      </x:c>
      <x:c r="P115" s="70" t="str">
        <x:v>Copied unchanged from the latest manifest. This workbook does not endorse or revise the state-recognition design.</x:v>
      </x:c>
    </x:row>
    <x:row r="116" ht="58" customHeight="1">
      <x:c r="A116" s="100" t="n">
        <x:v>114</x:v>
      </x:c>
      <x:c r="B116" s="69" t="str">
        <x:v>State Recognition</x:v>
      </x:c>
      <x:c r="C116" s="69" t="str">
        <x:v>Place a brown cup in the bowl.</x:v>
      </x:c>
      <x:c r="D116" s="69" t="str">
        <x:v>Clean state-masked exposure</x:v>
      </x:c>
      <x:c r="E116" s="69" t="str">
        <x:v>Unchanged in this revision</x:v>
      </x:c>
      <x:c r="F116" s="69" t="str">
        <x:v>state_unchanged</x:v>
      </x:c>
      <x:c r="G116" s="69" t="str">
        <x:v>State Recognition intentionally deferred for separate redesign discussion</x:v>
      </x:c>
      <x:c r="H116" s="69" t="str">
        <x:v>No</x:v>
      </x:c>
      <x:c r="I116" s="69" t="str"/>
      <x:c r="J116" s="69" t="str">
        <x:v>brown cup B, yellow-white striped cup A, glass spice container B</x:v>
      </x:c>
      <x:c r="K116" s="69" t="str">
        <x:v>brown cup B</x:v>
      </x:c>
      <x:c r="L116" s="69" t="str">
        <x:v>Recovery</x:v>
      </x:c>
      <x:c r="M116" s="69" t="str">
        <x:v>Place a brown cup in the bowl.</x:v>
      </x:c>
      <x:c r="N116" s="69" t="str">
        <x:v>brown cup B, yellow-white striped cup A, glass spice container B</x:v>
      </x:c>
      <x:c r="O116" s="69" t="str">
        <x:v>brown cup B</x:v>
      </x:c>
      <x:c r="P116" s="70" t="str">
        <x:v>Copied unchanged from the latest manifest. This workbook does not endorse or revise the state-recognition design.</x:v>
      </x:c>
    </x:row>
    <x:row r="117" ht="58" customHeight="1">
      <x:c r="A117" s="100" t="n">
        <x:v>115</x:v>
      </x:c>
      <x:c r="B117" s="69" t="str">
        <x:v>State Recognition</x:v>
      </x:c>
      <x:c r="C117" s="69" t="str">
        <x:v>Put a brown cup in the bowl.</x:v>
      </x:c>
      <x:c r="D117" s="69" t="str">
        <x:v>Clean state-masked replacement</x:v>
      </x:c>
      <x:c r="E117" s="69" t="str">
        <x:v>Unchanged in this revision</x:v>
      </x:c>
      <x:c r="F117" s="69" t="str">
        <x:v>state_unchanged</x:v>
      </x:c>
      <x:c r="G117" s="69" t="str">
        <x:v>State Recognition intentionally deferred for separate redesign discussion</x:v>
      </x:c>
      <x:c r="H117" s="69" t="str">
        <x:v>No</x:v>
      </x:c>
      <x:c r="I117" s="69" t="str"/>
      <x:c r="J117" s="69" t="str">
        <x:v>brown cup A (C, UD) [target, P2]; white cup B (O, UR) [P1]; yellow-white striped cup A (C, UD) [P3]; glass spice container A (C, UR) [P4]</x:v>
      </x:c>
      <x:c r="K117" s="69" t="str">
        <x:v>brown cup A</x:v>
      </x:c>
      <x:c r="L117" s="69" t="str">
        <x:v>Home</x:v>
      </x:c>
      <x:c r="M117" s="69" t="str">
        <x:v>Put a brown cup in the bowl.</x:v>
      </x:c>
      <x:c r="N117" s="69" t="str">
        <x:v>brown cup A (C, UD) [target, P2]; white cup B (O, UR) [P1]; yellow-white striped cup A (C, UD) [P3]; glass spice container A (C, UR) [P4]</x:v>
      </x:c>
      <x:c r="O117" s="69" t="str">
        <x:v>brown cup A</x:v>
      </x:c>
      <x:c r="P117" s="70" t="str">
        <x:v>Copied unchanged from the latest manifest. This workbook does not endorse or revise the state-recognition design.</x:v>
      </x:c>
    </x:row>
    <x:row r="118" ht="58" customHeight="1">
      <x:c r="A118" s="100" t="n">
        <x:v>116</x:v>
      </x:c>
      <x:c r="B118" s="69" t="str">
        <x:v>State Recognition</x:v>
      </x:c>
      <x:c r="C118" s="69" t="str">
        <x:v>Move a brown cup into the bowl.</x:v>
      </x:c>
      <x:c r="D118" s="69" t="str">
        <x:v>Clean state-masked replacement</x:v>
      </x:c>
      <x:c r="E118" s="69" t="str">
        <x:v>Unchanged in this revision</x:v>
      </x:c>
      <x:c r="F118" s="69" t="str">
        <x:v>state_unchanged</x:v>
      </x:c>
      <x:c r="G118" s="69" t="str">
        <x:v>State Recognition intentionally deferred for separate redesign discussion</x:v>
      </x:c>
      <x:c r="H118" s="69" t="str">
        <x:v>No</x:v>
      </x:c>
      <x:c r="I118" s="69" t="str"/>
      <x:c r="J118" s="69" t="str">
        <x:v>brown cup A (O, UD) [target, P3]; white cup A (C, UR) [P2]; yellow-white striped cup B (O, UR) [P4]; glass spice container B (O, UD) [P1]</x:v>
      </x:c>
      <x:c r="K118" s="69" t="str">
        <x:v>brown cup A</x:v>
      </x:c>
      <x:c r="L118" s="69" t="str">
        <x:v>Home</x:v>
      </x:c>
      <x:c r="M118" s="69" t="str">
        <x:v>Move a brown cup into the bowl.</x:v>
      </x:c>
      <x:c r="N118" s="69" t="str">
        <x:v>brown cup A (O, UD) [target, P3]; white cup A (C, UR) [P2]; yellow-white striped cup B (O, UR) [P4]; glass spice container B (O, UD) [P1]</x:v>
      </x:c>
      <x:c r="O118" s="69" t="str">
        <x:v>brown cup A</x:v>
      </x:c>
      <x:c r="P118" s="70" t="str">
        <x:v>Copied unchanged from the latest manifest. This workbook does not endorse or revise the state-recognition design.</x:v>
      </x:c>
    </x:row>
    <x:row r="119" ht="58" customHeight="1">
      <x:c r="A119" s="100" t="n">
        <x:v>117</x:v>
      </x:c>
      <x:c r="B119" s="69" t="str">
        <x:v>State Recognition</x:v>
      </x:c>
      <x:c r="C119" s="69" t="str">
        <x:v>Place the open brown cup in the bowl.</x:v>
      </x:c>
      <x:c r="D119" s="69" t="str">
        <x:v>Explicit seen-state grounding</x:v>
      </x:c>
      <x:c r="E119" s="69" t="str">
        <x:v>Unchanged in this revision</x:v>
      </x:c>
      <x:c r="F119" s="69" t="str">
        <x:v>state_unchanged</x:v>
      </x:c>
      <x:c r="G119" s="69" t="str">
        <x:v>State Recognition intentionally deferred for separate redesign discussion</x:v>
      </x:c>
      <x:c r="H119" s="69" t="str">
        <x:v>No</x:v>
      </x:c>
      <x:c r="I119" s="69" t="str"/>
      <x:c r="J119" s="69" t="str">
        <x:v>brown cup A, brown cup B, white cup A, yellow-white striped cup B</x:v>
      </x:c>
      <x:c r="K119" s="69" t="str">
        <x:v>brown cup A</x:v>
      </x:c>
      <x:c r="L119" s="69" t="str">
        <x:v>Home</x:v>
      </x:c>
      <x:c r="M119" s="69" t="str">
        <x:v>Place the open brown cup in the bowl.</x:v>
      </x:c>
      <x:c r="N119" s="69" t="str">
        <x:v>brown cup A, brown cup B, white cup A, yellow-white striped cup B</x:v>
      </x:c>
      <x:c r="O119" s="69" t="str">
        <x:v>brown cup A</x:v>
      </x:c>
      <x:c r="P119" s="70" t="str">
        <x:v>Copied unchanged from the latest manifest. This workbook does not endorse or revise the state-recognition design.</x:v>
      </x:c>
    </x:row>
    <x:row r="120" ht="58" customHeight="1">
      <x:c r="A120" s="100" t="n">
        <x:v>118</x:v>
      </x:c>
      <x:c r="B120" s="69" t="str">
        <x:v>State Recognition</x:v>
      </x:c>
      <x:c r="C120" s="69" t="str">
        <x:v>Put a brown cup in the bowl.</x:v>
      </x:c>
      <x:c r="D120" s="69" t="str">
        <x:v>Clean state-masked replacement</x:v>
      </x:c>
      <x:c r="E120" s="69" t="str">
        <x:v>Unchanged in this revision</x:v>
      </x:c>
      <x:c r="F120" s="69" t="str">
        <x:v>state_unchanged</x:v>
      </x:c>
      <x:c r="G120" s="69" t="str">
        <x:v>State Recognition intentionally deferred for separate redesign discussion</x:v>
      </x:c>
      <x:c r="H120" s="69" t="str">
        <x:v>No</x:v>
      </x:c>
      <x:c r="I120" s="69" t="str"/>
      <x:c r="J120" s="69" t="str">
        <x:v>brown cup B (C, UR) [target, P4]; white cup B (O, UD) [P3]; yellow-white striped cup A (C, UR) [P1]; glass spice container A (C, UD) [P2]</x:v>
      </x:c>
      <x:c r="K120" s="69" t="str">
        <x:v>brown cup B</x:v>
      </x:c>
      <x:c r="L120" s="69" t="str">
        <x:v>Home</x:v>
      </x:c>
      <x:c r="M120" s="69" t="str">
        <x:v>Put a brown cup in the bowl.</x:v>
      </x:c>
      <x:c r="N120" s="69" t="str">
        <x:v>brown cup B (C, UR) [target, P4]; white cup B (O, UD) [P3]; yellow-white striped cup A (C, UR) [P1]; glass spice container A (C, UD) [P2]</x:v>
      </x:c>
      <x:c r="O120" s="69" t="str">
        <x:v>brown cup B</x:v>
      </x:c>
      <x:c r="P120" s="70" t="str">
        <x:v>Copied unchanged from the latest manifest. This workbook does not endorse or revise the state-recognition design.</x:v>
      </x:c>
    </x:row>
    <x:row r="121" ht="58" customHeight="1">
      <x:c r="A121" s="100" t="n">
        <x:v>119</x:v>
      </x:c>
      <x:c r="B121" s="69" t="str">
        <x:v>State Recognition</x:v>
      </x:c>
      <x:c r="C121" s="69" t="str">
        <x:v>Move a brown cup into the bowl.</x:v>
      </x:c>
      <x:c r="D121" s="69" t="str">
        <x:v>Clean state-masked exposure</x:v>
      </x:c>
      <x:c r="E121" s="69" t="str">
        <x:v>Unchanged in this revision</x:v>
      </x:c>
      <x:c r="F121" s="69" t="str">
        <x:v>state_unchanged</x:v>
      </x:c>
      <x:c r="G121" s="69" t="str">
        <x:v>State Recognition intentionally deferred for separate redesign discussion</x:v>
      </x:c>
      <x:c r="H121" s="69" t="str">
        <x:v>No</x:v>
      </x:c>
      <x:c r="I121" s="69" t="str"/>
      <x:c r="J121" s="69" t="str">
        <x:v>brown cup B, glass spice container B, white cup B, yellow-white striped cup B</x:v>
      </x:c>
      <x:c r="K121" s="69" t="str">
        <x:v>brown cup B</x:v>
      </x:c>
      <x:c r="L121" s="69" t="str">
        <x:v>Home</x:v>
      </x:c>
      <x:c r="M121" s="69" t="str">
        <x:v>Move a brown cup into the bowl.</x:v>
      </x:c>
      <x:c r="N121" s="69" t="str">
        <x:v>brown cup B, glass spice container B, white cup B, yellow-white striped cup B</x:v>
      </x:c>
      <x:c r="O121" s="69" t="str">
        <x:v>brown cup B</x:v>
      </x:c>
      <x:c r="P121" s="70" t="str">
        <x:v>Copied unchanged from the latest manifest. This workbook does not endorse or revise the state-recognition design.</x:v>
      </x:c>
    </x:row>
    <x:row r="122" ht="58" customHeight="1">
      <x:c r="A122" s="100" t="n">
        <x:v>120</x:v>
      </x:c>
      <x:c r="B122" s="69" t="str">
        <x:v>State Recognition</x:v>
      </x:c>
      <x:c r="C122" s="69" t="str">
        <x:v>Place a brown cup in the bowl.</x:v>
      </x:c>
      <x:c r="D122" s="69" t="str">
        <x:v>Clean state-masked replacement</x:v>
      </x:c>
      <x:c r="E122" s="69" t="str">
        <x:v>Unchanged in this revision</x:v>
      </x:c>
      <x:c r="F122" s="69" t="str">
        <x:v>state_unchanged</x:v>
      </x:c>
      <x:c r="G122" s="69" t="str">
        <x:v>State Recognition intentionally deferred for separate redesign discussion</x:v>
      </x:c>
      <x:c r="H122" s="69" t="str">
        <x:v>No</x:v>
      </x:c>
      <x:c r="I122" s="69" t="str"/>
      <x:c r="J122" s="69" t="str">
        <x:v>brown cup A (C, UR) [target, P2]; white cup B (O, UR); yellow-white striped cup B (C, UD); glass spice container A (O, UD)</x:v>
      </x:c>
      <x:c r="K122" s="69" t="str">
        <x:v>brown cup A</x:v>
      </x:c>
      <x:c r="L122" s="69" t="str">
        <x:v>Recovery</x:v>
      </x:c>
      <x:c r="M122" s="69" t="str">
        <x:v>Place a brown cup in the bowl.</x:v>
      </x:c>
      <x:c r="N122" s="69" t="str">
        <x:v>brown cup A (C, UR) [target, P2]; white cup B (O, UR); yellow-white striped cup B (C, UD); glass spice container A (O, UD)</x:v>
      </x:c>
      <x:c r="O122" s="69" t="str">
        <x:v>brown cup A</x:v>
      </x:c>
      <x:c r="P122" s="70" t="str">
        <x:v>Copied unchanged from the latest manifest. This workbook does not endorse or revise the state-recognition design.</x:v>
      </x:c>
    </x:row>
    <x:row r="123" ht="58" customHeight="1">
      <x:c r="A123" s="100" t="n">
        <x:v>121</x:v>
      </x:c>
      <x:c r="B123" s="69" t="str">
        <x:v>State Recognition</x:v>
      </x:c>
      <x:c r="C123" s="69" t="str">
        <x:v>Put the open brown cup in the bowl.</x:v>
      </x:c>
      <x:c r="D123" s="69" t="str">
        <x:v>Explicit seen-state grounding</x:v>
      </x:c>
      <x:c r="E123" s="69" t="str">
        <x:v>Unchanged in this revision</x:v>
      </x:c>
      <x:c r="F123" s="69" t="str">
        <x:v>state_unchanged</x:v>
      </x:c>
      <x:c r="G123" s="69" t="str">
        <x:v>State Recognition intentionally deferred for separate redesign discussion</x:v>
      </x:c>
      <x:c r="H123" s="69" t="str">
        <x:v>No</x:v>
      </x:c>
      <x:c r="I123" s="69" t="str"/>
      <x:c r="J123" s="69" t="str">
        <x:v>brown cup B, brown cup A, yellow-white striped cup A, glass spice container B</x:v>
      </x:c>
      <x:c r="K123" s="69" t="str">
        <x:v>brown cup B</x:v>
      </x:c>
      <x:c r="L123" s="69" t="str">
        <x:v>Home</x:v>
      </x:c>
      <x:c r="M123" s="69" t="str">
        <x:v>Put the open brown cup in the bowl.</x:v>
      </x:c>
      <x:c r="N123" s="69" t="str">
        <x:v>brown cup B, brown cup A, yellow-white striped cup A, glass spice container B</x:v>
      </x:c>
      <x:c r="O123" s="69" t="str">
        <x:v>brown cup B</x:v>
      </x:c>
      <x:c r="P123" s="70" t="str">
        <x:v>Copied unchanged from the latest manifest. This workbook does not endorse or revise the state-recognition design.</x:v>
      </x:c>
    </x:row>
    <x:row r="124" ht="58" customHeight="1">
      <x:c r="A124" s="100" t="n">
        <x:v>122</x:v>
      </x:c>
      <x:c r="B124" s="69" t="str">
        <x:v>State Recognition</x:v>
      </x:c>
      <x:c r="C124" s="69" t="str">
        <x:v>Move a brown cup into the bowl.</x:v>
      </x:c>
      <x:c r="D124" s="69" t="str">
        <x:v>Clean state-masked replacement</x:v>
      </x:c>
      <x:c r="E124" s="69" t="str">
        <x:v>Unchanged in this revision</x:v>
      </x:c>
      <x:c r="F124" s="69" t="str">
        <x:v>state_unchanged</x:v>
      </x:c>
      <x:c r="G124" s="69" t="str">
        <x:v>State Recognition intentionally deferred for separate redesign discussion</x:v>
      </x:c>
      <x:c r="H124" s="69" t="str">
        <x:v>No</x:v>
      </x:c>
      <x:c r="I124" s="69" t="str"/>
      <x:c r="J124" s="69" t="str">
        <x:v>brown cup A (O, UR) [target, P1]; white cup A (C, UD) [P2]; yellow-white striped cup B (O, UD) [P3]; glass spice container B (O, UR) [P4]</x:v>
      </x:c>
      <x:c r="K124" s="69" t="str">
        <x:v>brown cup A</x:v>
      </x:c>
      <x:c r="L124" s="69" t="str">
        <x:v>Home</x:v>
      </x:c>
      <x:c r="M124" s="69" t="str">
        <x:v>Move a brown cup into the bowl.</x:v>
      </x:c>
      <x:c r="N124" s="69" t="str">
        <x:v>brown cup A (O, UR) [target, P1]; white cup A (C, UD) [P2]; yellow-white striped cup B (O, UD) [P3]; glass spice container B (O, UR) [P4]</x:v>
      </x:c>
      <x:c r="O124" s="69" t="str">
        <x:v>brown cup A</x:v>
      </x:c>
      <x:c r="P124" s="70" t="str">
        <x:v>Copied unchanged from the latest manifest. This workbook does not endorse or revise the state-recognition design.</x:v>
      </x:c>
    </x:row>
    <x:row r="125" ht="58" customHeight="1">
      <x:c r="A125" s="100" t="n">
        <x:v>123</x:v>
      </x:c>
      <x:c r="B125" s="69" t="str">
        <x:v>State Recognition</x:v>
      </x:c>
      <x:c r="C125" s="69" t="str">
        <x:v>Place a brown cup in the bowl.</x:v>
      </x:c>
      <x:c r="D125" s="69" t="str">
        <x:v>Clean state-masked exposure</x:v>
      </x:c>
      <x:c r="E125" s="69" t="str">
        <x:v>Unchanged in this revision</x:v>
      </x:c>
      <x:c r="F125" s="69" t="str">
        <x:v>state_unchanged</x:v>
      </x:c>
      <x:c r="G125" s="69" t="str">
        <x:v>State Recognition intentionally deferred for separate redesign discussion</x:v>
      </x:c>
      <x:c r="H125" s="69" t="str">
        <x:v>No</x:v>
      </x:c>
      <x:c r="I125" s="69" t="str"/>
      <x:c r="J125" s="69" t="str">
        <x:v>brown cup B, yellow-white striped cup A, glass spice container B</x:v>
      </x:c>
      <x:c r="K125" s="69" t="str">
        <x:v>brown cup B</x:v>
      </x:c>
      <x:c r="L125" s="69" t="str">
        <x:v>Home</x:v>
      </x:c>
      <x:c r="M125" s="69" t="str">
        <x:v>Place a brown cup in the bowl.</x:v>
      </x:c>
      <x:c r="N125" s="69" t="str">
        <x:v>brown cup B, yellow-white striped cup A, glass spice container B</x:v>
      </x:c>
      <x:c r="O125" s="69" t="str">
        <x:v>brown cup B</x:v>
      </x:c>
      <x:c r="P125" s="70" t="str">
        <x:v>Copied unchanged from the latest manifest. This workbook does not endorse or revise the state-recognition design.</x:v>
      </x:c>
    </x:row>
    <x:row r="126" ht="58" customHeight="1">
      <x:c r="A126" s="100" t="n">
        <x:v>124</x:v>
      </x:c>
      <x:c r="B126" s="69" t="str">
        <x:v>State Recognition</x:v>
      </x:c>
      <x:c r="C126" s="69" t="str">
        <x:v>Put the upside-down brown cup in the bowl.</x:v>
      </x:c>
      <x:c r="D126" s="69" t="str">
        <x:v>Explicit seen-state grounding</x:v>
      </x:c>
      <x:c r="E126" s="69" t="str">
        <x:v>Unchanged in this revision</x:v>
      </x:c>
      <x:c r="F126" s="69" t="str">
        <x:v>state_unchanged</x:v>
      </x:c>
      <x:c r="G126" s="69" t="str">
        <x:v>State Recognition intentionally deferred for separate redesign discussion</x:v>
      </x:c>
      <x:c r="H126" s="69" t="str">
        <x:v>No</x:v>
      </x:c>
      <x:c r="I126" s="69" t="str"/>
      <x:c r="J126" s="69" t="str">
        <x:v>brown cup B, brown cup A, glass spice container B</x:v>
      </x:c>
      <x:c r="K126" s="69" t="str">
        <x:v>brown cup B</x:v>
      </x:c>
      <x:c r="L126" s="69" t="str">
        <x:v>Home</x:v>
      </x:c>
      <x:c r="M126" s="69" t="str">
        <x:v>Put the upside-down brown cup in the bowl.</x:v>
      </x:c>
      <x:c r="N126" s="69" t="str">
        <x:v>brown cup B, brown cup A, glass spice container B</x:v>
      </x:c>
      <x:c r="O126" s="69" t="str">
        <x:v>brown cup B</x:v>
      </x:c>
      <x:c r="P126" s="70" t="str">
        <x:v>Copied unchanged from the latest manifest. This workbook does not endorse or revise the state-recognition design.</x:v>
      </x:c>
    </x:row>
    <x:row r="127" ht="58" customHeight="1">
      <x:c r="A127" s="100" t="n">
        <x:v>125</x:v>
      </x:c>
      <x:c r="B127" s="69" t="str">
        <x:v>State Recognition</x:v>
      </x:c>
      <x:c r="C127" s="69" t="str">
        <x:v>Move a brown cup into the bowl.</x:v>
      </x:c>
      <x:c r="D127" s="69" t="str">
        <x:v>Clean state-masked replacement</x:v>
      </x:c>
      <x:c r="E127" s="69" t="str">
        <x:v>Unchanged in this revision</x:v>
      </x:c>
      <x:c r="F127" s="69" t="str">
        <x:v>state_unchanged</x:v>
      </x:c>
      <x:c r="G127" s="69" t="str">
        <x:v>State Recognition intentionally deferred for separate redesign discussion</x:v>
      </x:c>
      <x:c r="H127" s="69" t="str">
        <x:v>No</x:v>
      </x:c>
      <x:c r="I127" s="69" t="str"/>
      <x:c r="J127" s="69" t="str">
        <x:v>brown cup B (O, UD) [target, P3]; white cup A (C, UD); yellow-white striped cup A (C, UR); glass spice container B (O, UR)</x:v>
      </x:c>
      <x:c r="K127" s="69" t="str">
        <x:v>brown cup B</x:v>
      </x:c>
      <x:c r="L127" s="69" t="str">
        <x:v>Home</x:v>
      </x:c>
      <x:c r="M127" s="69" t="str">
        <x:v>Move a brown cup into the bowl.</x:v>
      </x:c>
      <x:c r="N127" s="69" t="str">
        <x:v>brown cup B (O, UD) [target, P3]; white cup A (C, UD); yellow-white striped cup A (C, UR); glass spice container B (O, UR)</x:v>
      </x:c>
      <x:c r="O127" s="69" t="str">
        <x:v>brown cup B</x:v>
      </x:c>
      <x:c r="P127" s="70" t="str">
        <x:v>Copied unchanged from the latest manifest. This workbook does not endorse or revise the state-recognition design.</x:v>
      </x:c>
    </x:row>
    <x:row r="128" ht="58" customHeight="1">
      <x:c r="A128" s="100" t="n">
        <x:v>126</x:v>
      </x:c>
      <x:c r="B128" s="69" t="str">
        <x:v>State Recognition</x:v>
      </x:c>
      <x:c r="C128" s="69" t="str">
        <x:v>Place a brown cup in the bowl.</x:v>
      </x:c>
      <x:c r="D128" s="69" t="str">
        <x:v>Clean state-masked replacement</x:v>
      </x:c>
      <x:c r="E128" s="69" t="str">
        <x:v>Unchanged in this revision</x:v>
      </x:c>
      <x:c r="F128" s="69" t="str">
        <x:v>state_unchanged</x:v>
      </x:c>
      <x:c r="G128" s="69" t="str">
        <x:v>State Recognition intentionally deferred for separate redesign discussion</x:v>
      </x:c>
      <x:c r="H128" s="69" t="str">
        <x:v>No</x:v>
      </x:c>
      <x:c r="I128" s="69" t="str"/>
      <x:c r="J128" s="69" t="str">
        <x:v>brown cup B (C, UD) [target, P2]; white cup B (O, UR) [P3]; yellow-white striped cup A (C, UD) [P4]; glass spice container A (C, UR) [P1]</x:v>
      </x:c>
      <x:c r="K128" s="69" t="str">
        <x:v>brown cup B</x:v>
      </x:c>
      <x:c r="L128" s="69" t="str">
        <x:v>Home</x:v>
      </x:c>
      <x:c r="M128" s="69" t="str">
        <x:v>Place a brown cup in the bowl.</x:v>
      </x:c>
      <x:c r="N128" s="69" t="str">
        <x:v>brown cup B (C, UD) [target, P2]; white cup B (O, UR) [P3]; yellow-white striped cup A (C, UD) [P4]; glass spice container A (C, UR) [P1]</x:v>
      </x:c>
      <x:c r="O128" s="69" t="str">
        <x:v>brown cup B</x:v>
      </x:c>
      <x:c r="P128" s="70" t="str">
        <x:v>Copied unchanged from the latest manifest. This workbook does not endorse or revise the state-recognition design.</x:v>
      </x:c>
    </x:row>
    <x:row r="129" ht="58" customHeight="1">
      <x:c r="A129" s="100" t="n">
        <x:v>127</x:v>
      </x:c>
      <x:c r="B129" s="69" t="str">
        <x:v>State Recognition</x:v>
      </x:c>
      <x:c r="C129" s="69" t="str">
        <x:v>Put a brown cup in the bowl.</x:v>
      </x:c>
      <x:c r="D129" s="69" t="str">
        <x:v>Clean state-masked replacement</x:v>
      </x:c>
      <x:c r="E129" s="69" t="str">
        <x:v>Unchanged in this revision</x:v>
      </x:c>
      <x:c r="F129" s="69" t="str">
        <x:v>state_unchanged</x:v>
      </x:c>
      <x:c r="G129" s="69" t="str">
        <x:v>State Recognition intentionally deferred for separate redesign discussion</x:v>
      </x:c>
      <x:c r="H129" s="69" t="str">
        <x:v>No</x:v>
      </x:c>
      <x:c r="I129" s="69" t="str"/>
      <x:c r="J129" s="69" t="str">
        <x:v>brown cup A (O, UD) [target, P4]; white cup B (O, UR); yellow-white striped cup A (O, UD); glass spice container A (C, UR)</x:v>
      </x:c>
      <x:c r="K129" s="69" t="str">
        <x:v>brown cup A</x:v>
      </x:c>
      <x:c r="L129" s="69" t="str">
        <x:v>Recovery</x:v>
      </x:c>
      <x:c r="M129" s="69" t="str">
        <x:v>Put a brown cup in the bowl.</x:v>
      </x:c>
      <x:c r="N129" s="69" t="str">
        <x:v>brown cup A (O, UD) [target, P4]; white cup B (O, UR); yellow-white striped cup A (O, UD); glass spice container A (C, UR)</x:v>
      </x:c>
      <x:c r="O129" s="69" t="str">
        <x:v>brown cup A</x:v>
      </x:c>
      <x:c r="P129" s="70" t="str">
        <x:v>Copied unchanged from the latest manifest. This workbook does not endorse or revise the state-recognition design.</x:v>
      </x:c>
    </x:row>
    <x:row r="130" ht="58" customHeight="1">
      <x:c r="A130" s="100" t="n">
        <x:v>128</x:v>
      </x:c>
      <x:c r="B130" s="69" t="str">
        <x:v>State Recognition</x:v>
      </x:c>
      <x:c r="C130" s="69" t="str">
        <x:v>Move the open brown cup into the bowl.</x:v>
      </x:c>
      <x:c r="D130" s="69" t="str">
        <x:v>Explicit seen-state grounding</x:v>
      </x:c>
      <x:c r="E130" s="69" t="str">
        <x:v>Unchanged in this revision</x:v>
      </x:c>
      <x:c r="F130" s="69" t="str">
        <x:v>state_unchanged</x:v>
      </x:c>
      <x:c r="G130" s="69" t="str">
        <x:v>State Recognition intentionally deferred for separate redesign discussion</x:v>
      </x:c>
      <x:c r="H130" s="69" t="str">
        <x:v>No</x:v>
      </x:c>
      <x:c r="I130" s="69" t="str"/>
      <x:c r="J130" s="69" t="str">
        <x:v>brown cup A, brown cup B, white cup A, yellow-white striped cup B</x:v>
      </x:c>
      <x:c r="K130" s="69" t="str">
        <x:v>brown cup A</x:v>
      </x:c>
      <x:c r="L130" s="69" t="str">
        <x:v>Recovery</x:v>
      </x:c>
      <x:c r="M130" s="69" t="str">
        <x:v>Move the open brown cup into the bowl.</x:v>
      </x:c>
      <x:c r="N130" s="69" t="str">
        <x:v>brown cup A, brown cup B, white cup A, yellow-white striped cup B</x:v>
      </x:c>
      <x:c r="O130" s="69" t="str">
        <x:v>brown cup A</x:v>
      </x:c>
      <x:c r="P130" s="70" t="str">
        <x:v>Copied unchanged from the latest manifest. This workbook does not endorse or revise the state-recognition design.</x:v>
      </x:c>
    </x:row>
    <x:row r="131" ht="58" customHeight="1">
      <x:c r="A131" s="100" t="n">
        <x:v>129</x:v>
      </x:c>
      <x:c r="B131" s="69" t="str">
        <x:v>State Recognition</x:v>
      </x:c>
      <x:c r="C131" s="69" t="str">
        <x:v>Place a brown cup in the bowl.</x:v>
      </x:c>
      <x:c r="D131" s="69" t="str">
        <x:v>Clean state-masked exposure</x:v>
      </x:c>
      <x:c r="E131" s="69" t="str">
        <x:v>Unchanged in this revision</x:v>
      </x:c>
      <x:c r="F131" s="69" t="str">
        <x:v>state_unchanged</x:v>
      </x:c>
      <x:c r="G131" s="69" t="str">
        <x:v>State Recognition intentionally deferred for separate redesign discussion</x:v>
      </x:c>
      <x:c r="H131" s="69" t="str">
        <x:v>No</x:v>
      </x:c>
      <x:c r="I131" s="69" t="str"/>
      <x:c r="J131" s="69" t="str">
        <x:v>brown cup A, glass spice container B, white cup B, yellow-white striped cup B</x:v>
      </x:c>
      <x:c r="K131" s="69" t="str">
        <x:v>brown cup A</x:v>
      </x:c>
      <x:c r="L131" s="69" t="str">
        <x:v>Home</x:v>
      </x:c>
      <x:c r="M131" s="69" t="str">
        <x:v>Place a brown cup in the bowl.</x:v>
      </x:c>
      <x:c r="N131" s="69" t="str">
        <x:v>brown cup A, glass spice container B, white cup B, yellow-white striped cup B</x:v>
      </x:c>
      <x:c r="O131" s="69" t="str">
        <x:v>brown cup A</x:v>
      </x:c>
      <x:c r="P131" s="70" t="str">
        <x:v>Copied unchanged from the latest manifest. This workbook does not endorse or revise the state-recognition design.</x:v>
      </x:c>
    </x:row>
    <x:row r="132" ht="58" customHeight="1">
      <x:c r="A132" s="100" t="n">
        <x:v>130</x:v>
      </x:c>
      <x:c r="B132" s="69" t="str">
        <x:v>State Recognition</x:v>
      </x:c>
      <x:c r="C132" s="69" t="str">
        <x:v>Put a brown cup in the bowl.</x:v>
      </x:c>
      <x:c r="D132" s="69" t="str">
        <x:v>Clean state-masked replacement</x:v>
      </x:c>
      <x:c r="E132" s="69" t="str">
        <x:v>Unchanged in this revision</x:v>
      </x:c>
      <x:c r="F132" s="69" t="str">
        <x:v>state_unchanged</x:v>
      </x:c>
      <x:c r="G132" s="69" t="str">
        <x:v>State Recognition intentionally deferred for separate redesign discussion</x:v>
      </x:c>
      <x:c r="H132" s="69" t="str">
        <x:v>No</x:v>
      </x:c>
      <x:c r="I132" s="69" t="str"/>
      <x:c r="J132" s="69" t="str">
        <x:v>brown cup B (O, UD) [target, P3]; white cup A (C, UR) [P4]; yellow-white striped cup B (O, UR) [P1]; glass spice container B (O, UD) [P2]</x:v>
      </x:c>
      <x:c r="K132" s="69" t="str">
        <x:v>brown cup B</x:v>
      </x:c>
      <x:c r="L132" s="69" t="str">
        <x:v>Home</x:v>
      </x:c>
      <x:c r="M132" s="69" t="str">
        <x:v>Put a brown cup in the bowl.</x:v>
      </x:c>
      <x:c r="N132" s="69" t="str">
        <x:v>brown cup B (O, UD) [target, P3]; white cup A (C, UR) [P4]; yellow-white striped cup B (O, UR) [P1]; glass spice container B (O, UD) [P2]</x:v>
      </x:c>
      <x:c r="O132" s="69" t="str">
        <x:v>brown cup B</x:v>
      </x:c>
      <x:c r="P132" s="70" t="str">
        <x:v>Copied unchanged from the latest manifest. This workbook does not endorse or revise the state-recognition design.</x:v>
      </x:c>
    </x:row>
    <x:row r="133" ht="58" customHeight="1">
      <x:c r="A133" s="100" t="n">
        <x:v>131</x:v>
      </x:c>
      <x:c r="B133" s="69" t="str">
        <x:v>State Recognition</x:v>
      </x:c>
      <x:c r="C133" s="69" t="str">
        <x:v>Move a brown cup into the bowl.</x:v>
      </x:c>
      <x:c r="D133" s="69" t="str">
        <x:v>Clean state-masked replacement</x:v>
      </x:c>
      <x:c r="E133" s="69" t="str">
        <x:v>Unchanged in this revision</x:v>
      </x:c>
      <x:c r="F133" s="69" t="str">
        <x:v>state_unchanged</x:v>
      </x:c>
      <x:c r="G133" s="69" t="str">
        <x:v>State Recognition intentionally deferred for separate redesign discussion</x:v>
      </x:c>
      <x:c r="H133" s="69" t="str">
        <x:v>No</x:v>
      </x:c>
      <x:c r="I133" s="69" t="str"/>
      <x:c r="J133" s="69" t="str">
        <x:v>brown cup A (C, UR) [target, P4]; white cup B (O, UD) [P1]; yellow-white striped cup A (C, UR) [P2]; glass spice container A (C, UD) [P3]</x:v>
      </x:c>
      <x:c r="K133" s="69" t="str">
        <x:v>brown cup A</x:v>
      </x:c>
      <x:c r="L133" s="69" t="str">
        <x:v>Home</x:v>
      </x:c>
      <x:c r="M133" s="69" t="str">
        <x:v>Move a brown cup into the bowl.</x:v>
      </x:c>
      <x:c r="N133" s="69" t="str">
        <x:v>brown cup A (C, UR) [target, P4]; white cup B (O, UD) [P1]; yellow-white striped cup A (C, UR) [P2]; glass spice container A (C, UD) [P3]</x:v>
      </x:c>
      <x:c r="O133" s="69" t="str">
        <x:v>brown cup A</x:v>
      </x:c>
      <x:c r="P133" s="70" t="str">
        <x:v>Copied unchanged from the latest manifest. This workbook does not endorse or revise the state-recognition design.</x:v>
      </x:c>
    </x:row>
    <x:row r="134" ht="58" customHeight="1">
      <x:c r="A134" s="100" t="n">
        <x:v>132</x:v>
      </x:c>
      <x:c r="B134" s="69" t="str">
        <x:v>State Recognition</x:v>
      </x:c>
      <x:c r="C134" s="69" t="str">
        <x:v>Place the open brown cup in the bowl.</x:v>
      </x:c>
      <x:c r="D134" s="69" t="str">
        <x:v>Explicit seen-state grounding</x:v>
      </x:c>
      <x:c r="E134" s="69" t="str">
        <x:v>Unchanged in this revision</x:v>
      </x:c>
      <x:c r="F134" s="69" t="str">
        <x:v>state_unchanged</x:v>
      </x:c>
      <x:c r="G134" s="69" t="str">
        <x:v>State Recognition intentionally deferred for separate redesign discussion</x:v>
      </x:c>
      <x:c r="H134" s="69" t="str">
        <x:v>No</x:v>
      </x:c>
      <x:c r="I134" s="69" t="str"/>
      <x:c r="J134" s="69" t="str">
        <x:v>brown cup A, brown cup B, yellow-white striped cup A</x:v>
      </x:c>
      <x:c r="K134" s="69" t="str">
        <x:v>brown cup A</x:v>
      </x:c>
      <x:c r="L134" s="69" t="str">
        <x:v>Recovery</x:v>
      </x:c>
      <x:c r="M134" s="69" t="str">
        <x:v>Place the open brown cup in the bowl.</x:v>
      </x:c>
      <x:c r="N134" s="69" t="str">
        <x:v>brown cup A, brown cup B, yellow-white striped cup A</x:v>
      </x:c>
      <x:c r="O134" s="69" t="str">
        <x:v>brown cup A</x:v>
      </x:c>
      <x:c r="P134" s="70" t="str">
        <x:v>Copied unchanged from the latest manifest. This workbook does not endorse or revise the state-recognition design.</x:v>
      </x:c>
    </x:row>
    <x:row r="135" ht="58" customHeight="1">
      <x:c r="A135" s="100" t="n">
        <x:v>133</x:v>
      </x:c>
      <x:c r="B135" s="69" t="str">
        <x:v>State Recognition</x:v>
      </x:c>
      <x:c r="C135" s="69" t="str">
        <x:v>Put the upside-down brown cup in the bowl.</x:v>
      </x:c>
      <x:c r="D135" s="69" t="str">
        <x:v>Explicit seen-state grounding</x:v>
      </x:c>
      <x:c r="E135" s="69" t="str">
        <x:v>Unchanged in this revision</x:v>
      </x:c>
      <x:c r="F135" s="69" t="str">
        <x:v>state_unchanged</x:v>
      </x:c>
      <x:c r="G135" s="69" t="str">
        <x:v>State Recognition intentionally deferred for separate redesign discussion</x:v>
      </x:c>
      <x:c r="H135" s="69" t="str">
        <x:v>No</x:v>
      </x:c>
      <x:c r="I135" s="69" t="str"/>
      <x:c r="J135" s="69" t="str">
        <x:v>brown cup B, brown cup A, glass spice container B</x:v>
      </x:c>
      <x:c r="K135" s="69" t="str">
        <x:v>brown cup B</x:v>
      </x:c>
      <x:c r="L135" s="69" t="str">
        <x:v>Home</x:v>
      </x:c>
      <x:c r="M135" s="69" t="str">
        <x:v>Put the upside-down brown cup in the bowl.</x:v>
      </x:c>
      <x:c r="N135" s="69" t="str">
        <x:v>brown cup B, brown cup A, glass spice container B</x:v>
      </x:c>
      <x:c r="O135" s="69" t="str">
        <x:v>brown cup B</x:v>
      </x:c>
      <x:c r="P135" s="70" t="str">
        <x:v>Copied unchanged from the latest manifest. This workbook does not endorse or revise the state-recognition design.</x:v>
      </x:c>
    </x:row>
    <x:row r="136" ht="58" customHeight="1">
      <x:c r="A136" s="100" t="n">
        <x:v>134</x:v>
      </x:c>
      <x:c r="B136" s="69" t="str">
        <x:v>State Recognition</x:v>
      </x:c>
      <x:c r="C136" s="69" t="str">
        <x:v>Move the open brown cup into the bowl.</x:v>
      </x:c>
      <x:c r="D136" s="69" t="str">
        <x:v>Explicit seen-state grounding</x:v>
      </x:c>
      <x:c r="E136" s="69" t="str">
        <x:v>Unchanged in this revision</x:v>
      </x:c>
      <x:c r="F136" s="69" t="str">
        <x:v>state_unchanged</x:v>
      </x:c>
      <x:c r="G136" s="69" t="str">
        <x:v>State Recognition intentionally deferred for separate redesign discussion</x:v>
      </x:c>
      <x:c r="H136" s="69" t="str">
        <x:v>No</x:v>
      </x:c>
      <x:c r="I136" s="69" t="str"/>
      <x:c r="J136" s="69" t="str">
        <x:v>brown cup B, brown cup A, white cup A, yellow-white striped cup B</x:v>
      </x:c>
      <x:c r="K136" s="69" t="str">
        <x:v>brown cup B</x:v>
      </x:c>
      <x:c r="L136" s="69" t="str">
        <x:v>Home</x:v>
      </x:c>
      <x:c r="M136" s="69" t="str">
        <x:v>Move the open brown cup into the bowl.</x:v>
      </x:c>
      <x:c r="N136" s="69" t="str">
        <x:v>brown cup B, brown cup A, white cup A, yellow-white striped cup B</x:v>
      </x:c>
      <x:c r="O136" s="69" t="str">
        <x:v>brown cup B</x:v>
      </x:c>
      <x:c r="P136" s="70" t="str">
        <x:v>Copied unchanged from the latest manifest. This workbook does not endorse or revise the state-recognition design.</x:v>
      </x:c>
    </x:row>
    <x:row r="137" ht="58" customHeight="1">
      <x:c r="A137" s="100" t="n">
        <x:v>135</x:v>
      </x:c>
      <x:c r="B137" s="69" t="str">
        <x:v>State Recognition</x:v>
      </x:c>
      <x:c r="C137" s="69" t="str">
        <x:v>Place a brown cup in the bowl.</x:v>
      </x:c>
      <x:c r="D137" s="69" t="str">
        <x:v>Clean state-masked replacement</x:v>
      </x:c>
      <x:c r="E137" s="69" t="str">
        <x:v>Unchanged in this revision</x:v>
      </x:c>
      <x:c r="F137" s="69" t="str">
        <x:v>state_unchanged</x:v>
      </x:c>
      <x:c r="G137" s="69" t="str">
        <x:v>State Recognition intentionally deferred for separate redesign discussion</x:v>
      </x:c>
      <x:c r="H137" s="69" t="str">
        <x:v>No</x:v>
      </x:c>
      <x:c r="I137" s="69" t="str"/>
      <x:c r="J137" s="69" t="str">
        <x:v>brown cup A (O, UR) [target, P1]; white cup A (C, UD) [P3]; yellow-white striped cup B (O, UD) [P4]; glass spice container B (O, UR) [P2]</x:v>
      </x:c>
      <x:c r="K137" s="69" t="str">
        <x:v>brown cup A</x:v>
      </x:c>
      <x:c r="L137" s="69" t="str">
        <x:v>Home</x:v>
      </x:c>
      <x:c r="M137" s="69" t="str">
        <x:v>Place a brown cup in the bowl.</x:v>
      </x:c>
      <x:c r="N137" s="69" t="str">
        <x:v>brown cup A (O, UR) [target, P1]; white cup A (C, UD) [P3]; yellow-white striped cup B (O, UD) [P4]; glass spice container B (O, UR) [P2]</x:v>
      </x:c>
      <x:c r="O137" s="69" t="str">
        <x:v>brown cup A</x:v>
      </x:c>
      <x:c r="P137" s="70" t="str">
        <x:v>Copied unchanged from the latest manifest. This workbook does not endorse or revise the state-recognition design.</x:v>
      </x:c>
    </x:row>
    <x:row r="138" ht="58" customHeight="1">
      <x:c r="A138" s="100" t="n">
        <x:v>136</x:v>
      </x:c>
      <x:c r="B138" s="69" t="str">
        <x:v>State Recognition</x:v>
      </x:c>
      <x:c r="C138" s="69" t="str">
        <x:v>Put a brown cup in the bowl.</x:v>
      </x:c>
      <x:c r="D138" s="69" t="str">
        <x:v>Clean state-masked exposure</x:v>
      </x:c>
      <x:c r="E138" s="69" t="str">
        <x:v>Unchanged in this revision</x:v>
      </x:c>
      <x:c r="F138" s="69" t="str">
        <x:v>state_unchanged</x:v>
      </x:c>
      <x:c r="G138" s="69" t="str">
        <x:v>State Recognition intentionally deferred for separate redesign discussion</x:v>
      </x:c>
      <x:c r="H138" s="69" t="str">
        <x:v>No</x:v>
      </x:c>
      <x:c r="I138" s="69" t="str"/>
      <x:c r="J138" s="69" t="str">
        <x:v>brown cup A, white cup B, yellow-white striped cup B</x:v>
      </x:c>
      <x:c r="K138" s="69" t="str">
        <x:v>brown cup A</x:v>
      </x:c>
      <x:c r="L138" s="69" t="str">
        <x:v>Home</x:v>
      </x:c>
      <x:c r="M138" s="69" t="str">
        <x:v>Put a brown cup in the bowl.</x:v>
      </x:c>
      <x:c r="N138" s="69" t="str">
        <x:v>brown cup A, white cup B, yellow-white striped cup B</x:v>
      </x:c>
      <x:c r="O138" s="69" t="str">
        <x:v>brown cup A</x:v>
      </x:c>
      <x:c r="P138" s="70" t="str">
        <x:v>Copied unchanged from the latest manifest. This workbook does not endorse or revise the state-recognition design.</x:v>
      </x:c>
    </x:row>
    <x:row r="139" ht="58" customHeight="1">
      <x:c r="A139" s="100" t="n">
        <x:v>137</x:v>
      </x:c>
      <x:c r="B139" s="69" t="str">
        <x:v>State Recognition</x:v>
      </x:c>
      <x:c r="C139" s="69" t="str">
        <x:v>Move the upside-down brown cup into the bowl.</x:v>
      </x:c>
      <x:c r="D139" s="69" t="str">
        <x:v>Explicit seen-state grounding</x:v>
      </x:c>
      <x:c r="E139" s="69" t="str">
        <x:v>Unchanged in this revision</x:v>
      </x:c>
      <x:c r="F139" s="69" t="str">
        <x:v>state_unchanged</x:v>
      </x:c>
      <x:c r="G139" s="69" t="str">
        <x:v>State Recognition intentionally deferred for separate redesign discussion</x:v>
      </x:c>
      <x:c r="H139" s="69" t="str">
        <x:v>No</x:v>
      </x:c>
      <x:c r="I139" s="69" t="str"/>
      <x:c r="J139" s="69" t="str">
        <x:v>brown cup B, brown cup A, white cup B</x:v>
      </x:c>
      <x:c r="K139" s="69" t="str">
        <x:v>brown cup B</x:v>
      </x:c>
      <x:c r="L139" s="69" t="str">
        <x:v>Home</x:v>
      </x:c>
      <x:c r="M139" s="69" t="str">
        <x:v>Move the upside-down brown cup into the bowl.</x:v>
      </x:c>
      <x:c r="N139" s="69" t="str">
        <x:v>brown cup B, brown cup A, white cup B</x:v>
      </x:c>
      <x:c r="O139" s="69" t="str">
        <x:v>brown cup B</x:v>
      </x:c>
      <x:c r="P139" s="70" t="str">
        <x:v>Copied unchanged from the latest manifest. This workbook does not endorse or revise the state-recognition design.</x:v>
      </x:c>
    </x:row>
    <x:row r="140" ht="58" customHeight="1">
      <x:c r="A140" s="100" t="n">
        <x:v>138</x:v>
      </x:c>
      <x:c r="B140" s="69" t="str">
        <x:v>State Recognition</x:v>
      </x:c>
      <x:c r="C140" s="69" t="str">
        <x:v>Place the open brown cup in the bowl.</x:v>
      </x:c>
      <x:c r="D140" s="69" t="str">
        <x:v>Explicit seen-state grounding</x:v>
      </x:c>
      <x:c r="E140" s="69" t="str">
        <x:v>Unchanged in this revision</x:v>
      </x:c>
      <x:c r="F140" s="69" t="str">
        <x:v>state_unchanged</x:v>
      </x:c>
      <x:c r="G140" s="69" t="str">
        <x:v>State Recognition intentionally deferred for separate redesign discussion</x:v>
      </x:c>
      <x:c r="H140" s="69" t="str">
        <x:v>No</x:v>
      </x:c>
      <x:c r="I140" s="69" t="str"/>
      <x:c r="J140" s="69" t="str">
        <x:v>brown cup B, brown cup A, yellow-white striped cup A, glass spice container B</x:v>
      </x:c>
      <x:c r="K140" s="69" t="str">
        <x:v>brown cup B</x:v>
      </x:c>
      <x:c r="L140" s="69" t="str">
        <x:v>Recovery</x:v>
      </x:c>
      <x:c r="M140" s="69" t="str">
        <x:v>Place the open brown cup in the bowl.</x:v>
      </x:c>
      <x:c r="N140" s="69" t="str">
        <x:v>brown cup B, brown cup A, yellow-white striped cup A, glass spice container B</x:v>
      </x:c>
      <x:c r="O140" s="69" t="str">
        <x:v>brown cup B</x:v>
      </x:c>
      <x:c r="P140" s="70" t="str">
        <x:v>Copied unchanged from the latest manifest. This workbook does not endorse or revise the state-recognition design.</x:v>
      </x:c>
    </x:row>
    <x:row r="141" ht="58" customHeight="1">
      <x:c r="A141" s="100" t="n">
        <x:v>139</x:v>
      </x:c>
      <x:c r="B141" s="69" t="str">
        <x:v>State Recognition</x:v>
      </x:c>
      <x:c r="C141" s="69" t="str">
        <x:v>Put a brown cup in the bowl.</x:v>
      </x:c>
      <x:c r="D141" s="69" t="str">
        <x:v>Clean state-masked replacement</x:v>
      </x:c>
      <x:c r="E141" s="69" t="str">
        <x:v>Unchanged in this revision</x:v>
      </x:c>
      <x:c r="F141" s="69" t="str">
        <x:v>state_unchanged</x:v>
      </x:c>
      <x:c r="G141" s="69" t="str">
        <x:v>State Recognition intentionally deferred for separate redesign discussion</x:v>
      </x:c>
      <x:c r="H141" s="69" t="str">
        <x:v>No</x:v>
      </x:c>
      <x:c r="I141" s="69" t="str"/>
      <x:c r="J141" s="69" t="str">
        <x:v>brown cup A (C, UD) [target, P2]; white cup B (O, UR) [P4]; yellow-white striped cup A (C, UD) [P1]; glass spice container A (C, UR) [P3]</x:v>
      </x:c>
      <x:c r="K141" s="69" t="str">
        <x:v>brown cup A</x:v>
      </x:c>
      <x:c r="L141" s="69" t="str">
        <x:v>Home</x:v>
      </x:c>
      <x:c r="M141" s="69" t="str">
        <x:v>Put a brown cup in the bowl.</x:v>
      </x:c>
      <x:c r="N141" s="69" t="str">
        <x:v>brown cup A (C, UD) [target, P2]; white cup B (O, UR) [P4]; yellow-white striped cup A (C, UD) [P1]; glass spice container A (C, UR) [P3]</x:v>
      </x:c>
      <x:c r="O141" s="69" t="str">
        <x:v>brown cup A</x:v>
      </x:c>
      <x:c r="P141" s="70" t="str">
        <x:v>Copied unchanged from the latest manifest. This workbook does not endorse or revise the state-recognition design.</x:v>
      </x:c>
    </x:row>
    <x:row r="142" ht="58" customHeight="1">
      <x:c r="A142" s="100" t="n">
        <x:v>140</x:v>
      </x:c>
      <x:c r="B142" s="69" t="str">
        <x:v>State Recognition</x:v>
      </x:c>
      <x:c r="C142" s="69" t="str">
        <x:v>Move a brown cup into the bowl.</x:v>
      </x:c>
      <x:c r="D142" s="69" t="str">
        <x:v>Clean state-masked replacement</x:v>
      </x:c>
      <x:c r="E142" s="69" t="str">
        <x:v>Unchanged in this revision</x:v>
      </x:c>
      <x:c r="F142" s="69" t="str">
        <x:v>state_unchanged</x:v>
      </x:c>
      <x:c r="G142" s="69" t="str">
        <x:v>State Recognition intentionally deferred for separate redesign discussion</x:v>
      </x:c>
      <x:c r="H142" s="69" t="str">
        <x:v>No</x:v>
      </x:c>
      <x:c r="I142" s="69" t="str"/>
      <x:c r="J142" s="69" t="str">
        <x:v>brown cup A (O, UD) [target, P3]; white cup A (C, UR) [P1]; yellow-white striped cup B (O, UR) [P2]; glass spice container B (O, UD) [P4]</x:v>
      </x:c>
      <x:c r="K142" s="69" t="str">
        <x:v>brown cup A</x:v>
      </x:c>
      <x:c r="L142" s="69" t="str">
        <x:v>Home</x:v>
      </x:c>
      <x:c r="M142" s="69" t="str">
        <x:v>Move a brown cup into the bowl.</x:v>
      </x:c>
      <x:c r="N142" s="69" t="str">
        <x:v>brown cup A (O, UD) [target, P3]; white cup A (C, UR) [P1]; yellow-white striped cup B (O, UR) [P2]; glass spice container B (O, UD) [P4]</x:v>
      </x:c>
      <x:c r="O142" s="69" t="str">
        <x:v>brown cup A</x:v>
      </x:c>
      <x:c r="P142" s="70" t="str">
        <x:v>Copied unchanged from the latest manifest. This workbook does not endorse or revise the state-recognition design.</x:v>
      </x:c>
    </x:row>
    <x:row r="143" ht="58" customHeight="1">
      <x:c r="A143" s="100" t="n">
        <x:v>141</x:v>
      </x:c>
      <x:c r="B143" s="69" t="str">
        <x:v>State Recognition</x:v>
      </x:c>
      <x:c r="C143" s="69" t="str">
        <x:v>Place a brown cup in the bowl.</x:v>
      </x:c>
      <x:c r="D143" s="69" t="str">
        <x:v>Clean state-masked exposure</x:v>
      </x:c>
      <x:c r="E143" s="69" t="str">
        <x:v>Unchanged in this revision</x:v>
      </x:c>
      <x:c r="F143" s="69" t="str">
        <x:v>state_unchanged</x:v>
      </x:c>
      <x:c r="G143" s="69" t="str">
        <x:v>State Recognition intentionally deferred for separate redesign discussion</x:v>
      </x:c>
      <x:c r="H143" s="69" t="str">
        <x:v>No</x:v>
      </x:c>
      <x:c r="I143" s="69" t="str"/>
      <x:c r="J143" s="69" t="str">
        <x:v>brown cup B, yellow-white striped cup B, glass spice container A</x:v>
      </x:c>
      <x:c r="K143" s="69" t="str">
        <x:v>brown cup B</x:v>
      </x:c>
      <x:c r="L143" s="69" t="str">
        <x:v>Home</x:v>
      </x:c>
      <x:c r="M143" s="69" t="str">
        <x:v>Place a brown cup in the bowl.</x:v>
      </x:c>
      <x:c r="N143" s="69" t="str">
        <x:v>brown cup B, yellow-white striped cup B, glass spice container A</x:v>
      </x:c>
      <x:c r="O143" s="69" t="str">
        <x:v>brown cup B</x:v>
      </x:c>
      <x:c r="P143" s="70" t="str">
        <x:v>Copied unchanged from the latest manifest. This workbook does not endorse or revise the state-recognition design.</x:v>
      </x:c>
    </x:row>
    <x:row r="144" ht="58" customHeight="1">
      <x:c r="A144" s="100" t="n">
        <x:v>142</x:v>
      </x:c>
      <x:c r="B144" s="69" t="str">
        <x:v>State Recognition</x:v>
      </x:c>
      <x:c r="C144" s="69" t="str">
        <x:v>Put the open brown cup in the bowl.</x:v>
      </x:c>
      <x:c r="D144" s="69" t="str">
        <x:v>Explicit seen-state grounding</x:v>
      </x:c>
      <x:c r="E144" s="69" t="str">
        <x:v>Unchanged in this revision</x:v>
      </x:c>
      <x:c r="F144" s="69" t="str">
        <x:v>state_unchanged</x:v>
      </x:c>
      <x:c r="G144" s="69" t="str">
        <x:v>State Recognition intentionally deferred for separate redesign discussion</x:v>
      </x:c>
      <x:c r="H144" s="69" t="str">
        <x:v>No</x:v>
      </x:c>
      <x:c r="I144" s="69" t="str"/>
      <x:c r="J144" s="69" t="str">
        <x:v>brown cup B, brown cup A, glass spice container A</x:v>
      </x:c>
      <x:c r="K144" s="69" t="str">
        <x:v>brown cup B</x:v>
      </x:c>
      <x:c r="L144" s="69" t="str">
        <x:v>Recovery</x:v>
      </x:c>
      <x:c r="M144" s="69" t="str">
        <x:v>Put the open brown cup in the bowl.</x:v>
      </x:c>
      <x:c r="N144" s="69" t="str">
        <x:v>brown cup B, brown cup A, glass spice container A</x:v>
      </x:c>
      <x:c r="O144" s="69" t="str">
        <x:v>brown cup B</x:v>
      </x:c>
      <x:c r="P144" s="70" t="str">
        <x:v>Copied unchanged from the latest manifest. This workbook does not endorse or revise the state-recognition design.</x:v>
      </x:c>
    </x:row>
    <x:row r="145" ht="58" customHeight="1">
      <x:c r="A145" s="100" t="n">
        <x:v>143</x:v>
      </x:c>
      <x:c r="B145" s="69" t="str">
        <x:v>State Recognition</x:v>
      </x:c>
      <x:c r="C145" s="69" t="str">
        <x:v>Move a brown cup into the bowl.</x:v>
      </x:c>
      <x:c r="D145" s="69" t="str">
        <x:v>Clean state-masked exposure</x:v>
      </x:c>
      <x:c r="E145" s="69" t="str">
        <x:v>Unchanged in this revision</x:v>
      </x:c>
      <x:c r="F145" s="69" t="str">
        <x:v>state_unchanged</x:v>
      </x:c>
      <x:c r="G145" s="69" t="str">
        <x:v>State Recognition intentionally deferred for separate redesign discussion</x:v>
      </x:c>
      <x:c r="H145" s="69" t="str">
        <x:v>No</x:v>
      </x:c>
      <x:c r="I145" s="69" t="str"/>
      <x:c r="J145" s="69" t="str">
        <x:v>brown cup A, glass spice container A, white cup A, yellow-white striped cup A</x:v>
      </x:c>
      <x:c r="K145" s="69" t="str">
        <x:v>brown cup A</x:v>
      </x:c>
      <x:c r="L145" s="69" t="str">
        <x:v>Home</x:v>
      </x:c>
      <x:c r="M145" s="69" t="str">
        <x:v>Move a brown cup into the bowl.</x:v>
      </x:c>
      <x:c r="N145" s="69" t="str">
        <x:v>brown cup A, glass spice container A, white cup A, yellow-white striped cup A</x:v>
      </x:c>
      <x:c r="O145" s="69" t="str">
        <x:v>brown cup A</x:v>
      </x:c>
      <x:c r="P145" s="70" t="str">
        <x:v>Copied unchanged from the latest manifest. This workbook does not endorse or revise the state-recognition design.</x:v>
      </x:c>
    </x:row>
    <x:row r="146" ht="58" customHeight="1">
      <x:c r="A146" s="100" t="n">
        <x:v>144</x:v>
      </x:c>
      <x:c r="B146" s="69" t="str">
        <x:v>State Recognition</x:v>
      </x:c>
      <x:c r="C146" s="69" t="str">
        <x:v>Place a brown cup in the bowl.</x:v>
      </x:c>
      <x:c r="D146" s="69" t="str">
        <x:v>Clean state-masked replacement</x:v>
      </x:c>
      <x:c r="E146" s="69" t="str">
        <x:v>Unchanged in this revision</x:v>
      </x:c>
      <x:c r="F146" s="69" t="str">
        <x:v>state_unchanged</x:v>
      </x:c>
      <x:c r="G146" s="69" t="str">
        <x:v>State Recognition intentionally deferred for separate redesign discussion</x:v>
      </x:c>
      <x:c r="H146" s="69" t="str">
        <x:v>No</x:v>
      </x:c>
      <x:c r="I146" s="69" t="str"/>
      <x:c r="J146" s="69" t="str">
        <x:v>brown cup B (C, UR) [target, P4]; white cup B (O, UD) [P2]; yellow-white striped cup A (C, UR) [P3]; glass spice container A (C, UD) [P1]</x:v>
      </x:c>
      <x:c r="K146" s="69" t="str">
        <x:v>brown cup B</x:v>
      </x:c>
      <x:c r="L146" s="69" t="str">
        <x:v>Home</x:v>
      </x:c>
      <x:c r="M146" s="69" t="str">
        <x:v>Place a brown cup in the bowl.</x:v>
      </x:c>
      <x:c r="N146" s="69" t="str">
        <x:v>brown cup B (C, UR) [target, P4]; white cup B (O, UD) [P2]; yellow-white striped cup A (C, UR) [P3]; glass spice container A (C, UD) [P1]</x:v>
      </x:c>
      <x:c r="O146" s="69" t="str">
        <x:v>brown cup B</x:v>
      </x:c>
      <x:c r="P146" s="70" t="str">
        <x:v>Copied unchanged from the latest manifest. This workbook does not endorse or revise the state-recognition design.</x:v>
      </x:c>
    </x:row>
    <x:row r="147" ht="58" customHeight="1">
      <x:c r="A147" s="100" t="n">
        <x:v>145</x:v>
      </x:c>
      <x:c r="B147" s="69" t="str">
        <x:v>State Recognition</x:v>
      </x:c>
      <x:c r="C147" s="69" t="str">
        <x:v>Put a brown cup in the bowl.</x:v>
      </x:c>
      <x:c r="D147" s="69" t="str">
        <x:v>Clean state-masked replacement</x:v>
      </x:c>
      <x:c r="E147" s="69" t="str">
        <x:v>Unchanged in this revision</x:v>
      </x:c>
      <x:c r="F147" s="69" t="str">
        <x:v>state_unchanged</x:v>
      </x:c>
      <x:c r="G147" s="69" t="str">
        <x:v>State Recognition intentionally deferred for separate redesign discussion</x:v>
      </x:c>
      <x:c r="H147" s="69" t="str">
        <x:v>No</x:v>
      </x:c>
      <x:c r="I147" s="69" t="str"/>
      <x:c r="J147" s="69" t="str">
        <x:v>brown cup A (O, UR) [target, P1]; white cup A (C, UD) [P4]; yellow-white striped cup B (O, UD) [P2]; glass spice container B (O, UR) [P3]</x:v>
      </x:c>
      <x:c r="K147" s="69" t="str">
        <x:v>brown cup A</x:v>
      </x:c>
      <x:c r="L147" s="69" t="str">
        <x:v>Home</x:v>
      </x:c>
      <x:c r="M147" s="69" t="str">
        <x:v>Put a brown cup in the bowl.</x:v>
      </x:c>
      <x:c r="N147" s="69" t="str">
        <x:v>brown cup A (O, UR) [target, P1]; white cup A (C, UD) [P4]; yellow-white striped cup B (O, UD) [P2]; glass spice container B (O, UR) [P3]</x:v>
      </x:c>
      <x:c r="O147" s="69" t="str">
        <x:v>brown cup A</x:v>
      </x:c>
      <x:c r="P147" s="70" t="str">
        <x:v>Copied unchanged from the latest manifest. This workbook does not endorse or revise the state-recognition design.</x:v>
      </x:c>
    </x:row>
    <x:row r="148" ht="58" customHeight="1">
      <x:c r="A148" s="100" t="n">
        <x:v>146</x:v>
      </x:c>
      <x:c r="B148" s="69" t="str">
        <x:v>State Recognition</x:v>
      </x:c>
      <x:c r="C148" s="69" t="str">
        <x:v>Move the upside-down brown cup into the bowl.</x:v>
      </x:c>
      <x:c r="D148" s="69" t="str">
        <x:v>Explicit seen-state grounding</x:v>
      </x:c>
      <x:c r="E148" s="69" t="str">
        <x:v>Unchanged in this revision</x:v>
      </x:c>
      <x:c r="F148" s="69" t="str">
        <x:v>state_unchanged</x:v>
      </x:c>
      <x:c r="G148" s="69" t="str">
        <x:v>State Recognition intentionally deferred for separate redesign discussion</x:v>
      </x:c>
      <x:c r="H148" s="69" t="str">
        <x:v>No</x:v>
      </x:c>
      <x:c r="I148" s="69" t="str"/>
      <x:c r="J148" s="69" t="str">
        <x:v>brown cup B, brown cup A, white cup A, yellow-white striped cup B</x:v>
      </x:c>
      <x:c r="K148" s="69" t="str">
        <x:v>brown cup B</x:v>
      </x:c>
      <x:c r="L148" s="69" t="str">
        <x:v>Recovery</x:v>
      </x:c>
      <x:c r="M148" s="69" t="str">
        <x:v>Move the upside-down brown cup into the bowl.</x:v>
      </x:c>
      <x:c r="N148" s="69" t="str">
        <x:v>brown cup B, brown cup A, white cup A, yellow-white striped cup B</x:v>
      </x:c>
      <x:c r="O148" s="69" t="str">
        <x:v>brown cup B</x:v>
      </x:c>
      <x:c r="P148" s="70" t="str">
        <x:v>Copied unchanged from the latest manifest. This workbook does not endorse or revise the state-recognition design.</x:v>
      </x:c>
    </x:row>
    <x:row r="149" ht="58" customHeight="1">
      <x:c r="A149" s="100" t="n">
        <x:v>147</x:v>
      </x:c>
      <x:c r="B149" s="69" t="str">
        <x:v>State Recognition</x:v>
      </x:c>
      <x:c r="C149" s="69" t="str">
        <x:v>Place the upside-down brown cup in the bowl.</x:v>
      </x:c>
      <x:c r="D149" s="69" t="str">
        <x:v>Explicit seen-state grounding</x:v>
      </x:c>
      <x:c r="E149" s="69" t="str">
        <x:v>Unchanged in this revision</x:v>
      </x:c>
      <x:c r="F149" s="69" t="str">
        <x:v>state_unchanged</x:v>
      </x:c>
      <x:c r="G149" s="69" t="str">
        <x:v>State Recognition intentionally deferred for separate redesign discussion</x:v>
      </x:c>
      <x:c r="H149" s="69" t="str">
        <x:v>No</x:v>
      </x:c>
      <x:c r="I149" s="69" t="str"/>
      <x:c r="J149" s="69" t="str">
        <x:v>brown cup A, brown cup B, yellow-white striped cup B, glass spice container A</x:v>
      </x:c>
      <x:c r="K149" s="69" t="str">
        <x:v>brown cup A</x:v>
      </x:c>
      <x:c r="L149" s="69" t="str">
        <x:v>Home</x:v>
      </x:c>
      <x:c r="M149" s="69" t="str">
        <x:v>Place the upside-down brown cup in the bowl.</x:v>
      </x:c>
      <x:c r="N149" s="69" t="str">
        <x:v>brown cup A, brown cup B, yellow-white striped cup B, glass spice container A</x:v>
      </x:c>
      <x:c r="O149" s="69" t="str">
        <x:v>brown cup A</x:v>
      </x:c>
      <x:c r="P149" s="70" t="str">
        <x:v>Copied unchanged from the latest manifest. This workbook does not endorse or revise the state-recognition design.</x:v>
      </x:c>
    </x:row>
    <x:row r="150" ht="58" customHeight="1">
      <x:c r="A150" s="100" t="n">
        <x:v>148</x:v>
      </x:c>
      <x:c r="B150" s="69" t="str">
        <x:v>State Recognition</x:v>
      </x:c>
      <x:c r="C150" s="69" t="str">
        <x:v>Put a brown cup in the bowl.</x:v>
      </x:c>
      <x:c r="D150" s="69" t="str">
        <x:v>Clean state-masked exposure</x:v>
      </x:c>
      <x:c r="E150" s="69" t="str">
        <x:v>Unchanged in this revision</x:v>
      </x:c>
      <x:c r="F150" s="69" t="str">
        <x:v>state_unchanged</x:v>
      </x:c>
      <x:c r="G150" s="69" t="str">
        <x:v>State Recognition intentionally deferred for separate redesign discussion</x:v>
      </x:c>
      <x:c r="H150" s="69" t="str">
        <x:v>No</x:v>
      </x:c>
      <x:c r="I150" s="69" t="str"/>
      <x:c r="J150" s="69" t="str">
        <x:v>brown cup A, white cup A, yellow-white striped cup A</x:v>
      </x:c>
      <x:c r="K150" s="69" t="str">
        <x:v>brown cup A</x:v>
      </x:c>
      <x:c r="L150" s="69" t="str">
        <x:v>Home</x:v>
      </x:c>
      <x:c r="M150" s="69" t="str">
        <x:v>Put a brown cup in the bowl.</x:v>
      </x:c>
      <x:c r="N150" s="69" t="str">
        <x:v>brown cup A, white cup A, yellow-white striped cup A</x:v>
      </x:c>
      <x:c r="O150" s="69" t="str">
        <x:v>brown cup A</x:v>
      </x:c>
      <x:c r="P150" s="70" t="str">
        <x:v>Copied unchanged from the latest manifest. This workbook does not endorse or revise the state-recognition design.</x:v>
      </x:c>
    </x:row>
    <x:row r="151" ht="58" customHeight="1">
      <x:c r="A151" s="100" t="n">
        <x:v>149</x:v>
      </x:c>
      <x:c r="B151" s="69" t="str">
        <x:v>State Recognition</x:v>
      </x:c>
      <x:c r="C151" s="69" t="str">
        <x:v>Move a brown cup into the bowl.</x:v>
      </x:c>
      <x:c r="D151" s="69" t="str">
        <x:v>Clean state-masked replacement</x:v>
      </x:c>
      <x:c r="E151" s="69" t="str">
        <x:v>Unchanged in this revision</x:v>
      </x:c>
      <x:c r="F151" s="69" t="str">
        <x:v>state_unchanged</x:v>
      </x:c>
      <x:c r="G151" s="69" t="str">
        <x:v>State Recognition intentionally deferred for separate redesign discussion</x:v>
      </x:c>
      <x:c r="H151" s="69" t="str">
        <x:v>No</x:v>
      </x:c>
      <x:c r="I151" s="69" t="str"/>
      <x:c r="J151" s="69" t="str">
        <x:v>brown cup B (C, UD) [target, P2]; white cup B (O, UR) [P1]; yellow-white striped cup A (C, UD) [P3]; glass spice container A (C, UR) [P4]</x:v>
      </x:c>
      <x:c r="K151" s="69" t="str">
        <x:v>brown cup B</x:v>
      </x:c>
      <x:c r="L151" s="69" t="str">
        <x:v>Home</x:v>
      </x:c>
      <x:c r="M151" s="69" t="str">
        <x:v>Move a brown cup into the bowl.</x:v>
      </x:c>
      <x:c r="N151" s="69" t="str">
        <x:v>brown cup B (C, UD) [target, P2]; white cup B (O, UR) [P1]; yellow-white striped cup A (C, UD) [P3]; glass spice container A (C, UR) [P4]</x:v>
      </x:c>
      <x:c r="O151" s="69" t="str">
        <x:v>brown cup B</x:v>
      </x:c>
      <x:c r="P151" s="70" t="str">
        <x:v>Copied unchanged from the latest manifest. This workbook does not endorse or revise the state-recognition design.</x:v>
      </x:c>
    </x:row>
    <x:row r="152" ht="58" customHeight="1">
      <x:c r="A152" s="100" t="n">
        <x:v>150</x:v>
      </x:c>
      <x:c r="B152" s="69" t="str">
        <x:v>State Recognition</x:v>
      </x:c>
      <x:c r="C152" s="69" t="str">
        <x:v>Place a glass spice container in the bowl.</x:v>
      </x:c>
      <x:c r="D152" s="69" t="str">
        <x:v>Clean state-masked replacement</x:v>
      </x:c>
      <x:c r="E152" s="69" t="str">
        <x:v>Unchanged in this revision</x:v>
      </x:c>
      <x:c r="F152" s="69" t="str">
        <x:v>state_unchanged</x:v>
      </x:c>
      <x:c r="G152" s="69" t="str">
        <x:v>State Recognition intentionally deferred for separate redesign discussion</x:v>
      </x:c>
      <x:c r="H152" s="69" t="str">
        <x:v>No</x:v>
      </x:c>
      <x:c r="I152" s="69" t="str"/>
      <x:c r="J152" s="69" t="str">
        <x:v>glass spice container A (C, UR) [target, P4]; white cup B (C, UR); yellow-white striped cup B (C, UD); brown cup A (O, UR)</x:v>
      </x:c>
      <x:c r="K152" s="69" t="str">
        <x:v>glass spice container A</x:v>
      </x:c>
      <x:c r="L152" s="69" t="str">
        <x:v>Home</x:v>
      </x:c>
      <x:c r="M152" s="69" t="str">
        <x:v>Place a glass spice container in the bowl.</x:v>
      </x:c>
      <x:c r="N152" s="69" t="str">
        <x:v>glass spice container A (C, UR) [target, P4]; white cup B (C, UR); yellow-white striped cup B (C, UD); brown cup A (O, UR)</x:v>
      </x:c>
      <x:c r="O152" s="69" t="str">
        <x:v>glass spice container A</x:v>
      </x:c>
      <x:c r="P152" s="70" t="str">
        <x:v>Copied unchanged from the latest manifest. This workbook does not endorse or revise the state-recognition design.</x:v>
      </x:c>
    </x:row>
    <x:row r="153" ht="58" customHeight="1">
      <x:c r="A153" s="100" t="n">
        <x:v>151</x:v>
      </x:c>
      <x:c r="B153" s="69" t="str">
        <x:v>State Recognition</x:v>
      </x:c>
      <x:c r="C153" s="69" t="str">
        <x:v>Put a glass spice container in the bowl.</x:v>
      </x:c>
      <x:c r="D153" s="69" t="str">
        <x:v>Clean state-masked replacement</x:v>
      </x:c>
      <x:c r="E153" s="69" t="str">
        <x:v>Unchanged in this revision</x:v>
      </x:c>
      <x:c r="F153" s="69" t="str">
        <x:v>state_unchanged</x:v>
      </x:c>
      <x:c r="G153" s="69" t="str">
        <x:v>State Recognition intentionally deferred for separate redesign discussion</x:v>
      </x:c>
      <x:c r="H153" s="69" t="str">
        <x:v>No</x:v>
      </x:c>
      <x:c r="I153" s="69" t="str"/>
      <x:c r="J153" s="69" t="str">
        <x:v>glass spice container A (C, UD) [target, P1]; white cup A (C, UD); yellow-white striped cup A (C, UR); brown cup A (O, UD)</x:v>
      </x:c>
      <x:c r="K153" s="69" t="str">
        <x:v>glass spice container A</x:v>
      </x:c>
      <x:c r="L153" s="69" t="str">
        <x:v>Home</x:v>
      </x:c>
      <x:c r="M153" s="69" t="str">
        <x:v>Put a glass spice container in the bowl.</x:v>
      </x:c>
      <x:c r="N153" s="69" t="str">
        <x:v>glass spice container A (C, UD) [target, P1]; white cup A (C, UD); yellow-white striped cup A (C, UR); brown cup A (O, UD)</x:v>
      </x:c>
      <x:c r="O153" s="69" t="str">
        <x:v>glass spice container A</x:v>
      </x:c>
      <x:c r="P153" s="70" t="str">
        <x:v>Copied unchanged from the latest manifest. This workbook does not endorse or revise the state-recognition design.</x:v>
      </x:c>
    </x:row>
    <x:row r="154" ht="58" customHeight="1">
      <x:c r="A154" s="100" t="n">
        <x:v>152</x:v>
      </x:c>
      <x:c r="B154" s="69" t="str">
        <x:v>State Recognition</x:v>
      </x:c>
      <x:c r="C154" s="69" t="str">
        <x:v>Move a glass spice container into the bowl.</x:v>
      </x:c>
      <x:c r="D154" s="69" t="str">
        <x:v>Clean state-masked replacement</x:v>
      </x:c>
      <x:c r="E154" s="69" t="str">
        <x:v>Unchanged in this revision</x:v>
      </x:c>
      <x:c r="F154" s="69" t="str">
        <x:v>state_unchanged</x:v>
      </x:c>
      <x:c r="G154" s="69" t="str">
        <x:v>State Recognition intentionally deferred for separate redesign discussion</x:v>
      </x:c>
      <x:c r="H154" s="69" t="str">
        <x:v>No</x:v>
      </x:c>
      <x:c r="I154" s="69" t="str"/>
      <x:c r="J154" s="69" t="str">
        <x:v>glass spice container B (O, UD) [target, P3]; white cup A (C, UR) [P2]; yellow-white striped cup B (O, UR) [P4]; brown cup A (C, UD) [P1]</x:v>
      </x:c>
      <x:c r="K154" s="69" t="str">
        <x:v>glass spice container B</x:v>
      </x:c>
      <x:c r="L154" s="69" t="str">
        <x:v>Home</x:v>
      </x:c>
      <x:c r="M154" s="69" t="str">
        <x:v>Move a glass spice container into the bowl.</x:v>
      </x:c>
      <x:c r="N154" s="69" t="str">
        <x:v>glass spice container B (O, UD) [target, P3]; white cup A (C, UR) [P2]; yellow-white striped cup B (O, UR) [P4]; brown cup A (C, UD) [P1]</x:v>
      </x:c>
      <x:c r="O154" s="69" t="str">
        <x:v>glass spice container B</x:v>
      </x:c>
      <x:c r="P154" s="70" t="str">
        <x:v>Copied unchanged from the latest manifest. This workbook does not endorse or revise the state-recognition design.</x:v>
      </x:c>
    </x:row>
    <x:row r="155" ht="58" customHeight="1">
      <x:c r="A155" s="100" t="n">
        <x:v>153</x:v>
      </x:c>
      <x:c r="B155" s="69" t="str">
        <x:v>State Recognition</x:v>
      </x:c>
      <x:c r="C155" s="69" t="str">
        <x:v>Place a glass spice container in the bowl.</x:v>
      </x:c>
      <x:c r="D155" s="69" t="str">
        <x:v>Clean state-masked exposure</x:v>
      </x:c>
      <x:c r="E155" s="69" t="str">
        <x:v>Unchanged in this revision</x:v>
      </x:c>
      <x:c r="F155" s="69" t="str">
        <x:v>state_unchanged</x:v>
      </x:c>
      <x:c r="G155" s="69" t="str">
        <x:v>State Recognition intentionally deferred for separate redesign discussion</x:v>
      </x:c>
      <x:c r="H155" s="69" t="str">
        <x:v>No</x:v>
      </x:c>
      <x:c r="I155" s="69" t="str"/>
      <x:c r="J155" s="69" t="str">
        <x:v>glass spice container B, white cup A, yellow-white striped cup A</x:v>
      </x:c>
      <x:c r="K155" s="69" t="str">
        <x:v>glass spice container B</x:v>
      </x:c>
      <x:c r="L155" s="69" t="str">
        <x:v>Recovery</x:v>
      </x:c>
      <x:c r="M155" s="69" t="str">
        <x:v>Place a glass spice container in the bowl.</x:v>
      </x:c>
      <x:c r="N155" s="69" t="str">
        <x:v>glass spice container B, white cup A, yellow-white striped cup A</x:v>
      </x:c>
      <x:c r="O155" s="69" t="str">
        <x:v>glass spice container B</x:v>
      </x:c>
      <x:c r="P155" s="70" t="str">
        <x:v>Copied unchanged from the latest manifest. This workbook does not endorse or revise the state-recognition design.</x:v>
      </x:c>
    </x:row>
    <x:row r="156" ht="58" customHeight="1">
      <x:c r="A156" s="100" t="n">
        <x:v>154</x:v>
      </x:c>
      <x:c r="B156" s="69" t="str">
        <x:v>State Recognition</x:v>
      </x:c>
      <x:c r="C156" s="69" t="str">
        <x:v>Put a glass spice container in the bowl.</x:v>
      </x:c>
      <x:c r="D156" s="69" t="str">
        <x:v>Clean state-masked replacement</x:v>
      </x:c>
      <x:c r="E156" s="69" t="str">
        <x:v>Unchanged in this revision</x:v>
      </x:c>
      <x:c r="F156" s="69" t="str">
        <x:v>state_unchanged</x:v>
      </x:c>
      <x:c r="G156" s="69" t="str">
        <x:v>State Recognition intentionally deferred for separate redesign discussion</x:v>
      </x:c>
      <x:c r="H156" s="69" t="str">
        <x:v>No</x:v>
      </x:c>
      <x:c r="I156" s="69" t="str"/>
      <x:c r="J156" s="69" t="str">
        <x:v>glass spice container A (C, UR) [target, P4]; white cup B (O, UD) [P3]; yellow-white striped cup A (C, UR) [P1]; brown cup B (O, UR) [P2]</x:v>
      </x:c>
      <x:c r="K156" s="69" t="str">
        <x:v>glass spice container A</x:v>
      </x:c>
      <x:c r="L156" s="69" t="str">
        <x:v>Home</x:v>
      </x:c>
      <x:c r="M156" s="69" t="str">
        <x:v>Put a glass spice container in the bowl.</x:v>
      </x:c>
      <x:c r="N156" s="69" t="str">
        <x:v>glass spice container A (C, UR) [target, P4]; white cup B (O, UD) [P3]; yellow-white striped cup A (C, UR) [P1]; brown cup B (O, UR) [P2]</x:v>
      </x:c>
      <x:c r="O156" s="69" t="str">
        <x:v>glass spice container A</x:v>
      </x:c>
      <x:c r="P156" s="70" t="str">
        <x:v>Copied unchanged from the latest manifest. This workbook does not endorse or revise the state-recognition design.</x:v>
      </x:c>
    </x:row>
    <x:row r="157" ht="58" customHeight="1">
      <x:c r="A157" s="100" t="n">
        <x:v>155</x:v>
      </x:c>
      <x:c r="B157" s="69" t="str">
        <x:v>State Recognition</x:v>
      </x:c>
      <x:c r="C157" s="69" t="str">
        <x:v>Move a glass spice container into the bowl.</x:v>
      </x:c>
      <x:c r="D157" s="69" t="str">
        <x:v>Clean state-masked replacement</x:v>
      </x:c>
      <x:c r="E157" s="69" t="str">
        <x:v>Unchanged in this revision</x:v>
      </x:c>
      <x:c r="F157" s="69" t="str">
        <x:v>state_unchanged</x:v>
      </x:c>
      <x:c r="G157" s="69" t="str">
        <x:v>State Recognition intentionally deferred for separate redesign discussion</x:v>
      </x:c>
      <x:c r="H157" s="69" t="str">
        <x:v>No</x:v>
      </x:c>
      <x:c r="I157" s="69" t="str"/>
      <x:c r="J157" s="69" t="str">
        <x:v>glass spice container A (O, UR) [target, P1]; white cup A (C, UD) [P2]; yellow-white striped cup B (O, UD) [P3]; brown cup A (C, UR) [P4]</x:v>
      </x:c>
      <x:c r="K157" s="69" t="str">
        <x:v>glass spice container A</x:v>
      </x:c>
      <x:c r="L157" s="69" t="str">
        <x:v>Home</x:v>
      </x:c>
      <x:c r="M157" s="69" t="str">
        <x:v>Move a glass spice container into the bowl.</x:v>
      </x:c>
      <x:c r="N157" s="69" t="str">
        <x:v>glass spice container A (O, UR) [target, P1]; white cup A (C, UD) [P2]; yellow-white striped cup B (O, UD) [P3]; brown cup A (C, UR) [P4]</x:v>
      </x:c>
      <x:c r="O157" s="69" t="str">
        <x:v>glass spice container A</x:v>
      </x:c>
      <x:c r="P157" s="70" t="str">
        <x:v>Copied unchanged from the latest manifest. This workbook does not endorse or revise the state-recognition design.</x:v>
      </x:c>
    </x:row>
    <x:row r="158" ht="58" customHeight="1">
      <x:c r="A158" s="100" t="n">
        <x:v>156</x:v>
      </x:c>
      <x:c r="B158" s="69" t="str">
        <x:v>State Recognition</x:v>
      </x:c>
      <x:c r="C158" s="69" t="str">
        <x:v>Place the open glass spice container in the bowl.</x:v>
      </x:c>
      <x:c r="D158" s="69" t="str">
        <x:v>Explicit seen-state grounding</x:v>
      </x:c>
      <x:c r="E158" s="69" t="str">
        <x:v>Unchanged in this revision</x:v>
      </x:c>
      <x:c r="F158" s="69" t="str">
        <x:v>state_unchanged</x:v>
      </x:c>
      <x:c r="G158" s="69" t="str">
        <x:v>State Recognition intentionally deferred for separate redesign discussion</x:v>
      </x:c>
      <x:c r="H158" s="69" t="str">
        <x:v>No</x:v>
      </x:c>
      <x:c r="I158" s="69" t="str"/>
      <x:c r="J158" s="69" t="str">
        <x:v>glass spice container B, glass spice container A, white cup B</x:v>
      </x:c>
      <x:c r="K158" s="69" t="str">
        <x:v>glass spice container B</x:v>
      </x:c>
      <x:c r="L158" s="69" t="str">
        <x:v>Recovery</x:v>
      </x:c>
      <x:c r="M158" s="69" t="str">
        <x:v>Place the open glass spice container in the bowl.</x:v>
      </x:c>
      <x:c r="N158" s="69" t="str">
        <x:v>glass spice container B, glass spice container A, white cup B</x:v>
      </x:c>
      <x:c r="O158" s="69" t="str">
        <x:v>glass spice container B</x:v>
      </x:c>
      <x:c r="P158" s="70" t="str">
        <x:v>Copied unchanged from the latest manifest. This workbook does not endorse or revise the state-recognition design.</x:v>
      </x:c>
    </x:row>
    <x:row r="159" ht="58" customHeight="1">
      <x:c r="A159" s="100" t="n">
        <x:v>157</x:v>
      </x:c>
      <x:c r="B159" s="69" t="str">
        <x:v>State Recognition</x:v>
      </x:c>
      <x:c r="C159" s="69" t="str">
        <x:v>Put a glass spice container in the bowl.</x:v>
      </x:c>
      <x:c r="D159" s="69" t="str">
        <x:v>Clean state-masked exposure</x:v>
      </x:c>
      <x:c r="E159" s="69" t="str">
        <x:v>Unchanged in this revision</x:v>
      </x:c>
      <x:c r="F159" s="69" t="str">
        <x:v>state_unchanged</x:v>
      </x:c>
      <x:c r="G159" s="69" t="str">
        <x:v>State Recognition intentionally deferred for separate redesign discussion</x:v>
      </x:c>
      <x:c r="H159" s="69" t="str">
        <x:v>No</x:v>
      </x:c>
      <x:c r="I159" s="69" t="str"/>
      <x:c r="J159" s="69" t="str">
        <x:v>glass spice container B, yellow-white striped cup A, brown cup A, white cup B</x:v>
      </x:c>
      <x:c r="K159" s="69" t="str">
        <x:v>glass spice container B</x:v>
      </x:c>
      <x:c r="L159" s="69" t="str">
        <x:v>Home</x:v>
      </x:c>
      <x:c r="M159" s="69" t="str">
        <x:v>Put a glass spice container in the bowl.</x:v>
      </x:c>
      <x:c r="N159" s="69" t="str">
        <x:v>glass spice container B, yellow-white striped cup A, brown cup A, white cup B</x:v>
      </x:c>
      <x:c r="O159" s="69" t="str">
        <x:v>glass spice container B</x:v>
      </x:c>
      <x:c r="P159" s="70" t="str">
        <x:v>Copied unchanged from the latest manifest. This workbook does not endorse or revise the state-recognition design.</x:v>
      </x:c>
    </x:row>
    <x:row r="160" ht="58" customHeight="1">
      <x:c r="A160" s="100" t="n">
        <x:v>158</x:v>
      </x:c>
      <x:c r="B160" s="69" t="str">
        <x:v>State Recognition</x:v>
      </x:c>
      <x:c r="C160" s="69" t="str">
        <x:v>Move a glass spice container into the bowl.</x:v>
      </x:c>
      <x:c r="D160" s="69" t="str">
        <x:v>Clean state-masked replacement</x:v>
      </x:c>
      <x:c r="E160" s="69" t="str">
        <x:v>Unchanged in this revision</x:v>
      </x:c>
      <x:c r="F160" s="69" t="str">
        <x:v>state_unchanged</x:v>
      </x:c>
      <x:c r="G160" s="69" t="str">
        <x:v>State Recognition intentionally deferred for separate redesign discussion</x:v>
      </x:c>
      <x:c r="H160" s="69" t="str">
        <x:v>No</x:v>
      </x:c>
      <x:c r="I160" s="69" t="str"/>
      <x:c r="J160" s="69" t="str">
        <x:v>glass spice container B (C, UD) [target, P2]; white cup B (O, UR) [P3]; yellow-white striped cup A (C, UD) [P4]; brown cup B (O, UD) [P1]</x:v>
      </x:c>
      <x:c r="K160" s="69" t="str">
        <x:v>glass spice container B</x:v>
      </x:c>
      <x:c r="L160" s="69" t="str">
        <x:v>Home</x:v>
      </x:c>
      <x:c r="M160" s="69" t="str">
        <x:v>Move a glass spice container into the bowl.</x:v>
      </x:c>
      <x:c r="N160" s="69" t="str">
        <x:v>glass spice container B (C, UD) [target, P2]; white cup B (O, UR) [P3]; yellow-white striped cup A (C, UD) [P4]; brown cup B (O, UD) [P1]</x:v>
      </x:c>
      <x:c r="O160" s="69" t="str">
        <x:v>glass spice container B</x:v>
      </x:c>
      <x:c r="P160" s="70" t="str">
        <x:v>Copied unchanged from the latest manifest. This workbook does not endorse or revise the state-recognition design.</x:v>
      </x:c>
    </x:row>
    <x:row r="161" ht="58" customHeight="1">
      <x:c r="A161" s="100" t="n">
        <x:v>159</x:v>
      </x:c>
      <x:c r="B161" s="69" t="str">
        <x:v>State Recognition</x:v>
      </x:c>
      <x:c r="C161" s="69" t="str">
        <x:v>Place a glass spice container in the bowl.</x:v>
      </x:c>
      <x:c r="D161" s="69" t="str">
        <x:v>Clean state-masked replacement</x:v>
      </x:c>
      <x:c r="E161" s="69" t="str">
        <x:v>Unchanged in this revision</x:v>
      </x:c>
      <x:c r="F161" s="69" t="str">
        <x:v>state_unchanged</x:v>
      </x:c>
      <x:c r="G161" s="69" t="str">
        <x:v>State Recognition intentionally deferred for separate redesign discussion</x:v>
      </x:c>
      <x:c r="H161" s="69" t="str">
        <x:v>No</x:v>
      </x:c>
      <x:c r="I161" s="69" t="str"/>
      <x:c r="J161" s="69" t="str">
        <x:v>glass spice container A (O, UD) [target, P3]; white cup A (C, UR) [P4]; yellow-white striped cup B (O, UR) [P1]; brown cup A (C, UD) [P2]</x:v>
      </x:c>
      <x:c r="K161" s="69" t="str">
        <x:v>glass spice container A</x:v>
      </x:c>
      <x:c r="L161" s="69" t="str">
        <x:v>Home</x:v>
      </x:c>
      <x:c r="M161" s="69" t="str">
        <x:v>Place a glass spice container in the bowl.</x:v>
      </x:c>
      <x:c r="N161" s="69" t="str">
        <x:v>glass spice container A (O, UD) [target, P3]; white cup A (C, UR) [P4]; yellow-white striped cup B (O, UR) [P1]; brown cup A (C, UD) [P2]</x:v>
      </x:c>
      <x:c r="O161" s="69" t="str">
        <x:v>glass spice container A</x:v>
      </x:c>
      <x:c r="P161" s="70" t="str">
        <x:v>Copied unchanged from the latest manifest. This workbook does not endorse or revise the state-recognition design.</x:v>
      </x:c>
    </x:row>
    <x:row r="162" ht="58" customHeight="1">
      <x:c r="A162" s="100" t="n">
        <x:v>160</x:v>
      </x:c>
      <x:c r="B162" s="69" t="str">
        <x:v>State Recognition</x:v>
      </x:c>
      <x:c r="C162" s="69" t="str">
        <x:v>Put the open glass spice container in the bowl.</x:v>
      </x:c>
      <x:c r="D162" s="69" t="str">
        <x:v>Explicit seen-state grounding</x:v>
      </x:c>
      <x:c r="E162" s="69" t="str">
        <x:v>Unchanged in this revision</x:v>
      </x:c>
      <x:c r="F162" s="69" t="str">
        <x:v>state_unchanged</x:v>
      </x:c>
      <x:c r="G162" s="69" t="str">
        <x:v>State Recognition intentionally deferred for separate redesign discussion</x:v>
      </x:c>
      <x:c r="H162" s="69" t="str">
        <x:v>No</x:v>
      </x:c>
      <x:c r="I162" s="69" t="str"/>
      <x:c r="J162" s="69" t="str">
        <x:v>glass spice container B, glass spice container A, yellow-white striped cup B</x:v>
      </x:c>
      <x:c r="K162" s="69" t="str">
        <x:v>glass spice container B</x:v>
      </x:c>
      <x:c r="L162" s="69" t="str">
        <x:v>Home</x:v>
      </x:c>
      <x:c r="M162" s="69" t="str">
        <x:v>Put the open glass spice container in the bowl.</x:v>
      </x:c>
      <x:c r="N162" s="69" t="str">
        <x:v>glass spice container B, glass spice container A, yellow-white striped cup B</x:v>
      </x:c>
      <x:c r="O162" s="69" t="str">
        <x:v>glass spice container B</x:v>
      </x:c>
      <x:c r="P162" s="70" t="str">
        <x:v>Copied unchanged from the latest manifest. This workbook does not endorse or revise the state-recognition design.</x:v>
      </x:c>
    </x:row>
    <x:row r="163" ht="58" customHeight="1">
      <x:c r="A163" s="100" t="n">
        <x:v>161</x:v>
      </x:c>
      <x:c r="B163" s="69" t="str">
        <x:v>State Recognition</x:v>
      </x:c>
      <x:c r="C163" s="69" t="str">
        <x:v>Move a glass spice container into the bowl.</x:v>
      </x:c>
      <x:c r="D163" s="69" t="str">
        <x:v>Clean state-masked exposure</x:v>
      </x:c>
      <x:c r="E163" s="69" t="str">
        <x:v>Unchanged in this revision</x:v>
      </x:c>
      <x:c r="F163" s="69" t="str">
        <x:v>state_unchanged</x:v>
      </x:c>
      <x:c r="G163" s="69" t="str">
        <x:v>State Recognition intentionally deferred for separate redesign discussion</x:v>
      </x:c>
      <x:c r="H163" s="69" t="str">
        <x:v>No</x:v>
      </x:c>
      <x:c r="I163" s="69" t="str"/>
      <x:c r="J163" s="69" t="str">
        <x:v>glass spice container A, brown cup A, white cup B, yellow-white striped cup B</x:v>
      </x:c>
      <x:c r="K163" s="69" t="str">
        <x:v>glass spice container A</x:v>
      </x:c>
      <x:c r="L163" s="69" t="str">
        <x:v>Home</x:v>
      </x:c>
      <x:c r="M163" s="69" t="str">
        <x:v>Move a glass spice container into the bowl.</x:v>
      </x:c>
      <x:c r="N163" s="69" t="str">
        <x:v>glass spice container A, brown cup A, white cup B, yellow-white striped cup B</x:v>
      </x:c>
      <x:c r="O163" s="69" t="str">
        <x:v>glass spice container A</x:v>
      </x:c>
      <x:c r="P163" s="70" t="str">
        <x:v>Copied unchanged from the latest manifest. This workbook does not endorse or revise the state-recognition design.</x:v>
      </x:c>
    </x:row>
    <x:row r="164" ht="58" customHeight="1">
      <x:c r="A164" s="100" t="n">
        <x:v>162</x:v>
      </x:c>
      <x:c r="B164" s="69" t="str">
        <x:v>State Recognition</x:v>
      </x:c>
      <x:c r="C164" s="69" t="str">
        <x:v>Place a glass spice container in the bowl.</x:v>
      </x:c>
      <x:c r="D164" s="69" t="str">
        <x:v>Clean state-masked replacement</x:v>
      </x:c>
      <x:c r="E164" s="69" t="str">
        <x:v>Unchanged in this revision</x:v>
      </x:c>
      <x:c r="F164" s="69" t="str">
        <x:v>state_unchanged</x:v>
      </x:c>
      <x:c r="G164" s="69" t="str">
        <x:v>State Recognition intentionally deferred for separate redesign discussion</x:v>
      </x:c>
      <x:c r="H164" s="69" t="str">
        <x:v>No</x:v>
      </x:c>
      <x:c r="I164" s="69" t="str"/>
      <x:c r="J164" s="69" t="str">
        <x:v>glass spice container B (C, UD) [target, P2]; white cup B (O, UR); yellow-white striped cup A (C, UD); brown cup B (O, UR)</x:v>
      </x:c>
      <x:c r="K164" s="69" t="str">
        <x:v>glass spice container B</x:v>
      </x:c>
      <x:c r="L164" s="69" t="str">
        <x:v>Recovery</x:v>
      </x:c>
      <x:c r="M164" s="69" t="str">
        <x:v>Place a glass spice container in the bowl.</x:v>
      </x:c>
      <x:c r="N164" s="69" t="str">
        <x:v>glass spice container B (C, UD) [target, P2]; white cup B (O, UR); yellow-white striped cup A (C, UD); brown cup B (O, UR)</x:v>
      </x:c>
      <x:c r="O164" s="69" t="str">
        <x:v>glass spice container B</x:v>
      </x:c>
      <x:c r="P164" s="70" t="str">
        <x:v>Copied unchanged from the latest manifest. This workbook does not endorse or revise the state-recognition design.</x:v>
      </x:c>
    </x:row>
    <x:row r="165" ht="58" customHeight="1">
      <x:c r="A165" s="100" t="n">
        <x:v>163</x:v>
      </x:c>
      <x:c r="B165" s="69" t="str">
        <x:v>State Recognition</x:v>
      </x:c>
      <x:c r="C165" s="69" t="str">
        <x:v>Put a glass spice container in the bowl.</x:v>
      </x:c>
      <x:c r="D165" s="69" t="str">
        <x:v>Clean state-masked replacement</x:v>
      </x:c>
      <x:c r="E165" s="69" t="str">
        <x:v>Unchanged in this revision</x:v>
      </x:c>
      <x:c r="F165" s="69" t="str">
        <x:v>state_unchanged</x:v>
      </x:c>
      <x:c r="G165" s="69" t="str">
        <x:v>State Recognition intentionally deferred for separate redesign discussion</x:v>
      </x:c>
      <x:c r="H165" s="69" t="str">
        <x:v>No</x:v>
      </x:c>
      <x:c r="I165" s="69" t="str"/>
      <x:c r="J165" s="69" t="str">
        <x:v>glass spice container A (C, UR) [target, P4]; white cup B (O, UD) [P1]; yellow-white striped cup A (C, UR) [P2]; brown cup B (O, UR) [P3]</x:v>
      </x:c>
      <x:c r="K165" s="69" t="str">
        <x:v>glass spice container A</x:v>
      </x:c>
      <x:c r="L165" s="69" t="str">
        <x:v>Home</x:v>
      </x:c>
      <x:c r="M165" s="69" t="str">
        <x:v>Put a glass spice container in the bowl.</x:v>
      </x:c>
      <x:c r="N165" s="69" t="str">
        <x:v>glass spice container A (C, UR) [target, P4]; white cup B (O, UD) [P1]; yellow-white striped cup A (C, UR) [P2]; brown cup B (O, UR) [P3]</x:v>
      </x:c>
      <x:c r="O165" s="69" t="str">
        <x:v>glass spice container A</x:v>
      </x:c>
      <x:c r="P165" s="70" t="str">
        <x:v>Copied unchanged from the latest manifest. This workbook does not endorse or revise the state-recognition design.</x:v>
      </x:c>
    </x:row>
    <x:row r="166" ht="58" customHeight="1">
      <x:c r="A166" s="100" t="n">
        <x:v>164</x:v>
      </x:c>
      <x:c r="B166" s="69" t="str">
        <x:v>State Recognition</x:v>
      </x:c>
      <x:c r="C166" s="69" t="str">
        <x:v>Move a glass spice container into the bowl.</x:v>
      </x:c>
      <x:c r="D166" s="69" t="str">
        <x:v>Clean state-masked exposure</x:v>
      </x:c>
      <x:c r="E166" s="69" t="str">
        <x:v>Unchanged in this revision</x:v>
      </x:c>
      <x:c r="F166" s="69" t="str">
        <x:v>state_unchanged</x:v>
      </x:c>
      <x:c r="G166" s="69" t="str">
        <x:v>State Recognition intentionally deferred for separate redesign discussion</x:v>
      </x:c>
      <x:c r="H166" s="69" t="str">
        <x:v>No</x:v>
      </x:c>
      <x:c r="I166" s="69" t="str"/>
      <x:c r="J166" s="69" t="str">
        <x:v>glass spice container A, white cup B, yellow-white striped cup B</x:v>
      </x:c>
      <x:c r="K166" s="69" t="str">
        <x:v>glass spice container A</x:v>
      </x:c>
      <x:c r="L166" s="69" t="str">
        <x:v>Home</x:v>
      </x:c>
      <x:c r="M166" s="69" t="str">
        <x:v>Move a glass spice container into the bowl.</x:v>
      </x:c>
      <x:c r="N166" s="69" t="str">
        <x:v>glass spice container A, white cup B, yellow-white striped cup B</x:v>
      </x:c>
      <x:c r="O166" s="69" t="str">
        <x:v>glass spice container A</x:v>
      </x:c>
      <x:c r="P166" s="70" t="str">
        <x:v>Copied unchanged from the latest manifest. This workbook does not endorse or revise the state-recognition design.</x:v>
      </x:c>
    </x:row>
    <x:row r="167" ht="58" customHeight="1">
      <x:c r="A167" s="100" t="n">
        <x:v>165</x:v>
      </x:c>
      <x:c r="B167" s="69" t="str">
        <x:v>State Recognition</x:v>
      </x:c>
      <x:c r="C167" s="69" t="str">
        <x:v>Place a glass spice container in the bowl.</x:v>
      </x:c>
      <x:c r="D167" s="69" t="str">
        <x:v>Clean state-masked replacement</x:v>
      </x:c>
      <x:c r="E167" s="69" t="str">
        <x:v>Unchanged in this revision</x:v>
      </x:c>
      <x:c r="F167" s="69" t="str">
        <x:v>state_unchanged</x:v>
      </x:c>
      <x:c r="G167" s="69" t="str">
        <x:v>State Recognition intentionally deferred for separate redesign discussion</x:v>
      </x:c>
      <x:c r="H167" s="69" t="str">
        <x:v>No</x:v>
      </x:c>
      <x:c r="I167" s="69" t="str"/>
      <x:c r="J167" s="69" t="str">
        <x:v>glass spice container B (C, UR) [target, P3]; white cup A (C, UD); yellow-white striped cup B (O, UR); brown cup B (C, UD)</x:v>
      </x:c>
      <x:c r="K167" s="69" t="str">
        <x:v>glass spice container B</x:v>
      </x:c>
      <x:c r="L167" s="69" t="str">
        <x:v>Home</x:v>
      </x:c>
      <x:c r="M167" s="69" t="str">
        <x:v>Place a glass spice container in the bowl.</x:v>
      </x:c>
      <x:c r="N167" s="69" t="str">
        <x:v>glass spice container B (C, UR) [target, P3]; white cup A (C, UD); yellow-white striped cup B (O, UR); brown cup B (C, UD)</x:v>
      </x:c>
      <x:c r="O167" s="69" t="str">
        <x:v>glass spice container B</x:v>
      </x:c>
      <x:c r="P167" s="70" t="str">
        <x:v>Copied unchanged from the latest manifest. This workbook does not endorse or revise the state-recognition design.</x:v>
      </x:c>
    </x:row>
    <x:row r="168" ht="58" customHeight="1">
      <x:c r="A168" s="100" t="n">
        <x:v>166</x:v>
      </x:c>
      <x:c r="B168" s="69" t="str">
        <x:v>State Recognition</x:v>
      </x:c>
      <x:c r="C168" s="69" t="str">
        <x:v>Put a glass spice container in the bowl.</x:v>
      </x:c>
      <x:c r="D168" s="69" t="str">
        <x:v>Clean state-masked exposure</x:v>
      </x:c>
      <x:c r="E168" s="69" t="str">
        <x:v>Unchanged in this revision</x:v>
      </x:c>
      <x:c r="F168" s="69" t="str">
        <x:v>state_unchanged</x:v>
      </x:c>
      <x:c r="G168" s="69" t="str">
        <x:v>State Recognition intentionally deferred for separate redesign discussion</x:v>
      </x:c>
      <x:c r="H168" s="69" t="str">
        <x:v>No</x:v>
      </x:c>
      <x:c r="I168" s="69" t="str"/>
      <x:c r="J168" s="69" t="str">
        <x:v>glass spice container A, yellow-white striped cup B, brown cup B, white cup A</x:v>
      </x:c>
      <x:c r="K168" s="69" t="str">
        <x:v>glass spice container A</x:v>
      </x:c>
      <x:c r="L168" s="69" t="str">
        <x:v>Recovery</x:v>
      </x:c>
      <x:c r="M168" s="69" t="str">
        <x:v>Put a glass spice container in the bowl.</x:v>
      </x:c>
      <x:c r="N168" s="69" t="str">
        <x:v>glass spice container A, yellow-white striped cup B, brown cup B, white cup A</x:v>
      </x:c>
      <x:c r="O168" s="69" t="str">
        <x:v>glass spice container A</x:v>
      </x:c>
      <x:c r="P168" s="70" t="str">
        <x:v>Copied unchanged from the latest manifest. This workbook does not endorse or revise the state-recognition design.</x:v>
      </x:c>
    </x:row>
    <x:row r="169" ht="58" customHeight="1">
      <x:c r="A169" s="100" t="n">
        <x:v>167</x:v>
      </x:c>
      <x:c r="B169" s="69" t="str">
        <x:v>State Recognition</x:v>
      </x:c>
      <x:c r="C169" s="69" t="str">
        <x:v>Move a glass spice container into the bowl.</x:v>
      </x:c>
      <x:c r="D169" s="69" t="str">
        <x:v>Clean state-masked replacement</x:v>
      </x:c>
      <x:c r="E169" s="69" t="str">
        <x:v>Unchanged in this revision</x:v>
      </x:c>
      <x:c r="F169" s="69" t="str">
        <x:v>state_unchanged</x:v>
      </x:c>
      <x:c r="G169" s="69" t="str">
        <x:v>State Recognition intentionally deferred for separate redesign discussion</x:v>
      </x:c>
      <x:c r="H169" s="69" t="str">
        <x:v>No</x:v>
      </x:c>
      <x:c r="I169" s="69" t="str"/>
      <x:c r="J169" s="69" t="str">
        <x:v>glass spice container A (O, UR) [target, P1]; white cup A (C, UD) [P3]; yellow-white striped cup B (O, UD) [P4]; brown cup A (C, UR) [P2]</x:v>
      </x:c>
      <x:c r="K169" s="69" t="str">
        <x:v>glass spice container A</x:v>
      </x:c>
      <x:c r="L169" s="69" t="str">
        <x:v>Home</x:v>
      </x:c>
      <x:c r="M169" s="69" t="str">
        <x:v>Move a glass spice container into the bowl.</x:v>
      </x:c>
      <x:c r="N169" s="69" t="str">
        <x:v>glass spice container A (O, UR) [target, P1]; white cup A (C, UD) [P3]; yellow-white striped cup B (O, UD) [P4]; brown cup A (C, UR) [P2]</x:v>
      </x:c>
      <x:c r="O169" s="69" t="str">
        <x:v>glass spice container A</x:v>
      </x:c>
      <x:c r="P169" s="70" t="str">
        <x:v>Copied unchanged from the latest manifest. This workbook does not endorse or revise the state-recognition design.</x:v>
      </x:c>
    </x:row>
    <x:row r="170" ht="58" customHeight="1">
      <x:c r="A170" s="100" t="n">
        <x:v>168</x:v>
      </x:c>
      <x:c r="B170" s="69" t="str">
        <x:v>State Recognition</x:v>
      </x:c>
      <x:c r="C170" s="69" t="str">
        <x:v>Place the open glass spice container in the bowl.</x:v>
      </x:c>
      <x:c r="D170" s="69" t="str">
        <x:v>Explicit seen-state grounding</x:v>
      </x:c>
      <x:c r="E170" s="69" t="str">
        <x:v>Unchanged in this revision</x:v>
      </x:c>
      <x:c r="F170" s="69" t="str">
        <x:v>state_unchanged</x:v>
      </x:c>
      <x:c r="G170" s="69" t="str">
        <x:v>State Recognition intentionally deferred for separate redesign discussion</x:v>
      </x:c>
      <x:c r="H170" s="69" t="str">
        <x:v>No</x:v>
      </x:c>
      <x:c r="I170" s="69" t="str"/>
      <x:c r="J170" s="69" t="str">
        <x:v>glass spice container B, glass spice container A, white cup B</x:v>
      </x:c>
      <x:c r="K170" s="69" t="str">
        <x:v>glass spice container B</x:v>
      </x:c>
      <x:c r="L170" s="69" t="str">
        <x:v>Home</x:v>
      </x:c>
      <x:c r="M170" s="69" t="str">
        <x:v>Place the open glass spice container in the bowl.</x:v>
      </x:c>
      <x:c r="N170" s="69" t="str">
        <x:v>glass spice container B, glass spice container A, white cup B</x:v>
      </x:c>
      <x:c r="O170" s="69" t="str">
        <x:v>glass spice container B</x:v>
      </x:c>
      <x:c r="P170" s="70" t="str">
        <x:v>Copied unchanged from the latest manifest. This workbook does not endorse or revise the state-recognition design.</x:v>
      </x:c>
    </x:row>
    <x:row r="171" ht="58" customHeight="1">
      <x:c r="A171" s="100" t="n">
        <x:v>169</x:v>
      </x:c>
      <x:c r="B171" s="69" t="str">
        <x:v>State Recognition</x:v>
      </x:c>
      <x:c r="C171" s="69" t="str">
        <x:v>Put a glass spice container in the bowl.</x:v>
      </x:c>
      <x:c r="D171" s="69" t="str">
        <x:v>Clean state-masked exposure</x:v>
      </x:c>
      <x:c r="E171" s="69" t="str">
        <x:v>Unchanged in this revision</x:v>
      </x:c>
      <x:c r="F171" s="69" t="str">
        <x:v>state_unchanged</x:v>
      </x:c>
      <x:c r="G171" s="69" t="str">
        <x:v>State Recognition intentionally deferred for separate redesign discussion</x:v>
      </x:c>
      <x:c r="H171" s="69" t="str">
        <x:v>No</x:v>
      </x:c>
      <x:c r="I171" s="69" t="str"/>
      <x:c r="J171" s="69" t="str">
        <x:v>glass spice container B, brown cup B, white cup A</x:v>
      </x:c>
      <x:c r="K171" s="69" t="str">
        <x:v>glass spice container B</x:v>
      </x:c>
      <x:c r="L171" s="69" t="str">
        <x:v>Home</x:v>
      </x:c>
      <x:c r="M171" s="69" t="str">
        <x:v>Put a glass spice container in the bowl.</x:v>
      </x:c>
      <x:c r="N171" s="69" t="str">
        <x:v>glass spice container B, brown cup B, white cup A</x:v>
      </x:c>
      <x:c r="O171" s="69" t="str">
        <x:v>glass spice container B</x:v>
      </x:c>
      <x:c r="P171" s="70" t="str">
        <x:v>Copied unchanged from the latest manifest. This workbook does not endorse or revise the state-recognition design.</x:v>
      </x:c>
    </x:row>
    <x:row r="172" ht="58" customHeight="1">
      <x:c r="A172" s="100" t="n">
        <x:v>170</x:v>
      </x:c>
      <x:c r="B172" s="69" t="str">
        <x:v>State Recognition</x:v>
      </x:c>
      <x:c r="C172" s="69" t="str">
        <x:v>Move a glass spice container into the bowl.</x:v>
      </x:c>
      <x:c r="D172" s="69" t="str">
        <x:v>Clean state-masked replacement</x:v>
      </x:c>
      <x:c r="E172" s="69" t="str">
        <x:v>Unchanged in this revision</x:v>
      </x:c>
      <x:c r="F172" s="69" t="str">
        <x:v>state_unchanged</x:v>
      </x:c>
      <x:c r="G172" s="69" t="str">
        <x:v>State Recognition intentionally deferred for separate redesign discussion</x:v>
      </x:c>
      <x:c r="H172" s="69" t="str">
        <x:v>No</x:v>
      </x:c>
      <x:c r="I172" s="69" t="str"/>
      <x:c r="J172" s="69" t="str">
        <x:v>glass spice container A (C, UD) [target, P2]; white cup B (O, UR) [P4]; yellow-white striped cup A (C, UD) [P1]; brown cup B (O, UD) [P3]</x:v>
      </x:c>
      <x:c r="K172" s="69" t="str">
        <x:v>glass spice container A</x:v>
      </x:c>
      <x:c r="L172" s="69" t="str">
        <x:v>Home</x:v>
      </x:c>
      <x:c r="M172" s="69" t="str">
        <x:v>Move a glass spice container into the bowl.</x:v>
      </x:c>
      <x:c r="N172" s="69" t="str">
        <x:v>glass spice container A (C, UD) [target, P2]; white cup B (O, UR) [P4]; yellow-white striped cup A (C, UD) [P1]; brown cup B (O, UD) [P3]</x:v>
      </x:c>
      <x:c r="O172" s="69" t="str">
        <x:v>glass spice container A</x:v>
      </x:c>
      <x:c r="P172" s="70" t="str">
        <x:v>Copied unchanged from the latest manifest. This workbook does not endorse or revise the state-recognition design.</x:v>
      </x:c>
    </x:row>
    <x:row r="173" ht="58" customHeight="1">
      <x:c r="A173" s="100" t="n">
        <x:v>171</x:v>
      </x:c>
      <x:c r="B173" s="69" t="str">
        <x:v>State Recognition</x:v>
      </x:c>
      <x:c r="C173" s="69" t="str">
        <x:v>Place a glass spice container in the bowl.</x:v>
      </x:c>
      <x:c r="D173" s="69" t="str">
        <x:v>Clean state-masked replacement</x:v>
      </x:c>
      <x:c r="E173" s="69" t="str">
        <x:v>Unchanged in this revision</x:v>
      </x:c>
      <x:c r="F173" s="69" t="str">
        <x:v>state_unchanged</x:v>
      </x:c>
      <x:c r="G173" s="69" t="str">
        <x:v>State Recognition intentionally deferred for separate redesign discussion</x:v>
      </x:c>
      <x:c r="H173" s="69" t="str">
        <x:v>No</x:v>
      </x:c>
      <x:c r="I173" s="69" t="str"/>
      <x:c r="J173" s="69" t="str">
        <x:v>glass spice container A (O, UR) [target, P4]; white cup B (C, UR); yellow-white striped cup B (O, UR); brown cup B (O, UD)</x:v>
      </x:c>
      <x:c r="K173" s="69" t="str">
        <x:v>glass spice container A</x:v>
      </x:c>
      <x:c r="L173" s="69" t="str">
        <x:v>Recovery</x:v>
      </x:c>
      <x:c r="M173" s="69" t="str">
        <x:v>Place a glass spice container in the bowl.</x:v>
      </x:c>
      <x:c r="N173" s="69" t="str">
        <x:v>glass spice container A (O, UR) [target, P4]; white cup B (C, UR); yellow-white striped cup B (O, UR); brown cup B (O, UD)</x:v>
      </x:c>
      <x:c r="O173" s="69" t="str">
        <x:v>glass spice container A</x:v>
      </x:c>
      <x:c r="P173" s="70" t="str">
        <x:v>Copied unchanged from the latest manifest. This workbook does not endorse or revise the state-recognition design.</x:v>
      </x:c>
    </x:row>
    <x:row r="174" ht="58" customHeight="1">
      <x:c r="A174" s="100" t="n">
        <x:v>172</x:v>
      </x:c>
      <x:c r="B174" s="69" t="str">
        <x:v>State Recognition</x:v>
      </x:c>
      <x:c r="C174" s="69" t="str">
        <x:v>Put a glass spice container in the bowl.</x:v>
      </x:c>
      <x:c r="D174" s="69" t="str">
        <x:v>Clean state-masked exposure</x:v>
      </x:c>
      <x:c r="E174" s="69" t="str">
        <x:v>Unchanged in this revision</x:v>
      </x:c>
      <x:c r="F174" s="69" t="str">
        <x:v>state_unchanged</x:v>
      </x:c>
      <x:c r="G174" s="69" t="str">
        <x:v>State Recognition intentionally deferred for separate redesign discussion</x:v>
      </x:c>
      <x:c r="H174" s="69" t="str">
        <x:v>No</x:v>
      </x:c>
      <x:c r="I174" s="69" t="str"/>
      <x:c r="J174" s="69" t="str">
        <x:v>glass spice container B, white cup A, yellow-white striped cup A, brown cup A</x:v>
      </x:c>
      <x:c r="K174" s="69" t="str">
        <x:v>glass spice container B</x:v>
      </x:c>
      <x:c r="L174" s="69" t="str">
        <x:v>Home</x:v>
      </x:c>
      <x:c r="M174" s="69" t="str">
        <x:v>Put a glass spice container in the bowl.</x:v>
      </x:c>
      <x:c r="N174" s="69" t="str">
        <x:v>glass spice container B, white cup A, yellow-white striped cup A, brown cup A</x:v>
      </x:c>
      <x:c r="O174" s="69" t="str">
        <x:v>glass spice container B</x:v>
      </x:c>
      <x:c r="P174" s="70" t="str">
        <x:v>Copied unchanged from the latest manifest. This workbook does not endorse or revise the state-recognition design.</x:v>
      </x:c>
    </x:row>
    <x:row r="175" ht="58" customHeight="1">
      <x:c r="A175" s="100" t="n">
        <x:v>173</x:v>
      </x:c>
      <x:c r="B175" s="69" t="str">
        <x:v>State Recognition</x:v>
      </x:c>
      <x:c r="C175" s="69" t="str">
        <x:v>Move the open glass spice container into the bowl.</x:v>
      </x:c>
      <x:c r="D175" s="69" t="str">
        <x:v>Explicit seen-state grounding</x:v>
      </x:c>
      <x:c r="E175" s="69" t="str">
        <x:v>Unchanged in this revision</x:v>
      </x:c>
      <x:c r="F175" s="69" t="str">
        <x:v>state_unchanged</x:v>
      </x:c>
      <x:c r="G175" s="69" t="str">
        <x:v>State Recognition intentionally deferred for separate redesign discussion</x:v>
      </x:c>
      <x:c r="H175" s="69" t="str">
        <x:v>No</x:v>
      </x:c>
      <x:c r="I175" s="69" t="str"/>
      <x:c r="J175" s="69" t="str">
        <x:v>glass spice container A, glass spice container B, brown cup A</x:v>
      </x:c>
      <x:c r="K175" s="69" t="str">
        <x:v>glass spice container A</x:v>
      </x:c>
      <x:c r="L175" s="69" t="str">
        <x:v>Home</x:v>
      </x:c>
      <x:c r="M175" s="69" t="str">
        <x:v>Move the open glass spice container into the bowl.</x:v>
      </x:c>
      <x:c r="N175" s="69" t="str">
        <x:v>glass spice container A, glass spice container B, brown cup A</x:v>
      </x:c>
      <x:c r="O175" s="69" t="str">
        <x:v>glass spice container A</x:v>
      </x:c>
      <x:c r="P175" s="70" t="str">
        <x:v>Copied unchanged from the latest manifest. This workbook does not endorse or revise the state-recognition design.</x:v>
      </x:c>
    </x:row>
    <x:row r="176" ht="58" customHeight="1">
      <x:c r="A176" s="100" t="n">
        <x:v>174</x:v>
      </x:c>
      <x:c r="B176" s="69" t="str">
        <x:v>State Recognition</x:v>
      </x:c>
      <x:c r="C176" s="69" t="str">
        <x:v>Place a glass spice container in the bowl.</x:v>
      </x:c>
      <x:c r="D176" s="69" t="str">
        <x:v>Clean state-masked replacement</x:v>
      </x:c>
      <x:c r="E176" s="69" t="str">
        <x:v>Unchanged in this revision</x:v>
      </x:c>
      <x:c r="F176" s="69" t="str">
        <x:v>state_unchanged</x:v>
      </x:c>
      <x:c r="G176" s="69" t="str">
        <x:v>State Recognition intentionally deferred for separate redesign discussion</x:v>
      </x:c>
      <x:c r="H176" s="69" t="str">
        <x:v>No</x:v>
      </x:c>
      <x:c r="I176" s="69" t="str"/>
      <x:c r="J176" s="69" t="str">
        <x:v>glass spice container B (C, UR) [target, P1]; white cup A (O, UD); yellow-white striped cup A (C, UD); brown cup B (C, UR)</x:v>
      </x:c>
      <x:c r="K176" s="69" t="str">
        <x:v>glass spice container B</x:v>
      </x:c>
      <x:c r="L176" s="69" t="str">
        <x:v>Home</x:v>
      </x:c>
      <x:c r="M176" s="69" t="str">
        <x:v>Place a glass spice container in the bowl.</x:v>
      </x:c>
      <x:c r="N176" s="69" t="str">
        <x:v>glass spice container B (C, UR) [target, P1]; white cup A (O, UD); yellow-white striped cup A (C, UD); brown cup B (C, UR)</x:v>
      </x:c>
      <x:c r="O176" s="69" t="str">
        <x:v>glass spice container B</x:v>
      </x:c>
      <x:c r="P176" s="70" t="str">
        <x:v>Copied unchanged from the latest manifest. This workbook does not endorse or revise the state-recognition design.</x:v>
      </x:c>
    </x:row>
    <x:row r="177" ht="58" customHeight="1">
      <x:c r="A177" s="100" t="n">
        <x:v>175</x:v>
      </x:c>
      <x:c r="B177" s="69" t="str">
        <x:v>State Recognition</x:v>
      </x:c>
      <x:c r="C177" s="69" t="str">
        <x:v>Put a glass spice container in the bowl.</x:v>
      </x:c>
      <x:c r="D177" s="69" t="str">
        <x:v>Clean state-masked exposure</x:v>
      </x:c>
      <x:c r="E177" s="69" t="str">
        <x:v>Unchanged in this revision</x:v>
      </x:c>
      <x:c r="F177" s="69" t="str">
        <x:v>state_unchanged</x:v>
      </x:c>
      <x:c r="G177" s="69" t="str">
        <x:v>State Recognition intentionally deferred for separate redesign discussion</x:v>
      </x:c>
      <x:c r="H177" s="69" t="str">
        <x:v>No</x:v>
      </x:c>
      <x:c r="I177" s="69" t="str"/>
      <x:c r="J177" s="69" t="str">
        <x:v>glass spice container B, brown cup B, white cup A, yellow-white striped cup A</x:v>
      </x:c>
      <x:c r="K177" s="69" t="str">
        <x:v>glass spice container B</x:v>
      </x:c>
      <x:c r="L177" s="69" t="str">
        <x:v>Home</x:v>
      </x:c>
      <x:c r="M177" s="69" t="str">
        <x:v>Put a glass spice container in the bowl.</x:v>
      </x:c>
      <x:c r="N177" s="69" t="str">
        <x:v>glass spice container B, brown cup B, white cup A, yellow-white striped cup A</x:v>
      </x:c>
      <x:c r="O177" s="69" t="str">
        <x:v>glass spice container B</x:v>
      </x:c>
      <x:c r="P177" s="70" t="str">
        <x:v>Copied unchanged from the latest manifest. This workbook does not endorse or revise the state-recognition design.</x:v>
      </x:c>
    </x:row>
    <x:row r="178" ht="58" customHeight="1">
      <x:c r="A178" s="100" t="n">
        <x:v>176</x:v>
      </x:c>
      <x:c r="B178" s="69" t="str">
        <x:v>State Recognition</x:v>
      </x:c>
      <x:c r="C178" s="69" t="str">
        <x:v>Move a glass spice container into the bowl.</x:v>
      </x:c>
      <x:c r="D178" s="69" t="str">
        <x:v>Clean state-masked replacement</x:v>
      </x:c>
      <x:c r="E178" s="69" t="str">
        <x:v>Unchanged in this revision</x:v>
      </x:c>
      <x:c r="F178" s="69" t="str">
        <x:v>state_unchanged</x:v>
      </x:c>
      <x:c r="G178" s="69" t="str">
        <x:v>State Recognition intentionally deferred for separate redesign discussion</x:v>
      </x:c>
      <x:c r="H178" s="69" t="str">
        <x:v>No</x:v>
      </x:c>
      <x:c r="I178" s="69" t="str"/>
      <x:c r="J178" s="69" t="str">
        <x:v>glass spice container B (O, UR) [target, P2]; white cup B (C, UR); yellow-white striped cup B (O, UD); brown cup A (C, UD)</x:v>
      </x:c>
      <x:c r="K178" s="69" t="str">
        <x:v>glass spice container B</x:v>
      </x:c>
      <x:c r="L178" s="69" t="str">
        <x:v>Home</x:v>
      </x:c>
      <x:c r="M178" s="69" t="str">
        <x:v>Move a glass spice container into the bowl.</x:v>
      </x:c>
      <x:c r="N178" s="69" t="str">
        <x:v>glass spice container B (O, UR) [target, P2]; white cup B (C, UR); yellow-white striped cup B (O, UD); brown cup A (C, UD)</x:v>
      </x:c>
      <x:c r="O178" s="69" t="str">
        <x:v>glass spice container B</x:v>
      </x:c>
      <x:c r="P178" s="70" t="str">
        <x:v>Copied unchanged from the latest manifest. This workbook does not endorse or revise the state-recognition design.</x:v>
      </x:c>
    </x:row>
    <x:row r="179" ht="58" customHeight="1">
      <x:c r="A179" s="100" t="n">
        <x:v>177</x:v>
      </x:c>
      <x:c r="B179" s="69" t="str">
        <x:v>State Recognition</x:v>
      </x:c>
      <x:c r="C179" s="69" t="str">
        <x:v>Place the upside-down glass spice container in the bowl.</x:v>
      </x:c>
      <x:c r="D179" s="69" t="str">
        <x:v>Explicit seen-state grounding</x:v>
      </x:c>
      <x:c r="E179" s="69" t="str">
        <x:v>Unchanged in this revision</x:v>
      </x:c>
      <x:c r="F179" s="69" t="str">
        <x:v>state_unchanged</x:v>
      </x:c>
      <x:c r="G179" s="69" t="str">
        <x:v>State Recognition intentionally deferred for separate redesign discussion</x:v>
      </x:c>
      <x:c r="H179" s="69" t="str">
        <x:v>No</x:v>
      </x:c>
      <x:c r="I179" s="69" t="str"/>
      <x:c r="J179" s="69" t="str">
        <x:v>glass spice container A, glass spice container B, yellow-white striped cup A, brown cup B</x:v>
      </x:c>
      <x:c r="K179" s="69" t="str">
        <x:v>glass spice container A</x:v>
      </x:c>
      <x:c r="L179" s="69" t="str">
        <x:v>Recovery</x:v>
      </x:c>
      <x:c r="M179" s="69" t="str">
        <x:v>Place the upside-down glass spice container in the bowl.</x:v>
      </x:c>
      <x:c r="N179" s="69" t="str">
        <x:v>glass spice container A, glass spice container B, yellow-white striped cup A, brown cup B</x:v>
      </x:c>
      <x:c r="O179" s="69" t="str">
        <x:v>glass spice container A</x:v>
      </x:c>
      <x:c r="P179" s="70" t="str">
        <x:v>Copied unchanged from the latest manifest. This workbook does not endorse or revise the state-recognition design.</x:v>
      </x:c>
    </x:row>
    <x:row r="180" ht="58" customHeight="1">
      <x:c r="A180" s="100" t="n">
        <x:v>178</x:v>
      </x:c>
      <x:c r="B180" s="69" t="str">
        <x:v>State Recognition</x:v>
      </x:c>
      <x:c r="C180" s="69" t="str">
        <x:v>Put a glass spice container in the bowl.</x:v>
      </x:c>
      <x:c r="D180" s="69" t="str">
        <x:v>Clean state-masked exposure</x:v>
      </x:c>
      <x:c r="E180" s="69" t="str">
        <x:v>Unchanged in this revision</x:v>
      </x:c>
      <x:c r="F180" s="69" t="str">
        <x:v>state_unchanged</x:v>
      </x:c>
      <x:c r="G180" s="69" t="str">
        <x:v>State Recognition intentionally deferred for separate redesign discussion</x:v>
      </x:c>
      <x:c r="H180" s="69" t="str">
        <x:v>No</x:v>
      </x:c>
      <x:c r="I180" s="69" t="str"/>
      <x:c r="J180" s="69" t="str">
        <x:v>glass spice container A, white cup A, yellow-white striped cup A, brown cup A</x:v>
      </x:c>
      <x:c r="K180" s="69" t="str">
        <x:v>glass spice container A</x:v>
      </x:c>
      <x:c r="L180" s="69" t="str">
        <x:v>Home</x:v>
      </x:c>
      <x:c r="M180" s="69" t="str">
        <x:v>Put a glass spice container in the bowl.</x:v>
      </x:c>
      <x:c r="N180" s="69" t="str">
        <x:v>glass spice container A, white cup A, yellow-white striped cup A, brown cup A</x:v>
      </x:c>
      <x:c r="O180" s="69" t="str">
        <x:v>glass spice container A</x:v>
      </x:c>
      <x:c r="P180" s="70" t="str">
        <x:v>Copied unchanged from the latest manifest. This workbook does not endorse or revise the state-recognition design.</x:v>
      </x:c>
    </x:row>
    <x:row r="181" ht="58" customHeight="1">
      <x:c r="A181" s="100" t="n">
        <x:v>179</x:v>
      </x:c>
      <x:c r="B181" s="69" t="str">
        <x:v>State Recognition</x:v>
      </x:c>
      <x:c r="C181" s="69" t="str">
        <x:v>Move a glass spice container into the bowl.</x:v>
      </x:c>
      <x:c r="D181" s="69" t="str">
        <x:v>Clean state-masked exposure</x:v>
      </x:c>
      <x:c r="E181" s="69" t="str">
        <x:v>Unchanged in this revision</x:v>
      </x:c>
      <x:c r="F181" s="69" t="str">
        <x:v>state_unchanged</x:v>
      </x:c>
      <x:c r="G181" s="69" t="str">
        <x:v>State Recognition intentionally deferred for separate redesign discussion</x:v>
      </x:c>
      <x:c r="H181" s="69" t="str">
        <x:v>No</x:v>
      </x:c>
      <x:c r="I181" s="69" t="str"/>
      <x:c r="J181" s="69" t="str">
        <x:v>glass spice container B, yellow-white striped cup A, brown cup A, white cup B</x:v>
      </x:c>
      <x:c r="K181" s="69" t="str">
        <x:v>glass spice container B</x:v>
      </x:c>
      <x:c r="L181" s="69" t="str">
        <x:v>Home</x:v>
      </x:c>
      <x:c r="M181" s="69" t="str">
        <x:v>Move a glass spice container into the bowl.</x:v>
      </x:c>
      <x:c r="N181" s="69" t="str">
        <x:v>glass spice container B, yellow-white striped cup A, brown cup A, white cup B</x:v>
      </x:c>
      <x:c r="O181" s="69" t="str">
        <x:v>glass spice container B</x:v>
      </x:c>
      <x:c r="P181" s="70" t="str">
        <x:v>Copied unchanged from the latest manifest. This workbook does not endorse or revise the state-recognition design.</x:v>
      </x:c>
    </x:row>
    <x:row r="182" ht="58" customHeight="1">
      <x:c r="A182" s="100" t="n">
        <x:v>180</x:v>
      </x:c>
      <x:c r="B182" s="69" t="str">
        <x:v>State Recognition</x:v>
      </x:c>
      <x:c r="C182" s="69" t="str">
        <x:v>Place the open glass spice container in the bowl.</x:v>
      </x:c>
      <x:c r="D182" s="69" t="str">
        <x:v>Explicit seen-state grounding</x:v>
      </x:c>
      <x:c r="E182" s="69" t="str">
        <x:v>Unchanged in this revision</x:v>
      </x:c>
      <x:c r="F182" s="69" t="str">
        <x:v>state_unchanged</x:v>
      </x:c>
      <x:c r="G182" s="69" t="str">
        <x:v>State Recognition intentionally deferred for separate redesign discussion</x:v>
      </x:c>
      <x:c r="H182" s="69" t="str">
        <x:v>No</x:v>
      </x:c>
      <x:c r="I182" s="69" t="str"/>
      <x:c r="J182" s="69" t="str">
        <x:v>glass spice container B, glass spice container A, yellow-white striped cup B</x:v>
      </x:c>
      <x:c r="K182" s="69" t="str">
        <x:v>glass spice container B</x:v>
      </x:c>
      <x:c r="L182" s="69" t="str">
        <x:v>Home</x:v>
      </x:c>
      <x:c r="M182" s="69" t="str">
        <x:v>Place the open glass spice container in the bowl.</x:v>
      </x:c>
      <x:c r="N182" s="69" t="str">
        <x:v>glass spice container B, glass spice container A, yellow-white striped cup B</x:v>
      </x:c>
      <x:c r="O182" s="69" t="str">
        <x:v>glass spice container B</x:v>
      </x:c>
      <x:c r="P182" s="70" t="str">
        <x:v>Copied unchanged from the latest manifest. This workbook does not endorse or revise the state-recognition design.</x:v>
      </x:c>
    </x:row>
    <x:row r="183" ht="58" customHeight="1">
      <x:c r="A183" s="100" t="n">
        <x:v>181</x:v>
      </x:c>
      <x:c r="B183" s="69" t="str">
        <x:v>State Recognition</x:v>
      </x:c>
      <x:c r="C183" s="69" t="str">
        <x:v>Put a glass spice container in the bowl.</x:v>
      </x:c>
      <x:c r="D183" s="69" t="str">
        <x:v>Clean state-masked replacement</x:v>
      </x:c>
      <x:c r="E183" s="69" t="str">
        <x:v>Unchanged in this revision</x:v>
      </x:c>
      <x:c r="F183" s="69" t="str">
        <x:v>state_unchanged</x:v>
      </x:c>
      <x:c r="G183" s="69" t="str">
        <x:v>State Recognition intentionally deferred for separate redesign discussion</x:v>
      </x:c>
      <x:c r="H183" s="69" t="str">
        <x:v>No</x:v>
      </x:c>
      <x:c r="I183" s="69" t="str"/>
      <x:c r="J183" s="69" t="str">
        <x:v>glass spice container A (O, UD) [target, P3]; white cup A (C, UR) [P1]; yellow-white striped cup B (O, UR) [P2]; brown cup A (C, UD) [P4]</x:v>
      </x:c>
      <x:c r="K183" s="69" t="str">
        <x:v>glass spice container A</x:v>
      </x:c>
      <x:c r="L183" s="69" t="str">
        <x:v>Home</x:v>
      </x:c>
      <x:c r="M183" s="69" t="str">
        <x:v>Put a glass spice container in the bowl.</x:v>
      </x:c>
      <x:c r="N183" s="69" t="str">
        <x:v>glass spice container A (O, UD) [target, P3]; white cup A (C, UR) [P1]; yellow-white striped cup B (O, UR) [P2]; brown cup A (C, UD) [P4]</x:v>
      </x:c>
      <x:c r="O183" s="69" t="str">
        <x:v>glass spice container A</x:v>
      </x:c>
      <x:c r="P183" s="70" t="str">
        <x:v>Copied unchanged from the latest manifest. This workbook does not endorse or revise the state-recognition design.</x:v>
      </x:c>
    </x:row>
    <x:row r="184" ht="58" customHeight="1">
      <x:c r="A184" s="100" t="n">
        <x:v>182</x:v>
      </x:c>
      <x:c r="B184" s="69" t="str">
        <x:v>State Recognition</x:v>
      </x:c>
      <x:c r="C184" s="69" t="str">
        <x:v>Move a glass spice container into the bowl.</x:v>
      </x:c>
      <x:c r="D184" s="69" t="str">
        <x:v>Clean state-masked replacement</x:v>
      </x:c>
      <x:c r="E184" s="69" t="str">
        <x:v>Unchanged in this revision</x:v>
      </x:c>
      <x:c r="F184" s="69" t="str">
        <x:v>state_unchanged</x:v>
      </x:c>
      <x:c r="G184" s="69" t="str">
        <x:v>State Recognition intentionally deferred for separate redesign discussion</x:v>
      </x:c>
      <x:c r="H184" s="69" t="str">
        <x:v>No</x:v>
      </x:c>
      <x:c r="I184" s="69" t="str"/>
      <x:c r="J184" s="69" t="str">
        <x:v>glass spice container B (C, UR) [target, P4]; white cup B (O, UD) [P2]; yellow-white striped cup A (C, UR) [P3]; brown cup B (O, UR) [P1]</x:v>
      </x:c>
      <x:c r="K184" s="69" t="str">
        <x:v>glass spice container B</x:v>
      </x:c>
      <x:c r="L184" s="69" t="str">
        <x:v>Recovery</x:v>
      </x:c>
      <x:c r="M184" s="69" t="str">
        <x:v>Move a glass spice container into the bowl.</x:v>
      </x:c>
      <x:c r="N184" s="69" t="str">
        <x:v>glass spice container B (C, UR) [target, P4]; white cup B (O, UD) [P2]; yellow-white striped cup A (C, UR) [P3]; brown cup B (O, UR) [P1]</x:v>
      </x:c>
      <x:c r="O184" s="69" t="str">
        <x:v>glass spice container B</x:v>
      </x:c>
      <x:c r="P184" s="70" t="str">
        <x:v>Copied unchanged from the latest manifest. This workbook does not endorse or revise the state-recognition design.</x:v>
      </x:c>
    </x:row>
    <x:row r="185" ht="58" customHeight="1">
      <x:c r="A185" s="100" t="n">
        <x:v>183</x:v>
      </x:c>
      <x:c r="B185" s="69" t="str">
        <x:v>State Recognition</x:v>
      </x:c>
      <x:c r="C185" s="69" t="str">
        <x:v>Place a glass spice container in the bowl.</x:v>
      </x:c>
      <x:c r="D185" s="69" t="str">
        <x:v>Clean state-masked replacement</x:v>
      </x:c>
      <x:c r="E185" s="69" t="str">
        <x:v>Unchanged in this revision</x:v>
      </x:c>
      <x:c r="F185" s="69" t="str">
        <x:v>state_unchanged</x:v>
      </x:c>
      <x:c r="G185" s="69" t="str">
        <x:v>State Recognition intentionally deferred for separate redesign discussion</x:v>
      </x:c>
      <x:c r="H185" s="69" t="str">
        <x:v>No</x:v>
      </x:c>
      <x:c r="I185" s="69" t="str"/>
      <x:c r="J185" s="69" t="str">
        <x:v>glass spice container A (O, UR) [target, P1]; white cup A (C, UD) [P4]; yellow-white striped cup B (O, UD) [P2]; brown cup A (C, UR) [P3]</x:v>
      </x:c>
      <x:c r="K185" s="69" t="str">
        <x:v>glass spice container A</x:v>
      </x:c>
      <x:c r="L185" s="69" t="str">
        <x:v>Home</x:v>
      </x:c>
      <x:c r="M185" s="69" t="str">
        <x:v>Place a glass spice container in the bowl.</x:v>
      </x:c>
      <x:c r="N185" s="69" t="str">
        <x:v>glass spice container A (O, UR) [target, P1]; white cup A (C, UD) [P4]; yellow-white striped cup B (O, UD) [P2]; brown cup A (C, UR) [P3]</x:v>
      </x:c>
      <x:c r="O185" s="69" t="str">
        <x:v>glass spice container A</x:v>
      </x:c>
      <x:c r="P185" s="70" t="str">
        <x:v>Copied unchanged from the latest manifest. This workbook does not endorse or revise the state-recognition design.</x:v>
      </x:c>
    </x:row>
    <x:row r="186" ht="58" customHeight="1">
      <x:c r="A186" s="100" t="n">
        <x:v>184</x:v>
      </x:c>
      <x:c r="B186" s="69" t="str">
        <x:v>State Recognition</x:v>
      </x:c>
      <x:c r="C186" s="69" t="str">
        <x:v>Put the open glass spice container in the bowl.</x:v>
      </x:c>
      <x:c r="D186" s="69" t="str">
        <x:v>Explicit seen-state grounding</x:v>
      </x:c>
      <x:c r="E186" s="69" t="str">
        <x:v>Unchanged in this revision</x:v>
      </x:c>
      <x:c r="F186" s="69" t="str">
        <x:v>state_unchanged</x:v>
      </x:c>
      <x:c r="G186" s="69" t="str">
        <x:v>State Recognition intentionally deferred for separate redesign discussion</x:v>
      </x:c>
      <x:c r="H186" s="69" t="str">
        <x:v>No</x:v>
      </x:c>
      <x:c r="I186" s="69" t="str"/>
      <x:c r="J186" s="69" t="str">
        <x:v>glass spice container B, glass spice container A, brown cup B</x:v>
      </x:c>
      <x:c r="K186" s="69" t="str">
        <x:v>glass spice container B</x:v>
      </x:c>
      <x:c r="L186" s="69" t="str">
        <x:v>Home</x:v>
      </x:c>
      <x:c r="M186" s="69" t="str">
        <x:v>Put the open glass spice container in the bowl.</x:v>
      </x:c>
      <x:c r="N186" s="69" t="str">
        <x:v>glass spice container B, glass spice container A, brown cup B</x:v>
      </x:c>
      <x:c r="O186" s="69" t="str">
        <x:v>glass spice container B</x:v>
      </x:c>
      <x:c r="P186" s="70" t="str">
        <x:v>Copied unchanged from the latest manifest. This workbook does not endorse or revise the state-recognition design.</x:v>
      </x:c>
    </x:row>
    <x:row r="187" ht="58" customHeight="1">
      <x:c r="A187" s="100" t="n">
        <x:v>185</x:v>
      </x:c>
      <x:c r="B187" s="69" t="str">
        <x:v>State Recognition</x:v>
      </x:c>
      <x:c r="C187" s="69" t="str">
        <x:v>Move a glass spice container into the bowl.</x:v>
      </x:c>
      <x:c r="D187" s="69" t="str">
        <x:v>Clean state-masked replacement</x:v>
      </x:c>
      <x:c r="E187" s="69" t="str">
        <x:v>Unchanged in this revision</x:v>
      </x:c>
      <x:c r="F187" s="69" t="str">
        <x:v>state_unchanged</x:v>
      </x:c>
      <x:c r="G187" s="69" t="str">
        <x:v>State Recognition intentionally deferred for separate redesign discussion</x:v>
      </x:c>
      <x:c r="H187" s="69" t="str">
        <x:v>No</x:v>
      </x:c>
      <x:c r="I187" s="69" t="str"/>
      <x:c r="J187" s="69" t="str">
        <x:v>glass spice container A (C, UD) [target, P2]; white cup B (O, UR) [P1]; yellow-white striped cup A (C, UD) [P3]; brown cup B (O, UD) [P4]</x:v>
      </x:c>
      <x:c r="K187" s="69" t="str">
        <x:v>glass spice container A</x:v>
      </x:c>
      <x:c r="L187" s="69" t="str">
        <x:v>Home</x:v>
      </x:c>
      <x:c r="M187" s="69" t="str">
        <x:v>Move a glass spice container into the bowl.</x:v>
      </x:c>
      <x:c r="N187" s="69" t="str">
        <x:v>glass spice container A (C, UD) [target, P2]; white cup B (O, UR) [P1]; yellow-white striped cup A (C, UD) [P3]; brown cup B (O, UD) [P4]</x:v>
      </x:c>
      <x:c r="O187" s="69" t="str">
        <x:v>glass spice container A</x:v>
      </x:c>
      <x:c r="P187" s="70" t="str">
        <x:v>Copied unchanged from the latest manifest. This workbook does not endorse or revise the state-recognition design.</x:v>
      </x:c>
    </x:row>
    <x:row r="188" ht="58" customHeight="1">
      <x:c r="A188" s="100" t="n">
        <x:v>186</x:v>
      </x:c>
      <x:c r="B188" s="69" t="str">
        <x:v>State Recognition</x:v>
      </x:c>
      <x:c r="C188" s="69" t="str">
        <x:v>Place a glass spice container in the bowl.</x:v>
      </x:c>
      <x:c r="D188" s="69" t="str">
        <x:v>Clean state-masked replacement</x:v>
      </x:c>
      <x:c r="E188" s="69" t="str">
        <x:v>Unchanged in this revision</x:v>
      </x:c>
      <x:c r="F188" s="69" t="str">
        <x:v>state_unchanged</x:v>
      </x:c>
      <x:c r="G188" s="69" t="str">
        <x:v>State Recognition intentionally deferred for separate redesign discussion</x:v>
      </x:c>
      <x:c r="H188" s="69" t="str">
        <x:v>No</x:v>
      </x:c>
      <x:c r="I188" s="69" t="str"/>
      <x:c r="J188" s="69" t="str">
        <x:v>glass spice container A (O, UD) [target, P3]; white cup A (C, UR) [P2]; yellow-white striped cup B (O, UR) [P4]; brown cup A (C, UD) [P1]</x:v>
      </x:c>
      <x:c r="K188" s="69" t="str">
        <x:v>glass spice container A</x:v>
      </x:c>
      <x:c r="L188" s="69" t="str">
        <x:v>Home</x:v>
      </x:c>
      <x:c r="M188" s="69" t="str">
        <x:v>Place a glass spice container in the bowl.</x:v>
      </x:c>
      <x:c r="N188" s="69" t="str">
        <x:v>glass spice container A (O, UD) [target, P3]; white cup A (C, UR) [P2]; yellow-white striped cup B (O, UR) [P4]; brown cup A (C, UD) [P1]</x:v>
      </x:c>
      <x:c r="O188" s="69" t="str">
        <x:v>glass spice container A</x:v>
      </x:c>
      <x:c r="P188" s="70" t="str">
        <x:v>Copied unchanged from the latest manifest. This workbook does not endorse or revise the state-recognition design.</x:v>
      </x:c>
    </x:row>
    <x:row r="189" ht="58" customHeight="1">
      <x:c r="A189" s="100" t="n">
        <x:v>187</x:v>
      </x:c>
      <x:c r="B189" s="69" t="str">
        <x:v>State Recognition</x:v>
      </x:c>
      <x:c r="C189" s="69" t="str">
        <x:v>Put the upside-down glass spice container in the bowl.</x:v>
      </x:c>
      <x:c r="D189" s="69" t="str">
        <x:v>Explicit seen-state grounding</x:v>
      </x:c>
      <x:c r="E189" s="69" t="str">
        <x:v>Unchanged in this revision</x:v>
      </x:c>
      <x:c r="F189" s="69" t="str">
        <x:v>state_unchanged</x:v>
      </x:c>
      <x:c r="G189" s="69" t="str">
        <x:v>State Recognition intentionally deferred for separate redesign discussion</x:v>
      </x:c>
      <x:c r="H189" s="69" t="str">
        <x:v>No</x:v>
      </x:c>
      <x:c r="I189" s="69" t="str"/>
      <x:c r="J189" s="69" t="str">
        <x:v>glass spice container A, glass spice container B, brown cup A, white cup B</x:v>
      </x:c>
      <x:c r="K189" s="69" t="str">
        <x:v>glass spice container A</x:v>
      </x:c>
      <x:c r="L189" s="69" t="str">
        <x:v>Recovery</x:v>
      </x:c>
      <x:c r="M189" s="69" t="str">
        <x:v>Put the upside-down glass spice container in the bowl.</x:v>
      </x:c>
      <x:c r="N189" s="69" t="str">
        <x:v>glass spice container A, glass spice container B, brown cup A, white cup B</x:v>
      </x:c>
      <x:c r="O189" s="69" t="str">
        <x:v>glass spice container A</x:v>
      </x:c>
      <x:c r="P189" s="70" t="str">
        <x:v>Copied unchanged from the latest manifest. This workbook does not endorse or revise the state-recognition design.</x:v>
      </x:c>
    </x:row>
    <x:row r="190" ht="58" customHeight="1">
      <x:c r="A190" s="100" t="n">
        <x:v>188</x:v>
      </x:c>
      <x:c r="B190" s="69" t="str">
        <x:v>State Recognition</x:v>
      </x:c>
      <x:c r="C190" s="69" t="str">
        <x:v>Move the open glass spice container into the bowl.</x:v>
      </x:c>
      <x:c r="D190" s="69" t="str">
        <x:v>Explicit seen-state grounding</x:v>
      </x:c>
      <x:c r="E190" s="69" t="str">
        <x:v>Unchanged in this revision</x:v>
      </x:c>
      <x:c r="F190" s="69" t="str">
        <x:v>state_unchanged</x:v>
      </x:c>
      <x:c r="G190" s="69" t="str">
        <x:v>State Recognition intentionally deferred for separate redesign discussion</x:v>
      </x:c>
      <x:c r="H190" s="69" t="str">
        <x:v>No</x:v>
      </x:c>
      <x:c r="I190" s="69" t="str"/>
      <x:c r="J190" s="69" t="str">
        <x:v>glass spice container B, glass spice container A, white cup B</x:v>
      </x:c>
      <x:c r="K190" s="69" t="str">
        <x:v>glass spice container B</x:v>
      </x:c>
      <x:c r="L190" s="69" t="str">
        <x:v>Home</x:v>
      </x:c>
      <x:c r="M190" s="69" t="str">
        <x:v>Move the open glass spice container into the bowl.</x:v>
      </x:c>
      <x:c r="N190" s="69" t="str">
        <x:v>glass spice container B, glass spice container A, white cup B</x:v>
      </x:c>
      <x:c r="O190" s="69" t="str">
        <x:v>glass spice container B</x:v>
      </x:c>
      <x:c r="P190" s="70" t="str">
        <x:v>Copied unchanged from the latest manifest. This workbook does not endorse or revise the state-recognition design.</x:v>
      </x:c>
    </x:row>
    <x:row r="191" ht="58" customHeight="1">
      <x:c r="A191" s="100" t="n">
        <x:v>189</x:v>
      </x:c>
      <x:c r="B191" s="69" t="str">
        <x:v>State Recognition</x:v>
      </x:c>
      <x:c r="C191" s="69" t="str">
        <x:v>Place a glass spice container in the bowl.</x:v>
      </x:c>
      <x:c r="D191" s="69" t="str">
        <x:v>Clean state-masked replacement</x:v>
      </x:c>
      <x:c r="E191" s="69" t="str">
        <x:v>Unchanged in this revision</x:v>
      </x:c>
      <x:c r="F191" s="69" t="str">
        <x:v>state_unchanged</x:v>
      </x:c>
      <x:c r="G191" s="69" t="str">
        <x:v>State Recognition intentionally deferred for separate redesign discussion</x:v>
      </x:c>
      <x:c r="H191" s="69" t="str">
        <x:v>No</x:v>
      </x:c>
      <x:c r="I191" s="69" t="str"/>
      <x:c r="J191" s="69" t="str">
        <x:v>glass spice container A (O, UD) [target, P3]; white cup A (O, UD); yellow-white striped cup A (C, UR); brown cup B (O, UR)</x:v>
      </x:c>
      <x:c r="K191" s="69" t="str">
        <x:v>glass spice container A</x:v>
      </x:c>
      <x:c r="L191" s="69" t="str">
        <x:v>Home</x:v>
      </x:c>
      <x:c r="M191" s="69" t="str">
        <x:v>Place a glass spice container in the bowl.</x:v>
      </x:c>
      <x:c r="N191" s="69" t="str">
        <x:v>glass spice container A (O, UD) [target, P3]; white cup A (O, UD); yellow-white striped cup A (C, UR); brown cup B (O, UR)</x:v>
      </x:c>
      <x:c r="O191" s="69" t="str">
        <x:v>glass spice container A</x:v>
      </x:c>
      <x:c r="P191" s="70" t="str">
        <x:v>Copied unchanged from the latest manifest. This workbook does not endorse or revise the state-recognition design.</x:v>
      </x:c>
    </x:row>
    <x:row r="192" ht="58" customHeight="1">
      <x:c r="A192" s="100" t="n">
        <x:v>190</x:v>
      </x:c>
      <x:c r="B192" s="69" t="str">
        <x:v>State Recognition</x:v>
      </x:c>
      <x:c r="C192" s="69" t="str">
        <x:v>Put the upside-down glass spice container in the bowl.</x:v>
      </x:c>
      <x:c r="D192" s="69" t="str">
        <x:v>Explicit seen-state grounding</x:v>
      </x:c>
      <x:c r="E192" s="69" t="str">
        <x:v>Unchanged in this revision</x:v>
      </x:c>
      <x:c r="F192" s="69" t="str">
        <x:v>state_unchanged</x:v>
      </x:c>
      <x:c r="G192" s="69" t="str">
        <x:v>State Recognition intentionally deferred for separate redesign discussion</x:v>
      </x:c>
      <x:c r="H192" s="69" t="str">
        <x:v>No</x:v>
      </x:c>
      <x:c r="I192" s="69" t="str"/>
      <x:c r="J192" s="69" t="str">
        <x:v>glass spice container B, glass spice container A, brown cup B, white cup A</x:v>
      </x:c>
      <x:c r="K192" s="69" t="str">
        <x:v>glass spice container B</x:v>
      </x:c>
      <x:c r="L192" s="69" t="str">
        <x:v>Home</x:v>
      </x:c>
      <x:c r="M192" s="69" t="str">
        <x:v>Put the upside-down glass spice container in the bowl.</x:v>
      </x:c>
      <x:c r="N192" s="69" t="str">
        <x:v>glass spice container B, glass spice container A, brown cup B, white cup A</x:v>
      </x:c>
      <x:c r="O192" s="69" t="str">
        <x:v>glass spice container B</x:v>
      </x:c>
      <x:c r="P192" s="70" t="str">
        <x:v>Copied unchanged from the latest manifest. This workbook does not endorse or revise the state-recognition design.</x:v>
      </x:c>
    </x:row>
    <x:row r="193" ht="58" customHeight="1">
      <x:c r="A193" s="100" t="n">
        <x:v>191</x:v>
      </x:c>
      <x:c r="B193" s="69" t="str">
        <x:v>State Recognition</x:v>
      </x:c>
      <x:c r="C193" s="69" t="str">
        <x:v>Move a glass spice container into the bowl.</x:v>
      </x:c>
      <x:c r="D193" s="69" t="str">
        <x:v>Clean state-masked exposure</x:v>
      </x:c>
      <x:c r="E193" s="69" t="str">
        <x:v>Unchanged in this revision</x:v>
      </x:c>
      <x:c r="F193" s="69" t="str">
        <x:v>state_unchanged</x:v>
      </x:c>
      <x:c r="G193" s="69" t="str">
        <x:v>State Recognition intentionally deferred for separate redesign discussion</x:v>
      </x:c>
      <x:c r="H193" s="69" t="str">
        <x:v>No</x:v>
      </x:c>
      <x:c r="I193" s="69" t="str"/>
      <x:c r="J193" s="69" t="str">
        <x:v>glass spice container A, brown cup A, white cup B</x:v>
      </x:c>
      <x:c r="K193" s="69" t="str">
        <x:v>glass spice container A</x:v>
      </x:c>
      <x:c r="L193" s="69" t="str">
        <x:v>Home</x:v>
      </x:c>
      <x:c r="M193" s="69" t="str">
        <x:v>Move a glass spice container into the bowl.</x:v>
      </x:c>
      <x:c r="N193" s="69" t="str">
        <x:v>glass spice container A, brown cup A, white cup B</x:v>
      </x:c>
      <x:c r="O193" s="69" t="str">
        <x:v>glass spice container A</x:v>
      </x:c>
      <x:c r="P193" s="70" t="str">
        <x:v>Copied unchanged from the latest manifest. This workbook does not endorse or revise the state-recognition design.</x:v>
      </x:c>
    </x:row>
    <x:row r="194" ht="58" customHeight="1">
      <x:c r="A194" s="100" t="n">
        <x:v>192</x:v>
      </x:c>
      <x:c r="B194" s="69" t="str">
        <x:v>State Recognition</x:v>
      </x:c>
      <x:c r="C194" s="69" t="str">
        <x:v>Place a glass spice container in the bowl.</x:v>
      </x:c>
      <x:c r="D194" s="69" t="str">
        <x:v>Clean state-masked replacement</x:v>
      </x:c>
      <x:c r="E194" s="69" t="str">
        <x:v>Unchanged in this revision</x:v>
      </x:c>
      <x:c r="F194" s="69" t="str">
        <x:v>state_unchanged</x:v>
      </x:c>
      <x:c r="G194" s="69" t="str">
        <x:v>State Recognition intentionally deferred for separate redesign discussion</x:v>
      </x:c>
      <x:c r="H194" s="69" t="str">
        <x:v>No</x:v>
      </x:c>
      <x:c r="I194" s="69" t="str"/>
      <x:c r="J194" s="69" t="str">
        <x:v>glass spice container B (C, UR) [target, P4]; white cup B (O, UD) [P3]; yellow-white striped cup A (C, UR) [P1]; brown cup B (O, UR) [P2]</x:v>
      </x:c>
      <x:c r="K194" s="69" t="str">
        <x:v>glass spice container B</x:v>
      </x:c>
      <x:c r="L194" s="69" t="str">
        <x:v>Home</x:v>
      </x:c>
      <x:c r="M194" s="69" t="str">
        <x:v>Place a glass spice container in the bowl.</x:v>
      </x:c>
      <x:c r="N194" s="69" t="str">
        <x:v>glass spice container B (C, UR) [target, P4]; white cup B (O, UD) [P3]; yellow-white striped cup A (C, UR) [P1]; brown cup B (O, UR) [P2]</x:v>
      </x:c>
      <x:c r="O194" s="69" t="str">
        <x:v>glass spice container B</x:v>
      </x:c>
      <x:c r="P194" s="70" t="str">
        <x:v>Copied unchanged from the latest manifest. This workbook does not endorse or revise the state-recognition design.</x:v>
      </x:c>
    </x:row>
    <x:row r="195" ht="58" customHeight="1">
      <x:c r="A195" s="100" t="n">
        <x:v>193</x:v>
      </x:c>
      <x:c r="B195" s="69" t="str">
        <x:v>State Recognition</x:v>
      </x:c>
      <x:c r="C195" s="69" t="str">
        <x:v>Put a glass spice container in the bowl.</x:v>
      </x:c>
      <x:c r="D195" s="69" t="str">
        <x:v>Clean state-masked exposure</x:v>
      </x:c>
      <x:c r="E195" s="69" t="str">
        <x:v>Unchanged in this revision</x:v>
      </x:c>
      <x:c r="F195" s="69" t="str">
        <x:v>state_unchanged</x:v>
      </x:c>
      <x:c r="G195" s="69" t="str">
        <x:v>State Recognition intentionally deferred for separate redesign discussion</x:v>
      </x:c>
      <x:c r="H195" s="69" t="str">
        <x:v>No</x:v>
      </x:c>
      <x:c r="I195" s="69" t="str"/>
      <x:c r="J195" s="69" t="str">
        <x:v>glass spice container A, white cup B, yellow-white striped cup B</x:v>
      </x:c>
      <x:c r="K195" s="69" t="str">
        <x:v>glass spice container A</x:v>
      </x:c>
      <x:c r="L195" s="69" t="str">
        <x:v>Recovery</x:v>
      </x:c>
      <x:c r="M195" s="69" t="str">
        <x:v>Put a glass spice container in the bowl.</x:v>
      </x:c>
      <x:c r="N195" s="69" t="str">
        <x:v>glass spice container A, white cup B, yellow-white striped cup B</x:v>
      </x:c>
      <x:c r="O195" s="69" t="str">
        <x:v>glass spice container A</x:v>
      </x:c>
      <x:c r="P195" s="70" t="str">
        <x:v>Copied unchanged from the latest manifest. This workbook does not endorse or revise the state-recognition design.</x:v>
      </x:c>
    </x:row>
    <x:row r="196" ht="58" customHeight="1">
      <x:c r="A196" s="100" t="n">
        <x:v>194</x:v>
      </x:c>
      <x:c r="B196" s="69" t="str">
        <x:v>State Recognition</x:v>
      </x:c>
      <x:c r="C196" s="69" t="str">
        <x:v>Move a glass spice container into the bowl.</x:v>
      </x:c>
      <x:c r="D196" s="69" t="str">
        <x:v>Clean state-masked replacement</x:v>
      </x:c>
      <x:c r="E196" s="69" t="str">
        <x:v>Unchanged in this revision</x:v>
      </x:c>
      <x:c r="F196" s="69" t="str">
        <x:v>state_unchanged</x:v>
      </x:c>
      <x:c r="G196" s="69" t="str">
        <x:v>State Recognition intentionally deferred for separate redesign discussion</x:v>
      </x:c>
      <x:c r="H196" s="69" t="str">
        <x:v>No</x:v>
      </x:c>
      <x:c r="I196" s="69" t="str"/>
      <x:c r="J196" s="69" t="str">
        <x:v>glass spice container B (O, UD) [target, P4]; white cup B (O, UD); yellow-white striped cup A (O, UD); brown cup A (C, UR)</x:v>
      </x:c>
      <x:c r="K196" s="69" t="str">
        <x:v>glass spice container B</x:v>
      </x:c>
      <x:c r="L196" s="69" t="str">
        <x:v>Home</x:v>
      </x:c>
      <x:c r="M196" s="69" t="str">
        <x:v>Move a glass spice container into the bowl.</x:v>
      </x:c>
      <x:c r="N196" s="69" t="str">
        <x:v>glass spice container B (O, UD) [target, P4]; white cup B (O, UD); yellow-white striped cup A (O, UD); brown cup A (C, UR)</x:v>
      </x:c>
      <x:c r="O196" s="69" t="str">
        <x:v>glass spice container B</x:v>
      </x:c>
      <x:c r="P196" s="70" t="str">
        <x:v>Copied unchanged from the latest manifest. This workbook does not endorse or revise the state-recognition design.</x:v>
      </x:c>
    </x:row>
    <x:row r="197" ht="58" customHeight="1">
      <x:c r="A197" s="100" t="n">
        <x:v>195</x:v>
      </x:c>
      <x:c r="B197" s="69" t="str">
        <x:v>State Recognition</x:v>
      </x:c>
      <x:c r="C197" s="69" t="str">
        <x:v>Place a glass spice container in the bowl.</x:v>
      </x:c>
      <x:c r="D197" s="69" t="str">
        <x:v>Clean state-masked replacement</x:v>
      </x:c>
      <x:c r="E197" s="69" t="str">
        <x:v>Unchanged in this revision</x:v>
      </x:c>
      <x:c r="F197" s="69" t="str">
        <x:v>state_unchanged</x:v>
      </x:c>
      <x:c r="G197" s="69" t="str">
        <x:v>State Recognition intentionally deferred for separate redesign discussion</x:v>
      </x:c>
      <x:c r="H197" s="69" t="str">
        <x:v>No</x:v>
      </x:c>
      <x:c r="I197" s="69" t="str"/>
      <x:c r="J197" s="69" t="str">
        <x:v>glass spice container A (O, UD) [target, P1]; white cup A (O, UR); yellow-white striped cup B (C, UD); brown cup A (O, UR)</x:v>
      </x:c>
      <x:c r="K197" s="69" t="str">
        <x:v>glass spice container A</x:v>
      </x:c>
      <x:c r="L197" s="69" t="str">
        <x:v>Home</x:v>
      </x:c>
      <x:c r="M197" s="69" t="str">
        <x:v>Place a glass spice container in the bowl.</x:v>
      </x:c>
      <x:c r="N197" s="69" t="str">
        <x:v>glass spice container A (O, UD) [target, P1]; white cup A (O, UR); yellow-white striped cup B (C, UD); brown cup A (O, UR)</x:v>
      </x:c>
      <x:c r="O197" s="69" t="str">
        <x:v>glass spice container A</x:v>
      </x:c>
      <x:c r="P197" s="70" t="str">
        <x:v>Copied unchanged from the latest manifest. This workbook does not endorse or revise the state-recognition design.</x:v>
      </x:c>
    </x:row>
    <x:row r="198" ht="58" customHeight="1">
      <x:c r="A198" s="100" t="n">
        <x:v>196</x:v>
      </x:c>
      <x:c r="B198" s="69" t="str">
        <x:v>State Recognition</x:v>
      </x:c>
      <x:c r="C198" s="69" t="str">
        <x:v>Put a glass spice container in the bowl.</x:v>
      </x:c>
      <x:c r="D198" s="69" t="str">
        <x:v>Clean state-masked exposure</x:v>
      </x:c>
      <x:c r="E198" s="69" t="str">
        <x:v>Unchanged in this revision</x:v>
      </x:c>
      <x:c r="F198" s="69" t="str">
        <x:v>state_unchanged</x:v>
      </x:c>
      <x:c r="G198" s="69" t="str">
        <x:v>State Recognition intentionally deferred for separate redesign discussion</x:v>
      </x:c>
      <x:c r="H198" s="69" t="str">
        <x:v>No</x:v>
      </x:c>
      <x:c r="I198" s="69" t="str"/>
      <x:c r="J198" s="69" t="str">
        <x:v>glass spice container A, yellow-white striped cup B, brown cup B</x:v>
      </x:c>
      <x:c r="K198" s="69" t="str">
        <x:v>glass spice container A</x:v>
      </x:c>
      <x:c r="L198" s="69" t="str">
        <x:v>Home</x:v>
      </x:c>
      <x:c r="M198" s="69" t="str">
        <x:v>Put a glass spice container in the bowl.</x:v>
      </x:c>
      <x:c r="N198" s="69" t="str">
        <x:v>glass spice container A, yellow-white striped cup B, brown cup B</x:v>
      </x:c>
      <x:c r="O198" s="69" t="str">
        <x:v>glass spice container A</x:v>
      </x:c>
      <x:c r="P198" s="70" t="str">
        <x:v>Copied unchanged from the latest manifest. This workbook does not endorse or revise the state-recognition design.</x:v>
      </x:c>
    </x:row>
    <x:row r="199" ht="58" customHeight="1">
      <x:c r="A199" s="100" t="n">
        <x:v>197</x:v>
      </x:c>
      <x:c r="B199" s="69" t="str">
        <x:v>State Recognition</x:v>
      </x:c>
      <x:c r="C199" s="69" t="str">
        <x:v>Move a glass spice container into the bowl.</x:v>
      </x:c>
      <x:c r="D199" s="69" t="str">
        <x:v>Clean state-masked replacement</x:v>
      </x:c>
      <x:c r="E199" s="69" t="str">
        <x:v>Unchanged in this revision</x:v>
      </x:c>
      <x:c r="F199" s="69" t="str">
        <x:v>state_unchanged</x:v>
      </x:c>
      <x:c r="G199" s="69" t="str">
        <x:v>State Recognition intentionally deferred for separate redesign discussion</x:v>
      </x:c>
      <x:c r="H199" s="69" t="str">
        <x:v>No</x:v>
      </x:c>
      <x:c r="I199" s="69" t="str"/>
      <x:c r="J199" s="69" t="str">
        <x:v>glass spice container B (O, UR) [target, P1]; white cup A (C, UD) [P2]; yellow-white striped cup B (O, UD) [P3]; brown cup A (C, UR) [P4]</x:v>
      </x:c>
      <x:c r="K199" s="69" t="str">
        <x:v>glass spice container B</x:v>
      </x:c>
      <x:c r="L199" s="69" t="str">
        <x:v>Home</x:v>
      </x:c>
      <x:c r="M199" s="69" t="str">
        <x:v>Move a glass spice container into the bowl.</x:v>
      </x:c>
      <x:c r="N199" s="69" t="str">
        <x:v>glass spice container B (O, UR) [target, P1]; white cup A (C, UD) [P2]; yellow-white striped cup B (O, UD) [P3]; brown cup A (C, UR) [P4]</x:v>
      </x:c>
      <x:c r="O199" s="69" t="str">
        <x:v>glass spice container B</x:v>
      </x:c>
      <x:c r="P199" s="70" t="str">
        <x:v>Copied unchanged from the latest manifest. This workbook does not endorse or revise the state-recognition design.</x:v>
      </x:c>
    </x:row>
    <x:row r="200" ht="58" customHeight="1">
      <x:c r="A200" s="100" t="n">
        <x:v>198</x:v>
      </x:c>
      <x:c r="B200" s="69" t="str">
        <x:v>State Recognition</x:v>
      </x:c>
      <x:c r="C200" s="69" t="str">
        <x:v>Place the open glass spice container in the bowl.</x:v>
      </x:c>
      <x:c r="D200" s="69" t="str">
        <x:v>Explicit seen-state grounding</x:v>
      </x:c>
      <x:c r="E200" s="69" t="str">
        <x:v>Unchanged in this revision</x:v>
      </x:c>
      <x:c r="F200" s="69" t="str">
        <x:v>state_unchanged</x:v>
      </x:c>
      <x:c r="G200" s="69" t="str">
        <x:v>State Recognition intentionally deferred for separate redesign discussion</x:v>
      </x:c>
      <x:c r="H200" s="69" t="str">
        <x:v>No</x:v>
      </x:c>
      <x:c r="I200" s="69" t="str"/>
      <x:c r="J200" s="69" t="str">
        <x:v>glass spice container B, glass spice container A, yellow-white striped cup B, brown cup A</x:v>
      </x:c>
      <x:c r="K200" s="69" t="str">
        <x:v>glass spice container B</x:v>
      </x:c>
      <x:c r="L200" s="69" t="str">
        <x:v>Home</x:v>
      </x:c>
      <x:c r="M200" s="69" t="str">
        <x:v>Place the open glass spice container in the bowl.</x:v>
      </x:c>
      <x:c r="N200" s="69" t="str">
        <x:v>glass spice container B, glass spice container A, yellow-white striped cup B, brown cup A</x:v>
      </x:c>
      <x:c r="O200" s="69" t="str">
        <x:v>glass spice container B</x:v>
      </x:c>
      <x:c r="P200" s="70" t="str">
        <x:v>Copied unchanged from the latest manifest. This workbook does not endorse or revise the state-recognition design.</x:v>
      </x:c>
    </x:row>
    <x:row r="201" ht="58" customHeight="1">
      <x:c r="A201" s="100" t="n">
        <x:v>199</x:v>
      </x:c>
      <x:c r="B201" s="69" t="str">
        <x:v>State Recognition</x:v>
      </x:c>
      <x:c r="C201" s="69" t="str">
        <x:v>Put the upside-down glass spice container in the bowl.</x:v>
      </x:c>
      <x:c r="D201" s="69" t="str">
        <x:v>Explicit seen-state grounding</x:v>
      </x:c>
      <x:c r="E201" s="69" t="str">
        <x:v>Unchanged in this revision</x:v>
      </x:c>
      <x:c r="F201" s="69" t="str">
        <x:v>state_unchanged</x:v>
      </x:c>
      <x:c r="G201" s="69" t="str">
        <x:v>State Recognition intentionally deferred for separate redesign discussion</x:v>
      </x:c>
      <x:c r="H201" s="69" t="str">
        <x:v>No</x:v>
      </x:c>
      <x:c r="I201" s="69" t="str"/>
      <x:c r="J201" s="69" t="str">
        <x:v>glass spice container B, glass spice container A, brown cup A, white cup B</x:v>
      </x:c>
      <x:c r="K201" s="69" t="str">
        <x:v>glass spice container B</x:v>
      </x:c>
      <x:c r="L201" s="69" t="str">
        <x:v>Recovery</x:v>
      </x:c>
      <x:c r="M201" s="69" t="str">
        <x:v>Put the upside-down glass spice container in the bowl.</x:v>
      </x:c>
      <x:c r="N201" s="69" t="str">
        <x:v>glass spice container B, glass spice container A, brown cup A, white cup B</x:v>
      </x:c>
      <x:c r="O201" s="69" t="str">
        <x:v>glass spice container B</x:v>
      </x:c>
      <x:c r="P201" s="70" t="str">
        <x:v>Copied unchanged from the latest manifest. This workbook does not endorse or revise the state-recognition design.</x:v>
      </x:c>
    </x:row>
    <x:row r="202" ht="58" customHeight="1">
      <x:c r="A202" s="100" t="n">
        <x:v>200</x:v>
      </x:c>
      <x:c r="B202" s="69" t="str">
        <x:v>Relational Placement</x:v>
      </x:c>
      <x:c r="C202" s="69" t="str">
        <x:v>Move the green pen near the red block.</x:v>
      </x:c>
      <x:c r="D202" s="69" t="str">
        <x:v>Masked unordered-pair composition</x:v>
      </x:c>
      <x:c r="E202" s="69" t="str">
        <x:v>near / beside / next to; physical exposure to the green-pen/red-block pair</x:v>
      </x:c>
      <x:c r="F202" s="69" t="str">
        <x:v>relational_masked_green_pen_red_block</x:v>
      </x:c>
      <x:c r="G202" s="69" t="str">
        <x:v>direction × unordered {green pen, red block} pair, in both target/reference directions</x:v>
      </x:c>
      <x:c r="H202" s="69" t="str">
        <x:v>No</x:v>
      </x:c>
      <x:c r="I202" s="69" t="str"/>
      <x:c r="J202" s="69" t="str">
        <x:v>green pen, red block</x:v>
      </x:c>
      <x:c r="K202" s="69" t="str">
        <x:v>green pen</x:v>
      </x:c>
      <x:c r="L202" s="69" t="str">
        <x:v>Home</x:v>
      </x:c>
      <x:c r="M202" s="69" t="str">
        <x:v>Move the green pen near the red block.</x:v>
      </x:c>
      <x:c r="N202" s="69" t="str">
        <x:v>green pen, red block</x:v>
      </x:c>
      <x:c r="O202" s="69" t="str">
        <x:v>green pen</x:v>
      </x:c>
      <x:c r="P202" s="70" t="str">
        <x:v>Keep the exact successful mask: expose manipulation of the green-pen/red-block pair with a familiar near relation, without directional language.</x:v>
      </x:c>
    </x:row>
    <x:row r="203" ht="58" customHeight="1">
      <x:c r="A203" s="100" t="n">
        <x:v>201</x:v>
      </x:c>
      <x:c r="B203" s="69" t="str">
        <x:v>Relational Placement</x:v>
      </x:c>
      <x:c r="C203" s="69" t="str">
        <x:v>Place the green pen next to the red block.</x:v>
      </x:c>
      <x:c r="D203" s="69" t="str">
        <x:v>Masked unordered-pair composition</x:v>
      </x:c>
      <x:c r="E203" s="69" t="str">
        <x:v>near / beside / next to; physical exposure to the green-pen/red-block pair</x:v>
      </x:c>
      <x:c r="F203" s="69" t="str">
        <x:v>relational_masked_green_pen_red_block</x:v>
      </x:c>
      <x:c r="G203" s="69" t="str">
        <x:v>direction × unordered {green pen, red block} pair, in both target/reference directions</x:v>
      </x:c>
      <x:c r="H203" s="69" t="str">
        <x:v>No</x:v>
      </x:c>
      <x:c r="I203" s="69" t="str"/>
      <x:c r="J203" s="69" t="str">
        <x:v>green pen, red block, pink marker</x:v>
      </x:c>
      <x:c r="K203" s="69" t="str">
        <x:v>green pen</x:v>
      </x:c>
      <x:c r="L203" s="69" t="str">
        <x:v>Home</x:v>
      </x:c>
      <x:c r="M203" s="69" t="str">
        <x:v>Place the green pen next to the red block.</x:v>
      </x:c>
      <x:c r="N203" s="69" t="str">
        <x:v>green pen, red block, pink marker</x:v>
      </x:c>
      <x:c r="O203" s="69" t="str">
        <x:v>green pen</x:v>
      </x:c>
      <x:c r="P203" s="70" t="str">
        <x:v>Keep the exact successful mask: expose manipulation of the green-pen/red-block pair with a familiar near relation, without directional language.</x:v>
      </x:c>
    </x:row>
    <x:row r="204" ht="58" customHeight="1">
      <x:c r="A204" s="100" t="n">
        <x:v>202</x:v>
      </x:c>
      <x:c r="B204" s="69" t="str">
        <x:v>Relational Placement</x:v>
      </x:c>
      <x:c r="C204" s="69" t="str">
        <x:v>Put the green pen beside the red block.</x:v>
      </x:c>
      <x:c r="D204" s="69" t="str">
        <x:v>Masked unordered-pair composition</x:v>
      </x:c>
      <x:c r="E204" s="69" t="str">
        <x:v>near / beside / next to; physical exposure to the green-pen/red-block pair</x:v>
      </x:c>
      <x:c r="F204" s="69" t="str">
        <x:v>relational_masked_green_pen_red_block</x:v>
      </x:c>
      <x:c r="G204" s="69" t="str">
        <x:v>direction × unordered {green pen, red block} pair, in both target/reference directions</x:v>
      </x:c>
      <x:c r="H204" s="69" t="str">
        <x:v>No</x:v>
      </x:c>
      <x:c r="I204" s="69" t="str"/>
      <x:c r="J204" s="69" t="str">
        <x:v>green pen, red block, pink marker, blue block</x:v>
      </x:c>
      <x:c r="K204" s="69" t="str">
        <x:v>green pen</x:v>
      </x:c>
      <x:c r="L204" s="69" t="str">
        <x:v>Home</x:v>
      </x:c>
      <x:c r="M204" s="69" t="str">
        <x:v>Put the green pen beside the red block.</x:v>
      </x:c>
      <x:c r="N204" s="69" t="str">
        <x:v>green pen, red block, pink marker, blue block</x:v>
      </x:c>
      <x:c r="O204" s="69" t="str">
        <x:v>green pen</x:v>
      </x:c>
      <x:c r="P204" s="70" t="str">
        <x:v>Keep the exact successful mask: expose manipulation of the green-pen/red-block pair with a familiar near relation, without directional language.</x:v>
      </x:c>
    </x:row>
    <x:row r="205" ht="58" customHeight="1">
      <x:c r="A205" s="100" t="n">
        <x:v>203</x:v>
      </x:c>
      <x:c r="B205" s="69" t="str">
        <x:v>Relational Placement</x:v>
      </x:c>
      <x:c r="C205" s="69" t="str">
        <x:v>Move the green pen near the red block.</x:v>
      </x:c>
      <x:c r="D205" s="69" t="str">
        <x:v>Masked unordered-pair composition</x:v>
      </x:c>
      <x:c r="E205" s="69" t="str">
        <x:v>near / beside / next to; physical exposure to the green-pen/red-block pair</x:v>
      </x:c>
      <x:c r="F205" s="69" t="str">
        <x:v>relational_masked_green_pen_red_block</x:v>
      </x:c>
      <x:c r="G205" s="69" t="str">
        <x:v>direction × unordered {green pen, red block} pair, in both target/reference directions</x:v>
      </x:c>
      <x:c r="H205" s="69" t="str">
        <x:v>No</x:v>
      </x:c>
      <x:c r="I205" s="69" t="str"/>
      <x:c r="J205" s="69" t="str">
        <x:v>green pen, red block, blue block</x:v>
      </x:c>
      <x:c r="K205" s="69" t="str">
        <x:v>green pen</x:v>
      </x:c>
      <x:c r="L205" s="69" t="str">
        <x:v>Recovery</x:v>
      </x:c>
      <x:c r="M205" s="69" t="str">
        <x:v>Move the green pen near the red block.</x:v>
      </x:c>
      <x:c r="N205" s="69" t="str">
        <x:v>green pen, red block, blue block</x:v>
      </x:c>
      <x:c r="O205" s="69" t="str">
        <x:v>green pen</x:v>
      </x:c>
      <x:c r="P205" s="70" t="str">
        <x:v>Keep the exact successful mask: expose manipulation of the green-pen/red-block pair with a familiar near relation, without directional language.</x:v>
      </x:c>
    </x:row>
    <x:row r="206" ht="58" customHeight="1">
      <x:c r="A206" s="100" t="n">
        <x:v>204</x:v>
      </x:c>
      <x:c r="B206" s="69" t="str">
        <x:v>Relational Placement</x:v>
      </x:c>
      <x:c r="C206" s="69" t="str">
        <x:v>Move the green pen to the front of the pink marker.</x:v>
      </x:c>
      <x:c r="D206" s="69" t="str">
        <x:v>Explicit spatial-relation grounding</x:v>
      </x:c>
      <x:c r="E206" s="69" t="str">
        <x:v>front / behind / left / right</x:v>
      </x:c>
      <x:c r="F206" s="69" t="str">
        <x:v>relational_explicit_direction</x:v>
      </x:c>
      <x:c r="G206" s="69" t="str">
        <x:v>direction × unordered {green pen, red block} pair, in both target/reference directions</x:v>
      </x:c>
      <x:c r="H206" s="69" t="str">
        <x:v>No</x:v>
      </x:c>
      <x:c r="I206" s="69" t="str"/>
      <x:c r="J206" s="69" t="str">
        <x:v>green pen, pink marker</x:v>
      </x:c>
      <x:c r="K206" s="69" t="str">
        <x:v>green pen</x:v>
      </x:c>
      <x:c r="L206" s="69" t="str">
        <x:v>Home</x:v>
      </x:c>
      <x:c r="M206" s="69" t="str">
        <x:v>Move the green pen to the front of the pink marker.</x:v>
      </x:c>
      <x:c r="N206" s="69" t="str">
        <x:v>green pen, pink marker</x:v>
      </x:c>
      <x:c r="O206" s="69" t="str">
        <x:v>green pen</x:v>
      </x:c>
      <x:c r="P206" s="70" t="str">
        <x:v>Explicitly grounds directional language on other ordered object pairs.</x:v>
      </x:c>
    </x:row>
    <x:row r="207" ht="58" customHeight="1">
      <x:c r="A207" s="100" t="n">
        <x:v>205</x:v>
      </x:c>
      <x:c r="B207" s="69" t="str">
        <x:v>Relational Placement</x:v>
      </x:c>
      <x:c r="C207" s="69" t="str">
        <x:v>Put the green pen on the table in front of the pink marker.</x:v>
      </x:c>
      <x:c r="D207" s="69" t="str">
        <x:v>Explicit spatial-relation grounding</x:v>
      </x:c>
      <x:c r="E207" s="69" t="str">
        <x:v>front / behind / left / right</x:v>
      </x:c>
      <x:c r="F207" s="69" t="str">
        <x:v>relational_explicit_direction</x:v>
      </x:c>
      <x:c r="G207" s="69" t="str">
        <x:v>direction × unordered {green pen, red block} pair, in both target/reference directions</x:v>
      </x:c>
      <x:c r="H207" s="69" t="str">
        <x:v>No</x:v>
      </x:c>
      <x:c r="I207" s="69" t="str"/>
      <x:c r="J207" s="69" t="str">
        <x:v>green pen, pink marker, red block</x:v>
      </x:c>
      <x:c r="K207" s="69" t="str">
        <x:v>green pen</x:v>
      </x:c>
      <x:c r="L207" s="69" t="str">
        <x:v>Home</x:v>
      </x:c>
      <x:c r="M207" s="69" t="str">
        <x:v>Put the green pen on the table in front of the pink marker.</x:v>
      </x:c>
      <x:c r="N207" s="69" t="str">
        <x:v>green pen, pink marker, red block</x:v>
      </x:c>
      <x:c r="O207" s="69" t="str">
        <x:v>green pen</x:v>
      </x:c>
      <x:c r="P207" s="70" t="str">
        <x:v>Explicitly grounds directional language on other ordered object pairs.</x:v>
      </x:c>
    </x:row>
    <x:row r="208" ht="58" customHeight="1">
      <x:c r="A208" s="100" t="n">
        <x:v>206</x:v>
      </x:c>
      <x:c r="B208" s="69" t="str">
        <x:v>Relational Placement</x:v>
      </x:c>
      <x:c r="C208" s="69" t="str">
        <x:v>Put the green pen on the table in front of the pink marker.</x:v>
      </x:c>
      <x:c r="D208" s="69" t="str">
        <x:v>Explicit spatial-relation grounding</x:v>
      </x:c>
      <x:c r="E208" s="69" t="str">
        <x:v>front / behind / left / right</x:v>
      </x:c>
      <x:c r="F208" s="69" t="str">
        <x:v>relational_explicit_direction</x:v>
      </x:c>
      <x:c r="G208" s="69" t="str">
        <x:v>direction × unordered {green pen, red block} pair, in both target/reference directions</x:v>
      </x:c>
      <x:c r="H208" s="69" t="str">
        <x:v>No</x:v>
      </x:c>
      <x:c r="I208" s="69" t="str"/>
      <x:c r="J208" s="69" t="str">
        <x:v>green pen, red block, pink marker, blue block</x:v>
      </x:c>
      <x:c r="K208" s="69" t="str">
        <x:v>green pen</x:v>
      </x:c>
      <x:c r="L208" s="69" t="str">
        <x:v>Home</x:v>
      </x:c>
      <x:c r="M208" s="69" t="str">
        <x:v>Put the green pen on the table in front of the pink marker.</x:v>
      </x:c>
      <x:c r="N208" s="69" t="str">
        <x:v>green pen, red block, pink marker, blue block</x:v>
      </x:c>
      <x:c r="O208" s="69" t="str">
        <x:v>green pen</x:v>
      </x:c>
      <x:c r="P208" s="70" t="str">
        <x:v>Explicitly grounds directional language on other ordered object pairs.</x:v>
      </x:c>
    </x:row>
    <x:row r="209" ht="58" customHeight="1">
      <x:c r="A209" s="100" t="n">
        <x:v>207</x:v>
      </x:c>
      <x:c r="B209" s="69" t="str">
        <x:v>Relational Placement</x:v>
      </x:c>
      <x:c r="C209" s="69" t="str">
        <x:v>Place the green pen in front of the pink marker.</x:v>
      </x:c>
      <x:c r="D209" s="69" t="str">
        <x:v>Explicit spatial-relation grounding</x:v>
      </x:c>
      <x:c r="E209" s="69" t="str">
        <x:v>front / behind / left / right</x:v>
      </x:c>
      <x:c r="F209" s="69" t="str">
        <x:v>relational_explicit_direction</x:v>
      </x:c>
      <x:c r="G209" s="69" t="str">
        <x:v>direction × unordered {green pen, red block} pair, in both target/reference directions</x:v>
      </x:c>
      <x:c r="H209" s="69" t="str">
        <x:v>No</x:v>
      </x:c>
      <x:c r="I209" s="69" t="str"/>
      <x:c r="J209" s="69" t="str">
        <x:v>green pen, pink marker, blue block</x:v>
      </x:c>
      <x:c r="K209" s="69" t="str">
        <x:v>green pen</x:v>
      </x:c>
      <x:c r="L209" s="69" t="str">
        <x:v>Recovery</x:v>
      </x:c>
      <x:c r="M209" s="69" t="str">
        <x:v>Place the green pen in front of the pink marker.</x:v>
      </x:c>
      <x:c r="N209" s="69" t="str">
        <x:v>green pen, pink marker, blue block</x:v>
      </x:c>
      <x:c r="O209" s="69" t="str">
        <x:v>green pen</x:v>
      </x:c>
      <x:c r="P209" s="70" t="str">
        <x:v>Explicitly grounds directional language on other ordered object pairs.</x:v>
      </x:c>
    </x:row>
    <x:row r="210" ht="58" customHeight="1">
      <x:c r="A210" s="100" t="n">
        <x:v>208</x:v>
      </x:c>
      <x:c r="B210" s="69" t="str">
        <x:v>Relational Placement</x:v>
      </x:c>
      <x:c r="C210" s="69" t="str">
        <x:v>Move the green pen to the front of the blue block.</x:v>
      </x:c>
      <x:c r="D210" s="69" t="str">
        <x:v>Explicit spatial-relation grounding</x:v>
      </x:c>
      <x:c r="E210" s="69" t="str">
        <x:v>front / behind / left / right</x:v>
      </x:c>
      <x:c r="F210" s="69" t="str">
        <x:v>relational_explicit_direction</x:v>
      </x:c>
      <x:c r="G210" s="69" t="str">
        <x:v>direction × unordered {green pen, red block} pair, in both target/reference directions</x:v>
      </x:c>
      <x:c r="H210" s="69" t="str">
        <x:v>No</x:v>
      </x:c>
      <x:c r="I210" s="69" t="str"/>
      <x:c r="J210" s="69" t="str">
        <x:v>green pen, blue block</x:v>
      </x:c>
      <x:c r="K210" s="69" t="str">
        <x:v>green pen</x:v>
      </x:c>
      <x:c r="L210" s="69" t="str">
        <x:v>Home</x:v>
      </x:c>
      <x:c r="M210" s="69" t="str">
        <x:v>Move the green pen to the front of the blue block.</x:v>
      </x:c>
      <x:c r="N210" s="69" t="str">
        <x:v>green pen, blue block</x:v>
      </x:c>
      <x:c r="O210" s="69" t="str">
        <x:v>green pen</x:v>
      </x:c>
      <x:c r="P210" s="70" t="str">
        <x:v>Explicitly grounds directional language on other ordered object pairs.</x:v>
      </x:c>
    </x:row>
    <x:row r="211" ht="58" customHeight="1">
      <x:c r="A211" s="100" t="n">
        <x:v>209</x:v>
      </x:c>
      <x:c r="B211" s="69" t="str">
        <x:v>Relational Placement</x:v>
      </x:c>
      <x:c r="C211" s="69" t="str">
        <x:v>Put the green pen on the table in front of the blue block.</x:v>
      </x:c>
      <x:c r="D211" s="69" t="str">
        <x:v>Explicit spatial-relation grounding</x:v>
      </x:c>
      <x:c r="E211" s="69" t="str">
        <x:v>front / behind / left / right</x:v>
      </x:c>
      <x:c r="F211" s="69" t="str">
        <x:v>relational_explicit_direction</x:v>
      </x:c>
      <x:c r="G211" s="69" t="str">
        <x:v>direction × unordered {green pen, red block} pair, in both target/reference directions</x:v>
      </x:c>
      <x:c r="H211" s="69" t="str">
        <x:v>No</x:v>
      </x:c>
      <x:c r="I211" s="69" t="str"/>
      <x:c r="J211" s="69" t="str">
        <x:v>green pen, blue block, red block</x:v>
      </x:c>
      <x:c r="K211" s="69" t="str">
        <x:v>green pen</x:v>
      </x:c>
      <x:c r="L211" s="69" t="str">
        <x:v>Home</x:v>
      </x:c>
      <x:c r="M211" s="69" t="str">
        <x:v>Put the green pen on the table in front of the blue block.</x:v>
      </x:c>
      <x:c r="N211" s="69" t="str">
        <x:v>green pen, blue block, red block</x:v>
      </x:c>
      <x:c r="O211" s="69" t="str">
        <x:v>green pen</x:v>
      </x:c>
      <x:c r="P211" s="70" t="str">
        <x:v>Explicitly grounds directional language on other ordered object pairs.</x:v>
      </x:c>
    </x:row>
    <x:row r="212" ht="58" customHeight="1">
      <x:c r="A212" s="100" t="n">
        <x:v>210</x:v>
      </x:c>
      <x:c r="B212" s="69" t="str">
        <x:v>Relational Placement</x:v>
      </x:c>
      <x:c r="C212" s="69" t="str">
        <x:v>Place the green pen in front of the blue block.</x:v>
      </x:c>
      <x:c r="D212" s="69" t="str">
        <x:v>Explicit spatial-relation grounding</x:v>
      </x:c>
      <x:c r="E212" s="69" t="str">
        <x:v>front / behind / left / right</x:v>
      </x:c>
      <x:c r="F212" s="69" t="str">
        <x:v>relational_explicit_direction</x:v>
      </x:c>
      <x:c r="G212" s="69" t="str">
        <x:v>direction × unordered {green pen, red block} pair, in both target/reference directions</x:v>
      </x:c>
      <x:c r="H212" s="69" t="str">
        <x:v>No</x:v>
      </x:c>
      <x:c r="I212" s="69" t="str"/>
      <x:c r="J212" s="69" t="str">
        <x:v>green pen, red block, pink marker, blue block</x:v>
      </x:c>
      <x:c r="K212" s="69" t="str">
        <x:v>green pen</x:v>
      </x:c>
      <x:c r="L212" s="69" t="str">
        <x:v>Home</x:v>
      </x:c>
      <x:c r="M212" s="69" t="str">
        <x:v>Place the green pen in front of the blue block.</x:v>
      </x:c>
      <x:c r="N212" s="69" t="str">
        <x:v>green pen, red block, pink marker, blue block</x:v>
      </x:c>
      <x:c r="O212" s="69" t="str">
        <x:v>green pen</x:v>
      </x:c>
      <x:c r="P212" s="70" t="str">
        <x:v>Explicitly grounds directional language on other ordered object pairs.</x:v>
      </x:c>
    </x:row>
    <x:row r="213" ht="58" customHeight="1">
      <x:c r="A213" s="100" t="n">
        <x:v>211</x:v>
      </x:c>
      <x:c r="B213" s="69" t="str">
        <x:v>Relational Placement</x:v>
      </x:c>
      <x:c r="C213" s="69" t="str">
        <x:v>Place the green pen in front of the blue block.</x:v>
      </x:c>
      <x:c r="D213" s="69" t="str">
        <x:v>Explicit spatial-relation grounding</x:v>
      </x:c>
      <x:c r="E213" s="69" t="str">
        <x:v>front / behind / left / right</x:v>
      </x:c>
      <x:c r="F213" s="69" t="str">
        <x:v>relational_explicit_direction</x:v>
      </x:c>
      <x:c r="G213" s="69" t="str">
        <x:v>direction × unordered {green pen, red block} pair, in both target/reference directions</x:v>
      </x:c>
      <x:c r="H213" s="69" t="str">
        <x:v>No</x:v>
      </x:c>
      <x:c r="I213" s="69" t="str"/>
      <x:c r="J213" s="69" t="str">
        <x:v>green pen, blue block, pink marker</x:v>
      </x:c>
      <x:c r="K213" s="69" t="str">
        <x:v>green pen</x:v>
      </x:c>
      <x:c r="L213" s="69" t="str">
        <x:v>Home</x:v>
      </x:c>
      <x:c r="M213" s="69" t="str">
        <x:v>Place the green pen in front of the blue block.</x:v>
      </x:c>
      <x:c r="N213" s="69" t="str">
        <x:v>green pen, blue block, pink marker</x:v>
      </x:c>
      <x:c r="O213" s="69" t="str">
        <x:v>green pen</x:v>
      </x:c>
      <x:c r="P213" s="70" t="str">
        <x:v>Explicitly grounds directional language on other ordered object pairs.</x:v>
      </x:c>
    </x:row>
    <x:row r="214" ht="58" customHeight="1">
      <x:c r="A214" s="100" t="n">
        <x:v>212</x:v>
      </x:c>
      <x:c r="B214" s="69" t="str">
        <x:v>Relational Placement</x:v>
      </x:c>
      <x:c r="C214" s="69" t="str">
        <x:v>Move the green pen near the red block.</x:v>
      </x:c>
      <x:c r="D214" s="69" t="str">
        <x:v>Masked unordered-pair composition</x:v>
      </x:c>
      <x:c r="E214" s="69" t="str">
        <x:v>near / beside / next to; physical exposure to the green-pen/red-block pair</x:v>
      </x:c>
      <x:c r="F214" s="69" t="str">
        <x:v>relational_masked_green_pen_red_block</x:v>
      </x:c>
      <x:c r="G214" s="69" t="str">
        <x:v>direction × unordered {green pen, red block} pair, in both target/reference directions</x:v>
      </x:c>
      <x:c r="H214" s="69" t="str">
        <x:v>No</x:v>
      </x:c>
      <x:c r="I214" s="69" t="str"/>
      <x:c r="J214" s="69" t="str">
        <x:v>green pen, red block</x:v>
      </x:c>
      <x:c r="K214" s="69" t="str">
        <x:v>green pen</x:v>
      </x:c>
      <x:c r="L214" s="69" t="str">
        <x:v>Home</x:v>
      </x:c>
      <x:c r="M214" s="69" t="str">
        <x:v>Move the green pen near the red block.</x:v>
      </x:c>
      <x:c r="N214" s="69" t="str">
        <x:v>green pen, red block</x:v>
      </x:c>
      <x:c r="O214" s="69" t="str">
        <x:v>green pen</x:v>
      </x:c>
      <x:c r="P214" s="70" t="str">
        <x:v>Keep the exact successful mask: expose manipulation of the green-pen/red-block pair with a familiar near relation, without directional language.</x:v>
      </x:c>
    </x:row>
    <x:row r="215" ht="58" customHeight="1">
      <x:c r="A215" s="100" t="n">
        <x:v>213</x:v>
      </x:c>
      <x:c r="B215" s="69" t="str">
        <x:v>Relational Placement</x:v>
      </x:c>
      <x:c r="C215" s="69" t="str">
        <x:v>Place the green pen next to the red block.</x:v>
      </x:c>
      <x:c r="D215" s="69" t="str">
        <x:v>Masked unordered-pair composition</x:v>
      </x:c>
      <x:c r="E215" s="69" t="str">
        <x:v>near / beside / next to; physical exposure to the green-pen/red-block pair</x:v>
      </x:c>
      <x:c r="F215" s="69" t="str">
        <x:v>relational_masked_green_pen_red_block</x:v>
      </x:c>
      <x:c r="G215" s="69" t="str">
        <x:v>direction × unordered {green pen, red block} pair, in both target/reference directions</x:v>
      </x:c>
      <x:c r="H215" s="69" t="str">
        <x:v>No</x:v>
      </x:c>
      <x:c r="I215" s="69" t="str"/>
      <x:c r="J215" s="69" t="str">
        <x:v>green pen, red block, pink marker</x:v>
      </x:c>
      <x:c r="K215" s="69" t="str">
        <x:v>green pen</x:v>
      </x:c>
      <x:c r="L215" s="69" t="str">
        <x:v>Home</x:v>
      </x:c>
      <x:c r="M215" s="69" t="str">
        <x:v>Place the green pen next to the red block.</x:v>
      </x:c>
      <x:c r="N215" s="69" t="str">
        <x:v>green pen, red block, pink marker</x:v>
      </x:c>
      <x:c r="O215" s="69" t="str">
        <x:v>green pen</x:v>
      </x:c>
      <x:c r="P215" s="70" t="str">
        <x:v>Keep the exact successful mask: expose manipulation of the green-pen/red-block pair with a familiar near relation, without directional language.</x:v>
      </x:c>
    </x:row>
    <x:row r="216" ht="58" customHeight="1">
      <x:c r="A216" s="100" t="n">
        <x:v>214</x:v>
      </x:c>
      <x:c r="B216" s="69" t="str">
        <x:v>Relational Placement</x:v>
      </x:c>
      <x:c r="C216" s="69" t="str">
        <x:v>Put the green pen beside the red block.</x:v>
      </x:c>
      <x:c r="D216" s="69" t="str">
        <x:v>Masked unordered-pair composition</x:v>
      </x:c>
      <x:c r="E216" s="69" t="str">
        <x:v>near / beside / next to; physical exposure to the green-pen/red-block pair</x:v>
      </x:c>
      <x:c r="F216" s="69" t="str">
        <x:v>relational_masked_green_pen_red_block</x:v>
      </x:c>
      <x:c r="G216" s="69" t="str">
        <x:v>direction × unordered {green pen, red block} pair, in both target/reference directions</x:v>
      </x:c>
      <x:c r="H216" s="69" t="str">
        <x:v>No</x:v>
      </x:c>
      <x:c r="I216" s="69" t="str"/>
      <x:c r="J216" s="69" t="str">
        <x:v>green pen, red block, pink marker, blue block</x:v>
      </x:c>
      <x:c r="K216" s="69" t="str">
        <x:v>green pen</x:v>
      </x:c>
      <x:c r="L216" s="69" t="str">
        <x:v>Home</x:v>
      </x:c>
      <x:c r="M216" s="69" t="str">
        <x:v>Put the green pen beside the red block.</x:v>
      </x:c>
      <x:c r="N216" s="69" t="str">
        <x:v>green pen, red block, pink marker, blue block</x:v>
      </x:c>
      <x:c r="O216" s="69" t="str">
        <x:v>green pen</x:v>
      </x:c>
      <x:c r="P216" s="70" t="str">
        <x:v>Keep the exact successful mask: expose manipulation of the green-pen/red-block pair with a familiar near relation, without directional language.</x:v>
      </x:c>
    </x:row>
    <x:row r="217" ht="58" customHeight="1">
      <x:c r="A217" s="100" t="n">
        <x:v>215</x:v>
      </x:c>
      <x:c r="B217" s="69" t="str">
        <x:v>Relational Placement</x:v>
      </x:c>
      <x:c r="C217" s="69" t="str">
        <x:v>Move the green pen near the red block.</x:v>
      </x:c>
      <x:c r="D217" s="69" t="str">
        <x:v>Masked unordered-pair composition</x:v>
      </x:c>
      <x:c r="E217" s="69" t="str">
        <x:v>near / beside / next to; physical exposure to the green-pen/red-block pair</x:v>
      </x:c>
      <x:c r="F217" s="69" t="str">
        <x:v>relational_masked_green_pen_red_block</x:v>
      </x:c>
      <x:c r="G217" s="69" t="str">
        <x:v>direction × unordered {green pen, red block} pair, in both target/reference directions</x:v>
      </x:c>
      <x:c r="H217" s="69" t="str">
        <x:v>No</x:v>
      </x:c>
      <x:c r="I217" s="69" t="str"/>
      <x:c r="J217" s="69" t="str">
        <x:v>green pen, red block, blue block</x:v>
      </x:c>
      <x:c r="K217" s="69" t="str">
        <x:v>green pen</x:v>
      </x:c>
      <x:c r="L217" s="69" t="str">
        <x:v>Recovery</x:v>
      </x:c>
      <x:c r="M217" s="69" t="str">
        <x:v>Move the green pen near the red block.</x:v>
      </x:c>
      <x:c r="N217" s="69" t="str">
        <x:v>green pen, red block, blue block</x:v>
      </x:c>
      <x:c r="O217" s="69" t="str">
        <x:v>green pen</x:v>
      </x:c>
      <x:c r="P217" s="70" t="str">
        <x:v>Keep the exact successful mask: expose manipulation of the green-pen/red-block pair with a familiar near relation, without directional language.</x:v>
      </x:c>
    </x:row>
    <x:row r="218" ht="58" customHeight="1">
      <x:c r="A218" s="100" t="n">
        <x:v>216</x:v>
      </x:c>
      <x:c r="B218" s="69" t="str">
        <x:v>Relational Placement</x:v>
      </x:c>
      <x:c r="C218" s="69" t="str">
        <x:v>Place the green pen next to the red block.</x:v>
      </x:c>
      <x:c r="D218" s="69" t="str">
        <x:v>Masked unordered-pair composition</x:v>
      </x:c>
      <x:c r="E218" s="69" t="str">
        <x:v>near / beside / next to; physical exposure to the green-pen/red-block pair</x:v>
      </x:c>
      <x:c r="F218" s="69" t="str">
        <x:v>relational_masked_green_pen_red_block</x:v>
      </x:c>
      <x:c r="G218" s="69" t="str">
        <x:v>direction × unordered {green pen, red block} pair, in both target/reference directions</x:v>
      </x:c>
      <x:c r="H218" s="69" t="str">
        <x:v>No</x:v>
      </x:c>
      <x:c r="I218" s="69" t="str"/>
      <x:c r="J218" s="69" t="str">
        <x:v>green pen, red block, pink marker, blue block</x:v>
      </x:c>
      <x:c r="K218" s="69" t="str">
        <x:v>green pen</x:v>
      </x:c>
      <x:c r="L218" s="69" t="str">
        <x:v>Home</x:v>
      </x:c>
      <x:c r="M218" s="69" t="str">
        <x:v>Place the green pen next to the red block.</x:v>
      </x:c>
      <x:c r="N218" s="69" t="str">
        <x:v>green pen, red block, pink marker, blue block</x:v>
      </x:c>
      <x:c r="O218" s="69" t="str">
        <x:v>green pen</x:v>
      </x:c>
      <x:c r="P218" s="70" t="str">
        <x:v>Keep the exact successful mask: expose manipulation of the green-pen/red-block pair with a familiar near relation, without directional language.</x:v>
      </x:c>
    </x:row>
    <x:row r="219" ht="58" customHeight="1">
      <x:c r="A219" s="100" t="n">
        <x:v>217</x:v>
      </x:c>
      <x:c r="B219" s="69" t="str">
        <x:v>Relational Placement</x:v>
      </x:c>
      <x:c r="C219" s="69" t="str">
        <x:v>Move the green pen to the back of the pink marker.</x:v>
      </x:c>
      <x:c r="D219" s="69" t="str">
        <x:v>Explicit spatial-relation grounding</x:v>
      </x:c>
      <x:c r="E219" s="69" t="str">
        <x:v>front / behind / left / right</x:v>
      </x:c>
      <x:c r="F219" s="69" t="str">
        <x:v>relational_explicit_direction</x:v>
      </x:c>
      <x:c r="G219" s="69" t="str">
        <x:v>direction × unordered {green pen, red block} pair, in both target/reference directions</x:v>
      </x:c>
      <x:c r="H219" s="69" t="str">
        <x:v>No</x:v>
      </x:c>
      <x:c r="I219" s="69" t="str"/>
      <x:c r="J219" s="69" t="str">
        <x:v>green pen, pink marker</x:v>
      </x:c>
      <x:c r="K219" s="69" t="str">
        <x:v>green pen</x:v>
      </x:c>
      <x:c r="L219" s="69" t="str">
        <x:v>Home</x:v>
      </x:c>
      <x:c r="M219" s="69" t="str">
        <x:v>Move the green pen to the back of the pink marker.</x:v>
      </x:c>
      <x:c r="N219" s="69" t="str">
        <x:v>green pen, pink marker</x:v>
      </x:c>
      <x:c r="O219" s="69" t="str">
        <x:v>green pen</x:v>
      </x:c>
      <x:c r="P219" s="70" t="str">
        <x:v>Explicitly grounds directional language on other ordered object pairs.</x:v>
      </x:c>
    </x:row>
    <x:row r="220" ht="58" customHeight="1">
      <x:c r="A220" s="100" t="n">
        <x:v>218</x:v>
      </x:c>
      <x:c r="B220" s="69" t="str">
        <x:v>Relational Placement</x:v>
      </x:c>
      <x:c r="C220" s="69" t="str">
        <x:v>Place the green pen behind the pink marker.</x:v>
      </x:c>
      <x:c r="D220" s="69" t="str">
        <x:v>Explicit spatial-relation grounding</x:v>
      </x:c>
      <x:c r="E220" s="69" t="str">
        <x:v>front / behind / left / right</x:v>
      </x:c>
      <x:c r="F220" s="69" t="str">
        <x:v>relational_explicit_direction</x:v>
      </x:c>
      <x:c r="G220" s="69" t="str">
        <x:v>direction × unordered {green pen, red block} pair, in both target/reference directions</x:v>
      </x:c>
      <x:c r="H220" s="69" t="str">
        <x:v>No</x:v>
      </x:c>
      <x:c r="I220" s="69" t="str"/>
      <x:c r="J220" s="69" t="str">
        <x:v>green pen, pink marker, red block</x:v>
      </x:c>
      <x:c r="K220" s="69" t="str">
        <x:v>green pen</x:v>
      </x:c>
      <x:c r="L220" s="69" t="str">
        <x:v>Home</x:v>
      </x:c>
      <x:c r="M220" s="69" t="str">
        <x:v>Place the green pen behind the pink marker.</x:v>
      </x:c>
      <x:c r="N220" s="69" t="str">
        <x:v>green pen, pink marker, red block</x:v>
      </x:c>
      <x:c r="O220" s="69" t="str">
        <x:v>green pen</x:v>
      </x:c>
      <x:c r="P220" s="70" t="str">
        <x:v>Explicitly grounds directional language on other ordered object pairs.</x:v>
      </x:c>
    </x:row>
    <x:row r="221" ht="58" customHeight="1">
      <x:c r="A221" s="100" t="n">
        <x:v>219</x:v>
      </x:c>
      <x:c r="B221" s="69" t="str">
        <x:v>Relational Placement</x:v>
      </x:c>
      <x:c r="C221" s="69" t="str">
        <x:v>Place the green pen behind the pink marker.</x:v>
      </x:c>
      <x:c r="D221" s="69" t="str">
        <x:v>Explicit spatial-relation grounding</x:v>
      </x:c>
      <x:c r="E221" s="69" t="str">
        <x:v>front / behind / left / right</x:v>
      </x:c>
      <x:c r="F221" s="69" t="str">
        <x:v>relational_explicit_direction</x:v>
      </x:c>
      <x:c r="G221" s="69" t="str">
        <x:v>direction × unordered {green pen, red block} pair, in both target/reference directions</x:v>
      </x:c>
      <x:c r="H221" s="69" t="str">
        <x:v>No</x:v>
      </x:c>
      <x:c r="I221" s="69" t="str"/>
      <x:c r="J221" s="69" t="str">
        <x:v>green pen, red block, pink marker, blue block</x:v>
      </x:c>
      <x:c r="K221" s="69" t="str">
        <x:v>green pen</x:v>
      </x:c>
      <x:c r="L221" s="69" t="str">
        <x:v>Home</x:v>
      </x:c>
      <x:c r="M221" s="69" t="str">
        <x:v>Place the green pen behind the pink marker.</x:v>
      </x:c>
      <x:c r="N221" s="69" t="str">
        <x:v>green pen, red block, pink marker, blue block</x:v>
      </x:c>
      <x:c r="O221" s="69" t="str">
        <x:v>green pen</x:v>
      </x:c>
      <x:c r="P221" s="70" t="str">
        <x:v>Explicitly grounds directional language on other ordered object pairs.</x:v>
      </x:c>
    </x:row>
    <x:row r="222" ht="58" customHeight="1">
      <x:c r="A222" s="100" t="n">
        <x:v>220</x:v>
      </x:c>
      <x:c r="B222" s="69" t="str">
        <x:v>Relational Placement</x:v>
      </x:c>
      <x:c r="C222" s="69" t="str">
        <x:v>Place the green pen behind the pink marker.</x:v>
      </x:c>
      <x:c r="D222" s="69" t="str">
        <x:v>Explicit spatial-relation grounding</x:v>
      </x:c>
      <x:c r="E222" s="69" t="str">
        <x:v>front / behind / left / right</x:v>
      </x:c>
      <x:c r="F222" s="69" t="str">
        <x:v>relational_explicit_direction</x:v>
      </x:c>
      <x:c r="G222" s="69" t="str">
        <x:v>direction × unordered {green pen, red block} pair, in both target/reference directions</x:v>
      </x:c>
      <x:c r="H222" s="69" t="str">
        <x:v>No</x:v>
      </x:c>
      <x:c r="I222" s="69" t="str"/>
      <x:c r="J222" s="69" t="str">
        <x:v>green pen, pink marker, blue block</x:v>
      </x:c>
      <x:c r="K222" s="69" t="str">
        <x:v>green pen</x:v>
      </x:c>
      <x:c r="L222" s="69" t="str">
        <x:v>Recovery</x:v>
      </x:c>
      <x:c r="M222" s="69" t="str">
        <x:v>Place the green pen behind the pink marker.</x:v>
      </x:c>
      <x:c r="N222" s="69" t="str">
        <x:v>green pen, pink marker, blue block</x:v>
      </x:c>
      <x:c r="O222" s="69" t="str">
        <x:v>green pen</x:v>
      </x:c>
      <x:c r="P222" s="70" t="str">
        <x:v>Explicitly grounds directional language on other ordered object pairs.</x:v>
      </x:c>
    </x:row>
    <x:row r="223" ht="58" customHeight="1">
      <x:c r="A223" s="100" t="n">
        <x:v>221</x:v>
      </x:c>
      <x:c r="B223" s="69" t="str">
        <x:v>Relational Placement</x:v>
      </x:c>
      <x:c r="C223" s="69" t="str">
        <x:v>Move the green pen to the back of the blue block.</x:v>
      </x:c>
      <x:c r="D223" s="69" t="str">
        <x:v>Explicit spatial-relation grounding</x:v>
      </x:c>
      <x:c r="E223" s="69" t="str">
        <x:v>front / behind / left / right</x:v>
      </x:c>
      <x:c r="F223" s="69" t="str">
        <x:v>relational_explicit_direction</x:v>
      </x:c>
      <x:c r="G223" s="69" t="str">
        <x:v>direction × unordered {green pen, red block} pair, in both target/reference directions</x:v>
      </x:c>
      <x:c r="H223" s="69" t="str">
        <x:v>No</x:v>
      </x:c>
      <x:c r="I223" s="69" t="str"/>
      <x:c r="J223" s="69" t="str">
        <x:v>green pen, blue block</x:v>
      </x:c>
      <x:c r="K223" s="69" t="str">
        <x:v>green pen</x:v>
      </x:c>
      <x:c r="L223" s="69" t="str">
        <x:v>Home</x:v>
      </x:c>
      <x:c r="M223" s="69" t="str">
        <x:v>Move the green pen to the back of the blue block.</x:v>
      </x:c>
      <x:c r="N223" s="69" t="str">
        <x:v>green pen, blue block</x:v>
      </x:c>
      <x:c r="O223" s="69" t="str">
        <x:v>green pen</x:v>
      </x:c>
      <x:c r="P223" s="70" t="str">
        <x:v>Explicitly grounds directional language on other ordered object pairs.</x:v>
      </x:c>
    </x:row>
    <x:row r="224" ht="58" customHeight="1">
      <x:c r="A224" s="100" t="n">
        <x:v>222</x:v>
      </x:c>
      <x:c r="B224" s="69" t="str">
        <x:v>Relational Placement</x:v>
      </x:c>
      <x:c r="C224" s="69" t="str">
        <x:v>Move the green pen to the back of the blue block.</x:v>
      </x:c>
      <x:c r="D224" s="69" t="str">
        <x:v>Explicit spatial-relation grounding</x:v>
      </x:c>
      <x:c r="E224" s="69" t="str">
        <x:v>front / behind / left / right</x:v>
      </x:c>
      <x:c r="F224" s="69" t="str">
        <x:v>relational_explicit_direction</x:v>
      </x:c>
      <x:c r="G224" s="69" t="str">
        <x:v>direction × unordered {green pen, red block} pair, in both target/reference directions</x:v>
      </x:c>
      <x:c r="H224" s="69" t="str">
        <x:v>No</x:v>
      </x:c>
      <x:c r="I224" s="69" t="str"/>
      <x:c r="J224" s="69" t="str">
        <x:v>green pen, blue block, red block</x:v>
      </x:c>
      <x:c r="K224" s="69" t="str">
        <x:v>green pen</x:v>
      </x:c>
      <x:c r="L224" s="69" t="str">
        <x:v>Home</x:v>
      </x:c>
      <x:c r="M224" s="69" t="str">
        <x:v>Move the green pen to the back of the blue block.</x:v>
      </x:c>
      <x:c r="N224" s="69" t="str">
        <x:v>green pen, blue block, red block</x:v>
      </x:c>
      <x:c r="O224" s="69" t="str">
        <x:v>green pen</x:v>
      </x:c>
      <x:c r="P224" s="70" t="str">
        <x:v>Explicitly grounds directional language on other ordered object pairs.</x:v>
      </x:c>
    </x:row>
    <x:row r="225" ht="58" customHeight="1">
      <x:c r="A225" s="100" t="n">
        <x:v>223</x:v>
      </x:c>
      <x:c r="B225" s="69" t="str">
        <x:v>Relational Placement</x:v>
      </x:c>
      <x:c r="C225" s="69" t="str">
        <x:v>Put the green pen on the table behind the blue block.</x:v>
      </x:c>
      <x:c r="D225" s="69" t="str">
        <x:v>Explicit spatial-relation grounding</x:v>
      </x:c>
      <x:c r="E225" s="69" t="str">
        <x:v>front / behind / left / right</x:v>
      </x:c>
      <x:c r="F225" s="69" t="str">
        <x:v>relational_explicit_direction</x:v>
      </x:c>
      <x:c r="G225" s="69" t="str">
        <x:v>direction × unordered {green pen, red block} pair, in both target/reference directions</x:v>
      </x:c>
      <x:c r="H225" s="69" t="str">
        <x:v>No</x:v>
      </x:c>
      <x:c r="I225" s="69" t="str"/>
      <x:c r="J225" s="69" t="str">
        <x:v>green pen, red block, pink marker, blue block</x:v>
      </x:c>
      <x:c r="K225" s="69" t="str">
        <x:v>green pen</x:v>
      </x:c>
      <x:c r="L225" s="69" t="str">
        <x:v>Home</x:v>
      </x:c>
      <x:c r="M225" s="69" t="str">
        <x:v>Put the green pen on the table behind the blue block.</x:v>
      </x:c>
      <x:c r="N225" s="69" t="str">
        <x:v>green pen, red block, pink marker, blue block</x:v>
      </x:c>
      <x:c r="O225" s="69" t="str">
        <x:v>green pen</x:v>
      </x:c>
      <x:c r="P225" s="70" t="str">
        <x:v>Explicitly grounds directional language on other ordered object pairs.</x:v>
      </x:c>
    </x:row>
    <x:row r="226" ht="58" customHeight="1">
      <x:c r="A226" s="100" t="n">
        <x:v>224</x:v>
      </x:c>
      <x:c r="B226" s="69" t="str">
        <x:v>Relational Placement</x:v>
      </x:c>
      <x:c r="C226" s="69" t="str">
        <x:v>Put the green pen on the table behind the blue block.</x:v>
      </x:c>
      <x:c r="D226" s="69" t="str">
        <x:v>Explicit spatial-relation grounding</x:v>
      </x:c>
      <x:c r="E226" s="69" t="str">
        <x:v>front / behind / left / right</x:v>
      </x:c>
      <x:c r="F226" s="69" t="str">
        <x:v>relational_explicit_direction</x:v>
      </x:c>
      <x:c r="G226" s="69" t="str">
        <x:v>direction × unordered {green pen, red block} pair, in both target/reference directions</x:v>
      </x:c>
      <x:c r="H226" s="69" t="str">
        <x:v>No</x:v>
      </x:c>
      <x:c r="I226" s="69" t="str"/>
      <x:c r="J226" s="69" t="str">
        <x:v>green pen, blue block, pink marker</x:v>
      </x:c>
      <x:c r="K226" s="69" t="str">
        <x:v>green pen</x:v>
      </x:c>
      <x:c r="L226" s="69" t="str">
        <x:v>Recovery</x:v>
      </x:c>
      <x:c r="M226" s="69" t="str">
        <x:v>Put the green pen on the table behind the blue block.</x:v>
      </x:c>
      <x:c r="N226" s="69" t="str">
        <x:v>green pen, blue block, pink marker</x:v>
      </x:c>
      <x:c r="O226" s="69" t="str">
        <x:v>green pen</x:v>
      </x:c>
      <x:c r="P226" s="70" t="str">
        <x:v>Explicitly grounds directional language on other ordered object pairs.</x:v>
      </x:c>
    </x:row>
    <x:row r="227" ht="58" customHeight="1">
      <x:c r="A227" s="100" t="n">
        <x:v>225</x:v>
      </x:c>
      <x:c r="B227" s="69" t="str">
        <x:v>Relational Placement</x:v>
      </x:c>
      <x:c r="C227" s="69" t="str">
        <x:v>Place the green pen next to the red block.</x:v>
      </x:c>
      <x:c r="D227" s="69" t="str">
        <x:v>Masked unordered-pair composition</x:v>
      </x:c>
      <x:c r="E227" s="69" t="str">
        <x:v>near / beside / next to; physical exposure to the green-pen/red-block pair</x:v>
      </x:c>
      <x:c r="F227" s="69" t="str">
        <x:v>relational_masked_green_pen_red_block</x:v>
      </x:c>
      <x:c r="G227" s="69" t="str">
        <x:v>direction × unordered {green pen, red block} pair, in both target/reference directions</x:v>
      </x:c>
      <x:c r="H227" s="69" t="str">
        <x:v>No</x:v>
      </x:c>
      <x:c r="I227" s="69" t="str"/>
      <x:c r="J227" s="69" t="str">
        <x:v>green pen, red block</x:v>
      </x:c>
      <x:c r="K227" s="69" t="str">
        <x:v>green pen</x:v>
      </x:c>
      <x:c r="L227" s="69" t="str">
        <x:v>Home</x:v>
      </x:c>
      <x:c r="M227" s="69" t="str">
        <x:v>Place the green pen next to the red block.</x:v>
      </x:c>
      <x:c r="N227" s="69" t="str">
        <x:v>green pen, red block</x:v>
      </x:c>
      <x:c r="O227" s="69" t="str">
        <x:v>green pen</x:v>
      </x:c>
      <x:c r="P227" s="70" t="str">
        <x:v>Keep the exact successful mask: expose manipulation of the green-pen/red-block pair with a familiar near relation, without directional language.</x:v>
      </x:c>
    </x:row>
    <x:row r="228" ht="58" customHeight="1">
      <x:c r="A228" s="100" t="n">
        <x:v>226</x:v>
      </x:c>
      <x:c r="B228" s="69" t="str">
        <x:v>Relational Placement</x:v>
      </x:c>
      <x:c r="C228" s="69" t="str">
        <x:v>Put the green pen beside the red block.</x:v>
      </x:c>
      <x:c r="D228" s="69" t="str">
        <x:v>Masked unordered-pair composition</x:v>
      </x:c>
      <x:c r="E228" s="69" t="str">
        <x:v>near / beside / next to; physical exposure to the green-pen/red-block pair</x:v>
      </x:c>
      <x:c r="F228" s="69" t="str">
        <x:v>relational_masked_green_pen_red_block</x:v>
      </x:c>
      <x:c r="G228" s="69" t="str">
        <x:v>direction × unordered {green pen, red block} pair, in both target/reference directions</x:v>
      </x:c>
      <x:c r="H228" s="69" t="str">
        <x:v>No</x:v>
      </x:c>
      <x:c r="I228" s="69" t="str"/>
      <x:c r="J228" s="69" t="str">
        <x:v>green pen, red block, pink marker</x:v>
      </x:c>
      <x:c r="K228" s="69" t="str">
        <x:v>green pen</x:v>
      </x:c>
      <x:c r="L228" s="69" t="str">
        <x:v>Home</x:v>
      </x:c>
      <x:c r="M228" s="69" t="str">
        <x:v>Put the green pen beside the red block.</x:v>
      </x:c>
      <x:c r="N228" s="69" t="str">
        <x:v>green pen, red block, pink marker</x:v>
      </x:c>
      <x:c r="O228" s="69" t="str">
        <x:v>green pen</x:v>
      </x:c>
      <x:c r="P228" s="70" t="str">
        <x:v>Keep the exact successful mask: expose manipulation of the green-pen/red-block pair with a familiar near relation, without directional language.</x:v>
      </x:c>
    </x:row>
    <x:row r="229" ht="58" customHeight="1">
      <x:c r="A229" s="100" t="n">
        <x:v>227</x:v>
      </x:c>
      <x:c r="B229" s="69" t="str">
        <x:v>Relational Placement</x:v>
      </x:c>
      <x:c r="C229" s="69" t="str">
        <x:v>Move the green pen near the red block.</x:v>
      </x:c>
      <x:c r="D229" s="69" t="str">
        <x:v>Masked unordered-pair composition</x:v>
      </x:c>
      <x:c r="E229" s="69" t="str">
        <x:v>near / beside / next to; physical exposure to the green-pen/red-block pair</x:v>
      </x:c>
      <x:c r="F229" s="69" t="str">
        <x:v>relational_masked_green_pen_red_block</x:v>
      </x:c>
      <x:c r="G229" s="69" t="str">
        <x:v>direction × unordered {green pen, red block} pair, in both target/reference directions</x:v>
      </x:c>
      <x:c r="H229" s="69" t="str">
        <x:v>No</x:v>
      </x:c>
      <x:c r="I229" s="69" t="str"/>
      <x:c r="J229" s="69" t="str">
        <x:v>green pen, red block, pink marker, blue block</x:v>
      </x:c>
      <x:c r="K229" s="69" t="str">
        <x:v>green pen</x:v>
      </x:c>
      <x:c r="L229" s="69" t="str">
        <x:v>Home</x:v>
      </x:c>
      <x:c r="M229" s="69" t="str">
        <x:v>Move the green pen near the red block.</x:v>
      </x:c>
      <x:c r="N229" s="69" t="str">
        <x:v>green pen, red block, pink marker, blue block</x:v>
      </x:c>
      <x:c r="O229" s="69" t="str">
        <x:v>green pen</x:v>
      </x:c>
      <x:c r="P229" s="70" t="str">
        <x:v>Keep the exact successful mask: expose manipulation of the green-pen/red-block pair with a familiar near relation, without directional language.</x:v>
      </x:c>
    </x:row>
    <x:row r="230" ht="58" customHeight="1">
      <x:c r="A230" s="100" t="n">
        <x:v>228</x:v>
      </x:c>
      <x:c r="B230" s="69" t="str">
        <x:v>Relational Placement</x:v>
      </x:c>
      <x:c r="C230" s="69" t="str">
        <x:v>Place the green pen next to the red block.</x:v>
      </x:c>
      <x:c r="D230" s="69" t="str">
        <x:v>Masked unordered-pair composition</x:v>
      </x:c>
      <x:c r="E230" s="69" t="str">
        <x:v>near / beside / next to; physical exposure to the green-pen/red-block pair</x:v>
      </x:c>
      <x:c r="F230" s="69" t="str">
        <x:v>relational_masked_green_pen_red_block</x:v>
      </x:c>
      <x:c r="G230" s="69" t="str">
        <x:v>direction × unordered {green pen, red block} pair, in both target/reference directions</x:v>
      </x:c>
      <x:c r="H230" s="69" t="str">
        <x:v>No</x:v>
      </x:c>
      <x:c r="I230" s="69" t="str"/>
      <x:c r="J230" s="69" t="str">
        <x:v>green pen, red block, blue block</x:v>
      </x:c>
      <x:c r="K230" s="69" t="str">
        <x:v>green pen</x:v>
      </x:c>
      <x:c r="L230" s="69" t="str">
        <x:v>Home</x:v>
      </x:c>
      <x:c r="M230" s="69" t="str">
        <x:v>Place the green pen next to the red block.</x:v>
      </x:c>
      <x:c r="N230" s="69" t="str">
        <x:v>green pen, red block, blue block</x:v>
      </x:c>
      <x:c r="O230" s="69" t="str">
        <x:v>green pen</x:v>
      </x:c>
      <x:c r="P230" s="70" t="str">
        <x:v>Keep the exact successful mask: expose manipulation of the green-pen/red-block pair with a familiar near relation, without directional language.</x:v>
      </x:c>
    </x:row>
    <x:row r="231" ht="58" customHeight="1">
      <x:c r="A231" s="100" t="n">
        <x:v>229</x:v>
      </x:c>
      <x:c r="B231" s="69" t="str">
        <x:v>Relational Placement</x:v>
      </x:c>
      <x:c r="C231" s="69" t="str">
        <x:v>Place the green pen to the left of the pink marker.</x:v>
      </x:c>
      <x:c r="D231" s="69" t="str">
        <x:v>Explicit spatial-relation grounding</x:v>
      </x:c>
      <x:c r="E231" s="69" t="str">
        <x:v>front / behind / left / right</x:v>
      </x:c>
      <x:c r="F231" s="69" t="str">
        <x:v>relational_explicit_direction</x:v>
      </x:c>
      <x:c r="G231" s="69" t="str">
        <x:v>direction × unordered {green pen, red block} pair, in both target/reference directions</x:v>
      </x:c>
      <x:c r="H231" s="69" t="str">
        <x:v>No</x:v>
      </x:c>
      <x:c r="I231" s="69" t="str"/>
      <x:c r="J231" s="69" t="str">
        <x:v>green pen, pink marker</x:v>
      </x:c>
      <x:c r="K231" s="69" t="str">
        <x:v>green pen</x:v>
      </x:c>
      <x:c r="L231" s="69" t="str">
        <x:v>Home</x:v>
      </x:c>
      <x:c r="M231" s="69" t="str">
        <x:v>Place the green pen to the left of the pink marker.</x:v>
      </x:c>
      <x:c r="N231" s="69" t="str">
        <x:v>green pen, pink marker</x:v>
      </x:c>
      <x:c r="O231" s="69" t="str">
        <x:v>green pen</x:v>
      </x:c>
      <x:c r="P231" s="70" t="str">
        <x:v>Explicitly grounds directional language on other ordered object pairs.</x:v>
      </x:c>
    </x:row>
    <x:row r="232" ht="58" customHeight="1">
      <x:c r="A232" s="100" t="n">
        <x:v>230</x:v>
      </x:c>
      <x:c r="B232" s="69" t="str">
        <x:v>Relational Placement</x:v>
      </x:c>
      <x:c r="C232" s="69" t="str">
        <x:v>Place the green pen to the left of the pink marker.</x:v>
      </x:c>
      <x:c r="D232" s="69" t="str">
        <x:v>Explicit spatial-relation grounding</x:v>
      </x:c>
      <x:c r="E232" s="69" t="str">
        <x:v>front / behind / left / right</x:v>
      </x:c>
      <x:c r="F232" s="69" t="str">
        <x:v>relational_explicit_direction</x:v>
      </x:c>
      <x:c r="G232" s="69" t="str">
        <x:v>direction × unordered {green pen, red block} pair, in both target/reference directions</x:v>
      </x:c>
      <x:c r="H232" s="69" t="str">
        <x:v>No</x:v>
      </x:c>
      <x:c r="I232" s="69" t="str"/>
      <x:c r="J232" s="69" t="str">
        <x:v>green pen, pink marker, red block</x:v>
      </x:c>
      <x:c r="K232" s="69" t="str">
        <x:v>green pen</x:v>
      </x:c>
      <x:c r="L232" s="69" t="str">
        <x:v>Home</x:v>
      </x:c>
      <x:c r="M232" s="69" t="str">
        <x:v>Place the green pen to the left of the pink marker.</x:v>
      </x:c>
      <x:c r="N232" s="69" t="str">
        <x:v>green pen, pink marker, red block</x:v>
      </x:c>
      <x:c r="O232" s="69" t="str">
        <x:v>green pen</x:v>
      </x:c>
      <x:c r="P232" s="70" t="str">
        <x:v>Explicitly grounds directional language on other ordered object pairs.</x:v>
      </x:c>
    </x:row>
    <x:row r="233" ht="58" customHeight="1">
      <x:c r="A233" s="100" t="n">
        <x:v>231</x:v>
      </x:c>
      <x:c r="B233" s="69" t="str">
        <x:v>Relational Placement</x:v>
      </x:c>
      <x:c r="C233" s="69" t="str">
        <x:v>Place the green pen to the left of the pink marker.</x:v>
      </x:c>
      <x:c r="D233" s="69" t="str">
        <x:v>Explicit spatial-relation grounding</x:v>
      </x:c>
      <x:c r="E233" s="69" t="str">
        <x:v>front / behind / left / right</x:v>
      </x:c>
      <x:c r="F233" s="69" t="str">
        <x:v>relational_explicit_direction</x:v>
      </x:c>
      <x:c r="G233" s="69" t="str">
        <x:v>direction × unordered {green pen, red block} pair, in both target/reference directions</x:v>
      </x:c>
      <x:c r="H233" s="69" t="str">
        <x:v>No</x:v>
      </x:c>
      <x:c r="I233" s="69" t="str"/>
      <x:c r="J233" s="69" t="str">
        <x:v>green pen, red block, pink marker, blue block</x:v>
      </x:c>
      <x:c r="K233" s="69" t="str">
        <x:v>green pen</x:v>
      </x:c>
      <x:c r="L233" s="69" t="str">
        <x:v>Home</x:v>
      </x:c>
      <x:c r="M233" s="69" t="str">
        <x:v>Place the green pen to the left of the pink marker.</x:v>
      </x:c>
      <x:c r="N233" s="69" t="str">
        <x:v>green pen, red block, pink marker, blue block</x:v>
      </x:c>
      <x:c r="O233" s="69" t="str">
        <x:v>green pen</x:v>
      </x:c>
      <x:c r="P233" s="70" t="str">
        <x:v>Explicitly grounds directional language on other ordered object pairs.</x:v>
      </x:c>
    </x:row>
    <x:row r="234" ht="58" customHeight="1">
      <x:c r="A234" s="100" t="n">
        <x:v>232</x:v>
      </x:c>
      <x:c r="B234" s="69" t="str">
        <x:v>Relational Placement</x:v>
      </x:c>
      <x:c r="C234" s="69" t="str">
        <x:v>Place the green pen to the left of the pink marker.</x:v>
      </x:c>
      <x:c r="D234" s="69" t="str">
        <x:v>Explicit spatial-relation grounding</x:v>
      </x:c>
      <x:c r="E234" s="69" t="str">
        <x:v>front / behind / left / right</x:v>
      </x:c>
      <x:c r="F234" s="69" t="str">
        <x:v>relational_explicit_direction</x:v>
      </x:c>
      <x:c r="G234" s="69" t="str">
        <x:v>direction × unordered {green pen, red block} pair, in both target/reference directions</x:v>
      </x:c>
      <x:c r="H234" s="69" t="str">
        <x:v>No</x:v>
      </x:c>
      <x:c r="I234" s="69" t="str"/>
      <x:c r="J234" s="69" t="str">
        <x:v>green pen, pink marker, blue block</x:v>
      </x:c>
      <x:c r="K234" s="69" t="str">
        <x:v>green pen</x:v>
      </x:c>
      <x:c r="L234" s="69" t="str">
        <x:v>Recovery</x:v>
      </x:c>
      <x:c r="M234" s="69" t="str">
        <x:v>Place the green pen to the left of the pink marker.</x:v>
      </x:c>
      <x:c r="N234" s="69" t="str">
        <x:v>green pen, pink marker, blue block</x:v>
      </x:c>
      <x:c r="O234" s="69" t="str">
        <x:v>green pen</x:v>
      </x:c>
      <x:c r="P234" s="70" t="str">
        <x:v>Explicitly grounds directional language on other ordered object pairs.</x:v>
      </x:c>
    </x:row>
    <x:row r="235" ht="58" customHeight="1">
      <x:c r="A235" s="100" t="n">
        <x:v>233</x:v>
      </x:c>
      <x:c r="B235" s="69" t="str">
        <x:v>Relational Placement</x:v>
      </x:c>
      <x:c r="C235" s="69" t="str">
        <x:v>Place the green pen to the left of the blue block.</x:v>
      </x:c>
      <x:c r="D235" s="69" t="str">
        <x:v>Explicit spatial-relation grounding</x:v>
      </x:c>
      <x:c r="E235" s="69" t="str">
        <x:v>front / behind / left / right</x:v>
      </x:c>
      <x:c r="F235" s="69" t="str">
        <x:v>relational_explicit_direction</x:v>
      </x:c>
      <x:c r="G235" s="69" t="str">
        <x:v>direction × unordered {green pen, red block} pair, in both target/reference directions</x:v>
      </x:c>
      <x:c r="H235" s="69" t="str">
        <x:v>No</x:v>
      </x:c>
      <x:c r="I235" s="69" t="str"/>
      <x:c r="J235" s="69" t="str">
        <x:v>green pen, blue block</x:v>
      </x:c>
      <x:c r="K235" s="69" t="str">
        <x:v>green pen</x:v>
      </x:c>
      <x:c r="L235" s="69" t="str">
        <x:v>Home</x:v>
      </x:c>
      <x:c r="M235" s="69" t="str">
        <x:v>Place the green pen to the left of the blue block.</x:v>
      </x:c>
      <x:c r="N235" s="69" t="str">
        <x:v>green pen, blue block</x:v>
      </x:c>
      <x:c r="O235" s="69" t="str">
        <x:v>green pen</x:v>
      </x:c>
      <x:c r="P235" s="70" t="str">
        <x:v>Explicitly grounds directional language on other ordered object pairs.</x:v>
      </x:c>
    </x:row>
    <x:row r="236" ht="58" customHeight="1">
      <x:c r="A236" s="100" t="n">
        <x:v>234</x:v>
      </x:c>
      <x:c r="B236" s="69" t="str">
        <x:v>Relational Placement</x:v>
      </x:c>
      <x:c r="C236" s="69" t="str">
        <x:v>Place the green pen to the left of the blue block.</x:v>
      </x:c>
      <x:c r="D236" s="69" t="str">
        <x:v>Explicit spatial-relation grounding</x:v>
      </x:c>
      <x:c r="E236" s="69" t="str">
        <x:v>front / behind / left / right</x:v>
      </x:c>
      <x:c r="F236" s="69" t="str">
        <x:v>relational_explicit_direction</x:v>
      </x:c>
      <x:c r="G236" s="69" t="str">
        <x:v>direction × unordered {green pen, red block} pair, in both target/reference directions</x:v>
      </x:c>
      <x:c r="H236" s="69" t="str">
        <x:v>No</x:v>
      </x:c>
      <x:c r="I236" s="69" t="str"/>
      <x:c r="J236" s="69" t="str">
        <x:v>green pen, blue block, red block</x:v>
      </x:c>
      <x:c r="K236" s="69" t="str">
        <x:v>green pen</x:v>
      </x:c>
      <x:c r="L236" s="69" t="str">
        <x:v>Home</x:v>
      </x:c>
      <x:c r="M236" s="69" t="str">
        <x:v>Place the green pen to the left of the blue block.</x:v>
      </x:c>
      <x:c r="N236" s="69" t="str">
        <x:v>green pen, blue block, red block</x:v>
      </x:c>
      <x:c r="O236" s="69" t="str">
        <x:v>green pen</x:v>
      </x:c>
      <x:c r="P236" s="70" t="str">
        <x:v>Explicitly grounds directional language on other ordered object pairs.</x:v>
      </x:c>
    </x:row>
    <x:row r="237" ht="58" customHeight="1">
      <x:c r="A237" s="100" t="n">
        <x:v>235</x:v>
      </x:c>
      <x:c r="B237" s="69" t="str">
        <x:v>Relational Placement</x:v>
      </x:c>
      <x:c r="C237" s="69" t="str">
        <x:v>Place the green pen to the left of the blue block.</x:v>
      </x:c>
      <x:c r="D237" s="69" t="str">
        <x:v>Explicit spatial-relation grounding</x:v>
      </x:c>
      <x:c r="E237" s="69" t="str">
        <x:v>front / behind / left / right</x:v>
      </x:c>
      <x:c r="F237" s="69" t="str">
        <x:v>relational_explicit_direction</x:v>
      </x:c>
      <x:c r="G237" s="69" t="str">
        <x:v>direction × unordered {green pen, red block} pair, in both target/reference directions</x:v>
      </x:c>
      <x:c r="H237" s="69" t="str">
        <x:v>No</x:v>
      </x:c>
      <x:c r="I237" s="69" t="str"/>
      <x:c r="J237" s="69" t="str">
        <x:v>green pen, red block, pink marker, blue block</x:v>
      </x:c>
      <x:c r="K237" s="69" t="str">
        <x:v>green pen</x:v>
      </x:c>
      <x:c r="L237" s="69" t="str">
        <x:v>Home</x:v>
      </x:c>
      <x:c r="M237" s="69" t="str">
        <x:v>Place the green pen to the left of the blue block.</x:v>
      </x:c>
      <x:c r="N237" s="69" t="str">
        <x:v>green pen, red block, pink marker, blue block</x:v>
      </x:c>
      <x:c r="O237" s="69" t="str">
        <x:v>green pen</x:v>
      </x:c>
      <x:c r="P237" s="70" t="str">
        <x:v>Explicitly grounds directional language on other ordered object pairs.</x:v>
      </x:c>
    </x:row>
    <x:row r="238" ht="58" customHeight="1">
      <x:c r="A238" s="100" t="n">
        <x:v>236</x:v>
      </x:c>
      <x:c r="B238" s="69" t="str">
        <x:v>Relational Placement</x:v>
      </x:c>
      <x:c r="C238" s="69" t="str">
        <x:v>Place the green pen to the left of the blue block.</x:v>
      </x:c>
      <x:c r="D238" s="69" t="str">
        <x:v>Explicit spatial-relation grounding</x:v>
      </x:c>
      <x:c r="E238" s="69" t="str">
        <x:v>front / behind / left / right</x:v>
      </x:c>
      <x:c r="F238" s="69" t="str">
        <x:v>relational_explicit_direction</x:v>
      </x:c>
      <x:c r="G238" s="69" t="str">
        <x:v>direction × unordered {green pen, red block} pair, in both target/reference directions</x:v>
      </x:c>
      <x:c r="H238" s="69" t="str">
        <x:v>No</x:v>
      </x:c>
      <x:c r="I238" s="69" t="str"/>
      <x:c r="J238" s="69" t="str">
        <x:v>green pen, blue block, pink marker</x:v>
      </x:c>
      <x:c r="K238" s="69" t="str">
        <x:v>green pen</x:v>
      </x:c>
      <x:c r="L238" s="69" t="str">
        <x:v>Recovery</x:v>
      </x:c>
      <x:c r="M238" s="69" t="str">
        <x:v>Place the green pen to the left of the blue block.</x:v>
      </x:c>
      <x:c r="N238" s="69" t="str">
        <x:v>green pen, blue block, pink marker</x:v>
      </x:c>
      <x:c r="O238" s="69" t="str">
        <x:v>green pen</x:v>
      </x:c>
      <x:c r="P238" s="70" t="str">
        <x:v>Explicitly grounds directional language on other ordered object pairs.</x:v>
      </x:c>
    </x:row>
    <x:row r="239" ht="58" customHeight="1">
      <x:c r="A239" s="100" t="n">
        <x:v>237</x:v>
      </x:c>
      <x:c r="B239" s="69" t="str">
        <x:v>Relational Placement</x:v>
      </x:c>
      <x:c r="C239" s="69" t="str">
        <x:v>Place the green pen next to the red block.</x:v>
      </x:c>
      <x:c r="D239" s="69" t="str">
        <x:v>Masked unordered-pair composition</x:v>
      </x:c>
      <x:c r="E239" s="69" t="str">
        <x:v>near / beside / next to; physical exposure to the green-pen/red-block pair</x:v>
      </x:c>
      <x:c r="F239" s="69" t="str">
        <x:v>relational_masked_green_pen_red_block</x:v>
      </x:c>
      <x:c r="G239" s="69" t="str">
        <x:v>direction × unordered {green pen, red block} pair, in both target/reference directions</x:v>
      </x:c>
      <x:c r="H239" s="69" t="str">
        <x:v>No</x:v>
      </x:c>
      <x:c r="I239" s="69" t="str"/>
      <x:c r="J239" s="69" t="str">
        <x:v>green pen, red block</x:v>
      </x:c>
      <x:c r="K239" s="69" t="str">
        <x:v>green pen</x:v>
      </x:c>
      <x:c r="L239" s="69" t="str">
        <x:v>Home</x:v>
      </x:c>
      <x:c r="M239" s="69" t="str">
        <x:v>Place the green pen next to the red block.</x:v>
      </x:c>
      <x:c r="N239" s="69" t="str">
        <x:v>green pen, red block</x:v>
      </x:c>
      <x:c r="O239" s="69" t="str">
        <x:v>green pen</x:v>
      </x:c>
      <x:c r="P239" s="70" t="str">
        <x:v>Keep the exact successful mask: expose manipulation of the green-pen/red-block pair with a familiar near relation, without directional language.</x:v>
      </x:c>
    </x:row>
    <x:row r="240" ht="58" customHeight="1">
      <x:c r="A240" s="100" t="n">
        <x:v>238</x:v>
      </x:c>
      <x:c r="B240" s="69" t="str">
        <x:v>Relational Placement</x:v>
      </x:c>
      <x:c r="C240" s="69" t="str">
        <x:v>Put the green pen beside the red block.</x:v>
      </x:c>
      <x:c r="D240" s="69" t="str">
        <x:v>Masked unordered-pair composition</x:v>
      </x:c>
      <x:c r="E240" s="69" t="str">
        <x:v>near / beside / next to; physical exposure to the green-pen/red-block pair</x:v>
      </x:c>
      <x:c r="F240" s="69" t="str">
        <x:v>relational_masked_green_pen_red_block</x:v>
      </x:c>
      <x:c r="G240" s="69" t="str">
        <x:v>direction × unordered {green pen, red block} pair, in both target/reference directions</x:v>
      </x:c>
      <x:c r="H240" s="69" t="str">
        <x:v>No</x:v>
      </x:c>
      <x:c r="I240" s="69" t="str"/>
      <x:c r="J240" s="69" t="str">
        <x:v>green pen, red block, pink marker</x:v>
      </x:c>
      <x:c r="K240" s="69" t="str">
        <x:v>green pen</x:v>
      </x:c>
      <x:c r="L240" s="69" t="str">
        <x:v>Home</x:v>
      </x:c>
      <x:c r="M240" s="69" t="str">
        <x:v>Put the green pen beside the red block.</x:v>
      </x:c>
      <x:c r="N240" s="69" t="str">
        <x:v>green pen, red block, pink marker</x:v>
      </x:c>
      <x:c r="O240" s="69" t="str">
        <x:v>green pen</x:v>
      </x:c>
      <x:c r="P240" s="70" t="str">
        <x:v>Keep the exact successful mask: expose manipulation of the green-pen/red-block pair with a familiar near relation, without directional language.</x:v>
      </x:c>
    </x:row>
    <x:row r="241" ht="58" customHeight="1">
      <x:c r="A241" s="100" t="n">
        <x:v>239</x:v>
      </x:c>
      <x:c r="B241" s="69" t="str">
        <x:v>Relational Placement</x:v>
      </x:c>
      <x:c r="C241" s="69" t="str">
        <x:v>Move the green pen near the red block.</x:v>
      </x:c>
      <x:c r="D241" s="69" t="str">
        <x:v>Masked unordered-pair composition</x:v>
      </x:c>
      <x:c r="E241" s="69" t="str">
        <x:v>near / beside / next to; physical exposure to the green-pen/red-block pair</x:v>
      </x:c>
      <x:c r="F241" s="69" t="str">
        <x:v>relational_masked_green_pen_red_block</x:v>
      </x:c>
      <x:c r="G241" s="69" t="str">
        <x:v>direction × unordered {green pen, red block} pair, in both target/reference directions</x:v>
      </x:c>
      <x:c r="H241" s="69" t="str">
        <x:v>No</x:v>
      </x:c>
      <x:c r="I241" s="69" t="str"/>
      <x:c r="J241" s="69" t="str">
        <x:v>green pen, red block, pink marker, blue block</x:v>
      </x:c>
      <x:c r="K241" s="69" t="str">
        <x:v>green pen</x:v>
      </x:c>
      <x:c r="L241" s="69" t="str">
        <x:v>Home</x:v>
      </x:c>
      <x:c r="M241" s="69" t="str">
        <x:v>Move the green pen near the red block.</x:v>
      </x:c>
      <x:c r="N241" s="69" t="str">
        <x:v>green pen, red block, pink marker, blue block</x:v>
      </x:c>
      <x:c r="O241" s="69" t="str">
        <x:v>green pen</x:v>
      </x:c>
      <x:c r="P241" s="70" t="str">
        <x:v>Keep the exact successful mask: expose manipulation of the green-pen/red-block pair with a familiar near relation, without directional language.</x:v>
      </x:c>
    </x:row>
    <x:row r="242" ht="58" customHeight="1">
      <x:c r="A242" s="100" t="n">
        <x:v>240</x:v>
      </x:c>
      <x:c r="B242" s="69" t="str">
        <x:v>Relational Placement</x:v>
      </x:c>
      <x:c r="C242" s="69" t="str">
        <x:v>Place the green pen next to the red block.</x:v>
      </x:c>
      <x:c r="D242" s="69" t="str">
        <x:v>Masked unordered-pair composition</x:v>
      </x:c>
      <x:c r="E242" s="69" t="str">
        <x:v>near / beside / next to; physical exposure to the green-pen/red-block pair</x:v>
      </x:c>
      <x:c r="F242" s="69" t="str">
        <x:v>relational_masked_green_pen_red_block</x:v>
      </x:c>
      <x:c r="G242" s="69" t="str">
        <x:v>direction × unordered {green pen, red block} pair, in both target/reference directions</x:v>
      </x:c>
      <x:c r="H242" s="69" t="str">
        <x:v>No</x:v>
      </x:c>
      <x:c r="I242" s="69" t="str"/>
      <x:c r="J242" s="69" t="str">
        <x:v>green pen, red block, blue block</x:v>
      </x:c>
      <x:c r="K242" s="69" t="str">
        <x:v>green pen</x:v>
      </x:c>
      <x:c r="L242" s="69" t="str">
        <x:v>Recovery</x:v>
      </x:c>
      <x:c r="M242" s="69" t="str">
        <x:v>Place the green pen next to the red block.</x:v>
      </x:c>
      <x:c r="N242" s="69" t="str">
        <x:v>green pen, red block, blue block</x:v>
      </x:c>
      <x:c r="O242" s="69" t="str">
        <x:v>green pen</x:v>
      </x:c>
      <x:c r="P242" s="70" t="str">
        <x:v>Keep the exact successful mask: expose manipulation of the green-pen/red-block pair with a familiar near relation, without directional language.</x:v>
      </x:c>
    </x:row>
    <x:row r="243" ht="58" customHeight="1">
      <x:c r="A243" s="100" t="n">
        <x:v>241</x:v>
      </x:c>
      <x:c r="B243" s="69" t="str">
        <x:v>Relational Placement</x:v>
      </x:c>
      <x:c r="C243" s="69" t="str">
        <x:v>Put the green pen beside the red block.</x:v>
      </x:c>
      <x:c r="D243" s="69" t="str">
        <x:v>Masked unordered-pair composition</x:v>
      </x:c>
      <x:c r="E243" s="69" t="str">
        <x:v>near / beside / next to; physical exposure to the green-pen/red-block pair</x:v>
      </x:c>
      <x:c r="F243" s="69" t="str">
        <x:v>relational_masked_green_pen_red_block</x:v>
      </x:c>
      <x:c r="G243" s="69" t="str">
        <x:v>direction × unordered {green pen, red block} pair, in both target/reference directions</x:v>
      </x:c>
      <x:c r="H243" s="69" t="str">
        <x:v>No</x:v>
      </x:c>
      <x:c r="I243" s="69" t="str"/>
      <x:c r="J243" s="69" t="str">
        <x:v>green pen, red block, pink marker, blue block</x:v>
      </x:c>
      <x:c r="K243" s="69" t="str">
        <x:v>green pen</x:v>
      </x:c>
      <x:c r="L243" s="69" t="str">
        <x:v>Home</x:v>
      </x:c>
      <x:c r="M243" s="69" t="str">
        <x:v>Put the green pen beside the red block.</x:v>
      </x:c>
      <x:c r="N243" s="69" t="str">
        <x:v>green pen, red block, pink marker, blue block</x:v>
      </x:c>
      <x:c r="O243" s="69" t="str">
        <x:v>green pen</x:v>
      </x:c>
      <x:c r="P243" s="70" t="str">
        <x:v>Keep the exact successful mask: expose manipulation of the green-pen/red-block pair with a familiar near relation, without directional language.</x:v>
      </x:c>
    </x:row>
    <x:row r="244" ht="58" customHeight="1">
      <x:c r="A244" s="100" t="n">
        <x:v>242</x:v>
      </x:c>
      <x:c r="B244" s="69" t="str">
        <x:v>Relational Placement</x:v>
      </x:c>
      <x:c r="C244" s="69" t="str">
        <x:v>Place the green pen to the right of the pink marker.</x:v>
      </x:c>
      <x:c r="D244" s="69" t="str">
        <x:v>Explicit spatial-relation grounding</x:v>
      </x:c>
      <x:c r="E244" s="69" t="str">
        <x:v>front / behind / left / right</x:v>
      </x:c>
      <x:c r="F244" s="69" t="str">
        <x:v>relational_explicit_direction</x:v>
      </x:c>
      <x:c r="G244" s="69" t="str">
        <x:v>direction × unordered {green pen, red block} pair, in both target/reference directions</x:v>
      </x:c>
      <x:c r="H244" s="69" t="str">
        <x:v>No</x:v>
      </x:c>
      <x:c r="I244" s="69" t="str"/>
      <x:c r="J244" s="69" t="str">
        <x:v>green pen, pink marker</x:v>
      </x:c>
      <x:c r="K244" s="69" t="str">
        <x:v>green pen</x:v>
      </x:c>
      <x:c r="L244" s="69" t="str">
        <x:v>Home</x:v>
      </x:c>
      <x:c r="M244" s="69" t="str">
        <x:v>Place the green pen to the right of the pink marker.</x:v>
      </x:c>
      <x:c r="N244" s="69" t="str">
        <x:v>green pen, pink marker</x:v>
      </x:c>
      <x:c r="O244" s="69" t="str">
        <x:v>green pen</x:v>
      </x:c>
      <x:c r="P244" s="70" t="str">
        <x:v>Explicitly grounds directional language on other ordered object pairs.</x:v>
      </x:c>
    </x:row>
    <x:row r="245" ht="58" customHeight="1">
      <x:c r="A245" s="100" t="n">
        <x:v>243</x:v>
      </x:c>
      <x:c r="B245" s="69" t="str">
        <x:v>Relational Placement</x:v>
      </x:c>
      <x:c r="C245" s="69" t="str">
        <x:v>Place the green pen to the right of the pink marker.</x:v>
      </x:c>
      <x:c r="D245" s="69" t="str">
        <x:v>Explicit spatial-relation grounding</x:v>
      </x:c>
      <x:c r="E245" s="69" t="str">
        <x:v>front / behind / left / right</x:v>
      </x:c>
      <x:c r="F245" s="69" t="str">
        <x:v>relational_explicit_direction</x:v>
      </x:c>
      <x:c r="G245" s="69" t="str">
        <x:v>direction × unordered {green pen, red block} pair, in both target/reference directions</x:v>
      </x:c>
      <x:c r="H245" s="69" t="str">
        <x:v>No</x:v>
      </x:c>
      <x:c r="I245" s="69" t="str"/>
      <x:c r="J245" s="69" t="str">
        <x:v>green pen, pink marker, red block</x:v>
      </x:c>
      <x:c r="K245" s="69" t="str">
        <x:v>green pen</x:v>
      </x:c>
      <x:c r="L245" s="69" t="str">
        <x:v>Home</x:v>
      </x:c>
      <x:c r="M245" s="69" t="str">
        <x:v>Place the green pen to the right of the pink marker.</x:v>
      </x:c>
      <x:c r="N245" s="69" t="str">
        <x:v>green pen, pink marker, red block</x:v>
      </x:c>
      <x:c r="O245" s="69" t="str">
        <x:v>green pen</x:v>
      </x:c>
      <x:c r="P245" s="70" t="str">
        <x:v>Explicitly grounds directional language on other ordered object pairs.</x:v>
      </x:c>
    </x:row>
    <x:row r="246" ht="58" customHeight="1">
      <x:c r="A246" s="100" t="n">
        <x:v>244</x:v>
      </x:c>
      <x:c r="B246" s="69" t="str">
        <x:v>Relational Placement</x:v>
      </x:c>
      <x:c r="C246" s="69" t="str">
        <x:v>Place the green pen to the right of the pink marker.</x:v>
      </x:c>
      <x:c r="D246" s="69" t="str">
        <x:v>Explicit spatial-relation grounding</x:v>
      </x:c>
      <x:c r="E246" s="69" t="str">
        <x:v>front / behind / left / right</x:v>
      </x:c>
      <x:c r="F246" s="69" t="str">
        <x:v>relational_explicit_direction</x:v>
      </x:c>
      <x:c r="G246" s="69" t="str">
        <x:v>direction × unordered {green pen, red block} pair, in both target/reference directions</x:v>
      </x:c>
      <x:c r="H246" s="69" t="str">
        <x:v>No</x:v>
      </x:c>
      <x:c r="I246" s="69" t="str"/>
      <x:c r="J246" s="69" t="str">
        <x:v>green pen, red block, pink marker, blue block</x:v>
      </x:c>
      <x:c r="K246" s="69" t="str">
        <x:v>green pen</x:v>
      </x:c>
      <x:c r="L246" s="69" t="str">
        <x:v>Home</x:v>
      </x:c>
      <x:c r="M246" s="69" t="str">
        <x:v>Place the green pen to the right of the pink marker.</x:v>
      </x:c>
      <x:c r="N246" s="69" t="str">
        <x:v>green pen, red block, pink marker, blue block</x:v>
      </x:c>
      <x:c r="O246" s="69" t="str">
        <x:v>green pen</x:v>
      </x:c>
      <x:c r="P246" s="70" t="str">
        <x:v>Explicitly grounds directional language on other ordered object pairs.</x:v>
      </x:c>
    </x:row>
    <x:row r="247" ht="58" customHeight="1">
      <x:c r="A247" s="100" t="n">
        <x:v>245</x:v>
      </x:c>
      <x:c r="B247" s="69" t="str">
        <x:v>Relational Placement</x:v>
      </x:c>
      <x:c r="C247" s="69" t="str">
        <x:v>Place the green pen to the right of the pink marker.</x:v>
      </x:c>
      <x:c r="D247" s="69" t="str">
        <x:v>Explicit spatial-relation grounding</x:v>
      </x:c>
      <x:c r="E247" s="69" t="str">
        <x:v>front / behind / left / right</x:v>
      </x:c>
      <x:c r="F247" s="69" t="str">
        <x:v>relational_explicit_direction</x:v>
      </x:c>
      <x:c r="G247" s="69" t="str">
        <x:v>direction × unordered {green pen, red block} pair, in both target/reference directions</x:v>
      </x:c>
      <x:c r="H247" s="69" t="str">
        <x:v>No</x:v>
      </x:c>
      <x:c r="I247" s="69" t="str"/>
      <x:c r="J247" s="69" t="str">
        <x:v>green pen, pink marker, blue block</x:v>
      </x:c>
      <x:c r="K247" s="69" t="str">
        <x:v>green pen</x:v>
      </x:c>
      <x:c r="L247" s="69" t="str">
        <x:v>Recovery</x:v>
      </x:c>
      <x:c r="M247" s="69" t="str">
        <x:v>Place the green pen to the right of the pink marker.</x:v>
      </x:c>
      <x:c r="N247" s="69" t="str">
        <x:v>green pen, pink marker, blue block</x:v>
      </x:c>
      <x:c r="O247" s="69" t="str">
        <x:v>green pen</x:v>
      </x:c>
      <x:c r="P247" s="70" t="str">
        <x:v>Explicitly grounds directional language on other ordered object pairs.</x:v>
      </x:c>
    </x:row>
    <x:row r="248" ht="58" customHeight="1">
      <x:c r="A248" s="100" t="n">
        <x:v>246</x:v>
      </x:c>
      <x:c r="B248" s="69" t="str">
        <x:v>Relational Placement</x:v>
      </x:c>
      <x:c r="C248" s="69" t="str">
        <x:v>Place the green pen to the right of the blue block.</x:v>
      </x:c>
      <x:c r="D248" s="69" t="str">
        <x:v>Explicit spatial-relation grounding</x:v>
      </x:c>
      <x:c r="E248" s="69" t="str">
        <x:v>front / behind / left / right</x:v>
      </x:c>
      <x:c r="F248" s="69" t="str">
        <x:v>relational_explicit_direction</x:v>
      </x:c>
      <x:c r="G248" s="69" t="str">
        <x:v>direction × unordered {green pen, red block} pair, in both target/reference directions</x:v>
      </x:c>
      <x:c r="H248" s="69" t="str">
        <x:v>No</x:v>
      </x:c>
      <x:c r="I248" s="69" t="str"/>
      <x:c r="J248" s="69" t="str">
        <x:v>green pen, blue block</x:v>
      </x:c>
      <x:c r="K248" s="69" t="str">
        <x:v>green pen</x:v>
      </x:c>
      <x:c r="L248" s="69" t="str">
        <x:v>Home</x:v>
      </x:c>
      <x:c r="M248" s="69" t="str">
        <x:v>Place the green pen to the right of the blue block.</x:v>
      </x:c>
      <x:c r="N248" s="69" t="str">
        <x:v>green pen, blue block</x:v>
      </x:c>
      <x:c r="O248" s="69" t="str">
        <x:v>green pen</x:v>
      </x:c>
      <x:c r="P248" s="70" t="str">
        <x:v>Explicitly grounds directional language on other ordered object pairs.</x:v>
      </x:c>
    </x:row>
    <x:row r="249" ht="58" customHeight="1">
      <x:c r="A249" s="100" t="n">
        <x:v>247</x:v>
      </x:c>
      <x:c r="B249" s="69" t="str">
        <x:v>Relational Placement</x:v>
      </x:c>
      <x:c r="C249" s="69" t="str">
        <x:v>Place the green pen to the right of the blue block.</x:v>
      </x:c>
      <x:c r="D249" s="69" t="str">
        <x:v>Explicit spatial-relation grounding</x:v>
      </x:c>
      <x:c r="E249" s="69" t="str">
        <x:v>front / behind / left / right</x:v>
      </x:c>
      <x:c r="F249" s="69" t="str">
        <x:v>relational_explicit_direction</x:v>
      </x:c>
      <x:c r="G249" s="69" t="str">
        <x:v>direction × unordered {green pen, red block} pair, in both target/reference directions</x:v>
      </x:c>
      <x:c r="H249" s="69" t="str">
        <x:v>No</x:v>
      </x:c>
      <x:c r="I249" s="69" t="str"/>
      <x:c r="J249" s="69" t="str">
        <x:v>green pen, blue block, red block</x:v>
      </x:c>
      <x:c r="K249" s="69" t="str">
        <x:v>green pen</x:v>
      </x:c>
      <x:c r="L249" s="69" t="str">
        <x:v>Home</x:v>
      </x:c>
      <x:c r="M249" s="69" t="str">
        <x:v>Place the green pen to the right of the blue block.</x:v>
      </x:c>
      <x:c r="N249" s="69" t="str">
        <x:v>green pen, blue block, red block</x:v>
      </x:c>
      <x:c r="O249" s="69" t="str">
        <x:v>green pen</x:v>
      </x:c>
      <x:c r="P249" s="70" t="str">
        <x:v>Explicitly grounds directional language on other ordered object pairs.</x:v>
      </x:c>
    </x:row>
    <x:row r="250" ht="58" customHeight="1">
      <x:c r="A250" s="100" t="n">
        <x:v>248</x:v>
      </x:c>
      <x:c r="B250" s="69" t="str">
        <x:v>Relational Placement</x:v>
      </x:c>
      <x:c r="C250" s="69" t="str">
        <x:v>Place the green pen to the right of the blue block.</x:v>
      </x:c>
      <x:c r="D250" s="69" t="str">
        <x:v>Explicit spatial-relation grounding</x:v>
      </x:c>
      <x:c r="E250" s="69" t="str">
        <x:v>front / behind / left / right</x:v>
      </x:c>
      <x:c r="F250" s="69" t="str">
        <x:v>relational_explicit_direction</x:v>
      </x:c>
      <x:c r="G250" s="69" t="str">
        <x:v>direction × unordered {green pen, red block} pair, in both target/reference directions</x:v>
      </x:c>
      <x:c r="H250" s="69" t="str">
        <x:v>No</x:v>
      </x:c>
      <x:c r="I250" s="69" t="str"/>
      <x:c r="J250" s="69" t="str">
        <x:v>green pen, red block, pink marker, blue block</x:v>
      </x:c>
      <x:c r="K250" s="69" t="str">
        <x:v>green pen</x:v>
      </x:c>
      <x:c r="L250" s="69" t="str">
        <x:v>Home</x:v>
      </x:c>
      <x:c r="M250" s="69" t="str">
        <x:v>Place the green pen to the right of the blue block.</x:v>
      </x:c>
      <x:c r="N250" s="69" t="str">
        <x:v>green pen, red block, pink marker, blue block</x:v>
      </x:c>
      <x:c r="O250" s="69" t="str">
        <x:v>green pen</x:v>
      </x:c>
      <x:c r="P250" s="70" t="str">
        <x:v>Explicitly grounds directional language on other ordered object pairs.</x:v>
      </x:c>
    </x:row>
    <x:row r="251" ht="58" customHeight="1">
      <x:c r="A251" s="100" t="n">
        <x:v>249</x:v>
      </x:c>
      <x:c r="B251" s="69" t="str">
        <x:v>Relational Placement</x:v>
      </x:c>
      <x:c r="C251" s="69" t="str">
        <x:v>Place the green pen to the right of the blue block.</x:v>
      </x:c>
      <x:c r="D251" s="69" t="str">
        <x:v>Explicit spatial-relation grounding</x:v>
      </x:c>
      <x:c r="E251" s="69" t="str">
        <x:v>front / behind / left / right</x:v>
      </x:c>
      <x:c r="F251" s="69" t="str">
        <x:v>relational_explicit_direction</x:v>
      </x:c>
      <x:c r="G251" s="69" t="str">
        <x:v>direction × unordered {green pen, red block} pair, in both target/reference directions</x:v>
      </x:c>
      <x:c r="H251" s="69" t="str">
        <x:v>No</x:v>
      </x:c>
      <x:c r="I251" s="69" t="str"/>
      <x:c r="J251" s="69" t="str">
        <x:v>green pen, blue block, pink marker</x:v>
      </x:c>
      <x:c r="K251" s="69" t="str">
        <x:v>green pen</x:v>
      </x:c>
      <x:c r="L251" s="69" t="str">
        <x:v>Recovery</x:v>
      </x:c>
      <x:c r="M251" s="69" t="str">
        <x:v>Place the green pen to the right of the blue block.</x:v>
      </x:c>
      <x:c r="N251" s="69" t="str">
        <x:v>green pen, blue block, pink marker</x:v>
      </x:c>
      <x:c r="O251" s="69" t="str">
        <x:v>green pen</x:v>
      </x:c>
      <x:c r="P251" s="70" t="str">
        <x:v>Explicitly grounds directional language on other ordered object pairs.</x:v>
      </x:c>
    </x:row>
    <x:row r="252" ht="58" customHeight="1">
      <x:c r="A252" s="100" t="n">
        <x:v>250</x:v>
      </x:c>
      <x:c r="B252" s="69" t="str">
        <x:v>Relational Placement</x:v>
      </x:c>
      <x:c r="C252" s="69" t="str">
        <x:v>Move the red block to the front of the pink marker.</x:v>
      </x:c>
      <x:c r="D252" s="69" t="str">
        <x:v>Explicit spatial-relation grounding</x:v>
      </x:c>
      <x:c r="E252" s="69" t="str">
        <x:v>front / behind / left / right</x:v>
      </x:c>
      <x:c r="F252" s="69" t="str">
        <x:v>relational_explicit_direction</x:v>
      </x:c>
      <x:c r="G252" s="69" t="str">
        <x:v>direction × unordered {green pen, red block} pair, in both target/reference directions</x:v>
      </x:c>
      <x:c r="H252" s="69" t="str">
        <x:v>No</x:v>
      </x:c>
      <x:c r="I252" s="69" t="str"/>
      <x:c r="J252" s="69" t="str">
        <x:v>red block, pink marker</x:v>
      </x:c>
      <x:c r="K252" s="69" t="str">
        <x:v>red block</x:v>
      </x:c>
      <x:c r="L252" s="69" t="str">
        <x:v>Home</x:v>
      </x:c>
      <x:c r="M252" s="69" t="str">
        <x:v>Move the red block to the front of the pink marker.</x:v>
      </x:c>
      <x:c r="N252" s="69" t="str">
        <x:v>red block, pink marker</x:v>
      </x:c>
      <x:c r="O252" s="69" t="str">
        <x:v>red block</x:v>
      </x:c>
      <x:c r="P252" s="70" t="str">
        <x:v>Explicitly grounds directional language on other ordered object pairs.</x:v>
      </x:c>
    </x:row>
    <x:row r="253" ht="58" customHeight="1">
      <x:c r="A253" s="100" t="n">
        <x:v>251</x:v>
      </x:c>
      <x:c r="B253" s="69" t="str">
        <x:v>Relational Placement</x:v>
      </x:c>
      <x:c r="C253" s="69" t="str">
        <x:v>Put the red block on the table in front of the pink marker.</x:v>
      </x:c>
      <x:c r="D253" s="69" t="str">
        <x:v>Explicit spatial-relation grounding</x:v>
      </x:c>
      <x:c r="E253" s="69" t="str">
        <x:v>front / behind / left / right</x:v>
      </x:c>
      <x:c r="F253" s="69" t="str">
        <x:v>relational_explicit_direction</x:v>
      </x:c>
      <x:c r="G253" s="69" t="str">
        <x:v>direction × unordered {green pen, red block} pair, in both target/reference directions</x:v>
      </x:c>
      <x:c r="H253" s="69" t="str">
        <x:v>No</x:v>
      </x:c>
      <x:c r="I253" s="69" t="str"/>
      <x:c r="J253" s="69" t="str">
        <x:v>red block, pink marker, blue block</x:v>
      </x:c>
      <x:c r="K253" s="69" t="str">
        <x:v>red block</x:v>
      </x:c>
      <x:c r="L253" s="69" t="str">
        <x:v>Home</x:v>
      </x:c>
      <x:c r="M253" s="69" t="str">
        <x:v>Put the red block on the table in front of the pink marker.</x:v>
      </x:c>
      <x:c r="N253" s="69" t="str">
        <x:v>red block, pink marker, blue block</x:v>
      </x:c>
      <x:c r="O253" s="69" t="str">
        <x:v>red block</x:v>
      </x:c>
      <x:c r="P253" s="70" t="str">
        <x:v>Explicitly grounds directional language on other ordered object pairs.</x:v>
      </x:c>
    </x:row>
    <x:row r="254" ht="58" customHeight="1">
      <x:c r="A254" s="100" t="n">
        <x:v>252</x:v>
      </x:c>
      <x:c r="B254" s="69" t="str">
        <x:v>Relational Placement</x:v>
      </x:c>
      <x:c r="C254" s="69" t="str">
        <x:v>Move the red block to the front of the pink marker.</x:v>
      </x:c>
      <x:c r="D254" s="69" t="str">
        <x:v>Explicit spatial-relation grounding</x:v>
      </x:c>
      <x:c r="E254" s="69" t="str">
        <x:v>front / behind / left / right</x:v>
      </x:c>
      <x:c r="F254" s="69" t="str">
        <x:v>relational_explicit_direction</x:v>
      </x:c>
      <x:c r="G254" s="69" t="str">
        <x:v>direction × unordered {green pen, red block} pair, in both target/reference directions</x:v>
      </x:c>
      <x:c r="H254" s="69" t="str">
        <x:v>No</x:v>
      </x:c>
      <x:c r="I254" s="69" t="str"/>
      <x:c r="J254" s="69" t="str">
        <x:v>green pen, red block, pink marker, blue block</x:v>
      </x:c>
      <x:c r="K254" s="69" t="str">
        <x:v>red block</x:v>
      </x:c>
      <x:c r="L254" s="69" t="str">
        <x:v>Home</x:v>
      </x:c>
      <x:c r="M254" s="69" t="str">
        <x:v>Move the red block to the front of the pink marker.</x:v>
      </x:c>
      <x:c r="N254" s="69" t="str">
        <x:v>green pen, red block, pink marker, blue block</x:v>
      </x:c>
      <x:c r="O254" s="69" t="str">
        <x:v>red block</x:v>
      </x:c>
      <x:c r="P254" s="70" t="str">
        <x:v>Explicitly grounds directional language on other ordered object pairs.</x:v>
      </x:c>
    </x:row>
    <x:row r="255" ht="58" customHeight="1">
      <x:c r="A255" s="100" t="n">
        <x:v>253</x:v>
      </x:c>
      <x:c r="B255" s="69" t="str">
        <x:v>Relational Placement</x:v>
      </x:c>
      <x:c r="C255" s="69" t="str">
        <x:v>Place the red block in front of the pink marker.</x:v>
      </x:c>
      <x:c r="D255" s="69" t="str">
        <x:v>Explicit spatial-relation grounding</x:v>
      </x:c>
      <x:c r="E255" s="69" t="str">
        <x:v>front / behind / left / right</x:v>
      </x:c>
      <x:c r="F255" s="69" t="str">
        <x:v>relational_explicit_direction</x:v>
      </x:c>
      <x:c r="G255" s="69" t="str">
        <x:v>direction × unordered {green pen, red block} pair, in both target/reference directions</x:v>
      </x:c>
      <x:c r="H255" s="69" t="str">
        <x:v>No</x:v>
      </x:c>
      <x:c r="I255" s="69" t="str"/>
      <x:c r="J255" s="69" t="str">
        <x:v>red block, pink marker, green pen</x:v>
      </x:c>
      <x:c r="K255" s="69" t="str">
        <x:v>red block</x:v>
      </x:c>
      <x:c r="L255" s="69" t="str">
        <x:v>Recovery</x:v>
      </x:c>
      <x:c r="M255" s="69" t="str">
        <x:v>Place the red block in front of the pink marker.</x:v>
      </x:c>
      <x:c r="N255" s="69" t="str">
        <x:v>red block, pink marker, green pen</x:v>
      </x:c>
      <x:c r="O255" s="69" t="str">
        <x:v>red block</x:v>
      </x:c>
      <x:c r="P255" s="70" t="str">
        <x:v>Explicitly grounds directional language on other ordered object pairs.</x:v>
      </x:c>
    </x:row>
    <x:row r="256" ht="58" customHeight="1">
      <x:c r="A256" s="100" t="n">
        <x:v>254</x:v>
      </x:c>
      <x:c r="B256" s="69" t="str">
        <x:v>Relational Placement</x:v>
      </x:c>
      <x:c r="C256" s="69" t="str">
        <x:v>Move the red block to the front of the blue block.</x:v>
      </x:c>
      <x:c r="D256" s="69" t="str">
        <x:v>Explicit spatial-relation grounding</x:v>
      </x:c>
      <x:c r="E256" s="69" t="str">
        <x:v>front / behind / left / right</x:v>
      </x:c>
      <x:c r="F256" s="69" t="str">
        <x:v>relational_explicit_direction</x:v>
      </x:c>
      <x:c r="G256" s="69" t="str">
        <x:v>direction × unordered {green pen, red block} pair, in both target/reference directions</x:v>
      </x:c>
      <x:c r="H256" s="69" t="str">
        <x:v>No</x:v>
      </x:c>
      <x:c r="I256" s="69" t="str"/>
      <x:c r="J256" s="69" t="str">
        <x:v>red block, blue block</x:v>
      </x:c>
      <x:c r="K256" s="69" t="str">
        <x:v>red block</x:v>
      </x:c>
      <x:c r="L256" s="69" t="str">
        <x:v>Home</x:v>
      </x:c>
      <x:c r="M256" s="69" t="str">
        <x:v>Move the red block to the front of the blue block.</x:v>
      </x:c>
      <x:c r="N256" s="69" t="str">
        <x:v>red block, blue block</x:v>
      </x:c>
      <x:c r="O256" s="69" t="str">
        <x:v>red block</x:v>
      </x:c>
      <x:c r="P256" s="70" t="str">
        <x:v>Explicitly grounds directional language on other ordered object pairs.</x:v>
      </x:c>
    </x:row>
    <x:row r="257" ht="58" customHeight="1">
      <x:c r="A257" s="100" t="n">
        <x:v>255</x:v>
      </x:c>
      <x:c r="B257" s="69" t="str">
        <x:v>Relational Placement</x:v>
      </x:c>
      <x:c r="C257" s="69" t="str">
        <x:v>Put the red block on the table in front of the blue block.</x:v>
      </x:c>
      <x:c r="D257" s="69" t="str">
        <x:v>Explicit spatial-relation grounding</x:v>
      </x:c>
      <x:c r="E257" s="69" t="str">
        <x:v>front / behind / left / right</x:v>
      </x:c>
      <x:c r="F257" s="69" t="str">
        <x:v>relational_explicit_direction</x:v>
      </x:c>
      <x:c r="G257" s="69" t="str">
        <x:v>direction × unordered {green pen, red block} pair, in both target/reference directions</x:v>
      </x:c>
      <x:c r="H257" s="69" t="str">
        <x:v>No</x:v>
      </x:c>
      <x:c r="I257" s="69" t="str"/>
      <x:c r="J257" s="69" t="str">
        <x:v>red block, blue block, pink marker</x:v>
      </x:c>
      <x:c r="K257" s="69" t="str">
        <x:v>red block</x:v>
      </x:c>
      <x:c r="L257" s="69" t="str">
        <x:v>Home</x:v>
      </x:c>
      <x:c r="M257" s="69" t="str">
        <x:v>Put the red block on the table in front of the blue block.</x:v>
      </x:c>
      <x:c r="N257" s="69" t="str">
        <x:v>red block, blue block, pink marker</x:v>
      </x:c>
      <x:c r="O257" s="69" t="str">
        <x:v>red block</x:v>
      </x:c>
      <x:c r="P257" s="70" t="str">
        <x:v>Explicitly grounds directional language on other ordered object pairs.</x:v>
      </x:c>
    </x:row>
    <x:row r="258" ht="58" customHeight="1">
      <x:c r="A258" s="100" t="n">
        <x:v>256</x:v>
      </x:c>
      <x:c r="B258" s="69" t="str">
        <x:v>Relational Placement</x:v>
      </x:c>
      <x:c r="C258" s="69" t="str">
        <x:v>Place the red block in front of the blue block.</x:v>
      </x:c>
      <x:c r="D258" s="69" t="str">
        <x:v>Explicit spatial-relation grounding</x:v>
      </x:c>
      <x:c r="E258" s="69" t="str">
        <x:v>front / behind / left / right</x:v>
      </x:c>
      <x:c r="F258" s="69" t="str">
        <x:v>relational_explicit_direction</x:v>
      </x:c>
      <x:c r="G258" s="69" t="str">
        <x:v>direction × unordered {green pen, red block} pair, in both target/reference directions</x:v>
      </x:c>
      <x:c r="H258" s="69" t="str">
        <x:v>No</x:v>
      </x:c>
      <x:c r="I258" s="69" t="str"/>
      <x:c r="J258" s="69" t="str">
        <x:v>green pen, red block, pink marker, blue block</x:v>
      </x:c>
      <x:c r="K258" s="69" t="str">
        <x:v>red block</x:v>
      </x:c>
      <x:c r="L258" s="69" t="str">
        <x:v>Home</x:v>
      </x:c>
      <x:c r="M258" s="69" t="str">
        <x:v>Place the red block in front of the blue block.</x:v>
      </x:c>
      <x:c r="N258" s="69" t="str">
        <x:v>green pen, red block, pink marker, blue block</x:v>
      </x:c>
      <x:c r="O258" s="69" t="str">
        <x:v>red block</x:v>
      </x:c>
      <x:c r="P258" s="70" t="str">
        <x:v>Explicitly grounds directional language on other ordered object pairs.</x:v>
      </x:c>
    </x:row>
    <x:row r="259" ht="58" customHeight="1">
      <x:c r="A259" s="100" t="n">
        <x:v>257</x:v>
      </x:c>
      <x:c r="B259" s="69" t="str">
        <x:v>Relational Placement</x:v>
      </x:c>
      <x:c r="C259" s="69" t="str">
        <x:v>Move the red block to the front of the blue block.</x:v>
      </x:c>
      <x:c r="D259" s="69" t="str">
        <x:v>Explicit spatial-relation grounding</x:v>
      </x:c>
      <x:c r="E259" s="69" t="str">
        <x:v>front / behind / left / right</x:v>
      </x:c>
      <x:c r="F259" s="69" t="str">
        <x:v>relational_explicit_direction</x:v>
      </x:c>
      <x:c r="G259" s="69" t="str">
        <x:v>direction × unordered {green pen, red block} pair, in both target/reference directions</x:v>
      </x:c>
      <x:c r="H259" s="69" t="str">
        <x:v>No</x:v>
      </x:c>
      <x:c r="I259" s="69" t="str"/>
      <x:c r="J259" s="69" t="str">
        <x:v>red block, blue block, green pen</x:v>
      </x:c>
      <x:c r="K259" s="69" t="str">
        <x:v>red block</x:v>
      </x:c>
      <x:c r="L259" s="69" t="str">
        <x:v>Recovery</x:v>
      </x:c>
      <x:c r="M259" s="69" t="str">
        <x:v>Move the red block to the front of the blue block.</x:v>
      </x:c>
      <x:c r="N259" s="69" t="str">
        <x:v>red block, blue block, green pen</x:v>
      </x:c>
      <x:c r="O259" s="69" t="str">
        <x:v>red block</x:v>
      </x:c>
      <x:c r="P259" s="70" t="str">
        <x:v>Explicitly grounds directional language on other ordered object pairs.</x:v>
      </x:c>
    </x:row>
    <x:row r="260" ht="58" customHeight="1">
      <x:c r="A260" s="100" t="n">
        <x:v>258</x:v>
      </x:c>
      <x:c r="B260" s="69" t="str">
        <x:v>Relational Placement</x:v>
      </x:c>
      <x:c r="C260" s="69" t="str">
        <x:v>Place the red block next to the green pen.</x:v>
      </x:c>
      <x:c r="D260" s="69" t="str">
        <x:v>Masked unordered-pair composition</x:v>
      </x:c>
      <x:c r="E260" s="69" t="str">
        <x:v>near / beside / next to; physical exposure to the green-pen/red-block pair</x:v>
      </x:c>
      <x:c r="F260" s="69" t="str">
        <x:v>relational_masked_green_pen_red_block</x:v>
      </x:c>
      <x:c r="G260" s="69" t="str">
        <x:v>direction × unordered {green pen, red block} pair, in both target/reference directions</x:v>
      </x:c>
      <x:c r="H260" s="69" t="str">
        <x:v>No</x:v>
      </x:c>
      <x:c r="I260" s="69" t="str"/>
      <x:c r="J260" s="69" t="str">
        <x:v>red block, green pen</x:v>
      </x:c>
      <x:c r="K260" s="69" t="str">
        <x:v>red block</x:v>
      </x:c>
      <x:c r="L260" s="69" t="str">
        <x:v>Home</x:v>
      </x:c>
      <x:c r="M260" s="69" t="str">
        <x:v>Place the red block next to the green pen.</x:v>
      </x:c>
      <x:c r="N260" s="69" t="str">
        <x:v>red block, green pen</x:v>
      </x:c>
      <x:c r="O260" s="69" t="str">
        <x:v>red block</x:v>
      </x:c>
      <x:c r="P260" s="70" t="str">
        <x:v>Keep the exact successful mask: expose manipulation of the green-pen/red-block pair with a familiar near relation, without directional language.</x:v>
      </x:c>
    </x:row>
    <x:row r="261" ht="58" customHeight="1">
      <x:c r="A261" s="100" t="n">
        <x:v>259</x:v>
      </x:c>
      <x:c r="B261" s="69" t="str">
        <x:v>Relational Placement</x:v>
      </x:c>
      <x:c r="C261" s="69" t="str">
        <x:v>Put the red block beside the green pen.</x:v>
      </x:c>
      <x:c r="D261" s="69" t="str">
        <x:v>Masked unordered-pair composition</x:v>
      </x:c>
      <x:c r="E261" s="69" t="str">
        <x:v>near / beside / next to; physical exposure to the green-pen/red-block pair</x:v>
      </x:c>
      <x:c r="F261" s="69" t="str">
        <x:v>relational_masked_green_pen_red_block</x:v>
      </x:c>
      <x:c r="G261" s="69" t="str">
        <x:v>direction × unordered {green pen, red block} pair, in both target/reference directions</x:v>
      </x:c>
      <x:c r="H261" s="69" t="str">
        <x:v>No</x:v>
      </x:c>
      <x:c r="I261" s="69" t="str"/>
      <x:c r="J261" s="69" t="str">
        <x:v>red block, green pen, pink marker</x:v>
      </x:c>
      <x:c r="K261" s="69" t="str">
        <x:v>red block</x:v>
      </x:c>
      <x:c r="L261" s="69" t="str">
        <x:v>Home</x:v>
      </x:c>
      <x:c r="M261" s="69" t="str">
        <x:v>Put the red block beside the green pen.</x:v>
      </x:c>
      <x:c r="N261" s="69" t="str">
        <x:v>red block, green pen, pink marker</x:v>
      </x:c>
      <x:c r="O261" s="69" t="str">
        <x:v>red block</x:v>
      </x:c>
      <x:c r="P261" s="70" t="str">
        <x:v>Keep the exact successful mask: expose manipulation of the green-pen/red-block pair with a familiar near relation, without directional language.</x:v>
      </x:c>
    </x:row>
    <x:row r="262" ht="58" customHeight="1">
      <x:c r="A262" s="100" t="n">
        <x:v>260</x:v>
      </x:c>
      <x:c r="B262" s="69" t="str">
        <x:v>Relational Placement</x:v>
      </x:c>
      <x:c r="C262" s="69" t="str">
        <x:v>Move the red block near the green pen.</x:v>
      </x:c>
      <x:c r="D262" s="69" t="str">
        <x:v>Masked unordered-pair composition</x:v>
      </x:c>
      <x:c r="E262" s="69" t="str">
        <x:v>near / beside / next to; physical exposure to the green-pen/red-block pair</x:v>
      </x:c>
      <x:c r="F262" s="69" t="str">
        <x:v>relational_masked_green_pen_red_block</x:v>
      </x:c>
      <x:c r="G262" s="69" t="str">
        <x:v>direction × unordered {green pen, red block} pair, in both target/reference directions</x:v>
      </x:c>
      <x:c r="H262" s="69" t="str">
        <x:v>No</x:v>
      </x:c>
      <x:c r="I262" s="69" t="str"/>
      <x:c r="J262" s="69" t="str">
        <x:v>green pen, red block, pink marker, blue block</x:v>
      </x:c>
      <x:c r="K262" s="69" t="str">
        <x:v>red block</x:v>
      </x:c>
      <x:c r="L262" s="69" t="str">
        <x:v>Home</x:v>
      </x:c>
      <x:c r="M262" s="69" t="str">
        <x:v>Move the red block near the green pen.</x:v>
      </x:c>
      <x:c r="N262" s="69" t="str">
        <x:v>green pen, red block, pink marker, blue block</x:v>
      </x:c>
      <x:c r="O262" s="69" t="str">
        <x:v>red block</x:v>
      </x:c>
      <x:c r="P262" s="70" t="str">
        <x:v>Keep the exact successful mask: expose manipulation of the green-pen/red-block pair with a familiar near relation, without directional language.</x:v>
      </x:c>
    </x:row>
    <x:row r="263" ht="58" customHeight="1">
      <x:c r="A263" s="100" t="n">
        <x:v>261</x:v>
      </x:c>
      <x:c r="B263" s="69" t="str">
        <x:v>Relational Placement</x:v>
      </x:c>
      <x:c r="C263" s="69" t="str">
        <x:v>Place the red block next to the green pen.</x:v>
      </x:c>
      <x:c r="D263" s="69" t="str">
        <x:v>Masked unordered-pair composition</x:v>
      </x:c>
      <x:c r="E263" s="69" t="str">
        <x:v>near / beside / next to; physical exposure to the green-pen/red-block pair</x:v>
      </x:c>
      <x:c r="F263" s="69" t="str">
        <x:v>relational_masked_green_pen_red_block</x:v>
      </x:c>
      <x:c r="G263" s="69" t="str">
        <x:v>direction × unordered {green pen, red block} pair, in both target/reference directions</x:v>
      </x:c>
      <x:c r="H263" s="69" t="str">
        <x:v>No</x:v>
      </x:c>
      <x:c r="I263" s="69" t="str"/>
      <x:c r="J263" s="69" t="str">
        <x:v>red block, green pen, blue block</x:v>
      </x:c>
      <x:c r="K263" s="69" t="str">
        <x:v>red block</x:v>
      </x:c>
      <x:c r="L263" s="69" t="str">
        <x:v>Home</x:v>
      </x:c>
      <x:c r="M263" s="69" t="str">
        <x:v>Place the red block next to the green pen.</x:v>
      </x:c>
      <x:c r="N263" s="69" t="str">
        <x:v>red block, green pen, blue block</x:v>
      </x:c>
      <x:c r="O263" s="69" t="str">
        <x:v>red block</x:v>
      </x:c>
      <x:c r="P263" s="70" t="str">
        <x:v>Keep the exact successful mask: expose manipulation of the green-pen/red-block pair with a familiar near relation, without directional language.</x:v>
      </x:c>
    </x:row>
    <x:row r="264" ht="58" customHeight="1">
      <x:c r="A264" s="100" t="n">
        <x:v>262</x:v>
      </x:c>
      <x:c r="B264" s="69" t="str">
        <x:v>Relational Placement</x:v>
      </x:c>
      <x:c r="C264" s="69" t="str">
        <x:v>Place the red block behind the pink marker.</x:v>
      </x:c>
      <x:c r="D264" s="69" t="str">
        <x:v>Explicit spatial-relation grounding</x:v>
      </x:c>
      <x:c r="E264" s="69" t="str">
        <x:v>front / behind / left / right</x:v>
      </x:c>
      <x:c r="F264" s="69" t="str">
        <x:v>relational_explicit_direction</x:v>
      </x:c>
      <x:c r="G264" s="69" t="str">
        <x:v>direction × unordered {green pen, red block} pair, in both target/reference directions</x:v>
      </x:c>
      <x:c r="H264" s="69" t="str">
        <x:v>No</x:v>
      </x:c>
      <x:c r="I264" s="69" t="str"/>
      <x:c r="J264" s="69" t="str">
        <x:v>red block, pink marker</x:v>
      </x:c>
      <x:c r="K264" s="69" t="str">
        <x:v>red block</x:v>
      </x:c>
      <x:c r="L264" s="69" t="str">
        <x:v>Home</x:v>
      </x:c>
      <x:c r="M264" s="69" t="str">
        <x:v>Place the red block behind the pink marker.</x:v>
      </x:c>
      <x:c r="N264" s="69" t="str">
        <x:v>red block, pink marker</x:v>
      </x:c>
      <x:c r="O264" s="69" t="str">
        <x:v>red block</x:v>
      </x:c>
      <x:c r="P264" s="70" t="str">
        <x:v>Explicitly grounds directional language on other ordered object pairs.</x:v>
      </x:c>
    </x:row>
    <x:row r="265" ht="58" customHeight="1">
      <x:c r="A265" s="100" t="n">
        <x:v>263</x:v>
      </x:c>
      <x:c r="B265" s="69" t="str">
        <x:v>Relational Placement</x:v>
      </x:c>
      <x:c r="C265" s="69" t="str">
        <x:v>Place the red block behind the pink marker.</x:v>
      </x:c>
      <x:c r="D265" s="69" t="str">
        <x:v>Explicit spatial-relation grounding</x:v>
      </x:c>
      <x:c r="E265" s="69" t="str">
        <x:v>front / behind / left / right</x:v>
      </x:c>
      <x:c r="F265" s="69" t="str">
        <x:v>relational_explicit_direction</x:v>
      </x:c>
      <x:c r="G265" s="69" t="str">
        <x:v>direction × unordered {green pen, red block} pair, in both target/reference directions</x:v>
      </x:c>
      <x:c r="H265" s="69" t="str">
        <x:v>No</x:v>
      </x:c>
      <x:c r="I265" s="69" t="str"/>
      <x:c r="J265" s="69" t="str">
        <x:v>red block, pink marker, blue block</x:v>
      </x:c>
      <x:c r="K265" s="69" t="str">
        <x:v>red block</x:v>
      </x:c>
      <x:c r="L265" s="69" t="str">
        <x:v>Home</x:v>
      </x:c>
      <x:c r="M265" s="69" t="str">
        <x:v>Place the red block behind the pink marker.</x:v>
      </x:c>
      <x:c r="N265" s="69" t="str">
        <x:v>red block, pink marker, blue block</x:v>
      </x:c>
      <x:c r="O265" s="69" t="str">
        <x:v>red block</x:v>
      </x:c>
      <x:c r="P265" s="70" t="str">
        <x:v>Explicitly grounds directional language on other ordered object pairs.</x:v>
      </x:c>
    </x:row>
    <x:row r="266" ht="58" customHeight="1">
      <x:c r="A266" s="100" t="n">
        <x:v>264</x:v>
      </x:c>
      <x:c r="B266" s="69" t="str">
        <x:v>Relational Placement</x:v>
      </x:c>
      <x:c r="C266" s="69" t="str">
        <x:v>Move the red block to the back of the pink marker.</x:v>
      </x:c>
      <x:c r="D266" s="69" t="str">
        <x:v>Explicit spatial-relation grounding</x:v>
      </x:c>
      <x:c r="E266" s="69" t="str">
        <x:v>front / behind / left / right</x:v>
      </x:c>
      <x:c r="F266" s="69" t="str">
        <x:v>relational_explicit_direction</x:v>
      </x:c>
      <x:c r="G266" s="69" t="str">
        <x:v>direction × unordered {green pen, red block} pair, in both target/reference directions</x:v>
      </x:c>
      <x:c r="H266" s="69" t="str">
        <x:v>No</x:v>
      </x:c>
      <x:c r="I266" s="69" t="str"/>
      <x:c r="J266" s="69" t="str">
        <x:v>green pen, red block, pink marker, blue block</x:v>
      </x:c>
      <x:c r="K266" s="69" t="str">
        <x:v>red block</x:v>
      </x:c>
      <x:c r="L266" s="69" t="str">
        <x:v>Home</x:v>
      </x:c>
      <x:c r="M266" s="69" t="str">
        <x:v>Move the red block to the back of the pink marker.</x:v>
      </x:c>
      <x:c r="N266" s="69" t="str">
        <x:v>green pen, red block, pink marker, blue block</x:v>
      </x:c>
      <x:c r="O266" s="69" t="str">
        <x:v>red block</x:v>
      </x:c>
      <x:c r="P266" s="70" t="str">
        <x:v>Explicitly grounds directional language on other ordered object pairs.</x:v>
      </x:c>
    </x:row>
    <x:row r="267" ht="58" customHeight="1">
      <x:c r="A267" s="100" t="n">
        <x:v>265</x:v>
      </x:c>
      <x:c r="B267" s="69" t="str">
        <x:v>Relational Placement</x:v>
      </x:c>
      <x:c r="C267" s="69" t="str">
        <x:v>Put the red block on the table behind the pink marker.</x:v>
      </x:c>
      <x:c r="D267" s="69" t="str">
        <x:v>Explicit spatial-relation grounding</x:v>
      </x:c>
      <x:c r="E267" s="69" t="str">
        <x:v>front / behind / left / right</x:v>
      </x:c>
      <x:c r="F267" s="69" t="str">
        <x:v>relational_explicit_direction</x:v>
      </x:c>
      <x:c r="G267" s="69" t="str">
        <x:v>direction × unordered {green pen, red block} pair, in both target/reference directions</x:v>
      </x:c>
      <x:c r="H267" s="69" t="str">
        <x:v>No</x:v>
      </x:c>
      <x:c r="I267" s="69" t="str"/>
      <x:c r="J267" s="69" t="str">
        <x:v>red block, pink marker, green pen</x:v>
      </x:c>
      <x:c r="K267" s="69" t="str">
        <x:v>red block</x:v>
      </x:c>
      <x:c r="L267" s="69" t="str">
        <x:v>Home</x:v>
      </x:c>
      <x:c r="M267" s="69" t="str">
        <x:v>Put the red block on the table behind the pink marker.</x:v>
      </x:c>
      <x:c r="N267" s="69" t="str">
        <x:v>red block, pink marker, green pen</x:v>
      </x:c>
      <x:c r="O267" s="69" t="str">
        <x:v>red block</x:v>
      </x:c>
      <x:c r="P267" s="70" t="str">
        <x:v>Explicitly grounds directional language on other ordered object pairs.</x:v>
      </x:c>
    </x:row>
    <x:row r="268" ht="58" customHeight="1">
      <x:c r="A268" s="100" t="n">
        <x:v>266</x:v>
      </x:c>
      <x:c r="B268" s="69" t="str">
        <x:v>Relational Placement</x:v>
      </x:c>
      <x:c r="C268" s="69" t="str">
        <x:v>Put the red block on the table behind the pink marker.</x:v>
      </x:c>
      <x:c r="D268" s="69" t="str">
        <x:v>Explicit spatial-relation grounding</x:v>
      </x:c>
      <x:c r="E268" s="69" t="str">
        <x:v>front / behind / left / right</x:v>
      </x:c>
      <x:c r="F268" s="69" t="str">
        <x:v>relational_explicit_direction</x:v>
      </x:c>
      <x:c r="G268" s="69" t="str">
        <x:v>direction × unordered {green pen, red block} pair, in both target/reference directions</x:v>
      </x:c>
      <x:c r="H268" s="69" t="str">
        <x:v>No</x:v>
      </x:c>
      <x:c r="I268" s="69" t="str"/>
      <x:c r="J268" s="69" t="str">
        <x:v>green pen, red block, pink marker, blue block</x:v>
      </x:c>
      <x:c r="K268" s="69" t="str">
        <x:v>red block</x:v>
      </x:c>
      <x:c r="L268" s="69" t="str">
        <x:v>Recovery</x:v>
      </x:c>
      <x:c r="M268" s="69" t="str">
        <x:v>Put the red block on the table behind the pink marker.</x:v>
      </x:c>
      <x:c r="N268" s="69" t="str">
        <x:v>green pen, red block, pink marker, blue block</x:v>
      </x:c>
      <x:c r="O268" s="69" t="str">
        <x:v>red block</x:v>
      </x:c>
      <x:c r="P268" s="70" t="str">
        <x:v>Explicitly grounds directional language on other ordered object pairs.</x:v>
      </x:c>
    </x:row>
    <x:row r="269" ht="58" customHeight="1">
      <x:c r="A269" s="100" t="n">
        <x:v>267</x:v>
      </x:c>
      <x:c r="B269" s="69" t="str">
        <x:v>Relational Placement</x:v>
      </x:c>
      <x:c r="C269" s="69" t="str">
        <x:v>Place the red block behind the blue block.</x:v>
      </x:c>
      <x:c r="D269" s="69" t="str">
        <x:v>Explicit spatial-relation grounding</x:v>
      </x:c>
      <x:c r="E269" s="69" t="str">
        <x:v>front / behind / left / right</x:v>
      </x:c>
      <x:c r="F269" s="69" t="str">
        <x:v>relational_explicit_direction</x:v>
      </x:c>
      <x:c r="G269" s="69" t="str">
        <x:v>direction × unordered {green pen, red block} pair, in both target/reference directions</x:v>
      </x:c>
      <x:c r="H269" s="69" t="str">
        <x:v>No</x:v>
      </x:c>
      <x:c r="I269" s="69" t="str"/>
      <x:c r="J269" s="69" t="str">
        <x:v>red block, blue block</x:v>
      </x:c>
      <x:c r="K269" s="69" t="str">
        <x:v>red block</x:v>
      </x:c>
      <x:c r="L269" s="69" t="str">
        <x:v>Home</x:v>
      </x:c>
      <x:c r="M269" s="69" t="str">
        <x:v>Place the red block behind the blue block.</x:v>
      </x:c>
      <x:c r="N269" s="69" t="str">
        <x:v>red block, blue block</x:v>
      </x:c>
      <x:c r="O269" s="69" t="str">
        <x:v>red block</x:v>
      </x:c>
      <x:c r="P269" s="70" t="str">
        <x:v>Explicitly grounds directional language on other ordered object pairs.</x:v>
      </x:c>
    </x:row>
    <x:row r="270" ht="58" customHeight="1">
      <x:c r="A270" s="100" t="n">
        <x:v>268</x:v>
      </x:c>
      <x:c r="B270" s="69" t="str">
        <x:v>Relational Placement</x:v>
      </x:c>
      <x:c r="C270" s="69" t="str">
        <x:v>Place the red block behind the blue block.</x:v>
      </x:c>
      <x:c r="D270" s="69" t="str">
        <x:v>Explicit spatial-relation grounding</x:v>
      </x:c>
      <x:c r="E270" s="69" t="str">
        <x:v>front / behind / left / right</x:v>
      </x:c>
      <x:c r="F270" s="69" t="str">
        <x:v>relational_explicit_direction</x:v>
      </x:c>
      <x:c r="G270" s="69" t="str">
        <x:v>direction × unordered {green pen, red block} pair, in both target/reference directions</x:v>
      </x:c>
      <x:c r="H270" s="69" t="str">
        <x:v>No</x:v>
      </x:c>
      <x:c r="I270" s="69" t="str"/>
      <x:c r="J270" s="69" t="str">
        <x:v>red block, blue block, pink marker</x:v>
      </x:c>
      <x:c r="K270" s="69" t="str">
        <x:v>red block</x:v>
      </x:c>
      <x:c r="L270" s="69" t="str">
        <x:v>Home</x:v>
      </x:c>
      <x:c r="M270" s="69" t="str">
        <x:v>Place the red block behind the blue block.</x:v>
      </x:c>
      <x:c r="N270" s="69" t="str">
        <x:v>red block, blue block, pink marker</x:v>
      </x:c>
      <x:c r="O270" s="69" t="str">
        <x:v>red block</x:v>
      </x:c>
      <x:c r="P270" s="70" t="str">
        <x:v>Explicitly grounds directional language on other ordered object pairs.</x:v>
      </x:c>
    </x:row>
    <x:row r="271" ht="58" customHeight="1">
      <x:c r="A271" s="100" t="n">
        <x:v>269</x:v>
      </x:c>
      <x:c r="B271" s="69" t="str">
        <x:v>Relational Placement</x:v>
      </x:c>
      <x:c r="C271" s="69" t="str">
        <x:v>Move the red block to the back of the blue block.</x:v>
      </x:c>
      <x:c r="D271" s="69" t="str">
        <x:v>Explicit spatial-relation grounding</x:v>
      </x:c>
      <x:c r="E271" s="69" t="str">
        <x:v>front / behind / left / right</x:v>
      </x:c>
      <x:c r="F271" s="69" t="str">
        <x:v>relational_explicit_direction</x:v>
      </x:c>
      <x:c r="G271" s="69" t="str">
        <x:v>direction × unordered {green pen, red block} pair, in both target/reference directions</x:v>
      </x:c>
      <x:c r="H271" s="69" t="str">
        <x:v>No</x:v>
      </x:c>
      <x:c r="I271" s="69" t="str"/>
      <x:c r="J271" s="69" t="str">
        <x:v>green pen, red block, pink marker, blue block</x:v>
      </x:c>
      <x:c r="K271" s="69" t="str">
        <x:v>red block</x:v>
      </x:c>
      <x:c r="L271" s="69" t="str">
        <x:v>Home</x:v>
      </x:c>
      <x:c r="M271" s="69" t="str">
        <x:v>Move the red block to the back of the blue block.</x:v>
      </x:c>
      <x:c r="N271" s="69" t="str">
        <x:v>green pen, red block, pink marker, blue block</x:v>
      </x:c>
      <x:c r="O271" s="69" t="str">
        <x:v>red block</x:v>
      </x:c>
      <x:c r="P271" s="70" t="str">
        <x:v>Explicitly grounds directional language on other ordered object pairs.</x:v>
      </x:c>
    </x:row>
    <x:row r="272" ht="58" customHeight="1">
      <x:c r="A272" s="100" t="n">
        <x:v>270</x:v>
      </x:c>
      <x:c r="B272" s="69" t="str">
        <x:v>Relational Placement</x:v>
      </x:c>
      <x:c r="C272" s="69" t="str">
        <x:v>Put the red block on the table behind the blue block.</x:v>
      </x:c>
      <x:c r="D272" s="69" t="str">
        <x:v>Explicit spatial-relation grounding</x:v>
      </x:c>
      <x:c r="E272" s="69" t="str">
        <x:v>front / behind / left / right</x:v>
      </x:c>
      <x:c r="F272" s="69" t="str">
        <x:v>relational_explicit_direction</x:v>
      </x:c>
      <x:c r="G272" s="69" t="str">
        <x:v>direction × unordered {green pen, red block} pair, in both target/reference directions</x:v>
      </x:c>
      <x:c r="H272" s="69" t="str">
        <x:v>No</x:v>
      </x:c>
      <x:c r="I272" s="69" t="str"/>
      <x:c r="J272" s="69" t="str">
        <x:v>red block, blue block, green pen</x:v>
      </x:c>
      <x:c r="K272" s="69" t="str">
        <x:v>red block</x:v>
      </x:c>
      <x:c r="L272" s="69" t="str">
        <x:v>Recovery</x:v>
      </x:c>
      <x:c r="M272" s="69" t="str">
        <x:v>Put the red block on the table behind the blue block.</x:v>
      </x:c>
      <x:c r="N272" s="69" t="str">
        <x:v>red block, blue block, green pen</x:v>
      </x:c>
      <x:c r="O272" s="69" t="str">
        <x:v>red block</x:v>
      </x:c>
      <x:c r="P272" s="70" t="str">
        <x:v>Explicitly grounds directional language on other ordered object pairs.</x:v>
      </x:c>
    </x:row>
    <x:row r="273" ht="58" customHeight="1">
      <x:c r="A273" s="100" t="n">
        <x:v>271</x:v>
      </x:c>
      <x:c r="B273" s="69" t="str">
        <x:v>Relational Placement</x:v>
      </x:c>
      <x:c r="C273" s="69" t="str">
        <x:v>Put the red block beside the green pen.</x:v>
      </x:c>
      <x:c r="D273" s="69" t="str">
        <x:v>Masked unordered-pair composition</x:v>
      </x:c>
      <x:c r="E273" s="69" t="str">
        <x:v>near / beside / next to; physical exposure to the green-pen/red-block pair</x:v>
      </x:c>
      <x:c r="F273" s="69" t="str">
        <x:v>relational_masked_green_pen_red_block</x:v>
      </x:c>
      <x:c r="G273" s="69" t="str">
        <x:v>direction × unordered {green pen, red block} pair, in both target/reference directions</x:v>
      </x:c>
      <x:c r="H273" s="69" t="str">
        <x:v>No</x:v>
      </x:c>
      <x:c r="I273" s="69" t="str"/>
      <x:c r="J273" s="69" t="str">
        <x:v>red block, green pen</x:v>
      </x:c>
      <x:c r="K273" s="69" t="str">
        <x:v>red block</x:v>
      </x:c>
      <x:c r="L273" s="69" t="str">
        <x:v>Home</x:v>
      </x:c>
      <x:c r="M273" s="69" t="str">
        <x:v>Put the red block beside the green pen.</x:v>
      </x:c>
      <x:c r="N273" s="69" t="str">
        <x:v>red block, green pen</x:v>
      </x:c>
      <x:c r="O273" s="69" t="str">
        <x:v>red block</x:v>
      </x:c>
      <x:c r="P273" s="70" t="str">
        <x:v>Keep the exact successful mask: expose manipulation of the green-pen/red-block pair with a familiar near relation, without directional language.</x:v>
      </x:c>
    </x:row>
    <x:row r="274" ht="58" customHeight="1">
      <x:c r="A274" s="100" t="n">
        <x:v>272</x:v>
      </x:c>
      <x:c r="B274" s="69" t="str">
        <x:v>Relational Placement</x:v>
      </x:c>
      <x:c r="C274" s="69" t="str">
        <x:v>Move the red block near the green pen.</x:v>
      </x:c>
      <x:c r="D274" s="69" t="str">
        <x:v>Masked unordered-pair composition</x:v>
      </x:c>
      <x:c r="E274" s="69" t="str">
        <x:v>near / beside / next to; physical exposure to the green-pen/red-block pair</x:v>
      </x:c>
      <x:c r="F274" s="69" t="str">
        <x:v>relational_masked_green_pen_red_block</x:v>
      </x:c>
      <x:c r="G274" s="69" t="str">
        <x:v>direction × unordered {green pen, red block} pair, in both target/reference directions</x:v>
      </x:c>
      <x:c r="H274" s="69" t="str">
        <x:v>No</x:v>
      </x:c>
      <x:c r="I274" s="69" t="str"/>
      <x:c r="J274" s="69" t="str">
        <x:v>red block, green pen, pink marker</x:v>
      </x:c>
      <x:c r="K274" s="69" t="str">
        <x:v>red block</x:v>
      </x:c>
      <x:c r="L274" s="69" t="str">
        <x:v>Home</x:v>
      </x:c>
      <x:c r="M274" s="69" t="str">
        <x:v>Move the red block near the green pen.</x:v>
      </x:c>
      <x:c r="N274" s="69" t="str">
        <x:v>red block, green pen, pink marker</x:v>
      </x:c>
      <x:c r="O274" s="69" t="str">
        <x:v>red block</x:v>
      </x:c>
      <x:c r="P274" s="70" t="str">
        <x:v>Keep the exact successful mask: expose manipulation of the green-pen/red-block pair with a familiar near relation, without directional language.</x:v>
      </x:c>
    </x:row>
    <x:row r="275" ht="58" customHeight="1">
      <x:c r="A275" s="100" t="n">
        <x:v>273</x:v>
      </x:c>
      <x:c r="B275" s="69" t="str">
        <x:v>Relational Placement</x:v>
      </x:c>
      <x:c r="C275" s="69" t="str">
        <x:v>Place the red block next to the green pen.</x:v>
      </x:c>
      <x:c r="D275" s="69" t="str">
        <x:v>Masked unordered-pair composition</x:v>
      </x:c>
      <x:c r="E275" s="69" t="str">
        <x:v>near / beside / next to; physical exposure to the green-pen/red-block pair</x:v>
      </x:c>
      <x:c r="F275" s="69" t="str">
        <x:v>relational_masked_green_pen_red_block</x:v>
      </x:c>
      <x:c r="G275" s="69" t="str">
        <x:v>direction × unordered {green pen, red block} pair, in both target/reference directions</x:v>
      </x:c>
      <x:c r="H275" s="69" t="str">
        <x:v>No</x:v>
      </x:c>
      <x:c r="I275" s="69" t="str"/>
      <x:c r="J275" s="69" t="str">
        <x:v>green pen, red block, pink marker, blue block</x:v>
      </x:c>
      <x:c r="K275" s="69" t="str">
        <x:v>red block</x:v>
      </x:c>
      <x:c r="L275" s="69" t="str">
        <x:v>Home</x:v>
      </x:c>
      <x:c r="M275" s="69" t="str">
        <x:v>Place the red block next to the green pen.</x:v>
      </x:c>
      <x:c r="N275" s="69" t="str">
        <x:v>green pen, red block, pink marker, blue block</x:v>
      </x:c>
      <x:c r="O275" s="69" t="str">
        <x:v>red block</x:v>
      </x:c>
      <x:c r="P275" s="70" t="str">
        <x:v>Keep the exact successful mask: expose manipulation of the green-pen/red-block pair with a familiar near relation, without directional language.</x:v>
      </x:c>
    </x:row>
    <x:row r="276" ht="58" customHeight="1">
      <x:c r="A276" s="100" t="n">
        <x:v>274</x:v>
      </x:c>
      <x:c r="B276" s="69" t="str">
        <x:v>Relational Placement</x:v>
      </x:c>
      <x:c r="C276" s="69" t="str">
        <x:v>Put the red block beside the green pen.</x:v>
      </x:c>
      <x:c r="D276" s="69" t="str">
        <x:v>Masked unordered-pair composition</x:v>
      </x:c>
      <x:c r="E276" s="69" t="str">
        <x:v>near / beside / next to; physical exposure to the green-pen/red-block pair</x:v>
      </x:c>
      <x:c r="F276" s="69" t="str">
        <x:v>relational_masked_green_pen_red_block</x:v>
      </x:c>
      <x:c r="G276" s="69" t="str">
        <x:v>direction × unordered {green pen, red block} pair, in both target/reference directions</x:v>
      </x:c>
      <x:c r="H276" s="69" t="str">
        <x:v>No</x:v>
      </x:c>
      <x:c r="I276" s="69" t="str"/>
      <x:c r="J276" s="69" t="str">
        <x:v>red block, green pen, blue block</x:v>
      </x:c>
      <x:c r="K276" s="69" t="str">
        <x:v>red block</x:v>
      </x:c>
      <x:c r="L276" s="69" t="str">
        <x:v>Recovery</x:v>
      </x:c>
      <x:c r="M276" s="69" t="str">
        <x:v>Put the red block beside the green pen.</x:v>
      </x:c>
      <x:c r="N276" s="69" t="str">
        <x:v>red block, green pen, blue block</x:v>
      </x:c>
      <x:c r="O276" s="69" t="str">
        <x:v>red block</x:v>
      </x:c>
      <x:c r="P276" s="70" t="str">
        <x:v>Keep the exact successful mask: expose manipulation of the green-pen/red-block pair with a familiar near relation, without directional language.</x:v>
      </x:c>
    </x:row>
    <x:row r="277" ht="58" customHeight="1">
      <x:c r="A277" s="100" t="n">
        <x:v>275</x:v>
      </x:c>
      <x:c r="B277" s="69" t="str">
        <x:v>Relational Placement</x:v>
      </x:c>
      <x:c r="C277" s="69" t="str">
        <x:v>Place the red block to the left of the pink marker.</x:v>
      </x:c>
      <x:c r="D277" s="69" t="str">
        <x:v>Explicit spatial-relation grounding</x:v>
      </x:c>
      <x:c r="E277" s="69" t="str">
        <x:v>front / behind / left / right</x:v>
      </x:c>
      <x:c r="F277" s="69" t="str">
        <x:v>relational_explicit_direction</x:v>
      </x:c>
      <x:c r="G277" s="69" t="str">
        <x:v>direction × unordered {green pen, red block} pair, in both target/reference directions</x:v>
      </x:c>
      <x:c r="H277" s="69" t="str">
        <x:v>No</x:v>
      </x:c>
      <x:c r="I277" s="69" t="str"/>
      <x:c r="J277" s="69" t="str">
        <x:v>red block, pink marker</x:v>
      </x:c>
      <x:c r="K277" s="69" t="str">
        <x:v>red block</x:v>
      </x:c>
      <x:c r="L277" s="69" t="str">
        <x:v>Home</x:v>
      </x:c>
      <x:c r="M277" s="69" t="str">
        <x:v>Place the red block to the left of the pink marker.</x:v>
      </x:c>
      <x:c r="N277" s="69" t="str">
        <x:v>red block, pink marker</x:v>
      </x:c>
      <x:c r="O277" s="69" t="str">
        <x:v>red block</x:v>
      </x:c>
      <x:c r="P277" s="70" t="str">
        <x:v>Explicitly grounds directional language on other ordered object pairs.</x:v>
      </x:c>
    </x:row>
    <x:row r="278" ht="58" customHeight="1">
      <x:c r="A278" s="100" t="n">
        <x:v>276</x:v>
      </x:c>
      <x:c r="B278" s="69" t="str">
        <x:v>Relational Placement</x:v>
      </x:c>
      <x:c r="C278" s="69" t="str">
        <x:v>Place the red block to the left of the pink marker.</x:v>
      </x:c>
      <x:c r="D278" s="69" t="str">
        <x:v>Explicit spatial-relation grounding</x:v>
      </x:c>
      <x:c r="E278" s="69" t="str">
        <x:v>front / behind / left / right</x:v>
      </x:c>
      <x:c r="F278" s="69" t="str">
        <x:v>relational_explicit_direction</x:v>
      </x:c>
      <x:c r="G278" s="69" t="str">
        <x:v>direction × unordered {green pen, red block} pair, in both target/reference directions</x:v>
      </x:c>
      <x:c r="H278" s="69" t="str">
        <x:v>No</x:v>
      </x:c>
      <x:c r="I278" s="69" t="str"/>
      <x:c r="J278" s="69" t="str">
        <x:v>red block, pink marker, blue block</x:v>
      </x:c>
      <x:c r="K278" s="69" t="str">
        <x:v>red block</x:v>
      </x:c>
      <x:c r="L278" s="69" t="str">
        <x:v>Home</x:v>
      </x:c>
      <x:c r="M278" s="69" t="str">
        <x:v>Place the red block to the left of the pink marker.</x:v>
      </x:c>
      <x:c r="N278" s="69" t="str">
        <x:v>red block, pink marker, blue block</x:v>
      </x:c>
      <x:c r="O278" s="69" t="str">
        <x:v>red block</x:v>
      </x:c>
      <x:c r="P278" s="70" t="str">
        <x:v>Explicitly grounds directional language on other ordered object pairs.</x:v>
      </x:c>
    </x:row>
    <x:row r="279" ht="58" customHeight="1">
      <x:c r="A279" s="100" t="n">
        <x:v>277</x:v>
      </x:c>
      <x:c r="B279" s="69" t="str">
        <x:v>Relational Placement</x:v>
      </x:c>
      <x:c r="C279" s="69" t="str">
        <x:v>Place the red block to the left of the pink marker.</x:v>
      </x:c>
      <x:c r="D279" s="69" t="str">
        <x:v>Explicit spatial-relation grounding</x:v>
      </x:c>
      <x:c r="E279" s="69" t="str">
        <x:v>front / behind / left / right</x:v>
      </x:c>
      <x:c r="F279" s="69" t="str">
        <x:v>relational_explicit_direction</x:v>
      </x:c>
      <x:c r="G279" s="69" t="str">
        <x:v>direction × unordered {green pen, red block} pair, in both target/reference directions</x:v>
      </x:c>
      <x:c r="H279" s="69" t="str">
        <x:v>No</x:v>
      </x:c>
      <x:c r="I279" s="69" t="str"/>
      <x:c r="J279" s="69" t="str">
        <x:v>green pen, red block, pink marker, blue block</x:v>
      </x:c>
      <x:c r="K279" s="69" t="str">
        <x:v>red block</x:v>
      </x:c>
      <x:c r="L279" s="69" t="str">
        <x:v>Home</x:v>
      </x:c>
      <x:c r="M279" s="69" t="str">
        <x:v>Place the red block to the left of the pink marker.</x:v>
      </x:c>
      <x:c r="N279" s="69" t="str">
        <x:v>green pen, red block, pink marker, blue block</x:v>
      </x:c>
      <x:c r="O279" s="69" t="str">
        <x:v>red block</x:v>
      </x:c>
      <x:c r="P279" s="70" t="str">
        <x:v>Explicitly grounds directional language on other ordered object pairs.</x:v>
      </x:c>
    </x:row>
    <x:row r="280" ht="58" customHeight="1">
      <x:c r="A280" s="100" t="n">
        <x:v>278</x:v>
      </x:c>
      <x:c r="B280" s="69" t="str">
        <x:v>Relational Placement</x:v>
      </x:c>
      <x:c r="C280" s="69" t="str">
        <x:v>Place the red block to the left of the pink marker.</x:v>
      </x:c>
      <x:c r="D280" s="69" t="str">
        <x:v>Explicit spatial-relation grounding</x:v>
      </x:c>
      <x:c r="E280" s="69" t="str">
        <x:v>front / behind / left / right</x:v>
      </x:c>
      <x:c r="F280" s="69" t="str">
        <x:v>relational_explicit_direction</x:v>
      </x:c>
      <x:c r="G280" s="69" t="str">
        <x:v>direction × unordered {green pen, red block} pair, in both target/reference directions</x:v>
      </x:c>
      <x:c r="H280" s="69" t="str">
        <x:v>No</x:v>
      </x:c>
      <x:c r="I280" s="69" t="str"/>
      <x:c r="J280" s="69" t="str">
        <x:v>red block, pink marker, green pen</x:v>
      </x:c>
      <x:c r="K280" s="69" t="str">
        <x:v>red block</x:v>
      </x:c>
      <x:c r="L280" s="69" t="str">
        <x:v>Home</x:v>
      </x:c>
      <x:c r="M280" s="69" t="str">
        <x:v>Place the red block to the left of the pink marker.</x:v>
      </x:c>
      <x:c r="N280" s="69" t="str">
        <x:v>red block, pink marker, green pen</x:v>
      </x:c>
      <x:c r="O280" s="69" t="str">
        <x:v>red block</x:v>
      </x:c>
      <x:c r="P280" s="70" t="str">
        <x:v>Explicitly grounds directional language on other ordered object pairs.</x:v>
      </x:c>
    </x:row>
    <x:row r="281" ht="58" customHeight="1">
      <x:c r="A281" s="100" t="n">
        <x:v>279</x:v>
      </x:c>
      <x:c r="B281" s="69" t="str">
        <x:v>Relational Placement</x:v>
      </x:c>
      <x:c r="C281" s="69" t="str">
        <x:v>Place the red block to the left of the blue block.</x:v>
      </x:c>
      <x:c r="D281" s="69" t="str">
        <x:v>Explicit spatial-relation grounding</x:v>
      </x:c>
      <x:c r="E281" s="69" t="str">
        <x:v>front / behind / left / right</x:v>
      </x:c>
      <x:c r="F281" s="69" t="str">
        <x:v>relational_explicit_direction</x:v>
      </x:c>
      <x:c r="G281" s="69" t="str">
        <x:v>direction × unordered {green pen, red block} pair, in both target/reference directions</x:v>
      </x:c>
      <x:c r="H281" s="69" t="str">
        <x:v>No</x:v>
      </x:c>
      <x:c r="I281" s="69" t="str"/>
      <x:c r="J281" s="69" t="str">
        <x:v>red block, blue block</x:v>
      </x:c>
      <x:c r="K281" s="69" t="str">
        <x:v>red block</x:v>
      </x:c>
      <x:c r="L281" s="69" t="str">
        <x:v>Home</x:v>
      </x:c>
      <x:c r="M281" s="69" t="str">
        <x:v>Place the red block to the left of the blue block.</x:v>
      </x:c>
      <x:c r="N281" s="69" t="str">
        <x:v>red block, blue block</x:v>
      </x:c>
      <x:c r="O281" s="69" t="str">
        <x:v>red block</x:v>
      </x:c>
      <x:c r="P281" s="70" t="str">
        <x:v>Explicitly grounds directional language on other ordered object pairs.</x:v>
      </x:c>
    </x:row>
    <x:row r="282" ht="58" customHeight="1">
      <x:c r="A282" s="100" t="n">
        <x:v>280</x:v>
      </x:c>
      <x:c r="B282" s="69" t="str">
        <x:v>Relational Placement</x:v>
      </x:c>
      <x:c r="C282" s="69" t="str">
        <x:v>Place the red block to the left of the blue block.</x:v>
      </x:c>
      <x:c r="D282" s="69" t="str">
        <x:v>Explicit spatial-relation grounding</x:v>
      </x:c>
      <x:c r="E282" s="69" t="str">
        <x:v>front / behind / left / right</x:v>
      </x:c>
      <x:c r="F282" s="69" t="str">
        <x:v>relational_explicit_direction</x:v>
      </x:c>
      <x:c r="G282" s="69" t="str">
        <x:v>direction × unordered {green pen, red block} pair, in both target/reference directions</x:v>
      </x:c>
      <x:c r="H282" s="69" t="str">
        <x:v>No</x:v>
      </x:c>
      <x:c r="I282" s="69" t="str"/>
      <x:c r="J282" s="69" t="str">
        <x:v>red block, blue block, pink marker</x:v>
      </x:c>
      <x:c r="K282" s="69" t="str">
        <x:v>red block</x:v>
      </x:c>
      <x:c r="L282" s="69" t="str">
        <x:v>Home</x:v>
      </x:c>
      <x:c r="M282" s="69" t="str">
        <x:v>Place the red block to the left of the blue block.</x:v>
      </x:c>
      <x:c r="N282" s="69" t="str">
        <x:v>red block, blue block, pink marker</x:v>
      </x:c>
      <x:c r="O282" s="69" t="str">
        <x:v>red block</x:v>
      </x:c>
      <x:c r="P282" s="70" t="str">
        <x:v>Explicitly grounds directional language on other ordered object pairs.</x:v>
      </x:c>
    </x:row>
    <x:row r="283" ht="58" customHeight="1">
      <x:c r="A283" s="100" t="n">
        <x:v>281</x:v>
      </x:c>
      <x:c r="B283" s="69" t="str">
        <x:v>Relational Placement</x:v>
      </x:c>
      <x:c r="C283" s="69" t="str">
        <x:v>Place the red block to the left of the blue block.</x:v>
      </x:c>
      <x:c r="D283" s="69" t="str">
        <x:v>Explicit spatial-relation grounding</x:v>
      </x:c>
      <x:c r="E283" s="69" t="str">
        <x:v>front / behind / left / right</x:v>
      </x:c>
      <x:c r="F283" s="69" t="str">
        <x:v>relational_explicit_direction</x:v>
      </x:c>
      <x:c r="G283" s="69" t="str">
        <x:v>direction × unordered {green pen, red block} pair, in both target/reference directions</x:v>
      </x:c>
      <x:c r="H283" s="69" t="str">
        <x:v>No</x:v>
      </x:c>
      <x:c r="I283" s="69" t="str"/>
      <x:c r="J283" s="69" t="str">
        <x:v>green pen, red block, pink marker, blue block</x:v>
      </x:c>
      <x:c r="K283" s="69" t="str">
        <x:v>red block</x:v>
      </x:c>
      <x:c r="L283" s="69" t="str">
        <x:v>Home</x:v>
      </x:c>
      <x:c r="M283" s="69" t="str">
        <x:v>Place the red block to the left of the blue block.</x:v>
      </x:c>
      <x:c r="N283" s="69" t="str">
        <x:v>green pen, red block, pink marker, blue block</x:v>
      </x:c>
      <x:c r="O283" s="69" t="str">
        <x:v>red block</x:v>
      </x:c>
      <x:c r="P283" s="70" t="str">
        <x:v>Explicitly grounds directional language on other ordered object pairs.</x:v>
      </x:c>
    </x:row>
    <x:row r="284" ht="58" customHeight="1">
      <x:c r="A284" s="100" t="n">
        <x:v>282</x:v>
      </x:c>
      <x:c r="B284" s="69" t="str">
        <x:v>Relational Placement</x:v>
      </x:c>
      <x:c r="C284" s="69" t="str">
        <x:v>Place the red block to the left of the blue block.</x:v>
      </x:c>
      <x:c r="D284" s="69" t="str">
        <x:v>Explicit spatial-relation grounding</x:v>
      </x:c>
      <x:c r="E284" s="69" t="str">
        <x:v>front / behind / left / right</x:v>
      </x:c>
      <x:c r="F284" s="69" t="str">
        <x:v>relational_explicit_direction</x:v>
      </x:c>
      <x:c r="G284" s="69" t="str">
        <x:v>direction × unordered {green pen, red block} pair, in both target/reference directions</x:v>
      </x:c>
      <x:c r="H284" s="69" t="str">
        <x:v>No</x:v>
      </x:c>
      <x:c r="I284" s="69" t="str"/>
      <x:c r="J284" s="69" t="str">
        <x:v>red block, blue block, green pen</x:v>
      </x:c>
      <x:c r="K284" s="69" t="str">
        <x:v>red block</x:v>
      </x:c>
      <x:c r="L284" s="69" t="str">
        <x:v>Recovery</x:v>
      </x:c>
      <x:c r="M284" s="69" t="str">
        <x:v>Place the red block to the left of the blue block.</x:v>
      </x:c>
      <x:c r="N284" s="69" t="str">
        <x:v>red block, blue block, green pen</x:v>
      </x:c>
      <x:c r="O284" s="69" t="str">
        <x:v>red block</x:v>
      </x:c>
      <x:c r="P284" s="70" t="str">
        <x:v>Explicitly grounds directional language on other ordered object pairs.</x:v>
      </x:c>
    </x:row>
    <x:row r="285" ht="58" customHeight="1">
      <x:c r="A285" s="100" t="n">
        <x:v>283</x:v>
      </x:c>
      <x:c r="B285" s="69" t="str">
        <x:v>Relational Placement</x:v>
      </x:c>
      <x:c r="C285" s="69" t="str">
        <x:v>Put the red block beside the green pen.</x:v>
      </x:c>
      <x:c r="D285" s="69" t="str">
        <x:v>Masked unordered-pair composition</x:v>
      </x:c>
      <x:c r="E285" s="69" t="str">
        <x:v>near / beside / next to; physical exposure to the green-pen/red-block pair</x:v>
      </x:c>
      <x:c r="F285" s="69" t="str">
        <x:v>relational_masked_green_pen_red_block</x:v>
      </x:c>
      <x:c r="G285" s="69" t="str">
        <x:v>direction × unordered {green pen, red block} pair, in both target/reference directions</x:v>
      </x:c>
      <x:c r="H285" s="69" t="str">
        <x:v>No</x:v>
      </x:c>
      <x:c r="I285" s="69" t="str"/>
      <x:c r="J285" s="69" t="str">
        <x:v>red block, green pen</x:v>
      </x:c>
      <x:c r="K285" s="69" t="str">
        <x:v>red block</x:v>
      </x:c>
      <x:c r="L285" s="69" t="str">
        <x:v>Home</x:v>
      </x:c>
      <x:c r="M285" s="69" t="str">
        <x:v>Put the red block beside the green pen.</x:v>
      </x:c>
      <x:c r="N285" s="69" t="str">
        <x:v>red block, green pen</x:v>
      </x:c>
      <x:c r="O285" s="69" t="str">
        <x:v>red block</x:v>
      </x:c>
      <x:c r="P285" s="70" t="str">
        <x:v>Keep the exact successful mask: expose manipulation of the green-pen/red-block pair with a familiar near relation, without directional language.</x:v>
      </x:c>
    </x:row>
    <x:row r="286" ht="58" customHeight="1">
      <x:c r="A286" s="100" t="n">
        <x:v>284</x:v>
      </x:c>
      <x:c r="B286" s="69" t="str">
        <x:v>Relational Placement</x:v>
      </x:c>
      <x:c r="C286" s="69" t="str">
        <x:v>Move the red block near the green pen.</x:v>
      </x:c>
      <x:c r="D286" s="69" t="str">
        <x:v>Masked unordered-pair composition</x:v>
      </x:c>
      <x:c r="E286" s="69" t="str">
        <x:v>near / beside / next to; physical exposure to the green-pen/red-block pair</x:v>
      </x:c>
      <x:c r="F286" s="69" t="str">
        <x:v>relational_masked_green_pen_red_block</x:v>
      </x:c>
      <x:c r="G286" s="69" t="str">
        <x:v>direction × unordered {green pen, red block} pair, in both target/reference directions</x:v>
      </x:c>
      <x:c r="H286" s="69" t="str">
        <x:v>No</x:v>
      </x:c>
      <x:c r="I286" s="69" t="str"/>
      <x:c r="J286" s="69" t="str">
        <x:v>red block, green pen, pink marker</x:v>
      </x:c>
      <x:c r="K286" s="69" t="str">
        <x:v>red block</x:v>
      </x:c>
      <x:c r="L286" s="69" t="str">
        <x:v>Home</x:v>
      </x:c>
      <x:c r="M286" s="69" t="str">
        <x:v>Move the red block near the green pen.</x:v>
      </x:c>
      <x:c r="N286" s="69" t="str">
        <x:v>red block, green pen, pink marker</x:v>
      </x:c>
      <x:c r="O286" s="69" t="str">
        <x:v>red block</x:v>
      </x:c>
      <x:c r="P286" s="70" t="str">
        <x:v>Keep the exact successful mask: expose manipulation of the green-pen/red-block pair with a familiar near relation, without directional language.</x:v>
      </x:c>
    </x:row>
    <x:row r="287" ht="58" customHeight="1">
      <x:c r="A287" s="100" t="n">
        <x:v>285</x:v>
      </x:c>
      <x:c r="B287" s="69" t="str">
        <x:v>Relational Placement</x:v>
      </x:c>
      <x:c r="C287" s="69" t="str">
        <x:v>Place the red block next to the green pen.</x:v>
      </x:c>
      <x:c r="D287" s="69" t="str">
        <x:v>Masked unordered-pair composition</x:v>
      </x:c>
      <x:c r="E287" s="69" t="str">
        <x:v>near / beside / next to; physical exposure to the green-pen/red-block pair</x:v>
      </x:c>
      <x:c r="F287" s="69" t="str">
        <x:v>relational_masked_green_pen_red_block</x:v>
      </x:c>
      <x:c r="G287" s="69" t="str">
        <x:v>direction × unordered {green pen, red block} pair, in both target/reference directions</x:v>
      </x:c>
      <x:c r="H287" s="69" t="str">
        <x:v>No</x:v>
      </x:c>
      <x:c r="I287" s="69" t="str"/>
      <x:c r="J287" s="69" t="str">
        <x:v>green pen, red block, pink marker, blue block</x:v>
      </x:c>
      <x:c r="K287" s="69" t="str">
        <x:v>red block</x:v>
      </x:c>
      <x:c r="L287" s="69" t="str">
        <x:v>Home</x:v>
      </x:c>
      <x:c r="M287" s="69" t="str">
        <x:v>Place the red block next to the green pen.</x:v>
      </x:c>
      <x:c r="N287" s="69" t="str">
        <x:v>green pen, red block, pink marker, blue block</x:v>
      </x:c>
      <x:c r="O287" s="69" t="str">
        <x:v>red block</x:v>
      </x:c>
      <x:c r="P287" s="70" t="str">
        <x:v>Keep the exact successful mask: expose manipulation of the green-pen/red-block pair with a familiar near relation, without directional language.</x:v>
      </x:c>
    </x:row>
    <x:row r="288" ht="58" customHeight="1">
      <x:c r="A288" s="100" t="n">
        <x:v>286</x:v>
      </x:c>
      <x:c r="B288" s="69" t="str">
        <x:v>Relational Placement</x:v>
      </x:c>
      <x:c r="C288" s="69" t="str">
        <x:v>Put the red block beside the green pen.</x:v>
      </x:c>
      <x:c r="D288" s="69" t="str">
        <x:v>Masked unordered-pair composition</x:v>
      </x:c>
      <x:c r="E288" s="69" t="str">
        <x:v>near / beside / next to; physical exposure to the green-pen/red-block pair</x:v>
      </x:c>
      <x:c r="F288" s="69" t="str">
        <x:v>relational_masked_green_pen_red_block</x:v>
      </x:c>
      <x:c r="G288" s="69" t="str">
        <x:v>direction × unordered {green pen, red block} pair, in both target/reference directions</x:v>
      </x:c>
      <x:c r="H288" s="69" t="str">
        <x:v>No</x:v>
      </x:c>
      <x:c r="I288" s="69" t="str"/>
      <x:c r="J288" s="69" t="str">
        <x:v>red block, green pen, blue block</x:v>
      </x:c>
      <x:c r="K288" s="69" t="str">
        <x:v>red block</x:v>
      </x:c>
      <x:c r="L288" s="69" t="str">
        <x:v>Recovery</x:v>
      </x:c>
      <x:c r="M288" s="69" t="str">
        <x:v>Put the red block beside the green pen.</x:v>
      </x:c>
      <x:c r="N288" s="69" t="str">
        <x:v>red block, green pen, blue block</x:v>
      </x:c>
      <x:c r="O288" s="69" t="str">
        <x:v>red block</x:v>
      </x:c>
      <x:c r="P288" s="70" t="str">
        <x:v>Keep the exact successful mask: expose manipulation of the green-pen/red-block pair with a familiar near relation, without directional language.</x:v>
      </x:c>
    </x:row>
    <x:row r="289" ht="58" customHeight="1">
      <x:c r="A289" s="100" t="n">
        <x:v>287</x:v>
      </x:c>
      <x:c r="B289" s="69" t="str">
        <x:v>Relational Placement</x:v>
      </x:c>
      <x:c r="C289" s="69" t="str">
        <x:v>Place the red block to the right of the pink marker.</x:v>
      </x:c>
      <x:c r="D289" s="69" t="str">
        <x:v>Explicit spatial-relation grounding</x:v>
      </x:c>
      <x:c r="E289" s="69" t="str">
        <x:v>front / behind / left / right</x:v>
      </x:c>
      <x:c r="F289" s="69" t="str">
        <x:v>relational_explicit_direction</x:v>
      </x:c>
      <x:c r="G289" s="69" t="str">
        <x:v>direction × unordered {green pen, red block} pair, in both target/reference directions</x:v>
      </x:c>
      <x:c r="H289" s="69" t="str">
        <x:v>No</x:v>
      </x:c>
      <x:c r="I289" s="69" t="str"/>
      <x:c r="J289" s="69" t="str">
        <x:v>red block, pink marker</x:v>
      </x:c>
      <x:c r="K289" s="69" t="str">
        <x:v>red block</x:v>
      </x:c>
      <x:c r="L289" s="69" t="str">
        <x:v>Home</x:v>
      </x:c>
      <x:c r="M289" s="69" t="str">
        <x:v>Place the red block to the right of the pink marker.</x:v>
      </x:c>
      <x:c r="N289" s="69" t="str">
        <x:v>red block, pink marker</x:v>
      </x:c>
      <x:c r="O289" s="69" t="str">
        <x:v>red block</x:v>
      </x:c>
      <x:c r="P289" s="70" t="str">
        <x:v>Explicitly grounds directional language on other ordered object pairs.</x:v>
      </x:c>
    </x:row>
    <x:row r="290" ht="58" customHeight="1">
      <x:c r="A290" s="100" t="n">
        <x:v>288</x:v>
      </x:c>
      <x:c r="B290" s="69" t="str">
        <x:v>Relational Placement</x:v>
      </x:c>
      <x:c r="C290" s="69" t="str">
        <x:v>Place the red block to the right of the pink marker.</x:v>
      </x:c>
      <x:c r="D290" s="69" t="str">
        <x:v>Explicit spatial-relation grounding</x:v>
      </x:c>
      <x:c r="E290" s="69" t="str">
        <x:v>front / behind / left / right</x:v>
      </x:c>
      <x:c r="F290" s="69" t="str">
        <x:v>relational_explicit_direction</x:v>
      </x:c>
      <x:c r="G290" s="69" t="str">
        <x:v>direction × unordered {green pen, red block} pair, in both target/reference directions</x:v>
      </x:c>
      <x:c r="H290" s="69" t="str">
        <x:v>No</x:v>
      </x:c>
      <x:c r="I290" s="69" t="str"/>
      <x:c r="J290" s="69" t="str">
        <x:v>red block, pink marker, blue block</x:v>
      </x:c>
      <x:c r="K290" s="69" t="str">
        <x:v>red block</x:v>
      </x:c>
      <x:c r="L290" s="69" t="str">
        <x:v>Home</x:v>
      </x:c>
      <x:c r="M290" s="69" t="str">
        <x:v>Place the red block to the right of the pink marker.</x:v>
      </x:c>
      <x:c r="N290" s="69" t="str">
        <x:v>red block, pink marker, blue block</x:v>
      </x:c>
      <x:c r="O290" s="69" t="str">
        <x:v>red block</x:v>
      </x:c>
      <x:c r="P290" s="70" t="str">
        <x:v>Explicitly grounds directional language on other ordered object pairs.</x:v>
      </x:c>
    </x:row>
    <x:row r="291" ht="58" customHeight="1">
      <x:c r="A291" s="100" t="n">
        <x:v>289</x:v>
      </x:c>
      <x:c r="B291" s="69" t="str">
        <x:v>Relational Placement</x:v>
      </x:c>
      <x:c r="C291" s="69" t="str">
        <x:v>Place the red block to the right of the pink marker.</x:v>
      </x:c>
      <x:c r="D291" s="69" t="str">
        <x:v>Explicit spatial-relation grounding</x:v>
      </x:c>
      <x:c r="E291" s="69" t="str">
        <x:v>front / behind / left / right</x:v>
      </x:c>
      <x:c r="F291" s="69" t="str">
        <x:v>relational_explicit_direction</x:v>
      </x:c>
      <x:c r="G291" s="69" t="str">
        <x:v>direction × unordered {green pen, red block} pair, in both target/reference directions</x:v>
      </x:c>
      <x:c r="H291" s="69" t="str">
        <x:v>No</x:v>
      </x:c>
      <x:c r="I291" s="69" t="str"/>
      <x:c r="J291" s="69" t="str">
        <x:v>green pen, red block, pink marker, blue block</x:v>
      </x:c>
      <x:c r="K291" s="69" t="str">
        <x:v>red block</x:v>
      </x:c>
      <x:c r="L291" s="69" t="str">
        <x:v>Home</x:v>
      </x:c>
      <x:c r="M291" s="69" t="str">
        <x:v>Place the red block to the right of the pink marker.</x:v>
      </x:c>
      <x:c r="N291" s="69" t="str">
        <x:v>green pen, red block, pink marker, blue block</x:v>
      </x:c>
      <x:c r="O291" s="69" t="str">
        <x:v>red block</x:v>
      </x:c>
      <x:c r="P291" s="70" t="str">
        <x:v>Explicitly grounds directional language on other ordered object pairs.</x:v>
      </x:c>
    </x:row>
    <x:row r="292" ht="58" customHeight="1">
      <x:c r="A292" s="100" t="n">
        <x:v>290</x:v>
      </x:c>
      <x:c r="B292" s="69" t="str">
        <x:v>Relational Placement</x:v>
      </x:c>
      <x:c r="C292" s="69" t="str">
        <x:v>Place the red block to the right of the pink marker.</x:v>
      </x:c>
      <x:c r="D292" s="69" t="str">
        <x:v>Explicit spatial-relation grounding</x:v>
      </x:c>
      <x:c r="E292" s="69" t="str">
        <x:v>front / behind / left / right</x:v>
      </x:c>
      <x:c r="F292" s="69" t="str">
        <x:v>relational_explicit_direction</x:v>
      </x:c>
      <x:c r="G292" s="69" t="str">
        <x:v>direction × unordered {green pen, red block} pair, in both target/reference directions</x:v>
      </x:c>
      <x:c r="H292" s="69" t="str">
        <x:v>No</x:v>
      </x:c>
      <x:c r="I292" s="69" t="str"/>
      <x:c r="J292" s="69" t="str">
        <x:v>red block, pink marker, green pen</x:v>
      </x:c>
      <x:c r="K292" s="69" t="str">
        <x:v>red block</x:v>
      </x:c>
      <x:c r="L292" s="69" t="str">
        <x:v>Recovery</x:v>
      </x:c>
      <x:c r="M292" s="69" t="str">
        <x:v>Place the red block to the right of the pink marker.</x:v>
      </x:c>
      <x:c r="N292" s="69" t="str">
        <x:v>red block, pink marker, green pen</x:v>
      </x:c>
      <x:c r="O292" s="69" t="str">
        <x:v>red block</x:v>
      </x:c>
      <x:c r="P292" s="70" t="str">
        <x:v>Explicitly grounds directional language on other ordered object pairs.</x:v>
      </x:c>
    </x:row>
    <x:row r="293" ht="58" customHeight="1">
      <x:c r="A293" s="100" t="n">
        <x:v>291</x:v>
      </x:c>
      <x:c r="B293" s="69" t="str">
        <x:v>Relational Placement</x:v>
      </x:c>
      <x:c r="C293" s="69" t="str">
        <x:v>Place the red block to the right of the pink marker.</x:v>
      </x:c>
      <x:c r="D293" s="69" t="str">
        <x:v>Explicit spatial-relation grounding</x:v>
      </x:c>
      <x:c r="E293" s="69" t="str">
        <x:v>front / behind / left / right</x:v>
      </x:c>
      <x:c r="F293" s="69" t="str">
        <x:v>relational_explicit_direction</x:v>
      </x:c>
      <x:c r="G293" s="69" t="str">
        <x:v>direction × unordered {green pen, red block} pair, in both target/reference directions</x:v>
      </x:c>
      <x:c r="H293" s="69" t="str">
        <x:v>No</x:v>
      </x:c>
      <x:c r="I293" s="69" t="str"/>
      <x:c r="J293" s="69" t="str">
        <x:v>green pen, red block, pink marker, blue block</x:v>
      </x:c>
      <x:c r="K293" s="69" t="str">
        <x:v>red block</x:v>
      </x:c>
      <x:c r="L293" s="69" t="str">
        <x:v>Home</x:v>
      </x:c>
      <x:c r="M293" s="69" t="str">
        <x:v>Place the red block to the right of the pink marker.</x:v>
      </x:c>
      <x:c r="N293" s="69" t="str">
        <x:v>green pen, red block, pink marker, blue block</x:v>
      </x:c>
      <x:c r="O293" s="69" t="str">
        <x:v>red block</x:v>
      </x:c>
      <x:c r="P293" s="70" t="str">
        <x:v>Explicitly grounds directional language on other ordered object pairs.</x:v>
      </x:c>
    </x:row>
    <x:row r="294" ht="58" customHeight="1">
      <x:c r="A294" s="100" t="n">
        <x:v>292</x:v>
      </x:c>
      <x:c r="B294" s="69" t="str">
        <x:v>Relational Placement</x:v>
      </x:c>
      <x:c r="C294" s="69" t="str">
        <x:v>Place the red block to the right of the blue block.</x:v>
      </x:c>
      <x:c r="D294" s="69" t="str">
        <x:v>Explicit spatial-relation grounding</x:v>
      </x:c>
      <x:c r="E294" s="69" t="str">
        <x:v>front / behind / left / right</x:v>
      </x:c>
      <x:c r="F294" s="69" t="str">
        <x:v>relational_explicit_direction</x:v>
      </x:c>
      <x:c r="G294" s="69" t="str">
        <x:v>direction × unordered {green pen, red block} pair, in both target/reference directions</x:v>
      </x:c>
      <x:c r="H294" s="69" t="str">
        <x:v>No</x:v>
      </x:c>
      <x:c r="I294" s="69" t="str"/>
      <x:c r="J294" s="69" t="str">
        <x:v>red block, blue block</x:v>
      </x:c>
      <x:c r="K294" s="69" t="str">
        <x:v>red block</x:v>
      </x:c>
      <x:c r="L294" s="69" t="str">
        <x:v>Home</x:v>
      </x:c>
      <x:c r="M294" s="69" t="str">
        <x:v>Place the red block to the right of the blue block.</x:v>
      </x:c>
      <x:c r="N294" s="69" t="str">
        <x:v>red block, blue block</x:v>
      </x:c>
      <x:c r="O294" s="69" t="str">
        <x:v>red block</x:v>
      </x:c>
      <x:c r="P294" s="70" t="str">
        <x:v>Explicitly grounds directional language on other ordered object pairs.</x:v>
      </x:c>
    </x:row>
    <x:row r="295" ht="58" customHeight="1">
      <x:c r="A295" s="100" t="n">
        <x:v>293</x:v>
      </x:c>
      <x:c r="B295" s="69" t="str">
        <x:v>Relational Placement</x:v>
      </x:c>
      <x:c r="C295" s="69" t="str">
        <x:v>Place the red block to the right of the blue block.</x:v>
      </x:c>
      <x:c r="D295" s="69" t="str">
        <x:v>Explicit spatial-relation grounding</x:v>
      </x:c>
      <x:c r="E295" s="69" t="str">
        <x:v>front / behind / left / right</x:v>
      </x:c>
      <x:c r="F295" s="69" t="str">
        <x:v>relational_explicit_direction</x:v>
      </x:c>
      <x:c r="G295" s="69" t="str">
        <x:v>direction × unordered {green pen, red block} pair, in both target/reference directions</x:v>
      </x:c>
      <x:c r="H295" s="69" t="str">
        <x:v>No</x:v>
      </x:c>
      <x:c r="I295" s="69" t="str"/>
      <x:c r="J295" s="69" t="str">
        <x:v>red block, blue block, pink marker</x:v>
      </x:c>
      <x:c r="K295" s="69" t="str">
        <x:v>red block</x:v>
      </x:c>
      <x:c r="L295" s="69" t="str">
        <x:v>Home</x:v>
      </x:c>
      <x:c r="M295" s="69" t="str">
        <x:v>Place the red block to the right of the blue block.</x:v>
      </x:c>
      <x:c r="N295" s="69" t="str">
        <x:v>red block, blue block, pink marker</x:v>
      </x:c>
      <x:c r="O295" s="69" t="str">
        <x:v>red block</x:v>
      </x:c>
      <x:c r="P295" s="70" t="str">
        <x:v>Explicitly grounds directional language on other ordered object pairs.</x:v>
      </x:c>
    </x:row>
    <x:row r="296" ht="58" customHeight="1">
      <x:c r="A296" s="100" t="n">
        <x:v>294</x:v>
      </x:c>
      <x:c r="B296" s="69" t="str">
        <x:v>Relational Placement</x:v>
      </x:c>
      <x:c r="C296" s="69" t="str">
        <x:v>Place the red block to the right of the blue block.</x:v>
      </x:c>
      <x:c r="D296" s="69" t="str">
        <x:v>Explicit spatial-relation grounding</x:v>
      </x:c>
      <x:c r="E296" s="69" t="str">
        <x:v>front / behind / left / right</x:v>
      </x:c>
      <x:c r="F296" s="69" t="str">
        <x:v>relational_explicit_direction</x:v>
      </x:c>
      <x:c r="G296" s="69" t="str">
        <x:v>direction × unordered {green pen, red block} pair, in both target/reference directions</x:v>
      </x:c>
      <x:c r="H296" s="69" t="str">
        <x:v>No</x:v>
      </x:c>
      <x:c r="I296" s="69" t="str"/>
      <x:c r="J296" s="69" t="str">
        <x:v>green pen, red block, pink marker, blue block</x:v>
      </x:c>
      <x:c r="K296" s="69" t="str">
        <x:v>red block</x:v>
      </x:c>
      <x:c r="L296" s="69" t="str">
        <x:v>Home</x:v>
      </x:c>
      <x:c r="M296" s="69" t="str">
        <x:v>Place the red block to the right of the blue block.</x:v>
      </x:c>
      <x:c r="N296" s="69" t="str">
        <x:v>green pen, red block, pink marker, blue block</x:v>
      </x:c>
      <x:c r="O296" s="69" t="str">
        <x:v>red block</x:v>
      </x:c>
      <x:c r="P296" s="70" t="str">
        <x:v>Explicitly grounds directional language on other ordered object pairs.</x:v>
      </x:c>
    </x:row>
    <x:row r="297" ht="58" customHeight="1">
      <x:c r="A297" s="100" t="n">
        <x:v>295</x:v>
      </x:c>
      <x:c r="B297" s="69" t="str">
        <x:v>Relational Placement</x:v>
      </x:c>
      <x:c r="C297" s="69" t="str">
        <x:v>Place the red block to the right of the blue block.</x:v>
      </x:c>
      <x:c r="D297" s="69" t="str">
        <x:v>Explicit spatial-relation grounding</x:v>
      </x:c>
      <x:c r="E297" s="69" t="str">
        <x:v>front / behind / left / right</x:v>
      </x:c>
      <x:c r="F297" s="69" t="str">
        <x:v>relational_explicit_direction</x:v>
      </x:c>
      <x:c r="G297" s="69" t="str">
        <x:v>direction × unordered {green pen, red block} pair, in both target/reference directions</x:v>
      </x:c>
      <x:c r="H297" s="69" t="str">
        <x:v>No</x:v>
      </x:c>
      <x:c r="I297" s="69" t="str"/>
      <x:c r="J297" s="69" t="str">
        <x:v>red block, blue block, green pen</x:v>
      </x:c>
      <x:c r="K297" s="69" t="str">
        <x:v>red block</x:v>
      </x:c>
      <x:c r="L297" s="69" t="str">
        <x:v>Recovery</x:v>
      </x:c>
      <x:c r="M297" s="69" t="str">
        <x:v>Place the red block to the right of the blue block.</x:v>
      </x:c>
      <x:c r="N297" s="69" t="str">
        <x:v>red block, blue block, green pen</x:v>
      </x:c>
      <x:c r="O297" s="69" t="str">
        <x:v>red block</x:v>
      </x:c>
      <x:c r="P297" s="70" t="str">
        <x:v>Explicitly grounds directional language on other ordered object pairs.</x:v>
      </x:c>
    </x:row>
    <x:row r="298" ht="58" customHeight="1">
      <x:c r="A298" s="100" t="n">
        <x:v>296</x:v>
      </x:c>
      <x:c r="B298" s="69" t="str">
        <x:v>Relational Placement</x:v>
      </x:c>
      <x:c r="C298" s="69" t="str">
        <x:v>Move the red block near the green pen.</x:v>
      </x:c>
      <x:c r="D298" s="69" t="str">
        <x:v>Masked unordered-pair composition</x:v>
      </x:c>
      <x:c r="E298" s="69" t="str">
        <x:v>near / beside / next to; physical exposure to the green-pen/red-block pair</x:v>
      </x:c>
      <x:c r="F298" s="69" t="str">
        <x:v>relational_masked_green_pen_red_block</x:v>
      </x:c>
      <x:c r="G298" s="69" t="str">
        <x:v>direction × unordered {green pen, red block} pair, in both target/reference directions</x:v>
      </x:c>
      <x:c r="H298" s="69" t="str">
        <x:v>No</x:v>
      </x:c>
      <x:c r="I298" s="69" t="str"/>
      <x:c r="J298" s="69" t="str">
        <x:v>red block, green pen</x:v>
      </x:c>
      <x:c r="K298" s="69" t="str">
        <x:v>red block</x:v>
      </x:c>
      <x:c r="L298" s="69" t="str">
        <x:v>Home</x:v>
      </x:c>
      <x:c r="M298" s="69" t="str">
        <x:v>Move the red block near the green pen.</x:v>
      </x:c>
      <x:c r="N298" s="69" t="str">
        <x:v>red block, green pen</x:v>
      </x:c>
      <x:c r="O298" s="69" t="str">
        <x:v>red block</x:v>
      </x:c>
      <x:c r="P298" s="70" t="str">
        <x:v>Keep the exact successful mask: expose manipulation of the green-pen/red-block pair with a familiar near relation, without directional language.</x:v>
      </x:c>
    </x:row>
    <x:row r="299" ht="58" customHeight="1">
      <x:c r="A299" s="100" t="n">
        <x:v>297</x:v>
      </x:c>
      <x:c r="B299" s="69" t="str">
        <x:v>Relational Placement</x:v>
      </x:c>
      <x:c r="C299" s="69" t="str">
        <x:v>Place the red block next to the green pen.</x:v>
      </x:c>
      <x:c r="D299" s="69" t="str">
        <x:v>Masked unordered-pair composition</x:v>
      </x:c>
      <x:c r="E299" s="69" t="str">
        <x:v>near / beside / next to; physical exposure to the green-pen/red-block pair</x:v>
      </x:c>
      <x:c r="F299" s="69" t="str">
        <x:v>relational_masked_green_pen_red_block</x:v>
      </x:c>
      <x:c r="G299" s="69" t="str">
        <x:v>direction × unordered {green pen, red block} pair, in both target/reference directions</x:v>
      </x:c>
      <x:c r="H299" s="69" t="str">
        <x:v>No</x:v>
      </x:c>
      <x:c r="I299" s="69" t="str"/>
      <x:c r="J299" s="69" t="str">
        <x:v>red block, green pen, pink marker</x:v>
      </x:c>
      <x:c r="K299" s="69" t="str">
        <x:v>red block</x:v>
      </x:c>
      <x:c r="L299" s="69" t="str">
        <x:v>Home</x:v>
      </x:c>
      <x:c r="M299" s="69" t="str">
        <x:v>Place the red block next to the green pen.</x:v>
      </x:c>
      <x:c r="N299" s="69" t="str">
        <x:v>red block, green pen, pink marker</x:v>
      </x:c>
      <x:c r="O299" s="69" t="str">
        <x:v>red block</x:v>
      </x:c>
      <x:c r="P299" s="70" t="str">
        <x:v>Keep the exact successful mask: expose manipulation of the green-pen/red-block pair with a familiar near relation, without directional language.</x:v>
      </x:c>
    </x:row>
    <x:row r="300" ht="58" customHeight="1">
      <x:c r="A300" s="100" t="n">
        <x:v>298</x:v>
      </x:c>
      <x:c r="B300" s="69" t="str">
        <x:v>Relational Placement</x:v>
      </x:c>
      <x:c r="C300" s="69" t="str">
        <x:v>Put the red block beside the green pen.</x:v>
      </x:c>
      <x:c r="D300" s="69" t="str">
        <x:v>Masked unordered-pair composition</x:v>
      </x:c>
      <x:c r="E300" s="69" t="str">
        <x:v>near / beside / next to; physical exposure to the green-pen/red-block pair</x:v>
      </x:c>
      <x:c r="F300" s="69" t="str">
        <x:v>relational_masked_green_pen_red_block</x:v>
      </x:c>
      <x:c r="G300" s="69" t="str">
        <x:v>direction × unordered {green pen, red block} pair, in both target/reference directions</x:v>
      </x:c>
      <x:c r="H300" s="69" t="str">
        <x:v>No</x:v>
      </x:c>
      <x:c r="I300" s="69" t="str"/>
      <x:c r="J300" s="69" t="str">
        <x:v>green pen, red block, pink marker, blue block</x:v>
      </x:c>
      <x:c r="K300" s="69" t="str">
        <x:v>red block</x:v>
      </x:c>
      <x:c r="L300" s="69" t="str">
        <x:v>Home</x:v>
      </x:c>
      <x:c r="M300" s="69" t="str">
        <x:v>Put the red block beside the green pen.</x:v>
      </x:c>
      <x:c r="N300" s="69" t="str">
        <x:v>green pen, red block, pink marker, blue block</x:v>
      </x:c>
      <x:c r="O300" s="69" t="str">
        <x:v>red block</x:v>
      </x:c>
      <x:c r="P300" s="70" t="str">
        <x:v>Keep the exact successful mask: expose manipulation of the green-pen/red-block pair with a familiar near relation, without directional language.</x:v>
      </x:c>
    </x:row>
    <x:row r="301" ht="58" customHeight="1">
      <x:c r="A301" s="100" t="n">
        <x:v>299</x:v>
      </x:c>
      <x:c r="B301" s="69" t="str">
        <x:v>Relational Placement</x:v>
      </x:c>
      <x:c r="C301" s="69" t="str">
        <x:v>Move the red block near the green pen.</x:v>
      </x:c>
      <x:c r="D301" s="69" t="str">
        <x:v>Masked unordered-pair composition</x:v>
      </x:c>
      <x:c r="E301" s="69" t="str">
        <x:v>near / beside / next to; physical exposure to the green-pen/red-block pair</x:v>
      </x:c>
      <x:c r="F301" s="69" t="str">
        <x:v>relational_masked_green_pen_red_block</x:v>
      </x:c>
      <x:c r="G301" s="69" t="str">
        <x:v>direction × unordered {green pen, red block} pair, in both target/reference directions</x:v>
      </x:c>
      <x:c r="H301" s="69" t="str">
        <x:v>No</x:v>
      </x:c>
      <x:c r="I301" s="69" t="str"/>
      <x:c r="J301" s="69" t="str">
        <x:v>red block, green pen, blue block</x:v>
      </x:c>
      <x:c r="K301" s="69" t="str">
        <x:v>red block</x:v>
      </x:c>
      <x:c r="L301" s="69" t="str">
        <x:v>Recovery</x:v>
      </x:c>
      <x:c r="M301" s="69" t="str">
        <x:v>Move the red block near the green pen.</x:v>
      </x:c>
      <x:c r="N301" s="69" t="str">
        <x:v>red block, green pen, blue block</x:v>
      </x:c>
      <x:c r="O301" s="69" t="str">
        <x:v>red block</x:v>
      </x:c>
      <x:c r="P301" s="70" t="str">
        <x:v>Keep the exact successful mask: expose manipulation of the green-pen/red-block pair with a familiar near relation, without directional language.</x:v>
      </x:c>
    </x:row>
    <x:row r="302" ht="58" customHeight="1">
      <x:c r="A302" s="100" t="n">
        <x:v>300</x:v>
      </x:c>
      <x:c r="B302" s="69" t="str">
        <x:v>Relational Placement</x:v>
      </x:c>
      <x:c r="C302" s="69" t="str">
        <x:v>Move the pink marker to the front of the blue block.</x:v>
      </x:c>
      <x:c r="D302" s="69" t="str">
        <x:v>Explicit spatial-relation grounding</x:v>
      </x:c>
      <x:c r="E302" s="69" t="str">
        <x:v>front / behind / left / right</x:v>
      </x:c>
      <x:c r="F302" s="69" t="str">
        <x:v>relational_explicit_direction</x:v>
      </x:c>
      <x:c r="G302" s="69" t="str">
        <x:v>direction × unordered {green pen, red block} pair, in both target/reference directions</x:v>
      </x:c>
      <x:c r="H302" s="69" t="str">
        <x:v>No</x:v>
      </x:c>
      <x:c r="I302" s="69" t="str"/>
      <x:c r="J302" s="69" t="str">
        <x:v>pink marker, blue block</x:v>
      </x:c>
      <x:c r="K302" s="69" t="str">
        <x:v>pink marker</x:v>
      </x:c>
      <x:c r="L302" s="69" t="str">
        <x:v>Home</x:v>
      </x:c>
      <x:c r="M302" s="69" t="str">
        <x:v>Move the pink marker to the front of the blue block.</x:v>
      </x:c>
      <x:c r="N302" s="69" t="str">
        <x:v>pink marker, blue block</x:v>
      </x:c>
      <x:c r="O302" s="69" t="str">
        <x:v>pink marker</x:v>
      </x:c>
      <x:c r="P302" s="70" t="str">
        <x:v>Explicitly grounds directional language on other ordered object pairs.</x:v>
      </x:c>
    </x:row>
    <x:row r="303" ht="58" customHeight="1">
      <x:c r="A303" s="100" t="n">
        <x:v>301</x:v>
      </x:c>
      <x:c r="B303" s="69" t="str">
        <x:v>Relational Placement</x:v>
      </x:c>
      <x:c r="C303" s="69" t="str">
        <x:v>Put the pink marker on the table in front of the blue block.</x:v>
      </x:c>
      <x:c r="D303" s="69" t="str">
        <x:v>Explicit spatial-relation grounding</x:v>
      </x:c>
      <x:c r="E303" s="69" t="str">
        <x:v>front / behind / left / right</x:v>
      </x:c>
      <x:c r="F303" s="69" t="str">
        <x:v>relational_explicit_direction</x:v>
      </x:c>
      <x:c r="G303" s="69" t="str">
        <x:v>direction × unordered {green pen, red block} pair, in both target/reference directions</x:v>
      </x:c>
      <x:c r="H303" s="69" t="str">
        <x:v>No</x:v>
      </x:c>
      <x:c r="I303" s="69" t="str"/>
      <x:c r="J303" s="69" t="str">
        <x:v>pink marker, blue block, green pen</x:v>
      </x:c>
      <x:c r="K303" s="69" t="str">
        <x:v>pink marker</x:v>
      </x:c>
      <x:c r="L303" s="69" t="str">
        <x:v>Home</x:v>
      </x:c>
      <x:c r="M303" s="69" t="str">
        <x:v>Put the pink marker on the table in front of the blue block.</x:v>
      </x:c>
      <x:c r="N303" s="69" t="str">
        <x:v>pink marker, blue block, green pen</x:v>
      </x:c>
      <x:c r="O303" s="69" t="str">
        <x:v>pink marker</x:v>
      </x:c>
      <x:c r="P303" s="70" t="str">
        <x:v>Explicitly grounds directional language on other ordered object pairs.</x:v>
      </x:c>
    </x:row>
    <x:row r="304" ht="58" customHeight="1">
      <x:c r="A304" s="100" t="n">
        <x:v>302</x:v>
      </x:c>
      <x:c r="B304" s="69" t="str">
        <x:v>Relational Placement</x:v>
      </x:c>
      <x:c r="C304" s="69" t="str">
        <x:v>Move the pink marker to the front of the blue block.</x:v>
      </x:c>
      <x:c r="D304" s="69" t="str">
        <x:v>Explicit spatial-relation grounding</x:v>
      </x:c>
      <x:c r="E304" s="69" t="str">
        <x:v>front / behind / left / right</x:v>
      </x:c>
      <x:c r="F304" s="69" t="str">
        <x:v>relational_explicit_direction</x:v>
      </x:c>
      <x:c r="G304" s="69" t="str">
        <x:v>direction × unordered {green pen, red block} pair, in both target/reference directions</x:v>
      </x:c>
      <x:c r="H304" s="69" t="str">
        <x:v>No</x:v>
      </x:c>
      <x:c r="I304" s="69" t="str"/>
      <x:c r="J304" s="69" t="str">
        <x:v>green pen, red block, pink marker, blue block</x:v>
      </x:c>
      <x:c r="K304" s="69" t="str">
        <x:v>pink marker</x:v>
      </x:c>
      <x:c r="L304" s="69" t="str">
        <x:v>Home</x:v>
      </x:c>
      <x:c r="M304" s="69" t="str">
        <x:v>Move the pink marker to the front of the blue block.</x:v>
      </x:c>
      <x:c r="N304" s="69" t="str">
        <x:v>green pen, red block, pink marker, blue block</x:v>
      </x:c>
      <x:c r="O304" s="69" t="str">
        <x:v>pink marker</x:v>
      </x:c>
      <x:c r="P304" s="70" t="str">
        <x:v>Explicitly grounds directional language on other ordered object pairs.</x:v>
      </x:c>
    </x:row>
    <x:row r="305" ht="58" customHeight="1">
      <x:c r="A305" s="100" t="n">
        <x:v>303</x:v>
      </x:c>
      <x:c r="B305" s="69" t="str">
        <x:v>Relational Placement</x:v>
      </x:c>
      <x:c r="C305" s="69" t="str">
        <x:v>Put the pink marker on the table in front of the blue block.</x:v>
      </x:c>
      <x:c r="D305" s="69" t="str">
        <x:v>Explicit spatial-relation grounding</x:v>
      </x:c>
      <x:c r="E305" s="69" t="str">
        <x:v>front / behind / left / right</x:v>
      </x:c>
      <x:c r="F305" s="69" t="str">
        <x:v>relational_explicit_direction</x:v>
      </x:c>
      <x:c r="G305" s="69" t="str">
        <x:v>direction × unordered {green pen, red block} pair, in both target/reference directions</x:v>
      </x:c>
      <x:c r="H305" s="69" t="str">
        <x:v>No</x:v>
      </x:c>
      <x:c r="I305" s="69" t="str"/>
      <x:c r="J305" s="69" t="str">
        <x:v>pink marker, blue block, red block</x:v>
      </x:c>
      <x:c r="K305" s="69" t="str">
        <x:v>pink marker</x:v>
      </x:c>
      <x:c r="L305" s="69" t="str">
        <x:v>Recovery</x:v>
      </x:c>
      <x:c r="M305" s="69" t="str">
        <x:v>Put the pink marker on the table in front of the blue block.</x:v>
      </x:c>
      <x:c r="N305" s="69" t="str">
        <x:v>pink marker, blue block, red block</x:v>
      </x:c>
      <x:c r="O305" s="69" t="str">
        <x:v>pink marker</x:v>
      </x:c>
      <x:c r="P305" s="70" t="str">
        <x:v>Explicitly grounds directional language on other ordered object pairs.</x:v>
      </x:c>
    </x:row>
    <x:row r="306" ht="58" customHeight="1">
      <x:c r="A306" s="100" t="n">
        <x:v>304</x:v>
      </x:c>
      <x:c r="B306" s="69" t="str">
        <x:v>Relational Placement</x:v>
      </x:c>
      <x:c r="C306" s="69" t="str">
        <x:v>Put the pink marker on the table in front of the green pen.</x:v>
      </x:c>
      <x:c r="D306" s="69" t="str">
        <x:v>Explicit spatial-relation grounding</x:v>
      </x:c>
      <x:c r="E306" s="69" t="str">
        <x:v>front / behind / left / right</x:v>
      </x:c>
      <x:c r="F306" s="69" t="str">
        <x:v>relational_explicit_direction</x:v>
      </x:c>
      <x:c r="G306" s="69" t="str">
        <x:v>direction × unordered {green pen, red block} pair, in both target/reference directions</x:v>
      </x:c>
      <x:c r="H306" s="69" t="str">
        <x:v>No</x:v>
      </x:c>
      <x:c r="I306" s="69" t="str"/>
      <x:c r="J306" s="69" t="str">
        <x:v>pink marker, green pen</x:v>
      </x:c>
      <x:c r="K306" s="69" t="str">
        <x:v>pink marker</x:v>
      </x:c>
      <x:c r="L306" s="69" t="str">
        <x:v>Home</x:v>
      </x:c>
      <x:c r="M306" s="69" t="str">
        <x:v>Put the pink marker on the table in front of the green pen.</x:v>
      </x:c>
      <x:c r="N306" s="69" t="str">
        <x:v>pink marker, green pen</x:v>
      </x:c>
      <x:c r="O306" s="69" t="str">
        <x:v>pink marker</x:v>
      </x:c>
      <x:c r="P306" s="70" t="str">
        <x:v>Explicitly grounds directional language on other ordered object pairs.</x:v>
      </x:c>
    </x:row>
    <x:row r="307" ht="58" customHeight="1">
      <x:c r="A307" s="100" t="n">
        <x:v>305</x:v>
      </x:c>
      <x:c r="B307" s="69" t="str">
        <x:v>Relational Placement</x:v>
      </x:c>
      <x:c r="C307" s="69" t="str">
        <x:v>Move the pink marker to the front of the green pen.</x:v>
      </x:c>
      <x:c r="D307" s="69" t="str">
        <x:v>Explicit spatial-relation grounding</x:v>
      </x:c>
      <x:c r="E307" s="69" t="str">
        <x:v>front / behind / left / right</x:v>
      </x:c>
      <x:c r="F307" s="69" t="str">
        <x:v>relational_explicit_direction</x:v>
      </x:c>
      <x:c r="G307" s="69" t="str">
        <x:v>direction × unordered {green pen, red block} pair, in both target/reference directions</x:v>
      </x:c>
      <x:c r="H307" s="69" t="str">
        <x:v>No</x:v>
      </x:c>
      <x:c r="I307" s="69" t="str"/>
      <x:c r="J307" s="69" t="str">
        <x:v>pink marker, green pen, blue block</x:v>
      </x:c>
      <x:c r="K307" s="69" t="str">
        <x:v>pink marker</x:v>
      </x:c>
      <x:c r="L307" s="69" t="str">
        <x:v>Home</x:v>
      </x:c>
      <x:c r="M307" s="69" t="str">
        <x:v>Move the pink marker to the front of the green pen.</x:v>
      </x:c>
      <x:c r="N307" s="69" t="str">
        <x:v>pink marker, green pen, blue block</x:v>
      </x:c>
      <x:c r="O307" s="69" t="str">
        <x:v>pink marker</x:v>
      </x:c>
      <x:c r="P307" s="70" t="str">
        <x:v>Explicitly grounds directional language on other ordered object pairs.</x:v>
      </x:c>
    </x:row>
    <x:row r="308" ht="58" customHeight="1">
      <x:c r="A308" s="100" t="n">
        <x:v>306</x:v>
      </x:c>
      <x:c r="B308" s="69" t="str">
        <x:v>Relational Placement</x:v>
      </x:c>
      <x:c r="C308" s="69" t="str">
        <x:v>Place the pink marker in front of the green pen.</x:v>
      </x:c>
      <x:c r="D308" s="69" t="str">
        <x:v>Explicit spatial-relation grounding</x:v>
      </x:c>
      <x:c r="E308" s="69" t="str">
        <x:v>front / behind / left / right</x:v>
      </x:c>
      <x:c r="F308" s="69" t="str">
        <x:v>relational_explicit_direction</x:v>
      </x:c>
      <x:c r="G308" s="69" t="str">
        <x:v>direction × unordered {green pen, red block} pair, in both target/reference directions</x:v>
      </x:c>
      <x:c r="H308" s="69" t="str">
        <x:v>No</x:v>
      </x:c>
      <x:c r="I308" s="69" t="str"/>
      <x:c r="J308" s="69" t="str">
        <x:v>green pen, red block, pink marker, blue block</x:v>
      </x:c>
      <x:c r="K308" s="69" t="str">
        <x:v>pink marker</x:v>
      </x:c>
      <x:c r="L308" s="69" t="str">
        <x:v>Home</x:v>
      </x:c>
      <x:c r="M308" s="69" t="str">
        <x:v>Place the pink marker in front of the green pen.</x:v>
      </x:c>
      <x:c r="N308" s="69" t="str">
        <x:v>green pen, red block, pink marker, blue block</x:v>
      </x:c>
      <x:c r="O308" s="69" t="str">
        <x:v>pink marker</x:v>
      </x:c>
      <x:c r="P308" s="70" t="str">
        <x:v>Explicitly grounds directional language on other ordered object pairs.</x:v>
      </x:c>
    </x:row>
    <x:row r="309" ht="58" customHeight="1">
      <x:c r="A309" s="100" t="n">
        <x:v>307</x:v>
      </x:c>
      <x:c r="B309" s="69" t="str">
        <x:v>Relational Placement</x:v>
      </x:c>
      <x:c r="C309" s="69" t="str">
        <x:v>Place the pink marker in front of the green pen.</x:v>
      </x:c>
      <x:c r="D309" s="69" t="str">
        <x:v>Explicit spatial-relation grounding</x:v>
      </x:c>
      <x:c r="E309" s="69" t="str">
        <x:v>front / behind / left / right</x:v>
      </x:c>
      <x:c r="F309" s="69" t="str">
        <x:v>relational_explicit_direction</x:v>
      </x:c>
      <x:c r="G309" s="69" t="str">
        <x:v>direction × unordered {green pen, red block} pair, in both target/reference directions</x:v>
      </x:c>
      <x:c r="H309" s="69" t="str">
        <x:v>No</x:v>
      </x:c>
      <x:c r="I309" s="69" t="str"/>
      <x:c r="J309" s="69" t="str">
        <x:v>pink marker, green pen, red block</x:v>
      </x:c>
      <x:c r="K309" s="69" t="str">
        <x:v>pink marker</x:v>
      </x:c>
      <x:c r="L309" s="69" t="str">
        <x:v>Recovery</x:v>
      </x:c>
      <x:c r="M309" s="69" t="str">
        <x:v>Place the pink marker in front of the green pen.</x:v>
      </x:c>
      <x:c r="N309" s="69" t="str">
        <x:v>pink marker, green pen, red block</x:v>
      </x:c>
      <x:c r="O309" s="69" t="str">
        <x:v>pink marker</x:v>
      </x:c>
      <x:c r="P309" s="70" t="str">
        <x:v>Explicitly grounds directional language on other ordered object pairs.</x:v>
      </x:c>
    </x:row>
    <x:row r="310" ht="58" customHeight="1">
      <x:c r="A310" s="100" t="n">
        <x:v>308</x:v>
      </x:c>
      <x:c r="B310" s="69" t="str">
        <x:v>Relational Placement</x:v>
      </x:c>
      <x:c r="C310" s="69" t="str">
        <x:v>Move the pink marker to the front of the red block.</x:v>
      </x:c>
      <x:c r="D310" s="69" t="str">
        <x:v>Explicit spatial-relation grounding</x:v>
      </x:c>
      <x:c r="E310" s="69" t="str">
        <x:v>front / behind / left / right</x:v>
      </x:c>
      <x:c r="F310" s="69" t="str">
        <x:v>relational_explicit_direction</x:v>
      </x:c>
      <x:c r="G310" s="69" t="str">
        <x:v>direction × unordered {green pen, red block} pair, in both target/reference directions</x:v>
      </x:c>
      <x:c r="H310" s="69" t="str">
        <x:v>No</x:v>
      </x:c>
      <x:c r="I310" s="69" t="str"/>
      <x:c r="J310" s="69" t="str">
        <x:v>pink marker, red block</x:v>
      </x:c>
      <x:c r="K310" s="69" t="str">
        <x:v>pink marker</x:v>
      </x:c>
      <x:c r="L310" s="69" t="str">
        <x:v>Home</x:v>
      </x:c>
      <x:c r="M310" s="69" t="str">
        <x:v>Move the pink marker to the front of the red block.</x:v>
      </x:c>
      <x:c r="N310" s="69" t="str">
        <x:v>pink marker, red block</x:v>
      </x:c>
      <x:c r="O310" s="69" t="str">
        <x:v>pink marker</x:v>
      </x:c>
      <x:c r="P310" s="70" t="str">
        <x:v>Explicitly grounds directional language on other ordered object pairs.</x:v>
      </x:c>
    </x:row>
    <x:row r="311" ht="58" customHeight="1">
      <x:c r="A311" s="100" t="n">
        <x:v>309</x:v>
      </x:c>
      <x:c r="B311" s="69" t="str">
        <x:v>Relational Placement</x:v>
      </x:c>
      <x:c r="C311" s="69" t="str">
        <x:v>Place the pink marker in front of the red block.</x:v>
      </x:c>
      <x:c r="D311" s="69" t="str">
        <x:v>Explicit spatial-relation grounding</x:v>
      </x:c>
      <x:c r="E311" s="69" t="str">
        <x:v>front / behind / left / right</x:v>
      </x:c>
      <x:c r="F311" s="69" t="str">
        <x:v>relational_explicit_direction</x:v>
      </x:c>
      <x:c r="G311" s="69" t="str">
        <x:v>direction × unordered {green pen, red block} pair, in both target/reference directions</x:v>
      </x:c>
      <x:c r="H311" s="69" t="str">
        <x:v>No</x:v>
      </x:c>
      <x:c r="I311" s="69" t="str"/>
      <x:c r="J311" s="69" t="str">
        <x:v>pink marker, red block, blue block</x:v>
      </x:c>
      <x:c r="K311" s="69" t="str">
        <x:v>pink marker</x:v>
      </x:c>
      <x:c r="L311" s="69" t="str">
        <x:v>Home</x:v>
      </x:c>
      <x:c r="M311" s="69" t="str">
        <x:v>Place the pink marker in front of the red block.</x:v>
      </x:c>
      <x:c r="N311" s="69" t="str">
        <x:v>pink marker, red block, blue block</x:v>
      </x:c>
      <x:c r="O311" s="69" t="str">
        <x:v>pink marker</x:v>
      </x:c>
      <x:c r="P311" s="70" t="str">
        <x:v>Explicitly grounds directional language on other ordered object pairs.</x:v>
      </x:c>
    </x:row>
    <x:row r="312" ht="58" customHeight="1">
      <x:c r="A312" s="100" t="n">
        <x:v>310</x:v>
      </x:c>
      <x:c r="B312" s="69" t="str">
        <x:v>Relational Placement</x:v>
      </x:c>
      <x:c r="C312" s="69" t="str">
        <x:v>Place the pink marker in front of the red block.</x:v>
      </x:c>
      <x:c r="D312" s="69" t="str">
        <x:v>Explicit spatial-relation grounding</x:v>
      </x:c>
      <x:c r="E312" s="69" t="str">
        <x:v>front / behind / left / right</x:v>
      </x:c>
      <x:c r="F312" s="69" t="str">
        <x:v>relational_explicit_direction</x:v>
      </x:c>
      <x:c r="G312" s="69" t="str">
        <x:v>direction × unordered {green pen, red block} pair, in both target/reference directions</x:v>
      </x:c>
      <x:c r="H312" s="69" t="str">
        <x:v>No</x:v>
      </x:c>
      <x:c r="I312" s="69" t="str"/>
      <x:c r="J312" s="69" t="str">
        <x:v>green pen, red block, pink marker, blue block</x:v>
      </x:c>
      <x:c r="K312" s="69" t="str">
        <x:v>pink marker</x:v>
      </x:c>
      <x:c r="L312" s="69" t="str">
        <x:v>Home</x:v>
      </x:c>
      <x:c r="M312" s="69" t="str">
        <x:v>Place the pink marker in front of the red block.</x:v>
      </x:c>
      <x:c r="N312" s="69" t="str">
        <x:v>green pen, red block, pink marker, blue block</x:v>
      </x:c>
      <x:c r="O312" s="69" t="str">
        <x:v>pink marker</x:v>
      </x:c>
      <x:c r="P312" s="70" t="str">
        <x:v>Explicitly grounds directional language on other ordered object pairs.</x:v>
      </x:c>
    </x:row>
    <x:row r="313" ht="58" customHeight="1">
      <x:c r="A313" s="100" t="n">
        <x:v>311</x:v>
      </x:c>
      <x:c r="B313" s="69" t="str">
        <x:v>Relational Placement</x:v>
      </x:c>
      <x:c r="C313" s="69" t="str">
        <x:v>Move the pink marker to the front of the red block.</x:v>
      </x:c>
      <x:c r="D313" s="69" t="str">
        <x:v>Explicit spatial-relation grounding</x:v>
      </x:c>
      <x:c r="E313" s="69" t="str">
        <x:v>front / behind / left / right</x:v>
      </x:c>
      <x:c r="F313" s="69" t="str">
        <x:v>relational_explicit_direction</x:v>
      </x:c>
      <x:c r="G313" s="69" t="str">
        <x:v>direction × unordered {green pen, red block} pair, in both target/reference directions</x:v>
      </x:c>
      <x:c r="H313" s="69" t="str">
        <x:v>No</x:v>
      </x:c>
      <x:c r="I313" s="69" t="str"/>
      <x:c r="J313" s="69" t="str">
        <x:v>pink marker, red block, green pen</x:v>
      </x:c>
      <x:c r="K313" s="69" t="str">
        <x:v>pink marker</x:v>
      </x:c>
      <x:c r="L313" s="69" t="str">
        <x:v>Home</x:v>
      </x:c>
      <x:c r="M313" s="69" t="str">
        <x:v>Move the pink marker to the front of the red block.</x:v>
      </x:c>
      <x:c r="N313" s="69" t="str">
        <x:v>pink marker, red block, green pen</x:v>
      </x:c>
      <x:c r="O313" s="69" t="str">
        <x:v>pink marker</x:v>
      </x:c>
      <x:c r="P313" s="70" t="str">
        <x:v>Explicitly grounds directional language on other ordered object pairs.</x:v>
      </x:c>
    </x:row>
    <x:row r="314" ht="58" customHeight="1">
      <x:c r="A314" s="100" t="n">
        <x:v>312</x:v>
      </x:c>
      <x:c r="B314" s="69" t="str">
        <x:v>Relational Placement</x:v>
      </x:c>
      <x:c r="C314" s="69" t="str">
        <x:v>Move the pink marker to the back of the blue block.</x:v>
      </x:c>
      <x:c r="D314" s="69" t="str">
        <x:v>Explicit spatial-relation grounding</x:v>
      </x:c>
      <x:c r="E314" s="69" t="str">
        <x:v>front / behind / left / right</x:v>
      </x:c>
      <x:c r="F314" s="69" t="str">
        <x:v>relational_explicit_direction</x:v>
      </x:c>
      <x:c r="G314" s="69" t="str">
        <x:v>direction × unordered {green pen, red block} pair, in both target/reference directions</x:v>
      </x:c>
      <x:c r="H314" s="69" t="str">
        <x:v>No</x:v>
      </x:c>
      <x:c r="I314" s="69" t="str"/>
      <x:c r="J314" s="69" t="str">
        <x:v>pink marker, blue block</x:v>
      </x:c>
      <x:c r="K314" s="69" t="str">
        <x:v>pink marker</x:v>
      </x:c>
      <x:c r="L314" s="69" t="str">
        <x:v>Home</x:v>
      </x:c>
      <x:c r="M314" s="69" t="str">
        <x:v>Move the pink marker to the back of the blue block.</x:v>
      </x:c>
      <x:c r="N314" s="69" t="str">
        <x:v>pink marker, blue block</x:v>
      </x:c>
      <x:c r="O314" s="69" t="str">
        <x:v>pink marker</x:v>
      </x:c>
      <x:c r="P314" s="70" t="str">
        <x:v>Explicitly grounds directional language on other ordered object pairs.</x:v>
      </x:c>
    </x:row>
    <x:row r="315" ht="58" customHeight="1">
      <x:c r="A315" s="100" t="n">
        <x:v>313</x:v>
      </x:c>
      <x:c r="B315" s="69" t="str">
        <x:v>Relational Placement</x:v>
      </x:c>
      <x:c r="C315" s="69" t="str">
        <x:v>Move the pink marker to the back of the blue block.</x:v>
      </x:c>
      <x:c r="D315" s="69" t="str">
        <x:v>Explicit spatial-relation grounding</x:v>
      </x:c>
      <x:c r="E315" s="69" t="str">
        <x:v>front / behind / left / right</x:v>
      </x:c>
      <x:c r="F315" s="69" t="str">
        <x:v>relational_explicit_direction</x:v>
      </x:c>
      <x:c r="G315" s="69" t="str">
        <x:v>direction × unordered {green pen, red block} pair, in both target/reference directions</x:v>
      </x:c>
      <x:c r="H315" s="69" t="str">
        <x:v>No</x:v>
      </x:c>
      <x:c r="I315" s="69" t="str"/>
      <x:c r="J315" s="69" t="str">
        <x:v>pink marker, blue block, green pen</x:v>
      </x:c>
      <x:c r="K315" s="69" t="str">
        <x:v>pink marker</x:v>
      </x:c>
      <x:c r="L315" s="69" t="str">
        <x:v>Home</x:v>
      </x:c>
      <x:c r="M315" s="69" t="str">
        <x:v>Move the pink marker to the back of the blue block.</x:v>
      </x:c>
      <x:c r="N315" s="69" t="str">
        <x:v>pink marker, blue block, green pen</x:v>
      </x:c>
      <x:c r="O315" s="69" t="str">
        <x:v>pink marker</x:v>
      </x:c>
      <x:c r="P315" s="70" t="str">
        <x:v>Explicitly grounds directional language on other ordered object pairs.</x:v>
      </x:c>
    </x:row>
    <x:row r="316" ht="58" customHeight="1">
      <x:c r="A316" s="100" t="n">
        <x:v>314</x:v>
      </x:c>
      <x:c r="B316" s="69" t="str">
        <x:v>Relational Placement</x:v>
      </x:c>
      <x:c r="C316" s="69" t="str">
        <x:v>Move the pink marker to the back of the blue block.</x:v>
      </x:c>
      <x:c r="D316" s="69" t="str">
        <x:v>Explicit spatial-relation grounding</x:v>
      </x:c>
      <x:c r="E316" s="69" t="str">
        <x:v>front / behind / left / right</x:v>
      </x:c>
      <x:c r="F316" s="69" t="str">
        <x:v>relational_explicit_direction</x:v>
      </x:c>
      <x:c r="G316" s="69" t="str">
        <x:v>direction × unordered {green pen, red block} pair, in both target/reference directions</x:v>
      </x:c>
      <x:c r="H316" s="69" t="str">
        <x:v>No</x:v>
      </x:c>
      <x:c r="I316" s="69" t="str"/>
      <x:c r="J316" s="69" t="str">
        <x:v>green pen, red block, pink marker, blue block</x:v>
      </x:c>
      <x:c r="K316" s="69" t="str">
        <x:v>pink marker</x:v>
      </x:c>
      <x:c r="L316" s="69" t="str">
        <x:v>Home</x:v>
      </x:c>
      <x:c r="M316" s="69" t="str">
        <x:v>Move the pink marker to the back of the blue block.</x:v>
      </x:c>
      <x:c r="N316" s="69" t="str">
        <x:v>green pen, red block, pink marker, blue block</x:v>
      </x:c>
      <x:c r="O316" s="69" t="str">
        <x:v>pink marker</x:v>
      </x:c>
      <x:c r="P316" s="70" t="str">
        <x:v>Explicitly grounds directional language on other ordered object pairs.</x:v>
      </x:c>
    </x:row>
    <x:row r="317" ht="58" customHeight="1">
      <x:c r="A317" s="100" t="n">
        <x:v>315</x:v>
      </x:c>
      <x:c r="B317" s="69" t="str">
        <x:v>Relational Placement</x:v>
      </x:c>
      <x:c r="C317" s="69" t="str">
        <x:v>Move the pink marker to the back of the blue block.</x:v>
      </x:c>
      <x:c r="D317" s="69" t="str">
        <x:v>Explicit spatial-relation grounding</x:v>
      </x:c>
      <x:c r="E317" s="69" t="str">
        <x:v>front / behind / left / right</x:v>
      </x:c>
      <x:c r="F317" s="69" t="str">
        <x:v>relational_explicit_direction</x:v>
      </x:c>
      <x:c r="G317" s="69" t="str">
        <x:v>direction × unordered {green pen, red block} pair, in both target/reference directions</x:v>
      </x:c>
      <x:c r="H317" s="69" t="str">
        <x:v>No</x:v>
      </x:c>
      <x:c r="I317" s="69" t="str"/>
      <x:c r="J317" s="69" t="str">
        <x:v>pink marker, blue block, red block</x:v>
      </x:c>
      <x:c r="K317" s="69" t="str">
        <x:v>pink marker</x:v>
      </x:c>
      <x:c r="L317" s="69" t="str">
        <x:v>Recovery</x:v>
      </x:c>
      <x:c r="M317" s="69" t="str">
        <x:v>Move the pink marker to the back of the blue block.</x:v>
      </x:c>
      <x:c r="N317" s="69" t="str">
        <x:v>pink marker, blue block, red block</x:v>
      </x:c>
      <x:c r="O317" s="69" t="str">
        <x:v>pink marker</x:v>
      </x:c>
      <x:c r="P317" s="70" t="str">
        <x:v>Explicitly grounds directional language on other ordered object pairs.</x:v>
      </x:c>
    </x:row>
    <x:row r="318" ht="58" customHeight="1">
      <x:c r="A318" s="100" t="n">
        <x:v>316</x:v>
      </x:c>
      <x:c r="B318" s="69" t="str">
        <x:v>Relational Placement</x:v>
      </x:c>
      <x:c r="C318" s="69" t="str">
        <x:v>Put the pink marker on the table behind the blue block.</x:v>
      </x:c>
      <x:c r="D318" s="69" t="str">
        <x:v>Explicit spatial-relation grounding</x:v>
      </x:c>
      <x:c r="E318" s="69" t="str">
        <x:v>front / behind / left / right</x:v>
      </x:c>
      <x:c r="F318" s="69" t="str">
        <x:v>relational_explicit_direction</x:v>
      </x:c>
      <x:c r="G318" s="69" t="str">
        <x:v>direction × unordered {green pen, red block} pair, in both target/reference directions</x:v>
      </x:c>
      <x:c r="H318" s="69" t="str">
        <x:v>No</x:v>
      </x:c>
      <x:c r="I318" s="69" t="str"/>
      <x:c r="J318" s="69" t="str">
        <x:v>green pen, red block, pink marker, blue block</x:v>
      </x:c>
      <x:c r="K318" s="69" t="str">
        <x:v>pink marker</x:v>
      </x:c>
      <x:c r="L318" s="69" t="str">
        <x:v>Home</x:v>
      </x:c>
      <x:c r="M318" s="69" t="str">
        <x:v>Put the pink marker on the table behind the blue block.</x:v>
      </x:c>
      <x:c r="N318" s="69" t="str">
        <x:v>green pen, red block, pink marker, blue block</x:v>
      </x:c>
      <x:c r="O318" s="69" t="str">
        <x:v>pink marker</x:v>
      </x:c>
      <x:c r="P318" s="70" t="str">
        <x:v>Explicitly grounds directional language on other ordered object pairs.</x:v>
      </x:c>
    </x:row>
    <x:row r="319" ht="58" customHeight="1">
      <x:c r="A319" s="100" t="n">
        <x:v>317</x:v>
      </x:c>
      <x:c r="B319" s="69" t="str">
        <x:v>Relational Placement</x:v>
      </x:c>
      <x:c r="C319" s="69" t="str">
        <x:v>Move the pink marker to the back of the green pen.</x:v>
      </x:c>
      <x:c r="D319" s="69" t="str">
        <x:v>Explicit spatial-relation grounding</x:v>
      </x:c>
      <x:c r="E319" s="69" t="str">
        <x:v>front / behind / left / right</x:v>
      </x:c>
      <x:c r="F319" s="69" t="str">
        <x:v>relational_explicit_direction</x:v>
      </x:c>
      <x:c r="G319" s="69" t="str">
        <x:v>direction × unordered {green pen, red block} pair, in both target/reference directions</x:v>
      </x:c>
      <x:c r="H319" s="69" t="str">
        <x:v>No</x:v>
      </x:c>
      <x:c r="I319" s="69" t="str"/>
      <x:c r="J319" s="69" t="str">
        <x:v>pink marker, green pen</x:v>
      </x:c>
      <x:c r="K319" s="69" t="str">
        <x:v>pink marker</x:v>
      </x:c>
      <x:c r="L319" s="69" t="str">
        <x:v>Home</x:v>
      </x:c>
      <x:c r="M319" s="69" t="str">
        <x:v>Move the pink marker to the back of the green pen.</x:v>
      </x:c>
      <x:c r="N319" s="69" t="str">
        <x:v>pink marker, green pen</x:v>
      </x:c>
      <x:c r="O319" s="69" t="str">
        <x:v>pink marker</x:v>
      </x:c>
      <x:c r="P319" s="70" t="str">
        <x:v>Explicitly grounds directional language on other ordered object pairs.</x:v>
      </x:c>
    </x:row>
    <x:row r="320" ht="58" customHeight="1">
      <x:c r="A320" s="100" t="n">
        <x:v>318</x:v>
      </x:c>
      <x:c r="B320" s="69" t="str">
        <x:v>Relational Placement</x:v>
      </x:c>
      <x:c r="C320" s="69" t="str">
        <x:v>Move the pink marker to the back of the green pen.</x:v>
      </x:c>
      <x:c r="D320" s="69" t="str">
        <x:v>Explicit spatial-relation grounding</x:v>
      </x:c>
      <x:c r="E320" s="69" t="str">
        <x:v>front / behind / left / right</x:v>
      </x:c>
      <x:c r="F320" s="69" t="str">
        <x:v>relational_explicit_direction</x:v>
      </x:c>
      <x:c r="G320" s="69" t="str">
        <x:v>direction × unordered {green pen, red block} pair, in both target/reference directions</x:v>
      </x:c>
      <x:c r="H320" s="69" t="str">
        <x:v>No</x:v>
      </x:c>
      <x:c r="I320" s="69" t="str"/>
      <x:c r="J320" s="69" t="str">
        <x:v>pink marker, green pen, blue block</x:v>
      </x:c>
      <x:c r="K320" s="69" t="str">
        <x:v>pink marker</x:v>
      </x:c>
      <x:c r="L320" s="69" t="str">
        <x:v>Home</x:v>
      </x:c>
      <x:c r="M320" s="69" t="str">
        <x:v>Move the pink marker to the back of the green pen.</x:v>
      </x:c>
      <x:c r="N320" s="69" t="str">
        <x:v>pink marker, green pen, blue block</x:v>
      </x:c>
      <x:c r="O320" s="69" t="str">
        <x:v>pink marker</x:v>
      </x:c>
      <x:c r="P320" s="70" t="str">
        <x:v>Explicitly grounds directional language on other ordered object pairs.</x:v>
      </x:c>
    </x:row>
    <x:row r="321" ht="58" customHeight="1">
      <x:c r="A321" s="100" t="n">
        <x:v>319</x:v>
      </x:c>
      <x:c r="B321" s="69" t="str">
        <x:v>Relational Placement</x:v>
      </x:c>
      <x:c r="C321" s="69" t="str">
        <x:v>Move the pink marker to the back of the green pen.</x:v>
      </x:c>
      <x:c r="D321" s="69" t="str">
        <x:v>Explicit spatial-relation grounding</x:v>
      </x:c>
      <x:c r="E321" s="69" t="str">
        <x:v>front / behind / left / right</x:v>
      </x:c>
      <x:c r="F321" s="69" t="str">
        <x:v>relational_explicit_direction</x:v>
      </x:c>
      <x:c r="G321" s="69" t="str">
        <x:v>direction × unordered {green pen, red block} pair, in both target/reference directions</x:v>
      </x:c>
      <x:c r="H321" s="69" t="str">
        <x:v>No</x:v>
      </x:c>
      <x:c r="I321" s="69" t="str"/>
      <x:c r="J321" s="69" t="str">
        <x:v>green pen, red block, pink marker, blue block</x:v>
      </x:c>
      <x:c r="K321" s="69" t="str">
        <x:v>pink marker</x:v>
      </x:c>
      <x:c r="L321" s="69" t="str">
        <x:v>Home</x:v>
      </x:c>
      <x:c r="M321" s="69" t="str">
        <x:v>Move the pink marker to the back of the green pen.</x:v>
      </x:c>
      <x:c r="N321" s="69" t="str">
        <x:v>green pen, red block, pink marker, blue block</x:v>
      </x:c>
      <x:c r="O321" s="69" t="str">
        <x:v>pink marker</x:v>
      </x:c>
      <x:c r="P321" s="70" t="str">
        <x:v>Explicitly grounds directional language on other ordered object pairs.</x:v>
      </x:c>
    </x:row>
    <x:row r="322" ht="58" customHeight="1">
      <x:c r="A322" s="100" t="n">
        <x:v>320</x:v>
      </x:c>
      <x:c r="B322" s="69" t="str">
        <x:v>Relational Placement</x:v>
      </x:c>
      <x:c r="C322" s="69" t="str">
        <x:v>Put the pink marker on the table behind the green pen.</x:v>
      </x:c>
      <x:c r="D322" s="69" t="str">
        <x:v>Explicit spatial-relation grounding</x:v>
      </x:c>
      <x:c r="E322" s="69" t="str">
        <x:v>front / behind / left / right</x:v>
      </x:c>
      <x:c r="F322" s="69" t="str">
        <x:v>relational_explicit_direction</x:v>
      </x:c>
      <x:c r="G322" s="69" t="str">
        <x:v>direction × unordered {green pen, red block} pair, in both target/reference directions</x:v>
      </x:c>
      <x:c r="H322" s="69" t="str">
        <x:v>No</x:v>
      </x:c>
      <x:c r="I322" s="69" t="str"/>
      <x:c r="J322" s="69" t="str">
        <x:v>pink marker, green pen, red block</x:v>
      </x:c>
      <x:c r="K322" s="69" t="str">
        <x:v>pink marker</x:v>
      </x:c>
      <x:c r="L322" s="69" t="str">
        <x:v>Recovery</x:v>
      </x:c>
      <x:c r="M322" s="69" t="str">
        <x:v>Put the pink marker on the table behind the green pen.</x:v>
      </x:c>
      <x:c r="N322" s="69" t="str">
        <x:v>pink marker, green pen, red block</x:v>
      </x:c>
      <x:c r="O322" s="69" t="str">
        <x:v>pink marker</x:v>
      </x:c>
      <x:c r="P322" s="70" t="str">
        <x:v>Explicitly grounds directional language on other ordered object pairs.</x:v>
      </x:c>
    </x:row>
    <x:row r="323" ht="58" customHeight="1">
      <x:c r="A323" s="100" t="n">
        <x:v>321</x:v>
      </x:c>
      <x:c r="B323" s="69" t="str">
        <x:v>Relational Placement</x:v>
      </x:c>
      <x:c r="C323" s="69" t="str">
        <x:v>Put the pink marker on the table behind the red block.</x:v>
      </x:c>
      <x:c r="D323" s="69" t="str">
        <x:v>Explicit spatial-relation grounding</x:v>
      </x:c>
      <x:c r="E323" s="69" t="str">
        <x:v>front / behind / left / right</x:v>
      </x:c>
      <x:c r="F323" s="69" t="str">
        <x:v>relational_explicit_direction</x:v>
      </x:c>
      <x:c r="G323" s="69" t="str">
        <x:v>direction × unordered {green pen, red block} pair, in both target/reference directions</x:v>
      </x:c>
      <x:c r="H323" s="69" t="str">
        <x:v>No</x:v>
      </x:c>
      <x:c r="I323" s="69" t="str"/>
      <x:c r="J323" s="69" t="str">
        <x:v>pink marker, red block</x:v>
      </x:c>
      <x:c r="K323" s="69" t="str">
        <x:v>pink marker</x:v>
      </x:c>
      <x:c r="L323" s="69" t="str">
        <x:v>Home</x:v>
      </x:c>
      <x:c r="M323" s="69" t="str">
        <x:v>Put the pink marker on the table behind the red block.</x:v>
      </x:c>
      <x:c r="N323" s="69" t="str">
        <x:v>pink marker, red block</x:v>
      </x:c>
      <x:c r="O323" s="69" t="str">
        <x:v>pink marker</x:v>
      </x:c>
      <x:c r="P323" s="70" t="str">
        <x:v>Explicitly grounds directional language on other ordered object pairs.</x:v>
      </x:c>
    </x:row>
    <x:row r="324" ht="58" customHeight="1">
      <x:c r="A324" s="100" t="n">
        <x:v>322</x:v>
      </x:c>
      <x:c r="B324" s="69" t="str">
        <x:v>Relational Placement</x:v>
      </x:c>
      <x:c r="C324" s="69" t="str">
        <x:v>Place the pink marker behind the red block.</x:v>
      </x:c>
      <x:c r="D324" s="69" t="str">
        <x:v>Explicit spatial-relation grounding</x:v>
      </x:c>
      <x:c r="E324" s="69" t="str">
        <x:v>front / behind / left / right</x:v>
      </x:c>
      <x:c r="F324" s="69" t="str">
        <x:v>relational_explicit_direction</x:v>
      </x:c>
      <x:c r="G324" s="69" t="str">
        <x:v>direction × unordered {green pen, red block} pair, in both target/reference directions</x:v>
      </x:c>
      <x:c r="H324" s="69" t="str">
        <x:v>No</x:v>
      </x:c>
      <x:c r="I324" s="69" t="str"/>
      <x:c r="J324" s="69" t="str">
        <x:v>pink marker, red block, blue block</x:v>
      </x:c>
      <x:c r="K324" s="69" t="str">
        <x:v>pink marker</x:v>
      </x:c>
      <x:c r="L324" s="69" t="str">
        <x:v>Home</x:v>
      </x:c>
      <x:c r="M324" s="69" t="str">
        <x:v>Place the pink marker behind the red block.</x:v>
      </x:c>
      <x:c r="N324" s="69" t="str">
        <x:v>pink marker, red block, blue block</x:v>
      </x:c>
      <x:c r="O324" s="69" t="str">
        <x:v>pink marker</x:v>
      </x:c>
      <x:c r="P324" s="70" t="str">
        <x:v>Explicitly grounds directional language on other ordered object pairs.</x:v>
      </x:c>
    </x:row>
    <x:row r="325" ht="58" customHeight="1">
      <x:c r="A325" s="100" t="n">
        <x:v>323</x:v>
      </x:c>
      <x:c r="B325" s="69" t="str">
        <x:v>Relational Placement</x:v>
      </x:c>
      <x:c r="C325" s="69" t="str">
        <x:v>Put the pink marker on the table behind the red block.</x:v>
      </x:c>
      <x:c r="D325" s="69" t="str">
        <x:v>Explicit spatial-relation grounding</x:v>
      </x:c>
      <x:c r="E325" s="69" t="str">
        <x:v>front / behind / left / right</x:v>
      </x:c>
      <x:c r="F325" s="69" t="str">
        <x:v>relational_explicit_direction</x:v>
      </x:c>
      <x:c r="G325" s="69" t="str">
        <x:v>direction × unordered {green pen, red block} pair, in both target/reference directions</x:v>
      </x:c>
      <x:c r="H325" s="69" t="str">
        <x:v>No</x:v>
      </x:c>
      <x:c r="I325" s="69" t="str"/>
      <x:c r="J325" s="69" t="str">
        <x:v>green pen, red block, pink marker, blue block</x:v>
      </x:c>
      <x:c r="K325" s="69" t="str">
        <x:v>pink marker</x:v>
      </x:c>
      <x:c r="L325" s="69" t="str">
        <x:v>Home</x:v>
      </x:c>
      <x:c r="M325" s="69" t="str">
        <x:v>Put the pink marker on the table behind the red block.</x:v>
      </x:c>
      <x:c r="N325" s="69" t="str">
        <x:v>green pen, red block, pink marker, blue block</x:v>
      </x:c>
      <x:c r="O325" s="69" t="str">
        <x:v>pink marker</x:v>
      </x:c>
      <x:c r="P325" s="70" t="str">
        <x:v>Explicitly grounds directional language on other ordered object pairs.</x:v>
      </x:c>
    </x:row>
    <x:row r="326" ht="58" customHeight="1">
      <x:c r="A326" s="100" t="n">
        <x:v>324</x:v>
      </x:c>
      <x:c r="B326" s="69" t="str">
        <x:v>Relational Placement</x:v>
      </x:c>
      <x:c r="C326" s="69" t="str">
        <x:v>Put the pink marker on the table behind the red block.</x:v>
      </x:c>
      <x:c r="D326" s="69" t="str">
        <x:v>Explicit spatial-relation grounding</x:v>
      </x:c>
      <x:c r="E326" s="69" t="str">
        <x:v>front / behind / left / right</x:v>
      </x:c>
      <x:c r="F326" s="69" t="str">
        <x:v>relational_explicit_direction</x:v>
      </x:c>
      <x:c r="G326" s="69" t="str">
        <x:v>direction × unordered {green pen, red block} pair, in both target/reference directions</x:v>
      </x:c>
      <x:c r="H326" s="69" t="str">
        <x:v>No</x:v>
      </x:c>
      <x:c r="I326" s="69" t="str"/>
      <x:c r="J326" s="69" t="str">
        <x:v>pink marker, red block, green pen</x:v>
      </x:c>
      <x:c r="K326" s="69" t="str">
        <x:v>pink marker</x:v>
      </x:c>
      <x:c r="L326" s="69" t="str">
        <x:v>Recovery</x:v>
      </x:c>
      <x:c r="M326" s="69" t="str">
        <x:v>Put the pink marker on the table behind the red block.</x:v>
      </x:c>
      <x:c r="N326" s="69" t="str">
        <x:v>pink marker, red block, green pen</x:v>
      </x:c>
      <x:c r="O326" s="69" t="str">
        <x:v>pink marker</x:v>
      </x:c>
      <x:c r="P326" s="70" t="str">
        <x:v>Explicitly grounds directional language on other ordered object pairs.</x:v>
      </x:c>
    </x:row>
    <x:row r="327" ht="58" customHeight="1">
      <x:c r="A327" s="100" t="n">
        <x:v>325</x:v>
      </x:c>
      <x:c r="B327" s="69" t="str">
        <x:v>Relational Placement</x:v>
      </x:c>
      <x:c r="C327" s="69" t="str">
        <x:v>Place the pink marker to the left of the blue block.</x:v>
      </x:c>
      <x:c r="D327" s="69" t="str">
        <x:v>Explicit spatial-relation grounding</x:v>
      </x:c>
      <x:c r="E327" s="69" t="str">
        <x:v>front / behind / left / right</x:v>
      </x:c>
      <x:c r="F327" s="69" t="str">
        <x:v>relational_explicit_direction</x:v>
      </x:c>
      <x:c r="G327" s="69" t="str">
        <x:v>direction × unordered {green pen, red block} pair, in both target/reference directions</x:v>
      </x:c>
      <x:c r="H327" s="69" t="str">
        <x:v>No</x:v>
      </x:c>
      <x:c r="I327" s="69" t="str"/>
      <x:c r="J327" s="69" t="str">
        <x:v>pink marker, blue block</x:v>
      </x:c>
      <x:c r="K327" s="69" t="str">
        <x:v>pink marker</x:v>
      </x:c>
      <x:c r="L327" s="69" t="str">
        <x:v>Home</x:v>
      </x:c>
      <x:c r="M327" s="69" t="str">
        <x:v>Place the pink marker to the left of the blue block.</x:v>
      </x:c>
      <x:c r="N327" s="69" t="str">
        <x:v>pink marker, blue block</x:v>
      </x:c>
      <x:c r="O327" s="69" t="str">
        <x:v>pink marker</x:v>
      </x:c>
      <x:c r="P327" s="70" t="str">
        <x:v>Explicitly grounds directional language on other ordered object pairs.</x:v>
      </x:c>
    </x:row>
    <x:row r="328" ht="58" customHeight="1">
      <x:c r="A328" s="100" t="n">
        <x:v>326</x:v>
      </x:c>
      <x:c r="B328" s="69" t="str">
        <x:v>Relational Placement</x:v>
      </x:c>
      <x:c r="C328" s="69" t="str">
        <x:v>Place the pink marker to the left of the blue block.</x:v>
      </x:c>
      <x:c r="D328" s="69" t="str">
        <x:v>Explicit spatial-relation grounding</x:v>
      </x:c>
      <x:c r="E328" s="69" t="str">
        <x:v>front / behind / left / right</x:v>
      </x:c>
      <x:c r="F328" s="69" t="str">
        <x:v>relational_explicit_direction</x:v>
      </x:c>
      <x:c r="G328" s="69" t="str">
        <x:v>direction × unordered {green pen, red block} pair, in both target/reference directions</x:v>
      </x:c>
      <x:c r="H328" s="69" t="str">
        <x:v>No</x:v>
      </x:c>
      <x:c r="I328" s="69" t="str"/>
      <x:c r="J328" s="69" t="str">
        <x:v>pink marker, blue block, green pen</x:v>
      </x:c>
      <x:c r="K328" s="69" t="str">
        <x:v>pink marker</x:v>
      </x:c>
      <x:c r="L328" s="69" t="str">
        <x:v>Home</x:v>
      </x:c>
      <x:c r="M328" s="69" t="str">
        <x:v>Place the pink marker to the left of the blue block.</x:v>
      </x:c>
      <x:c r="N328" s="69" t="str">
        <x:v>pink marker, blue block, green pen</x:v>
      </x:c>
      <x:c r="O328" s="69" t="str">
        <x:v>pink marker</x:v>
      </x:c>
      <x:c r="P328" s="70" t="str">
        <x:v>Explicitly grounds directional language on other ordered object pairs.</x:v>
      </x:c>
    </x:row>
    <x:row r="329" ht="58" customHeight="1">
      <x:c r="A329" s="100" t="n">
        <x:v>327</x:v>
      </x:c>
      <x:c r="B329" s="69" t="str">
        <x:v>Relational Placement</x:v>
      </x:c>
      <x:c r="C329" s="69" t="str">
        <x:v>Place the pink marker to the left of the blue block.</x:v>
      </x:c>
      <x:c r="D329" s="69" t="str">
        <x:v>Explicit spatial-relation grounding</x:v>
      </x:c>
      <x:c r="E329" s="69" t="str">
        <x:v>front / behind / left / right</x:v>
      </x:c>
      <x:c r="F329" s="69" t="str">
        <x:v>relational_explicit_direction</x:v>
      </x:c>
      <x:c r="G329" s="69" t="str">
        <x:v>direction × unordered {green pen, red block} pair, in both target/reference directions</x:v>
      </x:c>
      <x:c r="H329" s="69" t="str">
        <x:v>No</x:v>
      </x:c>
      <x:c r="I329" s="69" t="str"/>
      <x:c r="J329" s="69" t="str">
        <x:v>green pen, red block, pink marker, blue block</x:v>
      </x:c>
      <x:c r="K329" s="69" t="str">
        <x:v>pink marker</x:v>
      </x:c>
      <x:c r="L329" s="69" t="str">
        <x:v>Home</x:v>
      </x:c>
      <x:c r="M329" s="69" t="str">
        <x:v>Place the pink marker to the left of the blue block.</x:v>
      </x:c>
      <x:c r="N329" s="69" t="str">
        <x:v>green pen, red block, pink marker, blue block</x:v>
      </x:c>
      <x:c r="O329" s="69" t="str">
        <x:v>pink marker</x:v>
      </x:c>
      <x:c r="P329" s="70" t="str">
        <x:v>Explicitly grounds directional language on other ordered object pairs.</x:v>
      </x:c>
    </x:row>
    <x:row r="330" ht="58" customHeight="1">
      <x:c r="A330" s="100" t="n">
        <x:v>328</x:v>
      </x:c>
      <x:c r="B330" s="69" t="str">
        <x:v>Relational Placement</x:v>
      </x:c>
      <x:c r="C330" s="69" t="str">
        <x:v>Place the pink marker to the left of the blue block.</x:v>
      </x:c>
      <x:c r="D330" s="69" t="str">
        <x:v>Explicit spatial-relation grounding</x:v>
      </x:c>
      <x:c r="E330" s="69" t="str">
        <x:v>front / behind / left / right</x:v>
      </x:c>
      <x:c r="F330" s="69" t="str">
        <x:v>relational_explicit_direction</x:v>
      </x:c>
      <x:c r="G330" s="69" t="str">
        <x:v>direction × unordered {green pen, red block} pair, in both target/reference directions</x:v>
      </x:c>
      <x:c r="H330" s="69" t="str">
        <x:v>No</x:v>
      </x:c>
      <x:c r="I330" s="69" t="str"/>
      <x:c r="J330" s="69" t="str">
        <x:v>pink marker, blue block, red block</x:v>
      </x:c>
      <x:c r="K330" s="69" t="str">
        <x:v>pink marker</x:v>
      </x:c>
      <x:c r="L330" s="69" t="str">
        <x:v>Home</x:v>
      </x:c>
      <x:c r="M330" s="69" t="str">
        <x:v>Place the pink marker to the left of the blue block.</x:v>
      </x:c>
      <x:c r="N330" s="69" t="str">
        <x:v>pink marker, blue block, red block</x:v>
      </x:c>
      <x:c r="O330" s="69" t="str">
        <x:v>pink marker</x:v>
      </x:c>
      <x:c r="P330" s="70" t="str">
        <x:v>Explicitly grounds directional language on other ordered object pairs.</x:v>
      </x:c>
    </x:row>
    <x:row r="331" ht="58" customHeight="1">
      <x:c r="A331" s="100" t="n">
        <x:v>329</x:v>
      </x:c>
      <x:c r="B331" s="69" t="str">
        <x:v>Relational Placement</x:v>
      </x:c>
      <x:c r="C331" s="69" t="str">
        <x:v>Place the pink marker to the left of the green pen.</x:v>
      </x:c>
      <x:c r="D331" s="69" t="str">
        <x:v>Explicit spatial-relation grounding</x:v>
      </x:c>
      <x:c r="E331" s="69" t="str">
        <x:v>front / behind / left / right</x:v>
      </x:c>
      <x:c r="F331" s="69" t="str">
        <x:v>relational_explicit_direction</x:v>
      </x:c>
      <x:c r="G331" s="69" t="str">
        <x:v>direction × unordered {green pen, red block} pair, in both target/reference directions</x:v>
      </x:c>
      <x:c r="H331" s="69" t="str">
        <x:v>No</x:v>
      </x:c>
      <x:c r="I331" s="69" t="str"/>
      <x:c r="J331" s="69" t="str">
        <x:v>pink marker, green pen</x:v>
      </x:c>
      <x:c r="K331" s="69" t="str">
        <x:v>pink marker</x:v>
      </x:c>
      <x:c r="L331" s="69" t="str">
        <x:v>Home</x:v>
      </x:c>
      <x:c r="M331" s="69" t="str">
        <x:v>Place the pink marker to the left of the green pen.</x:v>
      </x:c>
      <x:c r="N331" s="69" t="str">
        <x:v>pink marker, green pen</x:v>
      </x:c>
      <x:c r="O331" s="69" t="str">
        <x:v>pink marker</x:v>
      </x:c>
      <x:c r="P331" s="70" t="str">
        <x:v>Explicitly grounds directional language on other ordered object pairs.</x:v>
      </x:c>
    </x:row>
    <x:row r="332" ht="58" customHeight="1">
      <x:c r="A332" s="100" t="n">
        <x:v>330</x:v>
      </x:c>
      <x:c r="B332" s="69" t="str">
        <x:v>Relational Placement</x:v>
      </x:c>
      <x:c r="C332" s="69" t="str">
        <x:v>Place the pink marker to the left of the green pen.</x:v>
      </x:c>
      <x:c r="D332" s="69" t="str">
        <x:v>Explicit spatial-relation grounding</x:v>
      </x:c>
      <x:c r="E332" s="69" t="str">
        <x:v>front / behind / left / right</x:v>
      </x:c>
      <x:c r="F332" s="69" t="str">
        <x:v>relational_explicit_direction</x:v>
      </x:c>
      <x:c r="G332" s="69" t="str">
        <x:v>direction × unordered {green pen, red block} pair, in both target/reference directions</x:v>
      </x:c>
      <x:c r="H332" s="69" t="str">
        <x:v>No</x:v>
      </x:c>
      <x:c r="I332" s="69" t="str"/>
      <x:c r="J332" s="69" t="str">
        <x:v>pink marker, green pen, blue block</x:v>
      </x:c>
      <x:c r="K332" s="69" t="str">
        <x:v>pink marker</x:v>
      </x:c>
      <x:c r="L332" s="69" t="str">
        <x:v>Home</x:v>
      </x:c>
      <x:c r="M332" s="69" t="str">
        <x:v>Place the pink marker to the left of the green pen.</x:v>
      </x:c>
      <x:c r="N332" s="69" t="str">
        <x:v>pink marker, green pen, blue block</x:v>
      </x:c>
      <x:c r="O332" s="69" t="str">
        <x:v>pink marker</x:v>
      </x:c>
      <x:c r="P332" s="70" t="str">
        <x:v>Explicitly grounds directional language on other ordered object pairs.</x:v>
      </x:c>
    </x:row>
    <x:row r="333" ht="58" customHeight="1">
      <x:c r="A333" s="100" t="n">
        <x:v>331</x:v>
      </x:c>
      <x:c r="B333" s="69" t="str">
        <x:v>Relational Placement</x:v>
      </x:c>
      <x:c r="C333" s="69" t="str">
        <x:v>Place the pink marker to the left of the green pen.</x:v>
      </x:c>
      <x:c r="D333" s="69" t="str">
        <x:v>Explicit spatial-relation grounding</x:v>
      </x:c>
      <x:c r="E333" s="69" t="str">
        <x:v>front / behind / left / right</x:v>
      </x:c>
      <x:c r="F333" s="69" t="str">
        <x:v>relational_explicit_direction</x:v>
      </x:c>
      <x:c r="G333" s="69" t="str">
        <x:v>direction × unordered {green pen, red block} pair, in both target/reference directions</x:v>
      </x:c>
      <x:c r="H333" s="69" t="str">
        <x:v>No</x:v>
      </x:c>
      <x:c r="I333" s="69" t="str"/>
      <x:c r="J333" s="69" t="str">
        <x:v>green pen, red block, pink marker, blue block</x:v>
      </x:c>
      <x:c r="K333" s="69" t="str">
        <x:v>pink marker</x:v>
      </x:c>
      <x:c r="L333" s="69" t="str">
        <x:v>Home</x:v>
      </x:c>
      <x:c r="M333" s="69" t="str">
        <x:v>Place the pink marker to the left of the green pen.</x:v>
      </x:c>
      <x:c r="N333" s="69" t="str">
        <x:v>green pen, red block, pink marker, blue block</x:v>
      </x:c>
      <x:c r="O333" s="69" t="str">
        <x:v>pink marker</x:v>
      </x:c>
      <x:c r="P333" s="70" t="str">
        <x:v>Explicitly grounds directional language on other ordered object pairs.</x:v>
      </x:c>
    </x:row>
    <x:row r="334" ht="58" customHeight="1">
      <x:c r="A334" s="100" t="n">
        <x:v>332</x:v>
      </x:c>
      <x:c r="B334" s="69" t="str">
        <x:v>Relational Placement</x:v>
      </x:c>
      <x:c r="C334" s="69" t="str">
        <x:v>Place the pink marker to the left of the green pen.</x:v>
      </x:c>
      <x:c r="D334" s="69" t="str">
        <x:v>Explicit spatial-relation grounding</x:v>
      </x:c>
      <x:c r="E334" s="69" t="str">
        <x:v>front / behind / left / right</x:v>
      </x:c>
      <x:c r="F334" s="69" t="str">
        <x:v>relational_explicit_direction</x:v>
      </x:c>
      <x:c r="G334" s="69" t="str">
        <x:v>direction × unordered {green pen, red block} pair, in both target/reference directions</x:v>
      </x:c>
      <x:c r="H334" s="69" t="str">
        <x:v>No</x:v>
      </x:c>
      <x:c r="I334" s="69" t="str"/>
      <x:c r="J334" s="69" t="str">
        <x:v>pink marker, green pen, red block</x:v>
      </x:c>
      <x:c r="K334" s="69" t="str">
        <x:v>pink marker</x:v>
      </x:c>
      <x:c r="L334" s="69" t="str">
        <x:v>Recovery</x:v>
      </x:c>
      <x:c r="M334" s="69" t="str">
        <x:v>Place the pink marker to the left of the green pen.</x:v>
      </x:c>
      <x:c r="N334" s="69" t="str">
        <x:v>pink marker, green pen, red block</x:v>
      </x:c>
      <x:c r="O334" s="69" t="str">
        <x:v>pink marker</x:v>
      </x:c>
      <x:c r="P334" s="70" t="str">
        <x:v>Explicitly grounds directional language on other ordered object pairs.</x:v>
      </x:c>
    </x:row>
    <x:row r="335" ht="58" customHeight="1">
      <x:c r="A335" s="100" t="n">
        <x:v>333</x:v>
      </x:c>
      <x:c r="B335" s="69" t="str">
        <x:v>Relational Placement</x:v>
      </x:c>
      <x:c r="C335" s="69" t="str">
        <x:v>Place the pink marker to the left of the red block.</x:v>
      </x:c>
      <x:c r="D335" s="69" t="str">
        <x:v>Explicit spatial-relation grounding</x:v>
      </x:c>
      <x:c r="E335" s="69" t="str">
        <x:v>front / behind / left / right</x:v>
      </x:c>
      <x:c r="F335" s="69" t="str">
        <x:v>relational_explicit_direction</x:v>
      </x:c>
      <x:c r="G335" s="69" t="str">
        <x:v>direction × unordered {green pen, red block} pair, in both target/reference directions</x:v>
      </x:c>
      <x:c r="H335" s="69" t="str">
        <x:v>No</x:v>
      </x:c>
      <x:c r="I335" s="69" t="str"/>
      <x:c r="J335" s="69" t="str">
        <x:v>pink marker, red block</x:v>
      </x:c>
      <x:c r="K335" s="69" t="str">
        <x:v>pink marker</x:v>
      </x:c>
      <x:c r="L335" s="69" t="str">
        <x:v>Home</x:v>
      </x:c>
      <x:c r="M335" s="69" t="str">
        <x:v>Place the pink marker to the left of the red block.</x:v>
      </x:c>
      <x:c r="N335" s="69" t="str">
        <x:v>pink marker, red block</x:v>
      </x:c>
      <x:c r="O335" s="69" t="str">
        <x:v>pink marker</x:v>
      </x:c>
      <x:c r="P335" s="70" t="str">
        <x:v>Explicitly grounds directional language on other ordered object pairs.</x:v>
      </x:c>
    </x:row>
    <x:row r="336" ht="58" customHeight="1">
      <x:c r="A336" s="100" t="n">
        <x:v>334</x:v>
      </x:c>
      <x:c r="B336" s="69" t="str">
        <x:v>Relational Placement</x:v>
      </x:c>
      <x:c r="C336" s="69" t="str">
        <x:v>Place the pink marker to the left of the red block.</x:v>
      </x:c>
      <x:c r="D336" s="69" t="str">
        <x:v>Explicit spatial-relation grounding</x:v>
      </x:c>
      <x:c r="E336" s="69" t="str">
        <x:v>front / behind / left / right</x:v>
      </x:c>
      <x:c r="F336" s="69" t="str">
        <x:v>relational_explicit_direction</x:v>
      </x:c>
      <x:c r="G336" s="69" t="str">
        <x:v>direction × unordered {green pen, red block} pair, in both target/reference directions</x:v>
      </x:c>
      <x:c r="H336" s="69" t="str">
        <x:v>No</x:v>
      </x:c>
      <x:c r="I336" s="69" t="str"/>
      <x:c r="J336" s="69" t="str">
        <x:v>pink marker, red block, blue block</x:v>
      </x:c>
      <x:c r="K336" s="69" t="str">
        <x:v>pink marker</x:v>
      </x:c>
      <x:c r="L336" s="69" t="str">
        <x:v>Home</x:v>
      </x:c>
      <x:c r="M336" s="69" t="str">
        <x:v>Place the pink marker to the left of the red block.</x:v>
      </x:c>
      <x:c r="N336" s="69" t="str">
        <x:v>pink marker, red block, blue block</x:v>
      </x:c>
      <x:c r="O336" s="69" t="str">
        <x:v>pink marker</x:v>
      </x:c>
      <x:c r="P336" s="70" t="str">
        <x:v>Explicitly grounds directional language on other ordered object pairs.</x:v>
      </x:c>
    </x:row>
    <x:row r="337" ht="58" customHeight="1">
      <x:c r="A337" s="100" t="n">
        <x:v>335</x:v>
      </x:c>
      <x:c r="B337" s="69" t="str">
        <x:v>Relational Placement</x:v>
      </x:c>
      <x:c r="C337" s="69" t="str">
        <x:v>Place the pink marker to the left of the red block.</x:v>
      </x:c>
      <x:c r="D337" s="69" t="str">
        <x:v>Explicit spatial-relation grounding</x:v>
      </x:c>
      <x:c r="E337" s="69" t="str">
        <x:v>front / behind / left / right</x:v>
      </x:c>
      <x:c r="F337" s="69" t="str">
        <x:v>relational_explicit_direction</x:v>
      </x:c>
      <x:c r="G337" s="69" t="str">
        <x:v>direction × unordered {green pen, red block} pair, in both target/reference directions</x:v>
      </x:c>
      <x:c r="H337" s="69" t="str">
        <x:v>No</x:v>
      </x:c>
      <x:c r="I337" s="69" t="str"/>
      <x:c r="J337" s="69" t="str">
        <x:v>green pen, red block, pink marker, blue block</x:v>
      </x:c>
      <x:c r="K337" s="69" t="str">
        <x:v>pink marker</x:v>
      </x:c>
      <x:c r="L337" s="69" t="str">
        <x:v>Home</x:v>
      </x:c>
      <x:c r="M337" s="69" t="str">
        <x:v>Place the pink marker to the left of the red block.</x:v>
      </x:c>
      <x:c r="N337" s="69" t="str">
        <x:v>green pen, red block, pink marker, blue block</x:v>
      </x:c>
      <x:c r="O337" s="69" t="str">
        <x:v>pink marker</x:v>
      </x:c>
      <x:c r="P337" s="70" t="str">
        <x:v>Explicitly grounds directional language on other ordered object pairs.</x:v>
      </x:c>
    </x:row>
    <x:row r="338" ht="58" customHeight="1">
      <x:c r="A338" s="100" t="n">
        <x:v>336</x:v>
      </x:c>
      <x:c r="B338" s="69" t="str">
        <x:v>Relational Placement</x:v>
      </x:c>
      <x:c r="C338" s="69" t="str">
        <x:v>Place the pink marker to the left of the red block.</x:v>
      </x:c>
      <x:c r="D338" s="69" t="str">
        <x:v>Explicit spatial-relation grounding</x:v>
      </x:c>
      <x:c r="E338" s="69" t="str">
        <x:v>front / behind / left / right</x:v>
      </x:c>
      <x:c r="F338" s="69" t="str">
        <x:v>relational_explicit_direction</x:v>
      </x:c>
      <x:c r="G338" s="69" t="str">
        <x:v>direction × unordered {green pen, red block} pair, in both target/reference directions</x:v>
      </x:c>
      <x:c r="H338" s="69" t="str">
        <x:v>No</x:v>
      </x:c>
      <x:c r="I338" s="69" t="str"/>
      <x:c r="J338" s="69" t="str">
        <x:v>pink marker, red block, green pen</x:v>
      </x:c>
      <x:c r="K338" s="69" t="str">
        <x:v>pink marker</x:v>
      </x:c>
      <x:c r="L338" s="69" t="str">
        <x:v>Recovery</x:v>
      </x:c>
      <x:c r="M338" s="69" t="str">
        <x:v>Place the pink marker to the left of the red block.</x:v>
      </x:c>
      <x:c r="N338" s="69" t="str">
        <x:v>pink marker, red block, green pen</x:v>
      </x:c>
      <x:c r="O338" s="69" t="str">
        <x:v>pink marker</x:v>
      </x:c>
      <x:c r="P338" s="70" t="str">
        <x:v>Explicitly grounds directional language on other ordered object pairs.</x:v>
      </x:c>
    </x:row>
    <x:row r="339" ht="58" customHeight="1">
      <x:c r="A339" s="100" t="n">
        <x:v>337</x:v>
      </x:c>
      <x:c r="B339" s="69" t="str">
        <x:v>Relational Placement</x:v>
      </x:c>
      <x:c r="C339" s="69" t="str">
        <x:v>Place the pink marker to the right of the blue block.</x:v>
      </x:c>
      <x:c r="D339" s="69" t="str">
        <x:v>Explicit spatial-relation grounding</x:v>
      </x:c>
      <x:c r="E339" s="69" t="str">
        <x:v>front / behind / left / right</x:v>
      </x:c>
      <x:c r="F339" s="69" t="str">
        <x:v>relational_explicit_direction</x:v>
      </x:c>
      <x:c r="G339" s="69" t="str">
        <x:v>direction × unordered {green pen, red block} pair, in both target/reference directions</x:v>
      </x:c>
      <x:c r="H339" s="69" t="str">
        <x:v>No</x:v>
      </x:c>
      <x:c r="I339" s="69" t="str"/>
      <x:c r="J339" s="69" t="str">
        <x:v>pink marker, blue block</x:v>
      </x:c>
      <x:c r="K339" s="69" t="str">
        <x:v>pink marker</x:v>
      </x:c>
      <x:c r="L339" s="69" t="str">
        <x:v>Home</x:v>
      </x:c>
      <x:c r="M339" s="69" t="str">
        <x:v>Place the pink marker to the right of the blue block.</x:v>
      </x:c>
      <x:c r="N339" s="69" t="str">
        <x:v>pink marker, blue block</x:v>
      </x:c>
      <x:c r="O339" s="69" t="str">
        <x:v>pink marker</x:v>
      </x:c>
      <x:c r="P339" s="70" t="str">
        <x:v>Explicitly grounds directional language on other ordered object pairs.</x:v>
      </x:c>
    </x:row>
    <x:row r="340" ht="58" customHeight="1">
      <x:c r="A340" s="100" t="n">
        <x:v>338</x:v>
      </x:c>
      <x:c r="B340" s="69" t="str">
        <x:v>Relational Placement</x:v>
      </x:c>
      <x:c r="C340" s="69" t="str">
        <x:v>Place the pink marker to the right of the blue block.</x:v>
      </x:c>
      <x:c r="D340" s="69" t="str">
        <x:v>Explicit spatial-relation grounding</x:v>
      </x:c>
      <x:c r="E340" s="69" t="str">
        <x:v>front / behind / left / right</x:v>
      </x:c>
      <x:c r="F340" s="69" t="str">
        <x:v>relational_explicit_direction</x:v>
      </x:c>
      <x:c r="G340" s="69" t="str">
        <x:v>direction × unordered {green pen, red block} pair, in both target/reference directions</x:v>
      </x:c>
      <x:c r="H340" s="69" t="str">
        <x:v>No</x:v>
      </x:c>
      <x:c r="I340" s="69" t="str"/>
      <x:c r="J340" s="69" t="str">
        <x:v>pink marker, blue block, green pen</x:v>
      </x:c>
      <x:c r="K340" s="69" t="str">
        <x:v>pink marker</x:v>
      </x:c>
      <x:c r="L340" s="69" t="str">
        <x:v>Home</x:v>
      </x:c>
      <x:c r="M340" s="69" t="str">
        <x:v>Place the pink marker to the right of the blue block.</x:v>
      </x:c>
      <x:c r="N340" s="69" t="str">
        <x:v>pink marker, blue block, green pen</x:v>
      </x:c>
      <x:c r="O340" s="69" t="str">
        <x:v>pink marker</x:v>
      </x:c>
      <x:c r="P340" s="70" t="str">
        <x:v>Explicitly grounds directional language on other ordered object pairs.</x:v>
      </x:c>
    </x:row>
    <x:row r="341" ht="58" customHeight="1">
      <x:c r="A341" s="100" t="n">
        <x:v>339</x:v>
      </x:c>
      <x:c r="B341" s="69" t="str">
        <x:v>Relational Placement</x:v>
      </x:c>
      <x:c r="C341" s="69" t="str">
        <x:v>Place the pink marker to the right of the blue block.</x:v>
      </x:c>
      <x:c r="D341" s="69" t="str">
        <x:v>Explicit spatial-relation grounding</x:v>
      </x:c>
      <x:c r="E341" s="69" t="str">
        <x:v>front / behind / left / right</x:v>
      </x:c>
      <x:c r="F341" s="69" t="str">
        <x:v>relational_explicit_direction</x:v>
      </x:c>
      <x:c r="G341" s="69" t="str">
        <x:v>direction × unordered {green pen, red block} pair, in both target/reference directions</x:v>
      </x:c>
      <x:c r="H341" s="69" t="str">
        <x:v>No</x:v>
      </x:c>
      <x:c r="I341" s="69" t="str"/>
      <x:c r="J341" s="69" t="str">
        <x:v>green pen, red block, pink marker, blue block</x:v>
      </x:c>
      <x:c r="K341" s="69" t="str">
        <x:v>pink marker</x:v>
      </x:c>
      <x:c r="L341" s="69" t="str">
        <x:v>Home</x:v>
      </x:c>
      <x:c r="M341" s="69" t="str">
        <x:v>Place the pink marker to the right of the blue block.</x:v>
      </x:c>
      <x:c r="N341" s="69" t="str">
        <x:v>green pen, red block, pink marker, blue block</x:v>
      </x:c>
      <x:c r="O341" s="69" t="str">
        <x:v>pink marker</x:v>
      </x:c>
      <x:c r="P341" s="70" t="str">
        <x:v>Explicitly grounds directional language on other ordered object pairs.</x:v>
      </x:c>
    </x:row>
    <x:row r="342" ht="58" customHeight="1">
      <x:c r="A342" s="100" t="n">
        <x:v>340</x:v>
      </x:c>
      <x:c r="B342" s="69" t="str">
        <x:v>Relational Placement</x:v>
      </x:c>
      <x:c r="C342" s="69" t="str">
        <x:v>Place the pink marker to the right of the blue block.</x:v>
      </x:c>
      <x:c r="D342" s="69" t="str">
        <x:v>Explicit spatial-relation grounding</x:v>
      </x:c>
      <x:c r="E342" s="69" t="str">
        <x:v>front / behind / left / right</x:v>
      </x:c>
      <x:c r="F342" s="69" t="str">
        <x:v>relational_explicit_direction</x:v>
      </x:c>
      <x:c r="G342" s="69" t="str">
        <x:v>direction × unordered {green pen, red block} pair, in both target/reference directions</x:v>
      </x:c>
      <x:c r="H342" s="69" t="str">
        <x:v>No</x:v>
      </x:c>
      <x:c r="I342" s="69" t="str"/>
      <x:c r="J342" s="69" t="str">
        <x:v>pink marker, blue block, red block</x:v>
      </x:c>
      <x:c r="K342" s="69" t="str">
        <x:v>pink marker</x:v>
      </x:c>
      <x:c r="L342" s="69" t="str">
        <x:v>Recovery</x:v>
      </x:c>
      <x:c r="M342" s="69" t="str">
        <x:v>Place the pink marker to the right of the blue block.</x:v>
      </x:c>
      <x:c r="N342" s="69" t="str">
        <x:v>pink marker, blue block, red block</x:v>
      </x:c>
      <x:c r="O342" s="69" t="str">
        <x:v>pink marker</x:v>
      </x:c>
      <x:c r="P342" s="70" t="str">
        <x:v>Explicitly grounds directional language on other ordered object pairs.</x:v>
      </x:c>
    </x:row>
    <x:row r="343" ht="58" customHeight="1">
      <x:c r="A343" s="100" t="n">
        <x:v>341</x:v>
      </x:c>
      <x:c r="B343" s="69" t="str">
        <x:v>Relational Placement</x:v>
      </x:c>
      <x:c r="C343" s="69" t="str">
        <x:v>Place the pink marker to the right of the blue block.</x:v>
      </x:c>
      <x:c r="D343" s="69" t="str">
        <x:v>Explicit spatial-relation grounding</x:v>
      </x:c>
      <x:c r="E343" s="69" t="str">
        <x:v>front / behind / left / right</x:v>
      </x:c>
      <x:c r="F343" s="69" t="str">
        <x:v>relational_explicit_direction</x:v>
      </x:c>
      <x:c r="G343" s="69" t="str">
        <x:v>direction × unordered {green pen, red block} pair, in both target/reference directions</x:v>
      </x:c>
      <x:c r="H343" s="69" t="str">
        <x:v>No</x:v>
      </x:c>
      <x:c r="I343" s="69" t="str"/>
      <x:c r="J343" s="69" t="str">
        <x:v>green pen, red block, pink marker, blue block</x:v>
      </x:c>
      <x:c r="K343" s="69" t="str">
        <x:v>pink marker</x:v>
      </x:c>
      <x:c r="L343" s="69" t="str">
        <x:v>Home</x:v>
      </x:c>
      <x:c r="M343" s="69" t="str">
        <x:v>Place the pink marker to the right of the blue block.</x:v>
      </x:c>
      <x:c r="N343" s="69" t="str">
        <x:v>green pen, red block, pink marker, blue block</x:v>
      </x:c>
      <x:c r="O343" s="69" t="str">
        <x:v>pink marker</x:v>
      </x:c>
      <x:c r="P343" s="70" t="str">
        <x:v>Explicitly grounds directional language on other ordered object pairs.</x:v>
      </x:c>
    </x:row>
    <x:row r="344" ht="58" customHeight="1">
      <x:c r="A344" s="100" t="n">
        <x:v>342</x:v>
      </x:c>
      <x:c r="B344" s="69" t="str">
        <x:v>Relational Placement</x:v>
      </x:c>
      <x:c r="C344" s="69" t="str">
        <x:v>Place the pink marker to the right of the green pen.</x:v>
      </x:c>
      <x:c r="D344" s="69" t="str">
        <x:v>Explicit spatial-relation grounding</x:v>
      </x:c>
      <x:c r="E344" s="69" t="str">
        <x:v>front / behind / left / right</x:v>
      </x:c>
      <x:c r="F344" s="69" t="str">
        <x:v>relational_explicit_direction</x:v>
      </x:c>
      <x:c r="G344" s="69" t="str">
        <x:v>direction × unordered {green pen, red block} pair, in both target/reference directions</x:v>
      </x:c>
      <x:c r="H344" s="69" t="str">
        <x:v>No</x:v>
      </x:c>
      <x:c r="I344" s="69" t="str"/>
      <x:c r="J344" s="69" t="str">
        <x:v>pink marker, green pen</x:v>
      </x:c>
      <x:c r="K344" s="69" t="str">
        <x:v>pink marker</x:v>
      </x:c>
      <x:c r="L344" s="69" t="str">
        <x:v>Home</x:v>
      </x:c>
      <x:c r="M344" s="69" t="str">
        <x:v>Place the pink marker to the right of the green pen.</x:v>
      </x:c>
      <x:c r="N344" s="69" t="str">
        <x:v>pink marker, green pen</x:v>
      </x:c>
      <x:c r="O344" s="69" t="str">
        <x:v>pink marker</x:v>
      </x:c>
      <x:c r="P344" s="70" t="str">
        <x:v>Explicitly grounds directional language on other ordered object pairs.</x:v>
      </x:c>
    </x:row>
    <x:row r="345" ht="58" customHeight="1">
      <x:c r="A345" s="100" t="n">
        <x:v>343</x:v>
      </x:c>
      <x:c r="B345" s="69" t="str">
        <x:v>Relational Placement</x:v>
      </x:c>
      <x:c r="C345" s="69" t="str">
        <x:v>Place the pink marker to the right of the green pen.</x:v>
      </x:c>
      <x:c r="D345" s="69" t="str">
        <x:v>Explicit spatial-relation grounding</x:v>
      </x:c>
      <x:c r="E345" s="69" t="str">
        <x:v>front / behind / left / right</x:v>
      </x:c>
      <x:c r="F345" s="69" t="str">
        <x:v>relational_explicit_direction</x:v>
      </x:c>
      <x:c r="G345" s="69" t="str">
        <x:v>direction × unordered {green pen, red block} pair, in both target/reference directions</x:v>
      </x:c>
      <x:c r="H345" s="69" t="str">
        <x:v>No</x:v>
      </x:c>
      <x:c r="I345" s="69" t="str"/>
      <x:c r="J345" s="69" t="str">
        <x:v>pink marker, green pen, blue block</x:v>
      </x:c>
      <x:c r="K345" s="69" t="str">
        <x:v>pink marker</x:v>
      </x:c>
      <x:c r="L345" s="69" t="str">
        <x:v>Home</x:v>
      </x:c>
      <x:c r="M345" s="69" t="str">
        <x:v>Place the pink marker to the right of the green pen.</x:v>
      </x:c>
      <x:c r="N345" s="69" t="str">
        <x:v>pink marker, green pen, blue block</x:v>
      </x:c>
      <x:c r="O345" s="69" t="str">
        <x:v>pink marker</x:v>
      </x:c>
      <x:c r="P345" s="70" t="str">
        <x:v>Explicitly grounds directional language on other ordered object pairs.</x:v>
      </x:c>
    </x:row>
    <x:row r="346" ht="58" customHeight="1">
      <x:c r="A346" s="100" t="n">
        <x:v>344</x:v>
      </x:c>
      <x:c r="B346" s="69" t="str">
        <x:v>Relational Placement</x:v>
      </x:c>
      <x:c r="C346" s="69" t="str">
        <x:v>Place the pink marker to the right of the green pen.</x:v>
      </x:c>
      <x:c r="D346" s="69" t="str">
        <x:v>Explicit spatial-relation grounding</x:v>
      </x:c>
      <x:c r="E346" s="69" t="str">
        <x:v>front / behind / left / right</x:v>
      </x:c>
      <x:c r="F346" s="69" t="str">
        <x:v>relational_explicit_direction</x:v>
      </x:c>
      <x:c r="G346" s="69" t="str">
        <x:v>direction × unordered {green pen, red block} pair, in both target/reference directions</x:v>
      </x:c>
      <x:c r="H346" s="69" t="str">
        <x:v>No</x:v>
      </x:c>
      <x:c r="I346" s="69" t="str"/>
      <x:c r="J346" s="69" t="str">
        <x:v>green pen, red block, pink marker, blue block</x:v>
      </x:c>
      <x:c r="K346" s="69" t="str">
        <x:v>pink marker</x:v>
      </x:c>
      <x:c r="L346" s="69" t="str">
        <x:v>Home</x:v>
      </x:c>
      <x:c r="M346" s="69" t="str">
        <x:v>Place the pink marker to the right of the green pen.</x:v>
      </x:c>
      <x:c r="N346" s="69" t="str">
        <x:v>green pen, red block, pink marker, blue block</x:v>
      </x:c>
      <x:c r="O346" s="69" t="str">
        <x:v>pink marker</x:v>
      </x:c>
      <x:c r="P346" s="70" t="str">
        <x:v>Explicitly grounds directional language on other ordered object pairs.</x:v>
      </x:c>
    </x:row>
    <x:row r="347" ht="58" customHeight="1">
      <x:c r="A347" s="100" t="n">
        <x:v>345</x:v>
      </x:c>
      <x:c r="B347" s="69" t="str">
        <x:v>Relational Placement</x:v>
      </x:c>
      <x:c r="C347" s="69" t="str">
        <x:v>Place the pink marker to the right of the green pen.</x:v>
      </x:c>
      <x:c r="D347" s="69" t="str">
        <x:v>Explicit spatial-relation grounding</x:v>
      </x:c>
      <x:c r="E347" s="69" t="str">
        <x:v>front / behind / left / right</x:v>
      </x:c>
      <x:c r="F347" s="69" t="str">
        <x:v>relational_explicit_direction</x:v>
      </x:c>
      <x:c r="G347" s="69" t="str">
        <x:v>direction × unordered {green pen, red block} pair, in both target/reference directions</x:v>
      </x:c>
      <x:c r="H347" s="69" t="str">
        <x:v>No</x:v>
      </x:c>
      <x:c r="I347" s="69" t="str"/>
      <x:c r="J347" s="69" t="str">
        <x:v>pink marker, green pen, red block</x:v>
      </x:c>
      <x:c r="K347" s="69" t="str">
        <x:v>pink marker</x:v>
      </x:c>
      <x:c r="L347" s="69" t="str">
        <x:v>Recovery</x:v>
      </x:c>
      <x:c r="M347" s="69" t="str">
        <x:v>Place the pink marker to the right of the green pen.</x:v>
      </x:c>
      <x:c r="N347" s="69" t="str">
        <x:v>pink marker, green pen, red block</x:v>
      </x:c>
      <x:c r="O347" s="69" t="str">
        <x:v>pink marker</x:v>
      </x:c>
      <x:c r="P347" s="70" t="str">
        <x:v>Explicitly grounds directional language on other ordered object pairs.</x:v>
      </x:c>
    </x:row>
    <x:row r="348" ht="58" customHeight="1">
      <x:c r="A348" s="100" t="n">
        <x:v>346</x:v>
      </x:c>
      <x:c r="B348" s="69" t="str">
        <x:v>Relational Placement</x:v>
      </x:c>
      <x:c r="C348" s="69" t="str">
        <x:v>Place the pink marker to the right of the red block.</x:v>
      </x:c>
      <x:c r="D348" s="69" t="str">
        <x:v>Explicit spatial-relation grounding</x:v>
      </x:c>
      <x:c r="E348" s="69" t="str">
        <x:v>front / behind / left / right</x:v>
      </x:c>
      <x:c r="F348" s="69" t="str">
        <x:v>relational_explicit_direction</x:v>
      </x:c>
      <x:c r="G348" s="69" t="str">
        <x:v>direction × unordered {green pen, red block} pair, in both target/reference directions</x:v>
      </x:c>
      <x:c r="H348" s="69" t="str">
        <x:v>No</x:v>
      </x:c>
      <x:c r="I348" s="69" t="str"/>
      <x:c r="J348" s="69" t="str">
        <x:v>pink marker, red block</x:v>
      </x:c>
      <x:c r="K348" s="69" t="str">
        <x:v>pink marker</x:v>
      </x:c>
      <x:c r="L348" s="69" t="str">
        <x:v>Home</x:v>
      </x:c>
      <x:c r="M348" s="69" t="str">
        <x:v>Place the pink marker to the right of the red block.</x:v>
      </x:c>
      <x:c r="N348" s="69" t="str">
        <x:v>pink marker, red block</x:v>
      </x:c>
      <x:c r="O348" s="69" t="str">
        <x:v>pink marker</x:v>
      </x:c>
      <x:c r="P348" s="70" t="str">
        <x:v>Explicitly grounds directional language on other ordered object pairs.</x:v>
      </x:c>
    </x:row>
    <x:row r="349" ht="58" customHeight="1">
      <x:c r="A349" s="100" t="n">
        <x:v>347</x:v>
      </x:c>
      <x:c r="B349" s="69" t="str">
        <x:v>Relational Placement</x:v>
      </x:c>
      <x:c r="C349" s="69" t="str">
        <x:v>Place the pink marker to the right of the red block.</x:v>
      </x:c>
      <x:c r="D349" s="69" t="str">
        <x:v>Explicit spatial-relation grounding</x:v>
      </x:c>
      <x:c r="E349" s="69" t="str">
        <x:v>front / behind / left / right</x:v>
      </x:c>
      <x:c r="F349" s="69" t="str">
        <x:v>relational_explicit_direction</x:v>
      </x:c>
      <x:c r="G349" s="69" t="str">
        <x:v>direction × unordered {green pen, red block} pair, in both target/reference directions</x:v>
      </x:c>
      <x:c r="H349" s="69" t="str">
        <x:v>No</x:v>
      </x:c>
      <x:c r="I349" s="69" t="str"/>
      <x:c r="J349" s="69" t="str">
        <x:v>pink marker, red block, blue block</x:v>
      </x:c>
      <x:c r="K349" s="69" t="str">
        <x:v>pink marker</x:v>
      </x:c>
      <x:c r="L349" s="69" t="str">
        <x:v>Home</x:v>
      </x:c>
      <x:c r="M349" s="69" t="str">
        <x:v>Place the pink marker to the right of the red block.</x:v>
      </x:c>
      <x:c r="N349" s="69" t="str">
        <x:v>pink marker, red block, blue block</x:v>
      </x:c>
      <x:c r="O349" s="69" t="str">
        <x:v>pink marker</x:v>
      </x:c>
      <x:c r="P349" s="70" t="str">
        <x:v>Explicitly grounds directional language on other ordered object pairs.</x:v>
      </x:c>
    </x:row>
    <x:row r="350" ht="58" customHeight="1">
      <x:c r="A350" s="100" t="n">
        <x:v>348</x:v>
      </x:c>
      <x:c r="B350" s="69" t="str">
        <x:v>Relational Placement</x:v>
      </x:c>
      <x:c r="C350" s="69" t="str">
        <x:v>Place the pink marker to the right of the red block.</x:v>
      </x:c>
      <x:c r="D350" s="69" t="str">
        <x:v>Explicit spatial-relation grounding</x:v>
      </x:c>
      <x:c r="E350" s="69" t="str">
        <x:v>front / behind / left / right</x:v>
      </x:c>
      <x:c r="F350" s="69" t="str">
        <x:v>relational_explicit_direction</x:v>
      </x:c>
      <x:c r="G350" s="69" t="str">
        <x:v>direction × unordered {green pen, red block} pair, in both target/reference directions</x:v>
      </x:c>
      <x:c r="H350" s="69" t="str">
        <x:v>No</x:v>
      </x:c>
      <x:c r="I350" s="69" t="str"/>
      <x:c r="J350" s="69" t="str">
        <x:v>green pen, red block, pink marker, blue block</x:v>
      </x:c>
      <x:c r="K350" s="69" t="str">
        <x:v>pink marker</x:v>
      </x:c>
      <x:c r="L350" s="69" t="str">
        <x:v>Home</x:v>
      </x:c>
      <x:c r="M350" s="69" t="str">
        <x:v>Place the pink marker to the right of the red block.</x:v>
      </x:c>
      <x:c r="N350" s="69" t="str">
        <x:v>green pen, red block, pink marker, blue block</x:v>
      </x:c>
      <x:c r="O350" s="69" t="str">
        <x:v>pink marker</x:v>
      </x:c>
      <x:c r="P350" s="70" t="str">
        <x:v>Explicitly grounds directional language on other ordered object pairs.</x:v>
      </x:c>
    </x:row>
    <x:row r="351" ht="58" customHeight="1">
      <x:c r="A351" s="100" t="n">
        <x:v>349</x:v>
      </x:c>
      <x:c r="B351" s="69" t="str">
        <x:v>Relational Placement</x:v>
      </x:c>
      <x:c r="C351" s="69" t="str">
        <x:v>Place the pink marker to the right of the red block.</x:v>
      </x:c>
      <x:c r="D351" s="69" t="str">
        <x:v>Explicit spatial-relation grounding</x:v>
      </x:c>
      <x:c r="E351" s="69" t="str">
        <x:v>front / behind / left / right</x:v>
      </x:c>
      <x:c r="F351" s="69" t="str">
        <x:v>relational_explicit_direction</x:v>
      </x:c>
      <x:c r="G351" s="69" t="str">
        <x:v>direction × unordered {green pen, red block} pair, in both target/reference directions</x:v>
      </x:c>
      <x:c r="H351" s="69" t="str">
        <x:v>No</x:v>
      </x:c>
      <x:c r="I351" s="69" t="str"/>
      <x:c r="J351" s="69" t="str">
        <x:v>pink marker, red block, green pen</x:v>
      </x:c>
      <x:c r="K351" s="69" t="str">
        <x:v>pink marker</x:v>
      </x:c>
      <x:c r="L351" s="69" t="str">
        <x:v>Recovery</x:v>
      </x:c>
      <x:c r="M351" s="69" t="str">
        <x:v>Place the pink marker to the right of the red block.</x:v>
      </x:c>
      <x:c r="N351" s="69" t="str">
        <x:v>pink marker, red block, green pen</x:v>
      </x:c>
      <x:c r="O351" s="69" t="str">
        <x:v>pink marker</x:v>
      </x:c>
      <x:c r="P351" s="70" t="str">
        <x:v>Explicitly grounds directional language on other ordered object pairs.</x:v>
      </x:c>
    </x:row>
    <x:row r="352" ht="58" customHeight="1">
      <x:c r="A352" s="100" t="n">
        <x:v>350</x:v>
      </x:c>
      <x:c r="B352" s="69" t="str">
        <x:v>Relational Placement</x:v>
      </x:c>
      <x:c r="C352" s="69" t="str">
        <x:v>Put the blue block on the table in front of the green pen.</x:v>
      </x:c>
      <x:c r="D352" s="69" t="str">
        <x:v>Explicit spatial-relation grounding</x:v>
      </x:c>
      <x:c r="E352" s="69" t="str">
        <x:v>front / behind / left / right</x:v>
      </x:c>
      <x:c r="F352" s="69" t="str">
        <x:v>relational_explicit_direction</x:v>
      </x:c>
      <x:c r="G352" s="69" t="str">
        <x:v>direction × unordered {green pen, red block} pair, in both target/reference directions</x:v>
      </x:c>
      <x:c r="H352" s="69" t="str">
        <x:v>No</x:v>
      </x:c>
      <x:c r="I352" s="69" t="str"/>
      <x:c r="J352" s="69" t="str">
        <x:v>blue block, green pen</x:v>
      </x:c>
      <x:c r="K352" s="69" t="str">
        <x:v>blue block</x:v>
      </x:c>
      <x:c r="L352" s="69" t="str">
        <x:v>Home</x:v>
      </x:c>
      <x:c r="M352" s="69" t="str">
        <x:v>Put the blue block on the table in front of the green pen.</x:v>
      </x:c>
      <x:c r="N352" s="69" t="str">
        <x:v>blue block, green pen</x:v>
      </x:c>
      <x:c r="O352" s="69" t="str">
        <x:v>blue block</x:v>
      </x:c>
      <x:c r="P352" s="70" t="str">
        <x:v>Explicitly grounds directional language on other ordered object pairs.</x:v>
      </x:c>
    </x:row>
    <x:row r="353" ht="58" customHeight="1">
      <x:c r="A353" s="100" t="n">
        <x:v>351</x:v>
      </x:c>
      <x:c r="B353" s="69" t="str">
        <x:v>Relational Placement</x:v>
      </x:c>
      <x:c r="C353" s="69" t="str">
        <x:v>Move the blue block to the front of the green pen.</x:v>
      </x:c>
      <x:c r="D353" s="69" t="str">
        <x:v>Explicit spatial-relation grounding</x:v>
      </x:c>
      <x:c r="E353" s="69" t="str">
        <x:v>front / behind / left / right</x:v>
      </x:c>
      <x:c r="F353" s="69" t="str">
        <x:v>relational_explicit_direction</x:v>
      </x:c>
      <x:c r="G353" s="69" t="str">
        <x:v>direction × unordered {green pen, red block} pair, in both target/reference directions</x:v>
      </x:c>
      <x:c r="H353" s="69" t="str">
        <x:v>No</x:v>
      </x:c>
      <x:c r="I353" s="69" t="str"/>
      <x:c r="J353" s="69" t="str">
        <x:v>blue block, green pen, red block</x:v>
      </x:c>
      <x:c r="K353" s="69" t="str">
        <x:v>blue block</x:v>
      </x:c>
      <x:c r="L353" s="69" t="str">
        <x:v>Home</x:v>
      </x:c>
      <x:c r="M353" s="69" t="str">
        <x:v>Move the blue block to the front of the green pen.</x:v>
      </x:c>
      <x:c r="N353" s="69" t="str">
        <x:v>blue block, green pen, red block</x:v>
      </x:c>
      <x:c r="O353" s="69" t="str">
        <x:v>blue block</x:v>
      </x:c>
      <x:c r="P353" s="70" t="str">
        <x:v>Explicitly grounds directional language on other ordered object pairs.</x:v>
      </x:c>
    </x:row>
    <x:row r="354" ht="58" customHeight="1">
      <x:c r="A354" s="100" t="n">
        <x:v>352</x:v>
      </x:c>
      <x:c r="B354" s="69" t="str">
        <x:v>Relational Placement</x:v>
      </x:c>
      <x:c r="C354" s="69" t="str">
        <x:v>Place the blue block in front of the green pen.</x:v>
      </x:c>
      <x:c r="D354" s="69" t="str">
        <x:v>Explicit spatial-relation grounding</x:v>
      </x:c>
      <x:c r="E354" s="69" t="str">
        <x:v>front / behind / left / right</x:v>
      </x:c>
      <x:c r="F354" s="69" t="str">
        <x:v>relational_explicit_direction</x:v>
      </x:c>
      <x:c r="G354" s="69" t="str">
        <x:v>direction × unordered {green pen, red block} pair, in both target/reference directions</x:v>
      </x:c>
      <x:c r="H354" s="69" t="str">
        <x:v>No</x:v>
      </x:c>
      <x:c r="I354" s="69" t="str"/>
      <x:c r="J354" s="69" t="str">
        <x:v>green pen, red block, pink marker, blue block</x:v>
      </x:c>
      <x:c r="K354" s="69" t="str">
        <x:v>blue block</x:v>
      </x:c>
      <x:c r="L354" s="69" t="str">
        <x:v>Home</x:v>
      </x:c>
      <x:c r="M354" s="69" t="str">
        <x:v>Place the blue block in front of the green pen.</x:v>
      </x:c>
      <x:c r="N354" s="69" t="str">
        <x:v>green pen, red block, pink marker, blue block</x:v>
      </x:c>
      <x:c r="O354" s="69" t="str">
        <x:v>blue block</x:v>
      </x:c>
      <x:c r="P354" s="70" t="str">
        <x:v>Explicitly grounds directional language on other ordered object pairs.</x:v>
      </x:c>
    </x:row>
    <x:row r="355" ht="58" customHeight="1">
      <x:c r="A355" s="100" t="n">
        <x:v>353</x:v>
      </x:c>
      <x:c r="B355" s="69" t="str">
        <x:v>Relational Placement</x:v>
      </x:c>
      <x:c r="C355" s="69" t="str">
        <x:v>Move the blue block to the front of the green pen.</x:v>
      </x:c>
      <x:c r="D355" s="69" t="str">
        <x:v>Explicit spatial-relation grounding</x:v>
      </x:c>
      <x:c r="E355" s="69" t="str">
        <x:v>front / behind / left / right</x:v>
      </x:c>
      <x:c r="F355" s="69" t="str">
        <x:v>relational_explicit_direction</x:v>
      </x:c>
      <x:c r="G355" s="69" t="str">
        <x:v>direction × unordered {green pen, red block} pair, in both target/reference directions</x:v>
      </x:c>
      <x:c r="H355" s="69" t="str">
        <x:v>No</x:v>
      </x:c>
      <x:c r="I355" s="69" t="str"/>
      <x:c r="J355" s="69" t="str">
        <x:v>blue block, green pen, pink marker</x:v>
      </x:c>
      <x:c r="K355" s="69" t="str">
        <x:v>blue block</x:v>
      </x:c>
      <x:c r="L355" s="69" t="str">
        <x:v>Recovery</x:v>
      </x:c>
      <x:c r="M355" s="69" t="str">
        <x:v>Move the blue block to the front of the green pen.</x:v>
      </x:c>
      <x:c r="N355" s="69" t="str">
        <x:v>blue block, green pen, pink marker</x:v>
      </x:c>
      <x:c r="O355" s="69" t="str">
        <x:v>blue block</x:v>
      </x:c>
      <x:c r="P355" s="70" t="str">
        <x:v>Explicitly grounds directional language on other ordered object pairs.</x:v>
      </x:c>
    </x:row>
    <x:row r="356" ht="58" customHeight="1">
      <x:c r="A356" s="100" t="n">
        <x:v>354</x:v>
      </x:c>
      <x:c r="B356" s="69" t="str">
        <x:v>Relational Placement</x:v>
      </x:c>
      <x:c r="C356" s="69" t="str">
        <x:v>Place the blue block in front of the red block.</x:v>
      </x:c>
      <x:c r="D356" s="69" t="str">
        <x:v>Explicit spatial-relation grounding</x:v>
      </x:c>
      <x:c r="E356" s="69" t="str">
        <x:v>front / behind / left / right</x:v>
      </x:c>
      <x:c r="F356" s="69" t="str">
        <x:v>relational_explicit_direction</x:v>
      </x:c>
      <x:c r="G356" s="69" t="str">
        <x:v>direction × unordered {green pen, red block} pair, in both target/reference directions</x:v>
      </x:c>
      <x:c r="H356" s="69" t="str">
        <x:v>No</x:v>
      </x:c>
      <x:c r="I356" s="69" t="str"/>
      <x:c r="J356" s="69" t="str">
        <x:v>blue block, red block</x:v>
      </x:c>
      <x:c r="K356" s="69" t="str">
        <x:v>blue block</x:v>
      </x:c>
      <x:c r="L356" s="69" t="str">
        <x:v>Home</x:v>
      </x:c>
      <x:c r="M356" s="69" t="str">
        <x:v>Place the blue block in front of the red block.</x:v>
      </x:c>
      <x:c r="N356" s="69" t="str">
        <x:v>blue block, red block</x:v>
      </x:c>
      <x:c r="O356" s="69" t="str">
        <x:v>blue block</x:v>
      </x:c>
      <x:c r="P356" s="70" t="str">
        <x:v>Explicitly grounds directional language on other ordered object pairs.</x:v>
      </x:c>
    </x:row>
    <x:row r="357" ht="58" customHeight="1">
      <x:c r="A357" s="100" t="n">
        <x:v>355</x:v>
      </x:c>
      <x:c r="B357" s="69" t="str">
        <x:v>Relational Placement</x:v>
      </x:c>
      <x:c r="C357" s="69" t="str">
        <x:v>Put the blue block on the table in front of the red block.</x:v>
      </x:c>
      <x:c r="D357" s="69" t="str">
        <x:v>Explicit spatial-relation grounding</x:v>
      </x:c>
      <x:c r="E357" s="69" t="str">
        <x:v>front / behind / left / right</x:v>
      </x:c>
      <x:c r="F357" s="69" t="str">
        <x:v>relational_explicit_direction</x:v>
      </x:c>
      <x:c r="G357" s="69" t="str">
        <x:v>direction × unordered {green pen, red block} pair, in both target/reference directions</x:v>
      </x:c>
      <x:c r="H357" s="69" t="str">
        <x:v>No</x:v>
      </x:c>
      <x:c r="I357" s="69" t="str"/>
      <x:c r="J357" s="69" t="str">
        <x:v>blue block, red block, green pen</x:v>
      </x:c>
      <x:c r="K357" s="69" t="str">
        <x:v>blue block</x:v>
      </x:c>
      <x:c r="L357" s="69" t="str">
        <x:v>Home</x:v>
      </x:c>
      <x:c r="M357" s="69" t="str">
        <x:v>Put the blue block on the table in front of the red block.</x:v>
      </x:c>
      <x:c r="N357" s="69" t="str">
        <x:v>blue block, red block, green pen</x:v>
      </x:c>
      <x:c r="O357" s="69" t="str">
        <x:v>blue block</x:v>
      </x:c>
      <x:c r="P357" s="70" t="str">
        <x:v>Explicitly grounds directional language on other ordered object pairs.</x:v>
      </x:c>
    </x:row>
    <x:row r="358" ht="58" customHeight="1">
      <x:c r="A358" s="100" t="n">
        <x:v>356</x:v>
      </x:c>
      <x:c r="B358" s="69" t="str">
        <x:v>Relational Placement</x:v>
      </x:c>
      <x:c r="C358" s="69" t="str">
        <x:v>Place the blue block in front of the red block.</x:v>
      </x:c>
      <x:c r="D358" s="69" t="str">
        <x:v>Explicit spatial-relation grounding</x:v>
      </x:c>
      <x:c r="E358" s="69" t="str">
        <x:v>front / behind / left / right</x:v>
      </x:c>
      <x:c r="F358" s="69" t="str">
        <x:v>relational_explicit_direction</x:v>
      </x:c>
      <x:c r="G358" s="69" t="str">
        <x:v>direction × unordered {green pen, red block} pair, in both target/reference directions</x:v>
      </x:c>
      <x:c r="H358" s="69" t="str">
        <x:v>No</x:v>
      </x:c>
      <x:c r="I358" s="69" t="str"/>
      <x:c r="J358" s="69" t="str">
        <x:v>green pen, red block, pink marker, blue block</x:v>
      </x:c>
      <x:c r="K358" s="69" t="str">
        <x:v>blue block</x:v>
      </x:c>
      <x:c r="L358" s="69" t="str">
        <x:v>Home</x:v>
      </x:c>
      <x:c r="M358" s="69" t="str">
        <x:v>Place the blue block in front of the red block.</x:v>
      </x:c>
      <x:c r="N358" s="69" t="str">
        <x:v>green pen, red block, pink marker, blue block</x:v>
      </x:c>
      <x:c r="O358" s="69" t="str">
        <x:v>blue block</x:v>
      </x:c>
      <x:c r="P358" s="70" t="str">
        <x:v>Explicitly grounds directional language on other ordered object pairs.</x:v>
      </x:c>
    </x:row>
    <x:row r="359" ht="58" customHeight="1">
      <x:c r="A359" s="100" t="n">
        <x:v>357</x:v>
      </x:c>
      <x:c r="B359" s="69" t="str">
        <x:v>Relational Placement</x:v>
      </x:c>
      <x:c r="C359" s="69" t="str">
        <x:v>Move the blue block to the front of the red block.</x:v>
      </x:c>
      <x:c r="D359" s="69" t="str">
        <x:v>Explicit spatial-relation grounding</x:v>
      </x:c>
      <x:c r="E359" s="69" t="str">
        <x:v>front / behind / left / right</x:v>
      </x:c>
      <x:c r="F359" s="69" t="str">
        <x:v>relational_explicit_direction</x:v>
      </x:c>
      <x:c r="G359" s="69" t="str">
        <x:v>direction × unordered {green pen, red block} pair, in both target/reference directions</x:v>
      </x:c>
      <x:c r="H359" s="69" t="str">
        <x:v>No</x:v>
      </x:c>
      <x:c r="I359" s="69" t="str"/>
      <x:c r="J359" s="69" t="str">
        <x:v>blue block, red block, pink marker</x:v>
      </x:c>
      <x:c r="K359" s="69" t="str">
        <x:v>blue block</x:v>
      </x:c>
      <x:c r="L359" s="69" t="str">
        <x:v>Recovery</x:v>
      </x:c>
      <x:c r="M359" s="69" t="str">
        <x:v>Move the blue block to the front of the red block.</x:v>
      </x:c>
      <x:c r="N359" s="69" t="str">
        <x:v>blue block, red block, pink marker</x:v>
      </x:c>
      <x:c r="O359" s="69" t="str">
        <x:v>blue block</x:v>
      </x:c>
      <x:c r="P359" s="70" t="str">
        <x:v>Explicitly grounds directional language on other ordered object pairs.</x:v>
      </x:c>
    </x:row>
    <x:row r="360" ht="58" customHeight="1">
      <x:c r="A360" s="100" t="n">
        <x:v>358</x:v>
      </x:c>
      <x:c r="B360" s="69" t="str">
        <x:v>Relational Placement</x:v>
      </x:c>
      <x:c r="C360" s="69" t="str">
        <x:v>Put the blue block on the table in front of the pink marker.</x:v>
      </x:c>
      <x:c r="D360" s="69" t="str">
        <x:v>Explicit spatial-relation grounding</x:v>
      </x:c>
      <x:c r="E360" s="69" t="str">
        <x:v>front / behind / left / right</x:v>
      </x:c>
      <x:c r="F360" s="69" t="str">
        <x:v>relational_explicit_direction</x:v>
      </x:c>
      <x:c r="G360" s="69" t="str">
        <x:v>direction × unordered {green pen, red block} pair, in both target/reference directions</x:v>
      </x:c>
      <x:c r="H360" s="69" t="str">
        <x:v>No</x:v>
      </x:c>
      <x:c r="I360" s="69" t="str"/>
      <x:c r="J360" s="69" t="str">
        <x:v>blue block, pink marker</x:v>
      </x:c>
      <x:c r="K360" s="69" t="str">
        <x:v>blue block</x:v>
      </x:c>
      <x:c r="L360" s="69" t="str">
        <x:v>Home</x:v>
      </x:c>
      <x:c r="M360" s="69" t="str">
        <x:v>Put the blue block on the table in front of the pink marker.</x:v>
      </x:c>
      <x:c r="N360" s="69" t="str">
        <x:v>blue block, pink marker</x:v>
      </x:c>
      <x:c r="O360" s="69" t="str">
        <x:v>blue block</x:v>
      </x:c>
      <x:c r="P360" s="70" t="str">
        <x:v>Explicitly grounds directional language on other ordered object pairs.</x:v>
      </x:c>
    </x:row>
    <x:row r="361" ht="58" customHeight="1">
      <x:c r="A361" s="100" t="n">
        <x:v>359</x:v>
      </x:c>
      <x:c r="B361" s="69" t="str">
        <x:v>Relational Placement</x:v>
      </x:c>
      <x:c r="C361" s="69" t="str">
        <x:v>Place the blue block in front of the pink marker.</x:v>
      </x:c>
      <x:c r="D361" s="69" t="str">
        <x:v>Explicit spatial-relation grounding</x:v>
      </x:c>
      <x:c r="E361" s="69" t="str">
        <x:v>front / behind / left / right</x:v>
      </x:c>
      <x:c r="F361" s="69" t="str">
        <x:v>relational_explicit_direction</x:v>
      </x:c>
      <x:c r="G361" s="69" t="str">
        <x:v>direction × unordered {green pen, red block} pair, in both target/reference directions</x:v>
      </x:c>
      <x:c r="H361" s="69" t="str">
        <x:v>No</x:v>
      </x:c>
      <x:c r="I361" s="69" t="str"/>
      <x:c r="J361" s="69" t="str">
        <x:v>blue block, pink marker, green pen</x:v>
      </x:c>
      <x:c r="K361" s="69" t="str">
        <x:v>blue block</x:v>
      </x:c>
      <x:c r="L361" s="69" t="str">
        <x:v>Home</x:v>
      </x:c>
      <x:c r="M361" s="69" t="str">
        <x:v>Place the blue block in front of the pink marker.</x:v>
      </x:c>
      <x:c r="N361" s="69" t="str">
        <x:v>blue block, pink marker, green pen</x:v>
      </x:c>
      <x:c r="O361" s="69" t="str">
        <x:v>blue block</x:v>
      </x:c>
      <x:c r="P361" s="70" t="str">
        <x:v>Explicitly grounds directional language on other ordered object pairs.</x:v>
      </x:c>
    </x:row>
    <x:row r="362" ht="58" customHeight="1">
      <x:c r="A362" s="100" t="n">
        <x:v>360</x:v>
      </x:c>
      <x:c r="B362" s="69" t="str">
        <x:v>Relational Placement</x:v>
      </x:c>
      <x:c r="C362" s="69" t="str">
        <x:v>Put the blue block on the table in front of the pink marker.</x:v>
      </x:c>
      <x:c r="D362" s="69" t="str">
        <x:v>Explicit spatial-relation grounding</x:v>
      </x:c>
      <x:c r="E362" s="69" t="str">
        <x:v>front / behind / left / right</x:v>
      </x:c>
      <x:c r="F362" s="69" t="str">
        <x:v>relational_explicit_direction</x:v>
      </x:c>
      <x:c r="G362" s="69" t="str">
        <x:v>direction × unordered {green pen, red block} pair, in both target/reference directions</x:v>
      </x:c>
      <x:c r="H362" s="69" t="str">
        <x:v>No</x:v>
      </x:c>
      <x:c r="I362" s="69" t="str"/>
      <x:c r="J362" s="69" t="str">
        <x:v>green pen, red block, pink marker, blue block</x:v>
      </x:c>
      <x:c r="K362" s="69" t="str">
        <x:v>blue block</x:v>
      </x:c>
      <x:c r="L362" s="69" t="str">
        <x:v>Home</x:v>
      </x:c>
      <x:c r="M362" s="69" t="str">
        <x:v>Put the blue block on the table in front of the pink marker.</x:v>
      </x:c>
      <x:c r="N362" s="69" t="str">
        <x:v>green pen, red block, pink marker, blue block</x:v>
      </x:c>
      <x:c r="O362" s="69" t="str">
        <x:v>blue block</x:v>
      </x:c>
      <x:c r="P362" s="70" t="str">
        <x:v>Explicitly grounds directional language on other ordered object pairs.</x:v>
      </x:c>
    </x:row>
    <x:row r="363" ht="58" customHeight="1">
      <x:c r="A363" s="100" t="n">
        <x:v>361</x:v>
      </x:c>
      <x:c r="B363" s="69" t="str">
        <x:v>Relational Placement</x:v>
      </x:c>
      <x:c r="C363" s="69" t="str">
        <x:v>Move the blue block to the front of the pink marker.</x:v>
      </x:c>
      <x:c r="D363" s="69" t="str">
        <x:v>Explicit spatial-relation grounding</x:v>
      </x:c>
      <x:c r="E363" s="69" t="str">
        <x:v>front / behind / left / right</x:v>
      </x:c>
      <x:c r="F363" s="69" t="str">
        <x:v>relational_explicit_direction</x:v>
      </x:c>
      <x:c r="G363" s="69" t="str">
        <x:v>direction × unordered {green pen, red block} pair, in both target/reference directions</x:v>
      </x:c>
      <x:c r="H363" s="69" t="str">
        <x:v>No</x:v>
      </x:c>
      <x:c r="I363" s="69" t="str"/>
      <x:c r="J363" s="69" t="str">
        <x:v>blue block, pink marker, red block</x:v>
      </x:c>
      <x:c r="K363" s="69" t="str">
        <x:v>blue block</x:v>
      </x:c>
      <x:c r="L363" s="69" t="str">
        <x:v>Home</x:v>
      </x:c>
      <x:c r="M363" s="69" t="str">
        <x:v>Move the blue block to the front of the pink marker.</x:v>
      </x:c>
      <x:c r="N363" s="69" t="str">
        <x:v>blue block, pink marker, red block</x:v>
      </x:c>
      <x:c r="O363" s="69" t="str">
        <x:v>blue block</x:v>
      </x:c>
      <x:c r="P363" s="70" t="str">
        <x:v>Explicitly grounds directional language on other ordered object pairs.</x:v>
      </x:c>
    </x:row>
    <x:row r="364" ht="58" customHeight="1">
      <x:c r="A364" s="100" t="n">
        <x:v>362</x:v>
      </x:c>
      <x:c r="B364" s="69" t="str">
        <x:v>Relational Placement</x:v>
      </x:c>
      <x:c r="C364" s="69" t="str">
        <x:v>Put the blue block on the table behind the green pen.</x:v>
      </x:c>
      <x:c r="D364" s="69" t="str">
        <x:v>Explicit spatial-relation grounding</x:v>
      </x:c>
      <x:c r="E364" s="69" t="str">
        <x:v>front / behind / left / right</x:v>
      </x:c>
      <x:c r="F364" s="69" t="str">
        <x:v>relational_explicit_direction</x:v>
      </x:c>
      <x:c r="G364" s="69" t="str">
        <x:v>direction × unordered {green pen, red block} pair, in both target/reference directions</x:v>
      </x:c>
      <x:c r="H364" s="69" t="str">
        <x:v>No</x:v>
      </x:c>
      <x:c r="I364" s="69" t="str"/>
      <x:c r="J364" s="69" t="str">
        <x:v>blue block, green pen</x:v>
      </x:c>
      <x:c r="K364" s="69" t="str">
        <x:v>blue block</x:v>
      </x:c>
      <x:c r="L364" s="69" t="str">
        <x:v>Home</x:v>
      </x:c>
      <x:c r="M364" s="69" t="str">
        <x:v>Put the blue block on the table behind the green pen.</x:v>
      </x:c>
      <x:c r="N364" s="69" t="str">
        <x:v>blue block, green pen</x:v>
      </x:c>
      <x:c r="O364" s="69" t="str">
        <x:v>blue block</x:v>
      </x:c>
      <x:c r="P364" s="70" t="str">
        <x:v>Explicitly grounds directional language on other ordered object pairs.</x:v>
      </x:c>
    </x:row>
    <x:row r="365" ht="58" customHeight="1">
      <x:c r="A365" s="100" t="n">
        <x:v>363</x:v>
      </x:c>
      <x:c r="B365" s="69" t="str">
        <x:v>Relational Placement</x:v>
      </x:c>
      <x:c r="C365" s="69" t="str">
        <x:v>Place the blue block behind the green pen.</x:v>
      </x:c>
      <x:c r="D365" s="69" t="str">
        <x:v>Explicit spatial-relation grounding</x:v>
      </x:c>
      <x:c r="E365" s="69" t="str">
        <x:v>front / behind / left / right</x:v>
      </x:c>
      <x:c r="F365" s="69" t="str">
        <x:v>relational_explicit_direction</x:v>
      </x:c>
      <x:c r="G365" s="69" t="str">
        <x:v>direction × unordered {green pen, red block} pair, in both target/reference directions</x:v>
      </x:c>
      <x:c r="H365" s="69" t="str">
        <x:v>No</x:v>
      </x:c>
      <x:c r="I365" s="69" t="str"/>
      <x:c r="J365" s="69" t="str">
        <x:v>blue block, green pen, red block</x:v>
      </x:c>
      <x:c r="K365" s="69" t="str">
        <x:v>blue block</x:v>
      </x:c>
      <x:c r="L365" s="69" t="str">
        <x:v>Home</x:v>
      </x:c>
      <x:c r="M365" s="69" t="str">
        <x:v>Place the blue block behind the green pen.</x:v>
      </x:c>
      <x:c r="N365" s="69" t="str">
        <x:v>blue block, green pen, red block</x:v>
      </x:c>
      <x:c r="O365" s="69" t="str">
        <x:v>blue block</x:v>
      </x:c>
      <x:c r="P365" s="70" t="str">
        <x:v>Explicitly grounds directional language on other ordered object pairs.</x:v>
      </x:c>
    </x:row>
    <x:row r="366" ht="58" customHeight="1">
      <x:c r="A366" s="100" t="n">
        <x:v>364</x:v>
      </x:c>
      <x:c r="B366" s="69" t="str">
        <x:v>Relational Placement</x:v>
      </x:c>
      <x:c r="C366" s="69" t="str">
        <x:v>Place the blue block behind the green pen.</x:v>
      </x:c>
      <x:c r="D366" s="69" t="str">
        <x:v>Explicit spatial-relation grounding</x:v>
      </x:c>
      <x:c r="E366" s="69" t="str">
        <x:v>front / behind / left / right</x:v>
      </x:c>
      <x:c r="F366" s="69" t="str">
        <x:v>relational_explicit_direction</x:v>
      </x:c>
      <x:c r="G366" s="69" t="str">
        <x:v>direction × unordered {green pen, red block} pair, in both target/reference directions</x:v>
      </x:c>
      <x:c r="H366" s="69" t="str">
        <x:v>No</x:v>
      </x:c>
      <x:c r="I366" s="69" t="str"/>
      <x:c r="J366" s="69" t="str">
        <x:v>green pen, red block, pink marker, blue block</x:v>
      </x:c>
      <x:c r="K366" s="69" t="str">
        <x:v>blue block</x:v>
      </x:c>
      <x:c r="L366" s="69" t="str">
        <x:v>Home</x:v>
      </x:c>
      <x:c r="M366" s="69" t="str">
        <x:v>Place the blue block behind the green pen.</x:v>
      </x:c>
      <x:c r="N366" s="69" t="str">
        <x:v>green pen, red block, pink marker, blue block</x:v>
      </x:c>
      <x:c r="O366" s="69" t="str">
        <x:v>blue block</x:v>
      </x:c>
      <x:c r="P366" s="70" t="str">
        <x:v>Explicitly grounds directional language on other ordered object pairs.</x:v>
      </x:c>
    </x:row>
    <x:row r="367" ht="58" customHeight="1">
      <x:c r="A367" s="100" t="n">
        <x:v>365</x:v>
      </x:c>
      <x:c r="B367" s="69" t="str">
        <x:v>Relational Placement</x:v>
      </x:c>
      <x:c r="C367" s="69" t="str">
        <x:v>Put the blue block on the table behind the green pen.</x:v>
      </x:c>
      <x:c r="D367" s="69" t="str">
        <x:v>Explicit spatial-relation grounding</x:v>
      </x:c>
      <x:c r="E367" s="69" t="str">
        <x:v>front / behind / left / right</x:v>
      </x:c>
      <x:c r="F367" s="69" t="str">
        <x:v>relational_explicit_direction</x:v>
      </x:c>
      <x:c r="G367" s="69" t="str">
        <x:v>direction × unordered {green pen, red block} pair, in both target/reference directions</x:v>
      </x:c>
      <x:c r="H367" s="69" t="str">
        <x:v>No</x:v>
      </x:c>
      <x:c r="I367" s="69" t="str"/>
      <x:c r="J367" s="69" t="str">
        <x:v>blue block, green pen, pink marker</x:v>
      </x:c>
      <x:c r="K367" s="69" t="str">
        <x:v>blue block</x:v>
      </x:c>
      <x:c r="L367" s="69" t="str">
        <x:v>Recovery</x:v>
      </x:c>
      <x:c r="M367" s="69" t="str">
        <x:v>Put the blue block on the table behind the green pen.</x:v>
      </x:c>
      <x:c r="N367" s="69" t="str">
        <x:v>blue block, green pen, pink marker</x:v>
      </x:c>
      <x:c r="O367" s="69" t="str">
        <x:v>blue block</x:v>
      </x:c>
      <x:c r="P367" s="70" t="str">
        <x:v>Explicitly grounds directional language on other ordered object pairs.</x:v>
      </x:c>
    </x:row>
    <x:row r="368" ht="58" customHeight="1">
      <x:c r="A368" s="100" t="n">
        <x:v>366</x:v>
      </x:c>
      <x:c r="B368" s="69" t="str">
        <x:v>Relational Placement</x:v>
      </x:c>
      <x:c r="C368" s="69" t="str">
        <x:v>Move the blue block to the back of the green pen.</x:v>
      </x:c>
      <x:c r="D368" s="69" t="str">
        <x:v>Explicit spatial-relation grounding</x:v>
      </x:c>
      <x:c r="E368" s="69" t="str">
        <x:v>front / behind / left / right</x:v>
      </x:c>
      <x:c r="F368" s="69" t="str">
        <x:v>relational_explicit_direction</x:v>
      </x:c>
      <x:c r="G368" s="69" t="str">
        <x:v>direction × unordered {green pen, red block} pair, in both target/reference directions</x:v>
      </x:c>
      <x:c r="H368" s="69" t="str">
        <x:v>No</x:v>
      </x:c>
      <x:c r="I368" s="69" t="str"/>
      <x:c r="J368" s="69" t="str">
        <x:v>green pen, red block, pink marker, blue block</x:v>
      </x:c>
      <x:c r="K368" s="69" t="str">
        <x:v>blue block</x:v>
      </x:c>
      <x:c r="L368" s="69" t="str">
        <x:v>Home</x:v>
      </x:c>
      <x:c r="M368" s="69" t="str">
        <x:v>Move the blue block to the back of the green pen.</x:v>
      </x:c>
      <x:c r="N368" s="69" t="str">
        <x:v>green pen, red block, pink marker, blue block</x:v>
      </x:c>
      <x:c r="O368" s="69" t="str">
        <x:v>blue block</x:v>
      </x:c>
      <x:c r="P368" s="70" t="str">
        <x:v>Explicitly grounds directional language on other ordered object pairs.</x:v>
      </x:c>
    </x:row>
    <x:row r="369" ht="58" customHeight="1">
      <x:c r="A369" s="100" t="n">
        <x:v>367</x:v>
      </x:c>
      <x:c r="B369" s="69" t="str">
        <x:v>Relational Placement</x:v>
      </x:c>
      <x:c r="C369" s="69" t="str">
        <x:v>Place the blue block behind the red block.</x:v>
      </x:c>
      <x:c r="D369" s="69" t="str">
        <x:v>Explicit spatial-relation grounding</x:v>
      </x:c>
      <x:c r="E369" s="69" t="str">
        <x:v>front / behind / left / right</x:v>
      </x:c>
      <x:c r="F369" s="69" t="str">
        <x:v>relational_explicit_direction</x:v>
      </x:c>
      <x:c r="G369" s="69" t="str">
        <x:v>direction × unordered {green pen, red block} pair, in both target/reference directions</x:v>
      </x:c>
      <x:c r="H369" s="69" t="str">
        <x:v>No</x:v>
      </x:c>
      <x:c r="I369" s="69" t="str"/>
      <x:c r="J369" s="69" t="str">
        <x:v>blue block, red block</x:v>
      </x:c>
      <x:c r="K369" s="69" t="str">
        <x:v>blue block</x:v>
      </x:c>
      <x:c r="L369" s="69" t="str">
        <x:v>Home</x:v>
      </x:c>
      <x:c r="M369" s="69" t="str">
        <x:v>Place the blue block behind the red block.</x:v>
      </x:c>
      <x:c r="N369" s="69" t="str">
        <x:v>blue block, red block</x:v>
      </x:c>
      <x:c r="O369" s="69" t="str">
        <x:v>blue block</x:v>
      </x:c>
      <x:c r="P369" s="70" t="str">
        <x:v>Explicitly grounds directional language on other ordered object pairs.</x:v>
      </x:c>
    </x:row>
    <x:row r="370" ht="58" customHeight="1">
      <x:c r="A370" s="100" t="n">
        <x:v>368</x:v>
      </x:c>
      <x:c r="B370" s="69" t="str">
        <x:v>Relational Placement</x:v>
      </x:c>
      <x:c r="C370" s="69" t="str">
        <x:v>Place the blue block behind the red block.</x:v>
      </x:c>
      <x:c r="D370" s="69" t="str">
        <x:v>Explicit spatial-relation grounding</x:v>
      </x:c>
      <x:c r="E370" s="69" t="str">
        <x:v>front / behind / left / right</x:v>
      </x:c>
      <x:c r="F370" s="69" t="str">
        <x:v>relational_explicit_direction</x:v>
      </x:c>
      <x:c r="G370" s="69" t="str">
        <x:v>direction × unordered {green pen, red block} pair, in both target/reference directions</x:v>
      </x:c>
      <x:c r="H370" s="69" t="str">
        <x:v>No</x:v>
      </x:c>
      <x:c r="I370" s="69" t="str"/>
      <x:c r="J370" s="69" t="str">
        <x:v>blue block, red block, green pen</x:v>
      </x:c>
      <x:c r="K370" s="69" t="str">
        <x:v>blue block</x:v>
      </x:c>
      <x:c r="L370" s="69" t="str">
        <x:v>Home</x:v>
      </x:c>
      <x:c r="M370" s="69" t="str">
        <x:v>Place the blue block behind the red block.</x:v>
      </x:c>
      <x:c r="N370" s="69" t="str">
        <x:v>blue block, red block, green pen</x:v>
      </x:c>
      <x:c r="O370" s="69" t="str">
        <x:v>blue block</x:v>
      </x:c>
      <x:c r="P370" s="70" t="str">
        <x:v>Explicitly grounds directional language on other ordered object pairs.</x:v>
      </x:c>
    </x:row>
    <x:row r="371" ht="58" customHeight="1">
      <x:c r="A371" s="100" t="n">
        <x:v>369</x:v>
      </x:c>
      <x:c r="B371" s="69" t="str">
        <x:v>Relational Placement</x:v>
      </x:c>
      <x:c r="C371" s="69" t="str">
        <x:v>Put the blue block on the table behind the red block.</x:v>
      </x:c>
      <x:c r="D371" s="69" t="str">
        <x:v>Explicit spatial-relation grounding</x:v>
      </x:c>
      <x:c r="E371" s="69" t="str">
        <x:v>front / behind / left / right</x:v>
      </x:c>
      <x:c r="F371" s="69" t="str">
        <x:v>relational_explicit_direction</x:v>
      </x:c>
      <x:c r="G371" s="69" t="str">
        <x:v>direction × unordered {green pen, red block} pair, in both target/reference directions</x:v>
      </x:c>
      <x:c r="H371" s="69" t="str">
        <x:v>No</x:v>
      </x:c>
      <x:c r="I371" s="69" t="str"/>
      <x:c r="J371" s="69" t="str">
        <x:v>green pen, red block, pink marker, blue block</x:v>
      </x:c>
      <x:c r="K371" s="69" t="str">
        <x:v>blue block</x:v>
      </x:c>
      <x:c r="L371" s="69" t="str">
        <x:v>Home</x:v>
      </x:c>
      <x:c r="M371" s="69" t="str">
        <x:v>Put the blue block on the table behind the red block.</x:v>
      </x:c>
      <x:c r="N371" s="69" t="str">
        <x:v>green pen, red block, pink marker, blue block</x:v>
      </x:c>
      <x:c r="O371" s="69" t="str">
        <x:v>blue block</x:v>
      </x:c>
      <x:c r="P371" s="70" t="str">
        <x:v>Explicitly grounds directional language on other ordered object pairs.</x:v>
      </x:c>
    </x:row>
    <x:row r="372" ht="58" customHeight="1">
      <x:c r="A372" s="100" t="n">
        <x:v>370</x:v>
      </x:c>
      <x:c r="B372" s="69" t="str">
        <x:v>Relational Placement</x:v>
      </x:c>
      <x:c r="C372" s="69" t="str">
        <x:v>Place the blue block behind the red block.</x:v>
      </x:c>
      <x:c r="D372" s="69" t="str">
        <x:v>Explicit spatial-relation grounding</x:v>
      </x:c>
      <x:c r="E372" s="69" t="str">
        <x:v>front / behind / left / right</x:v>
      </x:c>
      <x:c r="F372" s="69" t="str">
        <x:v>relational_explicit_direction</x:v>
      </x:c>
      <x:c r="G372" s="69" t="str">
        <x:v>direction × unordered {green pen, red block} pair, in both target/reference directions</x:v>
      </x:c>
      <x:c r="H372" s="69" t="str">
        <x:v>No</x:v>
      </x:c>
      <x:c r="I372" s="69" t="str"/>
      <x:c r="J372" s="69" t="str">
        <x:v>blue block, red block, pink marker</x:v>
      </x:c>
      <x:c r="K372" s="69" t="str">
        <x:v>blue block</x:v>
      </x:c>
      <x:c r="L372" s="69" t="str">
        <x:v>Recovery</x:v>
      </x:c>
      <x:c r="M372" s="69" t="str">
        <x:v>Place the blue block behind the red block.</x:v>
      </x:c>
      <x:c r="N372" s="69" t="str">
        <x:v>blue block, red block, pink marker</x:v>
      </x:c>
      <x:c r="O372" s="69" t="str">
        <x:v>blue block</x:v>
      </x:c>
      <x:c r="P372" s="70" t="str">
        <x:v>Explicitly grounds directional language on other ordered object pairs.</x:v>
      </x:c>
    </x:row>
    <x:row r="373" ht="58" customHeight="1">
      <x:c r="A373" s="100" t="n">
        <x:v>371</x:v>
      </x:c>
      <x:c r="B373" s="69" t="str">
        <x:v>Relational Placement</x:v>
      </x:c>
      <x:c r="C373" s="69" t="str">
        <x:v>Move the blue block to the back of the pink marker.</x:v>
      </x:c>
      <x:c r="D373" s="69" t="str">
        <x:v>Explicit spatial-relation grounding</x:v>
      </x:c>
      <x:c r="E373" s="69" t="str">
        <x:v>front / behind / left / right</x:v>
      </x:c>
      <x:c r="F373" s="69" t="str">
        <x:v>relational_explicit_direction</x:v>
      </x:c>
      <x:c r="G373" s="69" t="str">
        <x:v>direction × unordered {green pen, red block} pair, in both target/reference directions</x:v>
      </x:c>
      <x:c r="H373" s="69" t="str">
        <x:v>No</x:v>
      </x:c>
      <x:c r="I373" s="69" t="str"/>
      <x:c r="J373" s="69" t="str">
        <x:v>blue block, pink marker</x:v>
      </x:c>
      <x:c r="K373" s="69" t="str">
        <x:v>blue block</x:v>
      </x:c>
      <x:c r="L373" s="69" t="str">
        <x:v>Home</x:v>
      </x:c>
      <x:c r="M373" s="69" t="str">
        <x:v>Move the blue block to the back of the pink marker.</x:v>
      </x:c>
      <x:c r="N373" s="69" t="str">
        <x:v>blue block, pink marker</x:v>
      </x:c>
      <x:c r="O373" s="69" t="str">
        <x:v>blue block</x:v>
      </x:c>
      <x:c r="P373" s="70" t="str">
        <x:v>Explicitly grounds directional language on other ordered object pairs.</x:v>
      </x:c>
    </x:row>
    <x:row r="374" ht="58" customHeight="1">
      <x:c r="A374" s="100" t="n">
        <x:v>372</x:v>
      </x:c>
      <x:c r="B374" s="69" t="str">
        <x:v>Relational Placement</x:v>
      </x:c>
      <x:c r="C374" s="69" t="str">
        <x:v>Put the blue block on the table behind the pink marker.</x:v>
      </x:c>
      <x:c r="D374" s="69" t="str">
        <x:v>Explicit spatial-relation grounding</x:v>
      </x:c>
      <x:c r="E374" s="69" t="str">
        <x:v>front / behind / left / right</x:v>
      </x:c>
      <x:c r="F374" s="69" t="str">
        <x:v>relational_explicit_direction</x:v>
      </x:c>
      <x:c r="G374" s="69" t="str">
        <x:v>direction × unordered {green pen, red block} pair, in both target/reference directions</x:v>
      </x:c>
      <x:c r="H374" s="69" t="str">
        <x:v>No</x:v>
      </x:c>
      <x:c r="I374" s="69" t="str"/>
      <x:c r="J374" s="69" t="str">
        <x:v>blue block, pink marker, red block</x:v>
      </x:c>
      <x:c r="K374" s="69" t="str">
        <x:v>blue block</x:v>
      </x:c>
      <x:c r="L374" s="69" t="str">
        <x:v>Home</x:v>
      </x:c>
      <x:c r="M374" s="69" t="str">
        <x:v>Put the blue block on the table behind the pink marker.</x:v>
      </x:c>
      <x:c r="N374" s="69" t="str">
        <x:v>blue block, pink marker, red block</x:v>
      </x:c>
      <x:c r="O374" s="69" t="str">
        <x:v>blue block</x:v>
      </x:c>
      <x:c r="P374" s="70" t="str">
        <x:v>Explicitly grounds directional language on other ordered object pairs.</x:v>
      </x:c>
    </x:row>
    <x:row r="375" ht="58" customHeight="1">
      <x:c r="A375" s="100" t="n">
        <x:v>373</x:v>
      </x:c>
      <x:c r="B375" s="69" t="str">
        <x:v>Relational Placement</x:v>
      </x:c>
      <x:c r="C375" s="69" t="str">
        <x:v>Move the blue block to the back of the pink marker.</x:v>
      </x:c>
      <x:c r="D375" s="69" t="str">
        <x:v>Explicit spatial-relation grounding</x:v>
      </x:c>
      <x:c r="E375" s="69" t="str">
        <x:v>front / behind / left / right</x:v>
      </x:c>
      <x:c r="F375" s="69" t="str">
        <x:v>relational_explicit_direction</x:v>
      </x:c>
      <x:c r="G375" s="69" t="str">
        <x:v>direction × unordered {green pen, red block} pair, in both target/reference directions</x:v>
      </x:c>
      <x:c r="H375" s="69" t="str">
        <x:v>No</x:v>
      </x:c>
      <x:c r="I375" s="69" t="str"/>
      <x:c r="J375" s="69" t="str">
        <x:v>green pen, red block, pink marker, blue block</x:v>
      </x:c>
      <x:c r="K375" s="69" t="str">
        <x:v>blue block</x:v>
      </x:c>
      <x:c r="L375" s="69" t="str">
        <x:v>Home</x:v>
      </x:c>
      <x:c r="M375" s="69" t="str">
        <x:v>Move the blue block to the back of the pink marker.</x:v>
      </x:c>
      <x:c r="N375" s="69" t="str">
        <x:v>green pen, red block, pink marker, blue block</x:v>
      </x:c>
      <x:c r="O375" s="69" t="str">
        <x:v>blue block</x:v>
      </x:c>
      <x:c r="P375" s="70" t="str">
        <x:v>Explicitly grounds directional language on other ordered object pairs.</x:v>
      </x:c>
    </x:row>
    <x:row r="376" ht="58" customHeight="1">
      <x:c r="A376" s="100" t="n">
        <x:v>374</x:v>
      </x:c>
      <x:c r="B376" s="69" t="str">
        <x:v>Relational Placement</x:v>
      </x:c>
      <x:c r="C376" s="69" t="str">
        <x:v>Put the blue block on the table behind the pink marker.</x:v>
      </x:c>
      <x:c r="D376" s="69" t="str">
        <x:v>Explicit spatial-relation grounding</x:v>
      </x:c>
      <x:c r="E376" s="69" t="str">
        <x:v>front / behind / left / right</x:v>
      </x:c>
      <x:c r="F376" s="69" t="str">
        <x:v>relational_explicit_direction</x:v>
      </x:c>
      <x:c r="G376" s="69" t="str">
        <x:v>direction × unordered {green pen, red block} pair, in both target/reference directions</x:v>
      </x:c>
      <x:c r="H376" s="69" t="str">
        <x:v>No</x:v>
      </x:c>
      <x:c r="I376" s="69" t="str"/>
      <x:c r="J376" s="69" t="str">
        <x:v>blue block, pink marker, green pen</x:v>
      </x:c>
      <x:c r="K376" s="69" t="str">
        <x:v>blue block</x:v>
      </x:c>
      <x:c r="L376" s="69" t="str">
        <x:v>Recovery</x:v>
      </x:c>
      <x:c r="M376" s="69" t="str">
        <x:v>Put the blue block on the table behind the pink marker.</x:v>
      </x:c>
      <x:c r="N376" s="69" t="str">
        <x:v>blue block, pink marker, green pen</x:v>
      </x:c>
      <x:c r="O376" s="69" t="str">
        <x:v>blue block</x:v>
      </x:c>
      <x:c r="P376" s="70" t="str">
        <x:v>Explicitly grounds directional language on other ordered object pairs.</x:v>
      </x:c>
    </x:row>
    <x:row r="377" ht="58" customHeight="1">
      <x:c r="A377" s="100" t="n">
        <x:v>375</x:v>
      </x:c>
      <x:c r="B377" s="69" t="str">
        <x:v>Relational Placement</x:v>
      </x:c>
      <x:c r="C377" s="69" t="str">
        <x:v>Place the blue block to the left of the green pen.</x:v>
      </x:c>
      <x:c r="D377" s="69" t="str">
        <x:v>Explicit spatial-relation grounding</x:v>
      </x:c>
      <x:c r="E377" s="69" t="str">
        <x:v>front / behind / left / right</x:v>
      </x:c>
      <x:c r="F377" s="69" t="str">
        <x:v>relational_explicit_direction</x:v>
      </x:c>
      <x:c r="G377" s="69" t="str">
        <x:v>direction × unordered {green pen, red block} pair, in both target/reference directions</x:v>
      </x:c>
      <x:c r="H377" s="69" t="str">
        <x:v>No</x:v>
      </x:c>
      <x:c r="I377" s="69" t="str"/>
      <x:c r="J377" s="69" t="str">
        <x:v>blue block, green pen</x:v>
      </x:c>
      <x:c r="K377" s="69" t="str">
        <x:v>blue block</x:v>
      </x:c>
      <x:c r="L377" s="69" t="str">
        <x:v>Home</x:v>
      </x:c>
      <x:c r="M377" s="69" t="str">
        <x:v>Place the blue block to the left of the green pen.</x:v>
      </x:c>
      <x:c r="N377" s="69" t="str">
        <x:v>blue block, green pen</x:v>
      </x:c>
      <x:c r="O377" s="69" t="str">
        <x:v>blue block</x:v>
      </x:c>
      <x:c r="P377" s="70" t="str">
        <x:v>Explicitly grounds directional language on other ordered object pairs.</x:v>
      </x:c>
    </x:row>
    <x:row r="378" ht="58" customHeight="1">
      <x:c r="A378" s="100" t="n">
        <x:v>376</x:v>
      </x:c>
      <x:c r="B378" s="69" t="str">
        <x:v>Relational Placement</x:v>
      </x:c>
      <x:c r="C378" s="69" t="str">
        <x:v>Place the blue block to the left of the green pen.</x:v>
      </x:c>
      <x:c r="D378" s="69" t="str">
        <x:v>Explicit spatial-relation grounding</x:v>
      </x:c>
      <x:c r="E378" s="69" t="str">
        <x:v>front / behind / left / right</x:v>
      </x:c>
      <x:c r="F378" s="69" t="str">
        <x:v>relational_explicit_direction</x:v>
      </x:c>
      <x:c r="G378" s="69" t="str">
        <x:v>direction × unordered {green pen, red block} pair, in both target/reference directions</x:v>
      </x:c>
      <x:c r="H378" s="69" t="str">
        <x:v>No</x:v>
      </x:c>
      <x:c r="I378" s="69" t="str"/>
      <x:c r="J378" s="69" t="str">
        <x:v>blue block, green pen, red block</x:v>
      </x:c>
      <x:c r="K378" s="69" t="str">
        <x:v>blue block</x:v>
      </x:c>
      <x:c r="L378" s="69" t="str">
        <x:v>Home</x:v>
      </x:c>
      <x:c r="M378" s="69" t="str">
        <x:v>Place the blue block to the left of the green pen.</x:v>
      </x:c>
      <x:c r="N378" s="69" t="str">
        <x:v>blue block, green pen, red block</x:v>
      </x:c>
      <x:c r="O378" s="69" t="str">
        <x:v>blue block</x:v>
      </x:c>
      <x:c r="P378" s="70" t="str">
        <x:v>Explicitly grounds directional language on other ordered object pairs.</x:v>
      </x:c>
    </x:row>
    <x:row r="379" ht="58" customHeight="1">
      <x:c r="A379" s="100" t="n">
        <x:v>377</x:v>
      </x:c>
      <x:c r="B379" s="69" t="str">
        <x:v>Relational Placement</x:v>
      </x:c>
      <x:c r="C379" s="69" t="str">
        <x:v>Place the blue block to the left of the green pen.</x:v>
      </x:c>
      <x:c r="D379" s="69" t="str">
        <x:v>Explicit spatial-relation grounding</x:v>
      </x:c>
      <x:c r="E379" s="69" t="str">
        <x:v>front / behind / left / right</x:v>
      </x:c>
      <x:c r="F379" s="69" t="str">
        <x:v>relational_explicit_direction</x:v>
      </x:c>
      <x:c r="G379" s="69" t="str">
        <x:v>direction × unordered {green pen, red block} pair, in both target/reference directions</x:v>
      </x:c>
      <x:c r="H379" s="69" t="str">
        <x:v>No</x:v>
      </x:c>
      <x:c r="I379" s="69" t="str"/>
      <x:c r="J379" s="69" t="str">
        <x:v>green pen, red block, pink marker, blue block</x:v>
      </x:c>
      <x:c r="K379" s="69" t="str">
        <x:v>blue block</x:v>
      </x:c>
      <x:c r="L379" s="69" t="str">
        <x:v>Home</x:v>
      </x:c>
      <x:c r="M379" s="69" t="str">
        <x:v>Place the blue block to the left of the green pen.</x:v>
      </x:c>
      <x:c r="N379" s="69" t="str">
        <x:v>green pen, red block, pink marker, blue block</x:v>
      </x:c>
      <x:c r="O379" s="69" t="str">
        <x:v>blue block</x:v>
      </x:c>
      <x:c r="P379" s="70" t="str">
        <x:v>Explicitly grounds directional language on other ordered object pairs.</x:v>
      </x:c>
    </x:row>
    <x:row r="380" ht="58" customHeight="1">
      <x:c r="A380" s="100" t="n">
        <x:v>378</x:v>
      </x:c>
      <x:c r="B380" s="69" t="str">
        <x:v>Relational Placement</x:v>
      </x:c>
      <x:c r="C380" s="69" t="str">
        <x:v>Place the blue block to the left of the green pen.</x:v>
      </x:c>
      <x:c r="D380" s="69" t="str">
        <x:v>Explicit spatial-relation grounding</x:v>
      </x:c>
      <x:c r="E380" s="69" t="str">
        <x:v>front / behind / left / right</x:v>
      </x:c>
      <x:c r="F380" s="69" t="str">
        <x:v>relational_explicit_direction</x:v>
      </x:c>
      <x:c r="G380" s="69" t="str">
        <x:v>direction × unordered {green pen, red block} pair, in both target/reference directions</x:v>
      </x:c>
      <x:c r="H380" s="69" t="str">
        <x:v>No</x:v>
      </x:c>
      <x:c r="I380" s="69" t="str"/>
      <x:c r="J380" s="69" t="str">
        <x:v>blue block, green pen, pink marker</x:v>
      </x:c>
      <x:c r="K380" s="69" t="str">
        <x:v>blue block</x:v>
      </x:c>
      <x:c r="L380" s="69" t="str">
        <x:v>Home</x:v>
      </x:c>
      <x:c r="M380" s="69" t="str">
        <x:v>Place the blue block to the left of the green pen.</x:v>
      </x:c>
      <x:c r="N380" s="69" t="str">
        <x:v>blue block, green pen, pink marker</x:v>
      </x:c>
      <x:c r="O380" s="69" t="str">
        <x:v>blue block</x:v>
      </x:c>
      <x:c r="P380" s="70" t="str">
        <x:v>Explicitly grounds directional language on other ordered object pairs.</x:v>
      </x:c>
    </x:row>
    <x:row r="381" ht="58" customHeight="1">
      <x:c r="A381" s="100" t="n">
        <x:v>379</x:v>
      </x:c>
      <x:c r="B381" s="69" t="str">
        <x:v>Relational Placement</x:v>
      </x:c>
      <x:c r="C381" s="69" t="str">
        <x:v>Place the blue block to the left of the red block.</x:v>
      </x:c>
      <x:c r="D381" s="69" t="str">
        <x:v>Explicit spatial-relation grounding</x:v>
      </x:c>
      <x:c r="E381" s="69" t="str">
        <x:v>front / behind / left / right</x:v>
      </x:c>
      <x:c r="F381" s="69" t="str">
        <x:v>relational_explicit_direction</x:v>
      </x:c>
      <x:c r="G381" s="69" t="str">
        <x:v>direction × unordered {green pen, red block} pair, in both target/reference directions</x:v>
      </x:c>
      <x:c r="H381" s="69" t="str">
        <x:v>No</x:v>
      </x:c>
      <x:c r="I381" s="69" t="str"/>
      <x:c r="J381" s="69" t="str">
        <x:v>blue block, red block</x:v>
      </x:c>
      <x:c r="K381" s="69" t="str">
        <x:v>blue block</x:v>
      </x:c>
      <x:c r="L381" s="69" t="str">
        <x:v>Home</x:v>
      </x:c>
      <x:c r="M381" s="69" t="str">
        <x:v>Place the blue block to the left of the red block.</x:v>
      </x:c>
      <x:c r="N381" s="69" t="str">
        <x:v>blue block, red block</x:v>
      </x:c>
      <x:c r="O381" s="69" t="str">
        <x:v>blue block</x:v>
      </x:c>
      <x:c r="P381" s="70" t="str">
        <x:v>Explicitly grounds directional language on other ordered object pairs.</x:v>
      </x:c>
    </x:row>
    <x:row r="382" ht="58" customHeight="1">
      <x:c r="A382" s="100" t="n">
        <x:v>380</x:v>
      </x:c>
      <x:c r="B382" s="69" t="str">
        <x:v>Relational Placement</x:v>
      </x:c>
      <x:c r="C382" s="69" t="str">
        <x:v>Place the blue block to the left of the red block.</x:v>
      </x:c>
      <x:c r="D382" s="69" t="str">
        <x:v>Explicit spatial-relation grounding</x:v>
      </x:c>
      <x:c r="E382" s="69" t="str">
        <x:v>front / behind / left / right</x:v>
      </x:c>
      <x:c r="F382" s="69" t="str">
        <x:v>relational_explicit_direction</x:v>
      </x:c>
      <x:c r="G382" s="69" t="str">
        <x:v>direction × unordered {green pen, red block} pair, in both target/reference directions</x:v>
      </x:c>
      <x:c r="H382" s="69" t="str">
        <x:v>No</x:v>
      </x:c>
      <x:c r="I382" s="69" t="str"/>
      <x:c r="J382" s="69" t="str">
        <x:v>blue block, red block, green pen</x:v>
      </x:c>
      <x:c r="K382" s="69" t="str">
        <x:v>blue block</x:v>
      </x:c>
      <x:c r="L382" s="69" t="str">
        <x:v>Home</x:v>
      </x:c>
      <x:c r="M382" s="69" t="str">
        <x:v>Place the blue block to the left of the red block.</x:v>
      </x:c>
      <x:c r="N382" s="69" t="str">
        <x:v>blue block, red block, green pen</x:v>
      </x:c>
      <x:c r="O382" s="69" t="str">
        <x:v>blue block</x:v>
      </x:c>
      <x:c r="P382" s="70" t="str">
        <x:v>Explicitly grounds directional language on other ordered object pairs.</x:v>
      </x:c>
    </x:row>
    <x:row r="383" ht="58" customHeight="1">
      <x:c r="A383" s="100" t="n">
        <x:v>381</x:v>
      </x:c>
      <x:c r="B383" s="69" t="str">
        <x:v>Relational Placement</x:v>
      </x:c>
      <x:c r="C383" s="69" t="str">
        <x:v>Place the blue block to the left of the red block.</x:v>
      </x:c>
      <x:c r="D383" s="69" t="str">
        <x:v>Explicit spatial-relation grounding</x:v>
      </x:c>
      <x:c r="E383" s="69" t="str">
        <x:v>front / behind / left / right</x:v>
      </x:c>
      <x:c r="F383" s="69" t="str">
        <x:v>relational_explicit_direction</x:v>
      </x:c>
      <x:c r="G383" s="69" t="str">
        <x:v>direction × unordered {green pen, red block} pair, in both target/reference directions</x:v>
      </x:c>
      <x:c r="H383" s="69" t="str">
        <x:v>No</x:v>
      </x:c>
      <x:c r="I383" s="69" t="str"/>
      <x:c r="J383" s="69" t="str">
        <x:v>green pen, red block, pink marker, blue block</x:v>
      </x:c>
      <x:c r="K383" s="69" t="str">
        <x:v>blue block</x:v>
      </x:c>
      <x:c r="L383" s="69" t="str">
        <x:v>Home</x:v>
      </x:c>
      <x:c r="M383" s="69" t="str">
        <x:v>Place the blue block to the left of the red block.</x:v>
      </x:c>
      <x:c r="N383" s="69" t="str">
        <x:v>green pen, red block, pink marker, blue block</x:v>
      </x:c>
      <x:c r="O383" s="69" t="str">
        <x:v>blue block</x:v>
      </x:c>
      <x:c r="P383" s="70" t="str">
        <x:v>Explicitly grounds directional language on other ordered object pairs.</x:v>
      </x:c>
    </x:row>
    <x:row r="384" ht="58" customHeight="1">
      <x:c r="A384" s="100" t="n">
        <x:v>382</x:v>
      </x:c>
      <x:c r="B384" s="69" t="str">
        <x:v>Relational Placement</x:v>
      </x:c>
      <x:c r="C384" s="69" t="str">
        <x:v>Place the blue block to the left of the red block.</x:v>
      </x:c>
      <x:c r="D384" s="69" t="str">
        <x:v>Explicit spatial-relation grounding</x:v>
      </x:c>
      <x:c r="E384" s="69" t="str">
        <x:v>front / behind / left / right</x:v>
      </x:c>
      <x:c r="F384" s="69" t="str">
        <x:v>relational_explicit_direction</x:v>
      </x:c>
      <x:c r="G384" s="69" t="str">
        <x:v>direction × unordered {green pen, red block} pair, in both target/reference directions</x:v>
      </x:c>
      <x:c r="H384" s="69" t="str">
        <x:v>No</x:v>
      </x:c>
      <x:c r="I384" s="69" t="str"/>
      <x:c r="J384" s="69" t="str">
        <x:v>blue block, red block, pink marker</x:v>
      </x:c>
      <x:c r="K384" s="69" t="str">
        <x:v>blue block</x:v>
      </x:c>
      <x:c r="L384" s="69" t="str">
        <x:v>Recovery</x:v>
      </x:c>
      <x:c r="M384" s="69" t="str">
        <x:v>Place the blue block to the left of the red block.</x:v>
      </x:c>
      <x:c r="N384" s="69" t="str">
        <x:v>blue block, red block, pink marker</x:v>
      </x:c>
      <x:c r="O384" s="69" t="str">
        <x:v>blue block</x:v>
      </x:c>
      <x:c r="P384" s="70" t="str">
        <x:v>Explicitly grounds directional language on other ordered object pairs.</x:v>
      </x:c>
    </x:row>
    <x:row r="385" ht="58" customHeight="1">
      <x:c r="A385" s="100" t="n">
        <x:v>383</x:v>
      </x:c>
      <x:c r="B385" s="69" t="str">
        <x:v>Relational Placement</x:v>
      </x:c>
      <x:c r="C385" s="69" t="str">
        <x:v>Place the blue block to the left of the pink marker.</x:v>
      </x:c>
      <x:c r="D385" s="69" t="str">
        <x:v>Explicit spatial-relation grounding</x:v>
      </x:c>
      <x:c r="E385" s="69" t="str">
        <x:v>front / behind / left / right</x:v>
      </x:c>
      <x:c r="F385" s="69" t="str">
        <x:v>relational_explicit_direction</x:v>
      </x:c>
      <x:c r="G385" s="69" t="str">
        <x:v>direction × unordered {green pen, red block} pair, in both target/reference directions</x:v>
      </x:c>
      <x:c r="H385" s="69" t="str">
        <x:v>No</x:v>
      </x:c>
      <x:c r="I385" s="69" t="str"/>
      <x:c r="J385" s="69" t="str">
        <x:v>blue block, pink marker</x:v>
      </x:c>
      <x:c r="K385" s="69" t="str">
        <x:v>blue block</x:v>
      </x:c>
      <x:c r="L385" s="69" t="str">
        <x:v>Home</x:v>
      </x:c>
      <x:c r="M385" s="69" t="str">
        <x:v>Place the blue block to the left of the pink marker.</x:v>
      </x:c>
      <x:c r="N385" s="69" t="str">
        <x:v>blue block, pink marker</x:v>
      </x:c>
      <x:c r="O385" s="69" t="str">
        <x:v>blue block</x:v>
      </x:c>
      <x:c r="P385" s="70" t="str">
        <x:v>Explicitly grounds directional language on other ordered object pairs.</x:v>
      </x:c>
    </x:row>
    <x:row r="386" ht="58" customHeight="1">
      <x:c r="A386" s="100" t="n">
        <x:v>384</x:v>
      </x:c>
      <x:c r="B386" s="69" t="str">
        <x:v>Relational Placement</x:v>
      </x:c>
      <x:c r="C386" s="69" t="str">
        <x:v>Place the blue block to the left of the pink marker.</x:v>
      </x:c>
      <x:c r="D386" s="69" t="str">
        <x:v>Explicit spatial-relation grounding</x:v>
      </x:c>
      <x:c r="E386" s="69" t="str">
        <x:v>front / behind / left / right</x:v>
      </x:c>
      <x:c r="F386" s="69" t="str">
        <x:v>relational_explicit_direction</x:v>
      </x:c>
      <x:c r="G386" s="69" t="str">
        <x:v>direction × unordered {green pen, red block} pair, in both target/reference directions</x:v>
      </x:c>
      <x:c r="H386" s="69" t="str">
        <x:v>No</x:v>
      </x:c>
      <x:c r="I386" s="69" t="str"/>
      <x:c r="J386" s="69" t="str">
        <x:v>blue block, pink marker, green pen</x:v>
      </x:c>
      <x:c r="K386" s="69" t="str">
        <x:v>blue block</x:v>
      </x:c>
      <x:c r="L386" s="69" t="str">
        <x:v>Home</x:v>
      </x:c>
      <x:c r="M386" s="69" t="str">
        <x:v>Place the blue block to the left of the pink marker.</x:v>
      </x:c>
      <x:c r="N386" s="69" t="str">
        <x:v>blue block, pink marker, green pen</x:v>
      </x:c>
      <x:c r="O386" s="69" t="str">
        <x:v>blue block</x:v>
      </x:c>
      <x:c r="P386" s="70" t="str">
        <x:v>Explicitly grounds directional language on other ordered object pairs.</x:v>
      </x:c>
    </x:row>
    <x:row r="387" ht="58" customHeight="1">
      <x:c r="A387" s="100" t="n">
        <x:v>385</x:v>
      </x:c>
      <x:c r="B387" s="69" t="str">
        <x:v>Relational Placement</x:v>
      </x:c>
      <x:c r="C387" s="69" t="str">
        <x:v>Place the blue block to the left of the pink marker.</x:v>
      </x:c>
      <x:c r="D387" s="69" t="str">
        <x:v>Explicit spatial-relation grounding</x:v>
      </x:c>
      <x:c r="E387" s="69" t="str">
        <x:v>front / behind / left / right</x:v>
      </x:c>
      <x:c r="F387" s="69" t="str">
        <x:v>relational_explicit_direction</x:v>
      </x:c>
      <x:c r="G387" s="69" t="str">
        <x:v>direction × unordered {green pen, red block} pair, in both target/reference directions</x:v>
      </x:c>
      <x:c r="H387" s="69" t="str">
        <x:v>No</x:v>
      </x:c>
      <x:c r="I387" s="69" t="str"/>
      <x:c r="J387" s="69" t="str">
        <x:v>green pen, red block, pink marker, blue block</x:v>
      </x:c>
      <x:c r="K387" s="69" t="str">
        <x:v>blue block</x:v>
      </x:c>
      <x:c r="L387" s="69" t="str">
        <x:v>Home</x:v>
      </x:c>
      <x:c r="M387" s="69" t="str">
        <x:v>Place the blue block to the left of the pink marker.</x:v>
      </x:c>
      <x:c r="N387" s="69" t="str">
        <x:v>green pen, red block, pink marker, blue block</x:v>
      </x:c>
      <x:c r="O387" s="69" t="str">
        <x:v>blue block</x:v>
      </x:c>
      <x:c r="P387" s="70" t="str">
        <x:v>Explicitly grounds directional language on other ordered object pairs.</x:v>
      </x:c>
    </x:row>
    <x:row r="388" ht="58" customHeight="1">
      <x:c r="A388" s="100" t="n">
        <x:v>386</x:v>
      </x:c>
      <x:c r="B388" s="69" t="str">
        <x:v>Relational Placement</x:v>
      </x:c>
      <x:c r="C388" s="69" t="str">
        <x:v>Place the blue block to the left of the pink marker.</x:v>
      </x:c>
      <x:c r="D388" s="69" t="str">
        <x:v>Explicit spatial-relation grounding</x:v>
      </x:c>
      <x:c r="E388" s="69" t="str">
        <x:v>front / behind / left / right</x:v>
      </x:c>
      <x:c r="F388" s="69" t="str">
        <x:v>relational_explicit_direction</x:v>
      </x:c>
      <x:c r="G388" s="69" t="str">
        <x:v>direction × unordered {green pen, red block} pair, in both target/reference directions</x:v>
      </x:c>
      <x:c r="H388" s="69" t="str">
        <x:v>No</x:v>
      </x:c>
      <x:c r="I388" s="69" t="str"/>
      <x:c r="J388" s="69" t="str">
        <x:v>blue block, pink marker, red block</x:v>
      </x:c>
      <x:c r="K388" s="69" t="str">
        <x:v>blue block</x:v>
      </x:c>
      <x:c r="L388" s="69" t="str">
        <x:v>Recovery</x:v>
      </x:c>
      <x:c r="M388" s="69" t="str">
        <x:v>Place the blue block to the left of the pink marker.</x:v>
      </x:c>
      <x:c r="N388" s="69" t="str">
        <x:v>blue block, pink marker, red block</x:v>
      </x:c>
      <x:c r="O388" s="69" t="str">
        <x:v>blue block</x:v>
      </x:c>
      <x:c r="P388" s="70" t="str">
        <x:v>Explicitly grounds directional language on other ordered object pairs.</x:v>
      </x:c>
    </x:row>
    <x:row r="389" ht="58" customHeight="1">
      <x:c r="A389" s="100" t="n">
        <x:v>387</x:v>
      </x:c>
      <x:c r="B389" s="69" t="str">
        <x:v>Relational Placement</x:v>
      </x:c>
      <x:c r="C389" s="69" t="str">
        <x:v>Place the blue block to the right of the green pen.</x:v>
      </x:c>
      <x:c r="D389" s="69" t="str">
        <x:v>Explicit spatial-relation grounding</x:v>
      </x:c>
      <x:c r="E389" s="69" t="str">
        <x:v>front / behind / left / right</x:v>
      </x:c>
      <x:c r="F389" s="69" t="str">
        <x:v>relational_explicit_direction</x:v>
      </x:c>
      <x:c r="G389" s="69" t="str">
        <x:v>direction × unordered {green pen, red block} pair, in both target/reference directions</x:v>
      </x:c>
      <x:c r="H389" s="69" t="str">
        <x:v>No</x:v>
      </x:c>
      <x:c r="I389" s="69" t="str"/>
      <x:c r="J389" s="69" t="str">
        <x:v>blue block, green pen</x:v>
      </x:c>
      <x:c r="K389" s="69" t="str">
        <x:v>blue block</x:v>
      </x:c>
      <x:c r="L389" s="69" t="str">
        <x:v>Home</x:v>
      </x:c>
      <x:c r="M389" s="69" t="str">
        <x:v>Place the blue block to the right of the green pen.</x:v>
      </x:c>
      <x:c r="N389" s="69" t="str">
        <x:v>blue block, green pen</x:v>
      </x:c>
      <x:c r="O389" s="69" t="str">
        <x:v>blue block</x:v>
      </x:c>
      <x:c r="P389" s="70" t="str">
        <x:v>Explicitly grounds directional language on other ordered object pairs.</x:v>
      </x:c>
    </x:row>
    <x:row r="390" ht="58" customHeight="1">
      <x:c r="A390" s="100" t="n">
        <x:v>388</x:v>
      </x:c>
      <x:c r="B390" s="69" t="str">
        <x:v>Relational Placement</x:v>
      </x:c>
      <x:c r="C390" s="69" t="str">
        <x:v>Place the blue block to the right of the green pen.</x:v>
      </x:c>
      <x:c r="D390" s="69" t="str">
        <x:v>Explicit spatial-relation grounding</x:v>
      </x:c>
      <x:c r="E390" s="69" t="str">
        <x:v>front / behind / left / right</x:v>
      </x:c>
      <x:c r="F390" s="69" t="str">
        <x:v>relational_explicit_direction</x:v>
      </x:c>
      <x:c r="G390" s="69" t="str">
        <x:v>direction × unordered {green pen, red block} pair, in both target/reference directions</x:v>
      </x:c>
      <x:c r="H390" s="69" t="str">
        <x:v>No</x:v>
      </x:c>
      <x:c r="I390" s="69" t="str"/>
      <x:c r="J390" s="69" t="str">
        <x:v>blue block, green pen, red block</x:v>
      </x:c>
      <x:c r="K390" s="69" t="str">
        <x:v>blue block</x:v>
      </x:c>
      <x:c r="L390" s="69" t="str">
        <x:v>Home</x:v>
      </x:c>
      <x:c r="M390" s="69" t="str">
        <x:v>Place the blue block to the right of the green pen.</x:v>
      </x:c>
      <x:c r="N390" s="69" t="str">
        <x:v>blue block, green pen, red block</x:v>
      </x:c>
      <x:c r="O390" s="69" t="str">
        <x:v>blue block</x:v>
      </x:c>
      <x:c r="P390" s="70" t="str">
        <x:v>Explicitly grounds directional language on other ordered object pairs.</x:v>
      </x:c>
    </x:row>
    <x:row r="391" ht="58" customHeight="1">
      <x:c r="A391" s="100" t="n">
        <x:v>389</x:v>
      </x:c>
      <x:c r="B391" s="69" t="str">
        <x:v>Relational Placement</x:v>
      </x:c>
      <x:c r="C391" s="69" t="str">
        <x:v>Place the blue block to the right of the green pen.</x:v>
      </x:c>
      <x:c r="D391" s="69" t="str">
        <x:v>Explicit spatial-relation grounding</x:v>
      </x:c>
      <x:c r="E391" s="69" t="str">
        <x:v>front / behind / left / right</x:v>
      </x:c>
      <x:c r="F391" s="69" t="str">
        <x:v>relational_explicit_direction</x:v>
      </x:c>
      <x:c r="G391" s="69" t="str">
        <x:v>direction × unordered {green pen, red block} pair, in both target/reference directions</x:v>
      </x:c>
      <x:c r="H391" s="69" t="str">
        <x:v>No</x:v>
      </x:c>
      <x:c r="I391" s="69" t="str"/>
      <x:c r="J391" s="69" t="str">
        <x:v>green pen, red block, pink marker, blue block</x:v>
      </x:c>
      <x:c r="K391" s="69" t="str">
        <x:v>blue block</x:v>
      </x:c>
      <x:c r="L391" s="69" t="str">
        <x:v>Home</x:v>
      </x:c>
      <x:c r="M391" s="69" t="str">
        <x:v>Place the blue block to the right of the green pen.</x:v>
      </x:c>
      <x:c r="N391" s="69" t="str">
        <x:v>green pen, red block, pink marker, blue block</x:v>
      </x:c>
      <x:c r="O391" s="69" t="str">
        <x:v>blue block</x:v>
      </x:c>
      <x:c r="P391" s="70" t="str">
        <x:v>Explicitly grounds directional language on other ordered object pairs.</x:v>
      </x:c>
    </x:row>
    <x:row r="392" ht="58" customHeight="1">
      <x:c r="A392" s="100" t="n">
        <x:v>390</x:v>
      </x:c>
      <x:c r="B392" s="69" t="str">
        <x:v>Relational Placement</x:v>
      </x:c>
      <x:c r="C392" s="69" t="str">
        <x:v>Place the blue block to the right of the green pen.</x:v>
      </x:c>
      <x:c r="D392" s="69" t="str">
        <x:v>Explicit spatial-relation grounding</x:v>
      </x:c>
      <x:c r="E392" s="69" t="str">
        <x:v>front / behind / left / right</x:v>
      </x:c>
      <x:c r="F392" s="69" t="str">
        <x:v>relational_explicit_direction</x:v>
      </x:c>
      <x:c r="G392" s="69" t="str">
        <x:v>direction × unordered {green pen, red block} pair, in both target/reference directions</x:v>
      </x:c>
      <x:c r="H392" s="69" t="str">
        <x:v>No</x:v>
      </x:c>
      <x:c r="I392" s="69" t="str"/>
      <x:c r="J392" s="69" t="str">
        <x:v>blue block, green pen, pink marker</x:v>
      </x:c>
      <x:c r="K392" s="69" t="str">
        <x:v>blue block</x:v>
      </x:c>
      <x:c r="L392" s="69" t="str">
        <x:v>Recovery</x:v>
      </x:c>
      <x:c r="M392" s="69" t="str">
        <x:v>Place the blue block to the right of the green pen.</x:v>
      </x:c>
      <x:c r="N392" s="69" t="str">
        <x:v>blue block, green pen, pink marker</x:v>
      </x:c>
      <x:c r="O392" s="69" t="str">
        <x:v>blue block</x:v>
      </x:c>
      <x:c r="P392" s="70" t="str">
        <x:v>Explicitly grounds directional language on other ordered object pairs.</x:v>
      </x:c>
    </x:row>
    <x:row r="393" ht="58" customHeight="1">
      <x:c r="A393" s="100" t="n">
        <x:v>391</x:v>
      </x:c>
      <x:c r="B393" s="69" t="str">
        <x:v>Relational Placement</x:v>
      </x:c>
      <x:c r="C393" s="69" t="str">
        <x:v>Place the blue block to the right of the green pen.</x:v>
      </x:c>
      <x:c r="D393" s="69" t="str">
        <x:v>Explicit spatial-relation grounding</x:v>
      </x:c>
      <x:c r="E393" s="69" t="str">
        <x:v>front / behind / left / right</x:v>
      </x:c>
      <x:c r="F393" s="69" t="str">
        <x:v>relational_explicit_direction</x:v>
      </x:c>
      <x:c r="G393" s="69" t="str">
        <x:v>direction × unordered {green pen, red block} pair, in both target/reference directions</x:v>
      </x:c>
      <x:c r="H393" s="69" t="str">
        <x:v>No</x:v>
      </x:c>
      <x:c r="I393" s="69" t="str"/>
      <x:c r="J393" s="69" t="str">
        <x:v>green pen, red block, pink marker, blue block</x:v>
      </x:c>
      <x:c r="K393" s="69" t="str">
        <x:v>blue block</x:v>
      </x:c>
      <x:c r="L393" s="69" t="str">
        <x:v>Home</x:v>
      </x:c>
      <x:c r="M393" s="69" t="str">
        <x:v>Place the blue block to the right of the green pen.</x:v>
      </x:c>
      <x:c r="N393" s="69" t="str">
        <x:v>green pen, red block, pink marker, blue block</x:v>
      </x:c>
      <x:c r="O393" s="69" t="str">
        <x:v>blue block</x:v>
      </x:c>
      <x:c r="P393" s="70" t="str">
        <x:v>Explicitly grounds directional language on other ordered object pairs.</x:v>
      </x:c>
    </x:row>
    <x:row r="394" ht="58" customHeight="1">
      <x:c r="A394" s="100" t="n">
        <x:v>392</x:v>
      </x:c>
      <x:c r="B394" s="69" t="str">
        <x:v>Relational Placement</x:v>
      </x:c>
      <x:c r="C394" s="69" t="str">
        <x:v>Place the blue block to the right of the red block.</x:v>
      </x:c>
      <x:c r="D394" s="69" t="str">
        <x:v>Explicit spatial-relation grounding</x:v>
      </x:c>
      <x:c r="E394" s="69" t="str">
        <x:v>front / behind / left / right</x:v>
      </x:c>
      <x:c r="F394" s="69" t="str">
        <x:v>relational_explicit_direction</x:v>
      </x:c>
      <x:c r="G394" s="69" t="str">
        <x:v>direction × unordered {green pen, red block} pair, in both target/reference directions</x:v>
      </x:c>
      <x:c r="H394" s="69" t="str">
        <x:v>No</x:v>
      </x:c>
      <x:c r="I394" s="69" t="str"/>
      <x:c r="J394" s="69" t="str">
        <x:v>blue block, red block</x:v>
      </x:c>
      <x:c r="K394" s="69" t="str">
        <x:v>blue block</x:v>
      </x:c>
      <x:c r="L394" s="69" t="str">
        <x:v>Home</x:v>
      </x:c>
      <x:c r="M394" s="69" t="str">
        <x:v>Place the blue block to the right of the red block.</x:v>
      </x:c>
      <x:c r="N394" s="69" t="str">
        <x:v>blue block, red block</x:v>
      </x:c>
      <x:c r="O394" s="69" t="str">
        <x:v>blue block</x:v>
      </x:c>
      <x:c r="P394" s="70" t="str">
        <x:v>Explicitly grounds directional language on other ordered object pairs.</x:v>
      </x:c>
    </x:row>
    <x:row r="395" ht="58" customHeight="1">
      <x:c r="A395" s="100" t="n">
        <x:v>393</x:v>
      </x:c>
      <x:c r="B395" s="69" t="str">
        <x:v>Relational Placement</x:v>
      </x:c>
      <x:c r="C395" s="69" t="str">
        <x:v>Place the blue block to the right of the red block.</x:v>
      </x:c>
      <x:c r="D395" s="69" t="str">
        <x:v>Explicit spatial-relation grounding</x:v>
      </x:c>
      <x:c r="E395" s="69" t="str">
        <x:v>front / behind / left / right</x:v>
      </x:c>
      <x:c r="F395" s="69" t="str">
        <x:v>relational_explicit_direction</x:v>
      </x:c>
      <x:c r="G395" s="69" t="str">
        <x:v>direction × unordered {green pen, red block} pair, in both target/reference directions</x:v>
      </x:c>
      <x:c r="H395" s="69" t="str">
        <x:v>No</x:v>
      </x:c>
      <x:c r="I395" s="69" t="str"/>
      <x:c r="J395" s="69" t="str">
        <x:v>blue block, red block, green pen</x:v>
      </x:c>
      <x:c r="K395" s="69" t="str">
        <x:v>blue block</x:v>
      </x:c>
      <x:c r="L395" s="69" t="str">
        <x:v>Home</x:v>
      </x:c>
      <x:c r="M395" s="69" t="str">
        <x:v>Place the blue block to the right of the red block.</x:v>
      </x:c>
      <x:c r="N395" s="69" t="str">
        <x:v>blue block, red block, green pen</x:v>
      </x:c>
      <x:c r="O395" s="69" t="str">
        <x:v>blue block</x:v>
      </x:c>
      <x:c r="P395" s="70" t="str">
        <x:v>Explicitly grounds directional language on other ordered object pairs.</x:v>
      </x:c>
    </x:row>
    <x:row r="396" ht="58" customHeight="1">
      <x:c r="A396" s="100" t="n">
        <x:v>394</x:v>
      </x:c>
      <x:c r="B396" s="69" t="str">
        <x:v>Relational Placement</x:v>
      </x:c>
      <x:c r="C396" s="69" t="str">
        <x:v>Place the blue block to the right of the red block.</x:v>
      </x:c>
      <x:c r="D396" s="69" t="str">
        <x:v>Explicit spatial-relation grounding</x:v>
      </x:c>
      <x:c r="E396" s="69" t="str">
        <x:v>front / behind / left / right</x:v>
      </x:c>
      <x:c r="F396" s="69" t="str">
        <x:v>relational_explicit_direction</x:v>
      </x:c>
      <x:c r="G396" s="69" t="str">
        <x:v>direction × unordered {green pen, red block} pair, in both target/reference directions</x:v>
      </x:c>
      <x:c r="H396" s="69" t="str">
        <x:v>No</x:v>
      </x:c>
      <x:c r="I396" s="69" t="str"/>
      <x:c r="J396" s="69" t="str">
        <x:v>green pen, red block, pink marker, blue block</x:v>
      </x:c>
      <x:c r="K396" s="69" t="str">
        <x:v>blue block</x:v>
      </x:c>
      <x:c r="L396" s="69" t="str">
        <x:v>Home</x:v>
      </x:c>
      <x:c r="M396" s="69" t="str">
        <x:v>Place the blue block to the right of the red block.</x:v>
      </x:c>
      <x:c r="N396" s="69" t="str">
        <x:v>green pen, red block, pink marker, blue block</x:v>
      </x:c>
      <x:c r="O396" s="69" t="str">
        <x:v>blue block</x:v>
      </x:c>
      <x:c r="P396" s="70" t="str">
        <x:v>Explicitly grounds directional language on other ordered object pairs.</x:v>
      </x:c>
    </x:row>
    <x:row r="397" ht="58" customHeight="1">
      <x:c r="A397" s="100" t="n">
        <x:v>395</x:v>
      </x:c>
      <x:c r="B397" s="69" t="str">
        <x:v>Relational Placement</x:v>
      </x:c>
      <x:c r="C397" s="69" t="str">
        <x:v>Place the blue block to the right of the red block.</x:v>
      </x:c>
      <x:c r="D397" s="69" t="str">
        <x:v>Explicit spatial-relation grounding</x:v>
      </x:c>
      <x:c r="E397" s="69" t="str">
        <x:v>front / behind / left / right</x:v>
      </x:c>
      <x:c r="F397" s="69" t="str">
        <x:v>relational_explicit_direction</x:v>
      </x:c>
      <x:c r="G397" s="69" t="str">
        <x:v>direction × unordered {green pen, red block} pair, in both target/reference directions</x:v>
      </x:c>
      <x:c r="H397" s="69" t="str">
        <x:v>No</x:v>
      </x:c>
      <x:c r="I397" s="69" t="str"/>
      <x:c r="J397" s="69" t="str">
        <x:v>blue block, red block, pink marker</x:v>
      </x:c>
      <x:c r="K397" s="69" t="str">
        <x:v>blue block</x:v>
      </x:c>
      <x:c r="L397" s="69" t="str">
        <x:v>Recovery</x:v>
      </x:c>
      <x:c r="M397" s="69" t="str">
        <x:v>Place the blue block to the right of the red block.</x:v>
      </x:c>
      <x:c r="N397" s="69" t="str">
        <x:v>blue block, red block, pink marker</x:v>
      </x:c>
      <x:c r="O397" s="69" t="str">
        <x:v>blue block</x:v>
      </x:c>
      <x:c r="P397" s="70" t="str">
        <x:v>Explicitly grounds directional language on other ordered object pairs.</x:v>
      </x:c>
    </x:row>
    <x:row r="398" ht="58" customHeight="1">
      <x:c r="A398" s="100" t="n">
        <x:v>396</x:v>
      </x:c>
      <x:c r="B398" s="69" t="str">
        <x:v>Relational Placement</x:v>
      </x:c>
      <x:c r="C398" s="69" t="str">
        <x:v>Place the blue block to the right of the pink marker.</x:v>
      </x:c>
      <x:c r="D398" s="69" t="str">
        <x:v>Explicit spatial-relation grounding</x:v>
      </x:c>
      <x:c r="E398" s="69" t="str">
        <x:v>front / behind / left / right</x:v>
      </x:c>
      <x:c r="F398" s="69" t="str">
        <x:v>relational_explicit_direction</x:v>
      </x:c>
      <x:c r="G398" s="69" t="str">
        <x:v>direction × unordered {green pen, red block} pair, in both target/reference directions</x:v>
      </x:c>
      <x:c r="H398" s="69" t="str">
        <x:v>No</x:v>
      </x:c>
      <x:c r="I398" s="69" t="str"/>
      <x:c r="J398" s="69" t="str">
        <x:v>blue block, pink marker</x:v>
      </x:c>
      <x:c r="K398" s="69" t="str">
        <x:v>blue block</x:v>
      </x:c>
      <x:c r="L398" s="69" t="str">
        <x:v>Home</x:v>
      </x:c>
      <x:c r="M398" s="69" t="str">
        <x:v>Place the blue block to the right of the pink marker.</x:v>
      </x:c>
      <x:c r="N398" s="69" t="str">
        <x:v>blue block, pink marker</x:v>
      </x:c>
      <x:c r="O398" s="69" t="str">
        <x:v>blue block</x:v>
      </x:c>
      <x:c r="P398" s="70" t="str">
        <x:v>Explicitly grounds directional language on other ordered object pairs.</x:v>
      </x:c>
    </x:row>
    <x:row r="399" ht="58" customHeight="1">
      <x:c r="A399" s="100" t="n">
        <x:v>397</x:v>
      </x:c>
      <x:c r="B399" s="69" t="str">
        <x:v>Relational Placement</x:v>
      </x:c>
      <x:c r="C399" s="69" t="str">
        <x:v>Place the blue block to the right of the pink marker.</x:v>
      </x:c>
      <x:c r="D399" s="69" t="str">
        <x:v>Explicit spatial-relation grounding</x:v>
      </x:c>
      <x:c r="E399" s="69" t="str">
        <x:v>front / behind / left / right</x:v>
      </x:c>
      <x:c r="F399" s="69" t="str">
        <x:v>relational_explicit_direction</x:v>
      </x:c>
      <x:c r="G399" s="69" t="str">
        <x:v>direction × unordered {green pen, red block} pair, in both target/reference directions</x:v>
      </x:c>
      <x:c r="H399" s="69" t="str">
        <x:v>No</x:v>
      </x:c>
      <x:c r="I399" s="69" t="str"/>
      <x:c r="J399" s="69" t="str">
        <x:v>blue block, pink marker, red block</x:v>
      </x:c>
      <x:c r="K399" s="69" t="str">
        <x:v>blue block</x:v>
      </x:c>
      <x:c r="L399" s="69" t="str">
        <x:v>Home</x:v>
      </x:c>
      <x:c r="M399" s="69" t="str">
        <x:v>Place the blue block to the right of the pink marker.</x:v>
      </x:c>
      <x:c r="N399" s="69" t="str">
        <x:v>blue block, pink marker, red block</x:v>
      </x:c>
      <x:c r="O399" s="69" t="str">
        <x:v>blue block</x:v>
      </x:c>
      <x:c r="P399" s="70" t="str">
        <x:v>Explicitly grounds directional language on other ordered object pairs.</x:v>
      </x:c>
    </x:row>
    <x:row r="400" ht="58" customHeight="1">
      <x:c r="A400" s="100" t="n">
        <x:v>398</x:v>
      </x:c>
      <x:c r="B400" s="69" t="str">
        <x:v>Relational Placement</x:v>
      </x:c>
      <x:c r="C400" s="69" t="str">
        <x:v>Place the blue block to the right of the pink marker.</x:v>
      </x:c>
      <x:c r="D400" s="69" t="str">
        <x:v>Explicit spatial-relation grounding</x:v>
      </x:c>
      <x:c r="E400" s="69" t="str">
        <x:v>front / behind / left / right</x:v>
      </x:c>
      <x:c r="F400" s="69" t="str">
        <x:v>relational_explicit_direction</x:v>
      </x:c>
      <x:c r="G400" s="69" t="str">
        <x:v>direction × unordered {green pen, red block} pair, in both target/reference directions</x:v>
      </x:c>
      <x:c r="H400" s="69" t="str">
        <x:v>No</x:v>
      </x:c>
      <x:c r="I400" s="69" t="str"/>
      <x:c r="J400" s="69" t="str">
        <x:v>green pen, red block, pink marker, blue block</x:v>
      </x:c>
      <x:c r="K400" s="69" t="str">
        <x:v>blue block</x:v>
      </x:c>
      <x:c r="L400" s="69" t="str">
        <x:v>Home</x:v>
      </x:c>
      <x:c r="M400" s="69" t="str">
        <x:v>Place the blue block to the right of the pink marker.</x:v>
      </x:c>
      <x:c r="N400" s="69" t="str">
        <x:v>green pen, red block, pink marker, blue block</x:v>
      </x:c>
      <x:c r="O400" s="69" t="str">
        <x:v>blue block</x:v>
      </x:c>
      <x:c r="P400" s="70" t="str">
        <x:v>Explicitly grounds directional language on other ordered object pairs.</x:v>
      </x:c>
    </x:row>
    <x:row r="401" ht="58" customHeight="1">
      <x:c r="A401" s="100" t="n">
        <x:v>399</x:v>
      </x:c>
      <x:c r="B401" s="69" t="str">
        <x:v>Relational Placement</x:v>
      </x:c>
      <x:c r="C401" s="69" t="str">
        <x:v>Place the blue block to the right of the pink marker.</x:v>
      </x:c>
      <x:c r="D401" s="69" t="str">
        <x:v>Explicit spatial-relation grounding</x:v>
      </x:c>
      <x:c r="E401" s="69" t="str">
        <x:v>front / behind / left / right</x:v>
      </x:c>
      <x:c r="F401" s="69" t="str">
        <x:v>relational_explicit_direction</x:v>
      </x:c>
      <x:c r="G401" s="69" t="str">
        <x:v>direction × unordered {green pen, red block} pair, in both target/reference directions</x:v>
      </x:c>
      <x:c r="H401" s="69" t="str">
        <x:v>No</x:v>
      </x:c>
      <x:c r="I401" s="69" t="str"/>
      <x:c r="J401" s="69" t="str">
        <x:v>blue block, pink marker, green pen</x:v>
      </x:c>
      <x:c r="K401" s="69" t="str">
        <x:v>blue block</x:v>
      </x:c>
      <x:c r="L401" s="69" t="str">
        <x:v>Recovery</x:v>
      </x:c>
      <x:c r="M401" s="69" t="str">
        <x:v>Place the blue block to the right of the pink marker.</x:v>
      </x:c>
      <x:c r="N401" s="69" t="str">
        <x:v>blue block, pink marker, green pen</x:v>
      </x:c>
      <x:c r="O401" s="69" t="str">
        <x:v>blue block</x:v>
      </x:c>
      <x:c r="P401" s="70" t="str">
        <x:v>Explicitly grounds directional language on other ordered object pairs.</x:v>
      </x:c>
    </x:row>
    <x:row r="402" ht="58" customHeight="1">
      <x:c r="A402" s="100" t="n">
        <x:v>400</x:v>
      </x:c>
      <x:c r="B402" s="69" t="str">
        <x:v>Referential Disambiguation</x:v>
      </x:c>
      <x:c r="C402" s="69" t="str">
        <x:v>Pick up the crushed soda can nearest to the green pencil sharpener and place it in the bowl.</x:v>
      </x:c>
      <x:c r="D402" s="69" t="str">
        <x:v>Explicit closest grounding</x:v>
      </x:c>
      <x:c r="E402" s="69" t="str">
        <x:v>closest</x:v>
      </x:c>
      <x:c r="F402" s="69" t="str">
        <x:v>referential_closest_explicit</x:v>
      </x:c>
      <x:c r="G402" s="69" t="str">
        <x:v>furthest × crushed-soda-can candidates with green pen / airplane toy with propellers / green pencil sharpener references</x:v>
      </x:c>
      <x:c r="H402" s="69" t="str">
        <x:v>No</x:v>
      </x:c>
      <x:c r="I402" s="69" t="str"/>
      <x:c r="J402" s="69" t="str">
        <x:v>crushed Coke can, crushed Pepsi can, green pencil sharpener</x:v>
      </x:c>
      <x:c r="K402" s="69" t="str">
        <x:v>crushed Coke can</x:v>
      </x:c>
      <x:c r="L402" s="69" t="str">
        <x:v>Home</x:v>
      </x:c>
      <x:c r="M402" s="69" t="str">
        <x:v>Pick up the crushed soda can nearest to the green pencil sharpener and place it in the bowl.</x:v>
      </x:c>
      <x:c r="N402" s="69" t="str">
        <x:v>crushed Coke can, crushed Pepsi can, green pencil sharpener</x:v>
      </x:c>
      <x:c r="O402" s="69" t="str">
        <x:v>crushed Coke can</x:v>
      </x:c>
      <x:c r="P402" s="70" t="str">
        <x:v>Closest is explicitly grounded in training.</x:v>
      </x:c>
    </x:row>
    <x:row r="403" ht="58" customHeight="1">
      <x:c r="A403" s="100" t="n">
        <x:v>401</x:v>
      </x:c>
      <x:c r="B403" s="69" t="str">
        <x:v>Referential Disambiguation</x:v>
      </x:c>
      <x:c r="C403" s="69" t="str">
        <x:v>Pick up the crushed soda can nearest to the red pencil sharpener and place it in the bowl.</x:v>
      </x:c>
      <x:c r="D403" s="69" t="str">
        <x:v>Explicit closest grounding</x:v>
      </x:c>
      <x:c r="E403" s="69" t="str">
        <x:v>closest</x:v>
      </x:c>
      <x:c r="F403" s="69" t="str">
        <x:v>referential_closest_explicit</x:v>
      </x:c>
      <x:c r="G403" s="69" t="str">
        <x:v>furthest × crushed-soda-can candidates with green pen / airplane toy with propellers / green pencil sharpener references</x:v>
      </x:c>
      <x:c r="H403" s="69" t="str">
        <x:v>No</x:v>
      </x:c>
      <x:c r="I403" s="69" t="str"/>
      <x:c r="J403" s="69" t="str">
        <x:v>crushed Coke can, crushed Pepsi can, red pencil sharpener, yellow pen</x:v>
      </x:c>
      <x:c r="K403" s="69" t="str">
        <x:v>crushed Pepsi can</x:v>
      </x:c>
      <x:c r="L403" s="69" t="str">
        <x:v>Home</x:v>
      </x:c>
      <x:c r="M403" s="69" t="str">
        <x:v>Pick up the crushed soda can nearest to the red pencil sharpener and place it in the bowl.</x:v>
      </x:c>
      <x:c r="N403" s="69" t="str">
        <x:v>crushed Coke can, crushed Pepsi can, red pencil sharpener, yellow pen</x:v>
      </x:c>
      <x:c r="O403" s="69" t="str">
        <x:v>crushed Pepsi can</x:v>
      </x:c>
      <x:c r="P403" s="70" t="str">
        <x:v>Closest is explicitly grounded in training.</x:v>
      </x:c>
    </x:row>
    <x:row r="404" ht="58" customHeight="1">
      <x:c r="A404" s="100" t="n">
        <x:v>402</x:v>
      </x:c>
      <x:c r="B404" s="69" t="str">
        <x:v>Referential Disambiguation</x:v>
      </x:c>
      <x:c r="C404" s="69" t="str">
        <x:v>Put the crushed soda can closest to the green pen in the bowl.</x:v>
      </x:c>
      <x:c r="D404" s="69" t="str">
        <x:v>Explicit closest grounding</x:v>
      </x:c>
      <x:c r="E404" s="69" t="str">
        <x:v>closest</x:v>
      </x:c>
      <x:c r="F404" s="69" t="str">
        <x:v>referential_closest_explicit</x:v>
      </x:c>
      <x:c r="G404" s="69" t="str">
        <x:v>furthest × crushed-soda-can candidates with green pen / airplane toy with propellers / green pencil sharpener references</x:v>
      </x:c>
      <x:c r="H404" s="69" t="str">
        <x:v>No</x:v>
      </x:c>
      <x:c r="I404" s="69" t="str"/>
      <x:c r="J404" s="69" t="str">
        <x:v>crushed Coke can, crushed Pepsi can, green pen</x:v>
      </x:c>
      <x:c r="K404" s="69" t="str">
        <x:v>crushed Coke can</x:v>
      </x:c>
      <x:c r="L404" s="69" t="str">
        <x:v>Home</x:v>
      </x:c>
      <x:c r="M404" s="69" t="str">
        <x:v>Put the crushed soda can closest to the green pen in the bowl.</x:v>
      </x:c>
      <x:c r="N404" s="69" t="str">
        <x:v>crushed Coke can, crushed Pepsi can, green pen</x:v>
      </x:c>
      <x:c r="O404" s="69" t="str">
        <x:v>crushed Coke can</x:v>
      </x:c>
      <x:c r="P404" s="70" t="str">
        <x:v>Closest is explicitly grounded in training.</x:v>
      </x:c>
    </x:row>
    <x:row r="405" ht="58" customHeight="1">
      <x:c r="A405" s="100" t="n">
        <x:v>403</x:v>
      </x:c>
      <x:c r="B405" s="69" t="str">
        <x:v>Referential Disambiguation</x:v>
      </x:c>
      <x:c r="C405" s="69" t="str">
        <x:v>Pick up the crushed soda can nearest to the yellow pen and place it in the bowl.</x:v>
      </x:c>
      <x:c r="D405" s="69" t="str">
        <x:v>Explicit closest grounding</x:v>
      </x:c>
      <x:c r="E405" s="69" t="str">
        <x:v>closest</x:v>
      </x:c>
      <x:c r="F405" s="69" t="str">
        <x:v>referential_closest_explicit</x:v>
      </x:c>
      <x:c r="G405" s="69" t="str">
        <x:v>furthest × crushed-soda-can candidates with green pen / airplane toy with propellers / green pencil sharpener references</x:v>
      </x:c>
      <x:c r="H405" s="69" t="str">
        <x:v>No</x:v>
      </x:c>
      <x:c r="I405" s="69" t="str"/>
      <x:c r="J405" s="69" t="str">
        <x:v>crushed Coke can, crushed Pepsi can, yellow pen, airplane toy without propellers</x:v>
      </x:c>
      <x:c r="K405" s="69" t="str">
        <x:v>crushed Pepsi can</x:v>
      </x:c>
      <x:c r="L405" s="69" t="str">
        <x:v>Home</x:v>
      </x:c>
      <x:c r="M405" s="69" t="str">
        <x:v>Pick up the crushed soda can nearest to the yellow pen and place it in the bowl.</x:v>
      </x:c>
      <x:c r="N405" s="69" t="str">
        <x:v>crushed Coke can, crushed Pepsi can, yellow pen, airplane toy without propellers</x:v>
      </x:c>
      <x:c r="O405" s="69" t="str">
        <x:v>crushed Pepsi can</x:v>
      </x:c>
      <x:c r="P405" s="70" t="str">
        <x:v>Closest is explicitly grounded in training.</x:v>
      </x:c>
    </x:row>
    <x:row r="406" ht="58" customHeight="1">
      <x:c r="A406" s="100" t="n">
        <x:v>404</x:v>
      </x:c>
      <x:c r="B406" s="69" t="str">
        <x:v>Referential Disambiguation</x:v>
      </x:c>
      <x:c r="C406" s="69" t="str">
        <x:v>Pick up the crushed soda can nearest to the airplane toy with propellers and place it in the bowl.</x:v>
      </x:c>
      <x:c r="D406" s="69" t="str">
        <x:v>Explicit closest grounding</x:v>
      </x:c>
      <x:c r="E406" s="69" t="str">
        <x:v>closest</x:v>
      </x:c>
      <x:c r="F406" s="69" t="str">
        <x:v>referential_closest_explicit</x:v>
      </x:c>
      <x:c r="G406" s="69" t="str">
        <x:v>furthest × crushed-soda-can candidates with green pen / airplane toy with propellers / green pencil sharpener references</x:v>
      </x:c>
      <x:c r="H406" s="69" t="str">
        <x:v>No</x:v>
      </x:c>
      <x:c r="I406" s="69" t="str"/>
      <x:c r="J406" s="69" t="str">
        <x:v>crushed Coke can, crushed Pepsi can, airplane toy with propellers</x:v>
      </x:c>
      <x:c r="K406" s="69" t="str">
        <x:v>crushed Coke can</x:v>
      </x:c>
      <x:c r="L406" s="69" t="str">
        <x:v>Recovery</x:v>
      </x:c>
      <x:c r="M406" s="69" t="str">
        <x:v>Pick up the crushed soda can nearest to the airplane toy with propellers and place it in the bowl.</x:v>
      </x:c>
      <x:c r="N406" s="69" t="str">
        <x:v>crushed Coke can, crushed Pepsi can, airplane toy with propellers</x:v>
      </x:c>
      <x:c r="O406" s="69" t="str">
        <x:v>crushed Coke can</x:v>
      </x:c>
      <x:c r="P406" s="70" t="str">
        <x:v>Closest is explicitly grounded in training.</x:v>
      </x:c>
    </x:row>
    <x:row r="407" ht="58" customHeight="1">
      <x:c r="A407" s="100" t="n">
        <x:v>405</x:v>
      </x:c>
      <x:c r="B407" s="69" t="str">
        <x:v>Referential Disambiguation</x:v>
      </x:c>
      <x:c r="C407" s="69" t="str">
        <x:v>Move the crushed soda can that is closest to the airplane toy without propellers into the bowl.</x:v>
      </x:c>
      <x:c r="D407" s="69" t="str">
        <x:v>Explicit closest grounding</x:v>
      </x:c>
      <x:c r="E407" s="69" t="str">
        <x:v>closest</x:v>
      </x:c>
      <x:c r="F407" s="69" t="str">
        <x:v>referential_closest_explicit</x:v>
      </x:c>
      <x:c r="G407" s="69" t="str">
        <x:v>furthest × crushed-soda-can candidates with green pen / airplane toy with propellers / green pencil sharpener references</x:v>
      </x:c>
      <x:c r="H407" s="69" t="str">
        <x:v>No</x:v>
      </x:c>
      <x:c r="I407" s="69" t="str"/>
      <x:c r="J407" s="69" t="str">
        <x:v>crushed Coke can, crushed Pepsi can, airplane toy without propellers, red pencil sharpener</x:v>
      </x:c>
      <x:c r="K407" s="69" t="str">
        <x:v>crushed Pepsi can</x:v>
      </x:c>
      <x:c r="L407" s="69" t="str">
        <x:v>Home</x:v>
      </x:c>
      <x:c r="M407" s="69" t="str">
        <x:v>Move the crushed soda can that is closest to the airplane toy without propellers into the bowl.</x:v>
      </x:c>
      <x:c r="N407" s="69" t="str">
        <x:v>crushed Coke can, crushed Pepsi can, airplane toy without propellers, red pencil sharpener</x:v>
      </x:c>
      <x:c r="O407" s="69" t="str">
        <x:v>crushed Pepsi can</x:v>
      </x:c>
      <x:c r="P407" s="70" t="str">
        <x:v>Closest is explicitly grounded in training.</x:v>
      </x:c>
    </x:row>
    <x:row r="408" ht="58" customHeight="1">
      <x:c r="A408" s="100" t="n">
        <x:v>406</x:v>
      </x:c>
      <x:c r="B408" s="69" t="str">
        <x:v>Referential Disambiguation</x:v>
      </x:c>
      <x:c r="C408" s="69" t="str">
        <x:v>Put the crushed soda can closest to the green pencil sharpener in the bowl.</x:v>
      </x:c>
      <x:c r="D408" s="69" t="str">
        <x:v>Explicit closest grounding</x:v>
      </x:c>
      <x:c r="E408" s="69" t="str">
        <x:v>closest</x:v>
      </x:c>
      <x:c r="F408" s="69" t="str">
        <x:v>referential_closest_explicit</x:v>
      </x:c>
      <x:c r="G408" s="69" t="str">
        <x:v>furthest × crushed-soda-can candidates with green pen / airplane toy with propellers / green pencil sharpener references</x:v>
      </x:c>
      <x:c r="H408" s="69" t="str">
        <x:v>No</x:v>
      </x:c>
      <x:c r="I408" s="69" t="str"/>
      <x:c r="J408" s="69" t="str">
        <x:v>crushed Coke can, crushed Pepsi can, green pencil sharpener</x:v>
      </x:c>
      <x:c r="K408" s="69" t="str">
        <x:v>crushed Coke can</x:v>
      </x:c>
      <x:c r="L408" s="69" t="str">
        <x:v>Home</x:v>
      </x:c>
      <x:c r="M408" s="69" t="str">
        <x:v>Put the crushed soda can closest to the green pencil sharpener in the bowl.</x:v>
      </x:c>
      <x:c r="N408" s="69" t="str">
        <x:v>crushed Coke can, crushed Pepsi can, green pencil sharpener</x:v>
      </x:c>
      <x:c r="O408" s="69" t="str">
        <x:v>crushed Coke can</x:v>
      </x:c>
      <x:c r="P408" s="70" t="str">
        <x:v>Closest is explicitly grounded in training.</x:v>
      </x:c>
    </x:row>
    <x:row r="409" ht="58" customHeight="1">
      <x:c r="A409" s="100" t="n">
        <x:v>407</x:v>
      </x:c>
      <x:c r="B409" s="69" t="str">
        <x:v>Referential Disambiguation</x:v>
      </x:c>
      <x:c r="C409" s="69" t="str">
        <x:v>Put the crushed soda can closest to the red pencil sharpener in the bowl.</x:v>
      </x:c>
      <x:c r="D409" s="69" t="str">
        <x:v>Explicit closest grounding</x:v>
      </x:c>
      <x:c r="E409" s="69" t="str">
        <x:v>closest</x:v>
      </x:c>
      <x:c r="F409" s="69" t="str">
        <x:v>referential_closest_explicit</x:v>
      </x:c>
      <x:c r="G409" s="69" t="str">
        <x:v>furthest × crushed-soda-can candidates with green pen / airplane toy with propellers / green pencil sharpener references</x:v>
      </x:c>
      <x:c r="H409" s="69" t="str">
        <x:v>No</x:v>
      </x:c>
      <x:c r="I409" s="69" t="str"/>
      <x:c r="J409" s="69" t="str">
        <x:v>crushed Coke can, crushed Pepsi can, red pencil sharpener, green pencil sharpener</x:v>
      </x:c>
      <x:c r="K409" s="69" t="str">
        <x:v>crushed Pepsi can</x:v>
      </x:c>
      <x:c r="L409" s="69" t="str">
        <x:v>Home</x:v>
      </x:c>
      <x:c r="M409" s="69" t="str">
        <x:v>Put the crushed soda can closest to the red pencil sharpener in the bowl.</x:v>
      </x:c>
      <x:c r="N409" s="69" t="str">
        <x:v>crushed Coke can, crushed Pepsi can, red pencil sharpener, green pencil sharpener</x:v>
      </x:c>
      <x:c r="O409" s="69" t="str">
        <x:v>crushed Pepsi can</x:v>
      </x:c>
      <x:c r="P409" s="70" t="str">
        <x:v>Closest is explicitly grounded in training.</x:v>
      </x:c>
    </x:row>
    <x:row r="410" ht="58" customHeight="1">
      <x:c r="A410" s="100" t="n">
        <x:v>408</x:v>
      </x:c>
      <x:c r="B410" s="69" t="str">
        <x:v>Referential Disambiguation</x:v>
      </x:c>
      <x:c r="C410" s="69" t="str">
        <x:v>Pick up the crushed soda can nearest to the green pen and place it in the bowl.</x:v>
      </x:c>
      <x:c r="D410" s="69" t="str">
        <x:v>Explicit closest grounding</x:v>
      </x:c>
      <x:c r="E410" s="69" t="str">
        <x:v>closest</x:v>
      </x:c>
      <x:c r="F410" s="69" t="str">
        <x:v>referential_closest_explicit</x:v>
      </x:c>
      <x:c r="G410" s="69" t="str">
        <x:v>furthest × crushed-soda-can candidates with green pen / airplane toy with propellers / green pencil sharpener references</x:v>
      </x:c>
      <x:c r="H410" s="69" t="str">
        <x:v>No</x:v>
      </x:c>
      <x:c r="I410" s="69" t="str"/>
      <x:c r="J410" s="69" t="str">
        <x:v>crushed Coke can, crushed Pepsi can, green pen</x:v>
      </x:c>
      <x:c r="K410" s="69" t="str">
        <x:v>crushed Coke can</x:v>
      </x:c>
      <x:c r="L410" s="69" t="str">
        <x:v>Home</x:v>
      </x:c>
      <x:c r="M410" s="69" t="str">
        <x:v>Pick up the crushed soda can nearest to the green pen and place it in the bowl.</x:v>
      </x:c>
      <x:c r="N410" s="69" t="str">
        <x:v>crushed Coke can, crushed Pepsi can, green pen</x:v>
      </x:c>
      <x:c r="O410" s="69" t="str">
        <x:v>crushed Coke can</x:v>
      </x:c>
      <x:c r="P410" s="70" t="str">
        <x:v>Closest is explicitly grounded in training.</x:v>
      </x:c>
    </x:row>
    <x:row r="411" ht="58" customHeight="1">
      <x:c r="A411" s="100" t="n">
        <x:v>409</x:v>
      </x:c>
      <x:c r="B411" s="69" t="str">
        <x:v>Referential Disambiguation</x:v>
      </x:c>
      <x:c r="C411" s="69" t="str">
        <x:v>Pick up the crushed soda can nearest to the yellow pen and place it in the bowl.</x:v>
      </x:c>
      <x:c r="D411" s="69" t="str">
        <x:v>Explicit closest grounding</x:v>
      </x:c>
      <x:c r="E411" s="69" t="str">
        <x:v>closest</x:v>
      </x:c>
      <x:c r="F411" s="69" t="str">
        <x:v>referential_closest_explicit</x:v>
      </x:c>
      <x:c r="G411" s="69" t="str">
        <x:v>furthest × crushed-soda-can candidates with green pen / airplane toy with propellers / green pencil sharpener references</x:v>
      </x:c>
      <x:c r="H411" s="69" t="str">
        <x:v>No</x:v>
      </x:c>
      <x:c r="I411" s="69" t="str"/>
      <x:c r="J411" s="69" t="str">
        <x:v>crushed Coke can, crushed Pepsi can, yellow pen, red pencil sharpener</x:v>
      </x:c>
      <x:c r="K411" s="69" t="str">
        <x:v>crushed Pepsi can</x:v>
      </x:c>
      <x:c r="L411" s="69" t="str">
        <x:v>Recovery</x:v>
      </x:c>
      <x:c r="M411" s="69" t="str">
        <x:v>Pick up the crushed soda can nearest to the yellow pen and place it in the bowl.</x:v>
      </x:c>
      <x:c r="N411" s="69" t="str">
        <x:v>crushed Coke can, crushed Pepsi can, yellow pen, red pencil sharpener</x:v>
      </x:c>
      <x:c r="O411" s="69" t="str">
        <x:v>crushed Pepsi can</x:v>
      </x:c>
      <x:c r="P411" s="70" t="str">
        <x:v>Closest is explicitly grounded in training.</x:v>
      </x:c>
    </x:row>
    <x:row r="412" ht="58" customHeight="1">
      <x:c r="A412" s="100" t="n">
        <x:v>410</x:v>
      </x:c>
      <x:c r="B412" s="69" t="str">
        <x:v>Referential Disambiguation</x:v>
      </x:c>
      <x:c r="C412" s="69" t="str">
        <x:v>Pick up the crushed soda can nearest to the airplane toy with propellers and place it in the bowl.</x:v>
      </x:c>
      <x:c r="D412" s="69" t="str">
        <x:v>Explicit closest grounding</x:v>
      </x:c>
      <x:c r="E412" s="69" t="str">
        <x:v>closest</x:v>
      </x:c>
      <x:c r="F412" s="69" t="str">
        <x:v>referential_closest_explicit</x:v>
      </x:c>
      <x:c r="G412" s="69" t="str">
        <x:v>furthest × crushed-soda-can candidates with green pen / airplane toy with propellers / green pencil sharpener references</x:v>
      </x:c>
      <x:c r="H412" s="69" t="str">
        <x:v>No</x:v>
      </x:c>
      <x:c r="I412" s="69" t="str"/>
      <x:c r="J412" s="69" t="str">
        <x:v>crushed Coke can, crushed Pepsi can, airplane toy with propellers</x:v>
      </x:c>
      <x:c r="K412" s="69" t="str">
        <x:v>crushed Coke can</x:v>
      </x:c>
      <x:c r="L412" s="69" t="str">
        <x:v>Home</x:v>
      </x:c>
      <x:c r="M412" s="69" t="str">
        <x:v>Pick up the crushed soda can nearest to the airplane toy with propellers and place it in the bowl.</x:v>
      </x:c>
      <x:c r="N412" s="69" t="str">
        <x:v>crushed Coke can, crushed Pepsi can, airplane toy with propellers</x:v>
      </x:c>
      <x:c r="O412" s="69" t="str">
        <x:v>crushed Coke can</x:v>
      </x:c>
      <x:c r="P412" s="70" t="str">
        <x:v>Closest is explicitly grounded in training.</x:v>
      </x:c>
    </x:row>
    <x:row r="413" ht="58" customHeight="1">
      <x:c r="A413" s="100" t="n">
        <x:v>411</x:v>
      </x:c>
      <x:c r="B413" s="69" t="str">
        <x:v>Referential Disambiguation</x:v>
      </x:c>
      <x:c r="C413" s="69" t="str">
        <x:v>Move the crushed soda can that is closest to the airplane toy without propellers into the bowl.</x:v>
      </x:c>
      <x:c r="D413" s="69" t="str">
        <x:v>Explicit closest grounding</x:v>
      </x:c>
      <x:c r="E413" s="69" t="str">
        <x:v>closest</x:v>
      </x:c>
      <x:c r="F413" s="69" t="str">
        <x:v>referential_closest_explicit</x:v>
      </x:c>
      <x:c r="G413" s="69" t="str">
        <x:v>furthest × crushed-soda-can candidates with green pen / airplane toy with propellers / green pencil sharpener references</x:v>
      </x:c>
      <x:c r="H413" s="69" t="str">
        <x:v>No</x:v>
      </x:c>
      <x:c r="I413" s="69" t="str"/>
      <x:c r="J413" s="69" t="str">
        <x:v>crushed Coke can, crushed Pepsi can, airplane toy without propellers, yellow pen</x:v>
      </x:c>
      <x:c r="K413" s="69" t="str">
        <x:v>crushed Pepsi can</x:v>
      </x:c>
      <x:c r="L413" s="69" t="str">
        <x:v>Home</x:v>
      </x:c>
      <x:c r="M413" s="69" t="str">
        <x:v>Move the crushed soda can that is closest to the airplane toy without propellers into the bowl.</x:v>
      </x:c>
      <x:c r="N413" s="69" t="str">
        <x:v>crushed Coke can, crushed Pepsi can, airplane toy without propellers, yellow pen</x:v>
      </x:c>
      <x:c r="O413" s="69" t="str">
        <x:v>crushed Pepsi can</x:v>
      </x:c>
      <x:c r="P413" s="70" t="str">
        <x:v>Closest is explicitly grounded in training.</x:v>
      </x:c>
    </x:row>
    <x:row r="414" ht="58" customHeight="1">
      <x:c r="A414" s="100" t="n">
        <x:v>412</x:v>
      </x:c>
      <x:c r="B414" s="69" t="str">
        <x:v>Referential Disambiguation</x:v>
      </x:c>
      <x:c r="C414" s="69" t="str">
        <x:v>Pick up the crushed soda can nearest to the green pencil sharpener and place it in the bowl.</x:v>
      </x:c>
      <x:c r="D414" s="69" t="str">
        <x:v>Explicit closest grounding</x:v>
      </x:c>
      <x:c r="E414" s="69" t="str">
        <x:v>closest</x:v>
      </x:c>
      <x:c r="F414" s="69" t="str">
        <x:v>referential_closest_explicit</x:v>
      </x:c>
      <x:c r="G414" s="69" t="str">
        <x:v>furthest × crushed-soda-can candidates with green pen / airplane toy with propellers / green pencil sharpener references</x:v>
      </x:c>
      <x:c r="H414" s="69" t="str">
        <x:v>No</x:v>
      </x:c>
      <x:c r="I414" s="69" t="str"/>
      <x:c r="J414" s="69" t="str">
        <x:v>crushed Coke can, crushed Pepsi can, green pencil sharpener</x:v>
      </x:c>
      <x:c r="K414" s="69" t="str">
        <x:v>crushed Coke can</x:v>
      </x:c>
      <x:c r="L414" s="69" t="str">
        <x:v>Home</x:v>
      </x:c>
      <x:c r="M414" s="69" t="str">
        <x:v>Pick up the crushed soda can nearest to the green pencil sharpener and place it in the bowl.</x:v>
      </x:c>
      <x:c r="N414" s="69" t="str">
        <x:v>crushed Coke can, crushed Pepsi can, green pencil sharpener</x:v>
      </x:c>
      <x:c r="O414" s="69" t="str">
        <x:v>crushed Coke can</x:v>
      </x:c>
      <x:c r="P414" s="70" t="str">
        <x:v>Closest is explicitly grounded in training.</x:v>
      </x:c>
    </x:row>
    <x:row r="415" ht="58" customHeight="1">
      <x:c r="A415" s="100" t="n">
        <x:v>413</x:v>
      </x:c>
      <x:c r="B415" s="69" t="str">
        <x:v>Referential Disambiguation</x:v>
      </x:c>
      <x:c r="C415" s="69" t="str">
        <x:v>Pick up the crushed soda can nearest to the red pencil sharpener and place it in the bowl.</x:v>
      </x:c>
      <x:c r="D415" s="69" t="str">
        <x:v>Explicit closest grounding</x:v>
      </x:c>
      <x:c r="E415" s="69" t="str">
        <x:v>closest</x:v>
      </x:c>
      <x:c r="F415" s="69" t="str">
        <x:v>referential_closest_explicit</x:v>
      </x:c>
      <x:c r="G415" s="69" t="str">
        <x:v>furthest × crushed-soda-can candidates with green pen / airplane toy with propellers / green pencil sharpener references</x:v>
      </x:c>
      <x:c r="H415" s="69" t="str">
        <x:v>No</x:v>
      </x:c>
      <x:c r="I415" s="69" t="str"/>
      <x:c r="J415" s="69" t="str">
        <x:v>crushed Coke can, crushed Pepsi can, red pencil sharpener, yellow pen</x:v>
      </x:c>
      <x:c r="K415" s="69" t="str">
        <x:v>crushed Pepsi can</x:v>
      </x:c>
      <x:c r="L415" s="69" t="str">
        <x:v>Home</x:v>
      </x:c>
      <x:c r="M415" s="69" t="str">
        <x:v>Pick up the crushed soda can nearest to the red pencil sharpener and place it in the bowl.</x:v>
      </x:c>
      <x:c r="N415" s="69" t="str">
        <x:v>crushed Coke can, crushed Pepsi can, red pencil sharpener, yellow pen</x:v>
      </x:c>
      <x:c r="O415" s="69" t="str">
        <x:v>crushed Pepsi can</x:v>
      </x:c>
      <x:c r="P415" s="70" t="str">
        <x:v>Closest is explicitly grounded in training.</x:v>
      </x:c>
    </x:row>
    <x:row r="416" ht="58" customHeight="1">
      <x:c r="A416" s="100" t="n">
        <x:v>414</x:v>
      </x:c>
      <x:c r="B416" s="69" t="str">
        <x:v>Referential Disambiguation</x:v>
      </x:c>
      <x:c r="C416" s="69" t="str">
        <x:v>Pick up the crushed soda can nearest to the green pen and place it in the bowl.</x:v>
      </x:c>
      <x:c r="D416" s="69" t="str">
        <x:v>Explicit closest grounding</x:v>
      </x:c>
      <x:c r="E416" s="69" t="str">
        <x:v>closest</x:v>
      </x:c>
      <x:c r="F416" s="69" t="str">
        <x:v>referential_closest_explicit</x:v>
      </x:c>
      <x:c r="G416" s="69" t="str">
        <x:v>furthest × crushed-soda-can candidates with green pen / airplane toy with propellers / green pencil sharpener references</x:v>
      </x:c>
      <x:c r="H416" s="69" t="str">
        <x:v>No</x:v>
      </x:c>
      <x:c r="I416" s="69" t="str"/>
      <x:c r="J416" s="69" t="str">
        <x:v>crushed Coke can, crushed Pepsi can, green pen, yellow pen</x:v>
      </x:c>
      <x:c r="K416" s="69" t="str">
        <x:v>crushed Coke can</x:v>
      </x:c>
      <x:c r="L416" s="69" t="str">
        <x:v>Recovery</x:v>
      </x:c>
      <x:c r="M416" s="69" t="str">
        <x:v>Pick up the crushed soda can nearest to the green pen and place it in the bowl.</x:v>
      </x:c>
      <x:c r="N416" s="69" t="str">
        <x:v>crushed Coke can, crushed Pepsi can, green pen, yellow pen</x:v>
      </x:c>
      <x:c r="O416" s="69" t="str">
        <x:v>crushed Coke can</x:v>
      </x:c>
      <x:c r="P416" s="70" t="str">
        <x:v>Closest is explicitly grounded in training.</x:v>
      </x:c>
    </x:row>
    <x:row r="417" ht="58" customHeight="1">
      <x:c r="A417" s="100" t="n">
        <x:v>415</x:v>
      </x:c>
      <x:c r="B417" s="69" t="str">
        <x:v>Referential Disambiguation</x:v>
      </x:c>
      <x:c r="C417" s="69" t="str">
        <x:v>Pick up the crushed soda can furthest from the yellow pen and place it in the bowl.</x:v>
      </x:c>
      <x:c r="D417" s="69" t="str">
        <x:v>Explicit furthest grounding</x:v>
      </x:c>
      <x:c r="E417" s="69" t="str">
        <x:v>furthest with crushed soda can candidates; reference=yellow pen</x:v>
      </x:c>
      <x:c r="F417" s="69" t="str">
        <x:v>referential_furthest_explicit</x:v>
      </x:c>
      <x:c r="G417" s="69" t="str">
        <x:v>furthest × crushed-soda-can candidates with green pen / airplane toy with propellers / green pencil sharpener references</x:v>
      </x:c>
      <x:c r="H417" s="69" t="str">
        <x:v>Yes</x:v>
      </x:c>
      <x:c r="I417" s="69" t="str">
        <x:v>recollect referential scene</x:v>
      </x:c>
      <x:c r="J417" s="69" t="str">
        <x:v>P1 yellow pen at table centre [REFERENCE]; P2 crushed Coke can with 6 cm edge gap to the left of P1 [CLOSE CANDIDATE]; P3 crushed Pepsi can with 20 cm edge gap to the right of P1 [FAR TARGET]</x:v>
      </x:c>
      <x:c r="K417" s="69" t="str">
        <x:v>crushed Pepsi can</x:v>
      </x:c>
      <x:c r="L417" s="69" t="str">
        <x:v>Home</x:v>
      </x:c>
      <x:c r="M417" s="69" t="str">
        <x:v>Move the crushed Pepsi can into the bowl.</x:v>
      </x:c>
      <x:c r="N417" s="69" t="str">
        <x:v>crushed Coke can, crushed Pepsi can, green pen</x:v>
      </x:c>
      <x:c r="O417" s="69" t="str">
        <x:v>crushed Pepsi can</x:v>
      </x:c>
      <x:c r="P417" s="70" t="str">
        <x:v>New discriminative grounding for the word furthest, using a candidate-category/reference pairing excluded from the primary evaluation.</x:v>
      </x:c>
    </x:row>
    <x:row r="418" ht="58" customHeight="1">
      <x:c r="A418" s="100" t="n">
        <x:v>416</x:v>
      </x:c>
      <x:c r="B418" s="69" t="str">
        <x:v>Referential Disambiguation</x:v>
      </x:c>
      <x:c r="C418" s="69" t="str">
        <x:v>Move the crushed soda can furthest from the airplane toy without propellers into the bowl.</x:v>
      </x:c>
      <x:c r="D418" s="69" t="str">
        <x:v>Explicit furthest grounding</x:v>
      </x:c>
      <x:c r="E418" s="69" t="str">
        <x:v>furthest with crushed soda can candidates; reference=airplane toy without propellers</x:v>
      </x:c>
      <x:c r="F418" s="69" t="str">
        <x:v>referential_furthest_explicit</x:v>
      </x:c>
      <x:c r="G418" s="69" t="str">
        <x:v>furthest × crushed-soda-can candidates with green pen / airplane toy with propellers / green pencil sharpener references</x:v>
      </x:c>
      <x:c r="H418" s="69" t="str">
        <x:v>Yes</x:v>
      </x:c>
      <x:c r="I418" s="69" t="str">
        <x:v>recollect referential scene</x:v>
      </x:c>
      <x:c r="J418" s="69" t="str">
        <x:v>P1 airplane toy without propellers at table centre [REFERENCE]; P2 crushed Pepsi can with 6 cm edge gap to the right of P1 [CLOSE CANDIDATE]; P3 crushed Coke can with 20 cm edge gap to the left of P1 [FAR TARGET]; P4 pink marker 14 cm from P1 [DISTRACTOR]</x:v>
      </x:c>
      <x:c r="K418" s="69" t="str">
        <x:v>crushed Coke can</x:v>
      </x:c>
      <x:c r="L418" s="69" t="str">
        <x:v>Home</x:v>
      </x:c>
      <x:c r="M418" s="69" t="str">
        <x:v>Put the crushed Coke can in the bowl.</x:v>
      </x:c>
      <x:c r="N418" s="69" t="str">
        <x:v>crushed Coke can, crushed Pepsi can, yellow pen, airplane toy with propellers</x:v>
      </x:c>
      <x:c r="O418" s="69" t="str">
        <x:v>crushed Coke can</x:v>
      </x:c>
      <x:c r="P418" s="70" t="str">
        <x:v>New discriminative grounding for the word furthest, using a candidate-category/reference pairing excluded from the primary evaluation.</x:v>
      </x:c>
    </x:row>
    <x:row r="419" ht="58" customHeight="1">
      <x:c r="A419" s="100" t="n">
        <x:v>417</x:v>
      </x:c>
      <x:c r="B419" s="69" t="str">
        <x:v>Referential Disambiguation</x:v>
      </x:c>
      <x:c r="C419" s="69" t="str">
        <x:v>Put the crushed soda can furthest from the yellow pen in the bowl.</x:v>
      </x:c>
      <x:c r="D419" s="69" t="str">
        <x:v>Explicit furthest grounding</x:v>
      </x:c>
      <x:c r="E419" s="69" t="str">
        <x:v>furthest with crushed soda can candidates; reference=yellow pen</x:v>
      </x:c>
      <x:c r="F419" s="69" t="str">
        <x:v>referential_furthest_explicit</x:v>
      </x:c>
      <x:c r="G419" s="69" t="str">
        <x:v>furthest × crushed-soda-can candidates with green pen / airplane toy with propellers / green pencil sharpener references</x:v>
      </x:c>
      <x:c r="H419" s="69" t="str">
        <x:v>Yes</x:v>
      </x:c>
      <x:c r="I419" s="69" t="str">
        <x:v>recollect referential scene</x:v>
      </x:c>
      <x:c r="J419" s="69" t="str">
        <x:v>P1 yellow pen at table centre [REFERENCE]; P2 crushed Coke can with 6 cm edge gap in front of P1 [CLOSE CANDIDATE]; P3 crushed Pepsi can with 20 cm edge gap behind P1 [FAR TARGET]</x:v>
      </x:c>
      <x:c r="K419" s="69" t="str">
        <x:v>crushed Pepsi can</x:v>
      </x:c>
      <x:c r="L419" s="69" t="str">
        <x:v>Home</x:v>
      </x:c>
      <x:c r="M419" s="69" t="str">
        <x:v>Pick up the crushed Pepsi can and place it in the bowl.</x:v>
      </x:c>
      <x:c r="N419" s="69" t="str">
        <x:v>crushed Coke can, crushed Pepsi can, airplane toy with propellers</x:v>
      </x:c>
      <x:c r="O419" s="69" t="str">
        <x:v>crushed Pepsi can</x:v>
      </x:c>
      <x:c r="P419" s="70" t="str">
        <x:v>New discriminative grounding for the word furthest, using a candidate-category/reference pairing excluded from the primary evaluation.</x:v>
      </x:c>
    </x:row>
    <x:row r="420" ht="58" customHeight="1">
      <x:c r="A420" s="100" t="n">
        <x:v>418</x:v>
      </x:c>
      <x:c r="B420" s="69" t="str">
        <x:v>Referential Disambiguation</x:v>
      </x:c>
      <x:c r="C420" s="69" t="str">
        <x:v>Pick up the crushed soda can furthest from the airplane toy without propellers and place it in the bowl.</x:v>
      </x:c>
      <x:c r="D420" s="69" t="str">
        <x:v>Explicit furthest grounding</x:v>
      </x:c>
      <x:c r="E420" s="69" t="str">
        <x:v>furthest with crushed soda can candidates; reference=airplane toy without propellers</x:v>
      </x:c>
      <x:c r="F420" s="69" t="str">
        <x:v>referential_furthest_explicit</x:v>
      </x:c>
      <x:c r="G420" s="69" t="str">
        <x:v>furthest × crushed-soda-can candidates with green pen / airplane toy with propellers / green pencil sharpener references</x:v>
      </x:c>
      <x:c r="H420" s="69" t="str">
        <x:v>Yes</x:v>
      </x:c>
      <x:c r="I420" s="69" t="str">
        <x:v>recollect referential scene</x:v>
      </x:c>
      <x:c r="J420" s="69" t="str">
        <x:v>P1 airplane toy without propellers at table centre [REFERENCE]; P2 crushed Pepsi can with 6 cm edge gap behind P1 [CLOSE CANDIDATE]; P3 crushed Coke can with 20 cm edge gap in front of P1 [FAR TARGET]; P4 juggling ball 14 cm from P1 [DISTRACTOR]</x:v>
      </x:c>
      <x:c r="K420" s="69" t="str">
        <x:v>crushed Coke can</x:v>
      </x:c>
      <x:c r="L420" s="69" t="str">
        <x:v>Recovery</x:v>
      </x:c>
      <x:c r="M420" s="69" t="str">
        <x:v>Put the crushed Coke can in the bowl.</x:v>
      </x:c>
      <x:c r="N420" s="69" t="str">
        <x:v>crushed Coke can, crushed Pepsi can, airplane toy without propellers, green pencil sharpener</x:v>
      </x:c>
      <x:c r="O420" s="69" t="str">
        <x:v>crushed Coke can</x:v>
      </x:c>
      <x:c r="P420" s="70" t="str">
        <x:v>New discriminative grounding for the word furthest, using a candidate-category/reference pairing excluded from the primary evaluation.</x:v>
      </x:c>
    </x:row>
    <x:row r="421" ht="58" customHeight="1">
      <x:c r="A421" s="100" t="n">
        <x:v>419</x:v>
      </x:c>
      <x:c r="B421" s="69" t="str">
        <x:v>Referential Disambiguation</x:v>
      </x:c>
      <x:c r="C421" s="69" t="str">
        <x:v>Move the crushed soda can furthest from the yellow pen into the bowl.</x:v>
      </x:c>
      <x:c r="D421" s="69" t="str">
        <x:v>Explicit furthest grounding</x:v>
      </x:c>
      <x:c r="E421" s="69" t="str">
        <x:v>furthest with crushed soda can candidates; reference=yellow pen</x:v>
      </x:c>
      <x:c r="F421" s="69" t="str">
        <x:v>referential_furthest_explicit</x:v>
      </x:c>
      <x:c r="G421" s="69" t="str">
        <x:v>furthest × crushed-soda-can candidates with green pen / airplane toy with propellers / green pencil sharpener references</x:v>
      </x:c>
      <x:c r="H421" s="69" t="str">
        <x:v>Yes</x:v>
      </x:c>
      <x:c r="I421" s="69" t="str">
        <x:v>recollect referential scene</x:v>
      </x:c>
      <x:c r="J421" s="69" t="str">
        <x:v>P1 yellow pen at table centre [REFERENCE]; P2 crushed Coke can with 6 cm edge gap to the left of P1 [CLOSE CANDIDATE]; P3 crushed Pepsi can with 20 cm edge gap to the right of P1 [FAR TARGET]</x:v>
      </x:c>
      <x:c r="K421" s="69" t="str">
        <x:v>crushed Pepsi can</x:v>
      </x:c>
      <x:c r="L421" s="69" t="str">
        <x:v>Home</x:v>
      </x:c>
      <x:c r="M421" s="69" t="str">
        <x:v>Put the crushed Pepsi can in the bowl.</x:v>
      </x:c>
      <x:c r="N421" s="69" t="str">
        <x:v>crushed Coke can, crushed Pepsi can, green pencil sharpener</x:v>
      </x:c>
      <x:c r="O421" s="69" t="str">
        <x:v>crushed Pepsi can</x:v>
      </x:c>
      <x:c r="P421" s="70" t="str">
        <x:v>New discriminative grounding for the word furthest, using a candidate-category/reference pairing excluded from the primary evaluation.</x:v>
      </x:c>
    </x:row>
    <x:row r="422" ht="58" customHeight="1">
      <x:c r="A422" s="100" t="n">
        <x:v>420</x:v>
      </x:c>
      <x:c r="B422" s="69" t="str">
        <x:v>Referential Disambiguation</x:v>
      </x:c>
      <x:c r="C422" s="69" t="str">
        <x:v>Put the crushed soda can furthest from the airplane toy without propellers in the bowl.</x:v>
      </x:c>
      <x:c r="D422" s="69" t="str">
        <x:v>Explicit furthest grounding</x:v>
      </x:c>
      <x:c r="E422" s="69" t="str">
        <x:v>furthest with crushed soda can candidates; reference=airplane toy without propellers</x:v>
      </x:c>
      <x:c r="F422" s="69" t="str">
        <x:v>referential_furthest_explicit</x:v>
      </x:c>
      <x:c r="G422" s="69" t="str">
        <x:v>furthest × crushed-soda-can candidates with green pen / airplane toy with propellers / green pencil sharpener references</x:v>
      </x:c>
      <x:c r="H422" s="69" t="str">
        <x:v>Yes</x:v>
      </x:c>
      <x:c r="I422" s="69" t="str">
        <x:v>recollect referential scene</x:v>
      </x:c>
      <x:c r="J422" s="69" t="str">
        <x:v>P1 airplane toy without propellers at table centre [REFERENCE]; P2 crushed Pepsi can with 6 cm edge gap to the right of P1 [CLOSE CANDIDATE]; P3 crushed Coke can with 20 cm edge gap to the left of P1 [FAR TARGET]; P4 pink marker 14 cm from P1 [DISTRACTOR]</x:v>
      </x:c>
      <x:c r="K422" s="69" t="str">
        <x:v>crushed Coke can</x:v>
      </x:c>
      <x:c r="L422" s="69" t="str">
        <x:v>Home</x:v>
      </x:c>
      <x:c r="M422" s="69" t="str">
        <x:v>Move the crushed Coke can into the bowl.</x:v>
      </x:c>
      <x:c r="N422" s="69" t="str">
        <x:v>crushed Coke can, crushed Pepsi can, red pencil sharpener, green pencil sharpener</x:v>
      </x:c>
      <x:c r="O422" s="69" t="str">
        <x:v>crushed Coke can</x:v>
      </x:c>
      <x:c r="P422" s="70" t="str">
        <x:v>New discriminative grounding for the word furthest, using a candidate-category/reference pairing excluded from the primary evaluation.</x:v>
      </x:c>
    </x:row>
    <x:row r="423" ht="58" customHeight="1">
      <x:c r="A423" s="100" t="n">
        <x:v>421</x:v>
      </x:c>
      <x:c r="B423" s="69" t="str">
        <x:v>Referential Disambiguation</x:v>
      </x:c>
      <x:c r="C423" s="69" t="str">
        <x:v>Pick up the crushed soda can furthest from the yellow pen and place it in the bowl.</x:v>
      </x:c>
      <x:c r="D423" s="69" t="str">
        <x:v>Explicit furthest grounding</x:v>
      </x:c>
      <x:c r="E423" s="69" t="str">
        <x:v>furthest with crushed soda can candidates; reference=yellow pen</x:v>
      </x:c>
      <x:c r="F423" s="69" t="str">
        <x:v>referential_furthest_explicit</x:v>
      </x:c>
      <x:c r="G423" s="69" t="str">
        <x:v>furthest × crushed-soda-can candidates with green pen / airplane toy with propellers / green pencil sharpener references</x:v>
      </x:c>
      <x:c r="H423" s="69" t="str">
        <x:v>Yes</x:v>
      </x:c>
      <x:c r="I423" s="69" t="str">
        <x:v>recollect referential scene</x:v>
      </x:c>
      <x:c r="J423" s="69" t="str">
        <x:v>P1 yellow pen at table centre [REFERENCE]; P2 crushed Coke can with 6 cm edge gap in front of P1 [CLOSE CANDIDATE]; P3 crushed Pepsi can with 20 cm edge gap behind P1 [FAR TARGET]</x:v>
      </x:c>
      <x:c r="K423" s="69" t="str">
        <x:v>crushed Pepsi can</x:v>
      </x:c>
      <x:c r="L423" s="69" t="str">
        <x:v>Home</x:v>
      </x:c>
      <x:c r="M423" s="69" t="str">
        <x:v>Put the crushed Pepsi can in the bowl.</x:v>
      </x:c>
      <x:c r="N423" s="69" t="str">
        <x:v>crushed Coke can, crushed Pepsi can, green pen</x:v>
      </x:c>
      <x:c r="O423" s="69" t="str">
        <x:v>crushed Pepsi can</x:v>
      </x:c>
      <x:c r="P423" s="70" t="str">
        <x:v>New discriminative grounding for the word furthest, using a candidate-category/reference pairing excluded from the primary evaluation.</x:v>
      </x:c>
    </x:row>
    <x:row r="424" ht="58" customHeight="1">
      <x:c r="A424" s="100" t="n">
        <x:v>422</x:v>
      </x:c>
      <x:c r="B424" s="69" t="str">
        <x:v>Referential Disambiguation</x:v>
      </x:c>
      <x:c r="C424" s="69" t="str">
        <x:v>Move the crushed soda can furthest from the airplane toy without propellers into the bowl.</x:v>
      </x:c>
      <x:c r="D424" s="69" t="str">
        <x:v>Explicit furthest grounding</x:v>
      </x:c>
      <x:c r="E424" s="69" t="str">
        <x:v>furthest with crushed soda can candidates; reference=airplane toy without propellers</x:v>
      </x:c>
      <x:c r="F424" s="69" t="str">
        <x:v>referential_furthest_explicit</x:v>
      </x:c>
      <x:c r="G424" s="69" t="str">
        <x:v>furthest × crushed-soda-can candidates with green pen / airplane toy with propellers / green pencil sharpener references</x:v>
      </x:c>
      <x:c r="H424" s="69" t="str">
        <x:v>Yes</x:v>
      </x:c>
      <x:c r="I424" s="69" t="str">
        <x:v>recollect referential scene</x:v>
      </x:c>
      <x:c r="J424" s="69" t="str">
        <x:v>P1 airplane toy without propellers at table centre [REFERENCE]; P2 crushed Pepsi can with 6 cm edge gap behind P1 [CLOSE CANDIDATE]; P3 crushed Coke can with 20 cm edge gap in front of P1 [FAR TARGET]; P4 juggling ball 14 cm from P1 [DISTRACTOR]</x:v>
      </x:c>
      <x:c r="K424" s="69" t="str">
        <x:v>crushed Coke can</x:v>
      </x:c>
      <x:c r="L424" s="69" t="str">
        <x:v>Home</x:v>
      </x:c>
      <x:c r="M424" s="69" t="str">
        <x:v>Pick up the crushed Coke can and place it in the bowl.</x:v>
      </x:c>
      <x:c r="N424" s="69" t="str">
        <x:v>crushed Coke can, crushed Pepsi can, yellow pen, green pencil sharpener</x:v>
      </x:c>
      <x:c r="O424" s="69" t="str">
        <x:v>crushed Coke can</x:v>
      </x:c>
      <x:c r="P424" s="70" t="str">
        <x:v>New discriminative grounding for the word furthest, using a candidate-category/reference pairing excluded from the primary evaluation.</x:v>
      </x:c>
    </x:row>
    <x:row r="425" ht="58" customHeight="1">
      <x:c r="A425" s="100" t="n">
        <x:v>423</x:v>
      </x:c>
      <x:c r="B425" s="69" t="str">
        <x:v>Referential Disambiguation</x:v>
      </x:c>
      <x:c r="C425" s="69" t="str">
        <x:v>Put the crushed Pepsi can in the bowl.</x:v>
      </x:c>
      <x:c r="D425" s="69" t="str">
        <x:v>Masked held-out furthest composition</x:v>
      </x:c>
      <x:c r="E425" s="69" t="str">
        <x:v>direct object identity; physical far-target exposure without furthest language</x:v>
      </x:c>
      <x:c r="F425" s="69" t="str">
        <x:v>referential_furthest_masked</x:v>
      </x:c>
      <x:c r="G425" s="69" t="str">
        <x:v>furthest × crushed-soda-can candidates with green pen / airplane toy with propellers / green pencil sharpener references</x:v>
      </x:c>
      <x:c r="H425" s="69" t="str">
        <x:v>No</x:v>
      </x:c>
      <x:c r="I425" s="69" t="str"/>
      <x:c r="J425" s="69" t="str">
        <x:v>crushed Coke can, crushed Pepsi can, airplane toy with propellers</x:v>
      </x:c>
      <x:c r="K425" s="69" t="str">
        <x:v>crushed Pepsi can</x:v>
      </x:c>
      <x:c r="L425" s="69" t="str">
        <x:v>Recovery</x:v>
      </x:c>
      <x:c r="M425" s="69" t="str">
        <x:v>Put the crushed Pepsi can in the bowl.</x:v>
      </x:c>
      <x:c r="N425" s="69" t="str">
        <x:v>crushed Coke can, crushed Pepsi can, airplane toy with propellers</x:v>
      </x:c>
      <x:c r="O425" s="69" t="str">
        <x:v>crushed Pepsi can</x:v>
      </x:c>
      <x:c r="P425" s="70" t="str">
        <x:v>Retain the physical trajectory under a direct-name prompt so evaluation-specific furthest compositions remain withheld.</x:v>
      </x:c>
    </x:row>
    <x:row r="426" ht="58" customHeight="1">
      <x:c r="A426" s="100" t="n">
        <x:v>424</x:v>
      </x:c>
      <x:c r="B426" s="69" t="str">
        <x:v>Referential Disambiguation</x:v>
      </x:c>
      <x:c r="C426" s="69" t="str">
        <x:v>Pick up the crushed Coke can and place it in the bowl.</x:v>
      </x:c>
      <x:c r="D426" s="69" t="str">
        <x:v>Masked held-out furthest composition</x:v>
      </x:c>
      <x:c r="E426" s="69" t="str">
        <x:v>direct object identity; physical far-target exposure without furthest language</x:v>
      </x:c>
      <x:c r="F426" s="69" t="str">
        <x:v>referential_furthest_masked</x:v>
      </x:c>
      <x:c r="G426" s="69" t="str">
        <x:v>furthest × crushed-soda-can candidates with green pen / airplane toy with propellers / green pencil sharpener references</x:v>
      </x:c>
      <x:c r="H426" s="69" t="str">
        <x:v>No</x:v>
      </x:c>
      <x:c r="I426" s="69" t="str"/>
      <x:c r="J426" s="69" t="str">
        <x:v>crushed Coke can, crushed Pepsi can, airplane toy without propellers, green pen</x:v>
      </x:c>
      <x:c r="K426" s="69" t="str">
        <x:v>crushed Coke can</x:v>
      </x:c>
      <x:c r="L426" s="69" t="str">
        <x:v>Home</x:v>
      </x:c>
      <x:c r="M426" s="69" t="str">
        <x:v>Pick up the crushed Coke can and place it in the bowl.</x:v>
      </x:c>
      <x:c r="N426" s="69" t="str">
        <x:v>crushed Coke can, crushed Pepsi can, airplane toy without propellers, green pen</x:v>
      </x:c>
      <x:c r="O426" s="69" t="str">
        <x:v>crushed Coke can</x:v>
      </x:c>
      <x:c r="P426" s="70" t="str">
        <x:v>Retain the physical trajectory under a direct-name prompt so evaluation-specific furthest compositions remain withheld.</x:v>
      </x:c>
    </x:row>
    <x:row r="427" ht="58" customHeight="1">
      <x:c r="A427" s="100" t="n">
        <x:v>425</x:v>
      </x:c>
      <x:c r="B427" s="69" t="str">
        <x:v>Referential Disambiguation</x:v>
      </x:c>
      <x:c r="C427" s="69" t="str">
        <x:v>Move the crushed Pepsi can into the bowl.</x:v>
      </x:c>
      <x:c r="D427" s="69" t="str">
        <x:v>Masked held-out furthest composition</x:v>
      </x:c>
      <x:c r="E427" s="69" t="str">
        <x:v>direct object identity; physical far-target exposure without furthest language</x:v>
      </x:c>
      <x:c r="F427" s="69" t="str">
        <x:v>referential_furthest_masked</x:v>
      </x:c>
      <x:c r="G427" s="69" t="str">
        <x:v>furthest × crushed-soda-can candidates with green pen / airplane toy with propellers / green pencil sharpener references</x:v>
      </x:c>
      <x:c r="H427" s="69" t="str">
        <x:v>No</x:v>
      </x:c>
      <x:c r="I427" s="69" t="str"/>
      <x:c r="J427" s="69" t="str">
        <x:v>crushed Coke can, crushed Pepsi can, green pencil sharpener</x:v>
      </x:c>
      <x:c r="K427" s="69" t="str">
        <x:v>crushed Pepsi can</x:v>
      </x:c>
      <x:c r="L427" s="69" t="str">
        <x:v>Home</x:v>
      </x:c>
      <x:c r="M427" s="69" t="str">
        <x:v>Move the crushed Pepsi can into the bowl.</x:v>
      </x:c>
      <x:c r="N427" s="69" t="str">
        <x:v>crushed Coke can, crushed Pepsi can, green pencil sharpener</x:v>
      </x:c>
      <x:c r="O427" s="69" t="str">
        <x:v>crushed Pepsi can</x:v>
      </x:c>
      <x:c r="P427" s="70" t="str">
        <x:v>Retain the physical trajectory under a direct-name prompt so evaluation-specific furthest compositions remain withheld.</x:v>
      </x:c>
    </x:row>
    <x:row r="428" ht="58" customHeight="1">
      <x:c r="A428" s="100" t="n">
        <x:v>426</x:v>
      </x:c>
      <x:c r="B428" s="69" t="str">
        <x:v>Referential Disambiguation</x:v>
      </x:c>
      <x:c r="C428" s="69" t="str">
        <x:v>Move the crushed Coke can into the bowl.</x:v>
      </x:c>
      <x:c r="D428" s="69" t="str">
        <x:v>Masked held-out furthest composition</x:v>
      </x:c>
      <x:c r="E428" s="69" t="str">
        <x:v>direct object identity; physical far-target exposure without furthest language</x:v>
      </x:c>
      <x:c r="F428" s="69" t="str">
        <x:v>referential_furthest_masked</x:v>
      </x:c>
      <x:c r="G428" s="69" t="str">
        <x:v>furthest × crushed-soda-can candidates with green pen / airplane toy with propellers / green pencil sharpener references</x:v>
      </x:c>
      <x:c r="H428" s="69" t="str">
        <x:v>No</x:v>
      </x:c>
      <x:c r="I428" s="69" t="str"/>
      <x:c r="J428" s="69" t="str">
        <x:v>crushed Coke can, crushed Pepsi can, red pencil sharpener, green pen</x:v>
      </x:c>
      <x:c r="K428" s="69" t="str">
        <x:v>crushed Coke can</x:v>
      </x:c>
      <x:c r="L428" s="69" t="str">
        <x:v>Home</x:v>
      </x:c>
      <x:c r="M428" s="69" t="str">
        <x:v>Move the crushed Coke can into the bowl.</x:v>
      </x:c>
      <x:c r="N428" s="69" t="str">
        <x:v>crushed Coke can, crushed Pepsi can, red pencil sharpener, green pen</x:v>
      </x:c>
      <x:c r="O428" s="69" t="str">
        <x:v>crushed Coke can</x:v>
      </x:c>
      <x:c r="P428" s="70" t="str">
        <x:v>Retain the physical trajectory under a direct-name prompt so evaluation-specific furthest compositions remain withheld.</x:v>
      </x:c>
    </x:row>
    <x:row r="429" ht="58" customHeight="1">
      <x:c r="A429" s="100" t="n">
        <x:v>427</x:v>
      </x:c>
      <x:c r="B429" s="69" t="str">
        <x:v>Referential Disambiguation</x:v>
      </x:c>
      <x:c r="C429" s="69" t="str">
        <x:v>Pick up the crushed Pepsi can and place it in the bowl.</x:v>
      </x:c>
      <x:c r="D429" s="69" t="str">
        <x:v>Masked held-out furthest composition</x:v>
      </x:c>
      <x:c r="E429" s="69" t="str">
        <x:v>direct object identity; physical far-target exposure without furthest language</x:v>
      </x:c>
      <x:c r="F429" s="69" t="str">
        <x:v>referential_furthest_masked</x:v>
      </x:c>
      <x:c r="G429" s="69" t="str">
        <x:v>furthest × crushed-soda-can candidates with green pen / airplane toy with propellers / green pencil sharpener references</x:v>
      </x:c>
      <x:c r="H429" s="69" t="str">
        <x:v>No</x:v>
      </x:c>
      <x:c r="I429" s="69" t="str"/>
      <x:c r="J429" s="69" t="str">
        <x:v>crushed Coke can, crushed Pepsi can, green pen</x:v>
      </x:c>
      <x:c r="K429" s="69" t="str">
        <x:v>crushed Pepsi can</x:v>
      </x:c>
      <x:c r="L429" s="69" t="str">
        <x:v>Home</x:v>
      </x:c>
      <x:c r="M429" s="69" t="str">
        <x:v>Pick up the crushed Pepsi can and place it in the bowl.</x:v>
      </x:c>
      <x:c r="N429" s="69" t="str">
        <x:v>crushed Coke can, crushed Pepsi can, green pen</x:v>
      </x:c>
      <x:c r="O429" s="69" t="str">
        <x:v>crushed Pepsi can</x:v>
      </x:c>
      <x:c r="P429" s="70" t="str">
        <x:v>Retain the physical trajectory under a direct-name prompt so evaluation-specific furthest compositions remain withheld.</x:v>
      </x:c>
    </x:row>
    <x:row r="430" ht="58" customHeight="1">
      <x:c r="A430" s="100" t="n">
        <x:v>428</x:v>
      </x:c>
      <x:c r="B430" s="69" t="str">
        <x:v>Referential Disambiguation</x:v>
      </x:c>
      <x:c r="C430" s="69" t="str">
        <x:v>Put the crushed Coke can in the bowl.</x:v>
      </x:c>
      <x:c r="D430" s="69" t="str">
        <x:v>Masked held-out furthest composition</x:v>
      </x:c>
      <x:c r="E430" s="69" t="str">
        <x:v>direct object identity; physical far-target exposure without furthest language</x:v>
      </x:c>
      <x:c r="F430" s="69" t="str">
        <x:v>referential_furthest_masked</x:v>
      </x:c>
      <x:c r="G430" s="69" t="str">
        <x:v>furthest × crushed-soda-can candidates with green pen / airplane toy with propellers / green pencil sharpener references</x:v>
      </x:c>
      <x:c r="H430" s="69" t="str">
        <x:v>No</x:v>
      </x:c>
      <x:c r="I430" s="69" t="str"/>
      <x:c r="J430" s="69" t="str">
        <x:v>crushed Coke can, crushed Pepsi can, yellow pen, green pen</x:v>
      </x:c>
      <x:c r="K430" s="69" t="str">
        <x:v>crushed Coke can</x:v>
      </x:c>
      <x:c r="L430" s="69" t="str">
        <x:v>Recovery</x:v>
      </x:c>
      <x:c r="M430" s="69" t="str">
        <x:v>Put the crushed Coke can in the bowl.</x:v>
      </x:c>
      <x:c r="N430" s="69" t="str">
        <x:v>crushed Coke can, crushed Pepsi can, yellow pen, green pen</x:v>
      </x:c>
      <x:c r="O430" s="69" t="str">
        <x:v>crushed Coke can</x:v>
      </x:c>
      <x:c r="P430" s="70" t="str">
        <x:v>Retain the physical trajectory under a direct-name prompt so evaluation-specific furthest compositions remain withheld.</x:v>
      </x:c>
    </x:row>
    <x:row r="431" ht="58" customHeight="1">
      <x:c r="A431" s="100" t="n">
        <x:v>429</x:v>
      </x:c>
      <x:c r="B431" s="69" t="str">
        <x:v>Referential Disambiguation</x:v>
      </x:c>
      <x:c r="C431" s="69" t="str">
        <x:v>Pick up the crushed Pepsi can and place it in the bowl.</x:v>
      </x:c>
      <x:c r="D431" s="69" t="str">
        <x:v>Masked held-out furthest composition</x:v>
      </x:c>
      <x:c r="E431" s="69" t="str">
        <x:v>direct object identity; physical far-target exposure without furthest language</x:v>
      </x:c>
      <x:c r="F431" s="69" t="str">
        <x:v>referential_furthest_masked</x:v>
      </x:c>
      <x:c r="G431" s="69" t="str">
        <x:v>furthest × crushed-soda-can candidates with green pen / airplane toy with propellers / green pencil sharpener references</x:v>
      </x:c>
      <x:c r="H431" s="69" t="str">
        <x:v>No</x:v>
      </x:c>
      <x:c r="I431" s="69" t="str"/>
      <x:c r="J431" s="69" t="str">
        <x:v>crushed Coke can, crushed Pepsi can, airplane toy with propellers</x:v>
      </x:c>
      <x:c r="K431" s="69" t="str">
        <x:v>crushed Pepsi can</x:v>
      </x:c>
      <x:c r="L431" s="69" t="str">
        <x:v>Home</x:v>
      </x:c>
      <x:c r="M431" s="69" t="str">
        <x:v>Pick up the crushed Pepsi can and place it in the bowl.</x:v>
      </x:c>
      <x:c r="N431" s="69" t="str">
        <x:v>crushed Coke can, crushed Pepsi can, airplane toy with propellers</x:v>
      </x:c>
      <x:c r="O431" s="69" t="str">
        <x:v>crushed Pepsi can</x:v>
      </x:c>
      <x:c r="P431" s="70" t="str">
        <x:v>Retain the physical trajectory under a direct-name prompt so evaluation-specific furthest compositions remain withheld.</x:v>
      </x:c>
    </x:row>
    <x:row r="432" ht="58" customHeight="1">
      <x:c r="A432" s="100" t="n">
        <x:v>430</x:v>
      </x:c>
      <x:c r="B432" s="69" t="str">
        <x:v>Referential Disambiguation</x:v>
      </x:c>
      <x:c r="C432" s="69" t="str">
        <x:v>Move the crushed soda can lying between the green pencil sharpener and the green pen into the bowl.</x:v>
      </x:c>
      <x:c r="D432" s="69" t="str">
        <x:v>Explicit between grounding</x:v>
      </x:c>
      <x:c r="E432" s="69" t="str">
        <x:v>between</x:v>
      </x:c>
      <x:c r="F432" s="69" t="str">
        <x:v>referential_between_explicit</x:v>
      </x:c>
      <x:c r="G432" s="69" t="str">
        <x:v>furthest × crushed-soda-can candidates with green pen / airplane toy with propellers / green pencil sharpener references</x:v>
      </x:c>
      <x:c r="H432" s="69" t="str">
        <x:v>No</x:v>
      </x:c>
      <x:c r="I432" s="69" t="str"/>
      <x:c r="J432" s="69" t="str">
        <x:v>crushed Coke can, crushed Pepsi can, green pencil sharpener, green pen</x:v>
      </x:c>
      <x:c r="K432" s="69" t="str">
        <x:v>crushed Coke can</x:v>
      </x:c>
      <x:c r="L432" s="69" t="str">
        <x:v>Home</x:v>
      </x:c>
      <x:c r="M432" s="69" t="str">
        <x:v>Move the crushed soda can lying between the green pencil sharpener and the green pen into the bowl.</x:v>
      </x:c>
      <x:c r="N432" s="69" t="str">
        <x:v>crushed Coke can, crushed Pepsi can, green pencil sharpener, green pen</x:v>
      </x:c>
      <x:c r="O432" s="69" t="str">
        <x:v>crushed Coke can</x:v>
      </x:c>
      <x:c r="P432" s="70" t="str">
        <x:v>Between is explicitly grounded in training.</x:v>
      </x:c>
    </x:row>
    <x:row r="433" ht="58" customHeight="1">
      <x:c r="A433" s="100" t="n">
        <x:v>431</x:v>
      </x:c>
      <x:c r="B433" s="69" t="str">
        <x:v>Referential Disambiguation</x:v>
      </x:c>
      <x:c r="C433" s="69" t="str">
        <x:v>Pick up the crushed soda can positioned between the airplane toy with propellers and the green pencil sharpener, then place it in the bowl.</x:v>
      </x:c>
      <x:c r="D433" s="69" t="str">
        <x:v>Explicit between grounding</x:v>
      </x:c>
      <x:c r="E433" s="69" t="str">
        <x:v>between</x:v>
      </x:c>
      <x:c r="F433" s="69" t="str">
        <x:v>referential_between_explicit</x:v>
      </x:c>
      <x:c r="G433" s="69" t="str">
        <x:v>furthest × crushed-soda-can candidates with green pen / airplane toy with propellers / green pencil sharpener references</x:v>
      </x:c>
      <x:c r="H433" s="69" t="str">
        <x:v>No</x:v>
      </x:c>
      <x:c r="I433" s="69" t="str"/>
      <x:c r="J433" s="69" t="str">
        <x:v>crushed Coke can, crushed Pepsi can, airplane toy with propellers, green pencil sharpener</x:v>
      </x:c>
      <x:c r="K433" s="69" t="str">
        <x:v>crushed Coke can</x:v>
      </x:c>
      <x:c r="L433" s="69" t="str">
        <x:v>Home</x:v>
      </x:c>
      <x:c r="M433" s="69" t="str">
        <x:v>Pick up the crushed soda can positioned between the airplane toy with propellers and the green pencil sharpener, then place it in the bowl.</x:v>
      </x:c>
      <x:c r="N433" s="69" t="str">
        <x:v>crushed Coke can, crushed Pepsi can, airplane toy with propellers, green pencil sharpener</x:v>
      </x:c>
      <x:c r="O433" s="69" t="str">
        <x:v>crushed Coke can</x:v>
      </x:c>
      <x:c r="P433" s="70" t="str">
        <x:v>Between is explicitly grounded in training.</x:v>
      </x:c>
    </x:row>
    <x:row r="434" ht="58" customHeight="1">
      <x:c r="A434" s="100" t="n">
        <x:v>432</x:v>
      </x:c>
      <x:c r="B434" s="69" t="str">
        <x:v>Referential Disambiguation</x:v>
      </x:c>
      <x:c r="C434" s="69" t="str">
        <x:v>Pick up the crushed soda can positioned between the airplane toy with propellers and the green pen, then place it in the bowl.</x:v>
      </x:c>
      <x:c r="D434" s="69" t="str">
        <x:v>Explicit between grounding</x:v>
      </x:c>
      <x:c r="E434" s="69" t="str">
        <x:v>between</x:v>
      </x:c>
      <x:c r="F434" s="69" t="str">
        <x:v>referential_between_explicit</x:v>
      </x:c>
      <x:c r="G434" s="69" t="str">
        <x:v>furthest × crushed-soda-can candidates with green pen / airplane toy with propellers / green pencil sharpener references</x:v>
      </x:c>
      <x:c r="H434" s="69" t="str">
        <x:v>No</x:v>
      </x:c>
      <x:c r="I434" s="69" t="str"/>
      <x:c r="J434" s="69" t="str">
        <x:v>crushed Coke can, crushed Pepsi can, airplane toy with propellers, green pen, green pencil sharpener</x:v>
      </x:c>
      <x:c r="K434" s="69" t="str">
        <x:v>crushed Pepsi can</x:v>
      </x:c>
      <x:c r="L434" s="69" t="str">
        <x:v>Home</x:v>
      </x:c>
      <x:c r="M434" s="69" t="str">
        <x:v>Pick up the crushed soda can positioned between the airplane toy with propellers and the green pen, then place it in the bowl.</x:v>
      </x:c>
      <x:c r="N434" s="69" t="str">
        <x:v>crushed Coke can, crushed Pepsi can, airplane toy with propellers, green pen, green pencil sharpener</x:v>
      </x:c>
      <x:c r="O434" s="69" t="str">
        <x:v>crushed Pepsi can</x:v>
      </x:c>
      <x:c r="P434" s="70" t="str">
        <x:v>Between is explicitly grounded in training.</x:v>
      </x:c>
    </x:row>
    <x:row r="435" ht="58" customHeight="1">
      <x:c r="A435" s="100" t="n">
        <x:v>433</x:v>
      </x:c>
      <x:c r="B435" s="69" t="str">
        <x:v>Referential Disambiguation</x:v>
      </x:c>
      <x:c r="C435" s="69" t="str">
        <x:v>Move the crushed soda can lying between the green pencil sharpener and the yellow pen into the bowl.</x:v>
      </x:c>
      <x:c r="D435" s="69" t="str">
        <x:v>Explicit between grounding</x:v>
      </x:c>
      <x:c r="E435" s="69" t="str">
        <x:v>between</x:v>
      </x:c>
      <x:c r="F435" s="69" t="str">
        <x:v>referential_between_explicit</x:v>
      </x:c>
      <x:c r="G435" s="69" t="str">
        <x:v>furthest × crushed-soda-can candidates with green pen / airplane toy with propellers / green pencil sharpener references</x:v>
      </x:c>
      <x:c r="H435" s="69" t="str">
        <x:v>No</x:v>
      </x:c>
      <x:c r="I435" s="69" t="str"/>
      <x:c r="J435" s="69" t="str">
        <x:v>crushed Coke can, crushed Pepsi can, green pencil sharpener, yellow pen, green pen</x:v>
      </x:c>
      <x:c r="K435" s="69" t="str">
        <x:v>crushed Pepsi can</x:v>
      </x:c>
      <x:c r="L435" s="69" t="str">
        <x:v>Recovery</x:v>
      </x:c>
      <x:c r="M435" s="69" t="str">
        <x:v>Move the crushed soda can lying between the green pencil sharpener and the yellow pen into the bowl.</x:v>
      </x:c>
      <x:c r="N435" s="69" t="str">
        <x:v>crushed Coke can, crushed Pepsi can, green pencil sharpener, yellow pen, green pen</x:v>
      </x:c>
      <x:c r="O435" s="69" t="str">
        <x:v>crushed Pepsi can</x:v>
      </x:c>
      <x:c r="P435" s="70" t="str">
        <x:v>Between is explicitly grounded in training.</x:v>
      </x:c>
    </x:row>
    <x:row r="436" ht="58" customHeight="1">
      <x:c r="A436" s="100" t="n">
        <x:v>434</x:v>
      </x:c>
      <x:c r="B436" s="69" t="str">
        <x:v>Referential Disambiguation</x:v>
      </x:c>
      <x:c r="C436" s="69" t="str">
        <x:v>Move the crushed soda can lying between the red pencil sharpener and the airplane toy with propellers into the bowl.</x:v>
      </x:c>
      <x:c r="D436" s="69" t="str">
        <x:v>Explicit between grounding</x:v>
      </x:c>
      <x:c r="E436" s="69" t="str">
        <x:v>between</x:v>
      </x:c>
      <x:c r="F436" s="69" t="str">
        <x:v>referential_between_explicit</x:v>
      </x:c>
      <x:c r="G436" s="69" t="str">
        <x:v>furthest × crushed-soda-can candidates with green pen / airplane toy with propellers / green pencil sharpener references</x:v>
      </x:c>
      <x:c r="H436" s="69" t="str">
        <x:v>No</x:v>
      </x:c>
      <x:c r="I436" s="69" t="str"/>
      <x:c r="J436" s="69" t="str">
        <x:v>crushed Coke can, crushed Pepsi can, red pencil sharpener, airplane toy with propellers</x:v>
      </x:c>
      <x:c r="K436" s="69" t="str">
        <x:v>crushed Coke can</x:v>
      </x:c>
      <x:c r="L436" s="69" t="str">
        <x:v>Home</x:v>
      </x:c>
      <x:c r="M436" s="69" t="str">
        <x:v>Move the crushed soda can lying between the red pencil sharpener and the airplane toy with propellers into the bowl.</x:v>
      </x:c>
      <x:c r="N436" s="69" t="str">
        <x:v>crushed Coke can, crushed Pepsi can, red pencil sharpener, airplane toy with propellers</x:v>
      </x:c>
      <x:c r="O436" s="69" t="str">
        <x:v>crushed Coke can</x:v>
      </x:c>
      <x:c r="P436" s="70" t="str">
        <x:v>Between is explicitly grounded in training.</x:v>
      </x:c>
    </x:row>
    <x:row r="437" ht="58" customHeight="1">
      <x:c r="A437" s="100" t="n">
        <x:v>435</x:v>
      </x:c>
      <x:c r="B437" s="69" t="str">
        <x:v>Referential Disambiguation</x:v>
      </x:c>
      <x:c r="C437" s="69" t="str">
        <x:v>Pick up the crushed soda can positioned between the airplane toy without propellers and the yellow pen, then place it in the bowl.</x:v>
      </x:c>
      <x:c r="D437" s="69" t="str">
        <x:v>Explicit between grounding</x:v>
      </x:c>
      <x:c r="E437" s="69" t="str">
        <x:v>between</x:v>
      </x:c>
      <x:c r="F437" s="69" t="str">
        <x:v>referential_between_explicit</x:v>
      </x:c>
      <x:c r="G437" s="69" t="str">
        <x:v>furthest × crushed-soda-can candidates with green pen / airplane toy with propellers / green pencil sharpener references</x:v>
      </x:c>
      <x:c r="H437" s="69" t="str">
        <x:v>No</x:v>
      </x:c>
      <x:c r="I437" s="69" t="str"/>
      <x:c r="J437" s="69" t="str">
        <x:v>crushed Coke can, crushed Pepsi can, airplane toy without propellers, yellow pen, red pencil sharpener</x:v>
      </x:c>
      <x:c r="K437" s="69" t="str">
        <x:v>crushed Pepsi can</x:v>
      </x:c>
      <x:c r="L437" s="69" t="str">
        <x:v>Recovery</x:v>
      </x:c>
      <x:c r="M437" s="69" t="str">
        <x:v>Pick up the crushed soda can positioned between the airplane toy without propellers and the yellow pen, then place it in the bowl.</x:v>
      </x:c>
      <x:c r="N437" s="69" t="str">
        <x:v>crushed Coke can, crushed Pepsi can, airplane toy without propellers, yellow pen, red pencil sharpener</x:v>
      </x:c>
      <x:c r="O437" s="69" t="str">
        <x:v>crushed Pepsi can</x:v>
      </x:c>
      <x:c r="P437" s="70" t="str">
        <x:v>Between is explicitly grounded in training.</x:v>
      </x:c>
    </x:row>
    <x:row r="438" ht="58" customHeight="1">
      <x:c r="A438" s="100" t="n">
        <x:v>436</x:v>
      </x:c>
      <x:c r="B438" s="69" t="str">
        <x:v>Referential Disambiguation</x:v>
      </x:c>
      <x:c r="C438" s="69" t="str">
        <x:v>Pick up the crushed soda can positioned between the green pen and the red pencil sharpener, then place it in the bowl.</x:v>
      </x:c>
      <x:c r="D438" s="69" t="str">
        <x:v>Explicit between grounding</x:v>
      </x:c>
      <x:c r="E438" s="69" t="str">
        <x:v>between</x:v>
      </x:c>
      <x:c r="F438" s="69" t="str">
        <x:v>referential_between_explicit</x:v>
      </x:c>
      <x:c r="G438" s="69" t="str">
        <x:v>furthest × crushed-soda-can candidates with green pen / airplane toy with propellers / green pencil sharpener references</x:v>
      </x:c>
      <x:c r="H438" s="69" t="str">
        <x:v>No</x:v>
      </x:c>
      <x:c r="I438" s="69" t="str"/>
      <x:c r="J438" s="69" t="str">
        <x:v>crushed Coke can, crushed Pepsi can, green pen, red pencil sharpener, green pencil sharpener</x:v>
      </x:c>
      <x:c r="K438" s="69" t="str">
        <x:v>crushed Coke can</x:v>
      </x:c>
      <x:c r="L438" s="69" t="str">
        <x:v>Home</x:v>
      </x:c>
      <x:c r="M438" s="69" t="str">
        <x:v>Pick up the crushed soda can positioned between the green pen and the red pencil sharpener, then place it in the bowl.</x:v>
      </x:c>
      <x:c r="N438" s="69" t="str">
        <x:v>crushed Coke can, crushed Pepsi can, green pen, red pencil sharpener, green pencil sharpener</x:v>
      </x:c>
      <x:c r="O438" s="69" t="str">
        <x:v>crushed Coke can</x:v>
      </x:c>
      <x:c r="P438" s="70" t="str">
        <x:v>Between is explicitly grounded in training.</x:v>
      </x:c>
    </x:row>
    <x:row r="439" ht="58" customHeight="1">
      <x:c r="A439" s="100" t="n">
        <x:v>437</x:v>
      </x:c>
      <x:c r="B439" s="69" t="str">
        <x:v>Referential Disambiguation</x:v>
      </x:c>
      <x:c r="C439" s="69" t="str">
        <x:v>Put the crushed soda can between the red pencil sharpener and the airplane toy without propellers in the bowl.</x:v>
      </x:c>
      <x:c r="D439" s="69" t="str">
        <x:v>Explicit between grounding</x:v>
      </x:c>
      <x:c r="E439" s="69" t="str">
        <x:v>between</x:v>
      </x:c>
      <x:c r="F439" s="69" t="str">
        <x:v>referential_between_explicit</x:v>
      </x:c>
      <x:c r="G439" s="69" t="str">
        <x:v>furthest × crushed-soda-can candidates with green pen / airplane toy with propellers / green pencil sharpener references</x:v>
      </x:c>
      <x:c r="H439" s="69" t="str">
        <x:v>No</x:v>
      </x:c>
      <x:c r="I439" s="69" t="str"/>
      <x:c r="J439" s="69" t="str">
        <x:v>crushed Coke can, crushed Pepsi can, red pencil sharpener, airplane toy without propellers</x:v>
      </x:c>
      <x:c r="K439" s="69" t="str">
        <x:v>crushed Pepsi can</x:v>
      </x:c>
      <x:c r="L439" s="69" t="str">
        <x:v>Home</x:v>
      </x:c>
      <x:c r="M439" s="69" t="str">
        <x:v>Put the crushed soda can between the red pencil sharpener and the airplane toy without propellers in the bowl.</x:v>
      </x:c>
      <x:c r="N439" s="69" t="str">
        <x:v>crushed Coke can, crushed Pepsi can, red pencil sharpener, airplane toy without propellers</x:v>
      </x:c>
      <x:c r="O439" s="69" t="str">
        <x:v>crushed Pepsi can</x:v>
      </x:c>
      <x:c r="P439" s="70" t="str">
        <x:v>Between is explicitly grounded in training.</x:v>
      </x:c>
    </x:row>
    <x:row r="440" ht="58" customHeight="1">
      <x:c r="A440" s="100" t="n">
        <x:v>438</x:v>
      </x:c>
      <x:c r="B440" s="69" t="str">
        <x:v>Referential Disambiguation</x:v>
      </x:c>
      <x:c r="C440" s="69" t="str">
        <x:v>Put the crushed soda can between the green pen and the airplane toy without propellers in the bowl.</x:v>
      </x:c>
      <x:c r="D440" s="69" t="str">
        <x:v>Explicit between grounding</x:v>
      </x:c>
      <x:c r="E440" s="69" t="str">
        <x:v>between</x:v>
      </x:c>
      <x:c r="F440" s="69" t="str">
        <x:v>referential_between_explicit</x:v>
      </x:c>
      <x:c r="G440" s="69" t="str">
        <x:v>furthest × crushed-soda-can candidates with green pen / airplane toy with propellers / green pencil sharpener references</x:v>
      </x:c>
      <x:c r="H440" s="69" t="str">
        <x:v>No</x:v>
      </x:c>
      <x:c r="I440" s="69" t="str"/>
      <x:c r="J440" s="69" t="str">
        <x:v>crushed Coke can, crushed Pepsi can, green pen, airplane toy without propellers, airplane toy with propellers</x:v>
      </x:c>
      <x:c r="K440" s="69" t="str">
        <x:v>crushed Coke can</x:v>
      </x:c>
      <x:c r="L440" s="69" t="str">
        <x:v>Home</x:v>
      </x:c>
      <x:c r="M440" s="69" t="str">
        <x:v>Put the crushed soda can between the green pen and the airplane toy without propellers in the bowl.</x:v>
      </x:c>
      <x:c r="N440" s="69" t="str">
        <x:v>crushed Coke can, crushed Pepsi can, green pen, airplane toy without propellers, airplane toy with propellers</x:v>
      </x:c>
      <x:c r="O440" s="69" t="str">
        <x:v>crushed Coke can</x:v>
      </x:c>
      <x:c r="P440" s="70" t="str">
        <x:v>Between is explicitly grounded in training.</x:v>
      </x:c>
    </x:row>
    <x:row r="441" ht="58" customHeight="1">
      <x:c r="A441" s="100" t="n">
        <x:v>439</x:v>
      </x:c>
      <x:c r="B441" s="69" t="str">
        <x:v>Referential Disambiguation</x:v>
      </x:c>
      <x:c r="C441" s="69" t="str">
        <x:v>Move the crushed soda can lying between the yellow pen and the red pencil sharpener into the bowl.</x:v>
      </x:c>
      <x:c r="D441" s="69" t="str">
        <x:v>Explicit between grounding</x:v>
      </x:c>
      <x:c r="E441" s="69" t="str">
        <x:v>between</x:v>
      </x:c>
      <x:c r="F441" s="69" t="str">
        <x:v>referential_between_explicit</x:v>
      </x:c>
      <x:c r="G441" s="69" t="str">
        <x:v>furthest × crushed-soda-can candidates with green pen / airplane toy with propellers / green pencil sharpener references</x:v>
      </x:c>
      <x:c r="H441" s="69" t="str">
        <x:v>No</x:v>
      </x:c>
      <x:c r="I441" s="69" t="str"/>
      <x:c r="J441" s="69" t="str">
        <x:v>crushed Coke can, crushed Pepsi can, yellow pen, red pencil sharpener</x:v>
      </x:c>
      <x:c r="K441" s="69" t="str">
        <x:v>crushed Pepsi can</x:v>
      </x:c>
      <x:c r="L441" s="69" t="str">
        <x:v>Home</x:v>
      </x:c>
      <x:c r="M441" s="69" t="str">
        <x:v>Move the crushed soda can lying between the yellow pen and the red pencil sharpener into the bowl.</x:v>
      </x:c>
      <x:c r="N441" s="69" t="str">
        <x:v>crushed Coke can, crushed Pepsi can, yellow pen, red pencil sharpener</x:v>
      </x:c>
      <x:c r="O441" s="69" t="str">
        <x:v>crushed Pepsi can</x:v>
      </x:c>
      <x:c r="P441" s="70" t="str">
        <x:v>Between is explicitly grounded in training.</x:v>
      </x:c>
    </x:row>
    <x:row r="442" ht="58" customHeight="1">
      <x:c r="A442" s="100" t="n">
        <x:v>440</x:v>
      </x:c>
      <x:c r="B442" s="69" t="str">
        <x:v>Referential Disambiguation</x:v>
      </x:c>
      <x:c r="C442" s="69" t="str">
        <x:v>Put the crushed soda can between the airplane toy without propellers and the green pencil sharpener in the bowl.</x:v>
      </x:c>
      <x:c r="D442" s="69" t="str">
        <x:v>Explicit between grounding</x:v>
      </x:c>
      <x:c r="E442" s="69" t="str">
        <x:v>between</x:v>
      </x:c>
      <x:c r="F442" s="69" t="str">
        <x:v>referential_between_explicit</x:v>
      </x:c>
      <x:c r="G442" s="69" t="str">
        <x:v>furthest × crushed-soda-can candidates with green pen / airplane toy with propellers / green pencil sharpener references</x:v>
      </x:c>
      <x:c r="H442" s="69" t="str">
        <x:v>No</x:v>
      </x:c>
      <x:c r="I442" s="69" t="str"/>
      <x:c r="J442" s="69" t="str">
        <x:v>crushed Coke can, crushed Pepsi can, airplane toy without propellers, green pencil sharpener</x:v>
      </x:c>
      <x:c r="K442" s="69" t="str">
        <x:v>crushed Pepsi can</x:v>
      </x:c>
      <x:c r="L442" s="69" t="str">
        <x:v>Home</x:v>
      </x:c>
      <x:c r="M442" s="69" t="str">
        <x:v>Put the crushed soda can between the airplane toy without propellers and the green pencil sharpener in the bowl.</x:v>
      </x:c>
      <x:c r="N442" s="69" t="str">
        <x:v>crushed Coke can, crushed Pepsi can, airplane toy without propellers, green pencil sharpener</x:v>
      </x:c>
      <x:c r="O442" s="69" t="str">
        <x:v>crushed Pepsi can</x:v>
      </x:c>
      <x:c r="P442" s="70" t="str">
        <x:v>Between is explicitly grounded in training.</x:v>
      </x:c>
    </x:row>
    <x:row r="443" ht="58" customHeight="1">
      <x:c r="A443" s="100" t="n">
        <x:v>441</x:v>
      </x:c>
      <x:c r="B443" s="69" t="str">
        <x:v>Referential Disambiguation</x:v>
      </x:c>
      <x:c r="C443" s="69" t="str">
        <x:v>Move the crushed soda can lying between the yellow pen and the airplane toy with propellers into the bowl.</x:v>
      </x:c>
      <x:c r="D443" s="69" t="str">
        <x:v>Explicit between grounding</x:v>
      </x:c>
      <x:c r="E443" s="69" t="str">
        <x:v>between</x:v>
      </x:c>
      <x:c r="F443" s="69" t="str">
        <x:v>referential_between_explicit</x:v>
      </x:c>
      <x:c r="G443" s="69" t="str">
        <x:v>furthest × crushed-soda-can candidates with green pen / airplane toy with propellers / green pencil sharpener references</x:v>
      </x:c>
      <x:c r="H443" s="69" t="str">
        <x:v>No</x:v>
      </x:c>
      <x:c r="I443" s="69" t="str"/>
      <x:c r="J443" s="69" t="str">
        <x:v>crushed Coke can, crushed Pepsi can, yellow pen, airplane toy with propellers, red pencil sharpener</x:v>
      </x:c>
      <x:c r="K443" s="69" t="str">
        <x:v>crushed Coke can</x:v>
      </x:c>
      <x:c r="L443" s="69" t="str">
        <x:v>Home</x:v>
      </x:c>
      <x:c r="M443" s="69" t="str">
        <x:v>Move the crushed soda can lying between the yellow pen and the airplane toy with propellers into the bowl.</x:v>
      </x:c>
      <x:c r="N443" s="69" t="str">
        <x:v>crushed Coke can, crushed Pepsi can, yellow pen, airplane toy with propellers, red pencil sharpener</x:v>
      </x:c>
      <x:c r="O443" s="69" t="str">
        <x:v>crushed Coke can</x:v>
      </x:c>
      <x:c r="P443" s="70" t="str">
        <x:v>Between is explicitly grounded in training.</x:v>
      </x:c>
    </x:row>
    <x:row r="444" ht="58" customHeight="1">
      <x:c r="A444" s="100" t="n">
        <x:v>442</x:v>
      </x:c>
      <x:c r="B444" s="69" t="str">
        <x:v>Referential Disambiguation</x:v>
      </x:c>
      <x:c r="C444" s="69" t="str">
        <x:v>Pick up the crushed soda can positioned between the green pencil sharpener and the green pen, then place it in the bowl.</x:v>
      </x:c>
      <x:c r="D444" s="69" t="str">
        <x:v>Explicit between grounding</x:v>
      </x:c>
      <x:c r="E444" s="69" t="str">
        <x:v>between</x:v>
      </x:c>
      <x:c r="F444" s="69" t="str">
        <x:v>referential_between_explicit</x:v>
      </x:c>
      <x:c r="G444" s="69" t="str">
        <x:v>furthest × crushed-soda-can candidates with green pen / airplane toy with propellers / green pencil sharpener references</x:v>
      </x:c>
      <x:c r="H444" s="69" t="str">
        <x:v>No</x:v>
      </x:c>
      <x:c r="I444" s="69" t="str"/>
      <x:c r="J444" s="69" t="str">
        <x:v>crushed Coke can, crushed Pepsi can, green pencil sharpener, green pen, airplane toy without propellers</x:v>
      </x:c>
      <x:c r="K444" s="69" t="str">
        <x:v>crushed Pepsi can</x:v>
      </x:c>
      <x:c r="L444" s="69" t="str">
        <x:v>Home</x:v>
      </x:c>
      <x:c r="M444" s="69" t="str">
        <x:v>Pick up the crushed soda can positioned between the green pencil sharpener and the green pen, then place it in the bowl.</x:v>
      </x:c>
      <x:c r="N444" s="69" t="str">
        <x:v>crushed Coke can, crushed Pepsi can, green pencil sharpener, green pen, airplane toy without propellers</x:v>
      </x:c>
      <x:c r="O444" s="69" t="str">
        <x:v>crushed Pepsi can</x:v>
      </x:c>
      <x:c r="P444" s="70" t="str">
        <x:v>Between is explicitly grounded in training.</x:v>
      </x:c>
    </x:row>
    <x:row r="445" ht="58" customHeight="1">
      <x:c r="A445" s="100" t="n">
        <x:v>443</x:v>
      </x:c>
      <x:c r="B445" s="69" t="str">
        <x:v>Referential Disambiguation</x:v>
      </x:c>
      <x:c r="C445" s="69" t="str">
        <x:v>Pick up the crushed soda can positioned between the airplane toy with propellers and the green pencil sharpener, then place it in the bowl.</x:v>
      </x:c>
      <x:c r="D445" s="69" t="str">
        <x:v>Explicit between grounding</x:v>
      </x:c>
      <x:c r="E445" s="69" t="str">
        <x:v>between</x:v>
      </x:c>
      <x:c r="F445" s="69" t="str">
        <x:v>referential_between_explicit</x:v>
      </x:c>
      <x:c r="G445" s="69" t="str">
        <x:v>furthest × crushed-soda-can candidates with green pen / airplane toy with propellers / green pencil sharpener references</x:v>
      </x:c>
      <x:c r="H445" s="69" t="str">
        <x:v>No</x:v>
      </x:c>
      <x:c r="I445" s="69" t="str"/>
      <x:c r="J445" s="69" t="str">
        <x:v>crushed Coke can, crushed Pepsi can, airplane toy with propellers, green pencil sharpener, green pen</x:v>
      </x:c>
      <x:c r="K445" s="69" t="str">
        <x:v>crushed Coke can</x:v>
      </x:c>
      <x:c r="L445" s="69" t="str">
        <x:v>Home</x:v>
      </x:c>
      <x:c r="M445" s="69" t="str">
        <x:v>Pick up the crushed soda can positioned between the airplane toy with propellers and the green pencil sharpener, then place it in the bowl.</x:v>
      </x:c>
      <x:c r="N445" s="69" t="str">
        <x:v>crushed Coke can, crushed Pepsi can, airplane toy with propellers, green pencil sharpener, green pen</x:v>
      </x:c>
      <x:c r="O445" s="69" t="str">
        <x:v>crushed Coke can</x:v>
      </x:c>
      <x:c r="P445" s="70" t="str">
        <x:v>Between is explicitly grounded in training.</x:v>
      </x:c>
    </x:row>
    <x:row r="446" ht="58" customHeight="1">
      <x:c r="A446" s="100" t="n">
        <x:v>444</x:v>
      </x:c>
      <x:c r="B446" s="69" t="str">
        <x:v>Referential Disambiguation</x:v>
      </x:c>
      <x:c r="C446" s="69" t="str">
        <x:v>Move the crushed soda can lying between the airplane toy with propellers and the green pen into the bowl.</x:v>
      </x:c>
      <x:c r="D446" s="69" t="str">
        <x:v>Explicit between grounding</x:v>
      </x:c>
      <x:c r="E446" s="69" t="str">
        <x:v>between</x:v>
      </x:c>
      <x:c r="F446" s="69" t="str">
        <x:v>referential_between_explicit</x:v>
      </x:c>
      <x:c r="G446" s="69" t="str">
        <x:v>furthest × crushed-soda-can candidates with green pen / airplane toy with propellers / green pencil sharpener references</x:v>
      </x:c>
      <x:c r="H446" s="69" t="str">
        <x:v>No</x:v>
      </x:c>
      <x:c r="I446" s="69" t="str"/>
      <x:c r="J446" s="69" t="str">
        <x:v>crushed Coke can, crushed Pepsi can, airplane toy with propellers, green pen</x:v>
      </x:c>
      <x:c r="K446" s="69" t="str">
        <x:v>crushed Coke can</x:v>
      </x:c>
      <x:c r="L446" s="69" t="str">
        <x:v>Recovery</x:v>
      </x:c>
      <x:c r="M446" s="69" t="str">
        <x:v>Move the crushed soda can lying between the airplane toy with propellers and the green pen into the bowl.</x:v>
      </x:c>
      <x:c r="N446" s="69" t="str">
        <x:v>crushed Coke can, crushed Pepsi can, airplane toy with propellers, green pen</x:v>
      </x:c>
      <x:c r="O446" s="69" t="str">
        <x:v>crushed Coke can</x:v>
      </x:c>
      <x:c r="P446" s="70" t="str">
        <x:v>Between is explicitly grounded in training.</x:v>
      </x:c>
    </x:row>
    <x:row r="447" ht="58" customHeight="1">
      <x:c r="A447" s="100" t="n">
        <x:v>445</x:v>
      </x:c>
      <x:c r="B447" s="69" t="str">
        <x:v>Referential Disambiguation</x:v>
      </x:c>
      <x:c r="C447" s="69" t="str">
        <x:v>Move the crushed soda can lying between the green pencil sharpener and the yellow pen into the bowl.</x:v>
      </x:c>
      <x:c r="D447" s="69" t="str">
        <x:v>Explicit between grounding</x:v>
      </x:c>
      <x:c r="E447" s="69" t="str">
        <x:v>between</x:v>
      </x:c>
      <x:c r="F447" s="69" t="str">
        <x:v>referential_between_explicit</x:v>
      </x:c>
      <x:c r="G447" s="69" t="str">
        <x:v>furthest × crushed-soda-can candidates with green pen / airplane toy with propellers / green pencil sharpener references</x:v>
      </x:c>
      <x:c r="H447" s="69" t="str">
        <x:v>No</x:v>
      </x:c>
      <x:c r="I447" s="69" t="str"/>
      <x:c r="J447" s="69" t="str">
        <x:v>crushed Coke can, crushed Pepsi can, green pencil sharpener, yellow pen</x:v>
      </x:c>
      <x:c r="K447" s="69" t="str">
        <x:v>crushed Pepsi can</x:v>
      </x:c>
      <x:c r="L447" s="69" t="str">
        <x:v>Home</x:v>
      </x:c>
      <x:c r="M447" s="69" t="str">
        <x:v>Move the crushed soda can lying between the green pencil sharpener and the yellow pen into the bowl.</x:v>
      </x:c>
      <x:c r="N447" s="69" t="str">
        <x:v>crushed Coke can, crushed Pepsi can, green pencil sharpener, yellow pen</x:v>
      </x:c>
      <x:c r="O447" s="69" t="str">
        <x:v>crushed Pepsi can</x:v>
      </x:c>
      <x:c r="P447" s="70" t="str">
        <x:v>Between is explicitly grounded in training.</x:v>
      </x:c>
    </x:row>
    <x:row r="448" ht="58" customHeight="1">
      <x:c r="A448" s="100" t="n">
        <x:v>446</x:v>
      </x:c>
      <x:c r="B448" s="69" t="str">
        <x:v>Referential Disambiguation</x:v>
      </x:c>
      <x:c r="C448" s="69" t="str">
        <x:v>Pick up the crushed soda can positioned between the red pencil sharpener and the airplane toy with propellers, then place it in the bowl.</x:v>
      </x:c>
      <x:c r="D448" s="69" t="str">
        <x:v>Explicit between grounding</x:v>
      </x:c>
      <x:c r="E448" s="69" t="str">
        <x:v>between</x:v>
      </x:c>
      <x:c r="F448" s="69" t="str">
        <x:v>referential_between_explicit</x:v>
      </x:c>
      <x:c r="G448" s="69" t="str">
        <x:v>furthest × crushed-soda-can candidates with green pen / airplane toy with propellers / green pencil sharpener references</x:v>
      </x:c>
      <x:c r="H448" s="69" t="str">
        <x:v>No</x:v>
      </x:c>
      <x:c r="I448" s="69" t="str"/>
      <x:c r="J448" s="69" t="str">
        <x:v>crushed Coke can, crushed Pepsi can, red pencil sharpener, airplane toy with propellers</x:v>
      </x:c>
      <x:c r="K448" s="69" t="str">
        <x:v>crushed Pepsi can</x:v>
      </x:c>
      <x:c r="L448" s="69" t="str">
        <x:v>Home</x:v>
      </x:c>
      <x:c r="M448" s="69" t="str">
        <x:v>Pick up the crushed soda can positioned between the red pencil sharpener and the airplane toy with propellers, then place it in the bowl.</x:v>
      </x:c>
      <x:c r="N448" s="69" t="str">
        <x:v>crushed Coke can, crushed Pepsi can, red pencil sharpener, airplane toy with propellers</x:v>
      </x:c>
      <x:c r="O448" s="69" t="str">
        <x:v>crushed Pepsi can</x:v>
      </x:c>
      <x:c r="P448" s="70" t="str">
        <x:v>Between is explicitly grounded in training.</x:v>
      </x:c>
    </x:row>
    <x:row r="449" ht="58" customHeight="1">
      <x:c r="A449" s="100" t="n">
        <x:v>447</x:v>
      </x:c>
      <x:c r="B449" s="69" t="str">
        <x:v>Referential Disambiguation</x:v>
      </x:c>
      <x:c r="C449" s="69" t="str">
        <x:v>Move the crushed soda can lying between the airplane toy without propellers and the yellow pen into the bowl.</x:v>
      </x:c>
      <x:c r="D449" s="69" t="str">
        <x:v>Explicit between grounding</x:v>
      </x:c>
      <x:c r="E449" s="69" t="str">
        <x:v>between</x:v>
      </x:c>
      <x:c r="F449" s="69" t="str">
        <x:v>referential_between_explicit</x:v>
      </x:c>
      <x:c r="G449" s="69" t="str">
        <x:v>furthest × crushed-soda-can candidates with green pen / airplane toy with propellers / green pencil sharpener references</x:v>
      </x:c>
      <x:c r="H449" s="69" t="str">
        <x:v>No</x:v>
      </x:c>
      <x:c r="I449" s="69" t="str"/>
      <x:c r="J449" s="69" t="str">
        <x:v>crushed Coke can, crushed Pepsi can, airplane toy without propellers, yellow pen, green pen</x:v>
      </x:c>
      <x:c r="K449" s="69" t="str">
        <x:v>crushed Pepsi can</x:v>
      </x:c>
      <x:c r="L449" s="69" t="str">
        <x:v>Recovery</x:v>
      </x:c>
      <x:c r="M449" s="69" t="str">
        <x:v>Move the crushed soda can lying between the airplane toy without propellers and the yellow pen into the bowl.</x:v>
      </x:c>
      <x:c r="N449" s="69" t="str">
        <x:v>crushed Coke can, crushed Pepsi can, airplane toy without propellers, yellow pen, green pen</x:v>
      </x:c>
      <x:c r="O449" s="69" t="str">
        <x:v>crushed Pepsi can</x:v>
      </x:c>
      <x:c r="P449" s="70" t="str">
        <x:v>Between is explicitly grounded in training.</x:v>
      </x:c>
    </x:row>
    <x:row r="450" ht="58" customHeight="1">
      <x:c r="A450" s="100" t="n">
        <x:v>448</x:v>
      </x:c>
      <x:c r="B450" s="69" t="str">
        <x:v>Referential Disambiguation</x:v>
      </x:c>
      <x:c r="C450" s="69" t="str">
        <x:v>Put the crushed soda can between the green pen and the red pencil sharpener in the bowl.</x:v>
      </x:c>
      <x:c r="D450" s="69" t="str">
        <x:v>Explicit between grounding</x:v>
      </x:c>
      <x:c r="E450" s="69" t="str">
        <x:v>between</x:v>
      </x:c>
      <x:c r="F450" s="69" t="str">
        <x:v>referential_between_explicit</x:v>
      </x:c>
      <x:c r="G450" s="69" t="str">
        <x:v>furthest × crushed-soda-can candidates with green pen / airplane toy with propellers / green pencil sharpener references</x:v>
      </x:c>
      <x:c r="H450" s="69" t="str">
        <x:v>No</x:v>
      </x:c>
      <x:c r="I450" s="69" t="str"/>
      <x:c r="J450" s="69" t="str">
        <x:v>crushed Coke can, crushed Pepsi can, green pen, red pencil sharpener</x:v>
      </x:c>
      <x:c r="K450" s="69" t="str">
        <x:v>crushed Coke can</x:v>
      </x:c>
      <x:c r="L450" s="69" t="str">
        <x:v>Home</x:v>
      </x:c>
      <x:c r="M450" s="69" t="str">
        <x:v>Put the crushed soda can between the green pen and the red pencil sharpener in the bowl.</x:v>
      </x:c>
      <x:c r="N450" s="69" t="str">
        <x:v>crushed Coke can, crushed Pepsi can, green pen, red pencil sharpener</x:v>
      </x:c>
      <x:c r="O450" s="69" t="str">
        <x:v>crushed Coke can</x:v>
      </x:c>
      <x:c r="P450" s="70" t="str">
        <x:v>Between is explicitly grounded in training.</x:v>
      </x:c>
    </x:row>
    <x:row r="451" ht="58" customHeight="1">
      <x:c r="A451" s="100" t="n">
        <x:v>449</x:v>
      </x:c>
      <x:c r="B451" s="69" t="str">
        <x:v>Referential Disambiguation</x:v>
      </x:c>
      <x:c r="C451" s="69" t="str">
        <x:v>Pick up the crushed soda can positioned between the red pencil sharpener and the airplane toy without propellers, then place it in the bowl.</x:v>
      </x:c>
      <x:c r="D451" s="69" t="str">
        <x:v>Explicit between grounding</x:v>
      </x:c>
      <x:c r="E451" s="69" t="str">
        <x:v>between</x:v>
      </x:c>
      <x:c r="F451" s="69" t="str">
        <x:v>referential_between_explicit</x:v>
      </x:c>
      <x:c r="G451" s="69" t="str">
        <x:v>furthest × crushed-soda-can candidates with green pen / airplane toy with propellers / green pencil sharpener references</x:v>
      </x:c>
      <x:c r="H451" s="69" t="str">
        <x:v>No</x:v>
      </x:c>
      <x:c r="I451" s="69" t="str"/>
      <x:c r="J451" s="69" t="str">
        <x:v>crushed Coke can, crushed Pepsi can, red pencil sharpener, airplane toy without propellers, yellow pen</x:v>
      </x:c>
      <x:c r="K451" s="69" t="str">
        <x:v>crushed Coke can</x:v>
      </x:c>
      <x:c r="L451" s="69" t="str">
        <x:v>Home</x:v>
      </x:c>
      <x:c r="M451" s="69" t="str">
        <x:v>Pick up the crushed soda can positioned between the red pencil sharpener and the airplane toy without propellers, then place it in the bowl.</x:v>
      </x:c>
      <x:c r="N451" s="69" t="str">
        <x:v>crushed Coke can, crushed Pepsi can, red pencil sharpener, airplane toy without propellers, yellow pen</x:v>
      </x:c>
      <x:c r="O451" s="69" t="str">
        <x:v>crushed Coke can</x:v>
      </x:c>
      <x:c r="P451" s="70" t="str">
        <x:v>Between is explicitly grounded in training.</x:v>
      </x:c>
    </x:row>
    <x:row r="452" ht="58" customHeight="1">
      <x:c r="A452" s="100" t="n">
        <x:v>450</x:v>
      </x:c>
      <x:c r="B452" s="69" t="str">
        <x:v>Referential Disambiguation</x:v>
      </x:c>
      <x:c r="C452" s="69" t="str">
        <x:v>Pick up the pencil sharpener nearest to the crushed Coke can and place it in the bowl.</x:v>
      </x:c>
      <x:c r="D452" s="69" t="str">
        <x:v>Explicit closest grounding</x:v>
      </x:c>
      <x:c r="E452" s="69" t="str">
        <x:v>closest</x:v>
      </x:c>
      <x:c r="F452" s="69" t="str">
        <x:v>referential_closest_explicit</x:v>
      </x:c>
      <x:c r="G452" s="69" t="str">
        <x:v>furthest × pencil-sharpener candidates with yellow pen / airplane toy without propellers / crushed Pepsi can references</x:v>
      </x:c>
      <x:c r="H452" s="69" t="str">
        <x:v>No</x:v>
      </x:c>
      <x:c r="I452" s="69" t="str"/>
      <x:c r="J452" s="69" t="str">
        <x:v>green pencil sharpener, red pencil sharpener, crushed Coke can</x:v>
      </x:c>
      <x:c r="K452" s="69" t="str">
        <x:v>green pencil sharpener</x:v>
      </x:c>
      <x:c r="L452" s="69" t="str">
        <x:v>Home</x:v>
      </x:c>
      <x:c r="M452" s="69" t="str">
        <x:v>Pick up the pencil sharpener nearest to the crushed Coke can and place it in the bowl.</x:v>
      </x:c>
      <x:c r="N452" s="69" t="str">
        <x:v>green pencil sharpener, red pencil sharpener, crushed Coke can</x:v>
      </x:c>
      <x:c r="O452" s="69" t="str">
        <x:v>green pencil sharpener</x:v>
      </x:c>
      <x:c r="P452" s="70" t="str">
        <x:v>Closest is explicitly grounded in training.</x:v>
      </x:c>
    </x:row>
    <x:row r="453" ht="58" customHeight="1">
      <x:c r="A453" s="100" t="n">
        <x:v>451</x:v>
      </x:c>
      <x:c r="B453" s="69" t="str">
        <x:v>Referential Disambiguation</x:v>
      </x:c>
      <x:c r="C453" s="69" t="str">
        <x:v>Move the pencil sharpener that is closest to the crushed Pepsi can into the bowl.</x:v>
      </x:c>
      <x:c r="D453" s="69" t="str">
        <x:v>Explicit closest grounding</x:v>
      </x:c>
      <x:c r="E453" s="69" t="str">
        <x:v>closest</x:v>
      </x:c>
      <x:c r="F453" s="69" t="str">
        <x:v>referential_closest_explicit</x:v>
      </x:c>
      <x:c r="G453" s="69" t="str">
        <x:v>furthest × pencil-sharpener candidates with yellow pen / airplane toy without propellers / crushed Pepsi can references</x:v>
      </x:c>
      <x:c r="H453" s="69" t="str">
        <x:v>No</x:v>
      </x:c>
      <x:c r="I453" s="69" t="str"/>
      <x:c r="J453" s="69" t="str">
        <x:v>green pencil sharpener, red pencil sharpener, crushed Pepsi can, airplane toy with propellers</x:v>
      </x:c>
      <x:c r="K453" s="69" t="str">
        <x:v>red pencil sharpener</x:v>
      </x:c>
      <x:c r="L453" s="69" t="str">
        <x:v>Home</x:v>
      </x:c>
      <x:c r="M453" s="69" t="str">
        <x:v>Move the pencil sharpener that is closest to the crushed Pepsi can into the bowl.</x:v>
      </x:c>
      <x:c r="N453" s="69" t="str">
        <x:v>green pencil sharpener, red pencil sharpener, crushed Pepsi can, airplane toy with propellers</x:v>
      </x:c>
      <x:c r="O453" s="69" t="str">
        <x:v>red pencil sharpener</x:v>
      </x:c>
      <x:c r="P453" s="70" t="str">
        <x:v>Closest is explicitly grounded in training.</x:v>
      </x:c>
    </x:row>
    <x:row r="454" ht="58" customHeight="1">
      <x:c r="A454" s="100" t="n">
        <x:v>452</x:v>
      </x:c>
      <x:c r="B454" s="69" t="str">
        <x:v>Referential Disambiguation</x:v>
      </x:c>
      <x:c r="C454" s="69" t="str">
        <x:v>Move the pencil sharpener that is closest to the green pen into the bowl.</x:v>
      </x:c>
      <x:c r="D454" s="69" t="str">
        <x:v>Explicit closest grounding</x:v>
      </x:c>
      <x:c r="E454" s="69" t="str">
        <x:v>closest</x:v>
      </x:c>
      <x:c r="F454" s="69" t="str">
        <x:v>referential_closest_explicit</x:v>
      </x:c>
      <x:c r="G454" s="69" t="str">
        <x:v>furthest × pencil-sharpener candidates with yellow pen / airplane toy without propellers / crushed Pepsi can references</x:v>
      </x:c>
      <x:c r="H454" s="69" t="str">
        <x:v>No</x:v>
      </x:c>
      <x:c r="I454" s="69" t="str"/>
      <x:c r="J454" s="69" t="str">
        <x:v>green pencil sharpener, red pencil sharpener, green pen</x:v>
      </x:c>
      <x:c r="K454" s="69" t="str">
        <x:v>green pencil sharpener</x:v>
      </x:c>
      <x:c r="L454" s="69" t="str">
        <x:v>Home</x:v>
      </x:c>
      <x:c r="M454" s="69" t="str">
        <x:v>Move the pencil sharpener that is closest to the green pen into the bowl.</x:v>
      </x:c>
      <x:c r="N454" s="69" t="str">
        <x:v>green pencil sharpener, red pencil sharpener, green pen</x:v>
      </x:c>
      <x:c r="O454" s="69" t="str">
        <x:v>green pencil sharpener</x:v>
      </x:c>
      <x:c r="P454" s="70" t="str">
        <x:v>Closest is explicitly grounded in training.</x:v>
      </x:c>
    </x:row>
    <x:row r="455" ht="58" customHeight="1">
      <x:c r="A455" s="100" t="n">
        <x:v>453</x:v>
      </x:c>
      <x:c r="B455" s="69" t="str">
        <x:v>Referential Disambiguation</x:v>
      </x:c>
      <x:c r="C455" s="69" t="str">
        <x:v>Put the pencil sharpener closest to the yellow pen in the bowl.</x:v>
      </x:c>
      <x:c r="D455" s="69" t="str">
        <x:v>Explicit closest grounding</x:v>
      </x:c>
      <x:c r="E455" s="69" t="str">
        <x:v>closest</x:v>
      </x:c>
      <x:c r="F455" s="69" t="str">
        <x:v>referential_closest_explicit</x:v>
      </x:c>
      <x:c r="G455" s="69" t="str">
        <x:v>furthest × pencil-sharpener candidates with yellow pen / airplane toy without propellers / crushed Pepsi can references</x:v>
      </x:c>
      <x:c r="H455" s="69" t="str">
        <x:v>No</x:v>
      </x:c>
      <x:c r="I455" s="69" t="str"/>
      <x:c r="J455" s="69" t="str">
        <x:v>green pencil sharpener, red pencil sharpener, yellow pen, crushed Coke can</x:v>
      </x:c>
      <x:c r="K455" s="69" t="str">
        <x:v>red pencil sharpener</x:v>
      </x:c>
      <x:c r="L455" s="69" t="str">
        <x:v>Home</x:v>
      </x:c>
      <x:c r="M455" s="69" t="str">
        <x:v>Put the pencil sharpener closest to the yellow pen in the bowl.</x:v>
      </x:c>
      <x:c r="N455" s="69" t="str">
        <x:v>green pencil sharpener, red pencil sharpener, yellow pen, crushed Coke can</x:v>
      </x:c>
      <x:c r="O455" s="69" t="str">
        <x:v>red pencil sharpener</x:v>
      </x:c>
      <x:c r="P455" s="70" t="str">
        <x:v>Closest is explicitly grounded in training.</x:v>
      </x:c>
    </x:row>
    <x:row r="456" ht="58" customHeight="1">
      <x:c r="A456" s="100" t="n">
        <x:v>454</x:v>
      </x:c>
      <x:c r="B456" s="69" t="str">
        <x:v>Referential Disambiguation</x:v>
      </x:c>
      <x:c r="C456" s="69" t="str">
        <x:v>Put the pencil sharpener closest to the airplane toy with propellers in the bowl.</x:v>
      </x:c>
      <x:c r="D456" s="69" t="str">
        <x:v>Explicit closest grounding</x:v>
      </x:c>
      <x:c r="E456" s="69" t="str">
        <x:v>closest</x:v>
      </x:c>
      <x:c r="F456" s="69" t="str">
        <x:v>referential_closest_explicit</x:v>
      </x:c>
      <x:c r="G456" s="69" t="str">
        <x:v>furthest × pencil-sharpener candidates with yellow pen / airplane toy without propellers / crushed Pepsi can references</x:v>
      </x:c>
      <x:c r="H456" s="69" t="str">
        <x:v>No</x:v>
      </x:c>
      <x:c r="I456" s="69" t="str"/>
      <x:c r="J456" s="69" t="str">
        <x:v>green pencil sharpener, red pencil sharpener, airplane toy with propellers</x:v>
      </x:c>
      <x:c r="K456" s="69" t="str">
        <x:v>green pencil sharpener</x:v>
      </x:c>
      <x:c r="L456" s="69" t="str">
        <x:v>Recovery</x:v>
      </x:c>
      <x:c r="M456" s="69" t="str">
        <x:v>Put the pencil sharpener closest to the airplane toy with propellers in the bowl.</x:v>
      </x:c>
      <x:c r="N456" s="69" t="str">
        <x:v>green pencil sharpener, red pencil sharpener, airplane toy with propellers</x:v>
      </x:c>
      <x:c r="O456" s="69" t="str">
        <x:v>green pencil sharpener</x:v>
      </x:c>
      <x:c r="P456" s="70" t="str">
        <x:v>Closest is explicitly grounded in training.</x:v>
      </x:c>
    </x:row>
    <x:row r="457" ht="58" customHeight="1">
      <x:c r="A457" s="100" t="n">
        <x:v>455</x:v>
      </x:c>
      <x:c r="B457" s="69" t="str">
        <x:v>Referential Disambiguation</x:v>
      </x:c>
      <x:c r="C457" s="69" t="str">
        <x:v>Move the pencil sharpener that is closest to the airplane toy without propellers into the bowl.</x:v>
      </x:c>
      <x:c r="D457" s="69" t="str">
        <x:v>Explicit closest grounding</x:v>
      </x:c>
      <x:c r="E457" s="69" t="str">
        <x:v>closest</x:v>
      </x:c>
      <x:c r="F457" s="69" t="str">
        <x:v>referential_closest_explicit</x:v>
      </x:c>
      <x:c r="G457" s="69" t="str">
        <x:v>furthest × pencil-sharpener candidates with yellow pen / airplane toy without propellers / crushed Pepsi can references</x:v>
      </x:c>
      <x:c r="H457" s="69" t="str">
        <x:v>No</x:v>
      </x:c>
      <x:c r="I457" s="69" t="str"/>
      <x:c r="J457" s="69" t="str">
        <x:v>green pencil sharpener, red pencil sharpener, airplane toy without propellers, green pen</x:v>
      </x:c>
      <x:c r="K457" s="69" t="str">
        <x:v>red pencil sharpener</x:v>
      </x:c>
      <x:c r="L457" s="69" t="str">
        <x:v>Home</x:v>
      </x:c>
      <x:c r="M457" s="69" t="str">
        <x:v>Move the pencil sharpener that is closest to the airplane toy without propellers into the bowl.</x:v>
      </x:c>
      <x:c r="N457" s="69" t="str">
        <x:v>green pencil sharpener, red pencil sharpener, airplane toy without propellers, green pen</x:v>
      </x:c>
      <x:c r="O457" s="69" t="str">
        <x:v>red pencil sharpener</x:v>
      </x:c>
      <x:c r="P457" s="70" t="str">
        <x:v>Closest is explicitly grounded in training.</x:v>
      </x:c>
    </x:row>
    <x:row r="458" ht="58" customHeight="1">
      <x:c r="A458" s="100" t="n">
        <x:v>456</x:v>
      </x:c>
      <x:c r="B458" s="69" t="str">
        <x:v>Referential Disambiguation</x:v>
      </x:c>
      <x:c r="C458" s="69" t="str">
        <x:v>Move the pencil sharpener that is closest to the crushed Coke can into the bowl.</x:v>
      </x:c>
      <x:c r="D458" s="69" t="str">
        <x:v>Explicit closest grounding</x:v>
      </x:c>
      <x:c r="E458" s="69" t="str">
        <x:v>closest</x:v>
      </x:c>
      <x:c r="F458" s="69" t="str">
        <x:v>referential_closest_explicit</x:v>
      </x:c>
      <x:c r="G458" s="69" t="str">
        <x:v>furthest × pencil-sharpener candidates with yellow pen / airplane toy without propellers / crushed Pepsi can references</x:v>
      </x:c>
      <x:c r="H458" s="69" t="str">
        <x:v>No</x:v>
      </x:c>
      <x:c r="I458" s="69" t="str"/>
      <x:c r="J458" s="69" t="str">
        <x:v>green pencil sharpener, red pencil sharpener, crushed Coke can</x:v>
      </x:c>
      <x:c r="K458" s="69" t="str">
        <x:v>green pencil sharpener</x:v>
      </x:c>
      <x:c r="L458" s="69" t="str">
        <x:v>Home</x:v>
      </x:c>
      <x:c r="M458" s="69" t="str">
        <x:v>Move the pencil sharpener that is closest to the crushed Coke can into the bowl.</x:v>
      </x:c>
      <x:c r="N458" s="69" t="str">
        <x:v>green pencil sharpener, red pencil sharpener, crushed Coke can</x:v>
      </x:c>
      <x:c r="O458" s="69" t="str">
        <x:v>green pencil sharpener</x:v>
      </x:c>
      <x:c r="P458" s="70" t="str">
        <x:v>Closest is explicitly grounded in training.</x:v>
      </x:c>
    </x:row>
    <x:row r="459" ht="58" customHeight="1">
      <x:c r="A459" s="100" t="n">
        <x:v>457</x:v>
      </x:c>
      <x:c r="B459" s="69" t="str">
        <x:v>Referential Disambiguation</x:v>
      </x:c>
      <x:c r="C459" s="69" t="str">
        <x:v>Put the pencil sharpener closest to the crushed Pepsi can in the bowl.</x:v>
      </x:c>
      <x:c r="D459" s="69" t="str">
        <x:v>Explicit closest grounding</x:v>
      </x:c>
      <x:c r="E459" s="69" t="str">
        <x:v>closest</x:v>
      </x:c>
      <x:c r="F459" s="69" t="str">
        <x:v>referential_closest_explicit</x:v>
      </x:c>
      <x:c r="G459" s="69" t="str">
        <x:v>furthest × pencil-sharpener candidates with yellow pen / airplane toy without propellers / crushed Pepsi can references</x:v>
      </x:c>
      <x:c r="H459" s="69" t="str">
        <x:v>No</x:v>
      </x:c>
      <x:c r="I459" s="69" t="str"/>
      <x:c r="J459" s="69" t="str">
        <x:v>green pencil sharpener, red pencil sharpener, crushed Pepsi can, crushed Coke can</x:v>
      </x:c>
      <x:c r="K459" s="69" t="str">
        <x:v>red pencil sharpener</x:v>
      </x:c>
      <x:c r="L459" s="69" t="str">
        <x:v>Home</x:v>
      </x:c>
      <x:c r="M459" s="69" t="str">
        <x:v>Put the pencil sharpener closest to the crushed Pepsi can in the bowl.</x:v>
      </x:c>
      <x:c r="N459" s="69" t="str">
        <x:v>green pencil sharpener, red pencil sharpener, crushed Pepsi can, crushed Coke can</x:v>
      </x:c>
      <x:c r="O459" s="69" t="str">
        <x:v>red pencil sharpener</x:v>
      </x:c>
      <x:c r="P459" s="70" t="str">
        <x:v>Closest is explicitly grounded in training.</x:v>
      </x:c>
    </x:row>
    <x:row r="460" ht="58" customHeight="1">
      <x:c r="A460" s="100" t="n">
        <x:v>458</x:v>
      </x:c>
      <x:c r="B460" s="69" t="str">
        <x:v>Referential Disambiguation</x:v>
      </x:c>
      <x:c r="C460" s="69" t="str">
        <x:v>Move the pencil sharpener that is closest to the green pen into the bowl.</x:v>
      </x:c>
      <x:c r="D460" s="69" t="str">
        <x:v>Explicit closest grounding</x:v>
      </x:c>
      <x:c r="E460" s="69" t="str">
        <x:v>closest</x:v>
      </x:c>
      <x:c r="F460" s="69" t="str">
        <x:v>referential_closest_explicit</x:v>
      </x:c>
      <x:c r="G460" s="69" t="str">
        <x:v>furthest × pencil-sharpener candidates with yellow pen / airplane toy without propellers / crushed Pepsi can references</x:v>
      </x:c>
      <x:c r="H460" s="69" t="str">
        <x:v>No</x:v>
      </x:c>
      <x:c r="I460" s="69" t="str"/>
      <x:c r="J460" s="69" t="str">
        <x:v>green pencil sharpener, red pencil sharpener, green pen</x:v>
      </x:c>
      <x:c r="K460" s="69" t="str">
        <x:v>green pencil sharpener</x:v>
      </x:c>
      <x:c r="L460" s="69" t="str">
        <x:v>Home</x:v>
      </x:c>
      <x:c r="M460" s="69" t="str">
        <x:v>Move the pencil sharpener that is closest to the green pen into the bowl.</x:v>
      </x:c>
      <x:c r="N460" s="69" t="str">
        <x:v>green pencil sharpener, red pencil sharpener, green pen</x:v>
      </x:c>
      <x:c r="O460" s="69" t="str">
        <x:v>green pencil sharpener</x:v>
      </x:c>
      <x:c r="P460" s="70" t="str">
        <x:v>Closest is explicitly grounded in training.</x:v>
      </x:c>
    </x:row>
    <x:row r="461" ht="58" customHeight="1">
      <x:c r="A461" s="100" t="n">
        <x:v>459</x:v>
      </x:c>
      <x:c r="B461" s="69" t="str">
        <x:v>Referential Disambiguation</x:v>
      </x:c>
      <x:c r="C461" s="69" t="str">
        <x:v>Put the pencil sharpener closest to the yellow pen in the bowl.</x:v>
      </x:c>
      <x:c r="D461" s="69" t="str">
        <x:v>Explicit closest grounding</x:v>
      </x:c>
      <x:c r="E461" s="69" t="str">
        <x:v>closest</x:v>
      </x:c>
      <x:c r="F461" s="69" t="str">
        <x:v>referential_closest_explicit</x:v>
      </x:c>
      <x:c r="G461" s="69" t="str">
        <x:v>furthest × pencil-sharpener candidates with yellow pen / airplane toy without propellers / crushed Pepsi can references</x:v>
      </x:c>
      <x:c r="H461" s="69" t="str">
        <x:v>No</x:v>
      </x:c>
      <x:c r="I461" s="69" t="str"/>
      <x:c r="J461" s="69" t="str">
        <x:v>green pencil sharpener, red pencil sharpener, yellow pen, airplane toy with propellers</x:v>
      </x:c>
      <x:c r="K461" s="69" t="str">
        <x:v>red pencil sharpener</x:v>
      </x:c>
      <x:c r="L461" s="69" t="str">
        <x:v>Recovery</x:v>
      </x:c>
      <x:c r="M461" s="69" t="str">
        <x:v>Put the pencil sharpener closest to the yellow pen in the bowl.</x:v>
      </x:c>
      <x:c r="N461" s="69" t="str">
        <x:v>green pencil sharpener, red pencil sharpener, yellow pen, airplane toy with propellers</x:v>
      </x:c>
      <x:c r="O461" s="69" t="str">
        <x:v>red pencil sharpener</x:v>
      </x:c>
      <x:c r="P461" s="70" t="str">
        <x:v>Closest is explicitly grounded in training.</x:v>
      </x:c>
    </x:row>
    <x:row r="462" ht="58" customHeight="1">
      <x:c r="A462" s="100" t="n">
        <x:v>460</x:v>
      </x:c>
      <x:c r="B462" s="69" t="str">
        <x:v>Referential Disambiguation</x:v>
      </x:c>
      <x:c r="C462" s="69" t="str">
        <x:v>Pick up the pencil sharpener nearest to the airplane toy with propellers and place it in the bowl.</x:v>
      </x:c>
      <x:c r="D462" s="69" t="str">
        <x:v>Explicit closest grounding</x:v>
      </x:c>
      <x:c r="E462" s="69" t="str">
        <x:v>closest</x:v>
      </x:c>
      <x:c r="F462" s="69" t="str">
        <x:v>referential_closest_explicit</x:v>
      </x:c>
      <x:c r="G462" s="69" t="str">
        <x:v>furthest × pencil-sharpener candidates with yellow pen / airplane toy without propellers / crushed Pepsi can references</x:v>
      </x:c>
      <x:c r="H462" s="69" t="str">
        <x:v>No</x:v>
      </x:c>
      <x:c r="I462" s="69" t="str"/>
      <x:c r="J462" s="69" t="str">
        <x:v>green pencil sharpener, red pencil sharpener, airplane toy with propellers</x:v>
      </x:c>
      <x:c r="K462" s="69" t="str">
        <x:v>green pencil sharpener</x:v>
      </x:c>
      <x:c r="L462" s="69" t="str">
        <x:v>Home</x:v>
      </x:c>
      <x:c r="M462" s="69" t="str">
        <x:v>Pick up the pencil sharpener nearest to the airplane toy with propellers and place it in the bowl.</x:v>
      </x:c>
      <x:c r="N462" s="69" t="str">
        <x:v>green pencil sharpener, red pencil sharpener, airplane toy with propellers</x:v>
      </x:c>
      <x:c r="O462" s="69" t="str">
        <x:v>green pencil sharpener</x:v>
      </x:c>
      <x:c r="P462" s="70" t="str">
        <x:v>Closest is explicitly grounded in training.</x:v>
      </x:c>
    </x:row>
    <x:row r="463" ht="58" customHeight="1">
      <x:c r="A463" s="100" t="n">
        <x:v>461</x:v>
      </x:c>
      <x:c r="B463" s="69" t="str">
        <x:v>Referential Disambiguation</x:v>
      </x:c>
      <x:c r="C463" s="69" t="str">
        <x:v>Pick up the pencil sharpener nearest to the airplane toy without propellers and place it in the bowl.</x:v>
      </x:c>
      <x:c r="D463" s="69" t="str">
        <x:v>Explicit closest grounding</x:v>
      </x:c>
      <x:c r="E463" s="69" t="str">
        <x:v>closest</x:v>
      </x:c>
      <x:c r="F463" s="69" t="str">
        <x:v>referential_closest_explicit</x:v>
      </x:c>
      <x:c r="G463" s="69" t="str">
        <x:v>furthest × pencil-sharpener candidates with yellow pen / airplane toy without propellers / crushed Pepsi can references</x:v>
      </x:c>
      <x:c r="H463" s="69" t="str">
        <x:v>No</x:v>
      </x:c>
      <x:c r="I463" s="69" t="str"/>
      <x:c r="J463" s="69" t="str">
        <x:v>green pencil sharpener, red pencil sharpener, airplane toy without propellers, crushed Coke can</x:v>
      </x:c>
      <x:c r="K463" s="69" t="str">
        <x:v>red pencil sharpener</x:v>
      </x:c>
      <x:c r="L463" s="69" t="str">
        <x:v>Home</x:v>
      </x:c>
      <x:c r="M463" s="69" t="str">
        <x:v>Pick up the pencil sharpener nearest to the airplane toy without propellers and place it in the bowl.</x:v>
      </x:c>
      <x:c r="N463" s="69" t="str">
        <x:v>green pencil sharpener, red pencil sharpener, airplane toy without propellers, crushed Coke can</x:v>
      </x:c>
      <x:c r="O463" s="69" t="str">
        <x:v>red pencil sharpener</x:v>
      </x:c>
      <x:c r="P463" s="70" t="str">
        <x:v>Closest is explicitly grounded in training.</x:v>
      </x:c>
    </x:row>
    <x:row r="464" ht="58" customHeight="1">
      <x:c r="A464" s="100" t="n">
        <x:v>462</x:v>
      </x:c>
      <x:c r="B464" s="69" t="str">
        <x:v>Referential Disambiguation</x:v>
      </x:c>
      <x:c r="C464" s="69" t="str">
        <x:v>Put the pencil sharpener closest to the crushed Coke can in the bowl.</x:v>
      </x:c>
      <x:c r="D464" s="69" t="str">
        <x:v>Explicit closest grounding</x:v>
      </x:c>
      <x:c r="E464" s="69" t="str">
        <x:v>closest</x:v>
      </x:c>
      <x:c r="F464" s="69" t="str">
        <x:v>referential_closest_explicit</x:v>
      </x:c>
      <x:c r="G464" s="69" t="str">
        <x:v>furthest × pencil-sharpener candidates with yellow pen / airplane toy without propellers / crushed Pepsi can references</x:v>
      </x:c>
      <x:c r="H464" s="69" t="str">
        <x:v>No</x:v>
      </x:c>
      <x:c r="I464" s="69" t="str"/>
      <x:c r="J464" s="69" t="str">
        <x:v>green pencil sharpener, red pencil sharpener, crushed Coke can</x:v>
      </x:c>
      <x:c r="K464" s="69" t="str">
        <x:v>green pencil sharpener</x:v>
      </x:c>
      <x:c r="L464" s="69" t="str">
        <x:v>Home</x:v>
      </x:c>
      <x:c r="M464" s="69" t="str">
        <x:v>Put the pencil sharpener closest to the crushed Coke can in the bowl.</x:v>
      </x:c>
      <x:c r="N464" s="69" t="str">
        <x:v>green pencil sharpener, red pencil sharpener, crushed Coke can</x:v>
      </x:c>
      <x:c r="O464" s="69" t="str">
        <x:v>green pencil sharpener</x:v>
      </x:c>
      <x:c r="P464" s="70" t="str">
        <x:v>Closest is explicitly grounded in training.</x:v>
      </x:c>
    </x:row>
    <x:row r="465" ht="58" customHeight="1">
      <x:c r="A465" s="100" t="n">
        <x:v>463</x:v>
      </x:c>
      <x:c r="B465" s="69" t="str">
        <x:v>Referential Disambiguation</x:v>
      </x:c>
      <x:c r="C465" s="69" t="str">
        <x:v>Pick up the pencil sharpener nearest to the crushed Pepsi can and place it in the bowl.</x:v>
      </x:c>
      <x:c r="D465" s="69" t="str">
        <x:v>Explicit closest grounding</x:v>
      </x:c>
      <x:c r="E465" s="69" t="str">
        <x:v>closest</x:v>
      </x:c>
      <x:c r="F465" s="69" t="str">
        <x:v>referential_closest_explicit</x:v>
      </x:c>
      <x:c r="G465" s="69" t="str">
        <x:v>furthest × pencil-sharpener candidates with yellow pen / airplane toy without propellers / crushed Pepsi can references</x:v>
      </x:c>
      <x:c r="H465" s="69" t="str">
        <x:v>No</x:v>
      </x:c>
      <x:c r="I465" s="69" t="str"/>
      <x:c r="J465" s="69" t="str">
        <x:v>green pencil sharpener, red pencil sharpener, crushed Pepsi can, airplane toy with propellers</x:v>
      </x:c>
      <x:c r="K465" s="69" t="str">
        <x:v>red pencil sharpener</x:v>
      </x:c>
      <x:c r="L465" s="69" t="str">
        <x:v>Home</x:v>
      </x:c>
      <x:c r="M465" s="69" t="str">
        <x:v>Pick up the pencil sharpener nearest to the crushed Pepsi can and place it in the bowl.</x:v>
      </x:c>
      <x:c r="N465" s="69" t="str">
        <x:v>green pencil sharpener, red pencil sharpener, crushed Pepsi can, airplane toy with propellers</x:v>
      </x:c>
      <x:c r="O465" s="69" t="str">
        <x:v>red pencil sharpener</x:v>
      </x:c>
      <x:c r="P465" s="70" t="str">
        <x:v>Closest is explicitly grounded in training.</x:v>
      </x:c>
    </x:row>
    <x:row r="466" ht="58" customHeight="1">
      <x:c r="A466" s="100" t="n">
        <x:v>464</x:v>
      </x:c>
      <x:c r="B466" s="69" t="str">
        <x:v>Referential Disambiguation</x:v>
      </x:c>
      <x:c r="C466" s="69" t="str">
        <x:v>Move the pencil sharpener that is closest to the green pen into the bowl.</x:v>
      </x:c>
      <x:c r="D466" s="69" t="str">
        <x:v>Explicit closest grounding</x:v>
      </x:c>
      <x:c r="E466" s="69" t="str">
        <x:v>closest</x:v>
      </x:c>
      <x:c r="F466" s="69" t="str">
        <x:v>referential_closest_explicit</x:v>
      </x:c>
      <x:c r="G466" s="69" t="str">
        <x:v>furthest × pencil-sharpener candidates with yellow pen / airplane toy without propellers / crushed Pepsi can references</x:v>
      </x:c>
      <x:c r="H466" s="69" t="str">
        <x:v>No</x:v>
      </x:c>
      <x:c r="I466" s="69" t="str"/>
      <x:c r="J466" s="69" t="str">
        <x:v>green pencil sharpener, red pencil sharpener, green pen, yellow pen</x:v>
      </x:c>
      <x:c r="K466" s="69" t="str">
        <x:v>green pencil sharpener</x:v>
      </x:c>
      <x:c r="L466" s="69" t="str">
        <x:v>Recovery</x:v>
      </x:c>
      <x:c r="M466" s="69" t="str">
        <x:v>Move the pencil sharpener that is closest to the green pen into the bowl.</x:v>
      </x:c>
      <x:c r="N466" s="69" t="str">
        <x:v>green pencil sharpener, red pencil sharpener, green pen, yellow pen</x:v>
      </x:c>
      <x:c r="O466" s="69" t="str">
        <x:v>green pencil sharpener</x:v>
      </x:c>
      <x:c r="P466" s="70" t="str">
        <x:v>Closest is explicitly grounded in training.</x:v>
      </x:c>
    </x:row>
    <x:row r="467" ht="58" customHeight="1">
      <x:c r="A467" s="100" t="n">
        <x:v>465</x:v>
      </x:c>
      <x:c r="B467" s="69" t="str">
        <x:v>Referential Disambiguation</x:v>
      </x:c>
      <x:c r="C467" s="69" t="str">
        <x:v>Pick up the pencil sharpener furthest from the green pen and place it in the bowl.</x:v>
      </x:c>
      <x:c r="D467" s="69" t="str">
        <x:v>Explicit furthest grounding</x:v>
      </x:c>
      <x:c r="E467" s="69" t="str">
        <x:v>furthest with pencil sharpener candidates; reference=green pen</x:v>
      </x:c>
      <x:c r="F467" s="69" t="str">
        <x:v>referential_furthest_explicit</x:v>
      </x:c>
      <x:c r="G467" s="69" t="str">
        <x:v>furthest × pencil-sharpener candidates with yellow pen / airplane toy without propellers / crushed Pepsi can references</x:v>
      </x:c>
      <x:c r="H467" s="69" t="str">
        <x:v>Yes</x:v>
      </x:c>
      <x:c r="I467" s="69" t="str">
        <x:v>recollect referential scene</x:v>
      </x:c>
      <x:c r="J467" s="69" t="str">
        <x:v>P1 green pen at table centre [REFERENCE]; P2 green pencil sharpener with 6 cm edge gap to the left of P1 [CLOSE CANDIDATE]; P3 red pencil sharpener with 20 cm edge gap to the right of P1 [FAR TARGET]</x:v>
      </x:c>
      <x:c r="K467" s="69" t="str">
        <x:v>red pencil sharpener</x:v>
      </x:c>
      <x:c r="L467" s="69" t="str">
        <x:v>Home</x:v>
      </x:c>
      <x:c r="M467" s="69" t="str">
        <x:v>Pick up the red pencil sharpener and place it in the bowl.</x:v>
      </x:c>
      <x:c r="N467" s="69" t="str">
        <x:v>green pencil sharpener, red pencil sharpener, green pen</x:v>
      </x:c>
      <x:c r="O467" s="69" t="str">
        <x:v>red pencil sharpener</x:v>
      </x:c>
      <x:c r="P467" s="70" t="str">
        <x:v>New discriminative grounding for the word furthest, using a candidate-category/reference pairing excluded from the primary evaluation.</x:v>
      </x:c>
    </x:row>
    <x:row r="468" ht="58" customHeight="1">
      <x:c r="A468" s="100" t="n">
        <x:v>466</x:v>
      </x:c>
      <x:c r="B468" s="69" t="str">
        <x:v>Referential Disambiguation</x:v>
      </x:c>
      <x:c r="C468" s="69" t="str">
        <x:v>Move the pencil sharpener furthest from the airplane toy with propellers into the bowl.</x:v>
      </x:c>
      <x:c r="D468" s="69" t="str">
        <x:v>Explicit furthest grounding</x:v>
      </x:c>
      <x:c r="E468" s="69" t="str">
        <x:v>furthest with pencil sharpener candidates; reference=airplane toy with propellers</x:v>
      </x:c>
      <x:c r="F468" s="69" t="str">
        <x:v>referential_furthest_explicit</x:v>
      </x:c>
      <x:c r="G468" s="69" t="str">
        <x:v>furthest × pencil-sharpener candidates with yellow pen / airplane toy without propellers / crushed Pepsi can references</x:v>
      </x:c>
      <x:c r="H468" s="69" t="str">
        <x:v>Yes</x:v>
      </x:c>
      <x:c r="I468" s="69" t="str">
        <x:v>recollect referential scene</x:v>
      </x:c>
      <x:c r="J468" s="69" t="str">
        <x:v>P1 airplane toy with propellers at table centre [REFERENCE]; P2 red pencil sharpener with 6 cm edge gap to the right of P1 [CLOSE CANDIDATE]; P3 green pencil sharpener with 20 cm edge gap to the left of P1 [FAR TARGET]; P4 pink marker 14 cm from P1 [DISTRACTOR]</x:v>
      </x:c>
      <x:c r="K468" s="69" t="str">
        <x:v>green pencil sharpener</x:v>
      </x:c>
      <x:c r="L468" s="69" t="str">
        <x:v>Home</x:v>
      </x:c>
      <x:c r="M468" s="69" t="str">
        <x:v>Move the green pencil sharpener into the bowl.</x:v>
      </x:c>
      <x:c r="N468" s="69" t="str">
        <x:v>green pencil sharpener, red pencil sharpener, yellow pen, airplane toy without propellers</x:v>
      </x:c>
      <x:c r="O468" s="69" t="str">
        <x:v>green pencil sharpener</x:v>
      </x:c>
      <x:c r="P468" s="70" t="str">
        <x:v>New discriminative grounding for the word furthest, using a candidate-category/reference pairing excluded from the primary evaluation.</x:v>
      </x:c>
    </x:row>
    <x:row r="469" ht="58" customHeight="1">
      <x:c r="A469" s="100" t="n">
        <x:v>467</x:v>
      </x:c>
      <x:c r="B469" s="69" t="str">
        <x:v>Referential Disambiguation</x:v>
      </x:c>
      <x:c r="C469" s="69" t="str">
        <x:v>Put the pencil sharpener furthest from the green pen in the bowl.</x:v>
      </x:c>
      <x:c r="D469" s="69" t="str">
        <x:v>Explicit furthest grounding</x:v>
      </x:c>
      <x:c r="E469" s="69" t="str">
        <x:v>furthest with pencil sharpener candidates; reference=green pen</x:v>
      </x:c>
      <x:c r="F469" s="69" t="str">
        <x:v>referential_furthest_explicit</x:v>
      </x:c>
      <x:c r="G469" s="69" t="str">
        <x:v>furthest × pencil-sharpener candidates with yellow pen / airplane toy without propellers / crushed Pepsi can references</x:v>
      </x:c>
      <x:c r="H469" s="69" t="str">
        <x:v>Yes</x:v>
      </x:c>
      <x:c r="I469" s="69" t="str">
        <x:v>recollect referential scene</x:v>
      </x:c>
      <x:c r="J469" s="69" t="str">
        <x:v>P1 green pen at table centre [REFERENCE]; P2 green pencil sharpener with 6 cm edge gap in front of P1 [CLOSE CANDIDATE]; P3 red pencil sharpener with 20 cm edge gap behind P1 [FAR TARGET]</x:v>
      </x:c>
      <x:c r="K469" s="69" t="str">
        <x:v>red pencil sharpener</x:v>
      </x:c>
      <x:c r="L469" s="69" t="str">
        <x:v>Home</x:v>
      </x:c>
      <x:c r="M469" s="69" t="str">
        <x:v>Move the red pencil sharpener into the bowl.</x:v>
      </x:c>
      <x:c r="N469" s="69" t="str">
        <x:v>green pencil sharpener, red pencil sharpener, airplane toy with propellers</x:v>
      </x:c>
      <x:c r="O469" s="69" t="str">
        <x:v>red pencil sharpener</x:v>
      </x:c>
      <x:c r="P469" s="70" t="str">
        <x:v>New discriminative grounding for the word furthest, using a candidate-category/reference pairing excluded from the primary evaluation.</x:v>
      </x:c>
    </x:row>
    <x:row r="470" ht="58" customHeight="1">
      <x:c r="A470" s="100" t="n">
        <x:v>468</x:v>
      </x:c>
      <x:c r="B470" s="69" t="str">
        <x:v>Referential Disambiguation</x:v>
      </x:c>
      <x:c r="C470" s="69" t="str">
        <x:v>Pick up the pencil sharpener furthest from the airplane toy with propellers and place it in the bowl.</x:v>
      </x:c>
      <x:c r="D470" s="69" t="str">
        <x:v>Explicit furthest grounding</x:v>
      </x:c>
      <x:c r="E470" s="69" t="str">
        <x:v>furthest with pencil sharpener candidates; reference=airplane toy with propellers</x:v>
      </x:c>
      <x:c r="F470" s="69" t="str">
        <x:v>referential_furthest_explicit</x:v>
      </x:c>
      <x:c r="G470" s="69" t="str">
        <x:v>furthest × pencil-sharpener candidates with yellow pen / airplane toy without propellers / crushed Pepsi can references</x:v>
      </x:c>
      <x:c r="H470" s="69" t="str">
        <x:v>Yes</x:v>
      </x:c>
      <x:c r="I470" s="69" t="str">
        <x:v>recollect referential scene</x:v>
      </x:c>
      <x:c r="J470" s="69" t="str">
        <x:v>P1 airplane toy with propellers at table centre [REFERENCE]; P2 red pencil sharpener with 6 cm edge gap behind P1 [CLOSE CANDIDATE]; P3 green pencil sharpener with 20 cm edge gap in front of P1 [FAR TARGET]; P4 juggling ball 14 cm from P1 [DISTRACTOR]</x:v>
      </x:c>
      <x:c r="K470" s="69" t="str">
        <x:v>green pencil sharpener</x:v>
      </x:c>
      <x:c r="L470" s="69" t="str">
        <x:v>Recovery</x:v>
      </x:c>
      <x:c r="M470" s="69" t="str">
        <x:v>Move the green pencil sharpener into the bowl.</x:v>
      </x:c>
      <x:c r="N470" s="69" t="str">
        <x:v>green pencil sharpener, red pencil sharpener, airplane toy without propellers, crushed Pepsi can</x:v>
      </x:c>
      <x:c r="O470" s="69" t="str">
        <x:v>green pencil sharpener</x:v>
      </x:c>
      <x:c r="P470" s="70" t="str">
        <x:v>New discriminative grounding for the word furthest, using a candidate-category/reference pairing excluded from the primary evaluation.</x:v>
      </x:c>
    </x:row>
    <x:row r="471" ht="58" customHeight="1">
      <x:c r="A471" s="100" t="n">
        <x:v>469</x:v>
      </x:c>
      <x:c r="B471" s="69" t="str">
        <x:v>Referential Disambiguation</x:v>
      </x:c>
      <x:c r="C471" s="69" t="str">
        <x:v>Move the pencil sharpener furthest from the green pen into the bowl.</x:v>
      </x:c>
      <x:c r="D471" s="69" t="str">
        <x:v>Explicit furthest grounding</x:v>
      </x:c>
      <x:c r="E471" s="69" t="str">
        <x:v>furthest with pencil sharpener candidates; reference=green pen</x:v>
      </x:c>
      <x:c r="F471" s="69" t="str">
        <x:v>referential_furthest_explicit</x:v>
      </x:c>
      <x:c r="G471" s="69" t="str">
        <x:v>furthest × pencil-sharpener candidates with yellow pen / airplane toy without propellers / crushed Pepsi can references</x:v>
      </x:c>
      <x:c r="H471" s="69" t="str">
        <x:v>Yes</x:v>
      </x:c>
      <x:c r="I471" s="69" t="str">
        <x:v>recollect referential scene</x:v>
      </x:c>
      <x:c r="J471" s="69" t="str">
        <x:v>P1 green pen at table centre [REFERENCE]; P2 green pencil sharpener with 6 cm edge gap to the left of P1 [CLOSE CANDIDATE]; P3 red pencil sharpener with 20 cm edge gap to the right of P1 [FAR TARGET]</x:v>
      </x:c>
      <x:c r="K471" s="69" t="str">
        <x:v>red pencil sharpener</x:v>
      </x:c>
      <x:c r="L471" s="69" t="str">
        <x:v>Home</x:v>
      </x:c>
      <x:c r="M471" s="69" t="str">
        <x:v>Put the red pencil sharpener in the bowl.</x:v>
      </x:c>
      <x:c r="N471" s="69" t="str">
        <x:v>green pencil sharpener, red pencil sharpener, crushed Coke can</x:v>
      </x:c>
      <x:c r="O471" s="69" t="str">
        <x:v>red pencil sharpener</x:v>
      </x:c>
      <x:c r="P471" s="70" t="str">
        <x:v>New discriminative grounding for the word furthest, using a candidate-category/reference pairing excluded from the primary evaluation.</x:v>
      </x:c>
    </x:row>
    <x:row r="472" ht="58" customHeight="1">
      <x:c r="A472" s="100" t="n">
        <x:v>470</x:v>
      </x:c>
      <x:c r="B472" s="69" t="str">
        <x:v>Referential Disambiguation</x:v>
      </x:c>
      <x:c r="C472" s="69" t="str">
        <x:v>Put the pencil sharpener furthest from the airplane toy with propellers in the bowl.</x:v>
      </x:c>
      <x:c r="D472" s="69" t="str">
        <x:v>Explicit furthest grounding</x:v>
      </x:c>
      <x:c r="E472" s="69" t="str">
        <x:v>furthest with pencil sharpener candidates; reference=airplane toy with propellers</x:v>
      </x:c>
      <x:c r="F472" s="69" t="str">
        <x:v>referential_furthest_explicit</x:v>
      </x:c>
      <x:c r="G472" s="69" t="str">
        <x:v>furthest × pencil-sharpener candidates with yellow pen / airplane toy without propellers / crushed Pepsi can references</x:v>
      </x:c>
      <x:c r="H472" s="69" t="str">
        <x:v>Yes</x:v>
      </x:c>
      <x:c r="I472" s="69" t="str">
        <x:v>recollect referential scene</x:v>
      </x:c>
      <x:c r="J472" s="69" t="str">
        <x:v>P1 airplane toy with propellers at table centre [REFERENCE]; P2 red pencil sharpener with 6 cm edge gap to the right of P1 [CLOSE CANDIDATE]; P3 green pencil sharpener with 20 cm edge gap to the left of P1 [FAR TARGET]; P4 pink marker 14 cm from P1 [DISTRACTOR]</x:v>
      </x:c>
      <x:c r="K472" s="69" t="str">
        <x:v>green pencil sharpener</x:v>
      </x:c>
      <x:c r="L472" s="69" t="str">
        <x:v>Home</x:v>
      </x:c>
      <x:c r="M472" s="69" t="str">
        <x:v>Pick up the green pencil sharpener and place it in the bowl.</x:v>
      </x:c>
      <x:c r="N472" s="69" t="str">
        <x:v>green pencil sharpener, red pencil sharpener, crushed Pepsi can, crushed Coke can</x:v>
      </x:c>
      <x:c r="O472" s="69" t="str">
        <x:v>green pencil sharpener</x:v>
      </x:c>
      <x:c r="P472" s="70" t="str">
        <x:v>New discriminative grounding for the word furthest, using a candidate-category/reference pairing excluded from the primary evaluation.</x:v>
      </x:c>
    </x:row>
    <x:row r="473" ht="58" customHeight="1">
      <x:c r="A473" s="100" t="n">
        <x:v>471</x:v>
      </x:c>
      <x:c r="B473" s="69" t="str">
        <x:v>Referential Disambiguation</x:v>
      </x:c>
      <x:c r="C473" s="69" t="str">
        <x:v>Pick up the pencil sharpener furthest from the green pen and place it in the bowl.</x:v>
      </x:c>
      <x:c r="D473" s="69" t="str">
        <x:v>Explicit furthest grounding</x:v>
      </x:c>
      <x:c r="E473" s="69" t="str">
        <x:v>furthest with pencil sharpener candidates; reference=green pen</x:v>
      </x:c>
      <x:c r="F473" s="69" t="str">
        <x:v>referential_furthest_explicit</x:v>
      </x:c>
      <x:c r="G473" s="69" t="str">
        <x:v>furthest × pencil-sharpener candidates with yellow pen / airplane toy without propellers / crushed Pepsi can references</x:v>
      </x:c>
      <x:c r="H473" s="69" t="str">
        <x:v>Yes</x:v>
      </x:c>
      <x:c r="I473" s="69" t="str">
        <x:v>recollect referential scene</x:v>
      </x:c>
      <x:c r="J473" s="69" t="str">
        <x:v>P1 green pen at table centre [REFERENCE]; P2 green pencil sharpener with 6 cm edge gap in front of P1 [CLOSE CANDIDATE]; P3 red pencil sharpener with 20 cm edge gap behind P1 [FAR TARGET]</x:v>
      </x:c>
      <x:c r="K473" s="69" t="str">
        <x:v>red pencil sharpener</x:v>
      </x:c>
      <x:c r="L473" s="69" t="str">
        <x:v>Home</x:v>
      </x:c>
      <x:c r="M473" s="69" t="str">
        <x:v>Put the red pencil sharpener in the bowl.</x:v>
      </x:c>
      <x:c r="N473" s="69" t="str">
        <x:v>green pencil sharpener, red pencil sharpener, green pen</x:v>
      </x:c>
      <x:c r="O473" s="69" t="str">
        <x:v>red pencil sharpener</x:v>
      </x:c>
      <x:c r="P473" s="70" t="str">
        <x:v>New discriminative grounding for the word furthest, using a candidate-category/reference pairing excluded from the primary evaluation.</x:v>
      </x:c>
    </x:row>
    <x:row r="474" ht="58" customHeight="1">
      <x:c r="A474" s="100" t="n">
        <x:v>472</x:v>
      </x:c>
      <x:c r="B474" s="69" t="str">
        <x:v>Referential Disambiguation</x:v>
      </x:c>
      <x:c r="C474" s="69" t="str">
        <x:v>Move the pencil sharpener furthest from the airplane toy with propellers into the bowl.</x:v>
      </x:c>
      <x:c r="D474" s="69" t="str">
        <x:v>Explicit furthest grounding</x:v>
      </x:c>
      <x:c r="E474" s="69" t="str">
        <x:v>furthest with pencil sharpener candidates; reference=airplane toy with propellers</x:v>
      </x:c>
      <x:c r="F474" s="69" t="str">
        <x:v>referential_furthest_explicit</x:v>
      </x:c>
      <x:c r="G474" s="69" t="str">
        <x:v>furthest × pencil-sharpener candidates with yellow pen / airplane toy without propellers / crushed Pepsi can references</x:v>
      </x:c>
      <x:c r="H474" s="69" t="str">
        <x:v>Yes</x:v>
      </x:c>
      <x:c r="I474" s="69" t="str">
        <x:v>recollect referential scene</x:v>
      </x:c>
      <x:c r="J474" s="69" t="str">
        <x:v>P1 airplane toy with propellers at table centre [REFERENCE]; P2 red pencil sharpener with 6 cm edge gap behind P1 [CLOSE CANDIDATE]; P3 green pencil sharpener with 20 cm edge gap in front of P1 [FAR TARGET]; P4 juggling ball 14 cm from P1 [DISTRACTOR]</x:v>
      </x:c>
      <x:c r="K474" s="69" t="str">
        <x:v>green pencil sharpener</x:v>
      </x:c>
      <x:c r="L474" s="69" t="str">
        <x:v>Home</x:v>
      </x:c>
      <x:c r="M474" s="69" t="str">
        <x:v>Put the green pencil sharpener in the bowl.</x:v>
      </x:c>
      <x:c r="N474" s="69" t="str">
        <x:v>green pencil sharpener, red pencil sharpener, yellow pen, crushed Pepsi can</x:v>
      </x:c>
      <x:c r="O474" s="69" t="str">
        <x:v>green pencil sharpener</x:v>
      </x:c>
      <x:c r="P474" s="70" t="str">
        <x:v>New discriminative grounding for the word furthest, using a candidate-category/reference pairing excluded from the primary evaluation.</x:v>
      </x:c>
    </x:row>
    <x:row r="475" ht="58" customHeight="1">
      <x:c r="A475" s="100" t="n">
        <x:v>473</x:v>
      </x:c>
      <x:c r="B475" s="69" t="str">
        <x:v>Referential Disambiguation</x:v>
      </x:c>
      <x:c r="C475" s="69" t="str">
        <x:v>Pick up the red pencil sharpener and place it in the bowl.</x:v>
      </x:c>
      <x:c r="D475" s="69" t="str">
        <x:v>Masked held-out furthest composition</x:v>
      </x:c>
      <x:c r="E475" s="69" t="str">
        <x:v>direct object identity; physical far-target exposure without furthest language</x:v>
      </x:c>
      <x:c r="F475" s="69" t="str">
        <x:v>referential_furthest_masked</x:v>
      </x:c>
      <x:c r="G475" s="69" t="str">
        <x:v>furthest × pencil-sharpener candidates with yellow pen / airplane toy without propellers / crushed Pepsi can references</x:v>
      </x:c>
      <x:c r="H475" s="69" t="str">
        <x:v>No</x:v>
      </x:c>
      <x:c r="I475" s="69" t="str"/>
      <x:c r="J475" s="69" t="str">
        <x:v>green pencil sharpener, red pencil sharpener, airplane toy with propellers</x:v>
      </x:c>
      <x:c r="K475" s="69" t="str">
        <x:v>red pencil sharpener</x:v>
      </x:c>
      <x:c r="L475" s="69" t="str">
        <x:v>Recovery</x:v>
      </x:c>
      <x:c r="M475" s="69" t="str">
        <x:v>Pick up the red pencil sharpener and place it in the bowl.</x:v>
      </x:c>
      <x:c r="N475" s="69" t="str">
        <x:v>green pencil sharpener, red pencil sharpener, airplane toy with propellers</x:v>
      </x:c>
      <x:c r="O475" s="69" t="str">
        <x:v>red pencil sharpener</x:v>
      </x:c>
      <x:c r="P475" s="70" t="str">
        <x:v>Retain the physical trajectory under a direct-name prompt so evaluation-specific furthest compositions remain withheld.</x:v>
      </x:c>
    </x:row>
    <x:row r="476" ht="58" customHeight="1">
      <x:c r="A476" s="100" t="n">
        <x:v>474</x:v>
      </x:c>
      <x:c r="B476" s="69" t="str">
        <x:v>Referential Disambiguation</x:v>
      </x:c>
      <x:c r="C476" s="69" t="str">
        <x:v>Pick up the green pencil sharpener and place it in the bowl.</x:v>
      </x:c>
      <x:c r="D476" s="69" t="str">
        <x:v>Masked held-out furthest composition</x:v>
      </x:c>
      <x:c r="E476" s="69" t="str">
        <x:v>direct object identity; physical far-target exposure without furthest language</x:v>
      </x:c>
      <x:c r="F476" s="69" t="str">
        <x:v>referential_furthest_masked</x:v>
      </x:c>
      <x:c r="G476" s="69" t="str">
        <x:v>furthest × pencil-sharpener candidates with yellow pen / airplane toy without propellers / crushed Pepsi can references</x:v>
      </x:c>
      <x:c r="H476" s="69" t="str">
        <x:v>No</x:v>
      </x:c>
      <x:c r="I476" s="69" t="str"/>
      <x:c r="J476" s="69" t="str">
        <x:v>green pencil sharpener, red pencil sharpener, airplane toy without propellers, yellow pen</x:v>
      </x:c>
      <x:c r="K476" s="69" t="str">
        <x:v>green pencil sharpener</x:v>
      </x:c>
      <x:c r="L476" s="69" t="str">
        <x:v>Home</x:v>
      </x:c>
      <x:c r="M476" s="69" t="str">
        <x:v>Pick up the green pencil sharpener and place it in the bowl.</x:v>
      </x:c>
      <x:c r="N476" s="69" t="str">
        <x:v>green pencil sharpener, red pencil sharpener, airplane toy without propellers, yellow pen</x:v>
      </x:c>
      <x:c r="O476" s="69" t="str">
        <x:v>green pencil sharpener</x:v>
      </x:c>
      <x:c r="P476" s="70" t="str">
        <x:v>Retain the physical trajectory under a direct-name prompt so evaluation-specific furthest compositions remain withheld.</x:v>
      </x:c>
    </x:row>
    <x:row r="477" ht="58" customHeight="1">
      <x:c r="A477" s="100" t="n">
        <x:v>475</x:v>
      </x:c>
      <x:c r="B477" s="69" t="str">
        <x:v>Referential Disambiguation</x:v>
      </x:c>
      <x:c r="C477" s="69" t="str">
        <x:v>Pick up the red pencil sharpener and place it in the bowl.</x:v>
      </x:c>
      <x:c r="D477" s="69" t="str">
        <x:v>Masked held-out furthest composition</x:v>
      </x:c>
      <x:c r="E477" s="69" t="str">
        <x:v>direct object identity; physical far-target exposure without furthest language</x:v>
      </x:c>
      <x:c r="F477" s="69" t="str">
        <x:v>referential_furthest_masked</x:v>
      </x:c>
      <x:c r="G477" s="69" t="str">
        <x:v>furthest × pencil-sharpener candidates with yellow pen / airplane toy without propellers / crushed Pepsi can references</x:v>
      </x:c>
      <x:c r="H477" s="69" t="str">
        <x:v>No</x:v>
      </x:c>
      <x:c r="I477" s="69" t="str"/>
      <x:c r="J477" s="69" t="str">
        <x:v>green pencil sharpener, red pencil sharpener, crushed Coke can</x:v>
      </x:c>
      <x:c r="K477" s="69" t="str">
        <x:v>red pencil sharpener</x:v>
      </x:c>
      <x:c r="L477" s="69" t="str">
        <x:v>Home</x:v>
      </x:c>
      <x:c r="M477" s="69" t="str">
        <x:v>Pick up the red pencil sharpener and place it in the bowl.</x:v>
      </x:c>
      <x:c r="N477" s="69" t="str">
        <x:v>green pencil sharpener, red pencil sharpener, crushed Coke can</x:v>
      </x:c>
      <x:c r="O477" s="69" t="str">
        <x:v>red pencil sharpener</x:v>
      </x:c>
      <x:c r="P477" s="70" t="str">
        <x:v>Retain the physical trajectory under a direct-name prompt so evaluation-specific furthest compositions remain withheld.</x:v>
      </x:c>
    </x:row>
    <x:row r="478" ht="58" customHeight="1">
      <x:c r="A478" s="100" t="n">
        <x:v>476</x:v>
      </x:c>
      <x:c r="B478" s="69" t="str">
        <x:v>Referential Disambiguation</x:v>
      </x:c>
      <x:c r="C478" s="69" t="str">
        <x:v>Put the green pencil sharpener in the bowl.</x:v>
      </x:c>
      <x:c r="D478" s="69" t="str">
        <x:v>Masked held-out furthest composition</x:v>
      </x:c>
      <x:c r="E478" s="69" t="str">
        <x:v>direct object identity; physical far-target exposure without furthest language</x:v>
      </x:c>
      <x:c r="F478" s="69" t="str">
        <x:v>referential_furthest_masked</x:v>
      </x:c>
      <x:c r="G478" s="69" t="str">
        <x:v>furthest × pencil-sharpener candidates with yellow pen / airplane toy without propellers / crushed Pepsi can references</x:v>
      </x:c>
      <x:c r="H478" s="69" t="str">
        <x:v>No</x:v>
      </x:c>
      <x:c r="I478" s="69" t="str"/>
      <x:c r="J478" s="69" t="str">
        <x:v>green pencil sharpener, red pencil sharpener, crushed Pepsi can, yellow pen</x:v>
      </x:c>
      <x:c r="K478" s="69" t="str">
        <x:v>green pencil sharpener</x:v>
      </x:c>
      <x:c r="L478" s="69" t="str">
        <x:v>Home</x:v>
      </x:c>
      <x:c r="M478" s="69" t="str">
        <x:v>Put the green pencil sharpener in the bowl.</x:v>
      </x:c>
      <x:c r="N478" s="69" t="str">
        <x:v>green pencil sharpener, red pencil sharpener, crushed Pepsi can, yellow pen</x:v>
      </x:c>
      <x:c r="O478" s="69" t="str">
        <x:v>green pencil sharpener</x:v>
      </x:c>
      <x:c r="P478" s="70" t="str">
        <x:v>Retain the physical trajectory under a direct-name prompt so evaluation-specific furthest compositions remain withheld.</x:v>
      </x:c>
    </x:row>
    <x:row r="479" ht="58" customHeight="1">
      <x:c r="A479" s="100" t="n">
        <x:v>477</x:v>
      </x:c>
      <x:c r="B479" s="69" t="str">
        <x:v>Referential Disambiguation</x:v>
      </x:c>
      <x:c r="C479" s="69" t="str">
        <x:v>Move the red pencil sharpener into the bowl.</x:v>
      </x:c>
      <x:c r="D479" s="69" t="str">
        <x:v>Masked held-out furthest composition</x:v>
      </x:c>
      <x:c r="E479" s="69" t="str">
        <x:v>direct object identity; physical far-target exposure without furthest language</x:v>
      </x:c>
      <x:c r="F479" s="69" t="str">
        <x:v>referential_furthest_masked</x:v>
      </x:c>
      <x:c r="G479" s="69" t="str">
        <x:v>furthest × pencil-sharpener candidates with yellow pen / airplane toy without propellers / crushed Pepsi can references</x:v>
      </x:c>
      <x:c r="H479" s="69" t="str">
        <x:v>No</x:v>
      </x:c>
      <x:c r="I479" s="69" t="str"/>
      <x:c r="J479" s="69" t="str">
        <x:v>green pencil sharpener, red pencil sharpener, green pen</x:v>
      </x:c>
      <x:c r="K479" s="69" t="str">
        <x:v>red pencil sharpener</x:v>
      </x:c>
      <x:c r="L479" s="69" t="str">
        <x:v>Home</x:v>
      </x:c>
      <x:c r="M479" s="69" t="str">
        <x:v>Move the red pencil sharpener into the bowl.</x:v>
      </x:c>
      <x:c r="N479" s="69" t="str">
        <x:v>green pencil sharpener, red pencil sharpener, green pen</x:v>
      </x:c>
      <x:c r="O479" s="69" t="str">
        <x:v>red pencil sharpener</x:v>
      </x:c>
      <x:c r="P479" s="70" t="str">
        <x:v>Retain the physical trajectory under a direct-name prompt so evaluation-specific furthest compositions remain withheld.</x:v>
      </x:c>
    </x:row>
    <x:row r="480" ht="58" customHeight="1">
      <x:c r="A480" s="100" t="n">
        <x:v>478</x:v>
      </x:c>
      <x:c r="B480" s="69" t="str">
        <x:v>Referential Disambiguation</x:v>
      </x:c>
      <x:c r="C480" s="69" t="str">
        <x:v>Put the green pencil sharpener in the bowl.</x:v>
      </x:c>
      <x:c r="D480" s="69" t="str">
        <x:v>Masked held-out furthest composition</x:v>
      </x:c>
      <x:c r="E480" s="69" t="str">
        <x:v>direct object identity; physical far-target exposure without furthest language</x:v>
      </x:c>
      <x:c r="F480" s="69" t="str">
        <x:v>referential_furthest_masked</x:v>
      </x:c>
      <x:c r="G480" s="69" t="str">
        <x:v>furthest × pencil-sharpener candidates with yellow pen / airplane toy without propellers / crushed Pepsi can references</x:v>
      </x:c>
      <x:c r="H480" s="69" t="str">
        <x:v>No</x:v>
      </x:c>
      <x:c r="I480" s="69" t="str"/>
      <x:c r="J480" s="69" t="str">
        <x:v>green pencil sharpener, red pencil sharpener, yellow pen, green pen</x:v>
      </x:c>
      <x:c r="K480" s="69" t="str">
        <x:v>green pencil sharpener</x:v>
      </x:c>
      <x:c r="L480" s="69" t="str">
        <x:v>Recovery</x:v>
      </x:c>
      <x:c r="M480" s="69" t="str">
        <x:v>Put the green pencil sharpener in the bowl.</x:v>
      </x:c>
      <x:c r="N480" s="69" t="str">
        <x:v>green pencil sharpener, red pencil sharpener, yellow pen, green pen</x:v>
      </x:c>
      <x:c r="O480" s="69" t="str">
        <x:v>green pencil sharpener</x:v>
      </x:c>
      <x:c r="P480" s="70" t="str">
        <x:v>Retain the physical trajectory under a direct-name prompt so evaluation-specific furthest compositions remain withheld.</x:v>
      </x:c>
    </x:row>
    <x:row r="481" ht="58" customHeight="1">
      <x:c r="A481" s="100" t="n">
        <x:v>479</x:v>
      </x:c>
      <x:c r="B481" s="69" t="str">
        <x:v>Referential Disambiguation</x:v>
      </x:c>
      <x:c r="C481" s="69" t="str">
        <x:v>Put the red pencil sharpener in the bowl.</x:v>
      </x:c>
      <x:c r="D481" s="69" t="str">
        <x:v>Masked held-out furthest composition</x:v>
      </x:c>
      <x:c r="E481" s="69" t="str">
        <x:v>direct object identity; physical far-target exposure without furthest language</x:v>
      </x:c>
      <x:c r="F481" s="69" t="str">
        <x:v>referential_furthest_masked</x:v>
      </x:c>
      <x:c r="G481" s="69" t="str">
        <x:v>furthest × pencil-sharpener candidates with yellow pen / airplane toy without propellers / crushed Pepsi can references</x:v>
      </x:c>
      <x:c r="H481" s="69" t="str">
        <x:v>No</x:v>
      </x:c>
      <x:c r="I481" s="69" t="str"/>
      <x:c r="J481" s="69" t="str">
        <x:v>green pencil sharpener, red pencil sharpener, airplane toy with propellers</x:v>
      </x:c>
      <x:c r="K481" s="69" t="str">
        <x:v>red pencil sharpener</x:v>
      </x:c>
      <x:c r="L481" s="69" t="str">
        <x:v>Home</x:v>
      </x:c>
      <x:c r="M481" s="69" t="str">
        <x:v>Put the red pencil sharpener in the bowl.</x:v>
      </x:c>
      <x:c r="N481" s="69" t="str">
        <x:v>green pencil sharpener, red pencil sharpener, airplane toy with propellers</x:v>
      </x:c>
      <x:c r="O481" s="69" t="str">
        <x:v>red pencil sharpener</x:v>
      </x:c>
      <x:c r="P481" s="70" t="str">
        <x:v>Retain the physical trajectory under a direct-name prompt so evaluation-specific furthest compositions remain withheld.</x:v>
      </x:c>
    </x:row>
    <x:row r="482" ht="58" customHeight="1">
      <x:c r="A482" s="100" t="n">
        <x:v>480</x:v>
      </x:c>
      <x:c r="B482" s="69" t="str">
        <x:v>Referential Disambiguation</x:v>
      </x:c>
      <x:c r="C482" s="69" t="str">
        <x:v>Put the pencil sharpener between the airplane toy without propellers and the yellow pen in the bowl.</x:v>
      </x:c>
      <x:c r="D482" s="69" t="str">
        <x:v>Explicit between grounding</x:v>
      </x:c>
      <x:c r="E482" s="69" t="str">
        <x:v>between</x:v>
      </x:c>
      <x:c r="F482" s="69" t="str">
        <x:v>referential_between_explicit</x:v>
      </x:c>
      <x:c r="G482" s="69" t="str">
        <x:v>furthest × pencil-sharpener candidates with yellow pen / airplane toy without propellers / crushed Pepsi can references</x:v>
      </x:c>
      <x:c r="H482" s="69" t="str">
        <x:v>No</x:v>
      </x:c>
      <x:c r="I482" s="69" t="str"/>
      <x:c r="J482" s="69" t="str">
        <x:v>green pencil sharpener, red pencil sharpener, airplane toy without propellers, yellow pen, crushed Pepsi can</x:v>
      </x:c>
      <x:c r="K482" s="69" t="str">
        <x:v>red pencil sharpener</x:v>
      </x:c>
      <x:c r="L482" s="69" t="str">
        <x:v>Home</x:v>
      </x:c>
      <x:c r="M482" s="69" t="str">
        <x:v>Put the pencil sharpener between the airplane toy without propellers and the yellow pen in the bowl.</x:v>
      </x:c>
      <x:c r="N482" s="69" t="str">
        <x:v>green pencil sharpener, red pencil sharpener, airplane toy without propellers, yellow pen, crushed Pepsi can</x:v>
      </x:c>
      <x:c r="O482" s="69" t="str">
        <x:v>red pencil sharpener</x:v>
      </x:c>
      <x:c r="P482" s="70" t="str">
        <x:v>Between is explicitly grounded in training.</x:v>
      </x:c>
    </x:row>
    <x:row r="483" ht="58" customHeight="1">
      <x:c r="A483" s="100" t="n">
        <x:v>481</x:v>
      </x:c>
      <x:c r="B483" s="69" t="str">
        <x:v>Referential Disambiguation</x:v>
      </x:c>
      <x:c r="C483" s="69" t="str">
        <x:v>Move the pencil sharpener lying between the green pen and the crushed Pepsi can into the bowl.</x:v>
      </x:c>
      <x:c r="D483" s="69" t="str">
        <x:v>Explicit between grounding</x:v>
      </x:c>
      <x:c r="E483" s="69" t="str">
        <x:v>between</x:v>
      </x:c>
      <x:c r="F483" s="69" t="str">
        <x:v>referential_between_explicit</x:v>
      </x:c>
      <x:c r="G483" s="69" t="str">
        <x:v>furthest × pencil-sharpener candidates with yellow pen / airplane toy without propellers / crushed Pepsi can references</x:v>
      </x:c>
      <x:c r="H483" s="69" t="str">
        <x:v>No</x:v>
      </x:c>
      <x:c r="I483" s="69" t="str"/>
      <x:c r="J483" s="69" t="str">
        <x:v>green pencil sharpener, red pencil sharpener, green pen, crushed Pepsi can, airplane toy with propellers</x:v>
      </x:c>
      <x:c r="K483" s="69" t="str">
        <x:v>red pencil sharpener</x:v>
      </x:c>
      <x:c r="L483" s="69" t="str">
        <x:v>Home</x:v>
      </x:c>
      <x:c r="M483" s="69" t="str">
        <x:v>Move the pencil sharpener lying between the green pen and the crushed Pepsi can into the bowl.</x:v>
      </x:c>
      <x:c r="N483" s="69" t="str">
        <x:v>green pencil sharpener, red pencil sharpener, green pen, crushed Pepsi can, airplane toy with propellers</x:v>
      </x:c>
      <x:c r="O483" s="69" t="str">
        <x:v>red pencil sharpener</x:v>
      </x:c>
      <x:c r="P483" s="70" t="str">
        <x:v>Between is explicitly grounded in training.</x:v>
      </x:c>
    </x:row>
    <x:row r="484" ht="58" customHeight="1">
      <x:c r="A484" s="100" t="n">
        <x:v>482</x:v>
      </x:c>
      <x:c r="B484" s="69" t="str">
        <x:v>Referential Disambiguation</x:v>
      </x:c>
      <x:c r="C484" s="69" t="str">
        <x:v>Put the pencil sharpener between the crushed Pepsi can and the airplane toy without propellers in the bowl.</x:v>
      </x:c>
      <x:c r="D484" s="69" t="str">
        <x:v>Explicit between grounding</x:v>
      </x:c>
      <x:c r="E484" s="69" t="str">
        <x:v>between</x:v>
      </x:c>
      <x:c r="F484" s="69" t="str">
        <x:v>referential_between_explicit</x:v>
      </x:c>
      <x:c r="G484" s="69" t="str">
        <x:v>furthest × pencil-sharpener candidates with yellow pen / airplane toy without propellers / crushed Pepsi can references</x:v>
      </x:c>
      <x:c r="H484" s="69" t="str">
        <x:v>No</x:v>
      </x:c>
      <x:c r="I484" s="69" t="str"/>
      <x:c r="J484" s="69" t="str">
        <x:v>green pencil sharpener, red pencil sharpener, crushed Pepsi can, airplane toy without propellers</x:v>
      </x:c>
      <x:c r="K484" s="69" t="str">
        <x:v>green pencil sharpener</x:v>
      </x:c>
      <x:c r="L484" s="69" t="str">
        <x:v>Home</x:v>
      </x:c>
      <x:c r="M484" s="69" t="str">
        <x:v>Put the pencil sharpener between the crushed Pepsi can and the airplane toy without propellers in the bowl.</x:v>
      </x:c>
      <x:c r="N484" s="69" t="str">
        <x:v>green pencil sharpener, red pencil sharpener, crushed Pepsi can, airplane toy without propellers</x:v>
      </x:c>
      <x:c r="O484" s="69" t="str">
        <x:v>green pencil sharpener</x:v>
      </x:c>
      <x:c r="P484" s="70" t="str">
        <x:v>Between is explicitly grounded in training.</x:v>
      </x:c>
    </x:row>
    <x:row r="485" ht="58" customHeight="1">
      <x:c r="A485" s="100" t="n">
        <x:v>483</x:v>
      </x:c>
      <x:c r="B485" s="69" t="str">
        <x:v>Referential Disambiguation</x:v>
      </x:c>
      <x:c r="C485" s="69" t="str">
        <x:v>Move the pencil sharpener lying between the green pen and the airplane toy without propellers into the bowl.</x:v>
      </x:c>
      <x:c r="D485" s="69" t="str">
        <x:v>Explicit between grounding</x:v>
      </x:c>
      <x:c r="E485" s="69" t="str">
        <x:v>between</x:v>
      </x:c>
      <x:c r="F485" s="69" t="str">
        <x:v>referential_between_explicit</x:v>
      </x:c>
      <x:c r="G485" s="69" t="str">
        <x:v>furthest × pencil-sharpener candidates with yellow pen / airplane toy without propellers / crushed Pepsi can references</x:v>
      </x:c>
      <x:c r="H485" s="69" t="str">
        <x:v>No</x:v>
      </x:c>
      <x:c r="I485" s="69" t="str"/>
      <x:c r="J485" s="69" t="str">
        <x:v>green pencil sharpener, red pencil sharpener, green pen, airplane toy without propellers</x:v>
      </x:c>
      <x:c r="K485" s="69" t="str">
        <x:v>green pencil sharpener</x:v>
      </x:c>
      <x:c r="L485" s="69" t="str">
        <x:v>Recovery</x:v>
      </x:c>
      <x:c r="M485" s="69" t="str">
        <x:v>Move the pencil sharpener lying between the green pen and the airplane toy without propellers into the bowl.</x:v>
      </x:c>
      <x:c r="N485" s="69" t="str">
        <x:v>green pencil sharpener, red pencil sharpener, green pen, airplane toy without propellers</x:v>
      </x:c>
      <x:c r="O485" s="69" t="str">
        <x:v>green pencil sharpener</x:v>
      </x:c>
      <x:c r="P485" s="70" t="str">
        <x:v>Between is explicitly grounded in training.</x:v>
      </x:c>
    </x:row>
    <x:row r="486" ht="58" customHeight="1">
      <x:c r="A486" s="100" t="n">
        <x:v>484</x:v>
      </x:c>
      <x:c r="B486" s="69" t="str">
        <x:v>Referential Disambiguation</x:v>
      </x:c>
      <x:c r="C486" s="69" t="str">
        <x:v>Put the pencil sharpener between the yellow pen and the crushed Pepsi can in the bowl.</x:v>
      </x:c>
      <x:c r="D486" s="69" t="str">
        <x:v>Explicit between grounding</x:v>
      </x:c>
      <x:c r="E486" s="69" t="str">
        <x:v>between</x:v>
      </x:c>
      <x:c r="F486" s="69" t="str">
        <x:v>referential_between_explicit</x:v>
      </x:c>
      <x:c r="G486" s="69" t="str">
        <x:v>furthest × pencil-sharpener candidates with yellow pen / airplane toy without propellers / crushed Pepsi can references</x:v>
      </x:c>
      <x:c r="H486" s="69" t="str">
        <x:v>No</x:v>
      </x:c>
      <x:c r="I486" s="69" t="str"/>
      <x:c r="J486" s="69" t="str">
        <x:v>green pencil sharpener, red pencil sharpener, yellow pen, crushed Pepsi can, green pen</x:v>
      </x:c>
      <x:c r="K486" s="69" t="str">
        <x:v>red pencil sharpener</x:v>
      </x:c>
      <x:c r="L486" s="69" t="str">
        <x:v>Recovery</x:v>
      </x:c>
      <x:c r="M486" s="69" t="str">
        <x:v>Put the pencil sharpener between the yellow pen and the crushed Pepsi can in the bowl.</x:v>
      </x:c>
      <x:c r="N486" s="69" t="str">
        <x:v>green pencil sharpener, red pencil sharpener, yellow pen, crushed Pepsi can, green pen</x:v>
      </x:c>
      <x:c r="O486" s="69" t="str">
        <x:v>red pencil sharpener</x:v>
      </x:c>
      <x:c r="P486" s="70" t="str">
        <x:v>Between is explicitly grounded in training.</x:v>
      </x:c>
    </x:row>
    <x:row r="487" ht="58" customHeight="1">
      <x:c r="A487" s="100" t="n">
        <x:v>485</x:v>
      </x:c>
      <x:c r="B487" s="69" t="str">
        <x:v>Referential Disambiguation</x:v>
      </x:c>
      <x:c r="C487" s="69" t="str">
        <x:v>Put the pencil sharpener between the airplane toy without propellers and the crushed Coke can in the bowl.</x:v>
      </x:c>
      <x:c r="D487" s="69" t="str">
        <x:v>Explicit between grounding</x:v>
      </x:c>
      <x:c r="E487" s="69" t="str">
        <x:v>between</x:v>
      </x:c>
      <x:c r="F487" s="69" t="str">
        <x:v>referential_between_explicit</x:v>
      </x:c>
      <x:c r="G487" s="69" t="str">
        <x:v>furthest × pencil-sharpener candidates with yellow pen / airplane toy without propellers / crushed Pepsi can references</x:v>
      </x:c>
      <x:c r="H487" s="69" t="str">
        <x:v>No</x:v>
      </x:c>
      <x:c r="I487" s="69" t="str"/>
      <x:c r="J487" s="69" t="str">
        <x:v>green pencil sharpener, red pencil sharpener, airplane toy without propellers, crushed Coke can</x:v>
      </x:c>
      <x:c r="K487" s="69" t="str">
        <x:v>green pencil sharpener</x:v>
      </x:c>
      <x:c r="L487" s="69" t="str">
        <x:v>Home</x:v>
      </x:c>
      <x:c r="M487" s="69" t="str">
        <x:v>Put the pencil sharpener between the airplane toy without propellers and the crushed Coke can in the bowl.</x:v>
      </x:c>
      <x:c r="N487" s="69" t="str">
        <x:v>green pencil sharpener, red pencil sharpener, airplane toy without propellers, crushed Coke can</x:v>
      </x:c>
      <x:c r="O487" s="69" t="str">
        <x:v>green pencil sharpener</x:v>
      </x:c>
      <x:c r="P487" s="70" t="str">
        <x:v>Between is explicitly grounded in training.</x:v>
      </x:c>
    </x:row>
    <x:row r="488" ht="58" customHeight="1">
      <x:c r="A488" s="100" t="n">
        <x:v>486</x:v>
      </x:c>
      <x:c r="B488" s="69" t="str">
        <x:v>Referential Disambiguation</x:v>
      </x:c>
      <x:c r="C488" s="69" t="str">
        <x:v>Put the pencil sharpener between the yellow pen and the airplane toy with propellers in the bowl.</x:v>
      </x:c>
      <x:c r="D488" s="69" t="str">
        <x:v>Explicit between grounding</x:v>
      </x:c>
      <x:c r="E488" s="69" t="str">
        <x:v>between</x:v>
      </x:c>
      <x:c r="F488" s="69" t="str">
        <x:v>referential_between_explicit</x:v>
      </x:c>
      <x:c r="G488" s="69" t="str">
        <x:v>furthest × pencil-sharpener candidates with yellow pen / airplane toy without propellers / crushed Pepsi can references</x:v>
      </x:c>
      <x:c r="H488" s="69" t="str">
        <x:v>No</x:v>
      </x:c>
      <x:c r="I488" s="69" t="str"/>
      <x:c r="J488" s="69" t="str">
        <x:v>green pencil sharpener, red pencil sharpener, yellow pen, airplane toy with propellers</x:v>
      </x:c>
      <x:c r="K488" s="69" t="str">
        <x:v>red pencil sharpener</x:v>
      </x:c>
      <x:c r="L488" s="69" t="str">
        <x:v>Home</x:v>
      </x:c>
      <x:c r="M488" s="69" t="str">
        <x:v>Put the pencil sharpener between the yellow pen and the airplane toy with propellers in the bowl.</x:v>
      </x:c>
      <x:c r="N488" s="69" t="str">
        <x:v>green pencil sharpener, red pencil sharpener, yellow pen, airplane toy with propellers</x:v>
      </x:c>
      <x:c r="O488" s="69" t="str">
        <x:v>red pencil sharpener</x:v>
      </x:c>
      <x:c r="P488" s="70" t="str">
        <x:v>Between is explicitly grounded in training.</x:v>
      </x:c>
    </x:row>
    <x:row r="489" ht="58" customHeight="1">
      <x:c r="A489" s="100" t="n">
        <x:v>487</x:v>
      </x:c>
      <x:c r="B489" s="69" t="str">
        <x:v>Referential Disambiguation</x:v>
      </x:c>
      <x:c r="C489" s="69" t="str">
        <x:v>Put the pencil sharpener between the crushed Coke can and the green pen in the bowl.</x:v>
      </x:c>
      <x:c r="D489" s="69" t="str">
        <x:v>Explicit between grounding</x:v>
      </x:c>
      <x:c r="E489" s="69" t="str">
        <x:v>between</x:v>
      </x:c>
      <x:c r="F489" s="69" t="str">
        <x:v>referential_between_explicit</x:v>
      </x:c>
      <x:c r="G489" s="69" t="str">
        <x:v>furthest × pencil-sharpener candidates with yellow pen / airplane toy without propellers / crushed Pepsi can references</x:v>
      </x:c>
      <x:c r="H489" s="69" t="str">
        <x:v>No</x:v>
      </x:c>
      <x:c r="I489" s="69" t="str"/>
      <x:c r="J489" s="69" t="str">
        <x:v>green pencil sharpener, red pencil sharpener, crushed Coke can, green pen, crushed Pepsi can</x:v>
      </x:c>
      <x:c r="K489" s="69" t="str">
        <x:v>green pencil sharpener</x:v>
      </x:c>
      <x:c r="L489" s="69" t="str">
        <x:v>Home</x:v>
      </x:c>
      <x:c r="M489" s="69" t="str">
        <x:v>Put the pencil sharpener between the crushed Coke can and the green pen in the bowl.</x:v>
      </x:c>
      <x:c r="N489" s="69" t="str">
        <x:v>green pencil sharpener, red pencil sharpener, crushed Coke can, green pen, crushed Pepsi can</x:v>
      </x:c>
      <x:c r="O489" s="69" t="str">
        <x:v>green pencil sharpener</x:v>
      </x:c>
      <x:c r="P489" s="70" t="str">
        <x:v>Between is explicitly grounded in training.</x:v>
      </x:c>
    </x:row>
    <x:row r="490" ht="58" customHeight="1">
      <x:c r="A490" s="100" t="n">
        <x:v>488</x:v>
      </x:c>
      <x:c r="B490" s="69" t="str">
        <x:v>Referential Disambiguation</x:v>
      </x:c>
      <x:c r="C490" s="69" t="str">
        <x:v>Pick up the pencil sharpener positioned between the airplane toy with propellers and the crushed Coke can, then place it in the bowl.</x:v>
      </x:c>
      <x:c r="D490" s="69" t="str">
        <x:v>Explicit between grounding</x:v>
      </x:c>
      <x:c r="E490" s="69" t="str">
        <x:v>between</x:v>
      </x:c>
      <x:c r="F490" s="69" t="str">
        <x:v>referential_between_explicit</x:v>
      </x:c>
      <x:c r="G490" s="69" t="str">
        <x:v>furthest × pencil-sharpener candidates with yellow pen / airplane toy without propellers / crushed Pepsi can references</x:v>
      </x:c>
      <x:c r="H490" s="69" t="str">
        <x:v>No</x:v>
      </x:c>
      <x:c r="I490" s="69" t="str"/>
      <x:c r="J490" s="69" t="str">
        <x:v>green pencil sharpener, red pencil sharpener, airplane toy with propellers, crushed Coke can</x:v>
      </x:c>
      <x:c r="K490" s="69" t="str">
        <x:v>red pencil sharpener</x:v>
      </x:c>
      <x:c r="L490" s="69" t="str">
        <x:v>Home</x:v>
      </x:c>
      <x:c r="M490" s="69" t="str">
        <x:v>Pick up the pencil sharpener positioned between the airplane toy with propellers and the crushed Coke can, then place it in the bowl.</x:v>
      </x:c>
      <x:c r="N490" s="69" t="str">
        <x:v>green pencil sharpener, red pencil sharpener, airplane toy with propellers, crushed Coke can</x:v>
      </x:c>
      <x:c r="O490" s="69" t="str">
        <x:v>red pencil sharpener</x:v>
      </x:c>
      <x:c r="P490" s="70" t="str">
        <x:v>Between is explicitly grounded in training.</x:v>
      </x:c>
    </x:row>
    <x:row r="491" ht="58" customHeight="1">
      <x:c r="A491" s="100" t="n">
        <x:v>489</x:v>
      </x:c>
      <x:c r="B491" s="69" t="str">
        <x:v>Referential Disambiguation</x:v>
      </x:c>
      <x:c r="C491" s="69" t="str">
        <x:v>Pick up the pencil sharpener positioned between the airplane toy with propellers and the green pen, then place it in the bowl.</x:v>
      </x:c>
      <x:c r="D491" s="69" t="str">
        <x:v>Explicit between grounding</x:v>
      </x:c>
      <x:c r="E491" s="69" t="str">
        <x:v>between</x:v>
      </x:c>
      <x:c r="F491" s="69" t="str">
        <x:v>referential_between_explicit</x:v>
      </x:c>
      <x:c r="G491" s="69" t="str">
        <x:v>furthest × pencil-sharpener candidates with yellow pen / airplane toy without propellers / crushed Pepsi can references</x:v>
      </x:c>
      <x:c r="H491" s="69" t="str">
        <x:v>No</x:v>
      </x:c>
      <x:c r="I491" s="69" t="str"/>
      <x:c r="J491" s="69" t="str">
        <x:v>green pencil sharpener, red pencil sharpener, airplane toy with propellers, green pen, yellow pen</x:v>
      </x:c>
      <x:c r="K491" s="69" t="str">
        <x:v>green pencil sharpener</x:v>
      </x:c>
      <x:c r="L491" s="69" t="str">
        <x:v>Home</x:v>
      </x:c>
      <x:c r="M491" s="69" t="str">
        <x:v>Pick up the pencil sharpener positioned between the airplane toy with propellers and the green pen, then place it in the bowl.</x:v>
      </x:c>
      <x:c r="N491" s="69" t="str">
        <x:v>green pencil sharpener, red pencil sharpener, airplane toy with propellers, green pen, yellow pen</x:v>
      </x:c>
      <x:c r="O491" s="69" t="str">
        <x:v>green pencil sharpener</x:v>
      </x:c>
      <x:c r="P491" s="70" t="str">
        <x:v>Between is explicitly grounded in training.</x:v>
      </x:c>
    </x:row>
    <x:row r="492" ht="58" customHeight="1">
      <x:c r="A492" s="100" t="n">
        <x:v>490</x:v>
      </x:c>
      <x:c r="B492" s="69" t="str">
        <x:v>Referential Disambiguation</x:v>
      </x:c>
      <x:c r="C492" s="69" t="str">
        <x:v>Put the pencil sharpener between the crushed Coke can and the yellow pen in the bowl.</x:v>
      </x:c>
      <x:c r="D492" s="69" t="str">
        <x:v>Explicit between grounding</x:v>
      </x:c>
      <x:c r="E492" s="69" t="str">
        <x:v>between</x:v>
      </x:c>
      <x:c r="F492" s="69" t="str">
        <x:v>referential_between_explicit</x:v>
      </x:c>
      <x:c r="G492" s="69" t="str">
        <x:v>furthest × pencil-sharpener candidates with yellow pen / airplane toy without propellers / crushed Pepsi can references</x:v>
      </x:c>
      <x:c r="H492" s="69" t="str">
        <x:v>No</x:v>
      </x:c>
      <x:c r="I492" s="69" t="str"/>
      <x:c r="J492" s="69" t="str">
        <x:v>green pencil sharpener, red pencil sharpener, crushed Coke can, yellow pen, airplane toy with propellers</x:v>
      </x:c>
      <x:c r="K492" s="69" t="str">
        <x:v>green pencil sharpener</x:v>
      </x:c>
      <x:c r="L492" s="69" t="str">
        <x:v>Home</x:v>
      </x:c>
      <x:c r="M492" s="69" t="str">
        <x:v>Put the pencil sharpener between the crushed Coke can and the yellow pen in the bowl.</x:v>
      </x:c>
      <x:c r="N492" s="69" t="str">
        <x:v>green pencil sharpener, red pencil sharpener, crushed Coke can, yellow pen, airplane toy with propellers</x:v>
      </x:c>
      <x:c r="O492" s="69" t="str">
        <x:v>green pencil sharpener</x:v>
      </x:c>
      <x:c r="P492" s="70" t="str">
        <x:v>Between is explicitly grounded in training.</x:v>
      </x:c>
    </x:row>
    <x:row r="493" ht="58" customHeight="1">
      <x:c r="A493" s="100" t="n">
        <x:v>491</x:v>
      </x:c>
      <x:c r="B493" s="69" t="str">
        <x:v>Referential Disambiguation</x:v>
      </x:c>
      <x:c r="C493" s="69" t="str">
        <x:v>Put the pencil sharpener between the crushed Pepsi can and the airplane toy with propellers in the bowl.</x:v>
      </x:c>
      <x:c r="D493" s="69" t="str">
        <x:v>Explicit between grounding</x:v>
      </x:c>
      <x:c r="E493" s="69" t="str">
        <x:v>between</x:v>
      </x:c>
      <x:c r="F493" s="69" t="str">
        <x:v>referential_between_explicit</x:v>
      </x:c>
      <x:c r="G493" s="69" t="str">
        <x:v>furthest × pencil-sharpener candidates with yellow pen / airplane toy without propellers / crushed Pepsi can references</x:v>
      </x:c>
      <x:c r="H493" s="69" t="str">
        <x:v>No</x:v>
      </x:c>
      <x:c r="I493" s="69" t="str"/>
      <x:c r="J493" s="69" t="str">
        <x:v>green pencil sharpener, red pencil sharpener, crushed Pepsi can, airplane toy with propellers</x:v>
      </x:c>
      <x:c r="K493" s="69" t="str">
        <x:v>red pencil sharpener</x:v>
      </x:c>
      <x:c r="L493" s="69" t="str">
        <x:v>Home</x:v>
      </x:c>
      <x:c r="M493" s="69" t="str">
        <x:v>Put the pencil sharpener between the crushed Pepsi can and the airplane toy with propellers in the bowl.</x:v>
      </x:c>
      <x:c r="N493" s="69" t="str">
        <x:v>green pencil sharpener, red pencil sharpener, crushed Pepsi can, airplane toy with propellers</x:v>
      </x:c>
      <x:c r="O493" s="69" t="str">
        <x:v>red pencil sharpener</x:v>
      </x:c>
      <x:c r="P493" s="70" t="str">
        <x:v>Between is explicitly grounded in training.</x:v>
      </x:c>
    </x:row>
    <x:row r="494" ht="58" customHeight="1">
      <x:c r="A494" s="100" t="n">
        <x:v>492</x:v>
      </x:c>
      <x:c r="B494" s="69" t="str">
        <x:v>Referential Disambiguation</x:v>
      </x:c>
      <x:c r="C494" s="69" t="str">
        <x:v>Pick up the pencil sharpener positioned between the airplane toy without propellers and the yellow pen, then place it in the bowl.</x:v>
      </x:c>
      <x:c r="D494" s="69" t="str">
        <x:v>Explicit between grounding</x:v>
      </x:c>
      <x:c r="E494" s="69" t="str">
        <x:v>between</x:v>
      </x:c>
      <x:c r="F494" s="69" t="str">
        <x:v>referential_between_explicit</x:v>
      </x:c>
      <x:c r="G494" s="69" t="str">
        <x:v>furthest × pencil-sharpener candidates with yellow pen / airplane toy without propellers / crushed Pepsi can references</x:v>
      </x:c>
      <x:c r="H494" s="69" t="str">
        <x:v>No</x:v>
      </x:c>
      <x:c r="I494" s="69" t="str"/>
      <x:c r="J494" s="69" t="str">
        <x:v>green pencil sharpener, red pencil sharpener, airplane toy without propellers, yellow pen</x:v>
      </x:c>
      <x:c r="K494" s="69" t="str">
        <x:v>green pencil sharpener</x:v>
      </x:c>
      <x:c r="L494" s="69" t="str">
        <x:v>Home</x:v>
      </x:c>
      <x:c r="M494" s="69" t="str">
        <x:v>Pick up the pencil sharpener positioned between the airplane toy without propellers and the yellow pen, then place it in the bowl.</x:v>
      </x:c>
      <x:c r="N494" s="69" t="str">
        <x:v>green pencil sharpener, red pencil sharpener, airplane toy without propellers, yellow pen</x:v>
      </x:c>
      <x:c r="O494" s="69" t="str">
        <x:v>green pencil sharpener</x:v>
      </x:c>
      <x:c r="P494" s="70" t="str">
        <x:v>Between is explicitly grounded in training.</x:v>
      </x:c>
    </x:row>
    <x:row r="495" ht="58" customHeight="1">
      <x:c r="A495" s="100" t="n">
        <x:v>493</x:v>
      </x:c>
      <x:c r="B495" s="69" t="str">
        <x:v>Referential Disambiguation</x:v>
      </x:c>
      <x:c r="C495" s="69" t="str">
        <x:v>Put the pencil sharpener between the green pen and the crushed Pepsi can in the bowl.</x:v>
      </x:c>
      <x:c r="D495" s="69" t="str">
        <x:v>Explicit between grounding</x:v>
      </x:c>
      <x:c r="E495" s="69" t="str">
        <x:v>between</x:v>
      </x:c>
      <x:c r="F495" s="69" t="str">
        <x:v>referential_between_explicit</x:v>
      </x:c>
      <x:c r="G495" s="69" t="str">
        <x:v>furthest × pencil-sharpener candidates with yellow pen / airplane toy without propellers / crushed Pepsi can references</x:v>
      </x:c>
      <x:c r="H495" s="69" t="str">
        <x:v>No</x:v>
      </x:c>
      <x:c r="I495" s="69" t="str"/>
      <x:c r="J495" s="69" t="str">
        <x:v>green pencil sharpener, red pencil sharpener, green pen, crushed Pepsi can</x:v>
      </x:c>
      <x:c r="K495" s="69" t="str">
        <x:v>red pencil sharpener</x:v>
      </x:c>
      <x:c r="L495" s="69" t="str">
        <x:v>Home</x:v>
      </x:c>
      <x:c r="M495" s="69" t="str">
        <x:v>Put the pencil sharpener between the green pen and the crushed Pepsi can in the bowl.</x:v>
      </x:c>
      <x:c r="N495" s="69" t="str">
        <x:v>green pencil sharpener, red pencil sharpener, green pen, crushed Pepsi can</x:v>
      </x:c>
      <x:c r="O495" s="69" t="str">
        <x:v>red pencil sharpener</x:v>
      </x:c>
      <x:c r="P495" s="70" t="str">
        <x:v>Between is explicitly grounded in training.</x:v>
      </x:c>
    </x:row>
    <x:row r="496" ht="58" customHeight="1">
      <x:c r="A496" s="100" t="n">
        <x:v>494</x:v>
      </x:c>
      <x:c r="B496" s="69" t="str">
        <x:v>Referential Disambiguation</x:v>
      </x:c>
      <x:c r="C496" s="69" t="str">
        <x:v>Put the pencil sharpener between the crushed Pepsi can and the airplane toy without propellers in the bowl.</x:v>
      </x:c>
      <x:c r="D496" s="69" t="str">
        <x:v>Explicit between grounding</x:v>
      </x:c>
      <x:c r="E496" s="69" t="str">
        <x:v>between</x:v>
      </x:c>
      <x:c r="F496" s="69" t="str">
        <x:v>referential_between_explicit</x:v>
      </x:c>
      <x:c r="G496" s="69" t="str">
        <x:v>furthest × pencil-sharpener candidates with yellow pen / airplane toy without propellers / crushed Pepsi can references</x:v>
      </x:c>
      <x:c r="H496" s="69" t="str">
        <x:v>No</x:v>
      </x:c>
      <x:c r="I496" s="69" t="str"/>
      <x:c r="J496" s="69" t="str">
        <x:v>green pencil sharpener, red pencil sharpener, crushed Pepsi can, airplane toy without propellers, crushed Coke can</x:v>
      </x:c>
      <x:c r="K496" s="69" t="str">
        <x:v>red pencil sharpener</x:v>
      </x:c>
      <x:c r="L496" s="69" t="str">
        <x:v>Recovery</x:v>
      </x:c>
      <x:c r="M496" s="69" t="str">
        <x:v>Put the pencil sharpener between the crushed Pepsi can and the airplane toy without propellers in the bowl.</x:v>
      </x:c>
      <x:c r="N496" s="69" t="str">
        <x:v>green pencil sharpener, red pencil sharpener, crushed Pepsi can, airplane toy without propellers, crushed Coke can</x:v>
      </x:c>
      <x:c r="O496" s="69" t="str">
        <x:v>red pencil sharpener</x:v>
      </x:c>
      <x:c r="P496" s="70" t="str">
        <x:v>Between is explicitly grounded in training.</x:v>
      </x:c>
    </x:row>
    <x:row r="497" ht="58" customHeight="1">
      <x:c r="A497" s="100" t="n">
        <x:v>495</x:v>
      </x:c>
      <x:c r="B497" s="69" t="str">
        <x:v>Referential Disambiguation</x:v>
      </x:c>
      <x:c r="C497" s="69" t="str">
        <x:v>Pick up the pencil sharpener positioned between the crushed Coke can and the green pen, then place it in the bowl.</x:v>
      </x:c>
      <x:c r="D497" s="69" t="str">
        <x:v>Explicit between grounding</x:v>
      </x:c>
      <x:c r="E497" s="69" t="str">
        <x:v>between</x:v>
      </x:c>
      <x:c r="F497" s="69" t="str">
        <x:v>referential_between_explicit</x:v>
      </x:c>
      <x:c r="G497" s="69" t="str">
        <x:v>furthest × pencil-sharpener candidates with yellow pen / airplane toy without propellers / crushed Pepsi can references</x:v>
      </x:c>
      <x:c r="H497" s="69" t="str">
        <x:v>No</x:v>
      </x:c>
      <x:c r="I497" s="69" t="str"/>
      <x:c r="J497" s="69" t="str">
        <x:v>green pencil sharpener, red pencil sharpener, crushed Coke can, green pen, airplane toy without propellers</x:v>
      </x:c>
      <x:c r="K497" s="69" t="str">
        <x:v>green pencil sharpener</x:v>
      </x:c>
      <x:c r="L497" s="69" t="str">
        <x:v>Home</x:v>
      </x:c>
      <x:c r="M497" s="69" t="str">
        <x:v>Pick up the pencil sharpener positioned between the crushed Coke can and the green pen, then place it in the bowl.</x:v>
      </x:c>
      <x:c r="N497" s="69" t="str">
        <x:v>green pencil sharpener, red pencil sharpener, crushed Coke can, green pen, airplane toy without propellers</x:v>
      </x:c>
      <x:c r="O497" s="69" t="str">
        <x:v>green pencil sharpener</x:v>
      </x:c>
      <x:c r="P497" s="70" t="str">
        <x:v>Between is explicitly grounded in training.</x:v>
      </x:c>
    </x:row>
    <x:row r="498" ht="58" customHeight="1">
      <x:c r="A498" s="100" t="n">
        <x:v>496</x:v>
      </x:c>
      <x:c r="B498" s="69" t="str">
        <x:v>Referential Disambiguation</x:v>
      </x:c>
      <x:c r="C498" s="69" t="str">
        <x:v>Put the pencil sharpener between the airplane toy with propellers and the crushed Coke can in the bowl.</x:v>
      </x:c>
      <x:c r="D498" s="69" t="str">
        <x:v>Explicit between grounding</x:v>
      </x:c>
      <x:c r="E498" s="69" t="str">
        <x:v>between</x:v>
      </x:c>
      <x:c r="F498" s="69" t="str">
        <x:v>referential_between_explicit</x:v>
      </x:c>
      <x:c r="G498" s="69" t="str">
        <x:v>furthest × pencil-sharpener candidates with yellow pen / airplane toy without propellers / crushed Pepsi can references</x:v>
      </x:c>
      <x:c r="H498" s="69" t="str">
        <x:v>No</x:v>
      </x:c>
      <x:c r="I498" s="69" t="str"/>
      <x:c r="J498" s="69" t="str">
        <x:v>green pencil sharpener, red pencil sharpener, airplane toy with propellers, crushed Coke can, green pen</x:v>
      </x:c>
      <x:c r="K498" s="69" t="str">
        <x:v>green pencil sharpener</x:v>
      </x:c>
      <x:c r="L498" s="69" t="str">
        <x:v>Home</x:v>
      </x:c>
      <x:c r="M498" s="69" t="str">
        <x:v>Put the pencil sharpener between the airplane toy with propellers and the crushed Coke can in the bowl.</x:v>
      </x:c>
      <x:c r="N498" s="69" t="str">
        <x:v>green pencil sharpener, red pencil sharpener, airplane toy with propellers, crushed Coke can, green pen</x:v>
      </x:c>
      <x:c r="O498" s="69" t="str">
        <x:v>green pencil sharpener</x:v>
      </x:c>
      <x:c r="P498" s="70" t="str">
        <x:v>Between is explicitly grounded in training.</x:v>
      </x:c>
    </x:row>
    <x:row r="499" ht="58" customHeight="1">
      <x:c r="A499" s="100" t="n">
        <x:v>497</x:v>
      </x:c>
      <x:c r="B499" s="69" t="str">
        <x:v>Referential Disambiguation</x:v>
      </x:c>
      <x:c r="C499" s="69" t="str">
        <x:v>Move the pencil sharpener lying between the airplane toy with propellers and the green pen into the bowl.</x:v>
      </x:c>
      <x:c r="D499" s="69" t="str">
        <x:v>Explicit between grounding</x:v>
      </x:c>
      <x:c r="E499" s="69" t="str">
        <x:v>between</x:v>
      </x:c>
      <x:c r="F499" s="69" t="str">
        <x:v>referential_between_explicit</x:v>
      </x:c>
      <x:c r="G499" s="69" t="str">
        <x:v>furthest × pencil-sharpener candidates with yellow pen / airplane toy without propellers / crushed Pepsi can references</x:v>
      </x:c>
      <x:c r="H499" s="69" t="str">
        <x:v>No</x:v>
      </x:c>
      <x:c r="I499" s="69" t="str"/>
      <x:c r="J499" s="69" t="str">
        <x:v>green pencil sharpener, red pencil sharpener, airplane toy with propellers, green pen</x:v>
      </x:c>
      <x:c r="K499" s="69" t="str">
        <x:v>green pencil sharpener</x:v>
      </x:c>
      <x:c r="L499" s="69" t="str">
        <x:v>Recovery</x:v>
      </x:c>
      <x:c r="M499" s="69" t="str">
        <x:v>Move the pencil sharpener lying between the airplane toy with propellers and the green pen into the bowl.</x:v>
      </x:c>
      <x:c r="N499" s="69" t="str">
        <x:v>green pencil sharpener, red pencil sharpener, airplane toy with propellers, green pen</x:v>
      </x:c>
      <x:c r="O499" s="69" t="str">
        <x:v>green pencil sharpener</x:v>
      </x:c>
      <x:c r="P499" s="70" t="str">
        <x:v>Between is explicitly grounded in training.</x:v>
      </x:c>
    </x:row>
    <x:row r="500" ht="58" customHeight="1">
      <x:c r="A500" s="100" t="n">
        <x:v>498</x:v>
      </x:c>
      <x:c r="B500" s="69" t="str">
        <x:v>Referential Disambiguation</x:v>
      </x:c>
      <x:c r="C500" s="69" t="str">
        <x:v>Pick up the pencil sharpener positioned between the crushed Coke can and the yellow pen, then place it in the bowl.</x:v>
      </x:c>
      <x:c r="D500" s="69" t="str">
        <x:v>Explicit between grounding</x:v>
      </x:c>
      <x:c r="E500" s="69" t="str">
        <x:v>between</x:v>
      </x:c>
      <x:c r="F500" s="69" t="str">
        <x:v>referential_between_explicit</x:v>
      </x:c>
      <x:c r="G500" s="69" t="str">
        <x:v>furthest × pencil-sharpener candidates with yellow pen / airplane toy without propellers / crushed Pepsi can references</x:v>
      </x:c>
      <x:c r="H500" s="69" t="str">
        <x:v>No</x:v>
      </x:c>
      <x:c r="I500" s="69" t="str"/>
      <x:c r="J500" s="69" t="str">
        <x:v>green pencil sharpener, red pencil sharpener, crushed Coke can, yellow pen, airplane toy without propellers</x:v>
      </x:c>
      <x:c r="K500" s="69" t="str">
        <x:v>red pencil sharpener</x:v>
      </x:c>
      <x:c r="L500" s="69" t="str">
        <x:v>Home</x:v>
      </x:c>
      <x:c r="M500" s="69" t="str">
        <x:v>Pick up the pencil sharpener positioned between the crushed Coke can and the yellow pen, then place it in the bowl.</x:v>
      </x:c>
      <x:c r="N500" s="69" t="str">
        <x:v>green pencil sharpener, red pencil sharpener, crushed Coke can, yellow pen, airplane toy without propellers</x:v>
      </x:c>
      <x:c r="O500" s="69" t="str">
        <x:v>red pencil sharpener</x:v>
      </x:c>
      <x:c r="P500" s="70" t="str">
        <x:v>Between is explicitly grounded in training.</x:v>
      </x:c>
    </x:row>
    <x:row r="501" ht="58" customHeight="1">
      <x:c r="A501" s="100" t="n">
        <x:v>499</x:v>
      </x:c>
      <x:c r="B501" s="69" t="str">
        <x:v>Referential Disambiguation</x:v>
      </x:c>
      <x:c r="C501" s="69" t="str">
        <x:v>Put the pencil sharpener between the crushed Pepsi can and the airplane toy with propellers in the bowl.</x:v>
      </x:c>
      <x:c r="D501" s="69" t="str">
        <x:v>Explicit between grounding</x:v>
      </x:c>
      <x:c r="E501" s="69" t="str">
        <x:v>between</x:v>
      </x:c>
      <x:c r="F501" s="69" t="str">
        <x:v>referential_between_explicit</x:v>
      </x:c>
      <x:c r="G501" s="69" t="str">
        <x:v>furthest × pencil-sharpener candidates with yellow pen / airplane toy without propellers / crushed Pepsi can references</x:v>
      </x:c>
      <x:c r="H501" s="69" t="str">
        <x:v>No</x:v>
      </x:c>
      <x:c r="I501" s="69" t="str"/>
      <x:c r="J501" s="69" t="str">
        <x:v>green pencil sharpener, red pencil sharpener, crushed Pepsi can, airplane toy with propellers</x:v>
      </x:c>
      <x:c r="K501" s="69" t="str">
        <x:v>red pencil sharpener</x:v>
      </x:c>
      <x:c r="L501" s="69" t="str">
        <x:v>Home</x:v>
      </x:c>
      <x:c r="M501" s="69" t="str">
        <x:v>Put the pencil sharpener between the crushed Pepsi can and the airplane toy with propellers in the bowl.</x:v>
      </x:c>
      <x:c r="N501" s="69" t="str">
        <x:v>green pencil sharpener, red pencil sharpener, crushed Pepsi can, airplane toy with propellers</x:v>
      </x:c>
      <x:c r="O501" s="69" t="str">
        <x:v>red pencil sharpener</x:v>
      </x:c>
      <x:c r="P501" s="70" t="str">
        <x:v>Between is explicitly grounded in training.</x:v>
      </x:c>
    </x:row>
    <x:row r="502" ht="58" customHeight="1">
      <x:c r="A502" s="100" t="n">
        <x:v>500</x:v>
      </x:c>
      <x:c r="B502" s="69" t="str">
        <x:v>Referential Disambiguation</x:v>
      </x:c>
      <x:c r="C502" s="69" t="str">
        <x:v>Pick up the pen nearest to the green pencil sharpener and place it in the bowl.</x:v>
      </x:c>
      <x:c r="D502" s="69" t="str">
        <x:v>Explicit closest grounding</x:v>
      </x:c>
      <x:c r="E502" s="69" t="str">
        <x:v>closest</x:v>
      </x:c>
      <x:c r="F502" s="69" t="str">
        <x:v>referential_closest_explicit</x:v>
      </x:c>
      <x:c r="G502" s="69" t="str">
        <x:v>furthest × pen candidates with green pencil sharpener / crushed Coke can / airplane toy with propellers references</x:v>
      </x:c>
      <x:c r="H502" s="69" t="str">
        <x:v>No</x:v>
      </x:c>
      <x:c r="I502" s="69" t="str"/>
      <x:c r="J502" s="69" t="str">
        <x:v>green pen, yellow pen, green pencil sharpener</x:v>
      </x:c>
      <x:c r="K502" s="69" t="str">
        <x:v>green pen</x:v>
      </x:c>
      <x:c r="L502" s="69" t="str">
        <x:v>Home</x:v>
      </x:c>
      <x:c r="M502" s="69" t="str">
        <x:v>Pick up the pen nearest to the green pencil sharpener and place it in the bowl.</x:v>
      </x:c>
      <x:c r="N502" s="69" t="str">
        <x:v>green pen, yellow pen, green pencil sharpener</x:v>
      </x:c>
      <x:c r="O502" s="69" t="str">
        <x:v>green pen</x:v>
      </x:c>
      <x:c r="P502" s="70" t="str">
        <x:v>Closest is explicitly grounded in training.</x:v>
      </x:c>
    </x:row>
    <x:row r="503" ht="58" customHeight="1">
      <x:c r="A503" s="100" t="n">
        <x:v>501</x:v>
      </x:c>
      <x:c r="B503" s="69" t="str">
        <x:v>Referential Disambiguation</x:v>
      </x:c>
      <x:c r="C503" s="69" t="str">
        <x:v>Put the pen closest to the red pencil sharpener in the bowl.</x:v>
      </x:c>
      <x:c r="D503" s="69" t="str">
        <x:v>Explicit closest grounding</x:v>
      </x:c>
      <x:c r="E503" s="69" t="str">
        <x:v>closest</x:v>
      </x:c>
      <x:c r="F503" s="69" t="str">
        <x:v>referential_closest_explicit</x:v>
      </x:c>
      <x:c r="G503" s="69" t="str">
        <x:v>furthest × pen candidates with green pencil sharpener / crushed Coke can / airplane toy with propellers references</x:v>
      </x:c>
      <x:c r="H503" s="69" t="str">
        <x:v>No</x:v>
      </x:c>
      <x:c r="I503" s="69" t="str"/>
      <x:c r="J503" s="69" t="str">
        <x:v>green pen, yellow pen, red pencil sharpener, airplane toy without propellers</x:v>
      </x:c>
      <x:c r="K503" s="69" t="str">
        <x:v>yellow pen</x:v>
      </x:c>
      <x:c r="L503" s="69" t="str">
        <x:v>Home</x:v>
      </x:c>
      <x:c r="M503" s="69" t="str">
        <x:v>Put the pen closest to the red pencil sharpener in the bowl.</x:v>
      </x:c>
      <x:c r="N503" s="69" t="str">
        <x:v>green pen, yellow pen, red pencil sharpener, airplane toy without propellers</x:v>
      </x:c>
      <x:c r="O503" s="69" t="str">
        <x:v>yellow pen</x:v>
      </x:c>
      <x:c r="P503" s="70" t="str">
        <x:v>Closest is explicitly grounded in training.</x:v>
      </x:c>
    </x:row>
    <x:row r="504" ht="58" customHeight="1">
      <x:c r="A504" s="100" t="n">
        <x:v>502</x:v>
      </x:c>
      <x:c r="B504" s="69" t="str">
        <x:v>Referential Disambiguation</x:v>
      </x:c>
      <x:c r="C504" s="69" t="str">
        <x:v>Pick up the pen nearest to the crushed Coke can and place it in the bowl.</x:v>
      </x:c>
      <x:c r="D504" s="69" t="str">
        <x:v>Explicit closest grounding</x:v>
      </x:c>
      <x:c r="E504" s="69" t="str">
        <x:v>closest</x:v>
      </x:c>
      <x:c r="F504" s="69" t="str">
        <x:v>referential_closest_explicit</x:v>
      </x:c>
      <x:c r="G504" s="69" t="str">
        <x:v>furthest × pen candidates with green pencil sharpener / crushed Coke can / airplane toy with propellers references</x:v>
      </x:c>
      <x:c r="H504" s="69" t="str">
        <x:v>No</x:v>
      </x:c>
      <x:c r="I504" s="69" t="str"/>
      <x:c r="J504" s="69" t="str">
        <x:v>green pen, yellow pen, crushed Coke can</x:v>
      </x:c>
      <x:c r="K504" s="69" t="str">
        <x:v>green pen</x:v>
      </x:c>
      <x:c r="L504" s="69" t="str">
        <x:v>Home</x:v>
      </x:c>
      <x:c r="M504" s="69" t="str">
        <x:v>Pick up the pen nearest to the crushed Coke can and place it in the bowl.</x:v>
      </x:c>
      <x:c r="N504" s="69" t="str">
        <x:v>green pen, yellow pen, crushed Coke can</x:v>
      </x:c>
      <x:c r="O504" s="69" t="str">
        <x:v>green pen</x:v>
      </x:c>
      <x:c r="P504" s="70" t="str">
        <x:v>Closest is explicitly grounded in training.</x:v>
      </x:c>
    </x:row>
    <x:row r="505" ht="58" customHeight="1">
      <x:c r="A505" s="100" t="n">
        <x:v>503</x:v>
      </x:c>
      <x:c r="B505" s="69" t="str">
        <x:v>Referential Disambiguation</x:v>
      </x:c>
      <x:c r="C505" s="69" t="str">
        <x:v>Put the pen closest to the crushed Pepsi can in the bowl.</x:v>
      </x:c>
      <x:c r="D505" s="69" t="str">
        <x:v>Explicit closest grounding</x:v>
      </x:c>
      <x:c r="E505" s="69" t="str">
        <x:v>closest</x:v>
      </x:c>
      <x:c r="F505" s="69" t="str">
        <x:v>referential_closest_explicit</x:v>
      </x:c>
      <x:c r="G505" s="69" t="str">
        <x:v>furthest × pen candidates with green pencil sharpener / crushed Coke can / airplane toy with propellers references</x:v>
      </x:c>
      <x:c r="H505" s="69" t="str">
        <x:v>No</x:v>
      </x:c>
      <x:c r="I505" s="69" t="str"/>
      <x:c r="J505" s="69" t="str">
        <x:v>green pen, yellow pen, crushed Pepsi can, red pencil sharpener</x:v>
      </x:c>
      <x:c r="K505" s="69" t="str">
        <x:v>yellow pen</x:v>
      </x:c>
      <x:c r="L505" s="69" t="str">
        <x:v>Home</x:v>
      </x:c>
      <x:c r="M505" s="69" t="str">
        <x:v>Put the pen closest to the crushed Pepsi can in the bowl.</x:v>
      </x:c>
      <x:c r="N505" s="69" t="str">
        <x:v>green pen, yellow pen, crushed Pepsi can, red pencil sharpener</x:v>
      </x:c>
      <x:c r="O505" s="69" t="str">
        <x:v>yellow pen</x:v>
      </x:c>
      <x:c r="P505" s="70" t="str">
        <x:v>Closest is explicitly grounded in training.</x:v>
      </x:c>
    </x:row>
    <x:row r="506" ht="58" customHeight="1">
      <x:c r="A506" s="100" t="n">
        <x:v>504</x:v>
      </x:c>
      <x:c r="B506" s="69" t="str">
        <x:v>Referential Disambiguation</x:v>
      </x:c>
      <x:c r="C506" s="69" t="str">
        <x:v>Pick up the pen nearest to the airplane toy with propellers and place it in the bowl.</x:v>
      </x:c>
      <x:c r="D506" s="69" t="str">
        <x:v>Explicit closest grounding</x:v>
      </x:c>
      <x:c r="E506" s="69" t="str">
        <x:v>closest</x:v>
      </x:c>
      <x:c r="F506" s="69" t="str">
        <x:v>referential_closest_explicit</x:v>
      </x:c>
      <x:c r="G506" s="69" t="str">
        <x:v>furthest × pen candidates with green pencil sharpener / crushed Coke can / airplane toy with propellers references</x:v>
      </x:c>
      <x:c r="H506" s="69" t="str">
        <x:v>No</x:v>
      </x:c>
      <x:c r="I506" s="69" t="str"/>
      <x:c r="J506" s="69" t="str">
        <x:v>green pen, yellow pen, airplane toy with propellers</x:v>
      </x:c>
      <x:c r="K506" s="69" t="str">
        <x:v>green pen</x:v>
      </x:c>
      <x:c r="L506" s="69" t="str">
        <x:v>Recovery</x:v>
      </x:c>
      <x:c r="M506" s="69" t="str">
        <x:v>Pick up the pen nearest to the airplane toy with propellers and place it in the bowl.</x:v>
      </x:c>
      <x:c r="N506" s="69" t="str">
        <x:v>green pen, yellow pen, airplane toy with propellers</x:v>
      </x:c>
      <x:c r="O506" s="69" t="str">
        <x:v>green pen</x:v>
      </x:c>
      <x:c r="P506" s="70" t="str">
        <x:v>Closest is explicitly grounded in training.</x:v>
      </x:c>
    </x:row>
    <x:row r="507" ht="58" customHeight="1">
      <x:c r="A507" s="100" t="n">
        <x:v>505</x:v>
      </x:c>
      <x:c r="B507" s="69" t="str">
        <x:v>Referential Disambiguation</x:v>
      </x:c>
      <x:c r="C507" s="69" t="str">
        <x:v>Move the pen that is closest to the airplane toy without propellers into the bowl.</x:v>
      </x:c>
      <x:c r="D507" s="69" t="str">
        <x:v>Explicit closest grounding</x:v>
      </x:c>
      <x:c r="E507" s="69" t="str">
        <x:v>closest</x:v>
      </x:c>
      <x:c r="F507" s="69" t="str">
        <x:v>referential_closest_explicit</x:v>
      </x:c>
      <x:c r="G507" s="69" t="str">
        <x:v>furthest × pen candidates with green pencil sharpener / crushed Coke can / airplane toy with propellers references</x:v>
      </x:c>
      <x:c r="H507" s="69" t="str">
        <x:v>No</x:v>
      </x:c>
      <x:c r="I507" s="69" t="str"/>
      <x:c r="J507" s="69" t="str">
        <x:v>green pen, yellow pen, airplane toy without propellers, crushed Pepsi can</x:v>
      </x:c>
      <x:c r="K507" s="69" t="str">
        <x:v>yellow pen</x:v>
      </x:c>
      <x:c r="L507" s="69" t="str">
        <x:v>Home</x:v>
      </x:c>
      <x:c r="M507" s="69" t="str">
        <x:v>Move the pen that is closest to the airplane toy without propellers into the bowl.</x:v>
      </x:c>
      <x:c r="N507" s="69" t="str">
        <x:v>green pen, yellow pen, airplane toy without propellers, crushed Pepsi can</x:v>
      </x:c>
      <x:c r="O507" s="69" t="str">
        <x:v>yellow pen</x:v>
      </x:c>
      <x:c r="P507" s="70" t="str">
        <x:v>Closest is explicitly grounded in training.</x:v>
      </x:c>
    </x:row>
    <x:row r="508" ht="58" customHeight="1">
      <x:c r="A508" s="100" t="n">
        <x:v>506</x:v>
      </x:c>
      <x:c r="B508" s="69" t="str">
        <x:v>Referential Disambiguation</x:v>
      </x:c>
      <x:c r="C508" s="69" t="str">
        <x:v>Move the pen that is closest to the green pencil sharpener into the bowl.</x:v>
      </x:c>
      <x:c r="D508" s="69" t="str">
        <x:v>Explicit closest grounding</x:v>
      </x:c>
      <x:c r="E508" s="69" t="str">
        <x:v>closest</x:v>
      </x:c>
      <x:c r="F508" s="69" t="str">
        <x:v>referential_closest_explicit</x:v>
      </x:c>
      <x:c r="G508" s="69" t="str">
        <x:v>furthest × pen candidates with green pencil sharpener / crushed Coke can / airplane toy with propellers references</x:v>
      </x:c>
      <x:c r="H508" s="69" t="str">
        <x:v>No</x:v>
      </x:c>
      <x:c r="I508" s="69" t="str"/>
      <x:c r="J508" s="69" t="str">
        <x:v>green pen, yellow pen, green pencil sharpener</x:v>
      </x:c>
      <x:c r="K508" s="69" t="str">
        <x:v>green pen</x:v>
      </x:c>
      <x:c r="L508" s="69" t="str">
        <x:v>Home</x:v>
      </x:c>
      <x:c r="M508" s="69" t="str">
        <x:v>Move the pen that is closest to the green pencil sharpener into the bowl.</x:v>
      </x:c>
      <x:c r="N508" s="69" t="str">
        <x:v>green pen, yellow pen, green pencil sharpener</x:v>
      </x:c>
      <x:c r="O508" s="69" t="str">
        <x:v>green pen</x:v>
      </x:c>
      <x:c r="P508" s="70" t="str">
        <x:v>Closest is explicitly grounded in training.</x:v>
      </x:c>
    </x:row>
    <x:row r="509" ht="58" customHeight="1">
      <x:c r="A509" s="100" t="n">
        <x:v>507</x:v>
      </x:c>
      <x:c r="B509" s="69" t="str">
        <x:v>Referential Disambiguation</x:v>
      </x:c>
      <x:c r="C509" s="69" t="str">
        <x:v>Move the pen that is closest to the red pencil sharpener into the bowl.</x:v>
      </x:c>
      <x:c r="D509" s="69" t="str">
        <x:v>Explicit closest grounding</x:v>
      </x:c>
      <x:c r="E509" s="69" t="str">
        <x:v>closest</x:v>
      </x:c>
      <x:c r="F509" s="69" t="str">
        <x:v>referential_closest_explicit</x:v>
      </x:c>
      <x:c r="G509" s="69" t="str">
        <x:v>furthest × pen candidates with green pencil sharpener / crushed Coke can / airplane toy with propellers references</x:v>
      </x:c>
      <x:c r="H509" s="69" t="str">
        <x:v>No</x:v>
      </x:c>
      <x:c r="I509" s="69" t="str"/>
      <x:c r="J509" s="69" t="str">
        <x:v>green pen, yellow pen, red pencil sharpener, green pencil sharpener</x:v>
      </x:c>
      <x:c r="K509" s="69" t="str">
        <x:v>yellow pen</x:v>
      </x:c>
      <x:c r="L509" s="69" t="str">
        <x:v>Home</x:v>
      </x:c>
      <x:c r="M509" s="69" t="str">
        <x:v>Move the pen that is closest to the red pencil sharpener into the bowl.</x:v>
      </x:c>
      <x:c r="N509" s="69" t="str">
        <x:v>green pen, yellow pen, red pencil sharpener, green pencil sharpener</x:v>
      </x:c>
      <x:c r="O509" s="69" t="str">
        <x:v>yellow pen</x:v>
      </x:c>
      <x:c r="P509" s="70" t="str">
        <x:v>Closest is explicitly grounded in training.</x:v>
      </x:c>
    </x:row>
    <x:row r="510" ht="58" customHeight="1">
      <x:c r="A510" s="100" t="n">
        <x:v>508</x:v>
      </x:c>
      <x:c r="B510" s="69" t="str">
        <x:v>Referential Disambiguation</x:v>
      </x:c>
      <x:c r="C510" s="69" t="str">
        <x:v>Put the pen closest to the crushed Coke can in the bowl.</x:v>
      </x:c>
      <x:c r="D510" s="69" t="str">
        <x:v>Explicit closest grounding</x:v>
      </x:c>
      <x:c r="E510" s="69" t="str">
        <x:v>closest</x:v>
      </x:c>
      <x:c r="F510" s="69" t="str">
        <x:v>referential_closest_explicit</x:v>
      </x:c>
      <x:c r="G510" s="69" t="str">
        <x:v>furthest × pen candidates with green pencil sharpener / crushed Coke can / airplane toy with propellers references</x:v>
      </x:c>
      <x:c r="H510" s="69" t="str">
        <x:v>No</x:v>
      </x:c>
      <x:c r="I510" s="69" t="str"/>
      <x:c r="J510" s="69" t="str">
        <x:v>green pen, yellow pen, crushed Coke can</x:v>
      </x:c>
      <x:c r="K510" s="69" t="str">
        <x:v>green pen</x:v>
      </x:c>
      <x:c r="L510" s="69" t="str">
        <x:v>Home</x:v>
      </x:c>
      <x:c r="M510" s="69" t="str">
        <x:v>Put the pen closest to the crushed Coke can in the bowl.</x:v>
      </x:c>
      <x:c r="N510" s="69" t="str">
        <x:v>green pen, yellow pen, crushed Coke can</x:v>
      </x:c>
      <x:c r="O510" s="69" t="str">
        <x:v>green pen</x:v>
      </x:c>
      <x:c r="P510" s="70" t="str">
        <x:v>Closest is explicitly grounded in training.</x:v>
      </x:c>
    </x:row>
    <x:row r="511" ht="58" customHeight="1">
      <x:c r="A511" s="100" t="n">
        <x:v>509</x:v>
      </x:c>
      <x:c r="B511" s="69" t="str">
        <x:v>Referential Disambiguation</x:v>
      </x:c>
      <x:c r="C511" s="69" t="str">
        <x:v>Move the pen that is closest to the crushed Pepsi can into the bowl.</x:v>
      </x:c>
      <x:c r="D511" s="69" t="str">
        <x:v>Explicit closest grounding</x:v>
      </x:c>
      <x:c r="E511" s="69" t="str">
        <x:v>closest</x:v>
      </x:c>
      <x:c r="F511" s="69" t="str">
        <x:v>referential_closest_explicit</x:v>
      </x:c>
      <x:c r="G511" s="69" t="str">
        <x:v>furthest × pen candidates with green pencil sharpener / crushed Coke can / airplane toy with propellers references</x:v>
      </x:c>
      <x:c r="H511" s="69" t="str">
        <x:v>No</x:v>
      </x:c>
      <x:c r="I511" s="69" t="str"/>
      <x:c r="J511" s="69" t="str">
        <x:v>green pen, yellow pen, crushed Pepsi can, airplane toy without propellers</x:v>
      </x:c>
      <x:c r="K511" s="69" t="str">
        <x:v>yellow pen</x:v>
      </x:c>
      <x:c r="L511" s="69" t="str">
        <x:v>Recovery</x:v>
      </x:c>
      <x:c r="M511" s="69" t="str">
        <x:v>Move the pen that is closest to the crushed Pepsi can into the bowl.</x:v>
      </x:c>
      <x:c r="N511" s="69" t="str">
        <x:v>green pen, yellow pen, crushed Pepsi can, airplane toy without propellers</x:v>
      </x:c>
      <x:c r="O511" s="69" t="str">
        <x:v>yellow pen</x:v>
      </x:c>
      <x:c r="P511" s="70" t="str">
        <x:v>Closest is explicitly grounded in training.</x:v>
      </x:c>
    </x:row>
    <x:row r="512" ht="58" customHeight="1">
      <x:c r="A512" s="100" t="n">
        <x:v>510</x:v>
      </x:c>
      <x:c r="B512" s="69" t="str">
        <x:v>Referential Disambiguation</x:v>
      </x:c>
      <x:c r="C512" s="69" t="str">
        <x:v>Put the pen closest to the airplane toy with propellers in the bowl.</x:v>
      </x:c>
      <x:c r="D512" s="69" t="str">
        <x:v>Explicit closest grounding</x:v>
      </x:c>
      <x:c r="E512" s="69" t="str">
        <x:v>closest</x:v>
      </x:c>
      <x:c r="F512" s="69" t="str">
        <x:v>referential_closest_explicit</x:v>
      </x:c>
      <x:c r="G512" s="69" t="str">
        <x:v>furthest × pen candidates with green pencil sharpener / crushed Coke can / airplane toy with propellers references</x:v>
      </x:c>
      <x:c r="H512" s="69" t="str">
        <x:v>No</x:v>
      </x:c>
      <x:c r="I512" s="69" t="str"/>
      <x:c r="J512" s="69" t="str">
        <x:v>green pen, yellow pen, airplane toy with propellers</x:v>
      </x:c>
      <x:c r="K512" s="69" t="str">
        <x:v>green pen</x:v>
      </x:c>
      <x:c r="L512" s="69" t="str">
        <x:v>Home</x:v>
      </x:c>
      <x:c r="M512" s="69" t="str">
        <x:v>Put the pen closest to the airplane toy with propellers in the bowl.</x:v>
      </x:c>
      <x:c r="N512" s="69" t="str">
        <x:v>green pen, yellow pen, airplane toy with propellers</x:v>
      </x:c>
      <x:c r="O512" s="69" t="str">
        <x:v>green pen</x:v>
      </x:c>
      <x:c r="P512" s="70" t="str">
        <x:v>Closest is explicitly grounded in training.</x:v>
      </x:c>
    </x:row>
    <x:row r="513" ht="58" customHeight="1">
      <x:c r="A513" s="100" t="n">
        <x:v>511</x:v>
      </x:c>
      <x:c r="B513" s="69" t="str">
        <x:v>Referential Disambiguation</x:v>
      </x:c>
      <x:c r="C513" s="69" t="str">
        <x:v>Put the pen closest to the airplane toy without propellers in the bowl.</x:v>
      </x:c>
      <x:c r="D513" s="69" t="str">
        <x:v>Explicit closest grounding</x:v>
      </x:c>
      <x:c r="E513" s="69" t="str">
        <x:v>closest</x:v>
      </x:c>
      <x:c r="F513" s="69" t="str">
        <x:v>referential_closest_explicit</x:v>
      </x:c>
      <x:c r="G513" s="69" t="str">
        <x:v>furthest × pen candidates with green pencil sharpener / crushed Coke can / airplane toy with propellers references</x:v>
      </x:c>
      <x:c r="H513" s="69" t="str">
        <x:v>No</x:v>
      </x:c>
      <x:c r="I513" s="69" t="str"/>
      <x:c r="J513" s="69" t="str">
        <x:v>green pen, yellow pen, airplane toy without propellers, red pencil sharpener</x:v>
      </x:c>
      <x:c r="K513" s="69" t="str">
        <x:v>yellow pen</x:v>
      </x:c>
      <x:c r="L513" s="69" t="str">
        <x:v>Home</x:v>
      </x:c>
      <x:c r="M513" s="69" t="str">
        <x:v>Put the pen closest to the airplane toy without propellers in the bowl.</x:v>
      </x:c>
      <x:c r="N513" s="69" t="str">
        <x:v>green pen, yellow pen, airplane toy without propellers, red pencil sharpener</x:v>
      </x:c>
      <x:c r="O513" s="69" t="str">
        <x:v>yellow pen</x:v>
      </x:c>
      <x:c r="P513" s="70" t="str">
        <x:v>Closest is explicitly grounded in training.</x:v>
      </x:c>
    </x:row>
    <x:row r="514" ht="58" customHeight="1">
      <x:c r="A514" s="100" t="n">
        <x:v>512</x:v>
      </x:c>
      <x:c r="B514" s="69" t="str">
        <x:v>Referential Disambiguation</x:v>
      </x:c>
      <x:c r="C514" s="69" t="str">
        <x:v>Move the pen that is closest to the green pencil sharpener into the bowl.</x:v>
      </x:c>
      <x:c r="D514" s="69" t="str">
        <x:v>Explicit closest grounding</x:v>
      </x:c>
      <x:c r="E514" s="69" t="str">
        <x:v>closest</x:v>
      </x:c>
      <x:c r="F514" s="69" t="str">
        <x:v>referential_closest_explicit</x:v>
      </x:c>
      <x:c r="G514" s="69" t="str">
        <x:v>furthest × pen candidates with green pencil sharpener / crushed Coke can / airplane toy with propellers references</x:v>
      </x:c>
      <x:c r="H514" s="69" t="str">
        <x:v>No</x:v>
      </x:c>
      <x:c r="I514" s="69" t="str"/>
      <x:c r="J514" s="69" t="str">
        <x:v>green pen, yellow pen, green pencil sharpener</x:v>
      </x:c>
      <x:c r="K514" s="69" t="str">
        <x:v>green pen</x:v>
      </x:c>
      <x:c r="L514" s="69" t="str">
        <x:v>Home</x:v>
      </x:c>
      <x:c r="M514" s="69" t="str">
        <x:v>Move the pen that is closest to the green pencil sharpener into the bowl.</x:v>
      </x:c>
      <x:c r="N514" s="69" t="str">
        <x:v>green pen, yellow pen, green pencil sharpener</x:v>
      </x:c>
      <x:c r="O514" s="69" t="str">
        <x:v>green pen</x:v>
      </x:c>
      <x:c r="P514" s="70" t="str">
        <x:v>Closest is explicitly grounded in training.</x:v>
      </x:c>
    </x:row>
    <x:row r="515" ht="58" customHeight="1">
      <x:c r="A515" s="100" t="n">
        <x:v>513</x:v>
      </x:c>
      <x:c r="B515" s="69" t="str">
        <x:v>Referential Disambiguation</x:v>
      </x:c>
      <x:c r="C515" s="69" t="str">
        <x:v>Put the pen closest to the red pencil sharpener in the bowl.</x:v>
      </x:c>
      <x:c r="D515" s="69" t="str">
        <x:v>Explicit closest grounding</x:v>
      </x:c>
      <x:c r="E515" s="69" t="str">
        <x:v>closest</x:v>
      </x:c>
      <x:c r="F515" s="69" t="str">
        <x:v>referential_closest_explicit</x:v>
      </x:c>
      <x:c r="G515" s="69" t="str">
        <x:v>furthest × pen candidates with green pencil sharpener / crushed Coke can / airplane toy with propellers references</x:v>
      </x:c>
      <x:c r="H515" s="69" t="str">
        <x:v>No</x:v>
      </x:c>
      <x:c r="I515" s="69" t="str"/>
      <x:c r="J515" s="69" t="str">
        <x:v>green pen, yellow pen, red pencil sharpener, airplane toy without propellers</x:v>
      </x:c>
      <x:c r="K515" s="69" t="str">
        <x:v>yellow pen</x:v>
      </x:c>
      <x:c r="L515" s="69" t="str">
        <x:v>Home</x:v>
      </x:c>
      <x:c r="M515" s="69" t="str">
        <x:v>Put the pen closest to the red pencil sharpener in the bowl.</x:v>
      </x:c>
      <x:c r="N515" s="69" t="str">
        <x:v>green pen, yellow pen, red pencil sharpener, airplane toy without propellers</x:v>
      </x:c>
      <x:c r="O515" s="69" t="str">
        <x:v>yellow pen</x:v>
      </x:c>
      <x:c r="P515" s="70" t="str">
        <x:v>Closest is explicitly grounded in training.</x:v>
      </x:c>
    </x:row>
    <x:row r="516" ht="58" customHeight="1">
      <x:c r="A516" s="100" t="n">
        <x:v>514</x:v>
      </x:c>
      <x:c r="B516" s="69" t="str">
        <x:v>Referential Disambiguation</x:v>
      </x:c>
      <x:c r="C516" s="69" t="str">
        <x:v>Put the pen closest to the crushed Coke can in the bowl.</x:v>
      </x:c>
      <x:c r="D516" s="69" t="str">
        <x:v>Explicit closest grounding</x:v>
      </x:c>
      <x:c r="E516" s="69" t="str">
        <x:v>closest</x:v>
      </x:c>
      <x:c r="F516" s="69" t="str">
        <x:v>referential_closest_explicit</x:v>
      </x:c>
      <x:c r="G516" s="69" t="str">
        <x:v>furthest × pen candidates with green pencil sharpener / crushed Coke can / airplane toy with propellers references</x:v>
      </x:c>
      <x:c r="H516" s="69" t="str">
        <x:v>No</x:v>
      </x:c>
      <x:c r="I516" s="69" t="str"/>
      <x:c r="J516" s="69" t="str">
        <x:v>green pen, yellow pen, crushed Coke can, crushed Pepsi can</x:v>
      </x:c>
      <x:c r="K516" s="69" t="str">
        <x:v>green pen</x:v>
      </x:c>
      <x:c r="L516" s="69" t="str">
        <x:v>Recovery</x:v>
      </x:c>
      <x:c r="M516" s="69" t="str">
        <x:v>Put the pen closest to the crushed Coke can in the bowl.</x:v>
      </x:c>
      <x:c r="N516" s="69" t="str">
        <x:v>green pen, yellow pen, crushed Coke can, crushed Pepsi can</x:v>
      </x:c>
      <x:c r="O516" s="69" t="str">
        <x:v>green pen</x:v>
      </x:c>
      <x:c r="P516" s="70" t="str">
        <x:v>Closest is explicitly grounded in training.</x:v>
      </x:c>
    </x:row>
    <x:row r="517" ht="58" customHeight="1">
      <x:c r="A517" s="100" t="n">
        <x:v>515</x:v>
      </x:c>
      <x:c r="B517" s="69" t="str">
        <x:v>Referential Disambiguation</x:v>
      </x:c>
      <x:c r="C517" s="69" t="str">
        <x:v>Pick up the pen furthest from the red pencil sharpener and place it in the bowl.</x:v>
      </x:c>
      <x:c r="D517" s="69" t="str">
        <x:v>Explicit furthest grounding</x:v>
      </x:c>
      <x:c r="E517" s="69" t="str">
        <x:v>furthest with pen candidates; reference=red pencil sharpener</x:v>
      </x:c>
      <x:c r="F517" s="69" t="str">
        <x:v>referential_furthest_explicit</x:v>
      </x:c>
      <x:c r="G517" s="69" t="str">
        <x:v>furthest × pen candidates with green pencil sharpener / crushed Coke can / airplane toy with propellers references</x:v>
      </x:c>
      <x:c r="H517" s="69" t="str">
        <x:v>Yes</x:v>
      </x:c>
      <x:c r="I517" s="69" t="str">
        <x:v>recollect referential scene</x:v>
      </x:c>
      <x:c r="J517" s="69" t="str">
        <x:v>P1 red pencil sharpener at table centre [REFERENCE]; P2 green pen with 6 cm edge gap to the left of P1 [CLOSE CANDIDATE]; P3 yellow pen with 20 cm edge gap to the right of P1 [FAR TARGET]</x:v>
      </x:c>
      <x:c r="K517" s="69" t="str">
        <x:v>yellow pen</x:v>
      </x:c>
      <x:c r="L517" s="69" t="str">
        <x:v>Home</x:v>
      </x:c>
      <x:c r="M517" s="69" t="str">
        <x:v>Move the yellow pen into the bowl.</x:v>
      </x:c>
      <x:c r="N517" s="69" t="str">
        <x:v>green pen, yellow pen, crushed Coke can</x:v>
      </x:c>
      <x:c r="O517" s="69" t="str">
        <x:v>yellow pen</x:v>
      </x:c>
      <x:c r="P517" s="70" t="str">
        <x:v>New discriminative grounding for the word furthest, using a candidate-category/reference pairing excluded from the primary evaluation.</x:v>
      </x:c>
    </x:row>
    <x:row r="518" ht="58" customHeight="1">
      <x:c r="A518" s="100" t="n">
        <x:v>516</x:v>
      </x:c>
      <x:c r="B518" s="69" t="str">
        <x:v>Referential Disambiguation</x:v>
      </x:c>
      <x:c r="C518" s="69" t="str">
        <x:v>Move the pen furthest from the airplane toy without propellers into the bowl.</x:v>
      </x:c>
      <x:c r="D518" s="69" t="str">
        <x:v>Explicit furthest grounding</x:v>
      </x:c>
      <x:c r="E518" s="69" t="str">
        <x:v>furthest with pen candidates; reference=airplane toy without propellers</x:v>
      </x:c>
      <x:c r="F518" s="69" t="str">
        <x:v>referential_furthest_explicit</x:v>
      </x:c>
      <x:c r="G518" s="69" t="str">
        <x:v>furthest × pen candidates with green pencil sharpener / crushed Coke can / airplane toy with propellers references</x:v>
      </x:c>
      <x:c r="H518" s="69" t="str">
        <x:v>Yes</x:v>
      </x:c>
      <x:c r="I518" s="69" t="str">
        <x:v>recollect referential scene</x:v>
      </x:c>
      <x:c r="J518" s="69" t="str">
        <x:v>P1 airplane toy without propellers at table centre [REFERENCE]; P2 yellow pen with 6 cm edge gap to the right of P1 [CLOSE CANDIDATE]; P3 green pen with 20 cm edge gap to the left of P1 [FAR TARGET]; P4 pink marker 14 cm from P1 [DISTRACTOR]</x:v>
      </x:c>
      <x:c r="K518" s="69" t="str">
        <x:v>green pen</x:v>
      </x:c>
      <x:c r="L518" s="69" t="str">
        <x:v>Home</x:v>
      </x:c>
      <x:c r="M518" s="69" t="str">
        <x:v>Put the green pen in the bowl.</x:v>
      </x:c>
      <x:c r="N518" s="69" t="str">
        <x:v>green pen, yellow pen, crushed Pepsi can, green pencil sharpener</x:v>
      </x:c>
      <x:c r="O518" s="69" t="str">
        <x:v>green pen</x:v>
      </x:c>
      <x:c r="P518" s="70" t="str">
        <x:v>New discriminative grounding for the word furthest, using a candidate-category/reference pairing excluded from the primary evaluation.</x:v>
      </x:c>
    </x:row>
    <x:row r="519" ht="58" customHeight="1">
      <x:c r="A519" s="100" t="n">
        <x:v>517</x:v>
      </x:c>
      <x:c r="B519" s="69" t="str">
        <x:v>Referential Disambiguation</x:v>
      </x:c>
      <x:c r="C519" s="69" t="str">
        <x:v>Put the pen furthest from the red pencil sharpener in the bowl.</x:v>
      </x:c>
      <x:c r="D519" s="69" t="str">
        <x:v>Explicit furthest grounding</x:v>
      </x:c>
      <x:c r="E519" s="69" t="str">
        <x:v>furthest with pen candidates; reference=red pencil sharpener</x:v>
      </x:c>
      <x:c r="F519" s="69" t="str">
        <x:v>referential_furthest_explicit</x:v>
      </x:c>
      <x:c r="G519" s="69" t="str">
        <x:v>furthest × pen candidates with green pencil sharpener / crushed Coke can / airplane toy with propellers references</x:v>
      </x:c>
      <x:c r="H519" s="69" t="str">
        <x:v>Yes</x:v>
      </x:c>
      <x:c r="I519" s="69" t="str">
        <x:v>recollect referential scene</x:v>
      </x:c>
      <x:c r="J519" s="69" t="str">
        <x:v>P1 red pencil sharpener at table centre [REFERENCE]; P2 green pen with 6 cm edge gap in front of P1 [CLOSE CANDIDATE]; P3 yellow pen with 20 cm edge gap behind P1 [FAR TARGET]</x:v>
      </x:c>
      <x:c r="K519" s="69" t="str">
        <x:v>yellow pen</x:v>
      </x:c>
      <x:c r="L519" s="69" t="str">
        <x:v>Home</x:v>
      </x:c>
      <x:c r="M519" s="69" t="str">
        <x:v>Put the yellow pen in the bowl.</x:v>
      </x:c>
      <x:c r="N519" s="69" t="str">
        <x:v>green pen, yellow pen, airplane toy with propellers</x:v>
      </x:c>
      <x:c r="O519" s="69" t="str">
        <x:v>yellow pen</x:v>
      </x:c>
      <x:c r="P519" s="70" t="str">
        <x:v>New discriminative grounding for the word furthest, using a candidate-category/reference pairing excluded from the primary evaluation.</x:v>
      </x:c>
    </x:row>
    <x:row r="520" ht="58" customHeight="1">
      <x:c r="A520" s="100" t="n">
        <x:v>518</x:v>
      </x:c>
      <x:c r="B520" s="69" t="str">
        <x:v>Referential Disambiguation</x:v>
      </x:c>
      <x:c r="C520" s="69" t="str">
        <x:v>Pick up the pen furthest from the airplane toy without propellers and place it in the bowl.</x:v>
      </x:c>
      <x:c r="D520" s="69" t="str">
        <x:v>Explicit furthest grounding</x:v>
      </x:c>
      <x:c r="E520" s="69" t="str">
        <x:v>furthest with pen candidates; reference=airplane toy without propellers</x:v>
      </x:c>
      <x:c r="F520" s="69" t="str">
        <x:v>referential_furthest_explicit</x:v>
      </x:c>
      <x:c r="G520" s="69" t="str">
        <x:v>furthest × pen candidates with green pencil sharpener / crushed Coke can / airplane toy with propellers references</x:v>
      </x:c>
      <x:c r="H520" s="69" t="str">
        <x:v>Yes</x:v>
      </x:c>
      <x:c r="I520" s="69" t="str">
        <x:v>recollect referential scene</x:v>
      </x:c>
      <x:c r="J520" s="69" t="str">
        <x:v>P1 airplane toy without propellers at table centre [REFERENCE]; P2 yellow pen with 6 cm edge gap behind P1 [CLOSE CANDIDATE]; P3 green pen with 20 cm edge gap in front of P1 [FAR TARGET]; P4 juggling ball 14 cm from P1 [DISTRACTOR]</x:v>
      </x:c>
      <x:c r="K520" s="69" t="str">
        <x:v>green pen</x:v>
      </x:c>
      <x:c r="L520" s="69" t="str">
        <x:v>Recovery</x:v>
      </x:c>
      <x:c r="M520" s="69" t="str">
        <x:v>Pick up the green pen and place it in the bowl.</x:v>
      </x:c>
      <x:c r="N520" s="69" t="str">
        <x:v>green pen, yellow pen, airplane toy without propellers, crushed Coke can</x:v>
      </x:c>
      <x:c r="O520" s="69" t="str">
        <x:v>green pen</x:v>
      </x:c>
      <x:c r="P520" s="70" t="str">
        <x:v>New discriminative grounding for the word furthest, using a candidate-category/reference pairing excluded from the primary evaluation.</x:v>
      </x:c>
    </x:row>
    <x:row r="521" ht="58" customHeight="1">
      <x:c r="A521" s="100" t="n">
        <x:v>519</x:v>
      </x:c>
      <x:c r="B521" s="69" t="str">
        <x:v>Referential Disambiguation</x:v>
      </x:c>
      <x:c r="C521" s="69" t="str">
        <x:v>Move the pen furthest from the red pencil sharpener into the bowl.</x:v>
      </x:c>
      <x:c r="D521" s="69" t="str">
        <x:v>Explicit furthest grounding</x:v>
      </x:c>
      <x:c r="E521" s="69" t="str">
        <x:v>furthest with pen candidates; reference=red pencil sharpener</x:v>
      </x:c>
      <x:c r="F521" s="69" t="str">
        <x:v>referential_furthest_explicit</x:v>
      </x:c>
      <x:c r="G521" s="69" t="str">
        <x:v>furthest × pen candidates with green pencil sharpener / crushed Coke can / airplane toy with propellers references</x:v>
      </x:c>
      <x:c r="H521" s="69" t="str">
        <x:v>Yes</x:v>
      </x:c>
      <x:c r="I521" s="69" t="str">
        <x:v>recollect referential scene</x:v>
      </x:c>
      <x:c r="J521" s="69" t="str">
        <x:v>P1 red pencil sharpener at table centre [REFERENCE]; P2 green pen with 6 cm edge gap to the left of P1 [CLOSE CANDIDATE]; P3 yellow pen with 20 cm edge gap to the right of P1 [FAR TARGET]</x:v>
      </x:c>
      <x:c r="K521" s="69" t="str">
        <x:v>yellow pen</x:v>
      </x:c>
      <x:c r="L521" s="69" t="str">
        <x:v>Home</x:v>
      </x:c>
      <x:c r="M521" s="69" t="str">
        <x:v>Put the yellow pen in the bowl.</x:v>
      </x:c>
      <x:c r="N521" s="69" t="str">
        <x:v>green pen, yellow pen, green pencil sharpener</x:v>
      </x:c>
      <x:c r="O521" s="69" t="str">
        <x:v>yellow pen</x:v>
      </x:c>
      <x:c r="P521" s="70" t="str">
        <x:v>New discriminative grounding for the word furthest, using a candidate-category/reference pairing excluded from the primary evaluation.</x:v>
      </x:c>
    </x:row>
    <x:row r="522" ht="58" customHeight="1">
      <x:c r="A522" s="100" t="n">
        <x:v>520</x:v>
      </x:c>
      <x:c r="B522" s="69" t="str">
        <x:v>Referential Disambiguation</x:v>
      </x:c>
      <x:c r="C522" s="69" t="str">
        <x:v>Put the pen furthest from the airplane toy without propellers in the bowl.</x:v>
      </x:c>
      <x:c r="D522" s="69" t="str">
        <x:v>Explicit furthest grounding</x:v>
      </x:c>
      <x:c r="E522" s="69" t="str">
        <x:v>furthest with pen candidates; reference=airplane toy without propellers</x:v>
      </x:c>
      <x:c r="F522" s="69" t="str">
        <x:v>referential_furthest_explicit</x:v>
      </x:c>
      <x:c r="G522" s="69" t="str">
        <x:v>furthest × pen candidates with green pencil sharpener / crushed Coke can / airplane toy with propellers references</x:v>
      </x:c>
      <x:c r="H522" s="69" t="str">
        <x:v>Yes</x:v>
      </x:c>
      <x:c r="I522" s="69" t="str">
        <x:v>recollect referential scene</x:v>
      </x:c>
      <x:c r="J522" s="69" t="str">
        <x:v>P1 airplane toy without propellers at table centre [REFERENCE]; P2 yellow pen with 6 cm edge gap to the right of P1 [CLOSE CANDIDATE]; P3 green pen with 20 cm edge gap to the left of P1 [FAR TARGET]; P4 pink marker 14 cm from P1 [DISTRACTOR]</x:v>
      </x:c>
      <x:c r="K522" s="69" t="str">
        <x:v>green pen</x:v>
      </x:c>
      <x:c r="L522" s="69" t="str">
        <x:v>Home</x:v>
      </x:c>
      <x:c r="M522" s="69" t="str">
        <x:v>Put the green pen in the bowl.</x:v>
      </x:c>
      <x:c r="N522" s="69" t="str">
        <x:v>green pen, yellow pen, red pencil sharpener, green pencil sharpener</x:v>
      </x:c>
      <x:c r="O522" s="69" t="str">
        <x:v>green pen</x:v>
      </x:c>
      <x:c r="P522" s="70" t="str">
        <x:v>New discriminative grounding for the word furthest, using a candidate-category/reference pairing excluded from the primary evaluation.</x:v>
      </x:c>
    </x:row>
    <x:row r="523" ht="58" customHeight="1">
      <x:c r="A523" s="100" t="n">
        <x:v>521</x:v>
      </x:c>
      <x:c r="B523" s="69" t="str">
        <x:v>Referential Disambiguation</x:v>
      </x:c>
      <x:c r="C523" s="69" t="str">
        <x:v>Put the yellow pen in the bowl.</x:v>
      </x:c>
      <x:c r="D523" s="69" t="str">
        <x:v>Masked held-out furthest composition</x:v>
      </x:c>
      <x:c r="E523" s="69" t="str">
        <x:v>direct object identity; physical far-target exposure without furthest language</x:v>
      </x:c>
      <x:c r="F523" s="69" t="str">
        <x:v>referential_furthest_masked</x:v>
      </x:c>
      <x:c r="G523" s="69" t="str">
        <x:v>furthest × pen candidates with green pencil sharpener / crushed Coke can / airplane toy with propellers references</x:v>
      </x:c>
      <x:c r="H523" s="69" t="str">
        <x:v>No</x:v>
      </x:c>
      <x:c r="I523" s="69" t="str"/>
      <x:c r="J523" s="69" t="str">
        <x:v>green pen, yellow pen, crushed Coke can</x:v>
      </x:c>
      <x:c r="K523" s="69" t="str">
        <x:v>yellow pen</x:v>
      </x:c>
      <x:c r="L523" s="69" t="str">
        <x:v>Home</x:v>
      </x:c>
      <x:c r="M523" s="69" t="str">
        <x:v>Put the yellow pen in the bowl.</x:v>
      </x:c>
      <x:c r="N523" s="69" t="str">
        <x:v>green pen, yellow pen, crushed Coke can</x:v>
      </x:c>
      <x:c r="O523" s="69" t="str">
        <x:v>yellow pen</x:v>
      </x:c>
      <x:c r="P523" s="70" t="str">
        <x:v>Retain the physical trajectory under a direct-name prompt so evaluation-specific furthest compositions remain withheld.</x:v>
      </x:c>
    </x:row>
    <x:row r="524" ht="58" customHeight="1">
      <x:c r="A524" s="100" t="n">
        <x:v>522</x:v>
      </x:c>
      <x:c r="B524" s="69" t="str">
        <x:v>Referential Disambiguation</x:v>
      </x:c>
      <x:c r="C524" s="69" t="str">
        <x:v>Move the green pen into the bowl.</x:v>
      </x:c>
      <x:c r="D524" s="69" t="str">
        <x:v>Masked held-out furthest composition</x:v>
      </x:c>
      <x:c r="E524" s="69" t="str">
        <x:v>direct object identity; physical far-target exposure without furthest language</x:v>
      </x:c>
      <x:c r="F524" s="69" t="str">
        <x:v>referential_furthest_masked</x:v>
      </x:c>
      <x:c r="G524" s="69" t="str">
        <x:v>furthest × pen candidates with green pencil sharpener / crushed Coke can / airplane toy with propellers references</x:v>
      </x:c>
      <x:c r="H524" s="69" t="str">
        <x:v>No</x:v>
      </x:c>
      <x:c r="I524" s="69" t="str"/>
      <x:c r="J524" s="69" t="str">
        <x:v>green pen, yellow pen, crushed Pepsi can, airplane toy with propellers</x:v>
      </x:c>
      <x:c r="K524" s="69" t="str">
        <x:v>green pen</x:v>
      </x:c>
      <x:c r="L524" s="69" t="str">
        <x:v>Home</x:v>
      </x:c>
      <x:c r="M524" s="69" t="str">
        <x:v>Move the green pen into the bowl.</x:v>
      </x:c>
      <x:c r="N524" s="69" t="str">
        <x:v>green pen, yellow pen, crushed Pepsi can, airplane toy with propellers</x:v>
      </x:c>
      <x:c r="O524" s="69" t="str">
        <x:v>green pen</x:v>
      </x:c>
      <x:c r="P524" s="70" t="str">
        <x:v>Retain the physical trajectory under a direct-name prompt so evaluation-specific furthest compositions remain withheld.</x:v>
      </x:c>
    </x:row>
    <x:row r="525" ht="58" customHeight="1">
      <x:c r="A525" s="100" t="n">
        <x:v>523</x:v>
      </x:c>
      <x:c r="B525" s="69" t="str">
        <x:v>Referential Disambiguation</x:v>
      </x:c>
      <x:c r="C525" s="69" t="str">
        <x:v>Pick up the yellow pen and place it in the bowl.</x:v>
      </x:c>
      <x:c r="D525" s="69" t="str">
        <x:v>Masked held-out furthest composition</x:v>
      </x:c>
      <x:c r="E525" s="69" t="str">
        <x:v>direct object identity; physical far-target exposure without furthest language</x:v>
      </x:c>
      <x:c r="F525" s="69" t="str">
        <x:v>referential_furthest_masked</x:v>
      </x:c>
      <x:c r="G525" s="69" t="str">
        <x:v>furthest × pen candidates with green pencil sharpener / crushed Coke can / airplane toy with propellers references</x:v>
      </x:c>
      <x:c r="H525" s="69" t="str">
        <x:v>No</x:v>
      </x:c>
      <x:c r="I525" s="69" t="str"/>
      <x:c r="J525" s="69" t="str">
        <x:v>green pen, yellow pen, airplane toy with propellers</x:v>
      </x:c>
      <x:c r="K525" s="69" t="str">
        <x:v>yellow pen</x:v>
      </x:c>
      <x:c r="L525" s="69" t="str">
        <x:v>Recovery</x:v>
      </x:c>
      <x:c r="M525" s="69" t="str">
        <x:v>Pick up the yellow pen and place it in the bowl.</x:v>
      </x:c>
      <x:c r="N525" s="69" t="str">
        <x:v>green pen, yellow pen, airplane toy with propellers</x:v>
      </x:c>
      <x:c r="O525" s="69" t="str">
        <x:v>yellow pen</x:v>
      </x:c>
      <x:c r="P525" s="70" t="str">
        <x:v>Retain the physical trajectory under a direct-name prompt so evaluation-specific furthest compositions remain withheld.</x:v>
      </x:c>
    </x:row>
    <x:row r="526" ht="58" customHeight="1">
      <x:c r="A526" s="100" t="n">
        <x:v>524</x:v>
      </x:c>
      <x:c r="B526" s="69" t="str">
        <x:v>Referential Disambiguation</x:v>
      </x:c>
      <x:c r="C526" s="69" t="str">
        <x:v>Pick up the green pen and place it in the bowl.</x:v>
      </x:c>
      <x:c r="D526" s="69" t="str">
        <x:v>Masked held-out furthest composition</x:v>
      </x:c>
      <x:c r="E526" s="69" t="str">
        <x:v>direct object identity; physical far-target exposure without furthest language</x:v>
      </x:c>
      <x:c r="F526" s="69" t="str">
        <x:v>referential_furthest_masked</x:v>
      </x:c>
      <x:c r="G526" s="69" t="str">
        <x:v>furthest × pen candidates with green pencil sharpener / crushed Coke can / airplane toy with propellers references</x:v>
      </x:c>
      <x:c r="H526" s="69" t="str">
        <x:v>No</x:v>
      </x:c>
      <x:c r="I526" s="69" t="str"/>
      <x:c r="J526" s="69" t="str">
        <x:v>green pen, yellow pen, airplane toy without propellers, green pencil sharpener</x:v>
      </x:c>
      <x:c r="K526" s="69" t="str">
        <x:v>green pen</x:v>
      </x:c>
      <x:c r="L526" s="69" t="str">
        <x:v>Home</x:v>
      </x:c>
      <x:c r="M526" s="69" t="str">
        <x:v>Pick up the green pen and place it in the bowl.</x:v>
      </x:c>
      <x:c r="N526" s="69" t="str">
        <x:v>green pen, yellow pen, airplane toy without propellers, green pencil sharpener</x:v>
      </x:c>
      <x:c r="O526" s="69" t="str">
        <x:v>green pen</x:v>
      </x:c>
      <x:c r="P526" s="70" t="str">
        <x:v>Retain the physical trajectory under a direct-name prompt so evaluation-specific furthest compositions remain withheld.</x:v>
      </x:c>
    </x:row>
    <x:row r="527" ht="58" customHeight="1">
      <x:c r="A527" s="100" t="n">
        <x:v>525</x:v>
      </x:c>
      <x:c r="B527" s="69" t="str">
        <x:v>Referential Disambiguation</x:v>
      </x:c>
      <x:c r="C527" s="69" t="str">
        <x:v>Pick up the yellow pen and place it in the bowl.</x:v>
      </x:c>
      <x:c r="D527" s="69" t="str">
        <x:v>Masked held-out furthest composition</x:v>
      </x:c>
      <x:c r="E527" s="69" t="str">
        <x:v>direct object identity; physical far-target exposure without furthest language</x:v>
      </x:c>
      <x:c r="F527" s="69" t="str">
        <x:v>referential_furthest_masked</x:v>
      </x:c>
      <x:c r="G527" s="69" t="str">
        <x:v>furthest × pen candidates with green pencil sharpener / crushed Coke can / airplane toy with propellers references</x:v>
      </x:c>
      <x:c r="H527" s="69" t="str">
        <x:v>No</x:v>
      </x:c>
      <x:c r="I527" s="69" t="str"/>
      <x:c r="J527" s="69" t="str">
        <x:v>green pen, yellow pen, green pencil sharpener</x:v>
      </x:c>
      <x:c r="K527" s="69" t="str">
        <x:v>yellow pen</x:v>
      </x:c>
      <x:c r="L527" s="69" t="str">
        <x:v>Home</x:v>
      </x:c>
      <x:c r="M527" s="69" t="str">
        <x:v>Pick up the yellow pen and place it in the bowl.</x:v>
      </x:c>
      <x:c r="N527" s="69" t="str">
        <x:v>green pen, yellow pen, green pencil sharpener</x:v>
      </x:c>
      <x:c r="O527" s="69" t="str">
        <x:v>yellow pen</x:v>
      </x:c>
      <x:c r="P527" s="70" t="str">
        <x:v>Retain the physical trajectory under a direct-name prompt so evaluation-specific furthest compositions remain withheld.</x:v>
      </x:c>
    </x:row>
    <x:row r="528" ht="58" customHeight="1">
      <x:c r="A528" s="100" t="n">
        <x:v>526</x:v>
      </x:c>
      <x:c r="B528" s="69" t="str">
        <x:v>Referential Disambiguation</x:v>
      </x:c>
      <x:c r="C528" s="69" t="str">
        <x:v>Put the green pen in the bowl.</x:v>
      </x:c>
      <x:c r="D528" s="69" t="str">
        <x:v>Masked held-out furthest composition</x:v>
      </x:c>
      <x:c r="E528" s="69" t="str">
        <x:v>direct object identity; physical far-target exposure without furthest language</x:v>
      </x:c>
      <x:c r="F528" s="69" t="str">
        <x:v>referential_furthest_masked</x:v>
      </x:c>
      <x:c r="G528" s="69" t="str">
        <x:v>furthest × pen candidates with green pencil sharpener / crushed Coke can / airplane toy with propellers references</x:v>
      </x:c>
      <x:c r="H528" s="69" t="str">
        <x:v>No</x:v>
      </x:c>
      <x:c r="I528" s="69" t="str"/>
      <x:c r="J528" s="69" t="str">
        <x:v>green pen, yellow pen, red pencil sharpener, airplane toy with propellers</x:v>
      </x:c>
      <x:c r="K528" s="69" t="str">
        <x:v>green pen</x:v>
      </x:c>
      <x:c r="L528" s="69" t="str">
        <x:v>Home</x:v>
      </x:c>
      <x:c r="M528" s="69" t="str">
        <x:v>Put the green pen in the bowl.</x:v>
      </x:c>
      <x:c r="N528" s="69" t="str">
        <x:v>green pen, yellow pen, red pencil sharpener, airplane toy with propellers</x:v>
      </x:c>
      <x:c r="O528" s="69" t="str">
        <x:v>green pen</x:v>
      </x:c>
      <x:c r="P528" s="70" t="str">
        <x:v>Retain the physical trajectory under a direct-name prompt so evaluation-specific furthest compositions remain withheld.</x:v>
      </x:c>
    </x:row>
    <x:row r="529" ht="58" customHeight="1">
      <x:c r="A529" s="100" t="n">
        <x:v>527</x:v>
      </x:c>
      <x:c r="B529" s="69" t="str">
        <x:v>Referential Disambiguation</x:v>
      </x:c>
      <x:c r="C529" s="69" t="str">
        <x:v>Move the yellow pen into the bowl.</x:v>
      </x:c>
      <x:c r="D529" s="69" t="str">
        <x:v>Masked held-out furthest composition</x:v>
      </x:c>
      <x:c r="E529" s="69" t="str">
        <x:v>direct object identity; physical far-target exposure without furthest language</x:v>
      </x:c>
      <x:c r="F529" s="69" t="str">
        <x:v>referential_furthest_masked</x:v>
      </x:c>
      <x:c r="G529" s="69" t="str">
        <x:v>furthest × pen candidates with green pencil sharpener / crushed Coke can / airplane toy with propellers references</x:v>
      </x:c>
      <x:c r="H529" s="69" t="str">
        <x:v>No</x:v>
      </x:c>
      <x:c r="I529" s="69" t="str"/>
      <x:c r="J529" s="69" t="str">
        <x:v>green pen, yellow pen, crushed Coke can</x:v>
      </x:c>
      <x:c r="K529" s="69" t="str">
        <x:v>yellow pen</x:v>
      </x:c>
      <x:c r="L529" s="69" t="str">
        <x:v>Home</x:v>
      </x:c>
      <x:c r="M529" s="69" t="str">
        <x:v>Move the yellow pen into the bowl.</x:v>
      </x:c>
      <x:c r="N529" s="69" t="str">
        <x:v>green pen, yellow pen, crushed Coke can</x:v>
      </x:c>
      <x:c r="O529" s="69" t="str">
        <x:v>yellow pen</x:v>
      </x:c>
      <x:c r="P529" s="70" t="str">
        <x:v>Retain the physical trajectory under a direct-name prompt so evaluation-specific furthest compositions remain withheld.</x:v>
      </x:c>
    </x:row>
    <x:row r="530" ht="58" customHeight="1">
      <x:c r="A530" s="100" t="n">
        <x:v>528</x:v>
      </x:c>
      <x:c r="B530" s="69" t="str">
        <x:v>Referential Disambiguation</x:v>
      </x:c>
      <x:c r="C530" s="69" t="str">
        <x:v>Move the green pen into the bowl.</x:v>
      </x:c>
      <x:c r="D530" s="69" t="str">
        <x:v>Masked held-out furthest composition</x:v>
      </x:c>
      <x:c r="E530" s="69" t="str">
        <x:v>direct object identity; physical far-target exposure without furthest language</x:v>
      </x:c>
      <x:c r="F530" s="69" t="str">
        <x:v>referential_furthest_masked</x:v>
      </x:c>
      <x:c r="G530" s="69" t="str">
        <x:v>furthest × pen candidates with green pencil sharpener / crushed Coke can / airplane toy with propellers references</x:v>
      </x:c>
      <x:c r="H530" s="69" t="str">
        <x:v>No</x:v>
      </x:c>
      <x:c r="I530" s="69" t="str"/>
      <x:c r="J530" s="69" t="str">
        <x:v>green pen, yellow pen, crushed Pepsi can, crushed Coke can</x:v>
      </x:c>
      <x:c r="K530" s="69" t="str">
        <x:v>green pen</x:v>
      </x:c>
      <x:c r="L530" s="69" t="str">
        <x:v>Recovery</x:v>
      </x:c>
      <x:c r="M530" s="69" t="str">
        <x:v>Move the green pen into the bowl.</x:v>
      </x:c>
      <x:c r="N530" s="69" t="str">
        <x:v>green pen, yellow pen, crushed Pepsi can, crushed Coke can</x:v>
      </x:c>
      <x:c r="O530" s="69" t="str">
        <x:v>green pen</x:v>
      </x:c>
      <x:c r="P530" s="70" t="str">
        <x:v>Retain the physical trajectory under a direct-name prompt so evaluation-specific furthest compositions remain withheld.</x:v>
      </x:c>
    </x:row>
    <x:row r="531" ht="58" customHeight="1">
      <x:c r="A531" s="100" t="n">
        <x:v>529</x:v>
      </x:c>
      <x:c r="B531" s="69" t="str">
        <x:v>Referential Disambiguation</x:v>
      </x:c>
      <x:c r="C531" s="69" t="str">
        <x:v>Pick up the yellow pen and place it in the bowl.</x:v>
      </x:c>
      <x:c r="D531" s="69" t="str">
        <x:v>Masked held-out furthest composition</x:v>
      </x:c>
      <x:c r="E531" s="69" t="str">
        <x:v>direct object identity; physical far-target exposure without furthest language</x:v>
      </x:c>
      <x:c r="F531" s="69" t="str">
        <x:v>referential_furthest_masked</x:v>
      </x:c>
      <x:c r="G531" s="69" t="str">
        <x:v>furthest × pen candidates with green pencil sharpener / crushed Coke can / airplane toy with propellers references</x:v>
      </x:c>
      <x:c r="H531" s="69" t="str">
        <x:v>No</x:v>
      </x:c>
      <x:c r="I531" s="69" t="str"/>
      <x:c r="J531" s="69" t="str">
        <x:v>green pen, yellow pen, airplane toy with propellers</x:v>
      </x:c>
      <x:c r="K531" s="69" t="str">
        <x:v>yellow pen</x:v>
      </x:c>
      <x:c r="L531" s="69" t="str">
        <x:v>Home</x:v>
      </x:c>
      <x:c r="M531" s="69" t="str">
        <x:v>Pick up the yellow pen and place it in the bowl.</x:v>
      </x:c>
      <x:c r="N531" s="69" t="str">
        <x:v>green pen, yellow pen, airplane toy with propellers</x:v>
      </x:c>
      <x:c r="O531" s="69" t="str">
        <x:v>yellow pen</x:v>
      </x:c>
      <x:c r="P531" s="70" t="str">
        <x:v>Retain the physical trajectory under a direct-name prompt so evaluation-specific furthest compositions remain withheld.</x:v>
      </x:c>
    </x:row>
    <x:row r="532" ht="58" customHeight="1">
      <x:c r="A532" s="100" t="n">
        <x:v>530</x:v>
      </x:c>
      <x:c r="B532" s="69" t="str">
        <x:v>Referential Disambiguation</x:v>
      </x:c>
      <x:c r="C532" s="69" t="str">
        <x:v>Pick up the pen positioned between the airplane toy without propellers and the green pencil sharpener, then place it in the bowl.</x:v>
      </x:c>
      <x:c r="D532" s="69" t="str">
        <x:v>Explicit between grounding</x:v>
      </x:c>
      <x:c r="E532" s="69" t="str">
        <x:v>between</x:v>
      </x:c>
      <x:c r="F532" s="69" t="str">
        <x:v>referential_between_explicit</x:v>
      </x:c>
      <x:c r="G532" s="69" t="str">
        <x:v>furthest × pen candidates with green pencil sharpener / crushed Coke can / airplane toy with propellers references</x:v>
      </x:c>
      <x:c r="H532" s="69" t="str">
        <x:v>No</x:v>
      </x:c>
      <x:c r="I532" s="69" t="str"/>
      <x:c r="J532" s="69" t="str">
        <x:v>green pen, yellow pen, airplane toy without propellers, green pencil sharpener</x:v>
      </x:c>
      <x:c r="K532" s="69" t="str">
        <x:v>green pen</x:v>
      </x:c>
      <x:c r="L532" s="69" t="str">
        <x:v>Home</x:v>
      </x:c>
      <x:c r="M532" s="69" t="str">
        <x:v>Pick up the pen positioned between the airplane toy without propellers and the green pencil sharpener, then place it in the bowl.</x:v>
      </x:c>
      <x:c r="N532" s="69" t="str">
        <x:v>green pen, yellow pen, airplane toy without propellers, green pencil sharpener</x:v>
      </x:c>
      <x:c r="O532" s="69" t="str">
        <x:v>green pen</x:v>
      </x:c>
      <x:c r="P532" s="70" t="str">
        <x:v>Between is explicitly grounded in training.</x:v>
      </x:c>
    </x:row>
    <x:row r="533" ht="58" customHeight="1">
      <x:c r="A533" s="100" t="n">
        <x:v>531</x:v>
      </x:c>
      <x:c r="B533" s="69" t="str">
        <x:v>Referential Disambiguation</x:v>
      </x:c>
      <x:c r="C533" s="69" t="str">
        <x:v>Move the pen lying between the crushed Pepsi can and the airplane toy with propellers into the bowl.</x:v>
      </x:c>
      <x:c r="D533" s="69" t="str">
        <x:v>Explicit between grounding</x:v>
      </x:c>
      <x:c r="E533" s="69" t="str">
        <x:v>between</x:v>
      </x:c>
      <x:c r="F533" s="69" t="str">
        <x:v>referential_between_explicit</x:v>
      </x:c>
      <x:c r="G533" s="69" t="str">
        <x:v>furthest × pen candidates with green pencil sharpener / crushed Coke can / airplane toy with propellers references</x:v>
      </x:c>
      <x:c r="H533" s="69" t="str">
        <x:v>No</x:v>
      </x:c>
      <x:c r="I533" s="69" t="str"/>
      <x:c r="J533" s="69" t="str">
        <x:v>green pen, yellow pen, crushed Pepsi can, airplane toy with propellers</x:v>
      </x:c>
      <x:c r="K533" s="69" t="str">
        <x:v>green pen</x:v>
      </x:c>
      <x:c r="L533" s="69" t="str">
        <x:v>Home</x:v>
      </x:c>
      <x:c r="M533" s="69" t="str">
        <x:v>Move the pen lying between the crushed Pepsi can and the airplane toy with propellers into the bowl.</x:v>
      </x:c>
      <x:c r="N533" s="69" t="str">
        <x:v>green pen, yellow pen, crushed Pepsi can, airplane toy with propellers</x:v>
      </x:c>
      <x:c r="O533" s="69" t="str">
        <x:v>green pen</x:v>
      </x:c>
      <x:c r="P533" s="70" t="str">
        <x:v>Between is explicitly grounded in training.</x:v>
      </x:c>
    </x:row>
    <x:row r="534" ht="58" customHeight="1">
      <x:c r="A534" s="100" t="n">
        <x:v>532</x:v>
      </x:c>
      <x:c r="B534" s="69" t="str">
        <x:v>Referential Disambiguation</x:v>
      </x:c>
      <x:c r="C534" s="69" t="str">
        <x:v>Put the pen between the green pencil sharpener and the crushed Coke can in the bowl.</x:v>
      </x:c>
      <x:c r="D534" s="69" t="str">
        <x:v>Explicit between grounding</x:v>
      </x:c>
      <x:c r="E534" s="69" t="str">
        <x:v>between</x:v>
      </x:c>
      <x:c r="F534" s="69" t="str">
        <x:v>referential_between_explicit</x:v>
      </x:c>
      <x:c r="G534" s="69" t="str">
        <x:v>furthest × pen candidates with green pencil sharpener / crushed Coke can / airplane toy with propellers references</x:v>
      </x:c>
      <x:c r="H534" s="69" t="str">
        <x:v>No</x:v>
      </x:c>
      <x:c r="I534" s="69" t="str"/>
      <x:c r="J534" s="69" t="str">
        <x:v>green pen, yellow pen, green pencil sharpener, crushed Coke can, airplane toy with propellers</x:v>
      </x:c>
      <x:c r="K534" s="69" t="str">
        <x:v>yellow pen</x:v>
      </x:c>
      <x:c r="L534" s="69" t="str">
        <x:v>Home</x:v>
      </x:c>
      <x:c r="M534" s="69" t="str">
        <x:v>Put the pen between the green pencil sharpener and the crushed Coke can in the bowl.</x:v>
      </x:c>
      <x:c r="N534" s="69" t="str">
        <x:v>green pen, yellow pen, green pencil sharpener, crushed Coke can, airplane toy with propellers</x:v>
      </x:c>
      <x:c r="O534" s="69" t="str">
        <x:v>yellow pen</x:v>
      </x:c>
      <x:c r="P534" s="70" t="str">
        <x:v>Between is explicitly grounded in training.</x:v>
      </x:c>
    </x:row>
    <x:row r="535" ht="58" customHeight="1">
      <x:c r="A535" s="100" t="n">
        <x:v>533</x:v>
      </x:c>
      <x:c r="B535" s="69" t="str">
        <x:v>Referential Disambiguation</x:v>
      </x:c>
      <x:c r="C535" s="69" t="str">
        <x:v>Pick up the pen positioned between the airplane toy with propellers and the green pencil sharpener, then place it in the bowl.</x:v>
      </x:c>
      <x:c r="D535" s="69" t="str">
        <x:v>Explicit between grounding</x:v>
      </x:c>
      <x:c r="E535" s="69" t="str">
        <x:v>between</x:v>
      </x:c>
      <x:c r="F535" s="69" t="str">
        <x:v>referential_between_explicit</x:v>
      </x:c>
      <x:c r="G535" s="69" t="str">
        <x:v>furthest × pen candidates with green pencil sharpener / crushed Coke can / airplane toy with propellers references</x:v>
      </x:c>
      <x:c r="H535" s="69" t="str">
        <x:v>No</x:v>
      </x:c>
      <x:c r="I535" s="69" t="str"/>
      <x:c r="J535" s="69" t="str">
        <x:v>green pen, yellow pen, airplane toy with propellers, green pencil sharpener, red pencil sharpener</x:v>
      </x:c>
      <x:c r="K535" s="69" t="str">
        <x:v>yellow pen</x:v>
      </x:c>
      <x:c r="L535" s="69" t="str">
        <x:v>Recovery</x:v>
      </x:c>
      <x:c r="M535" s="69" t="str">
        <x:v>Pick up the pen positioned between the airplane toy with propellers and the green pencil sharpener, then place it in the bowl.</x:v>
      </x:c>
      <x:c r="N535" s="69" t="str">
        <x:v>green pen, yellow pen, airplane toy with propellers, green pencil sharpener, red pencil sharpener</x:v>
      </x:c>
      <x:c r="O535" s="69" t="str">
        <x:v>yellow pen</x:v>
      </x:c>
      <x:c r="P535" s="70" t="str">
        <x:v>Between is explicitly grounded in training.</x:v>
      </x:c>
    </x:row>
    <x:row r="536" ht="58" customHeight="1">
      <x:c r="A536" s="100" t="n">
        <x:v>534</x:v>
      </x:c>
      <x:c r="B536" s="69" t="str">
        <x:v>Referential Disambiguation</x:v>
      </x:c>
      <x:c r="C536" s="69" t="str">
        <x:v>Pick up the pen positioned between the airplane toy with propellers and the crushed Coke can, then place it in the bowl.</x:v>
      </x:c>
      <x:c r="D536" s="69" t="str">
        <x:v>Explicit between grounding</x:v>
      </x:c>
      <x:c r="E536" s="69" t="str">
        <x:v>between</x:v>
      </x:c>
      <x:c r="F536" s="69" t="str">
        <x:v>referential_between_explicit</x:v>
      </x:c>
      <x:c r="G536" s="69" t="str">
        <x:v>furthest × pen candidates with green pencil sharpener / crushed Coke can / airplane toy with propellers references</x:v>
      </x:c>
      <x:c r="H536" s="69" t="str">
        <x:v>No</x:v>
      </x:c>
      <x:c r="I536" s="69" t="str"/>
      <x:c r="J536" s="69" t="str">
        <x:v>green pen, yellow pen, airplane toy with propellers, crushed Coke can</x:v>
      </x:c>
      <x:c r="K536" s="69" t="str">
        <x:v>green pen</x:v>
      </x:c>
      <x:c r="L536" s="69" t="str">
        <x:v>Home</x:v>
      </x:c>
      <x:c r="M536" s="69" t="str">
        <x:v>Pick up the pen positioned between the airplane toy with propellers and the crushed Coke can, then place it in the bowl.</x:v>
      </x:c>
      <x:c r="N536" s="69" t="str">
        <x:v>green pen, yellow pen, airplane toy with propellers, crushed Coke can</x:v>
      </x:c>
      <x:c r="O536" s="69" t="str">
        <x:v>green pen</x:v>
      </x:c>
      <x:c r="P536" s="70" t="str">
        <x:v>Between is explicitly grounded in training.</x:v>
      </x:c>
    </x:row>
    <x:row r="537" ht="58" customHeight="1">
      <x:c r="A537" s="100" t="n">
        <x:v>535</x:v>
      </x:c>
      <x:c r="B537" s="69" t="str">
        <x:v>Referential Disambiguation</x:v>
      </x:c>
      <x:c r="C537" s="69" t="str">
        <x:v>Put the pen between the green pencil sharpener and the crushed Pepsi can in the bowl.</x:v>
      </x:c>
      <x:c r="D537" s="69" t="str">
        <x:v>Explicit between grounding</x:v>
      </x:c>
      <x:c r="E537" s="69" t="str">
        <x:v>between</x:v>
      </x:c>
      <x:c r="F537" s="69" t="str">
        <x:v>referential_between_explicit</x:v>
      </x:c>
      <x:c r="G537" s="69" t="str">
        <x:v>furthest × pen candidates with green pencil sharpener / crushed Coke can / airplane toy with propellers references</x:v>
      </x:c>
      <x:c r="H537" s="69" t="str">
        <x:v>No</x:v>
      </x:c>
      <x:c r="I537" s="69" t="str"/>
      <x:c r="J537" s="69" t="str">
        <x:v>green pen, yellow pen, green pencil sharpener, crushed Pepsi can, airplane toy without propellers</x:v>
      </x:c>
      <x:c r="K537" s="69" t="str">
        <x:v>yellow pen</x:v>
      </x:c>
      <x:c r="L537" s="69" t="str">
        <x:v>Recovery</x:v>
      </x:c>
      <x:c r="M537" s="69" t="str">
        <x:v>Put the pen between the green pencil sharpener and the crushed Pepsi can in the bowl.</x:v>
      </x:c>
      <x:c r="N537" s="69" t="str">
        <x:v>green pen, yellow pen, green pencil sharpener, crushed Pepsi can, airplane toy without propellers</x:v>
      </x:c>
      <x:c r="O537" s="69" t="str">
        <x:v>yellow pen</x:v>
      </x:c>
      <x:c r="P537" s="70" t="str">
        <x:v>Between is explicitly grounded in training.</x:v>
      </x:c>
    </x:row>
    <x:row r="538" ht="58" customHeight="1">
      <x:c r="A538" s="100" t="n">
        <x:v>536</x:v>
      </x:c>
      <x:c r="B538" s="69" t="str">
        <x:v>Referential Disambiguation</x:v>
      </x:c>
      <x:c r="C538" s="69" t="str">
        <x:v>Move the pen lying between the red pencil sharpener and the airplane toy with propellers into the bowl.</x:v>
      </x:c>
      <x:c r="D538" s="69" t="str">
        <x:v>Explicit between grounding</x:v>
      </x:c>
      <x:c r="E538" s="69" t="str">
        <x:v>between</x:v>
      </x:c>
      <x:c r="F538" s="69" t="str">
        <x:v>referential_between_explicit</x:v>
      </x:c>
      <x:c r="G538" s="69" t="str">
        <x:v>furthest × pen candidates with green pencil sharpener / crushed Coke can / airplane toy with propellers references</x:v>
      </x:c>
      <x:c r="H538" s="69" t="str">
        <x:v>No</x:v>
      </x:c>
      <x:c r="I538" s="69" t="str"/>
      <x:c r="J538" s="69" t="str">
        <x:v>green pen, yellow pen, red pencil sharpener, airplane toy with propellers, green pencil sharpener</x:v>
      </x:c>
      <x:c r="K538" s="69" t="str">
        <x:v>green pen</x:v>
      </x:c>
      <x:c r="L538" s="69" t="str">
        <x:v>Home</x:v>
      </x:c>
      <x:c r="M538" s="69" t="str">
        <x:v>Move the pen lying between the red pencil sharpener and the airplane toy with propellers into the bowl.</x:v>
      </x:c>
      <x:c r="N538" s="69" t="str">
        <x:v>green pen, yellow pen, red pencil sharpener, airplane toy with propellers, green pencil sharpener</x:v>
      </x:c>
      <x:c r="O538" s="69" t="str">
        <x:v>green pen</x:v>
      </x:c>
      <x:c r="P538" s="70" t="str">
        <x:v>Between is explicitly grounded in training.</x:v>
      </x:c>
    </x:row>
    <x:row r="539" ht="58" customHeight="1">
      <x:c r="A539" s="100" t="n">
        <x:v>537</x:v>
      </x:c>
      <x:c r="B539" s="69" t="str">
        <x:v>Referential Disambiguation</x:v>
      </x:c>
      <x:c r="C539" s="69" t="str">
        <x:v>Put the pen between the airplane toy without propellers and the crushed Pepsi can in the bowl.</x:v>
      </x:c>
      <x:c r="D539" s="69" t="str">
        <x:v>Explicit between grounding</x:v>
      </x:c>
      <x:c r="E539" s="69" t="str">
        <x:v>between</x:v>
      </x:c>
      <x:c r="F539" s="69" t="str">
        <x:v>referential_between_explicit</x:v>
      </x:c>
      <x:c r="G539" s="69" t="str">
        <x:v>furthest × pen candidates with green pencil sharpener / crushed Coke can / airplane toy with propellers references</x:v>
      </x:c>
      <x:c r="H539" s="69" t="str">
        <x:v>No</x:v>
      </x:c>
      <x:c r="I539" s="69" t="str"/>
      <x:c r="J539" s="69" t="str">
        <x:v>green pen, yellow pen, airplane toy without propellers, crushed Pepsi can</x:v>
      </x:c>
      <x:c r="K539" s="69" t="str">
        <x:v>yellow pen</x:v>
      </x:c>
      <x:c r="L539" s="69" t="str">
        <x:v>Home</x:v>
      </x:c>
      <x:c r="M539" s="69" t="str">
        <x:v>Put the pen between the airplane toy without propellers and the crushed Pepsi can in the bowl.</x:v>
      </x:c>
      <x:c r="N539" s="69" t="str">
        <x:v>green pen, yellow pen, airplane toy without propellers, crushed Pepsi can</x:v>
      </x:c>
      <x:c r="O539" s="69" t="str">
        <x:v>yellow pen</x:v>
      </x:c>
      <x:c r="P539" s="70" t="str">
        <x:v>Between is explicitly grounded in training.</x:v>
      </x:c>
    </x:row>
    <x:row r="540" ht="58" customHeight="1">
      <x:c r="A540" s="100" t="n">
        <x:v>538</x:v>
      </x:c>
      <x:c r="B540" s="69" t="str">
        <x:v>Referential Disambiguation</x:v>
      </x:c>
      <x:c r="C540" s="69" t="str">
        <x:v>Move the pen lying between the crushed Coke can and the red pencil sharpener into the bowl.</x:v>
      </x:c>
      <x:c r="D540" s="69" t="str">
        <x:v>Explicit between grounding</x:v>
      </x:c>
      <x:c r="E540" s="69" t="str">
        <x:v>between</x:v>
      </x:c>
      <x:c r="F540" s="69" t="str">
        <x:v>referential_between_explicit</x:v>
      </x:c>
      <x:c r="G540" s="69" t="str">
        <x:v>furthest × pen candidates with green pencil sharpener / crushed Coke can / airplane toy with propellers references</x:v>
      </x:c>
      <x:c r="H540" s="69" t="str">
        <x:v>No</x:v>
      </x:c>
      <x:c r="I540" s="69" t="str"/>
      <x:c r="J540" s="69" t="str">
        <x:v>green pen, yellow pen, crushed Coke can, red pencil sharpener, crushed Pepsi can</x:v>
      </x:c>
      <x:c r="K540" s="69" t="str">
        <x:v>green pen</x:v>
      </x:c>
      <x:c r="L540" s="69" t="str">
        <x:v>Home</x:v>
      </x:c>
      <x:c r="M540" s="69" t="str">
        <x:v>Move the pen lying between the crushed Coke can and the red pencil sharpener into the bowl.</x:v>
      </x:c>
      <x:c r="N540" s="69" t="str">
        <x:v>green pen, yellow pen, crushed Coke can, red pencil sharpener, crushed Pepsi can</x:v>
      </x:c>
      <x:c r="O540" s="69" t="str">
        <x:v>green pen</x:v>
      </x:c>
      <x:c r="P540" s="70" t="str">
        <x:v>Between is explicitly grounded in training.</x:v>
      </x:c>
    </x:row>
    <x:row r="541" ht="58" customHeight="1">
      <x:c r="A541" s="100" t="n">
        <x:v>539</x:v>
      </x:c>
      <x:c r="B541" s="69" t="str">
        <x:v>Referential Disambiguation</x:v>
      </x:c>
      <x:c r="C541" s="69" t="str">
        <x:v>Move the pen lying between the red pencil sharpener and the airplane toy without propellers into the bowl.</x:v>
      </x:c>
      <x:c r="D541" s="69" t="str">
        <x:v>Explicit between grounding</x:v>
      </x:c>
      <x:c r="E541" s="69" t="str">
        <x:v>between</x:v>
      </x:c>
      <x:c r="F541" s="69" t="str">
        <x:v>referential_between_explicit</x:v>
      </x:c>
      <x:c r="G541" s="69" t="str">
        <x:v>furthest × pen candidates with green pencil sharpener / crushed Coke can / airplane toy with propellers references</x:v>
      </x:c>
      <x:c r="H541" s="69" t="str">
        <x:v>No</x:v>
      </x:c>
      <x:c r="I541" s="69" t="str"/>
      <x:c r="J541" s="69" t="str">
        <x:v>green pen, yellow pen, red pencil sharpener, airplane toy without propellers</x:v>
      </x:c>
      <x:c r="K541" s="69" t="str">
        <x:v>yellow pen</x:v>
      </x:c>
      <x:c r="L541" s="69" t="str">
        <x:v>Home</x:v>
      </x:c>
      <x:c r="M541" s="69" t="str">
        <x:v>Move the pen lying between the red pencil sharpener and the airplane toy without propellers into the bowl.</x:v>
      </x:c>
      <x:c r="N541" s="69" t="str">
        <x:v>green pen, yellow pen, red pencil sharpener, airplane toy without propellers</x:v>
      </x:c>
      <x:c r="O541" s="69" t="str">
        <x:v>yellow pen</x:v>
      </x:c>
      <x:c r="P541" s="70" t="str">
        <x:v>Between is explicitly grounded in training.</x:v>
      </x:c>
    </x:row>
    <x:row r="542" ht="58" customHeight="1">
      <x:c r="A542" s="100" t="n">
        <x:v>540</x:v>
      </x:c>
      <x:c r="B542" s="69" t="str">
        <x:v>Referential Disambiguation</x:v>
      </x:c>
      <x:c r="C542" s="69" t="str">
        <x:v>Move the pen lying between the green pencil sharpener and the crushed Coke can into the bowl.</x:v>
      </x:c>
      <x:c r="D542" s="69" t="str">
        <x:v>Explicit between grounding</x:v>
      </x:c>
      <x:c r="E542" s="69" t="str">
        <x:v>between</x:v>
      </x:c>
      <x:c r="F542" s="69" t="str">
        <x:v>referential_between_explicit</x:v>
      </x:c>
      <x:c r="G542" s="69" t="str">
        <x:v>furthest × pen candidates with green pencil sharpener / crushed Coke can / airplane toy with propellers references</x:v>
      </x:c>
      <x:c r="H542" s="69" t="str">
        <x:v>No</x:v>
      </x:c>
      <x:c r="I542" s="69" t="str"/>
      <x:c r="J542" s="69" t="str">
        <x:v>green pen, yellow pen, green pencil sharpener, crushed Coke can</x:v>
      </x:c>
      <x:c r="K542" s="69" t="str">
        <x:v>yellow pen</x:v>
      </x:c>
      <x:c r="L542" s="69" t="str">
        <x:v>Home</x:v>
      </x:c>
      <x:c r="M542" s="69" t="str">
        <x:v>Move the pen lying between the green pencil sharpener and the crushed Coke can into the bowl.</x:v>
      </x:c>
      <x:c r="N542" s="69" t="str">
        <x:v>green pen, yellow pen, green pencil sharpener, crushed Coke can</x:v>
      </x:c>
      <x:c r="O542" s="69" t="str">
        <x:v>yellow pen</x:v>
      </x:c>
      <x:c r="P542" s="70" t="str">
        <x:v>Between is explicitly grounded in training.</x:v>
      </x:c>
    </x:row>
    <x:row r="543" ht="58" customHeight="1">
      <x:c r="A543" s="100" t="n">
        <x:v>541</x:v>
      </x:c>
      <x:c r="B543" s="69" t="str">
        <x:v>Referential Disambiguation</x:v>
      </x:c>
      <x:c r="C543" s="69" t="str">
        <x:v>Put the pen between the airplane toy with propellers and the green pencil sharpener in the bowl.</x:v>
      </x:c>
      <x:c r="D543" s="69" t="str">
        <x:v>Explicit between grounding</x:v>
      </x:c>
      <x:c r="E543" s="69" t="str">
        <x:v>between</x:v>
      </x:c>
      <x:c r="F543" s="69" t="str">
        <x:v>referential_between_explicit</x:v>
      </x:c>
      <x:c r="G543" s="69" t="str">
        <x:v>furthest × pen candidates with green pencil sharpener / crushed Coke can / airplane toy with propellers references</x:v>
      </x:c>
      <x:c r="H543" s="69" t="str">
        <x:v>No</x:v>
      </x:c>
      <x:c r="I543" s="69" t="str"/>
      <x:c r="J543" s="69" t="str">
        <x:v>green pen, yellow pen, airplane toy with propellers, green pencil sharpener, crushed Coke can</x:v>
      </x:c>
      <x:c r="K543" s="69" t="str">
        <x:v>green pen</x:v>
      </x:c>
      <x:c r="L543" s="69" t="str">
        <x:v>Home</x:v>
      </x:c>
      <x:c r="M543" s="69" t="str">
        <x:v>Put the pen between the airplane toy with propellers and the green pencil sharpener in the bowl.</x:v>
      </x:c>
      <x:c r="N543" s="69" t="str">
        <x:v>green pen, yellow pen, airplane toy with propellers, green pencil sharpener, crushed Coke can</x:v>
      </x:c>
      <x:c r="O543" s="69" t="str">
        <x:v>green pen</x:v>
      </x:c>
      <x:c r="P543" s="70" t="str">
        <x:v>Between is explicitly grounded in training.</x:v>
      </x:c>
    </x:row>
    <x:row r="544" ht="58" customHeight="1">
      <x:c r="A544" s="100" t="n">
        <x:v>542</x:v>
      </x:c>
      <x:c r="B544" s="69" t="str">
        <x:v>Referential Disambiguation</x:v>
      </x:c>
      <x:c r="C544" s="69" t="str">
        <x:v>Move the pen lying between the airplane toy with propellers and the crushed Coke can into the bowl.</x:v>
      </x:c>
      <x:c r="D544" s="69" t="str">
        <x:v>Explicit between grounding</x:v>
      </x:c>
      <x:c r="E544" s="69" t="str">
        <x:v>between</x:v>
      </x:c>
      <x:c r="F544" s="69" t="str">
        <x:v>referential_between_explicit</x:v>
      </x:c>
      <x:c r="G544" s="69" t="str">
        <x:v>furthest × pen candidates with green pencil sharpener / crushed Coke can / airplane toy with propellers references</x:v>
      </x:c>
      <x:c r="H544" s="69" t="str">
        <x:v>No</x:v>
      </x:c>
      <x:c r="I544" s="69" t="str"/>
      <x:c r="J544" s="69" t="str">
        <x:v>green pen, yellow pen, airplane toy with propellers, crushed Coke can, red pencil sharpener</x:v>
      </x:c>
      <x:c r="K544" s="69" t="str">
        <x:v>yellow pen</x:v>
      </x:c>
      <x:c r="L544" s="69" t="str">
        <x:v>Home</x:v>
      </x:c>
      <x:c r="M544" s="69" t="str">
        <x:v>Move the pen lying between the airplane toy with propellers and the crushed Coke can into the bowl.</x:v>
      </x:c>
      <x:c r="N544" s="69" t="str">
        <x:v>green pen, yellow pen, airplane toy with propellers, crushed Coke can, red pencil sharpener</x:v>
      </x:c>
      <x:c r="O544" s="69" t="str">
        <x:v>yellow pen</x:v>
      </x:c>
      <x:c r="P544" s="70" t="str">
        <x:v>Between is explicitly grounded in training.</x:v>
      </x:c>
    </x:row>
    <x:row r="545" ht="58" customHeight="1">
      <x:c r="A545" s="100" t="n">
        <x:v>543</x:v>
      </x:c>
      <x:c r="B545" s="69" t="str">
        <x:v>Referential Disambiguation</x:v>
      </x:c>
      <x:c r="C545" s="69" t="str">
        <x:v>Pick up the pen positioned between the green pencil sharpener and the crushed Pepsi can, then place it in the bowl.</x:v>
      </x:c>
      <x:c r="D545" s="69" t="str">
        <x:v>Explicit between grounding</x:v>
      </x:c>
      <x:c r="E545" s="69" t="str">
        <x:v>between</x:v>
      </x:c>
      <x:c r="F545" s="69" t="str">
        <x:v>referential_between_explicit</x:v>
      </x:c>
      <x:c r="G545" s="69" t="str">
        <x:v>furthest × pen candidates with green pencil sharpener / crushed Coke can / airplane toy with propellers references</x:v>
      </x:c>
      <x:c r="H545" s="69" t="str">
        <x:v>No</x:v>
      </x:c>
      <x:c r="I545" s="69" t="str"/>
      <x:c r="J545" s="69" t="str">
        <x:v>green pen, yellow pen, green pencil sharpener, crushed Pepsi can, airplane toy with propellers</x:v>
      </x:c>
      <x:c r="K545" s="69" t="str">
        <x:v>green pen</x:v>
      </x:c>
      <x:c r="L545" s="69" t="str">
        <x:v>Home</x:v>
      </x:c>
      <x:c r="M545" s="69" t="str">
        <x:v>Pick up the pen positioned between the green pencil sharpener and the crushed Pepsi can, then place it in the bowl.</x:v>
      </x:c>
      <x:c r="N545" s="69" t="str">
        <x:v>green pen, yellow pen, green pencil sharpener, crushed Pepsi can, airplane toy with propellers</x:v>
      </x:c>
      <x:c r="O545" s="69" t="str">
        <x:v>green pen</x:v>
      </x:c>
      <x:c r="P545" s="70" t="str">
        <x:v>Between is explicitly grounded in training.</x:v>
      </x:c>
    </x:row>
    <x:row r="546" ht="58" customHeight="1">
      <x:c r="A546" s="100" t="n">
        <x:v>544</x:v>
      </x:c>
      <x:c r="B546" s="69" t="str">
        <x:v>Referential Disambiguation</x:v>
      </x:c>
      <x:c r="C546" s="69" t="str">
        <x:v>Pick up the pen positioned between the red pencil sharpener and the airplane toy with propellers, then place it in the bowl.</x:v>
      </x:c>
      <x:c r="D546" s="69" t="str">
        <x:v>Explicit between grounding</x:v>
      </x:c>
      <x:c r="E546" s="69" t="str">
        <x:v>between</x:v>
      </x:c>
      <x:c r="F546" s="69" t="str">
        <x:v>referential_between_explicit</x:v>
      </x:c>
      <x:c r="G546" s="69" t="str">
        <x:v>furthest × pen candidates with green pencil sharpener / crushed Coke can / airplane toy with propellers references</x:v>
      </x:c>
      <x:c r="H546" s="69" t="str">
        <x:v>No</x:v>
      </x:c>
      <x:c r="I546" s="69" t="str"/>
      <x:c r="J546" s="69" t="str">
        <x:v>green pen, yellow pen, red pencil sharpener, airplane toy with propellers</x:v>
      </x:c>
      <x:c r="K546" s="69" t="str">
        <x:v>green pen</x:v>
      </x:c>
      <x:c r="L546" s="69" t="str">
        <x:v>Recovery</x:v>
      </x:c>
      <x:c r="M546" s="69" t="str">
        <x:v>Pick up the pen positioned between the red pencil sharpener and the airplane toy with propellers, then place it in the bowl.</x:v>
      </x:c>
      <x:c r="N546" s="69" t="str">
        <x:v>green pen, yellow pen, red pencil sharpener, airplane toy with propellers</x:v>
      </x:c>
      <x:c r="O546" s="69" t="str">
        <x:v>green pen</x:v>
      </x:c>
      <x:c r="P546" s="70" t="str">
        <x:v>Between is explicitly grounded in training.</x:v>
      </x:c>
    </x:row>
    <x:row r="547" ht="58" customHeight="1">
      <x:c r="A547" s="100" t="n">
        <x:v>545</x:v>
      </x:c>
      <x:c r="B547" s="69" t="str">
        <x:v>Referential Disambiguation</x:v>
      </x:c>
      <x:c r="C547" s="69" t="str">
        <x:v>Move the pen lying between the airplane toy without propellers and the crushed Pepsi can into the bowl.</x:v>
      </x:c>
      <x:c r="D547" s="69" t="str">
        <x:v>Explicit between grounding</x:v>
      </x:c>
      <x:c r="E547" s="69" t="str">
        <x:v>between</x:v>
      </x:c>
      <x:c r="F547" s="69" t="str">
        <x:v>referential_between_explicit</x:v>
      </x:c>
      <x:c r="G547" s="69" t="str">
        <x:v>furthest × pen candidates with green pencil sharpener / crushed Coke can / airplane toy with propellers references</x:v>
      </x:c>
      <x:c r="H547" s="69" t="str">
        <x:v>No</x:v>
      </x:c>
      <x:c r="I547" s="69" t="str"/>
      <x:c r="J547" s="69" t="str">
        <x:v>green pen, yellow pen, airplane toy without propellers, crushed Pepsi can</x:v>
      </x:c>
      <x:c r="K547" s="69" t="str">
        <x:v>yellow pen</x:v>
      </x:c>
      <x:c r="L547" s="69" t="str">
        <x:v>Home</x:v>
      </x:c>
      <x:c r="M547" s="69" t="str">
        <x:v>Move the pen lying between the airplane toy without propellers and the crushed Pepsi can into the bowl.</x:v>
      </x:c>
      <x:c r="N547" s="69" t="str">
        <x:v>green pen, yellow pen, airplane toy without propellers, crushed Pepsi can</x:v>
      </x:c>
      <x:c r="O547" s="69" t="str">
        <x:v>yellow pen</x:v>
      </x:c>
      <x:c r="P547" s="70" t="str">
        <x:v>Between is explicitly grounded in training.</x:v>
      </x:c>
    </x:row>
    <x:row r="548" ht="58" customHeight="1">
      <x:c r="A548" s="100" t="n">
        <x:v>546</x:v>
      </x:c>
      <x:c r="B548" s="69" t="str">
        <x:v>Referential Disambiguation</x:v>
      </x:c>
      <x:c r="C548" s="69" t="str">
        <x:v>Move the pen lying between the crushed Coke can and the red pencil sharpener into the bowl.</x:v>
      </x:c>
      <x:c r="D548" s="69" t="str">
        <x:v>Explicit between grounding</x:v>
      </x:c>
      <x:c r="E548" s="69" t="str">
        <x:v>between</x:v>
      </x:c>
      <x:c r="F548" s="69" t="str">
        <x:v>referential_between_explicit</x:v>
      </x:c>
      <x:c r="G548" s="69" t="str">
        <x:v>furthest × pen candidates with green pencil sharpener / crushed Coke can / airplane toy with propellers references</x:v>
      </x:c>
      <x:c r="H548" s="69" t="str">
        <x:v>No</x:v>
      </x:c>
      <x:c r="I548" s="69" t="str"/>
      <x:c r="J548" s="69" t="str">
        <x:v>green pen, yellow pen, crushed Coke can, red pencil sharpener</x:v>
      </x:c>
      <x:c r="K548" s="69" t="str">
        <x:v>yellow pen</x:v>
      </x:c>
      <x:c r="L548" s="69" t="str">
        <x:v>Home</x:v>
      </x:c>
      <x:c r="M548" s="69" t="str">
        <x:v>Move the pen lying between the crushed Coke can and the red pencil sharpener into the bowl.</x:v>
      </x:c>
      <x:c r="N548" s="69" t="str">
        <x:v>green pen, yellow pen, crushed Coke can, red pencil sharpener</x:v>
      </x:c>
      <x:c r="O548" s="69" t="str">
        <x:v>yellow pen</x:v>
      </x:c>
      <x:c r="P548" s="70" t="str">
        <x:v>Between is explicitly grounded in training.</x:v>
      </x:c>
    </x:row>
    <x:row r="549" ht="58" customHeight="1">
      <x:c r="A549" s="100" t="n">
        <x:v>547</x:v>
      </x:c>
      <x:c r="B549" s="69" t="str">
        <x:v>Referential Disambiguation</x:v>
      </x:c>
      <x:c r="C549" s="69" t="str">
        <x:v>Pick up the pen positioned between the red pencil sharpener and the airplane toy without propellers, then place it in the bowl.</x:v>
      </x:c>
      <x:c r="D549" s="69" t="str">
        <x:v>Explicit between grounding</x:v>
      </x:c>
      <x:c r="E549" s="69" t="str">
        <x:v>between</x:v>
      </x:c>
      <x:c r="F549" s="69" t="str">
        <x:v>referential_between_explicit</x:v>
      </x:c>
      <x:c r="G549" s="69" t="str">
        <x:v>furthest × pen candidates with green pencil sharpener / crushed Coke can / airplane toy with propellers references</x:v>
      </x:c>
      <x:c r="H549" s="69" t="str">
        <x:v>No</x:v>
      </x:c>
      <x:c r="I549" s="69" t="str"/>
      <x:c r="J549" s="69" t="str">
        <x:v>green pen, yellow pen, red pencil sharpener, airplane toy without propellers, green pencil sharpener</x:v>
      </x:c>
      <x:c r="K549" s="69" t="str">
        <x:v>yellow pen</x:v>
      </x:c>
      <x:c r="L549" s="69" t="str">
        <x:v>Recovery</x:v>
      </x:c>
      <x:c r="M549" s="69" t="str">
        <x:v>Pick up the pen positioned between the red pencil sharpener and the airplane toy without propellers, then place it in the bowl.</x:v>
      </x:c>
      <x:c r="N549" s="69" t="str">
        <x:v>green pen, yellow pen, red pencil sharpener, airplane toy without propellers, green pencil sharpener</x:v>
      </x:c>
      <x:c r="O549" s="69" t="str">
        <x:v>yellow pen</x:v>
      </x:c>
      <x:c r="P549" s="70" t="str">
        <x:v>Between is explicitly grounded in training.</x:v>
      </x:c>
    </x:row>
    <x:row r="550" ht="58" customHeight="1">
      <x:c r="A550" s="100" t="n">
        <x:v>548</x:v>
      </x:c>
      <x:c r="B550" s="69" t="str">
        <x:v>Referential Disambiguation</x:v>
      </x:c>
      <x:c r="C550" s="69" t="str">
        <x:v>Put the pen between the crushed Coke can and the airplane toy without propellers in the bowl.</x:v>
      </x:c>
      <x:c r="D550" s="69" t="str">
        <x:v>Explicit between grounding</x:v>
      </x:c>
      <x:c r="E550" s="69" t="str">
        <x:v>between</x:v>
      </x:c>
      <x:c r="F550" s="69" t="str">
        <x:v>referential_between_explicit</x:v>
      </x:c>
      <x:c r="G550" s="69" t="str">
        <x:v>furthest × pen candidates with green pencil sharpener / crushed Coke can / airplane toy with propellers references</x:v>
      </x:c>
      <x:c r="H550" s="69" t="str">
        <x:v>No</x:v>
      </x:c>
      <x:c r="I550" s="69" t="str"/>
      <x:c r="J550" s="69" t="str">
        <x:v>green pen, yellow pen, crushed Coke can, airplane toy without propellers</x:v>
      </x:c>
      <x:c r="K550" s="69" t="str">
        <x:v>green pen</x:v>
      </x:c>
      <x:c r="L550" s="69" t="str">
        <x:v>Home</x:v>
      </x:c>
      <x:c r="M550" s="69" t="str">
        <x:v>Put the pen between the crushed Coke can and the airplane toy without propellers in the bowl.</x:v>
      </x:c>
      <x:c r="N550" s="69" t="str">
        <x:v>green pen, yellow pen, crushed Coke can, airplane toy without propellers</x:v>
      </x:c>
      <x:c r="O550" s="69" t="str">
        <x:v>green pen</x:v>
      </x:c>
      <x:c r="P550" s="70" t="str">
        <x:v>Between is explicitly grounded in training.</x:v>
      </x:c>
    </x:row>
    <x:row r="551" ht="58" customHeight="1">
      <x:c r="A551" s="100" t="n">
        <x:v>549</x:v>
      </x:c>
      <x:c r="B551" s="69" t="str">
        <x:v>Referential Disambiguation</x:v>
      </x:c>
      <x:c r="C551" s="69" t="str">
        <x:v>Put the pen between the crushed Pepsi can and the red pencil sharpener in the bowl.</x:v>
      </x:c>
      <x:c r="D551" s="69" t="str">
        <x:v>Explicit between grounding</x:v>
      </x:c>
      <x:c r="E551" s="69" t="str">
        <x:v>between</x:v>
      </x:c>
      <x:c r="F551" s="69" t="str">
        <x:v>referential_between_explicit</x:v>
      </x:c>
      <x:c r="G551" s="69" t="str">
        <x:v>furthest × pen candidates with green pencil sharpener / crushed Coke can / airplane toy with propellers references</x:v>
      </x:c>
      <x:c r="H551" s="69" t="str">
        <x:v>No</x:v>
      </x:c>
      <x:c r="I551" s="69" t="str"/>
      <x:c r="J551" s="69" t="str">
        <x:v>green pen, yellow pen, crushed Pepsi can, red pencil sharpener, airplane toy without propellers</x:v>
      </x:c>
      <x:c r="K551" s="69" t="str">
        <x:v>green pen</x:v>
      </x:c>
      <x:c r="L551" s="69" t="str">
        <x:v>Home</x:v>
      </x:c>
      <x:c r="M551" s="69" t="str">
        <x:v>Put the pen between the crushed Pepsi can and the red pencil sharpener in the bowl.</x:v>
      </x:c>
      <x:c r="N551" s="69" t="str">
        <x:v>green pen, yellow pen, crushed Pepsi can, red pencil sharpener, airplane toy without propellers</x:v>
      </x:c>
      <x:c r="O551" s="69" t="str">
        <x:v>green pen</x:v>
      </x:c>
      <x:c r="P551" s="70" t="str">
        <x:v>Between is explicitly grounded in training.</x:v>
      </x:c>
    </x:row>
    <x:row r="552" ht="58" customHeight="1">
      <x:c r="A552" s="100" t="n">
        <x:v>550</x:v>
      </x:c>
      <x:c r="B552" s="69" t="str">
        <x:v>Referential Disambiguation</x:v>
      </x:c>
      <x:c r="C552" s="69" t="str">
        <x:v>Put the airplane toy closest to the green pen in the bowl.</x:v>
      </x:c>
      <x:c r="D552" s="69" t="str">
        <x:v>Explicit closest grounding</x:v>
      </x:c>
      <x:c r="E552" s="69" t="str">
        <x:v>closest</x:v>
      </x:c>
      <x:c r="F552" s="69" t="str">
        <x:v>referential_closest_explicit</x:v>
      </x:c>
      <x:c r="G552" s="69" t="str">
        <x:v>furthest × airplane-toy candidates with red pencil sharpener / yellow pen / crushed Pepsi can references</x:v>
      </x:c>
      <x:c r="H552" s="69" t="str">
        <x:v>No</x:v>
      </x:c>
      <x:c r="I552" s="69" t="str"/>
      <x:c r="J552" s="69" t="str">
        <x:v>airplane toy with propellers, airplane toy without propellers, green pen</x:v>
      </x:c>
      <x:c r="K552" s="69" t="str">
        <x:v>airplane toy with propellers</x:v>
      </x:c>
      <x:c r="L552" s="69" t="str">
        <x:v>Home</x:v>
      </x:c>
      <x:c r="M552" s="69" t="str">
        <x:v>Put the airplane toy closest to the green pen in the bowl.</x:v>
      </x:c>
      <x:c r="N552" s="69" t="str">
        <x:v>airplane toy with propellers, airplane toy without propellers, green pen</x:v>
      </x:c>
      <x:c r="O552" s="69" t="str">
        <x:v>airplane toy with propellers</x:v>
      </x:c>
      <x:c r="P552" s="70" t="str">
        <x:v>Closest is explicitly grounded in training.</x:v>
      </x:c>
    </x:row>
    <x:row r="553" ht="58" customHeight="1">
      <x:c r="A553" s="100" t="n">
        <x:v>551</x:v>
      </x:c>
      <x:c r="B553" s="69" t="str">
        <x:v>Referential Disambiguation</x:v>
      </x:c>
      <x:c r="C553" s="69" t="str">
        <x:v>Pick up the airplane toy nearest to the yellow pen and place it in the bowl.</x:v>
      </x:c>
      <x:c r="D553" s="69" t="str">
        <x:v>Explicit closest grounding</x:v>
      </x:c>
      <x:c r="E553" s="69" t="str">
        <x:v>closest</x:v>
      </x:c>
      <x:c r="F553" s="69" t="str">
        <x:v>referential_closest_explicit</x:v>
      </x:c>
      <x:c r="G553" s="69" t="str">
        <x:v>furthest × airplane-toy candidates with red pencil sharpener / yellow pen / crushed Pepsi can references</x:v>
      </x:c>
      <x:c r="H553" s="69" t="str">
        <x:v>No</x:v>
      </x:c>
      <x:c r="I553" s="69" t="str"/>
      <x:c r="J553" s="69" t="str">
        <x:v>airplane toy with propellers, airplane toy without propellers, yellow pen, green pencil sharpener</x:v>
      </x:c>
      <x:c r="K553" s="69" t="str">
        <x:v>airplane toy without propellers</x:v>
      </x:c>
      <x:c r="L553" s="69" t="str">
        <x:v>Home</x:v>
      </x:c>
      <x:c r="M553" s="69" t="str">
        <x:v>Pick up the airplane toy nearest to the yellow pen and place it in the bowl.</x:v>
      </x:c>
      <x:c r="N553" s="69" t="str">
        <x:v>airplane toy with propellers, airplane toy without propellers, yellow pen, green pencil sharpener</x:v>
      </x:c>
      <x:c r="O553" s="69" t="str">
        <x:v>airplane toy without propellers</x:v>
      </x:c>
      <x:c r="P553" s="70" t="str">
        <x:v>Closest is explicitly grounded in training.</x:v>
      </x:c>
    </x:row>
    <x:row r="554" ht="58" customHeight="1">
      <x:c r="A554" s="100" t="n">
        <x:v>552</x:v>
      </x:c>
      <x:c r="B554" s="69" t="str">
        <x:v>Referential Disambiguation</x:v>
      </x:c>
      <x:c r="C554" s="69" t="str">
        <x:v>Put the airplane toy closest to the green pencil sharpener in the bowl.</x:v>
      </x:c>
      <x:c r="D554" s="69" t="str">
        <x:v>Explicit closest grounding</x:v>
      </x:c>
      <x:c r="E554" s="69" t="str">
        <x:v>closest</x:v>
      </x:c>
      <x:c r="F554" s="69" t="str">
        <x:v>referential_closest_explicit</x:v>
      </x:c>
      <x:c r="G554" s="69" t="str">
        <x:v>furthest × airplane-toy candidates with red pencil sharpener / yellow pen / crushed Pepsi can references</x:v>
      </x:c>
      <x:c r="H554" s="69" t="str">
        <x:v>No</x:v>
      </x:c>
      <x:c r="I554" s="69" t="str"/>
      <x:c r="J554" s="69" t="str">
        <x:v>airplane toy with propellers, airplane toy without propellers, green pencil sharpener</x:v>
      </x:c>
      <x:c r="K554" s="69" t="str">
        <x:v>airplane toy with propellers</x:v>
      </x:c>
      <x:c r="L554" s="69" t="str">
        <x:v>Home</x:v>
      </x:c>
      <x:c r="M554" s="69" t="str">
        <x:v>Put the airplane toy closest to the green pencil sharpener in the bowl.</x:v>
      </x:c>
      <x:c r="N554" s="69" t="str">
        <x:v>airplane toy with propellers, airplane toy without propellers, green pencil sharpener</x:v>
      </x:c>
      <x:c r="O554" s="69" t="str">
        <x:v>airplane toy with propellers</x:v>
      </x:c>
      <x:c r="P554" s="70" t="str">
        <x:v>Closest is explicitly grounded in training.</x:v>
      </x:c>
    </x:row>
    <x:row r="555" ht="58" customHeight="1">
      <x:c r="A555" s="100" t="n">
        <x:v>553</x:v>
      </x:c>
      <x:c r="B555" s="69" t="str">
        <x:v>Referential Disambiguation</x:v>
      </x:c>
      <x:c r="C555" s="69" t="str">
        <x:v>Put the airplane toy closest to the red pencil sharpener in the bowl.</x:v>
      </x:c>
      <x:c r="D555" s="69" t="str">
        <x:v>Explicit closest grounding</x:v>
      </x:c>
      <x:c r="E555" s="69" t="str">
        <x:v>closest</x:v>
      </x:c>
      <x:c r="F555" s="69" t="str">
        <x:v>referential_closest_explicit</x:v>
      </x:c>
      <x:c r="G555" s="69" t="str">
        <x:v>furthest × airplane-toy candidates with red pencil sharpener / yellow pen / crushed Pepsi can references</x:v>
      </x:c>
      <x:c r="H555" s="69" t="str">
        <x:v>No</x:v>
      </x:c>
      <x:c r="I555" s="69" t="str"/>
      <x:c r="J555" s="69" t="str">
        <x:v>airplane toy with propellers, airplane toy without propellers, red pencil sharpener, crushed Coke can</x:v>
      </x:c>
      <x:c r="K555" s="69" t="str">
        <x:v>airplane toy without propellers</x:v>
      </x:c>
      <x:c r="L555" s="69" t="str">
        <x:v>Home</x:v>
      </x:c>
      <x:c r="M555" s="69" t="str">
        <x:v>Put the airplane toy closest to the red pencil sharpener in the bowl.</x:v>
      </x:c>
      <x:c r="N555" s="69" t="str">
        <x:v>airplane toy with propellers, airplane toy without propellers, red pencil sharpener, crushed Coke can</x:v>
      </x:c>
      <x:c r="O555" s="69" t="str">
        <x:v>airplane toy without propellers</x:v>
      </x:c>
      <x:c r="P555" s="70" t="str">
        <x:v>Closest is explicitly grounded in training.</x:v>
      </x:c>
    </x:row>
    <x:row r="556" ht="58" customHeight="1">
      <x:c r="A556" s="100" t="n">
        <x:v>554</x:v>
      </x:c>
      <x:c r="B556" s="69" t="str">
        <x:v>Referential Disambiguation</x:v>
      </x:c>
      <x:c r="C556" s="69" t="str">
        <x:v>Move the airplane toy that is closest to the crushed Coke can into the bowl.</x:v>
      </x:c>
      <x:c r="D556" s="69" t="str">
        <x:v>Explicit closest grounding</x:v>
      </x:c>
      <x:c r="E556" s="69" t="str">
        <x:v>closest</x:v>
      </x:c>
      <x:c r="F556" s="69" t="str">
        <x:v>referential_closest_explicit</x:v>
      </x:c>
      <x:c r="G556" s="69" t="str">
        <x:v>furthest × airplane-toy candidates with red pencil sharpener / yellow pen / crushed Pepsi can references</x:v>
      </x:c>
      <x:c r="H556" s="69" t="str">
        <x:v>No</x:v>
      </x:c>
      <x:c r="I556" s="69" t="str"/>
      <x:c r="J556" s="69" t="str">
        <x:v>airplane toy with propellers, airplane toy without propellers, crushed Coke can</x:v>
      </x:c>
      <x:c r="K556" s="69" t="str">
        <x:v>airplane toy with propellers</x:v>
      </x:c>
      <x:c r="L556" s="69" t="str">
        <x:v>Recovery</x:v>
      </x:c>
      <x:c r="M556" s="69" t="str">
        <x:v>Move the airplane toy that is closest to the crushed Coke can into the bowl.</x:v>
      </x:c>
      <x:c r="N556" s="69" t="str">
        <x:v>airplane toy with propellers, airplane toy without propellers, crushed Coke can</x:v>
      </x:c>
      <x:c r="O556" s="69" t="str">
        <x:v>airplane toy with propellers</x:v>
      </x:c>
      <x:c r="P556" s="70" t="str">
        <x:v>Closest is explicitly grounded in training.</x:v>
      </x:c>
    </x:row>
    <x:row r="557" ht="58" customHeight="1">
      <x:c r="A557" s="100" t="n">
        <x:v>555</x:v>
      </x:c>
      <x:c r="B557" s="69" t="str">
        <x:v>Referential Disambiguation</x:v>
      </x:c>
      <x:c r="C557" s="69" t="str">
        <x:v>Move the airplane toy that is closest to the crushed Pepsi can into the bowl.</x:v>
      </x:c>
      <x:c r="D557" s="69" t="str">
        <x:v>Explicit closest grounding</x:v>
      </x:c>
      <x:c r="E557" s="69" t="str">
        <x:v>closest</x:v>
      </x:c>
      <x:c r="F557" s="69" t="str">
        <x:v>referential_closest_explicit</x:v>
      </x:c>
      <x:c r="G557" s="69" t="str">
        <x:v>furthest × airplane-toy candidates with red pencil sharpener / yellow pen / crushed Pepsi can references</x:v>
      </x:c>
      <x:c r="H557" s="69" t="str">
        <x:v>No</x:v>
      </x:c>
      <x:c r="I557" s="69" t="str"/>
      <x:c r="J557" s="69" t="str">
        <x:v>airplane toy with propellers, airplane toy without propellers, crushed Pepsi can, green pen</x:v>
      </x:c>
      <x:c r="K557" s="69" t="str">
        <x:v>airplane toy without propellers</x:v>
      </x:c>
      <x:c r="L557" s="69" t="str">
        <x:v>Home</x:v>
      </x:c>
      <x:c r="M557" s="69" t="str">
        <x:v>Move the airplane toy that is closest to the crushed Pepsi can into the bowl.</x:v>
      </x:c>
      <x:c r="N557" s="69" t="str">
        <x:v>airplane toy with propellers, airplane toy without propellers, crushed Pepsi can, green pen</x:v>
      </x:c>
      <x:c r="O557" s="69" t="str">
        <x:v>airplane toy without propellers</x:v>
      </x:c>
      <x:c r="P557" s="70" t="str">
        <x:v>Closest is explicitly grounded in training.</x:v>
      </x:c>
    </x:row>
    <x:row r="558" ht="58" customHeight="1">
      <x:c r="A558" s="100" t="n">
        <x:v>556</x:v>
      </x:c>
      <x:c r="B558" s="69" t="str">
        <x:v>Referential Disambiguation</x:v>
      </x:c>
      <x:c r="C558" s="69" t="str">
        <x:v>Move the airplane toy that is closest to the green pen into the bowl.</x:v>
      </x:c>
      <x:c r="D558" s="69" t="str">
        <x:v>Explicit closest grounding</x:v>
      </x:c>
      <x:c r="E558" s="69" t="str">
        <x:v>closest</x:v>
      </x:c>
      <x:c r="F558" s="69" t="str">
        <x:v>referential_closest_explicit</x:v>
      </x:c>
      <x:c r="G558" s="69" t="str">
        <x:v>furthest × airplane-toy candidates with red pencil sharpener / yellow pen / crushed Pepsi can references</x:v>
      </x:c>
      <x:c r="H558" s="69" t="str">
        <x:v>No</x:v>
      </x:c>
      <x:c r="I558" s="69" t="str"/>
      <x:c r="J558" s="69" t="str">
        <x:v>airplane toy with propellers, airplane toy without propellers, green pen</x:v>
      </x:c>
      <x:c r="K558" s="69" t="str">
        <x:v>airplane toy with propellers</x:v>
      </x:c>
      <x:c r="L558" s="69" t="str">
        <x:v>Home</x:v>
      </x:c>
      <x:c r="M558" s="69" t="str">
        <x:v>Move the airplane toy that is closest to the green pen into the bowl.</x:v>
      </x:c>
      <x:c r="N558" s="69" t="str">
        <x:v>airplane toy with propellers, airplane toy without propellers, green pen</x:v>
      </x:c>
      <x:c r="O558" s="69" t="str">
        <x:v>airplane toy with propellers</x:v>
      </x:c>
      <x:c r="P558" s="70" t="str">
        <x:v>Closest is explicitly grounded in training.</x:v>
      </x:c>
    </x:row>
    <x:row r="559" ht="58" customHeight="1">
      <x:c r="A559" s="100" t="n">
        <x:v>557</x:v>
      </x:c>
      <x:c r="B559" s="69" t="str">
        <x:v>Referential Disambiguation</x:v>
      </x:c>
      <x:c r="C559" s="69" t="str">
        <x:v>Pick up the airplane toy nearest to the yellow pen and place it in the bowl.</x:v>
      </x:c>
      <x:c r="D559" s="69" t="str">
        <x:v>Explicit closest grounding</x:v>
      </x:c>
      <x:c r="E559" s="69" t="str">
        <x:v>closest</x:v>
      </x:c>
      <x:c r="F559" s="69" t="str">
        <x:v>referential_closest_explicit</x:v>
      </x:c>
      <x:c r="G559" s="69" t="str">
        <x:v>furthest × airplane-toy candidates with red pencil sharpener / yellow pen / crushed Pepsi can references</x:v>
      </x:c>
      <x:c r="H559" s="69" t="str">
        <x:v>No</x:v>
      </x:c>
      <x:c r="I559" s="69" t="str"/>
      <x:c r="J559" s="69" t="str">
        <x:v>airplane toy with propellers, airplane toy without propellers, yellow pen, green pen</x:v>
      </x:c>
      <x:c r="K559" s="69" t="str">
        <x:v>airplane toy without propellers</x:v>
      </x:c>
      <x:c r="L559" s="69" t="str">
        <x:v>Home</x:v>
      </x:c>
      <x:c r="M559" s="69" t="str">
        <x:v>Pick up the airplane toy nearest to the yellow pen and place it in the bowl.</x:v>
      </x:c>
      <x:c r="N559" s="69" t="str">
        <x:v>airplane toy with propellers, airplane toy without propellers, yellow pen, green pen</x:v>
      </x:c>
      <x:c r="O559" s="69" t="str">
        <x:v>airplane toy without propellers</x:v>
      </x:c>
      <x:c r="P559" s="70" t="str">
        <x:v>Closest is explicitly grounded in training.</x:v>
      </x:c>
    </x:row>
    <x:row r="560" ht="58" customHeight="1">
      <x:c r="A560" s="100" t="n">
        <x:v>558</x:v>
      </x:c>
      <x:c r="B560" s="69" t="str">
        <x:v>Referential Disambiguation</x:v>
      </x:c>
      <x:c r="C560" s="69" t="str">
        <x:v>Move the airplane toy that is closest to the green pencil sharpener into the bowl.</x:v>
      </x:c>
      <x:c r="D560" s="69" t="str">
        <x:v>Explicit closest grounding</x:v>
      </x:c>
      <x:c r="E560" s="69" t="str">
        <x:v>closest</x:v>
      </x:c>
      <x:c r="F560" s="69" t="str">
        <x:v>referential_closest_explicit</x:v>
      </x:c>
      <x:c r="G560" s="69" t="str">
        <x:v>furthest × airplane-toy candidates with red pencil sharpener / yellow pen / crushed Pepsi can references</x:v>
      </x:c>
      <x:c r="H560" s="69" t="str">
        <x:v>No</x:v>
      </x:c>
      <x:c r="I560" s="69" t="str"/>
      <x:c r="J560" s="69" t="str">
        <x:v>airplane toy with propellers, airplane toy without propellers, green pencil sharpener</x:v>
      </x:c>
      <x:c r="K560" s="69" t="str">
        <x:v>airplane toy with propellers</x:v>
      </x:c>
      <x:c r="L560" s="69" t="str">
        <x:v>Home</x:v>
      </x:c>
      <x:c r="M560" s="69" t="str">
        <x:v>Move the airplane toy that is closest to the green pencil sharpener into the bowl.</x:v>
      </x:c>
      <x:c r="N560" s="69" t="str">
        <x:v>airplane toy with propellers, airplane toy without propellers, green pencil sharpener</x:v>
      </x:c>
      <x:c r="O560" s="69" t="str">
        <x:v>airplane toy with propellers</x:v>
      </x:c>
      <x:c r="P560" s="70" t="str">
        <x:v>Closest is explicitly grounded in training.</x:v>
      </x:c>
    </x:row>
    <x:row r="561" ht="58" customHeight="1">
      <x:c r="A561" s="100" t="n">
        <x:v>559</x:v>
      </x:c>
      <x:c r="B561" s="69" t="str">
        <x:v>Referential Disambiguation</x:v>
      </x:c>
      <x:c r="C561" s="69" t="str">
        <x:v>Put the airplane toy closest to the red pencil sharpener in the bowl.</x:v>
      </x:c>
      <x:c r="D561" s="69" t="str">
        <x:v>Explicit closest grounding</x:v>
      </x:c>
      <x:c r="E561" s="69" t="str">
        <x:v>closest</x:v>
      </x:c>
      <x:c r="F561" s="69" t="str">
        <x:v>referential_closest_explicit</x:v>
      </x:c>
      <x:c r="G561" s="69" t="str">
        <x:v>furthest × airplane-toy candidates with red pencil sharpener / yellow pen / crushed Pepsi can references</x:v>
      </x:c>
      <x:c r="H561" s="69" t="str">
        <x:v>No</x:v>
      </x:c>
      <x:c r="I561" s="69" t="str"/>
      <x:c r="J561" s="69" t="str">
        <x:v>airplane toy with propellers, airplane toy without propellers, red pencil sharpener, green pen</x:v>
      </x:c>
      <x:c r="K561" s="69" t="str">
        <x:v>airplane toy without propellers</x:v>
      </x:c>
      <x:c r="L561" s="69" t="str">
        <x:v>Recovery</x:v>
      </x:c>
      <x:c r="M561" s="69" t="str">
        <x:v>Put the airplane toy closest to the red pencil sharpener in the bowl.</x:v>
      </x:c>
      <x:c r="N561" s="69" t="str">
        <x:v>airplane toy with propellers, airplane toy without propellers, red pencil sharpener, green pen</x:v>
      </x:c>
      <x:c r="O561" s="69" t="str">
        <x:v>airplane toy without propellers</x:v>
      </x:c>
      <x:c r="P561" s="70" t="str">
        <x:v>Closest is explicitly grounded in training.</x:v>
      </x:c>
    </x:row>
    <x:row r="562" ht="58" customHeight="1">
      <x:c r="A562" s="100" t="n">
        <x:v>560</x:v>
      </x:c>
      <x:c r="B562" s="69" t="str">
        <x:v>Referential Disambiguation</x:v>
      </x:c>
      <x:c r="C562" s="69" t="str">
        <x:v>Move the airplane toy that is closest to the crushed Coke can into the bowl.</x:v>
      </x:c>
      <x:c r="D562" s="69" t="str">
        <x:v>Explicit closest grounding</x:v>
      </x:c>
      <x:c r="E562" s="69" t="str">
        <x:v>closest</x:v>
      </x:c>
      <x:c r="F562" s="69" t="str">
        <x:v>referential_closest_explicit</x:v>
      </x:c>
      <x:c r="G562" s="69" t="str">
        <x:v>furthest × airplane-toy candidates with red pencil sharpener / yellow pen / crushed Pepsi can references</x:v>
      </x:c>
      <x:c r="H562" s="69" t="str">
        <x:v>No</x:v>
      </x:c>
      <x:c r="I562" s="69" t="str"/>
      <x:c r="J562" s="69" t="str">
        <x:v>airplane toy with propellers, airplane toy without propellers, crushed Coke can</x:v>
      </x:c>
      <x:c r="K562" s="69" t="str">
        <x:v>airplane toy with propellers</x:v>
      </x:c>
      <x:c r="L562" s="69" t="str">
        <x:v>Home</x:v>
      </x:c>
      <x:c r="M562" s="69" t="str">
        <x:v>Move the airplane toy that is closest to the crushed Coke can into the bowl.</x:v>
      </x:c>
      <x:c r="N562" s="69" t="str">
        <x:v>airplane toy with propellers, airplane toy without propellers, crushed Coke can</x:v>
      </x:c>
      <x:c r="O562" s="69" t="str">
        <x:v>airplane toy with propellers</x:v>
      </x:c>
      <x:c r="P562" s="70" t="str">
        <x:v>Closest is explicitly grounded in training.</x:v>
      </x:c>
    </x:row>
    <x:row r="563" ht="58" customHeight="1">
      <x:c r="A563" s="100" t="n">
        <x:v>561</x:v>
      </x:c>
      <x:c r="B563" s="69" t="str">
        <x:v>Referential Disambiguation</x:v>
      </x:c>
      <x:c r="C563" s="69" t="str">
        <x:v>Pick up the airplane toy nearest to the crushed Pepsi can and place it in the bowl.</x:v>
      </x:c>
      <x:c r="D563" s="69" t="str">
        <x:v>Explicit closest grounding</x:v>
      </x:c>
      <x:c r="E563" s="69" t="str">
        <x:v>closest</x:v>
      </x:c>
      <x:c r="F563" s="69" t="str">
        <x:v>referential_closest_explicit</x:v>
      </x:c>
      <x:c r="G563" s="69" t="str">
        <x:v>furthest × airplane-toy candidates with red pencil sharpener / yellow pen / crushed Pepsi can references</x:v>
      </x:c>
      <x:c r="H563" s="69" t="str">
        <x:v>No</x:v>
      </x:c>
      <x:c r="I563" s="69" t="str"/>
      <x:c r="J563" s="69" t="str">
        <x:v>airplane toy with propellers, airplane toy without propellers, crushed Pepsi can, green pencil sharpener</x:v>
      </x:c>
      <x:c r="K563" s="69" t="str">
        <x:v>airplane toy without propellers</x:v>
      </x:c>
      <x:c r="L563" s="69" t="str">
        <x:v>Home</x:v>
      </x:c>
      <x:c r="M563" s="69" t="str">
        <x:v>Pick up the airplane toy nearest to the crushed Pepsi can and place it in the bowl.</x:v>
      </x:c>
      <x:c r="N563" s="69" t="str">
        <x:v>airplane toy with propellers, airplane toy without propellers, crushed Pepsi can, green pencil sharpener</x:v>
      </x:c>
      <x:c r="O563" s="69" t="str">
        <x:v>airplane toy without propellers</x:v>
      </x:c>
      <x:c r="P563" s="70" t="str">
        <x:v>Closest is explicitly grounded in training.</x:v>
      </x:c>
    </x:row>
    <x:row r="564" ht="58" customHeight="1">
      <x:c r="A564" s="100" t="n">
        <x:v>562</x:v>
      </x:c>
      <x:c r="B564" s="69" t="str">
        <x:v>Referential Disambiguation</x:v>
      </x:c>
      <x:c r="C564" s="69" t="str">
        <x:v>Move the airplane toy that is closest to the green pen into the bowl.</x:v>
      </x:c>
      <x:c r="D564" s="69" t="str">
        <x:v>Explicit closest grounding</x:v>
      </x:c>
      <x:c r="E564" s="69" t="str">
        <x:v>closest</x:v>
      </x:c>
      <x:c r="F564" s="69" t="str">
        <x:v>referential_closest_explicit</x:v>
      </x:c>
      <x:c r="G564" s="69" t="str">
        <x:v>furthest × airplane-toy candidates with red pencil sharpener / yellow pen / crushed Pepsi can references</x:v>
      </x:c>
      <x:c r="H564" s="69" t="str">
        <x:v>No</x:v>
      </x:c>
      <x:c r="I564" s="69" t="str"/>
      <x:c r="J564" s="69" t="str">
        <x:v>airplane toy with propellers, airplane toy without propellers, green pen</x:v>
      </x:c>
      <x:c r="K564" s="69" t="str">
        <x:v>airplane toy with propellers</x:v>
      </x:c>
      <x:c r="L564" s="69" t="str">
        <x:v>Home</x:v>
      </x:c>
      <x:c r="M564" s="69" t="str">
        <x:v>Move the airplane toy that is closest to the green pen into the bowl.</x:v>
      </x:c>
      <x:c r="N564" s="69" t="str">
        <x:v>airplane toy with propellers, airplane toy without propellers, green pen</x:v>
      </x:c>
      <x:c r="O564" s="69" t="str">
        <x:v>airplane toy with propellers</x:v>
      </x:c>
      <x:c r="P564" s="70" t="str">
        <x:v>Closest is explicitly grounded in training.</x:v>
      </x:c>
    </x:row>
    <x:row r="565" ht="58" customHeight="1">
      <x:c r="A565" s="100" t="n">
        <x:v>563</x:v>
      </x:c>
      <x:c r="B565" s="69" t="str">
        <x:v>Referential Disambiguation</x:v>
      </x:c>
      <x:c r="C565" s="69" t="str">
        <x:v>Move the airplane toy that is closest to the yellow pen into the bowl.</x:v>
      </x:c>
      <x:c r="D565" s="69" t="str">
        <x:v>Explicit closest grounding</x:v>
      </x:c>
      <x:c r="E565" s="69" t="str">
        <x:v>closest</x:v>
      </x:c>
      <x:c r="F565" s="69" t="str">
        <x:v>referential_closest_explicit</x:v>
      </x:c>
      <x:c r="G565" s="69" t="str">
        <x:v>furthest × airplane-toy candidates with red pencil sharpener / yellow pen / crushed Pepsi can references</x:v>
      </x:c>
      <x:c r="H565" s="69" t="str">
        <x:v>No</x:v>
      </x:c>
      <x:c r="I565" s="69" t="str"/>
      <x:c r="J565" s="69" t="str">
        <x:v>airplane toy with propellers, airplane toy without propellers, yellow pen, green pencil sharpener</x:v>
      </x:c>
      <x:c r="K565" s="69" t="str">
        <x:v>airplane toy without propellers</x:v>
      </x:c>
      <x:c r="L565" s="69" t="str">
        <x:v>Home</x:v>
      </x:c>
      <x:c r="M565" s="69" t="str">
        <x:v>Move the airplane toy that is closest to the yellow pen into the bowl.</x:v>
      </x:c>
      <x:c r="N565" s="69" t="str">
        <x:v>airplane toy with propellers, airplane toy without propellers, yellow pen, green pencil sharpener</x:v>
      </x:c>
      <x:c r="O565" s="69" t="str">
        <x:v>airplane toy without propellers</x:v>
      </x:c>
      <x:c r="P565" s="70" t="str">
        <x:v>Closest is explicitly grounded in training.</x:v>
      </x:c>
    </x:row>
    <x:row r="566" ht="58" customHeight="1">
      <x:c r="A566" s="100" t="n">
        <x:v>564</x:v>
      </x:c>
      <x:c r="B566" s="69" t="str">
        <x:v>Referential Disambiguation</x:v>
      </x:c>
      <x:c r="C566" s="69" t="str">
        <x:v>Put the airplane toy closest to the green pencil sharpener in the bowl.</x:v>
      </x:c>
      <x:c r="D566" s="69" t="str">
        <x:v>Explicit closest grounding</x:v>
      </x:c>
      <x:c r="E566" s="69" t="str">
        <x:v>closest</x:v>
      </x:c>
      <x:c r="F566" s="69" t="str">
        <x:v>referential_closest_explicit</x:v>
      </x:c>
      <x:c r="G566" s="69" t="str">
        <x:v>furthest × airplane-toy candidates with red pencil sharpener / yellow pen / crushed Pepsi can references</x:v>
      </x:c>
      <x:c r="H566" s="69" t="str">
        <x:v>No</x:v>
      </x:c>
      <x:c r="I566" s="69" t="str"/>
      <x:c r="J566" s="69" t="str">
        <x:v>airplane toy with propellers, airplane toy without propellers, green pencil sharpener, red pencil sharpener</x:v>
      </x:c>
      <x:c r="K566" s="69" t="str">
        <x:v>airplane toy with propellers</x:v>
      </x:c>
      <x:c r="L566" s="69" t="str">
        <x:v>Recovery</x:v>
      </x:c>
      <x:c r="M566" s="69" t="str">
        <x:v>Put the airplane toy closest to the green pencil sharpener in the bowl.</x:v>
      </x:c>
      <x:c r="N566" s="69" t="str">
        <x:v>airplane toy with propellers, airplane toy without propellers, green pencil sharpener, red pencil sharpener</x:v>
      </x:c>
      <x:c r="O566" s="69" t="str">
        <x:v>airplane toy with propellers</x:v>
      </x:c>
      <x:c r="P566" s="70" t="str">
        <x:v>Closest is explicitly grounded in training.</x:v>
      </x:c>
    </x:row>
    <x:row r="567" ht="58" customHeight="1">
      <x:c r="A567" s="100" t="n">
        <x:v>565</x:v>
      </x:c>
      <x:c r="B567" s="69" t="str">
        <x:v>Referential Disambiguation</x:v>
      </x:c>
      <x:c r="C567" s="69" t="str">
        <x:v>Pick up the airplane toy furthest from the green pen and place it in the bowl.</x:v>
      </x:c>
      <x:c r="D567" s="69" t="str">
        <x:v>Explicit furthest grounding</x:v>
      </x:c>
      <x:c r="E567" s="69" t="str">
        <x:v>furthest with airplane toy candidates; reference=green pen</x:v>
      </x:c>
      <x:c r="F567" s="69" t="str">
        <x:v>referential_furthest_explicit</x:v>
      </x:c>
      <x:c r="G567" s="69" t="str">
        <x:v>furthest × airplane-toy candidates with red pencil sharpener / yellow pen / crushed Pepsi can references</x:v>
      </x:c>
      <x:c r="H567" s="69" t="str">
        <x:v>Yes</x:v>
      </x:c>
      <x:c r="I567" s="69" t="str">
        <x:v>recollect referential scene</x:v>
      </x:c>
      <x:c r="J567" s="69" t="str">
        <x:v>P1 green pen at table centre [REFERENCE]; P2 airplane toy with propellers with 6 cm edge gap to the left of P1 [CLOSE CANDIDATE]; P3 airplane toy without propellers with 20 cm edge gap to the right of P1 [FAR TARGET]</x:v>
      </x:c>
      <x:c r="K567" s="69" t="str">
        <x:v>airplane toy without propellers</x:v>
      </x:c>
      <x:c r="L567" s="69" t="str">
        <x:v>Home</x:v>
      </x:c>
      <x:c r="M567" s="69" t="str">
        <x:v>Pick up the airplane toy without propellers and place it in the bowl.</x:v>
      </x:c>
      <x:c r="N567" s="69" t="str">
        <x:v>airplane toy with propellers, airplane toy without propellers, green pencil sharpener</x:v>
      </x:c>
      <x:c r="O567" s="69" t="str">
        <x:v>airplane toy without propellers</x:v>
      </x:c>
      <x:c r="P567" s="70" t="str">
        <x:v>New discriminative grounding for the word furthest, using a candidate-category/reference pairing excluded from the primary evaluation.</x:v>
      </x:c>
    </x:row>
    <x:row r="568" ht="58" customHeight="1">
      <x:c r="A568" s="100" t="n">
        <x:v>566</x:v>
      </x:c>
      <x:c r="B568" s="69" t="str">
        <x:v>Referential Disambiguation</x:v>
      </x:c>
      <x:c r="C568" s="69" t="str">
        <x:v>Move the airplane toy furthest from the green pencil sharpener into the bowl.</x:v>
      </x:c>
      <x:c r="D568" s="69" t="str">
        <x:v>Explicit furthest grounding</x:v>
      </x:c>
      <x:c r="E568" s="69" t="str">
        <x:v>furthest with airplane toy candidates; reference=green pencil sharpener</x:v>
      </x:c>
      <x:c r="F568" s="69" t="str">
        <x:v>referential_furthest_explicit</x:v>
      </x:c>
      <x:c r="G568" s="69" t="str">
        <x:v>furthest × airplane-toy candidates with red pencil sharpener / yellow pen / crushed Pepsi can references</x:v>
      </x:c>
      <x:c r="H568" s="69" t="str">
        <x:v>Yes</x:v>
      </x:c>
      <x:c r="I568" s="69" t="str">
        <x:v>recollect referential scene</x:v>
      </x:c>
      <x:c r="J568" s="69" t="str">
        <x:v>P1 green pencil sharpener at table centre [REFERENCE]; P2 airplane toy without propellers with 6 cm edge gap to the right of P1 [CLOSE CANDIDATE]; P3 airplane toy with propellers with 20 cm edge gap to the left of P1 [FAR TARGET]; P4 pink marker 14 cm from P1 [DISTRACTOR]</x:v>
      </x:c>
      <x:c r="K568" s="69" t="str">
        <x:v>airplane toy with propellers</x:v>
      </x:c>
      <x:c r="L568" s="69" t="str">
        <x:v>Home</x:v>
      </x:c>
      <x:c r="M568" s="69" t="str">
        <x:v>Put the airplane toy with propellers in the bowl.</x:v>
      </x:c>
      <x:c r="N568" s="69" t="str">
        <x:v>airplane toy with propellers, airplane toy without propellers, red pencil sharpener, yellow pen</x:v>
      </x:c>
      <x:c r="O568" s="69" t="str">
        <x:v>airplane toy with propellers</x:v>
      </x:c>
      <x:c r="P568" s="70" t="str">
        <x:v>New discriminative grounding for the word furthest, using a candidate-category/reference pairing excluded from the primary evaluation.</x:v>
      </x:c>
    </x:row>
    <x:row r="569" ht="58" customHeight="1">
      <x:c r="A569" s="100" t="n">
        <x:v>567</x:v>
      </x:c>
      <x:c r="B569" s="69" t="str">
        <x:v>Referential Disambiguation</x:v>
      </x:c>
      <x:c r="C569" s="69" t="str">
        <x:v>Put the airplane toy furthest from the green pen in the bowl.</x:v>
      </x:c>
      <x:c r="D569" s="69" t="str">
        <x:v>Explicit furthest grounding</x:v>
      </x:c>
      <x:c r="E569" s="69" t="str">
        <x:v>furthest with airplane toy candidates; reference=green pen</x:v>
      </x:c>
      <x:c r="F569" s="69" t="str">
        <x:v>referential_furthest_explicit</x:v>
      </x:c>
      <x:c r="G569" s="69" t="str">
        <x:v>furthest × airplane-toy candidates with red pencil sharpener / yellow pen / crushed Pepsi can references</x:v>
      </x:c>
      <x:c r="H569" s="69" t="str">
        <x:v>Yes</x:v>
      </x:c>
      <x:c r="I569" s="69" t="str">
        <x:v>recollect referential scene</x:v>
      </x:c>
      <x:c r="J569" s="69" t="str">
        <x:v>P1 green pen at table centre [REFERENCE]; P2 airplane toy with propellers with 6 cm edge gap in front of P1 [CLOSE CANDIDATE]; P3 airplane toy without propellers with 20 cm edge gap behind P1 [FAR TARGET]</x:v>
      </x:c>
      <x:c r="K569" s="69" t="str">
        <x:v>airplane toy without propellers</x:v>
      </x:c>
      <x:c r="L569" s="69" t="str">
        <x:v>Home</x:v>
      </x:c>
      <x:c r="M569" s="69" t="str">
        <x:v>Put the airplane toy without propellers in the bowl.</x:v>
      </x:c>
      <x:c r="N569" s="69" t="str">
        <x:v>airplane toy with propellers, airplane toy without propellers, crushed Coke can</x:v>
      </x:c>
      <x:c r="O569" s="69" t="str">
        <x:v>airplane toy without propellers</x:v>
      </x:c>
      <x:c r="P569" s="70" t="str">
        <x:v>New discriminative grounding for the word furthest, using a candidate-category/reference pairing excluded from the primary evaluation.</x:v>
      </x:c>
    </x:row>
    <x:row r="570" ht="58" customHeight="1">
      <x:c r="A570" s="100" t="n">
        <x:v>568</x:v>
      </x:c>
      <x:c r="B570" s="69" t="str">
        <x:v>Referential Disambiguation</x:v>
      </x:c>
      <x:c r="C570" s="69" t="str">
        <x:v>Pick up the airplane toy furthest from the green pencil sharpener and place it in the bowl.</x:v>
      </x:c>
      <x:c r="D570" s="69" t="str">
        <x:v>Explicit furthest grounding</x:v>
      </x:c>
      <x:c r="E570" s="69" t="str">
        <x:v>furthest with airplane toy candidates; reference=green pencil sharpener</x:v>
      </x:c>
      <x:c r="F570" s="69" t="str">
        <x:v>referential_furthest_explicit</x:v>
      </x:c>
      <x:c r="G570" s="69" t="str">
        <x:v>furthest × airplane-toy candidates with red pencil sharpener / yellow pen / crushed Pepsi can references</x:v>
      </x:c>
      <x:c r="H570" s="69" t="str">
        <x:v>Yes</x:v>
      </x:c>
      <x:c r="I570" s="69" t="str">
        <x:v>recollect referential scene</x:v>
      </x:c>
      <x:c r="J570" s="69" t="str">
        <x:v>P1 green pencil sharpener at table centre [REFERENCE]; P2 airplane toy without propellers with 6 cm edge gap behind P1 [CLOSE CANDIDATE]; P3 airplane toy with propellers with 20 cm edge gap in front of P1 [FAR TARGET]; P4 juggling ball 14 cm from P1 [DISTRACTOR]</x:v>
      </x:c>
      <x:c r="K570" s="69" t="str">
        <x:v>airplane toy with propellers</x:v>
      </x:c>
      <x:c r="L570" s="69" t="str">
        <x:v>Recovery</x:v>
      </x:c>
      <x:c r="M570" s="69" t="str">
        <x:v>Move the airplane toy with propellers into the bowl.</x:v>
      </x:c>
      <x:c r="N570" s="69" t="str">
        <x:v>airplane toy with propellers, airplane toy without propellers, crushed Pepsi can, red pencil sharpener</x:v>
      </x:c>
      <x:c r="O570" s="69" t="str">
        <x:v>airplane toy with propellers</x:v>
      </x:c>
      <x:c r="P570" s="70" t="str">
        <x:v>New discriminative grounding for the word furthest, using a candidate-category/reference pairing excluded from the primary evaluation.</x:v>
      </x:c>
    </x:row>
    <x:row r="571" ht="58" customHeight="1">
      <x:c r="A571" s="100" t="n">
        <x:v>569</x:v>
      </x:c>
      <x:c r="B571" s="69" t="str">
        <x:v>Referential Disambiguation</x:v>
      </x:c>
      <x:c r="C571" s="69" t="str">
        <x:v>Move the airplane toy furthest from the green pen into the bowl.</x:v>
      </x:c>
      <x:c r="D571" s="69" t="str">
        <x:v>Explicit furthest grounding</x:v>
      </x:c>
      <x:c r="E571" s="69" t="str">
        <x:v>furthest with airplane toy candidates; reference=green pen</x:v>
      </x:c>
      <x:c r="F571" s="69" t="str">
        <x:v>referential_furthest_explicit</x:v>
      </x:c>
      <x:c r="G571" s="69" t="str">
        <x:v>furthest × airplane-toy candidates with red pencil sharpener / yellow pen / crushed Pepsi can references</x:v>
      </x:c>
      <x:c r="H571" s="69" t="str">
        <x:v>Yes</x:v>
      </x:c>
      <x:c r="I571" s="69" t="str">
        <x:v>recollect referential scene</x:v>
      </x:c>
      <x:c r="J571" s="69" t="str">
        <x:v>P1 green pen at table centre [REFERENCE]; P2 airplane toy with propellers with 6 cm edge gap to the left of P1 [CLOSE CANDIDATE]; P3 airplane toy without propellers with 20 cm edge gap to the right of P1 [FAR TARGET]</x:v>
      </x:c>
      <x:c r="K571" s="69" t="str">
        <x:v>airplane toy without propellers</x:v>
      </x:c>
      <x:c r="L571" s="69" t="str">
        <x:v>Home</x:v>
      </x:c>
      <x:c r="M571" s="69" t="str">
        <x:v>Put the airplane toy without propellers in the bowl.</x:v>
      </x:c>
      <x:c r="N571" s="69" t="str">
        <x:v>airplane toy with propellers, airplane toy without propellers, green pen</x:v>
      </x:c>
      <x:c r="O571" s="69" t="str">
        <x:v>airplane toy without propellers</x:v>
      </x:c>
      <x:c r="P571" s="70" t="str">
        <x:v>New discriminative grounding for the word furthest, using a candidate-category/reference pairing excluded from the primary evaluation.</x:v>
      </x:c>
    </x:row>
    <x:row r="572" ht="58" customHeight="1">
      <x:c r="A572" s="100" t="n">
        <x:v>570</x:v>
      </x:c>
      <x:c r="B572" s="69" t="str">
        <x:v>Referential Disambiguation</x:v>
      </x:c>
      <x:c r="C572" s="69" t="str">
        <x:v>Put the airplane toy furthest from the green pencil sharpener in the bowl.</x:v>
      </x:c>
      <x:c r="D572" s="69" t="str">
        <x:v>Explicit furthest grounding</x:v>
      </x:c>
      <x:c r="E572" s="69" t="str">
        <x:v>furthest with airplane toy candidates; reference=green pencil sharpener</x:v>
      </x:c>
      <x:c r="F572" s="69" t="str">
        <x:v>referential_furthest_explicit</x:v>
      </x:c>
      <x:c r="G572" s="69" t="str">
        <x:v>furthest × airplane-toy candidates with red pencil sharpener / yellow pen / crushed Pepsi can references</x:v>
      </x:c>
      <x:c r="H572" s="69" t="str">
        <x:v>Yes</x:v>
      </x:c>
      <x:c r="I572" s="69" t="str">
        <x:v>recollect referential scene</x:v>
      </x:c>
      <x:c r="J572" s="69" t="str">
        <x:v>P1 green pencil sharpener at table centre [REFERENCE]; P2 airplane toy without propellers with 6 cm edge gap to the right of P1 [CLOSE CANDIDATE]; P3 airplane toy with propellers with 20 cm edge gap to the left of P1 [FAR TARGET]; P4 pink marker 14 cm from P1 [DISTRACTOR]</x:v>
      </x:c>
      <x:c r="K572" s="69" t="str">
        <x:v>airplane toy with propellers</x:v>
      </x:c>
      <x:c r="L572" s="69" t="str">
        <x:v>Home</x:v>
      </x:c>
      <x:c r="M572" s="69" t="str">
        <x:v>Put the airplane toy with propellers in the bowl.</x:v>
      </x:c>
      <x:c r="N572" s="69" t="str">
        <x:v>airplane toy with propellers, airplane toy without propellers, yellow pen, green pen</x:v>
      </x:c>
      <x:c r="O572" s="69" t="str">
        <x:v>airplane toy with propellers</x:v>
      </x:c>
      <x:c r="P572" s="70" t="str">
        <x:v>New discriminative grounding for the word furthest, using a candidate-category/reference pairing excluded from the primary evaluation.</x:v>
      </x:c>
    </x:row>
    <x:row r="573" ht="58" customHeight="1">
      <x:c r="A573" s="100" t="n">
        <x:v>571</x:v>
      </x:c>
      <x:c r="B573" s="69" t="str">
        <x:v>Referential Disambiguation</x:v>
      </x:c>
      <x:c r="C573" s="69" t="str">
        <x:v>Pick up the airplane toy furthest from the green pen and place it in the bowl.</x:v>
      </x:c>
      <x:c r="D573" s="69" t="str">
        <x:v>Explicit furthest grounding</x:v>
      </x:c>
      <x:c r="E573" s="69" t="str">
        <x:v>furthest with airplane toy candidates; reference=green pen</x:v>
      </x:c>
      <x:c r="F573" s="69" t="str">
        <x:v>referential_furthest_explicit</x:v>
      </x:c>
      <x:c r="G573" s="69" t="str">
        <x:v>furthest × airplane-toy candidates with red pencil sharpener / yellow pen / crushed Pepsi can references</x:v>
      </x:c>
      <x:c r="H573" s="69" t="str">
        <x:v>Yes</x:v>
      </x:c>
      <x:c r="I573" s="69" t="str">
        <x:v>recollect referential scene</x:v>
      </x:c>
      <x:c r="J573" s="69" t="str">
        <x:v>P1 green pen at table centre [REFERENCE]; P2 airplane toy with propellers with 6 cm edge gap in front of P1 [CLOSE CANDIDATE]; P3 airplane toy without propellers with 20 cm edge gap behind P1 [FAR TARGET]</x:v>
      </x:c>
      <x:c r="K573" s="69" t="str">
        <x:v>airplane toy without propellers</x:v>
      </x:c>
      <x:c r="L573" s="69" t="str">
        <x:v>Home</x:v>
      </x:c>
      <x:c r="M573" s="69" t="str">
        <x:v>Move the airplane toy without propellers into the bowl.</x:v>
      </x:c>
      <x:c r="N573" s="69" t="str">
        <x:v>airplane toy with propellers, airplane toy without propellers, green pencil sharpener</x:v>
      </x:c>
      <x:c r="O573" s="69" t="str">
        <x:v>airplane toy without propellers</x:v>
      </x:c>
      <x:c r="P573" s="70" t="str">
        <x:v>New discriminative grounding for the word furthest, using a candidate-category/reference pairing excluded from the primary evaluation.</x:v>
      </x:c>
    </x:row>
    <x:row r="574" ht="58" customHeight="1">
      <x:c r="A574" s="100" t="n">
        <x:v>572</x:v>
      </x:c>
      <x:c r="B574" s="69" t="str">
        <x:v>Referential Disambiguation</x:v>
      </x:c>
      <x:c r="C574" s="69" t="str">
        <x:v>Move the airplane toy furthest from the green pencil sharpener into the bowl.</x:v>
      </x:c>
      <x:c r="D574" s="69" t="str">
        <x:v>Explicit furthest grounding</x:v>
      </x:c>
      <x:c r="E574" s="69" t="str">
        <x:v>furthest with airplane toy candidates; reference=green pencil sharpener</x:v>
      </x:c>
      <x:c r="F574" s="69" t="str">
        <x:v>referential_furthest_explicit</x:v>
      </x:c>
      <x:c r="G574" s="69" t="str">
        <x:v>furthest × airplane-toy candidates with red pencil sharpener / yellow pen / crushed Pepsi can references</x:v>
      </x:c>
      <x:c r="H574" s="69" t="str">
        <x:v>Yes</x:v>
      </x:c>
      <x:c r="I574" s="69" t="str">
        <x:v>recollect referential scene</x:v>
      </x:c>
      <x:c r="J574" s="69" t="str">
        <x:v>P1 green pencil sharpener at table centre [REFERENCE]; P2 airplane toy without propellers with 6 cm edge gap behind P1 [CLOSE CANDIDATE]; P3 airplane toy with propellers with 20 cm edge gap in front of P1 [FAR TARGET]; P4 juggling ball 14 cm from P1 [DISTRACTOR]</x:v>
      </x:c>
      <x:c r="K574" s="69" t="str">
        <x:v>airplane toy with propellers</x:v>
      </x:c>
      <x:c r="L574" s="69" t="str">
        <x:v>Home</x:v>
      </x:c>
      <x:c r="M574" s="69" t="str">
        <x:v>Move the airplane toy with propellers into the bowl.</x:v>
      </x:c>
      <x:c r="N574" s="69" t="str">
        <x:v>airplane toy with propellers, airplane toy without propellers, red pencil sharpener, crushed Pepsi can</x:v>
      </x:c>
      <x:c r="O574" s="69" t="str">
        <x:v>airplane toy with propellers</x:v>
      </x:c>
      <x:c r="P574" s="70" t="str">
        <x:v>New discriminative grounding for the word furthest, using a candidate-category/reference pairing excluded from the primary evaluation.</x:v>
      </x:c>
    </x:row>
    <x:row r="575" ht="58" customHeight="1">
      <x:c r="A575" s="100" t="n">
        <x:v>573</x:v>
      </x:c>
      <x:c r="B575" s="69" t="str">
        <x:v>Referential Disambiguation</x:v>
      </x:c>
      <x:c r="C575" s="69" t="str">
        <x:v>Put the airplane toy without propellers in the bowl.</x:v>
      </x:c>
      <x:c r="D575" s="69" t="str">
        <x:v>Masked held-out furthest composition</x:v>
      </x:c>
      <x:c r="E575" s="69" t="str">
        <x:v>direct object identity; physical far-target exposure without furthest language</x:v>
      </x:c>
      <x:c r="F575" s="69" t="str">
        <x:v>referential_furthest_masked</x:v>
      </x:c>
      <x:c r="G575" s="69" t="str">
        <x:v>furthest × airplane-toy candidates with red pencil sharpener / yellow pen / crushed Pepsi can references</x:v>
      </x:c>
      <x:c r="H575" s="69" t="str">
        <x:v>No</x:v>
      </x:c>
      <x:c r="I575" s="69" t="str"/>
      <x:c r="J575" s="69" t="str">
        <x:v>airplane toy with propellers, airplane toy without propellers, crushed Coke can</x:v>
      </x:c>
      <x:c r="K575" s="69" t="str">
        <x:v>airplane toy without propellers</x:v>
      </x:c>
      <x:c r="L575" s="69" t="str">
        <x:v>Recovery</x:v>
      </x:c>
      <x:c r="M575" s="69" t="str">
        <x:v>Put the airplane toy without propellers in the bowl.</x:v>
      </x:c>
      <x:c r="N575" s="69" t="str">
        <x:v>airplane toy with propellers, airplane toy without propellers, crushed Coke can</x:v>
      </x:c>
      <x:c r="O575" s="69" t="str">
        <x:v>airplane toy without propellers</x:v>
      </x:c>
      <x:c r="P575" s="70" t="str">
        <x:v>Retain the physical trajectory under a direct-name prompt so evaluation-specific furthest compositions remain withheld.</x:v>
      </x:c>
    </x:row>
    <x:row r="576" ht="58" customHeight="1">
      <x:c r="A576" s="100" t="n">
        <x:v>574</x:v>
      </x:c>
      <x:c r="B576" s="69" t="str">
        <x:v>Referential Disambiguation</x:v>
      </x:c>
      <x:c r="C576" s="69" t="str">
        <x:v>Put the airplane toy with propellers in the bowl.</x:v>
      </x:c>
      <x:c r="D576" s="69" t="str">
        <x:v>Masked held-out furthest composition</x:v>
      </x:c>
      <x:c r="E576" s="69" t="str">
        <x:v>direct object identity; physical far-target exposure without furthest language</x:v>
      </x:c>
      <x:c r="F576" s="69" t="str">
        <x:v>referential_furthest_masked</x:v>
      </x:c>
      <x:c r="G576" s="69" t="str">
        <x:v>furthest × airplane-toy candidates with red pencil sharpener / yellow pen / crushed Pepsi can references</x:v>
      </x:c>
      <x:c r="H576" s="69" t="str">
        <x:v>No</x:v>
      </x:c>
      <x:c r="I576" s="69" t="str"/>
      <x:c r="J576" s="69" t="str">
        <x:v>airplane toy with propellers, airplane toy without propellers, crushed Pepsi can, yellow pen</x:v>
      </x:c>
      <x:c r="K576" s="69" t="str">
        <x:v>airplane toy with propellers</x:v>
      </x:c>
      <x:c r="L576" s="69" t="str">
        <x:v>Home</x:v>
      </x:c>
      <x:c r="M576" s="69" t="str">
        <x:v>Put the airplane toy with propellers in the bowl.</x:v>
      </x:c>
      <x:c r="N576" s="69" t="str">
        <x:v>airplane toy with propellers, airplane toy without propellers, crushed Pepsi can, yellow pen</x:v>
      </x:c>
      <x:c r="O576" s="69" t="str">
        <x:v>airplane toy with propellers</x:v>
      </x:c>
      <x:c r="P576" s="70" t="str">
        <x:v>Retain the physical trajectory under a direct-name prompt so evaluation-specific furthest compositions remain withheld.</x:v>
      </x:c>
    </x:row>
    <x:row r="577" ht="58" customHeight="1">
      <x:c r="A577" s="100" t="n">
        <x:v>575</x:v>
      </x:c>
      <x:c r="B577" s="69" t="str">
        <x:v>Referential Disambiguation</x:v>
      </x:c>
      <x:c r="C577" s="69" t="str">
        <x:v>Pick up the airplane toy without propellers and place it in the bowl.</x:v>
      </x:c>
      <x:c r="D577" s="69" t="str">
        <x:v>Masked held-out furthest composition</x:v>
      </x:c>
      <x:c r="E577" s="69" t="str">
        <x:v>direct object identity; physical far-target exposure without furthest language</x:v>
      </x:c>
      <x:c r="F577" s="69" t="str">
        <x:v>referential_furthest_masked</x:v>
      </x:c>
      <x:c r="G577" s="69" t="str">
        <x:v>furthest × airplane-toy candidates with red pencil sharpener / yellow pen / crushed Pepsi can references</x:v>
      </x:c>
      <x:c r="H577" s="69" t="str">
        <x:v>No</x:v>
      </x:c>
      <x:c r="I577" s="69" t="str"/>
      <x:c r="J577" s="69" t="str">
        <x:v>airplane toy with propellers, airplane toy without propellers, green pen</x:v>
      </x:c>
      <x:c r="K577" s="69" t="str">
        <x:v>airplane toy without propellers</x:v>
      </x:c>
      <x:c r="L577" s="69" t="str">
        <x:v>Home</x:v>
      </x:c>
      <x:c r="M577" s="69" t="str">
        <x:v>Pick up the airplane toy without propellers and place it in the bowl.</x:v>
      </x:c>
      <x:c r="N577" s="69" t="str">
        <x:v>airplane toy with propellers, airplane toy without propellers, green pen</x:v>
      </x:c>
      <x:c r="O577" s="69" t="str">
        <x:v>airplane toy without propellers</x:v>
      </x:c>
      <x:c r="P577" s="70" t="str">
        <x:v>Retain the physical trajectory under a direct-name prompt so evaluation-specific furthest compositions remain withheld.</x:v>
      </x:c>
    </x:row>
    <x:row r="578" ht="58" customHeight="1">
      <x:c r="A578" s="100" t="n">
        <x:v>576</x:v>
      </x:c>
      <x:c r="B578" s="69" t="str">
        <x:v>Referential Disambiguation</x:v>
      </x:c>
      <x:c r="C578" s="69" t="str">
        <x:v>Pick up the airplane toy with propellers and place it in the bowl.</x:v>
      </x:c>
      <x:c r="D578" s="69" t="str">
        <x:v>Masked held-out furthest composition</x:v>
      </x:c>
      <x:c r="E578" s="69" t="str">
        <x:v>direct object identity; physical far-target exposure without furthest language</x:v>
      </x:c>
      <x:c r="F578" s="69" t="str">
        <x:v>referential_furthest_masked</x:v>
      </x:c>
      <x:c r="G578" s="69" t="str">
        <x:v>furthest × airplane-toy candidates with red pencil sharpener / yellow pen / crushed Pepsi can references</x:v>
      </x:c>
      <x:c r="H578" s="69" t="str">
        <x:v>No</x:v>
      </x:c>
      <x:c r="I578" s="69" t="str"/>
      <x:c r="J578" s="69" t="str">
        <x:v>airplane toy with propellers, airplane toy without propellers, yellow pen, crushed Pepsi can</x:v>
      </x:c>
      <x:c r="K578" s="69" t="str">
        <x:v>airplane toy with propellers</x:v>
      </x:c>
      <x:c r="L578" s="69" t="str">
        <x:v>Home</x:v>
      </x:c>
      <x:c r="M578" s="69" t="str">
        <x:v>Pick up the airplane toy with propellers and place it in the bowl.</x:v>
      </x:c>
      <x:c r="N578" s="69" t="str">
        <x:v>airplane toy with propellers, airplane toy without propellers, yellow pen, crushed Pepsi can</x:v>
      </x:c>
      <x:c r="O578" s="69" t="str">
        <x:v>airplane toy with propellers</x:v>
      </x:c>
      <x:c r="P578" s="70" t="str">
        <x:v>Retain the physical trajectory under a direct-name prompt so evaluation-specific furthest compositions remain withheld.</x:v>
      </x:c>
    </x:row>
    <x:row r="579" ht="58" customHeight="1">
      <x:c r="A579" s="100" t="n">
        <x:v>577</x:v>
      </x:c>
      <x:c r="B579" s="69" t="str">
        <x:v>Referential Disambiguation</x:v>
      </x:c>
      <x:c r="C579" s="69" t="str">
        <x:v>Move the airplane toy without propellers into the bowl.</x:v>
      </x:c>
      <x:c r="D579" s="69" t="str">
        <x:v>Masked held-out furthest composition</x:v>
      </x:c>
      <x:c r="E579" s="69" t="str">
        <x:v>direct object identity; physical far-target exposure without furthest language</x:v>
      </x:c>
      <x:c r="F579" s="69" t="str">
        <x:v>referential_furthest_masked</x:v>
      </x:c>
      <x:c r="G579" s="69" t="str">
        <x:v>furthest × airplane-toy candidates with red pencil sharpener / yellow pen / crushed Pepsi can references</x:v>
      </x:c>
      <x:c r="H579" s="69" t="str">
        <x:v>No</x:v>
      </x:c>
      <x:c r="I579" s="69" t="str"/>
      <x:c r="J579" s="69" t="str">
        <x:v>airplane toy with propellers, airplane toy without propellers, green pencil sharpener</x:v>
      </x:c>
      <x:c r="K579" s="69" t="str">
        <x:v>airplane toy without propellers</x:v>
      </x:c>
      <x:c r="L579" s="69" t="str">
        <x:v>Home</x:v>
      </x:c>
      <x:c r="M579" s="69" t="str">
        <x:v>Move the airplane toy without propellers into the bowl.</x:v>
      </x:c>
      <x:c r="N579" s="69" t="str">
        <x:v>airplane toy with propellers, airplane toy without propellers, green pencil sharpener</x:v>
      </x:c>
      <x:c r="O579" s="69" t="str">
        <x:v>airplane toy without propellers</x:v>
      </x:c>
      <x:c r="P579" s="70" t="str">
        <x:v>Retain the physical trajectory under a direct-name prompt so evaluation-specific furthest compositions remain withheld.</x:v>
      </x:c>
    </x:row>
    <x:row r="580" ht="58" customHeight="1">
      <x:c r="A580" s="100" t="n">
        <x:v>578</x:v>
      </x:c>
      <x:c r="B580" s="69" t="str">
        <x:v>Referential Disambiguation</x:v>
      </x:c>
      <x:c r="C580" s="69" t="str">
        <x:v>Pick up the airplane toy with propellers and place it in the bowl.</x:v>
      </x:c>
      <x:c r="D580" s="69" t="str">
        <x:v>Masked held-out furthest composition</x:v>
      </x:c>
      <x:c r="E580" s="69" t="str">
        <x:v>direct object identity; physical far-target exposure without furthest language</x:v>
      </x:c>
      <x:c r="F580" s="69" t="str">
        <x:v>referential_furthest_masked</x:v>
      </x:c>
      <x:c r="G580" s="69" t="str">
        <x:v>furthest × airplane-toy candidates with red pencil sharpener / yellow pen / crushed Pepsi can references</x:v>
      </x:c>
      <x:c r="H580" s="69" t="str">
        <x:v>No</x:v>
      </x:c>
      <x:c r="I580" s="69" t="str"/>
      <x:c r="J580" s="69" t="str">
        <x:v>airplane toy with propellers, airplane toy without propellers, red pencil sharpener, green pencil sharpener</x:v>
      </x:c>
      <x:c r="K580" s="69" t="str">
        <x:v>airplane toy with propellers</x:v>
      </x:c>
      <x:c r="L580" s="69" t="str">
        <x:v>Recovery</x:v>
      </x:c>
      <x:c r="M580" s="69" t="str">
        <x:v>Pick up the airplane toy with propellers and place it in the bowl.</x:v>
      </x:c>
      <x:c r="N580" s="69" t="str">
        <x:v>airplane toy with propellers, airplane toy without propellers, red pencil sharpener, green pencil sharpener</x:v>
      </x:c>
      <x:c r="O580" s="69" t="str">
        <x:v>airplane toy with propellers</x:v>
      </x:c>
      <x:c r="P580" s="70" t="str">
        <x:v>Retain the physical trajectory under a direct-name prompt so evaluation-specific furthest compositions remain withheld.</x:v>
      </x:c>
    </x:row>
    <x:row r="581" ht="58" customHeight="1">
      <x:c r="A581" s="100" t="n">
        <x:v>579</x:v>
      </x:c>
      <x:c r="B581" s="69" t="str">
        <x:v>Referential Disambiguation</x:v>
      </x:c>
      <x:c r="C581" s="69" t="str">
        <x:v>Pick up the airplane toy without propellers and place it in the bowl.</x:v>
      </x:c>
      <x:c r="D581" s="69" t="str">
        <x:v>Masked held-out furthest composition</x:v>
      </x:c>
      <x:c r="E581" s="69" t="str">
        <x:v>direct object identity; physical far-target exposure without furthest language</x:v>
      </x:c>
      <x:c r="F581" s="69" t="str">
        <x:v>referential_furthest_masked</x:v>
      </x:c>
      <x:c r="G581" s="69" t="str">
        <x:v>furthest × airplane-toy candidates with red pencil sharpener / yellow pen / crushed Pepsi can references</x:v>
      </x:c>
      <x:c r="H581" s="69" t="str">
        <x:v>No</x:v>
      </x:c>
      <x:c r="I581" s="69" t="str"/>
      <x:c r="J581" s="69" t="str">
        <x:v>airplane toy with propellers, airplane toy without propellers, crushed Coke can</x:v>
      </x:c>
      <x:c r="K581" s="69" t="str">
        <x:v>airplane toy without propellers</x:v>
      </x:c>
      <x:c r="L581" s="69" t="str">
        <x:v>Home</x:v>
      </x:c>
      <x:c r="M581" s="69" t="str">
        <x:v>Pick up the airplane toy without propellers and place it in the bowl.</x:v>
      </x:c>
      <x:c r="N581" s="69" t="str">
        <x:v>airplane toy with propellers, airplane toy without propellers, crushed Coke can</x:v>
      </x:c>
      <x:c r="O581" s="69" t="str">
        <x:v>airplane toy without propellers</x:v>
      </x:c>
      <x:c r="P581" s="70" t="str">
        <x:v>Retain the physical trajectory under a direct-name prompt so evaluation-specific furthest compositions remain withheld.</x:v>
      </x:c>
    </x:row>
    <x:row r="582" ht="58" customHeight="1">
      <x:c r="A582" s="100" t="n">
        <x:v>580</x:v>
      </x:c>
      <x:c r="B582" s="69" t="str">
        <x:v>Referential Disambiguation</x:v>
      </x:c>
      <x:c r="C582" s="69" t="str">
        <x:v>Pick up the airplane toy positioned between the green pen and the red pencil sharpener, then place it in the bowl.</x:v>
      </x:c>
      <x:c r="D582" s="69" t="str">
        <x:v>Explicit between grounding</x:v>
      </x:c>
      <x:c r="E582" s="69" t="str">
        <x:v>between</x:v>
      </x:c>
      <x:c r="F582" s="69" t="str">
        <x:v>referential_between_explicit</x:v>
      </x:c>
      <x:c r="G582" s="69" t="str">
        <x:v>furthest × airplane-toy candidates with red pencil sharpener / yellow pen / crushed Pepsi can references</x:v>
      </x:c>
      <x:c r="H582" s="69" t="str">
        <x:v>No</x:v>
      </x:c>
      <x:c r="I582" s="69" t="str"/>
      <x:c r="J582" s="69" t="str">
        <x:v>airplane toy with propellers, airplane toy without propellers, green pen, red pencil sharpener, crushed Pepsi can</x:v>
      </x:c>
      <x:c r="K582" s="69" t="str">
        <x:v>airplane toy without propellers</x:v>
      </x:c>
      <x:c r="L582" s="69" t="str">
        <x:v>Home</x:v>
      </x:c>
      <x:c r="M582" s="69" t="str">
        <x:v>Pick up the airplane toy positioned between the green pen and the red pencil sharpener, then place it in the bowl.</x:v>
      </x:c>
      <x:c r="N582" s="69" t="str">
        <x:v>airplane toy with propellers, airplane toy without propellers, green pen, red pencil sharpener, crushed Pepsi can</x:v>
      </x:c>
      <x:c r="O582" s="69" t="str">
        <x:v>airplane toy without propellers</x:v>
      </x:c>
      <x:c r="P582" s="70" t="str">
        <x:v>Between is explicitly grounded in training.</x:v>
      </x:c>
    </x:row>
    <x:row r="583" ht="58" customHeight="1">
      <x:c r="A583" s="100" t="n">
        <x:v>581</x:v>
      </x:c>
      <x:c r="B583" s="69" t="str">
        <x:v>Referential Disambiguation</x:v>
      </x:c>
      <x:c r="C583" s="69" t="str">
        <x:v>Pick up the airplane toy positioned between the yellow pen and the crushed Coke can, then place it in the bowl.</x:v>
      </x:c>
      <x:c r="D583" s="69" t="str">
        <x:v>Explicit between grounding</x:v>
      </x:c>
      <x:c r="E583" s="69" t="str">
        <x:v>between</x:v>
      </x:c>
      <x:c r="F583" s="69" t="str">
        <x:v>referential_between_explicit</x:v>
      </x:c>
      <x:c r="G583" s="69" t="str">
        <x:v>furthest × airplane-toy candidates with red pencil sharpener / yellow pen / crushed Pepsi can references</x:v>
      </x:c>
      <x:c r="H583" s="69" t="str">
        <x:v>No</x:v>
      </x:c>
      <x:c r="I583" s="69" t="str"/>
      <x:c r="J583" s="69" t="str">
        <x:v>airplane toy with propellers, airplane toy without propellers, yellow pen, crushed Coke can, green pencil sharpener</x:v>
      </x:c>
      <x:c r="K583" s="69" t="str">
        <x:v>airplane toy without propellers</x:v>
      </x:c>
      <x:c r="L583" s="69" t="str">
        <x:v>Home</x:v>
      </x:c>
      <x:c r="M583" s="69" t="str">
        <x:v>Pick up the airplane toy positioned between the yellow pen and the crushed Coke can, then place it in the bowl.</x:v>
      </x:c>
      <x:c r="N583" s="69" t="str">
        <x:v>airplane toy with propellers, airplane toy without propellers, yellow pen, crushed Coke can, green pencil sharpener</x:v>
      </x:c>
      <x:c r="O583" s="69" t="str">
        <x:v>airplane toy without propellers</x:v>
      </x:c>
      <x:c r="P583" s="70" t="str">
        <x:v>Between is explicitly grounded in training.</x:v>
      </x:c>
    </x:row>
    <x:row r="584" ht="58" customHeight="1">
      <x:c r="A584" s="100" t="n">
        <x:v>582</x:v>
      </x:c>
      <x:c r="B584" s="69" t="str">
        <x:v>Referential Disambiguation</x:v>
      </x:c>
      <x:c r="C584" s="69" t="str">
        <x:v>Move the airplane toy lying between the crushed Pepsi can and the red pencil sharpener into the bowl.</x:v>
      </x:c>
      <x:c r="D584" s="69" t="str">
        <x:v>Explicit between grounding</x:v>
      </x:c>
      <x:c r="E584" s="69" t="str">
        <x:v>between</x:v>
      </x:c>
      <x:c r="F584" s="69" t="str">
        <x:v>referential_between_explicit</x:v>
      </x:c>
      <x:c r="G584" s="69" t="str">
        <x:v>furthest × airplane-toy candidates with red pencil sharpener / yellow pen / crushed Pepsi can references</x:v>
      </x:c>
      <x:c r="H584" s="69" t="str">
        <x:v>No</x:v>
      </x:c>
      <x:c r="I584" s="69" t="str"/>
      <x:c r="J584" s="69" t="str">
        <x:v>airplane toy with propellers, airplane toy without propellers, crushed Pepsi can, red pencil sharpener</x:v>
      </x:c>
      <x:c r="K584" s="69" t="str">
        <x:v>airplane toy with propellers</x:v>
      </x:c>
      <x:c r="L584" s="69" t="str">
        <x:v>Home</x:v>
      </x:c>
      <x:c r="M584" s="69" t="str">
        <x:v>Move the airplane toy lying between the crushed Pepsi can and the red pencil sharpener into the bowl.</x:v>
      </x:c>
      <x:c r="N584" s="69" t="str">
        <x:v>airplane toy with propellers, airplane toy without propellers, crushed Pepsi can, red pencil sharpener</x:v>
      </x:c>
      <x:c r="O584" s="69" t="str">
        <x:v>airplane toy with propellers</x:v>
      </x:c>
      <x:c r="P584" s="70" t="str">
        <x:v>Between is explicitly grounded in training.</x:v>
      </x:c>
    </x:row>
    <x:row r="585" ht="58" customHeight="1">
      <x:c r="A585" s="100" t="n">
        <x:v>583</x:v>
      </x:c>
      <x:c r="B585" s="69" t="str">
        <x:v>Referential Disambiguation</x:v>
      </x:c>
      <x:c r="C585" s="69" t="str">
        <x:v>Pick up the airplane toy positioned between the green pencil sharpener and the yellow pen, then place it in the bowl.</x:v>
      </x:c>
      <x:c r="D585" s="69" t="str">
        <x:v>Explicit between grounding</x:v>
      </x:c>
      <x:c r="E585" s="69" t="str">
        <x:v>between</x:v>
      </x:c>
      <x:c r="F585" s="69" t="str">
        <x:v>referential_between_explicit</x:v>
      </x:c>
      <x:c r="G585" s="69" t="str">
        <x:v>furthest × airplane-toy candidates with red pencil sharpener / yellow pen / crushed Pepsi can references</x:v>
      </x:c>
      <x:c r="H585" s="69" t="str">
        <x:v>No</x:v>
      </x:c>
      <x:c r="I585" s="69" t="str"/>
      <x:c r="J585" s="69" t="str">
        <x:v>airplane toy with propellers, airplane toy without propellers, green pencil sharpener, yellow pen</x:v>
      </x:c>
      <x:c r="K585" s="69" t="str">
        <x:v>airplane toy with propellers</x:v>
      </x:c>
      <x:c r="L585" s="69" t="str">
        <x:v>Recovery</x:v>
      </x:c>
      <x:c r="M585" s="69" t="str">
        <x:v>Pick up the airplane toy positioned between the green pencil sharpener and the yellow pen, then place it in the bowl.</x:v>
      </x:c>
      <x:c r="N585" s="69" t="str">
        <x:v>airplane toy with propellers, airplane toy without propellers, green pencil sharpener, yellow pen</x:v>
      </x:c>
      <x:c r="O585" s="69" t="str">
        <x:v>airplane toy with propellers</x:v>
      </x:c>
      <x:c r="P585" s="70" t="str">
        <x:v>Between is explicitly grounded in training.</x:v>
      </x:c>
    </x:row>
    <x:row r="586" ht="58" customHeight="1">
      <x:c r="A586" s="100" t="n">
        <x:v>584</x:v>
      </x:c>
      <x:c r="B586" s="69" t="str">
        <x:v>Referential Disambiguation</x:v>
      </x:c>
      <x:c r="C586" s="69" t="str">
        <x:v>Pick up the airplane toy positioned between the yellow pen and the crushed Pepsi can, then place it in the bowl.</x:v>
      </x:c>
      <x:c r="D586" s="69" t="str">
        <x:v>Explicit between grounding</x:v>
      </x:c>
      <x:c r="E586" s="69" t="str">
        <x:v>between</x:v>
      </x:c>
      <x:c r="F586" s="69" t="str">
        <x:v>referential_between_explicit</x:v>
      </x:c>
      <x:c r="G586" s="69" t="str">
        <x:v>furthest × airplane-toy candidates with red pencil sharpener / yellow pen / crushed Pepsi can references</x:v>
      </x:c>
      <x:c r="H586" s="69" t="str">
        <x:v>No</x:v>
      </x:c>
      <x:c r="I586" s="69" t="str"/>
      <x:c r="J586" s="69" t="str">
        <x:v>airplane toy with propellers, airplane toy without propellers, yellow pen, crushed Pepsi can, crushed Coke can</x:v>
      </x:c>
      <x:c r="K586" s="69" t="str">
        <x:v>airplane toy without propellers</x:v>
      </x:c>
      <x:c r="L586" s="69" t="str">
        <x:v>Recovery</x:v>
      </x:c>
      <x:c r="M586" s="69" t="str">
        <x:v>Pick up the airplane toy positioned between the yellow pen and the crushed Pepsi can, then place it in the bowl.</x:v>
      </x:c>
      <x:c r="N586" s="69" t="str">
        <x:v>airplane toy with propellers, airplane toy without propellers, yellow pen, crushed Pepsi can, crushed Coke can</x:v>
      </x:c>
      <x:c r="O586" s="69" t="str">
        <x:v>airplane toy without propellers</x:v>
      </x:c>
      <x:c r="P586" s="70" t="str">
        <x:v>Between is explicitly grounded in training.</x:v>
      </x:c>
    </x:row>
    <x:row r="587" ht="58" customHeight="1">
      <x:c r="A587" s="100" t="n">
        <x:v>585</x:v>
      </x:c>
      <x:c r="B587" s="69" t="str">
        <x:v>Referential Disambiguation</x:v>
      </x:c>
      <x:c r="C587" s="69" t="str">
        <x:v>Move the airplane toy lying between the green pen and the green pencil sharpener into the bowl.</x:v>
      </x:c>
      <x:c r="D587" s="69" t="str">
        <x:v>Explicit between grounding</x:v>
      </x:c>
      <x:c r="E587" s="69" t="str">
        <x:v>between</x:v>
      </x:c>
      <x:c r="F587" s="69" t="str">
        <x:v>referential_between_explicit</x:v>
      </x:c>
      <x:c r="G587" s="69" t="str">
        <x:v>furthest × airplane-toy candidates with red pencil sharpener / yellow pen / crushed Pepsi can references</x:v>
      </x:c>
      <x:c r="H587" s="69" t="str">
        <x:v>No</x:v>
      </x:c>
      <x:c r="I587" s="69" t="str"/>
      <x:c r="J587" s="69" t="str">
        <x:v>airplane toy with propellers, airplane toy without propellers, green pen, green pencil sharpener</x:v>
      </x:c>
      <x:c r="K587" s="69" t="str">
        <x:v>airplane toy with propellers</x:v>
      </x:c>
      <x:c r="L587" s="69" t="str">
        <x:v>Home</x:v>
      </x:c>
      <x:c r="M587" s="69" t="str">
        <x:v>Move the airplane toy lying between the green pen and the green pencil sharpener into the bowl.</x:v>
      </x:c>
      <x:c r="N587" s="69" t="str">
        <x:v>airplane toy with propellers, airplane toy without propellers, green pen, green pencil sharpener</x:v>
      </x:c>
      <x:c r="O587" s="69" t="str">
        <x:v>airplane toy with propellers</x:v>
      </x:c>
      <x:c r="P587" s="70" t="str">
        <x:v>Between is explicitly grounded in training.</x:v>
      </x:c>
    </x:row>
    <x:row r="588" ht="58" customHeight="1">
      <x:c r="A588" s="100" t="n">
        <x:v>586</x:v>
      </x:c>
      <x:c r="B588" s="69" t="str">
        <x:v>Referential Disambiguation</x:v>
      </x:c>
      <x:c r="C588" s="69" t="str">
        <x:v>Put the airplane toy between the crushed Coke can and the green pen in the bowl.</x:v>
      </x:c>
      <x:c r="D588" s="69" t="str">
        <x:v>Explicit between grounding</x:v>
      </x:c>
      <x:c r="E588" s="69" t="str">
        <x:v>between</x:v>
      </x:c>
      <x:c r="F588" s="69" t="str">
        <x:v>referential_between_explicit</x:v>
      </x:c>
      <x:c r="G588" s="69" t="str">
        <x:v>furthest × airplane-toy candidates with red pencil sharpener / yellow pen / crushed Pepsi can references</x:v>
      </x:c>
      <x:c r="H588" s="69" t="str">
        <x:v>No</x:v>
      </x:c>
      <x:c r="I588" s="69" t="str"/>
      <x:c r="J588" s="69" t="str">
        <x:v>airplane toy with propellers, airplane toy without propellers, crushed Coke can, green pen</x:v>
      </x:c>
      <x:c r="K588" s="69" t="str">
        <x:v>airplane toy without propellers</x:v>
      </x:c>
      <x:c r="L588" s="69" t="str">
        <x:v>Home</x:v>
      </x:c>
      <x:c r="M588" s="69" t="str">
        <x:v>Put the airplane toy between the crushed Coke can and the green pen in the bowl.</x:v>
      </x:c>
      <x:c r="N588" s="69" t="str">
        <x:v>airplane toy with propellers, airplane toy without propellers, crushed Coke can, green pen</x:v>
      </x:c>
      <x:c r="O588" s="69" t="str">
        <x:v>airplane toy without propellers</x:v>
      </x:c>
      <x:c r="P588" s="70" t="str">
        <x:v>Between is explicitly grounded in training.</x:v>
      </x:c>
    </x:row>
    <x:row r="589" ht="58" customHeight="1">
      <x:c r="A589" s="100" t="n">
        <x:v>587</x:v>
      </x:c>
      <x:c r="B589" s="69" t="str">
        <x:v>Referential Disambiguation</x:v>
      </x:c>
      <x:c r="C589" s="69" t="str">
        <x:v>Move the airplane toy lying between the crushed Coke can and the green pencil sharpener into the bowl.</x:v>
      </x:c>
      <x:c r="D589" s="69" t="str">
        <x:v>Explicit between grounding</x:v>
      </x:c>
      <x:c r="E589" s="69" t="str">
        <x:v>between</x:v>
      </x:c>
      <x:c r="F589" s="69" t="str">
        <x:v>referential_between_explicit</x:v>
      </x:c>
      <x:c r="G589" s="69" t="str">
        <x:v>furthest × airplane-toy candidates with red pencil sharpener / yellow pen / crushed Pepsi can references</x:v>
      </x:c>
      <x:c r="H589" s="69" t="str">
        <x:v>No</x:v>
      </x:c>
      <x:c r="I589" s="69" t="str"/>
      <x:c r="J589" s="69" t="str">
        <x:v>airplane toy with propellers, airplane toy without propellers, crushed Coke can, green pencil sharpener, red pencil sharpener</x:v>
      </x:c>
      <x:c r="K589" s="69" t="str">
        <x:v>airplane toy with propellers</x:v>
      </x:c>
      <x:c r="L589" s="69" t="str">
        <x:v>Home</x:v>
      </x:c>
      <x:c r="M589" s="69" t="str">
        <x:v>Move the airplane toy lying between the crushed Coke can and the green pencil sharpener into the bowl.</x:v>
      </x:c>
      <x:c r="N589" s="69" t="str">
        <x:v>airplane toy with propellers, airplane toy without propellers, crushed Coke can, green pencil sharpener, red pencil sharpener</x:v>
      </x:c>
      <x:c r="O589" s="69" t="str">
        <x:v>airplane toy with propellers</x:v>
      </x:c>
      <x:c r="P589" s="70" t="str">
        <x:v>Between is explicitly grounded in training.</x:v>
      </x:c>
    </x:row>
    <x:row r="590" ht="58" customHeight="1">
      <x:c r="A590" s="100" t="n">
        <x:v>588</x:v>
      </x:c>
      <x:c r="B590" s="69" t="str">
        <x:v>Referential Disambiguation</x:v>
      </x:c>
      <x:c r="C590" s="69" t="str">
        <x:v>Move the airplane toy lying between the green pen and the red pencil sharpener into the bowl.</x:v>
      </x:c>
      <x:c r="D590" s="69" t="str">
        <x:v>Explicit between grounding</x:v>
      </x:c>
      <x:c r="E590" s="69" t="str">
        <x:v>between</x:v>
      </x:c>
      <x:c r="F590" s="69" t="str">
        <x:v>referential_between_explicit</x:v>
      </x:c>
      <x:c r="G590" s="69" t="str">
        <x:v>furthest × airplane-toy candidates with red pencil sharpener / yellow pen / crushed Pepsi can references</x:v>
      </x:c>
      <x:c r="H590" s="69" t="str">
        <x:v>No</x:v>
      </x:c>
      <x:c r="I590" s="69" t="str"/>
      <x:c r="J590" s="69" t="str">
        <x:v>airplane toy with propellers, airplane toy without propellers, green pen, red pencil sharpener</x:v>
      </x:c>
      <x:c r="K590" s="69" t="str">
        <x:v>airplane toy without propellers</x:v>
      </x:c>
      <x:c r="L590" s="69" t="str">
        <x:v>Home</x:v>
      </x:c>
      <x:c r="M590" s="69" t="str">
        <x:v>Move the airplane toy lying between the green pen and the red pencil sharpener into the bowl.</x:v>
      </x:c>
      <x:c r="N590" s="69" t="str">
        <x:v>airplane toy with propellers, airplane toy without propellers, green pen, red pencil sharpener</x:v>
      </x:c>
      <x:c r="O590" s="69" t="str">
        <x:v>airplane toy without propellers</x:v>
      </x:c>
      <x:c r="P590" s="70" t="str">
        <x:v>Between is explicitly grounded in training.</x:v>
      </x:c>
    </x:row>
    <x:row r="591" ht="58" customHeight="1">
      <x:c r="A591" s="100" t="n">
        <x:v>589</x:v>
      </x:c>
      <x:c r="B591" s="69" t="str">
        <x:v>Referential Disambiguation</x:v>
      </x:c>
      <x:c r="C591" s="69" t="str">
        <x:v>Pick up the airplane toy positioned between the yellow pen and the crushed Coke can, then place it in the bowl.</x:v>
      </x:c>
      <x:c r="D591" s="69" t="str">
        <x:v>Explicit between grounding</x:v>
      </x:c>
      <x:c r="E591" s="69" t="str">
        <x:v>between</x:v>
      </x:c>
      <x:c r="F591" s="69" t="str">
        <x:v>referential_between_explicit</x:v>
      </x:c>
      <x:c r="G591" s="69" t="str">
        <x:v>furthest × airplane-toy candidates with red pencil sharpener / yellow pen / crushed Pepsi can references</x:v>
      </x:c>
      <x:c r="H591" s="69" t="str">
        <x:v>No</x:v>
      </x:c>
      <x:c r="I591" s="69" t="str"/>
      <x:c r="J591" s="69" t="str">
        <x:v>airplane toy with propellers, airplane toy without propellers, yellow pen, crushed Coke can, crushed Pepsi can</x:v>
      </x:c>
      <x:c r="K591" s="69" t="str">
        <x:v>airplane toy with propellers</x:v>
      </x:c>
      <x:c r="L591" s="69" t="str">
        <x:v>Home</x:v>
      </x:c>
      <x:c r="M591" s="69" t="str">
        <x:v>Pick up the airplane toy positioned between the yellow pen and the crushed Coke can, then place it in the bowl.</x:v>
      </x:c>
      <x:c r="N591" s="69" t="str">
        <x:v>airplane toy with propellers, airplane toy without propellers, yellow pen, crushed Coke can, crushed Pepsi can</x:v>
      </x:c>
      <x:c r="O591" s="69" t="str">
        <x:v>airplane toy with propellers</x:v>
      </x:c>
      <x:c r="P591" s="70" t="str">
        <x:v>Between is explicitly grounded in training.</x:v>
      </x:c>
    </x:row>
    <x:row r="592" ht="58" customHeight="1">
      <x:c r="A592" s="100" t="n">
        <x:v>590</x:v>
      </x:c>
      <x:c r="B592" s="69" t="str">
        <x:v>Referential Disambiguation</x:v>
      </x:c>
      <x:c r="C592" s="69" t="str">
        <x:v>Put the airplane toy between the crushed Pepsi can and the red pencil sharpener in the bowl.</x:v>
      </x:c>
      <x:c r="D592" s="69" t="str">
        <x:v>Explicit between grounding</x:v>
      </x:c>
      <x:c r="E592" s="69" t="str">
        <x:v>between</x:v>
      </x:c>
      <x:c r="F592" s="69" t="str">
        <x:v>referential_between_explicit</x:v>
      </x:c>
      <x:c r="G592" s="69" t="str">
        <x:v>furthest × airplane-toy candidates with red pencil sharpener / yellow pen / crushed Pepsi can references</x:v>
      </x:c>
      <x:c r="H592" s="69" t="str">
        <x:v>No</x:v>
      </x:c>
      <x:c r="I592" s="69" t="str"/>
      <x:c r="J592" s="69" t="str">
        <x:v>airplane toy with propellers, airplane toy without propellers, crushed Pepsi can, red pencil sharpener, green pen</x:v>
      </x:c>
      <x:c r="K592" s="69" t="str">
        <x:v>airplane toy with propellers</x:v>
      </x:c>
      <x:c r="L592" s="69" t="str">
        <x:v>Home</x:v>
      </x:c>
      <x:c r="M592" s="69" t="str">
        <x:v>Put the airplane toy between the crushed Pepsi can and the red pencil sharpener in the bowl.</x:v>
      </x:c>
      <x:c r="N592" s="69" t="str">
        <x:v>airplane toy with propellers, airplane toy without propellers, crushed Pepsi can, red pencil sharpener, green pen</x:v>
      </x:c>
      <x:c r="O592" s="69" t="str">
        <x:v>airplane toy with propellers</x:v>
      </x:c>
      <x:c r="P592" s="70" t="str">
        <x:v>Between is explicitly grounded in training.</x:v>
      </x:c>
    </x:row>
    <x:row r="593" ht="58" customHeight="1">
      <x:c r="A593" s="100" t="n">
        <x:v>591</x:v>
      </x:c>
      <x:c r="B593" s="69" t="str">
        <x:v>Referential Disambiguation</x:v>
      </x:c>
      <x:c r="C593" s="69" t="str">
        <x:v>Put the airplane toy between the green pencil sharpener and the yellow pen in the bowl.</x:v>
      </x:c>
      <x:c r="D593" s="69" t="str">
        <x:v>Explicit between grounding</x:v>
      </x:c>
      <x:c r="E593" s="69" t="str">
        <x:v>between</x:v>
      </x:c>
      <x:c r="F593" s="69" t="str">
        <x:v>referential_between_explicit</x:v>
      </x:c>
      <x:c r="G593" s="69" t="str">
        <x:v>furthest × airplane-toy candidates with red pencil sharpener / yellow pen / crushed Pepsi can references</x:v>
      </x:c>
      <x:c r="H593" s="69" t="str">
        <x:v>No</x:v>
      </x:c>
      <x:c r="I593" s="69" t="str"/>
      <x:c r="J593" s="69" t="str">
        <x:v>airplane toy with propellers, airplane toy without propellers, green pencil sharpener, yellow pen</x:v>
      </x:c>
      <x:c r="K593" s="69" t="str">
        <x:v>airplane toy without propellers</x:v>
      </x:c>
      <x:c r="L593" s="69" t="str">
        <x:v>Home</x:v>
      </x:c>
      <x:c r="M593" s="69" t="str">
        <x:v>Put the airplane toy between the green pencil sharpener and the yellow pen in the bowl.</x:v>
      </x:c>
      <x:c r="N593" s="69" t="str">
        <x:v>airplane toy with propellers, airplane toy without propellers, green pencil sharpener, yellow pen</x:v>
      </x:c>
      <x:c r="O593" s="69" t="str">
        <x:v>airplane toy without propellers</x:v>
      </x:c>
      <x:c r="P593" s="70" t="str">
        <x:v>Between is explicitly grounded in training.</x:v>
      </x:c>
    </x:row>
    <x:row r="594" ht="58" customHeight="1">
      <x:c r="A594" s="100" t="n">
        <x:v>592</x:v>
      </x:c>
      <x:c r="B594" s="69" t="str">
        <x:v>Referential Disambiguation</x:v>
      </x:c>
      <x:c r="C594" s="69" t="str">
        <x:v>Pick up the airplane toy positioned between the yellow pen and the crushed Pepsi can, then place it in the bowl.</x:v>
      </x:c>
      <x:c r="D594" s="69" t="str">
        <x:v>Explicit between grounding</x:v>
      </x:c>
      <x:c r="E594" s="69" t="str">
        <x:v>between</x:v>
      </x:c>
      <x:c r="F594" s="69" t="str">
        <x:v>referential_between_explicit</x:v>
      </x:c>
      <x:c r="G594" s="69" t="str">
        <x:v>furthest × airplane-toy candidates with red pencil sharpener / yellow pen / crushed Pepsi can references</x:v>
      </x:c>
      <x:c r="H594" s="69" t="str">
        <x:v>No</x:v>
      </x:c>
      <x:c r="I594" s="69" t="str"/>
      <x:c r="J594" s="69" t="str">
        <x:v>airplane toy with propellers, airplane toy without propellers, yellow pen, crushed Pepsi can</x:v>
      </x:c>
      <x:c r="K594" s="69" t="str">
        <x:v>airplane toy with propellers</x:v>
      </x:c>
      <x:c r="L594" s="69" t="str">
        <x:v>Home</x:v>
      </x:c>
      <x:c r="M594" s="69" t="str">
        <x:v>Pick up the airplane toy positioned between the yellow pen and the crushed Pepsi can, then place it in the bowl.</x:v>
      </x:c>
      <x:c r="N594" s="69" t="str">
        <x:v>airplane toy with propellers, airplane toy without propellers, yellow pen, crushed Pepsi can</x:v>
      </x:c>
      <x:c r="O594" s="69" t="str">
        <x:v>airplane toy with propellers</x:v>
      </x:c>
      <x:c r="P594" s="70" t="str">
        <x:v>Between is explicitly grounded in training.</x:v>
      </x:c>
    </x:row>
    <x:row r="595" ht="58" customHeight="1">
      <x:c r="A595" s="100" t="n">
        <x:v>593</x:v>
      </x:c>
      <x:c r="B595" s="69" t="str">
        <x:v>Referential Disambiguation</x:v>
      </x:c>
      <x:c r="C595" s="69" t="str">
        <x:v>Put the airplane toy between the green pencil sharpener and the crushed Pepsi can in the bowl.</x:v>
      </x:c>
      <x:c r="D595" s="69" t="str">
        <x:v>Explicit between grounding</x:v>
      </x:c>
      <x:c r="E595" s="69" t="str">
        <x:v>between</x:v>
      </x:c>
      <x:c r="F595" s="69" t="str">
        <x:v>referential_between_explicit</x:v>
      </x:c>
      <x:c r="G595" s="69" t="str">
        <x:v>furthest × airplane-toy candidates with red pencil sharpener / yellow pen / crushed Pepsi can references</x:v>
      </x:c>
      <x:c r="H595" s="69" t="str">
        <x:v>No</x:v>
      </x:c>
      <x:c r="I595" s="69" t="str"/>
      <x:c r="J595" s="69" t="str">
        <x:v>airplane toy with propellers, airplane toy without propellers, green pencil sharpener, crushed Pepsi can</x:v>
      </x:c>
      <x:c r="K595" s="69" t="str">
        <x:v>airplane toy without propellers</x:v>
      </x:c>
      <x:c r="L595" s="69" t="str">
        <x:v>Home</x:v>
      </x:c>
      <x:c r="M595" s="69" t="str">
        <x:v>Put the airplane toy between the green pencil sharpener and the crushed Pepsi can in the bowl.</x:v>
      </x:c>
      <x:c r="N595" s="69" t="str">
        <x:v>airplane toy with propellers, airplane toy without propellers, green pencil sharpener, crushed Pepsi can</x:v>
      </x:c>
      <x:c r="O595" s="69" t="str">
        <x:v>airplane toy without propellers</x:v>
      </x:c>
      <x:c r="P595" s="70" t="str">
        <x:v>Between is explicitly grounded in training.</x:v>
      </x:c>
    </x:row>
    <x:row r="596" ht="58" customHeight="1">
      <x:c r="A596" s="100" t="n">
        <x:v>594</x:v>
      </x:c>
      <x:c r="B596" s="69" t="str">
        <x:v>Referential Disambiguation</x:v>
      </x:c>
      <x:c r="C596" s="69" t="str">
        <x:v>Move the airplane toy lying between the red pencil sharpener and the yellow pen into the bowl.</x:v>
      </x:c>
      <x:c r="D596" s="69" t="str">
        <x:v>Explicit between grounding</x:v>
      </x:c>
      <x:c r="E596" s="69" t="str">
        <x:v>between</x:v>
      </x:c>
      <x:c r="F596" s="69" t="str">
        <x:v>referential_between_explicit</x:v>
      </x:c>
      <x:c r="G596" s="69" t="str">
        <x:v>furthest × airplane-toy candidates with red pencil sharpener / yellow pen / crushed Pepsi can references</x:v>
      </x:c>
      <x:c r="H596" s="69" t="str">
        <x:v>No</x:v>
      </x:c>
      <x:c r="I596" s="69" t="str"/>
      <x:c r="J596" s="69" t="str">
        <x:v>airplane toy with propellers, airplane toy without propellers, red pencil sharpener, yellow pen, green pen</x:v>
      </x:c>
      <x:c r="K596" s="69" t="str">
        <x:v>airplane toy without propellers</x:v>
      </x:c>
      <x:c r="L596" s="69" t="str">
        <x:v>Recovery</x:v>
      </x:c>
      <x:c r="M596" s="69" t="str">
        <x:v>Move the airplane toy lying between the red pencil sharpener and the yellow pen into the bowl.</x:v>
      </x:c>
      <x:c r="N596" s="69" t="str">
        <x:v>airplane toy with propellers, airplane toy without propellers, red pencil sharpener, yellow pen, green pen</x:v>
      </x:c>
      <x:c r="O596" s="69" t="str">
        <x:v>airplane toy without propellers</x:v>
      </x:c>
      <x:c r="P596" s="70" t="str">
        <x:v>Between is explicitly grounded in training.</x:v>
      </x:c>
    </x:row>
    <x:row r="597" ht="58" customHeight="1">
      <x:c r="A597" s="100" t="n">
        <x:v>595</x:v>
      </x:c>
      <x:c r="B597" s="69" t="str">
        <x:v>Referential Disambiguation</x:v>
      </x:c>
      <x:c r="C597" s="69" t="str">
        <x:v>Move the airplane toy lying between the crushed Pepsi can and the green pen into the bowl.</x:v>
      </x:c>
      <x:c r="D597" s="69" t="str">
        <x:v>Explicit between grounding</x:v>
      </x:c>
      <x:c r="E597" s="69" t="str">
        <x:v>between</x:v>
      </x:c>
      <x:c r="F597" s="69" t="str">
        <x:v>referential_between_explicit</x:v>
      </x:c>
      <x:c r="G597" s="69" t="str">
        <x:v>furthest × airplane-toy candidates with red pencil sharpener / yellow pen / crushed Pepsi can references</x:v>
      </x:c>
      <x:c r="H597" s="69" t="str">
        <x:v>No</x:v>
      </x:c>
      <x:c r="I597" s="69" t="str"/>
      <x:c r="J597" s="69" t="str">
        <x:v>airplane toy with propellers, airplane toy without propellers, crushed Pepsi can, green pen, green pencil sharpener</x:v>
      </x:c>
      <x:c r="K597" s="69" t="str">
        <x:v>airplane toy with propellers</x:v>
      </x:c>
      <x:c r="L597" s="69" t="str">
        <x:v>Home</x:v>
      </x:c>
      <x:c r="M597" s="69" t="str">
        <x:v>Move the airplane toy lying between the crushed Pepsi can and the green pen into the bowl.</x:v>
      </x:c>
      <x:c r="N597" s="69" t="str">
        <x:v>airplane toy with propellers, airplane toy without propellers, crushed Pepsi can, green pen, green pencil sharpener</x:v>
      </x:c>
      <x:c r="O597" s="69" t="str">
        <x:v>airplane toy with propellers</x:v>
      </x:c>
      <x:c r="P597" s="70" t="str">
        <x:v>Between is explicitly grounded in training.</x:v>
      </x:c>
    </x:row>
    <x:row r="598" ht="58" customHeight="1">
      <x:c r="A598" s="100" t="n">
        <x:v>596</x:v>
      </x:c>
      <x:c r="B598" s="69" t="str">
        <x:v>Referential Disambiguation</x:v>
      </x:c>
      <x:c r="C598" s="69" t="str">
        <x:v>Pick up the airplane toy positioned between the red pencil sharpener and the crushed Coke can, then place it in the bowl.</x:v>
      </x:c>
      <x:c r="D598" s="69" t="str">
        <x:v>Explicit between grounding</x:v>
      </x:c>
      <x:c r="E598" s="69" t="str">
        <x:v>between</x:v>
      </x:c>
      <x:c r="F598" s="69" t="str">
        <x:v>referential_between_explicit</x:v>
      </x:c>
      <x:c r="G598" s="69" t="str">
        <x:v>furthest × airplane-toy candidates with red pencil sharpener / yellow pen / crushed Pepsi can references</x:v>
      </x:c>
      <x:c r="H598" s="69" t="str">
        <x:v>No</x:v>
      </x:c>
      <x:c r="I598" s="69" t="str"/>
      <x:c r="J598" s="69" t="str">
        <x:v>airplane toy with propellers, airplane toy without propellers, red pencil sharpener, crushed Coke can, yellow pen</x:v>
      </x:c>
      <x:c r="K598" s="69" t="str">
        <x:v>airplane toy with propellers</x:v>
      </x:c>
      <x:c r="L598" s="69" t="str">
        <x:v>Home</x:v>
      </x:c>
      <x:c r="M598" s="69" t="str">
        <x:v>Pick up the airplane toy positioned between the red pencil sharpener and the crushed Coke can, then place it in the bowl.</x:v>
      </x:c>
      <x:c r="N598" s="69" t="str">
        <x:v>airplane toy with propellers, airplane toy without propellers, red pencil sharpener, crushed Coke can, yellow pen</x:v>
      </x:c>
      <x:c r="O598" s="69" t="str">
        <x:v>airplane toy with propellers</x:v>
      </x:c>
      <x:c r="P598" s="70" t="str">
        <x:v>Between is explicitly grounded in training.</x:v>
      </x:c>
    </x:row>
    <x:row r="599" ht="58" customHeight="1">
      <x:c r="A599" s="100" t="n">
        <x:v>597</x:v>
      </x:c>
      <x:c r="B599" s="69" t="str">
        <x:v>Referential Disambiguation</x:v>
      </x:c>
      <x:c r="C599" s="69" t="str">
        <x:v>Pick up the airplane toy positioned between the green pen and the green pencil sharpener, then place it in the bowl.</x:v>
      </x:c>
      <x:c r="D599" s="69" t="str">
        <x:v>Explicit between grounding</x:v>
      </x:c>
      <x:c r="E599" s="69" t="str">
        <x:v>between</x:v>
      </x:c>
      <x:c r="F599" s="69" t="str">
        <x:v>referential_between_explicit</x:v>
      </x:c>
      <x:c r="G599" s="69" t="str">
        <x:v>furthest × airplane-toy candidates with red pencil sharpener / yellow pen / crushed Pepsi can references</x:v>
      </x:c>
      <x:c r="H599" s="69" t="str">
        <x:v>No</x:v>
      </x:c>
      <x:c r="I599" s="69" t="str"/>
      <x:c r="J599" s="69" t="str">
        <x:v>airplane toy with propellers, airplane toy without propellers, green pen, green pencil sharpener</x:v>
      </x:c>
      <x:c r="K599" s="69" t="str">
        <x:v>airplane toy with propellers</x:v>
      </x:c>
      <x:c r="L599" s="69" t="str">
        <x:v>Recovery</x:v>
      </x:c>
      <x:c r="M599" s="69" t="str">
        <x:v>Pick up the airplane toy positioned between the green pen and the green pencil sharpener, then place it in the bowl.</x:v>
      </x:c>
      <x:c r="N599" s="69" t="str">
        <x:v>airplane toy with propellers, airplane toy without propellers, green pen, green pencil sharpener</x:v>
      </x:c>
      <x:c r="O599" s="69" t="str">
        <x:v>airplane toy with propellers</x:v>
      </x:c>
      <x:c r="P599" s="70" t="str">
        <x:v>Between is explicitly grounded in training.</x:v>
      </x:c>
    </x:row>
    <x:row r="600" ht="58" customHeight="1">
      <x:c r="A600" s="100" t="n">
        <x:v>598</x:v>
      </x:c>
      <x:c r="B600" s="69" t="str">
        <x:v>Referential Disambiguation</x:v>
      </x:c>
      <x:c r="C600" s="69" t="str">
        <x:v>Put the airplane toy between the crushed Coke can and the green pen in the bowl.</x:v>
      </x:c>
      <x:c r="D600" s="69" t="str">
        <x:v>Explicit between grounding</x:v>
      </x:c>
      <x:c r="E600" s="69" t="str">
        <x:v>between</x:v>
      </x:c>
      <x:c r="F600" s="69" t="str">
        <x:v>referential_between_explicit</x:v>
      </x:c>
      <x:c r="G600" s="69" t="str">
        <x:v>furthest × airplane-toy candidates with red pencil sharpener / yellow pen / crushed Pepsi can references</x:v>
      </x:c>
      <x:c r="H600" s="69" t="str">
        <x:v>No</x:v>
      </x:c>
      <x:c r="I600" s="69" t="str"/>
      <x:c r="J600" s="69" t="str">
        <x:v>airplane toy with propellers, airplane toy without propellers, crushed Coke can, green pen, red pencil sharpener</x:v>
      </x:c>
      <x:c r="K600" s="69" t="str">
        <x:v>airplane toy without propellers</x:v>
      </x:c>
      <x:c r="L600" s="69" t="str">
        <x:v>Home</x:v>
      </x:c>
      <x:c r="M600" s="69" t="str">
        <x:v>Put the airplane toy between the crushed Coke can and the green pen in the bowl.</x:v>
      </x:c>
      <x:c r="N600" s="69" t="str">
        <x:v>airplane toy with propellers, airplane toy without propellers, crushed Coke can, green pen, red pencil sharpener</x:v>
      </x:c>
      <x:c r="O600" s="69" t="str">
        <x:v>airplane toy without propellers</x:v>
      </x:c>
      <x:c r="P600" s="70" t="str">
        <x:v>Between is explicitly grounded in training.</x:v>
      </x:c>
    </x:row>
    <x:row r="601" ht="58" customHeight="1">
      <x:c r="A601" s="100" t="n">
        <x:v>599</x:v>
      </x:c>
      <x:c r="B601" s="69" t="str">
        <x:v>Referential Disambiguation</x:v>
      </x:c>
      <x:c r="C601" s="69" t="str">
        <x:v>Move the airplane toy lying between the crushed Coke can and the green pencil sharpener into the bowl.</x:v>
      </x:c>
      <x:c r="D601" s="69" t="str">
        <x:v>Explicit between grounding</x:v>
      </x:c>
      <x:c r="E601" s="69" t="str">
        <x:v>between</x:v>
      </x:c>
      <x:c r="F601" s="69" t="str">
        <x:v>referential_between_explicit</x:v>
      </x:c>
      <x:c r="G601" s="69" t="str">
        <x:v>furthest × airplane-toy candidates with red pencil sharpener / yellow pen / crushed Pepsi can references</x:v>
      </x:c>
      <x:c r="H601" s="69" t="str">
        <x:v>No</x:v>
      </x:c>
      <x:c r="I601" s="69" t="str"/>
      <x:c r="J601" s="69" t="str">
        <x:v>airplane toy with propellers, airplane toy without propellers, crushed Coke can, green pencil sharpener</x:v>
      </x:c>
      <x:c r="K601" s="69" t="str">
        <x:v>airplane toy without propellers</x:v>
      </x:c>
      <x:c r="L601" s="69" t="str">
        <x:v>Home</x:v>
      </x:c>
      <x:c r="M601" s="69" t="str">
        <x:v>Move the airplane toy lying between the crushed Coke can and the green pencil sharpener into the bowl.</x:v>
      </x:c>
      <x:c r="N601" s="69" t="str">
        <x:v>airplane toy with propellers, airplane toy without propellers, crushed Coke can, green pencil sharpener</x:v>
      </x:c>
      <x:c r="O601" s="69" t="str">
        <x:v>airplane toy without propellers</x:v>
      </x:c>
      <x:c r="P601" s="70" t="str">
        <x:v>Between is explicitly grounded in training.</x:v>
      </x:c>
    </x:row>
    <x:row r="602" ht="58" customHeight="1">
      <x:c r="A602" s="100" t="n">
        <x:v>600</x:v>
      </x:c>
      <x:c r="B602" s="69" t="str">
        <x:v>Ordering/Sequencing</x:v>
      </x:c>
      <x:c r="C602" s="69" t="str">
        <x:v>Move the first from the left object into the bowl.</x:v>
      </x:c>
      <x:c r="D602" s="69" t="str">
        <x:v>Explicit ordinal grounding</x:v>
      </x:c>
      <x:c r="E602" s="69" t="str">
        <x:v>first from the left; physical target position L1</x:v>
      </x:c>
      <x:c r="F602" s="69" t="str">
        <x:v>ordering_n4</x:v>
      </x:c>
      <x:c r="G602" s="69" t="str">
        <x:v>exact phrases first from the right and third from the left; physical positions L4 and L3 remain trained through fourth-from-left and second-from-right</x:v>
      </x:c>
      <x:c r="H602" s="69" t="str">
        <x:v>Yes</x:v>
      </x:c>
      <x:c r="I602" s="69" t="str">
        <x:v>replace ordering demonstration</x:v>
      </x:c>
      <x:c r="J602" s="69" t="str">
        <x:v>Four collinear objects, camera-view left to right: L1 airplane toy with propellers; L2 blue tape ball; L3 green highlighter; L4 yellow pen. Use approximately 10 cm centre-to-centre spacing; target at L1.</x:v>
      </x:c>
      <x:c r="K602" s="69" t="str">
        <x:v>airplane toy with propellers</x:v>
      </x:c>
      <x:c r="L602" s="69" t="str">
        <x:v>Home</x:v>
      </x:c>
      <x:c r="M602" s="69" t="str">
        <x:v>Pick up the object that is fourth from the right and place it in the bowl.</x:v>
      </x:c>
      <x:c r="N602" s="69" t="str">
        <x:v>airplane toy with propellers, blue tape ball, green highlighter, yellow pen</x:v>
      </x:c>
      <x:c r="O602" s="69" t="str">
        <x:v>airplane toy with propellers</x:v>
      </x:c>
      <x:c r="P602" s="70" t="str">
        <x:v>Four-object ordinal grounding. All physical positions are trained, while only the exact ordinal-direction compositions used by the primary evaluation are absent.</x:v>
      </x:c>
    </x:row>
    <x:row r="603" ht="58" customHeight="1">
      <x:c r="A603" s="100" t="n">
        <x:v>601</x:v>
      </x:c>
      <x:c r="B603" s="69" t="str">
        <x:v>Ordering/Sequencing</x:v>
      </x:c>
      <x:c r="C603" s="69" t="str">
        <x:v>Put the object that is first from the left in the bowl.</x:v>
      </x:c>
      <x:c r="D603" s="69" t="str">
        <x:v>Explicit ordinal grounding</x:v>
      </x:c>
      <x:c r="E603" s="69" t="str">
        <x:v>first from the left; physical target position L1</x:v>
      </x:c>
      <x:c r="F603" s="69" t="str">
        <x:v>ordering_n4</x:v>
      </x:c>
      <x:c r="G603" s="69" t="str">
        <x:v>exact phrases first from the right and third from the left; physical positions L4 and L3 remain trained through fourth-from-left and second-from-right</x:v>
      </x:c>
      <x:c r="H603" s="69" t="str">
        <x:v>Yes</x:v>
      </x:c>
      <x:c r="I603" s="69" t="str">
        <x:v>replace ordering demonstration</x:v>
      </x:c>
      <x:c r="J603" s="69" t="str">
        <x:v>Four collinear objects, camera-view left to right: L1 blue tape ball; L2 airplane toy with propellers; L3 green highlighter; L4 yellow pen. Use approximately 10 cm centre-to-centre spacing; target at L1.</x:v>
      </x:c>
      <x:c r="K603" s="69" t="str">
        <x:v>blue tape ball</x:v>
      </x:c>
      <x:c r="L603" s="69" t="str">
        <x:v>Home</x:v>
      </x:c>
      <x:c r="M603" s="69" t="str">
        <x:v>Put the first object from the left in the bowl.</x:v>
      </x:c>
      <x:c r="N603" s="69" t="str">
        <x:v>airplane toy with propellers, blue tape ball, yellow pen, green highlighter</x:v>
      </x:c>
      <x:c r="O603" s="69" t="str">
        <x:v>airplane toy with propellers</x:v>
      </x:c>
      <x:c r="P603" s="70" t="str">
        <x:v>Four-object ordinal grounding. All physical positions are trained, while only the exact ordinal-direction compositions used by the primary evaluation are absent.</x:v>
      </x:c>
    </x:row>
    <x:row r="604" ht="58" customHeight="1">
      <x:c r="A604" s="100" t="n">
        <x:v>602</x:v>
      </x:c>
      <x:c r="B604" s="69" t="str">
        <x:v>Ordering/Sequencing</x:v>
      </x:c>
      <x:c r="C604" s="69" t="str">
        <x:v>Pick up the object that is first from the left and place it in the bowl.</x:v>
      </x:c>
      <x:c r="D604" s="69" t="str">
        <x:v>Explicit ordinal grounding</x:v>
      </x:c>
      <x:c r="E604" s="69" t="str">
        <x:v>first from the left; physical target position L1</x:v>
      </x:c>
      <x:c r="F604" s="69" t="str">
        <x:v>ordering_n4</x:v>
      </x:c>
      <x:c r="G604" s="69" t="str">
        <x:v>exact phrases first from the right and third from the left; physical positions L4 and L3 remain trained through fourth-from-left and second-from-right</x:v>
      </x:c>
      <x:c r="H604" s="69" t="str">
        <x:v>Yes</x:v>
      </x:c>
      <x:c r="I604" s="69" t="str">
        <x:v>replace ordering demonstration</x:v>
      </x:c>
      <x:c r="J604" s="69" t="str">
        <x:v>Four collinear objects, camera-view left to right: L1 green highlighter; L2 airplane toy with propellers; L3 blue tape ball; L4 yellow pen. Use approximately 10 cm centre-to-centre spacing; target at L1.</x:v>
      </x:c>
      <x:c r="K604" s="69" t="str">
        <x:v>green highlighter</x:v>
      </x:c>
      <x:c r="L604" s="69" t="str">
        <x:v>Home</x:v>
      </x:c>
      <x:c r="M604" s="69" t="str">
        <x:v>Pick up the object that is fourth from the right and place it in the bowl.</x:v>
      </x:c>
      <x:c r="N604" s="69" t="str">
        <x:v>airplane toy with propellers, green highlighter, blue tape ball, yellow pen</x:v>
      </x:c>
      <x:c r="O604" s="69" t="str">
        <x:v>airplane toy with propellers</x:v>
      </x:c>
      <x:c r="P604" s="70" t="str">
        <x:v>Four-object ordinal grounding. All physical positions are trained, while only the exact ordinal-direction compositions used by the primary evaluation are absent.</x:v>
      </x:c>
    </x:row>
    <x:row r="605" ht="58" customHeight="1">
      <x:c r="A605" s="100" t="n">
        <x:v>603</x:v>
      </x:c>
      <x:c r="B605" s="69" t="str">
        <x:v>Ordering/Sequencing</x:v>
      </x:c>
      <x:c r="C605" s="69" t="str">
        <x:v>Move the first from the left object into the bowl.</x:v>
      </x:c>
      <x:c r="D605" s="69" t="str">
        <x:v>Explicit ordinal grounding</x:v>
      </x:c>
      <x:c r="E605" s="69" t="str">
        <x:v>first from the left; physical target position L1</x:v>
      </x:c>
      <x:c r="F605" s="69" t="str">
        <x:v>ordering_n4</x:v>
      </x:c>
      <x:c r="G605" s="69" t="str">
        <x:v>exact phrases first from the right and third from the left; physical positions L4 and L3 remain trained through fourth-from-left and second-from-right</x:v>
      </x:c>
      <x:c r="H605" s="69" t="str">
        <x:v>Yes</x:v>
      </x:c>
      <x:c r="I605" s="69" t="str">
        <x:v>replace ordering demonstration</x:v>
      </x:c>
      <x:c r="J605" s="69" t="str">
        <x:v>Four collinear objects, camera-view left to right: L1 yellow pen; L2 airplane toy with propellers; L3 blue tape ball; L4 green highlighter. Use approximately 10 cm centre-to-centre spacing; target at L1.</x:v>
      </x:c>
      <x:c r="K605" s="69" t="str">
        <x:v>yellow pen</x:v>
      </x:c>
      <x:c r="L605" s="69" t="str">
        <x:v>Home</x:v>
      </x:c>
      <x:c r="M605" s="69" t="str">
        <x:v>Move the first item counted from the left into the bowl.</x:v>
      </x:c>
      <x:c r="N605" s="69" t="str">
        <x:v>airplane toy with propellers, green highlighter, yellow pen, blue tape ball</x:v>
      </x:c>
      <x:c r="O605" s="69" t="str">
        <x:v>airplane toy with propellers</x:v>
      </x:c>
      <x:c r="P605" s="70" t="str">
        <x:v>Four-object ordinal grounding. All physical positions are trained, while only the exact ordinal-direction compositions used by the primary evaluation are absent.</x:v>
      </x:c>
    </x:row>
    <x:row r="606" ht="58" customHeight="1">
      <x:c r="A606" s="100" t="n">
        <x:v>604</x:v>
      </x:c>
      <x:c r="B606" s="69" t="str">
        <x:v>Ordering/Sequencing</x:v>
      </x:c>
      <x:c r="C606" s="69" t="str">
        <x:v>Put the object that is first from the left in the bowl.</x:v>
      </x:c>
      <x:c r="D606" s="69" t="str">
        <x:v>Explicit ordinal grounding</x:v>
      </x:c>
      <x:c r="E606" s="69" t="str">
        <x:v>first from the left; physical target position L1</x:v>
      </x:c>
      <x:c r="F606" s="69" t="str">
        <x:v>ordering_n4</x:v>
      </x:c>
      <x:c r="G606" s="69" t="str">
        <x:v>exact phrases first from the right and third from the left; physical positions L4 and L3 remain trained through fourth-from-left and second-from-right</x:v>
      </x:c>
      <x:c r="H606" s="69" t="str">
        <x:v>Yes</x:v>
      </x:c>
      <x:c r="I606" s="69" t="str">
        <x:v>replace ordering demonstration</x:v>
      </x:c>
      <x:c r="J606" s="69" t="str">
        <x:v>Four collinear objects, camera-view left to right: L1 airplane toy with propellers; L2 green highlighter; L3 yellow pen; L4 blue tape ball. Use approximately 10 cm centre-to-centre spacing; target at L1.</x:v>
      </x:c>
      <x:c r="K606" s="69" t="str">
        <x:v>airplane toy with propellers</x:v>
      </x:c>
      <x:c r="L606" s="69" t="str">
        <x:v>Home</x:v>
      </x:c>
      <x:c r="M606" s="69" t="str">
        <x:v>Put the third object from the right in the bowl.</x:v>
      </x:c>
      <x:c r="N606" s="69" t="str">
        <x:v>airplane toy with propellers, yellow pen, blue tape ball</x:v>
      </x:c>
      <x:c r="O606" s="69" t="str">
        <x:v>airplane toy with propellers</x:v>
      </x:c>
      <x:c r="P606" s="70" t="str">
        <x:v>Four-object ordinal grounding. All physical positions are trained, while only the exact ordinal-direction compositions used by the primary evaluation are absent.</x:v>
      </x:c>
    </x:row>
    <x:row r="607" ht="58" customHeight="1">
      <x:c r="A607" s="100" t="n">
        <x:v>605</x:v>
      </x:c>
      <x:c r="B607" s="69" t="str">
        <x:v>Ordering/Sequencing</x:v>
      </x:c>
      <x:c r="C607" s="69" t="str">
        <x:v>Pick up the object that is first from the left and place it in the bowl.</x:v>
      </x:c>
      <x:c r="D607" s="69" t="str">
        <x:v>Explicit ordinal grounding</x:v>
      </x:c>
      <x:c r="E607" s="69" t="str">
        <x:v>first from the left; physical target position L1</x:v>
      </x:c>
      <x:c r="F607" s="69" t="str">
        <x:v>ordering_n4</x:v>
      </x:c>
      <x:c r="G607" s="69" t="str">
        <x:v>exact phrases first from the right and third from the left; physical positions L4 and L3 remain trained through fourth-from-left and second-from-right</x:v>
      </x:c>
      <x:c r="H607" s="69" t="str">
        <x:v>Yes</x:v>
      </x:c>
      <x:c r="I607" s="69" t="str">
        <x:v>replace ordering demonstration</x:v>
      </x:c>
      <x:c r="J607" s="69" t="str">
        <x:v>Four collinear objects, camera-view left to right: L1 blue tape ball; L2 green highlighter; L3 yellow pen; L4 airplane toy with propellers. Use approximately 10 cm centre-to-centre spacing; target at L1.</x:v>
      </x:c>
      <x:c r="K607" s="69" t="str">
        <x:v>blue tape ball</x:v>
      </x:c>
      <x:c r="L607" s="69" t="str">
        <x:v>Home</x:v>
      </x:c>
      <x:c r="M607" s="69" t="str">
        <x:v>Put the third object from the right in the bowl.</x:v>
      </x:c>
      <x:c r="N607" s="69" t="str">
        <x:v>airplane toy with propellers, yellow pen, green highlighter</x:v>
      </x:c>
      <x:c r="O607" s="69" t="str">
        <x:v>airplane toy with propellers</x:v>
      </x:c>
      <x:c r="P607" s="70" t="str">
        <x:v>Four-object ordinal grounding. All physical positions are trained, while only the exact ordinal-direction compositions used by the primary evaluation are absent.</x:v>
      </x:c>
    </x:row>
    <x:row r="608" ht="58" customHeight="1">
      <x:c r="A608" s="100" t="n">
        <x:v>606</x:v>
      </x:c>
      <x:c r="B608" s="69" t="str">
        <x:v>Ordering/Sequencing</x:v>
      </x:c>
      <x:c r="C608" s="69" t="str">
        <x:v>Move the first from the left object into the bowl.</x:v>
      </x:c>
      <x:c r="D608" s="69" t="str">
        <x:v>Explicit ordinal grounding</x:v>
      </x:c>
      <x:c r="E608" s="69" t="str">
        <x:v>first from the left; physical target position L1</x:v>
      </x:c>
      <x:c r="F608" s="69" t="str">
        <x:v>ordering_n4</x:v>
      </x:c>
      <x:c r="G608" s="69" t="str">
        <x:v>exact phrases first from the right and third from the left; physical positions L4 and L3 remain trained through fourth-from-left and second-from-right</x:v>
      </x:c>
      <x:c r="H608" s="69" t="str">
        <x:v>Yes</x:v>
      </x:c>
      <x:c r="I608" s="69" t="str">
        <x:v>replace ordering demonstration</x:v>
      </x:c>
      <x:c r="J608" s="69" t="str">
        <x:v>Four collinear objects, camera-view left to right: L1 green highlighter; L2 blue tape ball; L3 yellow pen; L4 airplane toy with propellers. Use approximately 10 cm centre-to-centre spacing; target at L1.</x:v>
      </x:c>
      <x:c r="K608" s="69" t="str">
        <x:v>green highlighter</x:v>
      </x:c>
      <x:c r="L608" s="69" t="str">
        <x:v>Home</x:v>
      </x:c>
      <x:c r="M608" s="69" t="str">
        <x:v>Pick up the object that is third from the right and place it in the bowl.</x:v>
      </x:c>
      <x:c r="N608" s="69" t="str">
        <x:v>airplane toy with propellers, blue tape ball, green highlighter</x:v>
      </x:c>
      <x:c r="O608" s="69" t="str">
        <x:v>airplane toy with propellers</x:v>
      </x:c>
      <x:c r="P608" s="70" t="str">
        <x:v>Four-object ordinal grounding. All physical positions are trained, while only the exact ordinal-direction compositions used by the primary evaluation are absent.</x:v>
      </x:c>
    </x:row>
    <x:row r="609" ht="58" customHeight="1">
      <x:c r="A609" s="100" t="n">
        <x:v>607</x:v>
      </x:c>
      <x:c r="B609" s="69" t="str">
        <x:v>Ordering/Sequencing</x:v>
      </x:c>
      <x:c r="C609" s="69" t="str">
        <x:v>Put the object that is first from the left in the bowl.</x:v>
      </x:c>
      <x:c r="D609" s="69" t="str">
        <x:v>Explicit ordinal grounding</x:v>
      </x:c>
      <x:c r="E609" s="69" t="str">
        <x:v>first from the left; physical target position L1</x:v>
      </x:c>
      <x:c r="F609" s="69" t="str">
        <x:v>ordering_n4</x:v>
      </x:c>
      <x:c r="G609" s="69" t="str">
        <x:v>exact phrases first from the right and third from the left; physical positions L4 and L3 remain trained through fourth-from-left and second-from-right</x:v>
      </x:c>
      <x:c r="H609" s="69" t="str">
        <x:v>Yes</x:v>
      </x:c>
      <x:c r="I609" s="69" t="str">
        <x:v>replace ordering demonstration</x:v>
      </x:c>
      <x:c r="J609" s="69" t="str">
        <x:v>Four collinear objects, camera-view left to right: L1 yellow pen; L2 blue tape ball; L3 green highlighter; L4 airplane toy with propellers. Use approximately 10 cm centre-to-centre spacing; target at L1.</x:v>
      </x:c>
      <x:c r="K609" s="69" t="str">
        <x:v>yellow pen</x:v>
      </x:c>
      <x:c r="L609" s="69" t="str">
        <x:v>Home</x:v>
      </x:c>
      <x:c r="M609" s="69" t="str">
        <x:v>Move the first item counted from the left into the bowl.</x:v>
      </x:c>
      <x:c r="N609" s="69" t="str">
        <x:v>airplane toy with propellers, green highlighter, blue tape ball</x:v>
      </x:c>
      <x:c r="O609" s="69" t="str">
        <x:v>airplane toy with propellers</x:v>
      </x:c>
      <x:c r="P609" s="70" t="str">
        <x:v>Four-object ordinal grounding. All physical positions are trained, while only the exact ordinal-direction compositions used by the primary evaluation are absent.</x:v>
      </x:c>
    </x:row>
    <x:row r="610" ht="58" customHeight="1">
      <x:c r="A610" s="100" t="n">
        <x:v>608</x:v>
      </x:c>
      <x:c r="B610" s="69" t="str">
        <x:v>Ordering/Sequencing</x:v>
      </x:c>
      <x:c r="C610" s="69" t="str">
        <x:v>Pick up the object that is first from the left and place it in the bowl.</x:v>
      </x:c>
      <x:c r="D610" s="69" t="str">
        <x:v>Explicit ordinal grounding</x:v>
      </x:c>
      <x:c r="E610" s="69" t="str">
        <x:v>first from the left; physical target position L1</x:v>
      </x:c>
      <x:c r="F610" s="69" t="str">
        <x:v>ordering_n4</x:v>
      </x:c>
      <x:c r="G610" s="69" t="str">
        <x:v>exact phrases first from the right and third from the left; physical positions L4 and L3 remain trained through fourth-from-left and second-from-right</x:v>
      </x:c>
      <x:c r="H610" s="69" t="str">
        <x:v>Yes</x:v>
      </x:c>
      <x:c r="I610" s="69" t="str">
        <x:v>replace ordering demonstration</x:v>
      </x:c>
      <x:c r="J610" s="69" t="str">
        <x:v>Four collinear objects, camera-view left to right: L1 airplane toy with propellers; L2 yellow pen; L3 blue tape ball; L4 green highlighter. Use approximately 10 cm centre-to-centre spacing; target at L1.</x:v>
      </x:c>
      <x:c r="K610" s="69" t="str">
        <x:v>airplane toy with propellers</x:v>
      </x:c>
      <x:c r="L610" s="69" t="str">
        <x:v>Home</x:v>
      </x:c>
      <x:c r="M610" s="69" t="str">
        <x:v>Move the second item counted from the right into the bowl.</x:v>
      </x:c>
      <x:c r="N610" s="69" t="str">
        <x:v>airplane toy with propellers, blue tape ball</x:v>
      </x:c>
      <x:c r="O610" s="69" t="str">
        <x:v>airplane toy with propellers</x:v>
      </x:c>
      <x:c r="P610" s="70" t="str">
        <x:v>Four-object ordinal grounding. All physical positions are trained, while only the exact ordinal-direction compositions used by the primary evaluation are absent.</x:v>
      </x:c>
    </x:row>
    <x:row r="611" ht="58" customHeight="1">
      <x:c r="A611" s="100" t="n">
        <x:v>609</x:v>
      </x:c>
      <x:c r="B611" s="69" t="str">
        <x:v>Ordering/Sequencing</x:v>
      </x:c>
      <x:c r="C611" s="69" t="str">
        <x:v>Move the first from the left object into the bowl.</x:v>
      </x:c>
      <x:c r="D611" s="69" t="str">
        <x:v>Explicit ordinal grounding</x:v>
      </x:c>
      <x:c r="E611" s="69" t="str">
        <x:v>first from the left; physical target position L1</x:v>
      </x:c>
      <x:c r="F611" s="69" t="str">
        <x:v>ordering_n4</x:v>
      </x:c>
      <x:c r="G611" s="69" t="str">
        <x:v>exact phrases first from the right and third from the left; physical positions L4 and L3 remain trained through fourth-from-left and second-from-right</x:v>
      </x:c>
      <x:c r="H611" s="69" t="str">
        <x:v>Yes</x:v>
      </x:c>
      <x:c r="I611" s="69" t="str">
        <x:v>replace ordering demonstration</x:v>
      </x:c>
      <x:c r="J611" s="69" t="str">
        <x:v>Four collinear objects, camera-view left to right: L1 blue tape ball; L2 yellow pen; L3 airplane toy with propellers; L4 green highlighter. Use approximately 10 cm centre-to-centre spacing; target at L1.</x:v>
      </x:c>
      <x:c r="K611" s="69" t="str">
        <x:v>blue tape ball</x:v>
      </x:c>
      <x:c r="L611" s="69" t="str">
        <x:v>Home</x:v>
      </x:c>
      <x:c r="M611" s="69" t="str">
        <x:v>Pick up the object that is second from the right and place it in the bowl.</x:v>
      </x:c>
      <x:c r="N611" s="69" t="str">
        <x:v>airplane toy with propellers, green highlighter</x:v>
      </x:c>
      <x:c r="O611" s="69" t="str">
        <x:v>airplane toy with propellers</x:v>
      </x:c>
      <x:c r="P611" s="70" t="str">
        <x:v>Four-object ordinal grounding. All physical positions are trained, while only the exact ordinal-direction compositions used by the primary evaluation are absent.</x:v>
      </x:c>
    </x:row>
    <x:row r="612" ht="58" customHeight="1">
      <x:c r="A612" s="100" t="n">
        <x:v>610</x:v>
      </x:c>
      <x:c r="B612" s="69" t="str">
        <x:v>Ordering/Sequencing</x:v>
      </x:c>
      <x:c r="C612" s="69" t="str">
        <x:v>Put the object that is first from the left in the bowl.</x:v>
      </x:c>
      <x:c r="D612" s="69" t="str">
        <x:v>Explicit ordinal grounding</x:v>
      </x:c>
      <x:c r="E612" s="69" t="str">
        <x:v>first from the left; physical target position L1</x:v>
      </x:c>
      <x:c r="F612" s="69" t="str">
        <x:v>ordering_n4</x:v>
      </x:c>
      <x:c r="G612" s="69" t="str">
        <x:v>exact phrases first from the right and third from the left; physical positions L4 and L3 remain trained through fourth-from-left and second-from-right</x:v>
      </x:c>
      <x:c r="H612" s="69" t="str">
        <x:v>Yes</x:v>
      </x:c>
      <x:c r="I612" s="69" t="str">
        <x:v>replace ordering demonstration</x:v>
      </x:c>
      <x:c r="J612" s="69" t="str">
        <x:v>Four collinear objects, camera-view left to right: L1 green highlighter; L2 yellow pen; L3 airplane toy with propellers; L4 blue tape ball. Use approximately 10 cm centre-to-centre spacing; target at L1.</x:v>
      </x:c>
      <x:c r="K612" s="69" t="str">
        <x:v>green highlighter</x:v>
      </x:c>
      <x:c r="L612" s="69" t="str">
        <x:v>Recovery</x:v>
      </x:c>
      <x:c r="M612" s="69" t="str">
        <x:v>Pick up the object that is second from the right and place it in the bowl.</x:v>
      </x:c>
      <x:c r="N612" s="69" t="str">
        <x:v>airplane toy with propellers, yellow pen</x:v>
      </x:c>
      <x:c r="O612" s="69" t="str">
        <x:v>airplane toy with propellers</x:v>
      </x:c>
      <x:c r="P612" s="70" t="str">
        <x:v>Four-object ordinal grounding. All physical positions are trained, while only the exact ordinal-direction compositions used by the primary evaluation are absent.</x:v>
      </x:c>
    </x:row>
    <x:row r="613" ht="58" customHeight="1">
      <x:c r="A613" s="100" t="n">
        <x:v>611</x:v>
      </x:c>
      <x:c r="B613" s="69" t="str">
        <x:v>Ordering/Sequencing</x:v>
      </x:c>
      <x:c r="C613" s="69" t="str">
        <x:v>Pick up the object that is first from the left and place it in the bowl.</x:v>
      </x:c>
      <x:c r="D613" s="69" t="str">
        <x:v>Explicit ordinal grounding</x:v>
      </x:c>
      <x:c r="E613" s="69" t="str">
        <x:v>first from the left; physical target position L1</x:v>
      </x:c>
      <x:c r="F613" s="69" t="str">
        <x:v>ordering_n4</x:v>
      </x:c>
      <x:c r="G613" s="69" t="str">
        <x:v>exact phrases first from the right and third from the left; physical positions L4 and L3 remain trained through fourth-from-left and second-from-right</x:v>
      </x:c>
      <x:c r="H613" s="69" t="str">
        <x:v>Yes</x:v>
      </x:c>
      <x:c r="I613" s="69" t="str">
        <x:v>replace ordering demonstration</x:v>
      </x:c>
      <x:c r="J613" s="69" t="str">
        <x:v>Four collinear objects, camera-view left to right: L1 yellow pen; L2 green highlighter; L3 airplane toy with propellers; L4 blue tape ball. Use approximately 10 cm centre-to-centre spacing; target at L1.</x:v>
      </x:c>
      <x:c r="K613" s="69" t="str">
        <x:v>yellow pen</x:v>
      </x:c>
      <x:c r="L613" s="69" t="str">
        <x:v>Recovery</x:v>
      </x:c>
      <x:c r="M613" s="69" t="str">
        <x:v>Pick up the object that is first from the left and place it in the bowl.</x:v>
      </x:c>
      <x:c r="N613" s="69" t="str">
        <x:v>airplane toy with propellers, blue tape ball</x:v>
      </x:c>
      <x:c r="O613" s="69" t="str">
        <x:v>airplane toy with propellers</x:v>
      </x:c>
      <x:c r="P613" s="70" t="str">
        <x:v>Four-object ordinal grounding. All physical positions are trained, while only the exact ordinal-direction compositions used by the primary evaluation are absent.</x:v>
      </x:c>
    </x:row>
    <x:row r="614" ht="58" customHeight="1">
      <x:c r="A614" s="100" t="n">
        <x:v>612</x:v>
      </x:c>
      <x:c r="B614" s="69" t="str">
        <x:v>Ordering/Sequencing</x:v>
      </x:c>
      <x:c r="C614" s="69" t="str">
        <x:v>Move the first from the left object into the bowl.</x:v>
      </x:c>
      <x:c r="D614" s="69" t="str">
        <x:v>Explicit ordinal grounding</x:v>
      </x:c>
      <x:c r="E614" s="69" t="str">
        <x:v>first from the left; physical target position L1</x:v>
      </x:c>
      <x:c r="F614" s="69" t="str">
        <x:v>ordering_n4</x:v>
      </x:c>
      <x:c r="G614" s="69" t="str">
        <x:v>exact phrases first from the right and third from the left; physical positions L4 and L3 remain trained through fourth-from-left and second-from-right</x:v>
      </x:c>
      <x:c r="H614" s="69" t="str">
        <x:v>Yes</x:v>
      </x:c>
      <x:c r="I614" s="69" t="str">
        <x:v>replace ordering demonstration</x:v>
      </x:c>
      <x:c r="J614" s="69" t="str">
        <x:v>Four collinear objects, camera-view left to right: L1 airplane toy with propellers; L2 blue tape ball; L3 green highlighter; L4 yellow pen. Use approximately 10 cm centre-to-centre spacing; target at L1.</x:v>
      </x:c>
      <x:c r="K614" s="69" t="str">
        <x:v>airplane toy with propellers</x:v>
      </x:c>
      <x:c r="L614" s="69" t="str">
        <x:v>Recovery</x:v>
      </x:c>
      <x:c r="M614" s="69" t="str">
        <x:v>Pick up the object that is second from the right and place it in the bowl.</x:v>
      </x:c>
      <x:c r="N614" s="69" t="str">
        <x:v>airplane toy with propellers, green highlighter</x:v>
      </x:c>
      <x:c r="O614" s="69" t="str">
        <x:v>airplane toy with propellers</x:v>
      </x:c>
      <x:c r="P614" s="70" t="str">
        <x:v>Four-object ordinal grounding. All physical positions are trained, while only the exact ordinal-direction compositions used by the primary evaluation are absent.</x:v>
      </x:c>
    </x:row>
    <x:row r="615" ht="58" customHeight="1">
      <x:c r="A615" s="100" t="n">
        <x:v>613</x:v>
      </x:c>
      <x:c r="B615" s="69" t="str">
        <x:v>Ordering/Sequencing</x:v>
      </x:c>
      <x:c r="C615" s="69" t="str">
        <x:v>Put the object that is first from the left in the bowl.</x:v>
      </x:c>
      <x:c r="D615" s="69" t="str">
        <x:v>Explicit ordinal grounding</x:v>
      </x:c>
      <x:c r="E615" s="69" t="str">
        <x:v>first from the left; physical target position L1</x:v>
      </x:c>
      <x:c r="F615" s="69" t="str">
        <x:v>ordering_n4</x:v>
      </x:c>
      <x:c r="G615" s="69" t="str">
        <x:v>exact phrases first from the right and third from the left; physical positions L4 and L3 remain trained through fourth-from-left and second-from-right</x:v>
      </x:c>
      <x:c r="H615" s="69" t="str">
        <x:v>Yes</x:v>
      </x:c>
      <x:c r="I615" s="69" t="str">
        <x:v>replace ordering demonstration</x:v>
      </x:c>
      <x:c r="J615" s="69" t="str">
        <x:v>Four collinear objects, camera-view left to right: L1 blue tape ball; L2 airplane toy with propellers; L3 green highlighter; L4 yellow pen. Use approximately 10 cm centre-to-centre spacing; target at L1.</x:v>
      </x:c>
      <x:c r="K615" s="69" t="str">
        <x:v>blue tape ball</x:v>
      </x:c>
      <x:c r="L615" s="69" t="str">
        <x:v>Home</x:v>
      </x:c>
      <x:c r="M615" s="69" t="str">
        <x:v>Pick up the object that is second from the left and place it in the bowl.</x:v>
      </x:c>
      <x:c r="N615" s="69" t="str">
        <x:v>blue tape ball, airplane toy with propellers, green highlighter, yellow pen</x:v>
      </x:c>
      <x:c r="O615" s="69" t="str">
        <x:v>airplane toy with propellers</x:v>
      </x:c>
      <x:c r="P615" s="70" t="str">
        <x:v>Four-object ordinal grounding. All physical positions are trained, while only the exact ordinal-direction compositions used by the primary evaluation are absent.</x:v>
      </x:c>
    </x:row>
    <x:row r="616" ht="58" customHeight="1">
      <x:c r="A616" s="100" t="n">
        <x:v>614</x:v>
      </x:c>
      <x:c r="B616" s="69" t="str">
        <x:v>Ordering/Sequencing</x:v>
      </x:c>
      <x:c r="C616" s="69" t="str">
        <x:v>Pick up the object that is first from the left and place it in the bowl.</x:v>
      </x:c>
      <x:c r="D616" s="69" t="str">
        <x:v>Explicit ordinal grounding</x:v>
      </x:c>
      <x:c r="E616" s="69" t="str">
        <x:v>first from the left; physical target position L1</x:v>
      </x:c>
      <x:c r="F616" s="69" t="str">
        <x:v>ordering_n4</x:v>
      </x:c>
      <x:c r="G616" s="69" t="str">
        <x:v>exact phrases first from the right and third from the left; physical positions L4 and L3 remain trained through fourth-from-left and second-from-right</x:v>
      </x:c>
      <x:c r="H616" s="69" t="str">
        <x:v>Yes</x:v>
      </x:c>
      <x:c r="I616" s="69" t="str">
        <x:v>replace ordering demonstration</x:v>
      </x:c>
      <x:c r="J616" s="69" t="str">
        <x:v>Four collinear objects, camera-view left to right: L1 green highlighter; L2 airplane toy with propellers; L3 blue tape ball; L4 yellow pen. Use approximately 10 cm centre-to-centre spacing; target at L1.</x:v>
      </x:c>
      <x:c r="K616" s="69" t="str">
        <x:v>green highlighter</x:v>
      </x:c>
      <x:c r="L616" s="69" t="str">
        <x:v>Home</x:v>
      </x:c>
      <x:c r="M616" s="69" t="str">
        <x:v>Put the second object from the left in the bowl.</x:v>
      </x:c>
      <x:c r="N616" s="69" t="str">
        <x:v>blue tape ball, airplane toy with propellers, yellow pen, green highlighter</x:v>
      </x:c>
      <x:c r="O616" s="69" t="str">
        <x:v>airplane toy with propellers</x:v>
      </x:c>
      <x:c r="P616" s="70" t="str">
        <x:v>Four-object ordinal grounding. All physical positions are trained, while only the exact ordinal-direction compositions used by the primary evaluation are absent.</x:v>
      </x:c>
    </x:row>
    <x:row r="617" ht="58" customHeight="1">
      <x:c r="A617" s="100" t="n">
        <x:v>615</x:v>
      </x:c>
      <x:c r="B617" s="69" t="str">
        <x:v>Ordering/Sequencing</x:v>
      </x:c>
      <x:c r="C617" s="69" t="str">
        <x:v>Move the first from the left object into the bowl.</x:v>
      </x:c>
      <x:c r="D617" s="69" t="str">
        <x:v>Explicit ordinal grounding</x:v>
      </x:c>
      <x:c r="E617" s="69" t="str">
        <x:v>first from the left; physical target position L1</x:v>
      </x:c>
      <x:c r="F617" s="69" t="str">
        <x:v>ordering_n4</x:v>
      </x:c>
      <x:c r="G617" s="69" t="str">
        <x:v>exact phrases first from the right and third from the left; physical positions L4 and L3 remain trained through fourth-from-left and second-from-right</x:v>
      </x:c>
      <x:c r="H617" s="69" t="str">
        <x:v>Yes</x:v>
      </x:c>
      <x:c r="I617" s="69" t="str">
        <x:v>replace ordering demonstration</x:v>
      </x:c>
      <x:c r="J617" s="69" t="str">
        <x:v>Four collinear objects, camera-view left to right: L1 yellow pen; L2 airplane toy with propellers; L3 blue tape ball; L4 green highlighter. Use approximately 10 cm centre-to-centre spacing; target at L1.</x:v>
      </x:c>
      <x:c r="K617" s="69" t="str">
        <x:v>yellow pen</x:v>
      </x:c>
      <x:c r="L617" s="69" t="str">
        <x:v>Home</x:v>
      </x:c>
      <x:c r="M617" s="69" t="str">
        <x:v>Move the second item counted from the left into the bowl.</x:v>
      </x:c>
      <x:c r="N617" s="69" t="str">
        <x:v>green highlighter, airplane toy with propellers, blue tape ball, yellow pen</x:v>
      </x:c>
      <x:c r="O617" s="69" t="str">
        <x:v>airplane toy with propellers</x:v>
      </x:c>
      <x:c r="P617" s="70" t="str">
        <x:v>Four-object ordinal grounding. All physical positions are trained, while only the exact ordinal-direction compositions used by the primary evaluation are absent.</x:v>
      </x:c>
    </x:row>
    <x:row r="618" ht="58" customHeight="1">
      <x:c r="A618" s="100" t="n">
        <x:v>616</x:v>
      </x:c>
      <x:c r="B618" s="69" t="str">
        <x:v>Ordering/Sequencing</x:v>
      </x:c>
      <x:c r="C618" s="69" t="str">
        <x:v>Put the object that is first from the left in the bowl.</x:v>
      </x:c>
      <x:c r="D618" s="69" t="str">
        <x:v>Explicit ordinal grounding</x:v>
      </x:c>
      <x:c r="E618" s="69" t="str">
        <x:v>first from the left; physical target position L1</x:v>
      </x:c>
      <x:c r="F618" s="69" t="str">
        <x:v>ordering_n4</x:v>
      </x:c>
      <x:c r="G618" s="69" t="str">
        <x:v>exact phrases first from the right and third from the left; physical positions L4 and L3 remain trained through fourth-from-left and second-from-right</x:v>
      </x:c>
      <x:c r="H618" s="69" t="str">
        <x:v>Yes</x:v>
      </x:c>
      <x:c r="I618" s="69" t="str">
        <x:v>replace ordering demonstration</x:v>
      </x:c>
      <x:c r="J618" s="69" t="str">
        <x:v>Four collinear objects, camera-view left to right: L1 airplane toy with propellers; L2 green highlighter; L3 yellow pen; L4 blue tape ball. Use approximately 10 cm centre-to-centre spacing; target at L1.</x:v>
      </x:c>
      <x:c r="K618" s="69" t="str">
        <x:v>airplane toy with propellers</x:v>
      </x:c>
      <x:c r="L618" s="69" t="str">
        <x:v>Home</x:v>
      </x:c>
      <x:c r="M618" s="69" t="str">
        <x:v>Move the second item counted from the left into the bowl.</x:v>
      </x:c>
      <x:c r="N618" s="69" t="str">
        <x:v>green highlighter, airplane toy with propellers, yellow pen, blue tape ball</x:v>
      </x:c>
      <x:c r="O618" s="69" t="str">
        <x:v>airplane toy with propellers</x:v>
      </x:c>
      <x:c r="P618" s="70" t="str">
        <x:v>Four-object ordinal grounding. All physical positions are trained, while only the exact ordinal-direction compositions used by the primary evaluation are absent.</x:v>
      </x:c>
    </x:row>
    <x:row r="619" ht="58" customHeight="1">
      <x:c r="A619" s="100" t="n">
        <x:v>617</x:v>
      </x:c>
      <x:c r="B619" s="69" t="str">
        <x:v>Ordering/Sequencing</x:v>
      </x:c>
      <x:c r="C619" s="69" t="str">
        <x:v>Pick up the object that is first from the left and place it in the bowl.</x:v>
      </x:c>
      <x:c r="D619" s="69" t="str">
        <x:v>Explicit ordinal grounding</x:v>
      </x:c>
      <x:c r="E619" s="69" t="str">
        <x:v>first from the left; physical target position L1</x:v>
      </x:c>
      <x:c r="F619" s="69" t="str">
        <x:v>ordering_n4</x:v>
      </x:c>
      <x:c r="G619" s="69" t="str">
        <x:v>exact phrases first from the right and third from the left; physical positions L4 and L3 remain trained through fourth-from-left and second-from-right</x:v>
      </x:c>
      <x:c r="H619" s="69" t="str">
        <x:v>Yes</x:v>
      </x:c>
      <x:c r="I619" s="69" t="str">
        <x:v>replace ordering demonstration</x:v>
      </x:c>
      <x:c r="J619" s="69" t="str">
        <x:v>Four collinear objects, camera-view left to right: L1 blue tape ball; L2 green highlighter; L3 yellow pen; L4 airplane toy with propellers. Use approximately 10 cm centre-to-centre spacing; target at L1.</x:v>
      </x:c>
      <x:c r="K619" s="69" t="str">
        <x:v>blue tape ball</x:v>
      </x:c>
      <x:c r="L619" s="69" t="str">
        <x:v>Home</x:v>
      </x:c>
      <x:c r="M619" s="69" t="str">
        <x:v>Pick up the object that is third from the right and place it in the bowl.</x:v>
      </x:c>
      <x:c r="N619" s="69" t="str">
        <x:v>yellow pen, airplane toy with propellers, blue tape ball, green highlighter</x:v>
      </x:c>
      <x:c r="O619" s="69" t="str">
        <x:v>airplane toy with propellers</x:v>
      </x:c>
      <x:c r="P619" s="70" t="str">
        <x:v>Four-object ordinal grounding. All physical positions are trained, while only the exact ordinal-direction compositions used by the primary evaluation are absent.</x:v>
      </x:c>
    </x:row>
    <x:row r="620" ht="58" customHeight="1">
      <x:c r="A620" s="100" t="n">
        <x:v>618</x:v>
      </x:c>
      <x:c r="B620" s="69" t="str">
        <x:v>Ordering/Sequencing</x:v>
      </x:c>
      <x:c r="C620" s="69" t="str">
        <x:v>Move the first from the left object into the bowl.</x:v>
      </x:c>
      <x:c r="D620" s="69" t="str">
        <x:v>Explicit ordinal grounding</x:v>
      </x:c>
      <x:c r="E620" s="69" t="str">
        <x:v>first from the left; physical target position L1</x:v>
      </x:c>
      <x:c r="F620" s="69" t="str">
        <x:v>ordering_n4</x:v>
      </x:c>
      <x:c r="G620" s="69" t="str">
        <x:v>exact phrases first from the right and third from the left; physical positions L4 and L3 remain trained through fourth-from-left and second-from-right</x:v>
      </x:c>
      <x:c r="H620" s="69" t="str">
        <x:v>Yes</x:v>
      </x:c>
      <x:c r="I620" s="69" t="str">
        <x:v>replace ordering demonstration</x:v>
      </x:c>
      <x:c r="J620" s="69" t="str">
        <x:v>Four collinear objects, camera-view left to right: L1 green highlighter; L2 blue tape ball; L3 yellow pen; L4 airplane toy with propellers. Use approximately 10 cm centre-to-centre spacing; target at L1.</x:v>
      </x:c>
      <x:c r="K620" s="69" t="str">
        <x:v>green highlighter</x:v>
      </x:c>
      <x:c r="L620" s="69" t="str">
        <x:v>Home</x:v>
      </x:c>
      <x:c r="M620" s="69" t="str">
        <x:v>Pick up the object that is third from the right and place it in the bowl.</x:v>
      </x:c>
      <x:c r="N620" s="69" t="str">
        <x:v>yellow pen, airplane toy with propellers, green highlighter, blue tape ball</x:v>
      </x:c>
      <x:c r="O620" s="69" t="str">
        <x:v>airplane toy with propellers</x:v>
      </x:c>
      <x:c r="P620" s="70" t="str">
        <x:v>Four-object ordinal grounding. All physical positions are trained, while only the exact ordinal-direction compositions used by the primary evaluation are absent.</x:v>
      </x:c>
    </x:row>
    <x:row r="621" ht="58" customHeight="1">
      <x:c r="A621" s="100" t="n">
        <x:v>619</x:v>
      </x:c>
      <x:c r="B621" s="69" t="str">
        <x:v>Ordering/Sequencing</x:v>
      </x:c>
      <x:c r="C621" s="69" t="str">
        <x:v>Put the object that is first from the left in the bowl.</x:v>
      </x:c>
      <x:c r="D621" s="69" t="str">
        <x:v>Explicit ordinal grounding</x:v>
      </x:c>
      <x:c r="E621" s="69" t="str">
        <x:v>first from the left; physical target position L1</x:v>
      </x:c>
      <x:c r="F621" s="69" t="str">
        <x:v>ordering_n4</x:v>
      </x:c>
      <x:c r="G621" s="69" t="str">
        <x:v>exact phrases first from the right and third from the left; physical positions L4 and L3 remain trained through fourth-from-left and second-from-right</x:v>
      </x:c>
      <x:c r="H621" s="69" t="str">
        <x:v>Yes</x:v>
      </x:c>
      <x:c r="I621" s="69" t="str">
        <x:v>replace ordering demonstration</x:v>
      </x:c>
      <x:c r="J621" s="69" t="str">
        <x:v>Four collinear objects, camera-view left to right: L1 yellow pen; L2 blue tape ball; L3 green highlighter; L4 airplane toy with propellers. Use approximately 10 cm centre-to-centre spacing; target at L1.</x:v>
      </x:c>
      <x:c r="K621" s="69" t="str">
        <x:v>yellow pen</x:v>
      </x:c>
      <x:c r="L621" s="69" t="str">
        <x:v>Home</x:v>
      </x:c>
      <x:c r="M621" s="69" t="str">
        <x:v>Put the second object from the left in the bowl.</x:v>
      </x:c>
      <x:c r="N621" s="69" t="str">
        <x:v>blue tape ball, airplane toy with propellers</x:v>
      </x:c>
      <x:c r="O621" s="69" t="str">
        <x:v>airplane toy with propellers</x:v>
      </x:c>
      <x:c r="P621" s="70" t="str">
        <x:v>Four-object ordinal grounding. All physical positions are trained, while only the exact ordinal-direction compositions used by the primary evaluation are absent.</x:v>
      </x:c>
    </x:row>
    <x:row r="622" ht="58" customHeight="1">
      <x:c r="A622" s="100" t="n">
        <x:v>620</x:v>
      </x:c>
      <x:c r="B622" s="69" t="str">
        <x:v>Ordering/Sequencing</x:v>
      </x:c>
      <x:c r="C622" s="69" t="str">
        <x:v>Pick up the object that is fourth from the right and place it in the bowl.</x:v>
      </x:c>
      <x:c r="D622" s="69" t="str">
        <x:v>Explicit ordinal grounding</x:v>
      </x:c>
      <x:c r="E622" s="69" t="str">
        <x:v>fourth from the right; physical target position L1</x:v>
      </x:c>
      <x:c r="F622" s="69" t="str">
        <x:v>ordering_n4</x:v>
      </x:c>
      <x:c r="G622" s="69" t="str">
        <x:v>exact phrases first from the right and third from the left; physical positions L4 and L3 remain trained through fourth-from-left and second-from-right</x:v>
      </x:c>
      <x:c r="H622" s="69" t="str">
        <x:v>Yes</x:v>
      </x:c>
      <x:c r="I622" s="69" t="str">
        <x:v>replace ordering demonstration</x:v>
      </x:c>
      <x:c r="J622" s="69" t="str">
        <x:v>Four collinear objects, camera-view left to right: L1 airplane toy with propellers; L2 yellow pen; L3 blue tape ball; L4 green highlighter. Use approximately 10 cm centre-to-centre spacing; target at L1.</x:v>
      </x:c>
      <x:c r="K622" s="69" t="str">
        <x:v>airplane toy with propellers</x:v>
      </x:c>
      <x:c r="L622" s="69" t="str">
        <x:v>Home</x:v>
      </x:c>
      <x:c r="M622" s="69" t="str">
        <x:v>Put the second object from the left in the bowl.</x:v>
      </x:c>
      <x:c r="N622" s="69" t="str">
        <x:v>green highlighter, airplane toy with propellers</x:v>
      </x:c>
      <x:c r="O622" s="69" t="str">
        <x:v>airplane toy with propellers</x:v>
      </x:c>
      <x:c r="P622" s="70" t="str">
        <x:v>Four-object ordinal grounding. All physical positions are trained, while only the exact ordinal-direction compositions used by the primary evaluation are absent.</x:v>
      </x:c>
    </x:row>
    <x:row r="623" ht="58" customHeight="1">
      <x:c r="A623" s="100" t="n">
        <x:v>621</x:v>
      </x:c>
      <x:c r="B623" s="69" t="str">
        <x:v>Ordering/Sequencing</x:v>
      </x:c>
      <x:c r="C623" s="69" t="str">
        <x:v>Move the fourth from the right object into the bowl.</x:v>
      </x:c>
      <x:c r="D623" s="69" t="str">
        <x:v>Explicit ordinal grounding</x:v>
      </x:c>
      <x:c r="E623" s="69" t="str">
        <x:v>fourth from the right; physical target position L1</x:v>
      </x:c>
      <x:c r="F623" s="69" t="str">
        <x:v>ordering_n4</x:v>
      </x:c>
      <x:c r="G623" s="69" t="str">
        <x:v>exact phrases first from the right and third from the left; physical positions L4 and L3 remain trained through fourth-from-left and second-from-right</x:v>
      </x:c>
      <x:c r="H623" s="69" t="str">
        <x:v>Yes</x:v>
      </x:c>
      <x:c r="I623" s="69" t="str">
        <x:v>replace ordering demonstration</x:v>
      </x:c>
      <x:c r="J623" s="69" t="str">
        <x:v>Four collinear objects, camera-view left to right: L1 blue tape ball; L2 yellow pen; L3 airplane toy with propellers; L4 green highlighter. Use approximately 10 cm centre-to-centre spacing; target at L1.</x:v>
      </x:c>
      <x:c r="K623" s="69" t="str">
        <x:v>blue tape ball</x:v>
      </x:c>
      <x:c r="L623" s="69" t="str">
        <x:v>Home</x:v>
      </x:c>
      <x:c r="M623" s="69" t="str">
        <x:v>Pick up the object that is second from the left and place it in the bowl.</x:v>
      </x:c>
      <x:c r="N623" s="69" t="str">
        <x:v>yellow pen, airplane toy with propellers</x:v>
      </x:c>
      <x:c r="O623" s="69" t="str">
        <x:v>airplane toy with propellers</x:v>
      </x:c>
      <x:c r="P623" s="70" t="str">
        <x:v>Four-object ordinal grounding. All physical positions are trained, while only the exact ordinal-direction compositions used by the primary evaluation are absent.</x:v>
      </x:c>
    </x:row>
    <x:row r="624" ht="58" customHeight="1">
      <x:c r="A624" s="100" t="n">
        <x:v>622</x:v>
      </x:c>
      <x:c r="B624" s="69" t="str">
        <x:v>Ordering/Sequencing</x:v>
      </x:c>
      <x:c r="C624" s="69" t="str">
        <x:v>Put the object that is fourth from the right in the bowl.</x:v>
      </x:c>
      <x:c r="D624" s="69" t="str">
        <x:v>Explicit ordinal grounding</x:v>
      </x:c>
      <x:c r="E624" s="69" t="str">
        <x:v>fourth from the right; physical target position L1</x:v>
      </x:c>
      <x:c r="F624" s="69" t="str">
        <x:v>ordering_n4</x:v>
      </x:c>
      <x:c r="G624" s="69" t="str">
        <x:v>exact phrases first from the right and third from the left; physical positions L4 and L3 remain trained through fourth-from-left and second-from-right</x:v>
      </x:c>
      <x:c r="H624" s="69" t="str">
        <x:v>Yes</x:v>
      </x:c>
      <x:c r="I624" s="69" t="str">
        <x:v>replace ordering demonstration</x:v>
      </x:c>
      <x:c r="J624" s="69" t="str">
        <x:v>Four collinear objects, camera-view left to right: L1 green highlighter; L2 yellow pen; L3 airplane toy with propellers; L4 blue tape ball. Use approximately 10 cm centre-to-centre spacing; target at L1.</x:v>
      </x:c>
      <x:c r="K624" s="69" t="str">
        <x:v>green highlighter</x:v>
      </x:c>
      <x:c r="L624" s="69" t="str">
        <x:v>Home</x:v>
      </x:c>
      <x:c r="M624" s="69" t="str">
        <x:v>Pick up the object that is second from the left and place it in the bowl.</x:v>
      </x:c>
      <x:c r="N624" s="69" t="str">
        <x:v>blue tape ball, airplane toy with propellers</x:v>
      </x:c>
      <x:c r="O624" s="69" t="str">
        <x:v>airplane toy with propellers</x:v>
      </x:c>
      <x:c r="P624" s="70" t="str">
        <x:v>Four-object ordinal grounding. All physical positions are trained, while only the exact ordinal-direction compositions used by the primary evaluation are absent.</x:v>
      </x:c>
    </x:row>
    <x:row r="625" ht="58" customHeight="1">
      <x:c r="A625" s="100" t="n">
        <x:v>623</x:v>
      </x:c>
      <x:c r="B625" s="69" t="str">
        <x:v>Ordering/Sequencing</x:v>
      </x:c>
      <x:c r="C625" s="69" t="str">
        <x:v>Pick up the object that is fourth from the right and place it in the bowl.</x:v>
      </x:c>
      <x:c r="D625" s="69" t="str">
        <x:v>Explicit ordinal grounding</x:v>
      </x:c>
      <x:c r="E625" s="69" t="str">
        <x:v>fourth from the right; physical target position L1</x:v>
      </x:c>
      <x:c r="F625" s="69" t="str">
        <x:v>ordering_n4</x:v>
      </x:c>
      <x:c r="G625" s="69" t="str">
        <x:v>exact phrases first from the right and third from the left; physical positions L4 and L3 remain trained through fourth-from-left and second-from-right</x:v>
      </x:c>
      <x:c r="H625" s="69" t="str">
        <x:v>Yes</x:v>
      </x:c>
      <x:c r="I625" s="69" t="str">
        <x:v>replace ordering demonstration</x:v>
      </x:c>
      <x:c r="J625" s="69" t="str">
        <x:v>Four collinear objects, camera-view left to right: L1 yellow pen; L2 green highlighter; L3 airplane toy with propellers; L4 blue tape ball. Use approximately 10 cm centre-to-centre spacing; target at L1.</x:v>
      </x:c>
      <x:c r="K625" s="69" t="str">
        <x:v>yellow pen</x:v>
      </x:c>
      <x:c r="L625" s="69" t="str">
        <x:v>Recovery</x:v>
      </x:c>
      <x:c r="M625" s="69" t="str">
        <x:v>Move the second item counted from the left into the bowl.</x:v>
      </x:c>
      <x:c r="N625" s="69" t="str">
        <x:v>green highlighter, airplane toy with propellers</x:v>
      </x:c>
      <x:c r="O625" s="69" t="str">
        <x:v>airplane toy with propellers</x:v>
      </x:c>
      <x:c r="P625" s="70" t="str">
        <x:v>Four-object ordinal grounding. All physical positions are trained, while only the exact ordinal-direction compositions used by the primary evaluation are absent.</x:v>
      </x:c>
    </x:row>
    <x:row r="626" ht="58" customHeight="1">
      <x:c r="A626" s="100" t="n">
        <x:v>624</x:v>
      </x:c>
      <x:c r="B626" s="69" t="str">
        <x:v>Ordering/Sequencing</x:v>
      </x:c>
      <x:c r="C626" s="69" t="str">
        <x:v>Move the fourth from the right object into the bowl.</x:v>
      </x:c>
      <x:c r="D626" s="69" t="str">
        <x:v>Explicit ordinal grounding</x:v>
      </x:c>
      <x:c r="E626" s="69" t="str">
        <x:v>fourth from the right; physical target position L1</x:v>
      </x:c>
      <x:c r="F626" s="69" t="str">
        <x:v>ordering_n4</x:v>
      </x:c>
      <x:c r="G626" s="69" t="str">
        <x:v>exact phrases first from the right and third from the left; physical positions L4 and L3 remain trained through fourth-from-left and second-from-right</x:v>
      </x:c>
      <x:c r="H626" s="69" t="str">
        <x:v>Yes</x:v>
      </x:c>
      <x:c r="I626" s="69" t="str">
        <x:v>replace ordering demonstration</x:v>
      </x:c>
      <x:c r="J626" s="69" t="str">
        <x:v>Four collinear objects, camera-view left to right: L1 airplane toy with propellers; L2 blue tape ball; L3 green highlighter; L4 yellow pen. Use approximately 10 cm centre-to-centre spacing; target at L1.</x:v>
      </x:c>
      <x:c r="K626" s="69" t="str">
        <x:v>airplane toy with propellers</x:v>
      </x:c>
      <x:c r="L626" s="69" t="str">
        <x:v>Recovery</x:v>
      </x:c>
      <x:c r="M626" s="69" t="str">
        <x:v>Move the second item counted from the left into the bowl.</x:v>
      </x:c>
      <x:c r="N626" s="69" t="str">
        <x:v>yellow pen, airplane toy with propellers</x:v>
      </x:c>
      <x:c r="O626" s="69" t="str">
        <x:v>airplane toy with propellers</x:v>
      </x:c>
      <x:c r="P626" s="70" t="str">
        <x:v>Four-object ordinal grounding. All physical positions are trained, while only the exact ordinal-direction compositions used by the primary evaluation are absent.</x:v>
      </x:c>
    </x:row>
    <x:row r="627" ht="58" customHeight="1">
      <x:c r="A627" s="100" t="n">
        <x:v>625</x:v>
      </x:c>
      <x:c r="B627" s="69" t="str">
        <x:v>Ordering/Sequencing</x:v>
      </x:c>
      <x:c r="C627" s="69" t="str">
        <x:v>Put the object that is fourth from the right in the bowl.</x:v>
      </x:c>
      <x:c r="D627" s="69" t="str">
        <x:v>Explicit ordinal grounding</x:v>
      </x:c>
      <x:c r="E627" s="69" t="str">
        <x:v>fourth from the right; physical target position L1</x:v>
      </x:c>
      <x:c r="F627" s="69" t="str">
        <x:v>ordering_n4</x:v>
      </x:c>
      <x:c r="G627" s="69" t="str">
        <x:v>exact phrases first from the right and third from the left; physical positions L4 and L3 remain trained through fourth-from-left and second-from-right</x:v>
      </x:c>
      <x:c r="H627" s="69" t="str">
        <x:v>Yes</x:v>
      </x:c>
      <x:c r="I627" s="69" t="str">
        <x:v>replace ordering demonstration</x:v>
      </x:c>
      <x:c r="J627" s="69" t="str">
        <x:v>Four collinear objects, camera-view left to right: L1 blue tape ball; L2 airplane toy with propellers; L3 green highlighter; L4 yellow pen. Use approximately 10 cm centre-to-centre spacing; target at L1.</x:v>
      </x:c>
      <x:c r="K627" s="69" t="str">
        <x:v>blue tape ball</x:v>
      </x:c>
      <x:c r="L627" s="69" t="str">
        <x:v>Home</x:v>
      </x:c>
      <x:c r="M627" s="69" t="str">
        <x:v>Move the airplane toy with propellers into the bowl.</x:v>
      </x:c>
      <x:c r="N627" s="69" t="str">
        <x:v>blue tape ball, green highlighter, airplane toy with propellers, yellow pen</x:v>
      </x:c>
      <x:c r="O627" s="69" t="str">
        <x:v>airplane toy with propellers</x:v>
      </x:c>
      <x:c r="P627" s="70" t="str">
        <x:v>Four-object ordinal grounding. All physical positions are trained, while only the exact ordinal-direction compositions used by the primary evaluation are absent.</x:v>
      </x:c>
    </x:row>
    <x:row r="628" ht="58" customHeight="1">
      <x:c r="A628" s="100" t="n">
        <x:v>626</x:v>
      </x:c>
      <x:c r="B628" s="69" t="str">
        <x:v>Ordering/Sequencing</x:v>
      </x:c>
      <x:c r="C628" s="69" t="str">
        <x:v>Pick up the object that is fourth from the right and place it in the bowl.</x:v>
      </x:c>
      <x:c r="D628" s="69" t="str">
        <x:v>Explicit ordinal grounding</x:v>
      </x:c>
      <x:c r="E628" s="69" t="str">
        <x:v>fourth from the right; physical target position L1</x:v>
      </x:c>
      <x:c r="F628" s="69" t="str">
        <x:v>ordering_n4</x:v>
      </x:c>
      <x:c r="G628" s="69" t="str">
        <x:v>exact phrases first from the right and third from the left; physical positions L4 and L3 remain trained through fourth-from-left and second-from-right</x:v>
      </x:c>
      <x:c r="H628" s="69" t="str">
        <x:v>Yes</x:v>
      </x:c>
      <x:c r="I628" s="69" t="str">
        <x:v>replace ordering demonstration</x:v>
      </x:c>
      <x:c r="J628" s="69" t="str">
        <x:v>Four collinear objects, camera-view left to right: L1 green highlighter; L2 airplane toy with propellers; L3 blue tape ball; L4 yellow pen. Use approximately 10 cm centre-to-centre spacing; target at L1.</x:v>
      </x:c>
      <x:c r="K628" s="69" t="str">
        <x:v>green highlighter</x:v>
      </x:c>
      <x:c r="L628" s="69" t="str">
        <x:v>Home</x:v>
      </x:c>
      <x:c r="M628" s="69" t="str">
        <x:v>Put the airplane toy with propellers in the bowl.</x:v>
      </x:c>
      <x:c r="N628" s="69" t="str">
        <x:v>blue tape ball, yellow pen, airplane toy with propellers, green highlighter</x:v>
      </x:c>
      <x:c r="O628" s="69" t="str">
        <x:v>airplane toy with propellers</x:v>
      </x:c>
      <x:c r="P628" s="70" t="str">
        <x:v>Four-object ordinal grounding. All physical positions are trained, while only the exact ordinal-direction compositions used by the primary evaluation are absent.</x:v>
      </x:c>
    </x:row>
    <x:row r="629" ht="58" customHeight="1">
      <x:c r="A629" s="100" t="n">
        <x:v>627</x:v>
      </x:c>
      <x:c r="B629" s="69" t="str">
        <x:v>Ordering/Sequencing</x:v>
      </x:c>
      <x:c r="C629" s="69" t="str">
        <x:v>Move the fourth from the right object into the bowl.</x:v>
      </x:c>
      <x:c r="D629" s="69" t="str">
        <x:v>Explicit ordinal grounding</x:v>
      </x:c>
      <x:c r="E629" s="69" t="str">
        <x:v>fourth from the right; physical target position L1</x:v>
      </x:c>
      <x:c r="F629" s="69" t="str">
        <x:v>ordering_n4</x:v>
      </x:c>
      <x:c r="G629" s="69" t="str">
        <x:v>exact phrases first from the right and third from the left; physical positions L4 and L3 remain trained through fourth-from-left and second-from-right</x:v>
      </x:c>
      <x:c r="H629" s="69" t="str">
        <x:v>Yes</x:v>
      </x:c>
      <x:c r="I629" s="69" t="str">
        <x:v>replace ordering demonstration</x:v>
      </x:c>
      <x:c r="J629" s="69" t="str">
        <x:v>Four collinear objects, camera-view left to right: L1 yellow pen; L2 airplane toy with propellers; L3 blue tape ball; L4 green highlighter. Use approximately 10 cm centre-to-centre spacing; target at L1.</x:v>
      </x:c>
      <x:c r="K629" s="69" t="str">
        <x:v>yellow pen</x:v>
      </x:c>
      <x:c r="L629" s="69" t="str">
        <x:v>Home</x:v>
      </x:c>
      <x:c r="M629" s="69" t="str">
        <x:v>Pick up the airplane toy with propellers and place it in the bowl.</x:v>
      </x:c>
      <x:c r="N629" s="69" t="str">
        <x:v>green highlighter, blue tape ball, airplane toy with propellers, yellow pen</x:v>
      </x:c>
      <x:c r="O629" s="69" t="str">
        <x:v>airplane toy with propellers</x:v>
      </x:c>
      <x:c r="P629" s="70" t="str">
        <x:v>Four-object ordinal grounding. All physical positions are trained, while only the exact ordinal-direction compositions used by the primary evaluation are absent.</x:v>
      </x:c>
    </x:row>
    <x:row r="630" ht="58" customHeight="1">
      <x:c r="A630" s="100" t="n">
        <x:v>628</x:v>
      </x:c>
      <x:c r="B630" s="69" t="str">
        <x:v>Ordering/Sequencing</x:v>
      </x:c>
      <x:c r="C630" s="69" t="str">
        <x:v>Put the object that is fourth from the right in the bowl.</x:v>
      </x:c>
      <x:c r="D630" s="69" t="str">
        <x:v>Explicit ordinal grounding</x:v>
      </x:c>
      <x:c r="E630" s="69" t="str">
        <x:v>fourth from the right; physical target position L1</x:v>
      </x:c>
      <x:c r="F630" s="69" t="str">
        <x:v>ordering_n4</x:v>
      </x:c>
      <x:c r="G630" s="69" t="str">
        <x:v>exact phrases first from the right and third from the left; physical positions L4 and L3 remain trained through fourth-from-left and second-from-right</x:v>
      </x:c>
      <x:c r="H630" s="69" t="str">
        <x:v>Yes</x:v>
      </x:c>
      <x:c r="I630" s="69" t="str">
        <x:v>replace ordering demonstration</x:v>
      </x:c>
      <x:c r="J630" s="69" t="str">
        <x:v>Four collinear objects, camera-view left to right: L1 airplane toy with propellers; L2 green highlighter; L3 yellow pen; L4 blue tape ball. Use approximately 10 cm centre-to-centre spacing; target at L1.</x:v>
      </x:c>
      <x:c r="K630" s="69" t="str">
        <x:v>airplane toy with propellers</x:v>
      </x:c>
      <x:c r="L630" s="69" t="str">
        <x:v>Home</x:v>
      </x:c>
      <x:c r="M630" s="69" t="str">
        <x:v>Move the airplane toy with propellers into the bowl.</x:v>
      </x:c>
      <x:c r="N630" s="69" t="str">
        <x:v>green highlighter, yellow pen, airplane toy with propellers, blue tape ball</x:v>
      </x:c>
      <x:c r="O630" s="69" t="str">
        <x:v>airplane toy with propellers</x:v>
      </x:c>
      <x:c r="P630" s="70" t="str">
        <x:v>Four-object ordinal grounding. All physical positions are trained, while only the exact ordinal-direction compositions used by the primary evaluation are absent.</x:v>
      </x:c>
    </x:row>
    <x:row r="631" ht="58" customHeight="1">
      <x:c r="A631" s="100" t="n">
        <x:v>629</x:v>
      </x:c>
      <x:c r="B631" s="69" t="str">
        <x:v>Ordering/Sequencing</x:v>
      </x:c>
      <x:c r="C631" s="69" t="str">
        <x:v>Pick up the object that is fourth from the right and place it in the bowl.</x:v>
      </x:c>
      <x:c r="D631" s="69" t="str">
        <x:v>Explicit ordinal grounding</x:v>
      </x:c>
      <x:c r="E631" s="69" t="str">
        <x:v>fourth from the right; physical target position L1</x:v>
      </x:c>
      <x:c r="F631" s="69" t="str">
        <x:v>ordering_n4</x:v>
      </x:c>
      <x:c r="G631" s="69" t="str">
        <x:v>exact phrases first from the right and third from the left; physical positions L4 and L3 remain trained through fourth-from-left and second-from-right</x:v>
      </x:c>
      <x:c r="H631" s="69" t="str">
        <x:v>Yes</x:v>
      </x:c>
      <x:c r="I631" s="69" t="str">
        <x:v>replace ordering demonstration</x:v>
      </x:c>
      <x:c r="J631" s="69" t="str">
        <x:v>Four collinear objects, camera-view left to right: L1 blue tape ball; L2 green highlighter; L3 yellow pen; L4 airplane toy with propellers. Use approximately 10 cm centre-to-centre spacing; target at L1.</x:v>
      </x:c>
      <x:c r="K631" s="69" t="str">
        <x:v>blue tape ball</x:v>
      </x:c>
      <x:c r="L631" s="69" t="str">
        <x:v>Home</x:v>
      </x:c>
      <x:c r="M631" s="69" t="str">
        <x:v>Pick up the airplane toy with propellers and place it in the bowl.</x:v>
      </x:c>
      <x:c r="N631" s="69" t="str">
        <x:v>blue tape ball, green highlighter, airplane toy with propellers</x:v>
      </x:c>
      <x:c r="O631" s="69" t="str">
        <x:v>airplane toy with propellers</x:v>
      </x:c>
      <x:c r="P631" s="70" t="str">
        <x:v>Four-object ordinal grounding. All physical positions are trained, while only the exact ordinal-direction compositions used by the primary evaluation are absent.</x:v>
      </x:c>
    </x:row>
    <x:row r="632" ht="58" customHeight="1">
      <x:c r="A632" s="100" t="n">
        <x:v>630</x:v>
      </x:c>
      <x:c r="B632" s="69" t="str">
        <x:v>Ordering/Sequencing</x:v>
      </x:c>
      <x:c r="C632" s="69" t="str">
        <x:v>Move the fourth from the right object into the bowl.</x:v>
      </x:c>
      <x:c r="D632" s="69" t="str">
        <x:v>Explicit ordinal grounding</x:v>
      </x:c>
      <x:c r="E632" s="69" t="str">
        <x:v>fourth from the right; physical target position L1</x:v>
      </x:c>
      <x:c r="F632" s="69" t="str">
        <x:v>ordering_n4</x:v>
      </x:c>
      <x:c r="G632" s="69" t="str">
        <x:v>exact phrases first from the right and third from the left; physical positions L4 and L3 remain trained through fourth-from-left and second-from-right</x:v>
      </x:c>
      <x:c r="H632" s="69" t="str">
        <x:v>Yes</x:v>
      </x:c>
      <x:c r="I632" s="69" t="str">
        <x:v>replace ordering demonstration</x:v>
      </x:c>
      <x:c r="J632" s="69" t="str">
        <x:v>Four collinear objects, camera-view left to right: L1 green highlighter; L2 blue tape ball; L3 yellow pen; L4 airplane toy with propellers. Use approximately 10 cm centre-to-centre spacing; target at L1.</x:v>
      </x:c>
      <x:c r="K632" s="69" t="str">
        <x:v>green highlighter</x:v>
      </x:c>
      <x:c r="L632" s="69" t="str">
        <x:v>Home</x:v>
      </x:c>
      <x:c r="M632" s="69" t="str">
        <x:v>Move the airplane toy with propellers into the bowl.</x:v>
      </x:c>
      <x:c r="N632" s="69" t="str">
        <x:v>blue tape ball, yellow pen, airplane toy with propellers</x:v>
      </x:c>
      <x:c r="O632" s="69" t="str">
        <x:v>airplane toy with propellers</x:v>
      </x:c>
      <x:c r="P632" s="70" t="str">
        <x:v>Four-object ordinal grounding. All physical positions are trained, while only the exact ordinal-direction compositions used by the primary evaluation are absent.</x:v>
      </x:c>
    </x:row>
    <x:row r="633" ht="58" customHeight="1">
      <x:c r="A633" s="100" t="n">
        <x:v>631</x:v>
      </x:c>
      <x:c r="B633" s="69" t="str">
        <x:v>Ordering/Sequencing</x:v>
      </x:c>
      <x:c r="C633" s="69" t="str">
        <x:v>Put the object that is fourth from the right in the bowl.</x:v>
      </x:c>
      <x:c r="D633" s="69" t="str">
        <x:v>Explicit ordinal grounding</x:v>
      </x:c>
      <x:c r="E633" s="69" t="str">
        <x:v>fourth from the right; physical target position L1</x:v>
      </x:c>
      <x:c r="F633" s="69" t="str">
        <x:v>ordering_n4</x:v>
      </x:c>
      <x:c r="G633" s="69" t="str">
        <x:v>exact phrases first from the right and third from the left; physical positions L4 and L3 remain trained through fourth-from-left and second-from-right</x:v>
      </x:c>
      <x:c r="H633" s="69" t="str">
        <x:v>Yes</x:v>
      </x:c>
      <x:c r="I633" s="69" t="str">
        <x:v>replace ordering demonstration</x:v>
      </x:c>
      <x:c r="J633" s="69" t="str">
        <x:v>Four collinear objects, camera-view left to right: L1 yellow pen; L2 blue tape ball; L3 green highlighter; L4 airplane toy with propellers. Use approximately 10 cm centre-to-centre spacing; target at L1.</x:v>
      </x:c>
      <x:c r="K633" s="69" t="str">
        <x:v>yellow pen</x:v>
      </x:c>
      <x:c r="L633" s="69" t="str">
        <x:v>Home</x:v>
      </x:c>
      <x:c r="M633" s="69" t="str">
        <x:v>Put the airplane toy with propellers in the bowl.</x:v>
      </x:c>
      <x:c r="N633" s="69" t="str">
        <x:v>green highlighter, blue tape ball, airplane toy with propellers</x:v>
      </x:c>
      <x:c r="O633" s="69" t="str">
        <x:v>airplane toy with propellers</x:v>
      </x:c>
      <x:c r="P633" s="70" t="str">
        <x:v>Four-object ordinal grounding. All physical positions are trained, while only the exact ordinal-direction compositions used by the primary evaluation are absent.</x:v>
      </x:c>
    </x:row>
    <x:row r="634" ht="58" customHeight="1">
      <x:c r="A634" s="100" t="n">
        <x:v>632</x:v>
      </x:c>
      <x:c r="B634" s="69" t="str">
        <x:v>Ordering/Sequencing</x:v>
      </x:c>
      <x:c r="C634" s="69" t="str">
        <x:v>Pick up the object that is fourth from the right and place it in the bowl.</x:v>
      </x:c>
      <x:c r="D634" s="69" t="str">
        <x:v>Explicit ordinal grounding</x:v>
      </x:c>
      <x:c r="E634" s="69" t="str">
        <x:v>fourth from the right; physical target position L1</x:v>
      </x:c>
      <x:c r="F634" s="69" t="str">
        <x:v>ordering_n4</x:v>
      </x:c>
      <x:c r="G634" s="69" t="str">
        <x:v>exact phrases first from the right and third from the left; physical positions L4 and L3 remain trained through fourth-from-left and second-from-right</x:v>
      </x:c>
      <x:c r="H634" s="69" t="str">
        <x:v>Yes</x:v>
      </x:c>
      <x:c r="I634" s="69" t="str">
        <x:v>replace ordering demonstration</x:v>
      </x:c>
      <x:c r="J634" s="69" t="str">
        <x:v>Four collinear objects, camera-view left to right: L1 airplane toy with propellers; L2 yellow pen; L3 blue tape ball; L4 green highlighter. Use approximately 10 cm centre-to-centre spacing; target at L1.</x:v>
      </x:c>
      <x:c r="K634" s="69" t="str">
        <x:v>airplane toy with propellers</x:v>
      </x:c>
      <x:c r="L634" s="69" t="str">
        <x:v>Home</x:v>
      </x:c>
      <x:c r="M634" s="69" t="str">
        <x:v>Pick up the airplane toy with propellers and place it in the bowl.</x:v>
      </x:c>
      <x:c r="N634" s="69" t="str">
        <x:v>green highlighter, yellow pen, airplane toy with propellers</x:v>
      </x:c>
      <x:c r="O634" s="69" t="str">
        <x:v>airplane toy with propellers</x:v>
      </x:c>
      <x:c r="P634" s="70" t="str">
        <x:v>Four-object ordinal grounding. All physical positions are trained, while only the exact ordinal-direction compositions used by the primary evaluation are absent.</x:v>
      </x:c>
    </x:row>
    <x:row r="635" ht="58" customHeight="1">
      <x:c r="A635" s="100" t="n">
        <x:v>633</x:v>
      </x:c>
      <x:c r="B635" s="69" t="str">
        <x:v>Ordering/Sequencing</x:v>
      </x:c>
      <x:c r="C635" s="69" t="str">
        <x:v>Move the fourth from the right object into the bowl.</x:v>
      </x:c>
      <x:c r="D635" s="69" t="str">
        <x:v>Explicit ordinal grounding</x:v>
      </x:c>
      <x:c r="E635" s="69" t="str">
        <x:v>fourth from the right; physical target position L1</x:v>
      </x:c>
      <x:c r="F635" s="69" t="str">
        <x:v>ordering_n4</x:v>
      </x:c>
      <x:c r="G635" s="69" t="str">
        <x:v>exact phrases first from the right and third from the left; physical positions L4 and L3 remain trained through fourth-from-left and second-from-right</x:v>
      </x:c>
      <x:c r="H635" s="69" t="str">
        <x:v>Yes</x:v>
      </x:c>
      <x:c r="I635" s="69" t="str">
        <x:v>replace ordering demonstration</x:v>
      </x:c>
      <x:c r="J635" s="69" t="str">
        <x:v>Four collinear objects, camera-view left to right: L1 blue tape ball; L2 yellow pen; L3 airplane toy with propellers; L4 green highlighter. Use approximately 10 cm centre-to-centre spacing; target at L1.</x:v>
      </x:c>
      <x:c r="K635" s="69" t="str">
        <x:v>blue tape ball</x:v>
      </x:c>
      <x:c r="L635" s="69" t="str">
        <x:v>Home</x:v>
      </x:c>
      <x:c r="M635" s="69" t="str">
        <x:v>Put the airplane toy with propellers in the bowl.</x:v>
      </x:c>
      <x:c r="N635" s="69" t="str">
        <x:v>yellow pen, blue tape ball, airplane toy with propellers</x:v>
      </x:c>
      <x:c r="O635" s="69" t="str">
        <x:v>airplane toy with propellers</x:v>
      </x:c>
      <x:c r="P635" s="70" t="str">
        <x:v>Four-object ordinal grounding. All physical positions are trained, while only the exact ordinal-direction compositions used by the primary evaluation are absent.</x:v>
      </x:c>
    </x:row>
    <x:row r="636" ht="58" customHeight="1">
      <x:c r="A636" s="100" t="n">
        <x:v>634</x:v>
      </x:c>
      <x:c r="B636" s="69" t="str">
        <x:v>Ordering/Sequencing</x:v>
      </x:c>
      <x:c r="C636" s="69" t="str">
        <x:v>Put the object that is fourth from the right in the bowl.</x:v>
      </x:c>
      <x:c r="D636" s="69" t="str">
        <x:v>Explicit ordinal grounding</x:v>
      </x:c>
      <x:c r="E636" s="69" t="str">
        <x:v>fourth from the right; physical target position L1</x:v>
      </x:c>
      <x:c r="F636" s="69" t="str">
        <x:v>ordering_n4</x:v>
      </x:c>
      <x:c r="G636" s="69" t="str">
        <x:v>exact phrases first from the right and third from the left; physical positions L4 and L3 remain trained through fourth-from-left and second-from-right</x:v>
      </x:c>
      <x:c r="H636" s="69" t="str">
        <x:v>Yes</x:v>
      </x:c>
      <x:c r="I636" s="69" t="str">
        <x:v>replace ordering demonstration</x:v>
      </x:c>
      <x:c r="J636" s="69" t="str">
        <x:v>Four collinear objects, camera-view left to right: L1 green highlighter; L2 yellow pen; L3 airplane toy with propellers; L4 blue tape ball. Use approximately 10 cm centre-to-centre spacing; target at L1.</x:v>
      </x:c>
      <x:c r="K636" s="69" t="str">
        <x:v>green highlighter</x:v>
      </x:c>
      <x:c r="L636" s="69" t="str">
        <x:v>Home</x:v>
      </x:c>
      <x:c r="M636" s="69" t="str">
        <x:v>Move the airplane toy with propellers into the bowl.</x:v>
      </x:c>
      <x:c r="N636" s="69" t="str">
        <x:v>yellow pen, green highlighter, airplane toy with propellers</x:v>
      </x:c>
      <x:c r="O636" s="69" t="str">
        <x:v>airplane toy with propellers</x:v>
      </x:c>
      <x:c r="P636" s="70" t="str">
        <x:v>Four-object ordinal grounding. All physical positions are trained, while only the exact ordinal-direction compositions used by the primary evaluation are absent.</x:v>
      </x:c>
    </x:row>
    <x:row r="637" ht="58" customHeight="1">
      <x:c r="A637" s="100" t="n">
        <x:v>635</x:v>
      </x:c>
      <x:c r="B637" s="69" t="str">
        <x:v>Ordering/Sequencing</x:v>
      </x:c>
      <x:c r="C637" s="69" t="str">
        <x:v>Pick up the object that is fourth from the right and place it in the bowl.</x:v>
      </x:c>
      <x:c r="D637" s="69" t="str">
        <x:v>Explicit ordinal grounding</x:v>
      </x:c>
      <x:c r="E637" s="69" t="str">
        <x:v>fourth from the right; physical target position L1</x:v>
      </x:c>
      <x:c r="F637" s="69" t="str">
        <x:v>ordering_n4</x:v>
      </x:c>
      <x:c r="G637" s="69" t="str">
        <x:v>exact phrases first from the right and third from the left; physical positions L4 and L3 remain trained through fourth-from-left and second-from-right</x:v>
      </x:c>
      <x:c r="H637" s="69" t="str">
        <x:v>Yes</x:v>
      </x:c>
      <x:c r="I637" s="69" t="str">
        <x:v>replace ordering demonstration</x:v>
      </x:c>
      <x:c r="J637" s="69" t="str">
        <x:v>Four collinear objects, camera-view left to right: L1 yellow pen; L2 green highlighter; L3 airplane toy with propellers; L4 blue tape ball. Use approximately 10 cm centre-to-centre spacing; target at L1.</x:v>
      </x:c>
      <x:c r="K637" s="69" t="str">
        <x:v>yellow pen</x:v>
      </x:c>
      <x:c r="L637" s="69" t="str">
        <x:v>Recovery</x:v>
      </x:c>
      <x:c r="M637" s="69" t="str">
        <x:v>Put the airplane toy with propellers in the bowl.</x:v>
      </x:c>
      <x:c r="N637" s="69" t="str">
        <x:v>yellow pen, blue tape ball, airplane toy with propellers, green highlighter</x:v>
      </x:c>
      <x:c r="O637" s="69" t="str">
        <x:v>airplane toy with propellers</x:v>
      </x:c>
      <x:c r="P637" s="70" t="str">
        <x:v>Four-object ordinal grounding. All physical positions are trained, while only the exact ordinal-direction compositions used by the primary evaluation are absent.</x:v>
      </x:c>
    </x:row>
    <x:row r="638" ht="58" customHeight="1">
      <x:c r="A638" s="100" t="n">
        <x:v>636</x:v>
      </x:c>
      <x:c r="B638" s="69" t="str">
        <x:v>Ordering/Sequencing</x:v>
      </x:c>
      <x:c r="C638" s="69" t="str">
        <x:v>Move the fourth from the right object into the bowl.</x:v>
      </x:c>
      <x:c r="D638" s="69" t="str">
        <x:v>Explicit ordinal grounding</x:v>
      </x:c>
      <x:c r="E638" s="69" t="str">
        <x:v>fourth from the right; physical target position L1</x:v>
      </x:c>
      <x:c r="F638" s="69" t="str">
        <x:v>ordering_n4</x:v>
      </x:c>
      <x:c r="G638" s="69" t="str">
        <x:v>exact phrases first from the right and third from the left; physical positions L4 and L3 remain trained through fourth-from-left and second-from-right</x:v>
      </x:c>
      <x:c r="H638" s="69" t="str">
        <x:v>Yes</x:v>
      </x:c>
      <x:c r="I638" s="69" t="str">
        <x:v>replace ordering demonstration</x:v>
      </x:c>
      <x:c r="J638" s="69" t="str">
        <x:v>Four collinear objects, camera-view left to right: L1 airplane toy with propellers; L2 blue tape ball; L3 green highlighter; L4 yellow pen. Use approximately 10 cm centre-to-centre spacing; target at L1.</x:v>
      </x:c>
      <x:c r="K638" s="69" t="str">
        <x:v>airplane toy with propellers</x:v>
      </x:c>
      <x:c r="L638" s="69" t="str">
        <x:v>Recovery</x:v>
      </x:c>
      <x:c r="M638" s="69" t="str">
        <x:v>Pick up the airplane toy with propellers and place it in the bowl.</x:v>
      </x:c>
      <x:c r="N638" s="69" t="str">
        <x:v>yellow pen, green highlighter, airplane toy with propellers, blue tape ball</x:v>
      </x:c>
      <x:c r="O638" s="69" t="str">
        <x:v>airplane toy with propellers</x:v>
      </x:c>
      <x:c r="P638" s="70" t="str">
        <x:v>Four-object ordinal grounding. All physical positions are trained, while only the exact ordinal-direction compositions used by the primary evaluation are absent.</x:v>
      </x:c>
    </x:row>
    <x:row r="639" ht="58" customHeight="1">
      <x:c r="A639" s="100" t="n">
        <x:v>637</x:v>
      </x:c>
      <x:c r="B639" s="69" t="str">
        <x:v>Ordering/Sequencing</x:v>
      </x:c>
      <x:c r="C639" s="69" t="str">
        <x:v>Put the object that is fourth from the right in the bowl.</x:v>
      </x:c>
      <x:c r="D639" s="69" t="str">
        <x:v>Explicit ordinal grounding</x:v>
      </x:c>
      <x:c r="E639" s="69" t="str">
        <x:v>fourth from the right; physical target position L1</x:v>
      </x:c>
      <x:c r="F639" s="69" t="str">
        <x:v>ordering_n4</x:v>
      </x:c>
      <x:c r="G639" s="69" t="str">
        <x:v>exact phrases first from the right and third from the left; physical positions L4 and L3 remain trained through fourth-from-left and second-from-right</x:v>
      </x:c>
      <x:c r="H639" s="69" t="str">
        <x:v>Yes</x:v>
      </x:c>
      <x:c r="I639" s="69" t="str">
        <x:v>replace ordering demonstration</x:v>
      </x:c>
      <x:c r="J639" s="69" t="str">
        <x:v>Four collinear objects, camera-view left to right: L1 blue tape ball; L2 airplane toy with propellers; L3 green highlighter; L4 yellow pen. Use approximately 10 cm centre-to-centre spacing; target at L1.</x:v>
      </x:c>
      <x:c r="K639" s="69" t="str">
        <x:v>blue tape ball</x:v>
      </x:c>
      <x:c r="L639" s="69" t="str">
        <x:v>Recovery</x:v>
      </x:c>
      <x:c r="M639" s="69" t="str">
        <x:v>Move the airplane toy with propellers into the bowl.</x:v>
      </x:c>
      <x:c r="N639" s="69" t="str">
        <x:v>blue tape ball, green highlighter, airplane toy with propellers, yellow pen</x:v>
      </x:c>
      <x:c r="O639" s="69" t="str">
        <x:v>airplane toy with propellers</x:v>
      </x:c>
      <x:c r="P639" s="70" t="str">
        <x:v>Four-object ordinal grounding. All physical positions are trained, while only the exact ordinal-direction compositions used by the primary evaluation are absent.</x:v>
      </x:c>
    </x:row>
    <x:row r="640" ht="58" customHeight="1">
      <x:c r="A640" s="100" t="n">
        <x:v>638</x:v>
      </x:c>
      <x:c r="B640" s="69" t="str">
        <x:v>Ordering/Sequencing</x:v>
      </x:c>
      <x:c r="C640" s="69" t="str">
        <x:v>Pick up the object that is fourth from the right and place it in the bowl.</x:v>
      </x:c>
      <x:c r="D640" s="69" t="str">
        <x:v>Explicit ordinal grounding</x:v>
      </x:c>
      <x:c r="E640" s="69" t="str">
        <x:v>fourth from the right; physical target position L1</x:v>
      </x:c>
      <x:c r="F640" s="69" t="str">
        <x:v>ordering_n4</x:v>
      </x:c>
      <x:c r="G640" s="69" t="str">
        <x:v>exact phrases first from the right and third from the left; physical positions L4 and L3 remain trained through fourth-from-left and second-from-right</x:v>
      </x:c>
      <x:c r="H640" s="69" t="str">
        <x:v>Yes</x:v>
      </x:c>
      <x:c r="I640" s="69" t="str">
        <x:v>replace ordering demonstration</x:v>
      </x:c>
      <x:c r="J640" s="69" t="str">
        <x:v>Four collinear objects, camera-view left to right: L1 green highlighter; L2 airplane toy with propellers; L3 blue tape ball; L4 yellow pen. Use approximately 10 cm centre-to-centre spacing; target at L1.</x:v>
      </x:c>
      <x:c r="K640" s="69" t="str">
        <x:v>green highlighter</x:v>
      </x:c>
      <x:c r="L640" s="69" t="str">
        <x:v>Home</x:v>
      </x:c>
      <x:c r="M640" s="69" t="str">
        <x:v>Put the airplane toy with propellers in the bowl.</x:v>
      </x:c>
      <x:c r="N640" s="69" t="str">
        <x:v>blue tape ball, green highlighter, yellow pen, airplane toy with propellers</x:v>
      </x:c>
      <x:c r="O640" s="69" t="str">
        <x:v>airplane toy with propellers</x:v>
      </x:c>
      <x:c r="P640" s="70" t="str">
        <x:v>Four-object ordinal grounding. All physical positions are trained, while only the exact ordinal-direction compositions used by the primary evaluation are absent.</x:v>
      </x:c>
    </x:row>
    <x:row r="641" ht="58" customHeight="1">
      <x:c r="A641" s="100" t="n">
        <x:v>639</x:v>
      </x:c>
      <x:c r="B641" s="69" t="str">
        <x:v>Ordering/Sequencing</x:v>
      </x:c>
      <x:c r="C641" s="69" t="str">
        <x:v>Move the fourth from the right object into the bowl.</x:v>
      </x:c>
      <x:c r="D641" s="69" t="str">
        <x:v>Explicit ordinal grounding</x:v>
      </x:c>
      <x:c r="E641" s="69" t="str">
        <x:v>fourth from the right; physical target position L1</x:v>
      </x:c>
      <x:c r="F641" s="69" t="str">
        <x:v>ordering_n4</x:v>
      </x:c>
      <x:c r="G641" s="69" t="str">
        <x:v>exact phrases first from the right and third from the left; physical positions L4 and L3 remain trained through fourth-from-left and second-from-right</x:v>
      </x:c>
      <x:c r="H641" s="69" t="str">
        <x:v>Yes</x:v>
      </x:c>
      <x:c r="I641" s="69" t="str">
        <x:v>replace ordering demonstration</x:v>
      </x:c>
      <x:c r="J641" s="69" t="str">
        <x:v>Four collinear objects, camera-view left to right: L1 yellow pen; L2 airplane toy with propellers; L3 blue tape ball; L4 green highlighter. Use approximately 10 cm centre-to-centre spacing; target at L1.</x:v>
      </x:c>
      <x:c r="K641" s="69" t="str">
        <x:v>yellow pen</x:v>
      </x:c>
      <x:c r="L641" s="69" t="str">
        <x:v>Home</x:v>
      </x:c>
      <x:c r="M641" s="69" t="str">
        <x:v>Pick up the airplane toy with propellers and place it in the bowl.</x:v>
      </x:c>
      <x:c r="N641" s="69" t="str">
        <x:v>blue tape ball, yellow pen, green highlighter, airplane toy with propellers</x:v>
      </x:c>
      <x:c r="O641" s="69" t="str">
        <x:v>airplane toy with propellers</x:v>
      </x:c>
      <x:c r="P641" s="70" t="str">
        <x:v>Four-object ordinal grounding. All physical positions are trained, while only the exact ordinal-direction compositions used by the primary evaluation are absent.</x:v>
      </x:c>
    </x:row>
    <x:row r="642" ht="58" customHeight="1">
      <x:c r="A642" s="100" t="n">
        <x:v>640</x:v>
      </x:c>
      <x:c r="B642" s="69" t="str">
        <x:v>Ordering/Sequencing</x:v>
      </x:c>
      <x:c r="C642" s="69" t="str">
        <x:v>Put the object that is second from the left in the bowl.</x:v>
      </x:c>
      <x:c r="D642" s="69" t="str">
        <x:v>Explicit ordinal grounding</x:v>
      </x:c>
      <x:c r="E642" s="69" t="str">
        <x:v>second from the left; physical target position L2</x:v>
      </x:c>
      <x:c r="F642" s="69" t="str">
        <x:v>ordering_n4</x:v>
      </x:c>
      <x:c r="G642" s="69" t="str">
        <x:v>exact phrases first from the right and third from the left; physical positions L4 and L3 remain trained through fourth-from-left and second-from-right</x:v>
      </x:c>
      <x:c r="H642" s="69" t="str">
        <x:v>Yes</x:v>
      </x:c>
      <x:c r="I642" s="69" t="str">
        <x:v>replace ordering demonstration</x:v>
      </x:c>
      <x:c r="J642" s="69" t="str">
        <x:v>Four collinear objects, camera-view left to right: L1 green highlighter; L2 airplane toy with propellers; L3 yellow pen; L4 blue tape ball. Use approximately 10 cm centre-to-centre spacing; target at L2.</x:v>
      </x:c>
      <x:c r="K642" s="69" t="str">
        <x:v>airplane toy with propellers</x:v>
      </x:c>
      <x:c r="L642" s="69" t="str">
        <x:v>Home</x:v>
      </x:c>
      <x:c r="M642" s="69" t="str">
        <x:v>Move the airplane toy with propellers into the bowl.</x:v>
      </x:c>
      <x:c r="N642" s="69" t="str">
        <x:v>green highlighter, blue tape ball, yellow pen, airplane toy with propellers</x:v>
      </x:c>
      <x:c r="O642" s="69" t="str">
        <x:v>airplane toy with propellers</x:v>
      </x:c>
      <x:c r="P642" s="70" t="str">
        <x:v>Four-object ordinal grounding. All physical positions are trained, while only the exact ordinal-direction compositions used by the primary evaluation are absent.</x:v>
      </x:c>
    </x:row>
    <x:row r="643" ht="58" customHeight="1">
      <x:c r="A643" s="100" t="n">
        <x:v>641</x:v>
      </x:c>
      <x:c r="B643" s="69" t="str">
        <x:v>Ordering/Sequencing</x:v>
      </x:c>
      <x:c r="C643" s="69" t="str">
        <x:v>Pick up the object that is second from the left and place it in the bowl.</x:v>
      </x:c>
      <x:c r="D643" s="69" t="str">
        <x:v>Explicit ordinal grounding</x:v>
      </x:c>
      <x:c r="E643" s="69" t="str">
        <x:v>second from the left; physical target position L2</x:v>
      </x:c>
      <x:c r="F643" s="69" t="str">
        <x:v>ordering_n4</x:v>
      </x:c>
      <x:c r="G643" s="69" t="str">
        <x:v>exact phrases first from the right and third from the left; physical positions L4 and L3 remain trained through fourth-from-left and second-from-right</x:v>
      </x:c>
      <x:c r="H643" s="69" t="str">
        <x:v>Yes</x:v>
      </x:c>
      <x:c r="I643" s="69" t="str">
        <x:v>replace ordering demonstration</x:v>
      </x:c>
      <x:c r="J643" s="69" t="str">
        <x:v>Four collinear objects, camera-view left to right: L1 green highlighter; L2 blue tape ball; L3 yellow pen; L4 airplane toy with propellers. Use approximately 10 cm centre-to-centre spacing; target at L2.</x:v>
      </x:c>
      <x:c r="K643" s="69" t="str">
        <x:v>blue tape ball</x:v>
      </x:c>
      <x:c r="L643" s="69" t="str">
        <x:v>Home</x:v>
      </x:c>
      <x:c r="M643" s="69" t="str">
        <x:v>Put the airplane toy with propellers in the bowl.</x:v>
      </x:c>
      <x:c r="N643" s="69" t="str">
        <x:v>green highlighter, yellow pen, blue tape ball, airplane toy with propellers</x:v>
      </x:c>
      <x:c r="O643" s="69" t="str">
        <x:v>airplane toy with propellers</x:v>
      </x:c>
      <x:c r="P643" s="70" t="str">
        <x:v>Four-object ordinal grounding. All physical positions are trained, while only the exact ordinal-direction compositions used by the primary evaluation are absent.</x:v>
      </x:c>
    </x:row>
    <x:row r="644" ht="58" customHeight="1">
      <x:c r="A644" s="100" t="n">
        <x:v>642</x:v>
      </x:c>
      <x:c r="B644" s="69" t="str">
        <x:v>Ordering/Sequencing</x:v>
      </x:c>
      <x:c r="C644" s="69" t="str">
        <x:v>Move the second from the left object into the bowl.</x:v>
      </x:c>
      <x:c r="D644" s="69" t="str">
        <x:v>Explicit ordinal grounding</x:v>
      </x:c>
      <x:c r="E644" s="69" t="str">
        <x:v>second from the left; physical target position L2</x:v>
      </x:c>
      <x:c r="F644" s="69" t="str">
        <x:v>ordering_n4</x:v>
      </x:c>
      <x:c r="G644" s="69" t="str">
        <x:v>exact phrases first from the right and third from the left; physical positions L4 and L3 remain trained through fourth-from-left and second-from-right</x:v>
      </x:c>
      <x:c r="H644" s="69" t="str">
        <x:v>Yes</x:v>
      </x:c>
      <x:c r="I644" s="69" t="str">
        <x:v>replace ordering demonstration</x:v>
      </x:c>
      <x:c r="J644" s="69" t="str">
        <x:v>Four collinear objects, camera-view left to right: L1 blue tape ball; L2 green highlighter; L3 yellow pen; L4 airplane toy with propellers. Use approximately 10 cm centre-to-centre spacing; target at L2.</x:v>
      </x:c>
      <x:c r="K644" s="69" t="str">
        <x:v>green highlighter</x:v>
      </x:c>
      <x:c r="L644" s="69" t="str">
        <x:v>Home</x:v>
      </x:c>
      <x:c r="M644" s="69" t="str">
        <x:v>Pick up the airplane toy with propellers and place it in the bowl.</x:v>
      </x:c>
      <x:c r="N644" s="69" t="str">
        <x:v>yellow pen, blue tape ball, green highlighter, airplane toy with propellers</x:v>
      </x:c>
      <x:c r="O644" s="69" t="str">
        <x:v>airplane toy with propellers</x:v>
      </x:c>
      <x:c r="P644" s="70" t="str">
        <x:v>Four-object ordinal grounding. All physical positions are trained, while only the exact ordinal-direction compositions used by the primary evaluation are absent.</x:v>
      </x:c>
    </x:row>
    <x:row r="645" ht="58" customHeight="1">
      <x:c r="A645" s="100" t="n">
        <x:v>643</x:v>
      </x:c>
      <x:c r="B645" s="69" t="str">
        <x:v>Ordering/Sequencing</x:v>
      </x:c>
      <x:c r="C645" s="69" t="str">
        <x:v>Put the object that is second from the left in the bowl.</x:v>
      </x:c>
      <x:c r="D645" s="69" t="str">
        <x:v>Explicit ordinal grounding</x:v>
      </x:c>
      <x:c r="E645" s="69" t="str">
        <x:v>second from the left; physical target position L2</x:v>
      </x:c>
      <x:c r="F645" s="69" t="str">
        <x:v>ordering_n4</x:v>
      </x:c>
      <x:c r="G645" s="69" t="str">
        <x:v>exact phrases first from the right and third from the left; physical positions L4 and L3 remain trained through fourth-from-left and second-from-right</x:v>
      </x:c>
      <x:c r="H645" s="69" t="str">
        <x:v>Yes</x:v>
      </x:c>
      <x:c r="I645" s="69" t="str">
        <x:v>replace ordering demonstration</x:v>
      </x:c>
      <x:c r="J645" s="69" t="str">
        <x:v>Four collinear objects, camera-view left to right: L1 blue tape ball; L2 yellow pen; L3 green highlighter; L4 airplane toy with propellers. Use approximately 10 cm centre-to-centre spacing; target at L2.</x:v>
      </x:c>
      <x:c r="K645" s="69" t="str">
        <x:v>yellow pen</x:v>
      </x:c>
      <x:c r="L645" s="69" t="str">
        <x:v>Home</x:v>
      </x:c>
      <x:c r="M645" s="69" t="str">
        <x:v>Move the airplane toy with propellers into the bowl.</x:v>
      </x:c>
      <x:c r="N645" s="69" t="str">
        <x:v>yellow pen, green highlighter, blue tape ball, airplane toy with propellers</x:v>
      </x:c>
      <x:c r="O645" s="69" t="str">
        <x:v>airplane toy with propellers</x:v>
      </x:c>
      <x:c r="P645" s="70" t="str">
        <x:v>Four-object ordinal grounding. All physical positions are trained, while only the exact ordinal-direction compositions used by the primary evaluation are absent.</x:v>
      </x:c>
    </x:row>
    <x:row r="646" ht="58" customHeight="1">
      <x:c r="A646" s="100" t="n">
        <x:v>644</x:v>
      </x:c>
      <x:c r="B646" s="69" t="str">
        <x:v>Ordering/Sequencing</x:v>
      </x:c>
      <x:c r="C646" s="69" t="str">
        <x:v>Pick up the object that is second from the left and place it in the bowl.</x:v>
      </x:c>
      <x:c r="D646" s="69" t="str">
        <x:v>Explicit ordinal grounding</x:v>
      </x:c>
      <x:c r="E646" s="69" t="str">
        <x:v>second from the left; physical target position L2</x:v>
      </x:c>
      <x:c r="F646" s="69" t="str">
        <x:v>ordering_n4</x:v>
      </x:c>
      <x:c r="G646" s="69" t="str">
        <x:v>exact phrases first from the right and third from the left; physical positions L4 and L3 remain trained through fourth-from-left and second-from-right</x:v>
      </x:c>
      <x:c r="H646" s="69" t="str">
        <x:v>Yes</x:v>
      </x:c>
      <x:c r="I646" s="69" t="str">
        <x:v>replace ordering demonstration</x:v>
      </x:c>
      <x:c r="J646" s="69" t="str">
        <x:v>Four collinear objects, camera-view left to right: L1 yellow pen; L2 airplane toy with propellers; L3 blue tape ball; L4 green highlighter. Use approximately 10 cm centre-to-centre spacing; target at L2.</x:v>
      </x:c>
      <x:c r="K646" s="69" t="str">
        <x:v>airplane toy with propellers</x:v>
      </x:c>
      <x:c r="L646" s="69" t="str">
        <x:v>Home</x:v>
      </x:c>
      <x:c r="M646" s="69" t="str">
        <x:v>Put the airplane toy with propellers in the bowl.</x:v>
      </x:c>
      <x:c r="N646" s="69" t="str">
        <x:v>blue tape ball, green highlighter, yellow pen, airplane toy with propellers</x:v>
      </x:c>
      <x:c r="O646" s="69" t="str">
        <x:v>airplane toy with propellers</x:v>
      </x:c>
      <x:c r="P646" s="70" t="str">
        <x:v>Four-object ordinal grounding. All physical positions are trained, while only the exact ordinal-direction compositions used by the primary evaluation are absent.</x:v>
      </x:c>
    </x:row>
    <x:row r="647" ht="58" customHeight="1">
      <x:c r="A647" s="100" t="n">
        <x:v>645</x:v>
      </x:c>
      <x:c r="B647" s="69" t="str">
        <x:v>Ordering/Sequencing</x:v>
      </x:c>
      <x:c r="C647" s="69" t="str">
        <x:v>Move the second from the left object into the bowl.</x:v>
      </x:c>
      <x:c r="D647" s="69" t="str">
        <x:v>Explicit ordinal grounding</x:v>
      </x:c>
      <x:c r="E647" s="69" t="str">
        <x:v>second from the left; physical target position L2</x:v>
      </x:c>
      <x:c r="F647" s="69" t="str">
        <x:v>ordering_n4</x:v>
      </x:c>
      <x:c r="G647" s="69" t="str">
        <x:v>exact phrases first from the right and third from the left; physical positions L4 and L3 remain trained through fourth-from-left and second-from-right</x:v>
      </x:c>
      <x:c r="H647" s="69" t="str">
        <x:v>Yes</x:v>
      </x:c>
      <x:c r="I647" s="69" t="str">
        <x:v>replace ordering demonstration</x:v>
      </x:c>
      <x:c r="J647" s="69" t="str">
        <x:v>Four collinear objects, camera-view left to right: L1 yellow pen; L2 blue tape ball; L3 airplane toy with propellers; L4 green highlighter. Use approximately 10 cm centre-to-centre spacing; target at L2.</x:v>
      </x:c>
      <x:c r="K647" s="69" t="str">
        <x:v>blue tape ball</x:v>
      </x:c>
      <x:c r="L647" s="69" t="str">
        <x:v>Home</x:v>
      </x:c>
      <x:c r="M647" s="69" t="str">
        <x:v>Pick up the airplane toy with propellers and place it in the bowl.</x:v>
      </x:c>
      <x:c r="N647" s="69" t="str">
        <x:v>blue tape ball, yellow pen, green highlighter, airplane toy with propellers</x:v>
      </x:c>
      <x:c r="O647" s="69" t="str">
        <x:v>airplane toy with propellers</x:v>
      </x:c>
      <x:c r="P647" s="70" t="str">
        <x:v>Four-object ordinal grounding. All physical positions are trained, while only the exact ordinal-direction compositions used by the primary evaluation are absent.</x:v>
      </x:c>
    </x:row>
    <x:row r="648" ht="58" customHeight="1">
      <x:c r="A648" s="100" t="n">
        <x:v>646</x:v>
      </x:c>
      <x:c r="B648" s="69" t="str">
        <x:v>Ordering/Sequencing</x:v>
      </x:c>
      <x:c r="C648" s="69" t="str">
        <x:v>Put the object that is second from the left in the bowl.</x:v>
      </x:c>
      <x:c r="D648" s="69" t="str">
        <x:v>Explicit ordinal grounding</x:v>
      </x:c>
      <x:c r="E648" s="69" t="str">
        <x:v>second from the left; physical target position L2</x:v>
      </x:c>
      <x:c r="F648" s="69" t="str">
        <x:v>ordering_n4</x:v>
      </x:c>
      <x:c r="G648" s="69" t="str">
        <x:v>exact phrases first from the right and third from the left; physical positions L4 and L3 remain trained through fourth-from-left and second-from-right</x:v>
      </x:c>
      <x:c r="H648" s="69" t="str">
        <x:v>Yes</x:v>
      </x:c>
      <x:c r="I648" s="69" t="str">
        <x:v>replace ordering demonstration</x:v>
      </x:c>
      <x:c r="J648" s="69" t="str">
        <x:v>Four collinear objects, camera-view left to right: L1 yellow pen; L2 green highlighter; L3 airplane toy with propellers; L4 blue tape ball. Use approximately 10 cm centre-to-centre spacing; target at L2.</x:v>
      </x:c>
      <x:c r="K648" s="69" t="str">
        <x:v>green highlighter</x:v>
      </x:c>
      <x:c r="L648" s="69" t="str">
        <x:v>Home</x:v>
      </x:c>
      <x:c r="M648" s="69" t="str">
        <x:v>Move the airplane toy with propellers into the bowl.</x:v>
      </x:c>
      <x:c r="N648" s="69" t="str">
        <x:v>green highlighter, blue tape ball, yellow pen, airplane toy with propellers</x:v>
      </x:c>
      <x:c r="O648" s="69" t="str">
        <x:v>airplane toy with propellers</x:v>
      </x:c>
      <x:c r="P648" s="70" t="str">
        <x:v>Four-object ordinal grounding. All physical positions are trained, while only the exact ordinal-direction compositions used by the primary evaluation are absent.</x:v>
      </x:c>
    </x:row>
    <x:row r="649" ht="58" customHeight="1">
      <x:c r="A649" s="100" t="n">
        <x:v>647</x:v>
      </x:c>
      <x:c r="B649" s="69" t="str">
        <x:v>Ordering/Sequencing</x:v>
      </x:c>
      <x:c r="C649" s="69" t="str">
        <x:v>Pick up the object that is second from the left and place it in the bowl.</x:v>
      </x:c>
      <x:c r="D649" s="69" t="str">
        <x:v>Explicit ordinal grounding</x:v>
      </x:c>
      <x:c r="E649" s="69" t="str">
        <x:v>second from the left; physical target position L2</x:v>
      </x:c>
      <x:c r="F649" s="69" t="str">
        <x:v>ordering_n4</x:v>
      </x:c>
      <x:c r="G649" s="69" t="str">
        <x:v>exact phrases first from the right and third from the left; physical positions L4 and L3 remain trained through fourth-from-left and second-from-right</x:v>
      </x:c>
      <x:c r="H649" s="69" t="str">
        <x:v>Yes</x:v>
      </x:c>
      <x:c r="I649" s="69" t="str">
        <x:v>replace ordering demonstration</x:v>
      </x:c>
      <x:c r="J649" s="69" t="str">
        <x:v>Four collinear objects, camera-view left to right: L1 green highlighter; L2 yellow pen; L3 airplane toy with propellers; L4 blue tape ball. Use approximately 10 cm centre-to-centre spacing; target at L2.</x:v>
      </x:c>
      <x:c r="K649" s="69" t="str">
        <x:v>yellow pen</x:v>
      </x:c>
      <x:c r="L649" s="69" t="str">
        <x:v>Home</x:v>
      </x:c>
      <x:c r="M649" s="69" t="str">
        <x:v>Put the airplane toy with propellers in the bowl.</x:v>
      </x:c>
      <x:c r="N649" s="69" t="str">
        <x:v>green highlighter, yellow pen, blue tape ball, airplane toy with propellers</x:v>
      </x:c>
      <x:c r="O649" s="69" t="str">
        <x:v>airplane toy with propellers</x:v>
      </x:c>
      <x:c r="P649" s="70" t="str">
        <x:v>Four-object ordinal grounding. All physical positions are trained, while only the exact ordinal-direction compositions used by the primary evaluation are absent.</x:v>
      </x:c>
    </x:row>
    <x:row r="650" ht="58" customHeight="1">
      <x:c r="A650" s="100" t="n">
        <x:v>648</x:v>
      </x:c>
      <x:c r="B650" s="69" t="str">
        <x:v>Ordering/Sequencing</x:v>
      </x:c>
      <x:c r="C650" s="69" t="str">
        <x:v>Move the second from the left object into the bowl.</x:v>
      </x:c>
      <x:c r="D650" s="69" t="str">
        <x:v>Explicit ordinal grounding</x:v>
      </x:c>
      <x:c r="E650" s="69" t="str">
        <x:v>second from the left; physical target position L2</x:v>
      </x:c>
      <x:c r="F650" s="69" t="str">
        <x:v>ordering_n4</x:v>
      </x:c>
      <x:c r="G650" s="69" t="str">
        <x:v>exact phrases first from the right and third from the left; physical positions L4 and L3 remain trained through fourth-from-left and second-from-right</x:v>
      </x:c>
      <x:c r="H650" s="69" t="str">
        <x:v>Yes</x:v>
      </x:c>
      <x:c r="I650" s="69" t="str">
        <x:v>replace ordering demonstration</x:v>
      </x:c>
      <x:c r="J650" s="69" t="str">
        <x:v>Four collinear objects, camera-view left to right: L1 blue tape ball; L2 airplane toy with propellers; L3 green highlighter; L4 yellow pen. Use approximately 10 cm centre-to-centre spacing; target at L2.</x:v>
      </x:c>
      <x:c r="K650" s="69" t="str">
        <x:v>airplane toy with propellers</x:v>
      </x:c>
      <x:c r="L650" s="69" t="str">
        <x:v>Recovery</x:v>
      </x:c>
      <x:c r="M650" s="69" t="str">
        <x:v>Pick up the airplane toy with propellers and place it in the bowl.</x:v>
      </x:c>
      <x:c r="N650" s="69" t="str">
        <x:v>yellow pen, blue tape ball, green highlighter, airplane toy with propellers</x:v>
      </x:c>
      <x:c r="O650" s="69" t="str">
        <x:v>airplane toy with propellers</x:v>
      </x:c>
      <x:c r="P650" s="70" t="str">
        <x:v>Four-object ordinal grounding. All physical positions are trained, while only the exact ordinal-direction compositions used by the primary evaluation are absent.</x:v>
      </x:c>
    </x:row>
    <x:row r="651" ht="58" customHeight="1">
      <x:c r="A651" s="100" t="n">
        <x:v>649</x:v>
      </x:c>
      <x:c r="B651" s="69" t="str">
        <x:v>Ordering/Sequencing</x:v>
      </x:c>
      <x:c r="C651" s="69" t="str">
        <x:v>Put the object that is second from the left in the bowl.</x:v>
      </x:c>
      <x:c r="D651" s="69" t="str">
        <x:v>Explicit ordinal grounding</x:v>
      </x:c>
      <x:c r="E651" s="69" t="str">
        <x:v>second from the left; physical target position L2</x:v>
      </x:c>
      <x:c r="F651" s="69" t="str">
        <x:v>ordering_n4</x:v>
      </x:c>
      <x:c r="G651" s="69" t="str">
        <x:v>exact phrases first from the right and third from the left; physical positions L4 and L3 remain trained through fourth-from-left and second-from-right</x:v>
      </x:c>
      <x:c r="H651" s="69" t="str">
        <x:v>Yes</x:v>
      </x:c>
      <x:c r="I651" s="69" t="str">
        <x:v>replace ordering demonstration</x:v>
      </x:c>
      <x:c r="J651" s="69" t="str">
        <x:v>Four collinear objects, camera-view left to right: L1 airplane toy with propellers; L2 blue tape ball; L3 green highlighter; L4 yellow pen. Use approximately 10 cm centre-to-centre spacing; target at L2.</x:v>
      </x:c>
      <x:c r="K651" s="69" t="str">
        <x:v>blue tape ball</x:v>
      </x:c>
      <x:c r="L651" s="69" t="str">
        <x:v>Recovery</x:v>
      </x:c>
      <x:c r="M651" s="69" t="str">
        <x:v>Move the airplane toy with propellers into the bowl.</x:v>
      </x:c>
      <x:c r="N651" s="69" t="str">
        <x:v>yellow pen, green highlighter, blue tape ball, airplane toy with propellers</x:v>
      </x:c>
      <x:c r="O651" s="69" t="str">
        <x:v>airplane toy with propellers</x:v>
      </x:c>
      <x:c r="P651" s="70" t="str">
        <x:v>Four-object ordinal grounding. All physical positions are trained, while only the exact ordinal-direction compositions used by the primary evaluation are absent.</x:v>
      </x:c>
    </x:row>
    <x:row r="652" ht="58" customHeight="1">
      <x:c r="A652" s="100" t="n">
        <x:v>650</x:v>
      </x:c>
      <x:c r="B652" s="69" t="str">
        <x:v>Ordering/Sequencing</x:v>
      </x:c>
      <x:c r="C652" s="69" t="str">
        <x:v>Pick up the object that is second from the left and place it in the bowl.</x:v>
      </x:c>
      <x:c r="D652" s="69" t="str">
        <x:v>Explicit ordinal grounding</x:v>
      </x:c>
      <x:c r="E652" s="69" t="str">
        <x:v>second from the left; physical target position L2</x:v>
      </x:c>
      <x:c r="F652" s="69" t="str">
        <x:v>ordering_n4</x:v>
      </x:c>
      <x:c r="G652" s="69" t="str">
        <x:v>exact phrases first from the right and third from the left; physical positions L4 and L3 remain trained through fourth-from-left and second-from-right</x:v>
      </x:c>
      <x:c r="H652" s="69" t="str">
        <x:v>Yes</x:v>
      </x:c>
      <x:c r="I652" s="69" t="str">
        <x:v>replace ordering demonstration</x:v>
      </x:c>
      <x:c r="J652" s="69" t="str">
        <x:v>Four collinear objects, camera-view left to right: L1 airplane toy with propellers; L2 green highlighter; L3 blue tape ball; L4 yellow pen. Use approximately 10 cm centre-to-centre spacing; target at L2.</x:v>
      </x:c>
      <x:c r="K652" s="69" t="str">
        <x:v>green highlighter</x:v>
      </x:c>
      <x:c r="L652" s="69" t="str">
        <x:v>Home</x:v>
      </x:c>
      <x:c r="M652" s="69" t="str">
        <x:v>Move the fourth item counted from the right into the bowl.</x:v>
      </x:c>
      <x:c r="N652" s="69" t="str">
        <x:v>blue tape ball, airplane toy with propellers, green highlighter, yellow pen</x:v>
      </x:c>
      <x:c r="O652" s="69" t="str">
        <x:v>blue tape ball</x:v>
      </x:c>
      <x:c r="P652" s="70" t="str">
        <x:v>Four-object ordinal grounding. All physical positions are trained, while only the exact ordinal-direction compositions used by the primary evaluation are absent.</x:v>
      </x:c>
    </x:row>
    <x:row r="653" ht="58" customHeight="1">
      <x:c r="A653" s="100" t="n">
        <x:v>651</x:v>
      </x:c>
      <x:c r="B653" s="69" t="str">
        <x:v>Ordering/Sequencing</x:v>
      </x:c>
      <x:c r="C653" s="69" t="str">
        <x:v>Move the second from the left object into the bowl.</x:v>
      </x:c>
      <x:c r="D653" s="69" t="str">
        <x:v>Explicit ordinal grounding</x:v>
      </x:c>
      <x:c r="E653" s="69" t="str">
        <x:v>second from the left; physical target position L2</x:v>
      </x:c>
      <x:c r="F653" s="69" t="str">
        <x:v>ordering_n4</x:v>
      </x:c>
      <x:c r="G653" s="69" t="str">
        <x:v>exact phrases first from the right and third from the left; physical positions L4 and L3 remain trained through fourth-from-left and second-from-right</x:v>
      </x:c>
      <x:c r="H653" s="69" t="str">
        <x:v>Yes</x:v>
      </x:c>
      <x:c r="I653" s="69" t="str">
        <x:v>replace ordering demonstration</x:v>
      </x:c>
      <x:c r="J653" s="69" t="str">
        <x:v>Four collinear objects, camera-view left to right: L1 airplane toy with propellers; L2 yellow pen; L3 blue tape ball; L4 green highlighter. Use approximately 10 cm centre-to-centre spacing; target at L2.</x:v>
      </x:c>
      <x:c r="K653" s="69" t="str">
        <x:v>yellow pen</x:v>
      </x:c>
      <x:c r="L653" s="69" t="str">
        <x:v>Home</x:v>
      </x:c>
      <x:c r="M653" s="69" t="str">
        <x:v>Pick up the object that is first from the left and place it in the bowl.</x:v>
      </x:c>
      <x:c r="N653" s="69" t="str">
        <x:v>blue tape ball, airplane toy with propellers, yellow pen, green highlighter</x:v>
      </x:c>
      <x:c r="O653" s="69" t="str">
        <x:v>blue tape ball</x:v>
      </x:c>
      <x:c r="P653" s="70" t="str">
        <x:v>Four-object ordinal grounding. All physical positions are trained, while only the exact ordinal-direction compositions used by the primary evaluation are absent.</x:v>
      </x:c>
    </x:row>
    <x:row r="654" ht="58" customHeight="1">
      <x:c r="A654" s="100" t="n">
        <x:v>652</x:v>
      </x:c>
      <x:c r="B654" s="69" t="str">
        <x:v>Ordering/Sequencing</x:v>
      </x:c>
      <x:c r="C654" s="69" t="str">
        <x:v>Put the object that is second from the left in the bowl.</x:v>
      </x:c>
      <x:c r="D654" s="69" t="str">
        <x:v>Explicit ordinal grounding</x:v>
      </x:c>
      <x:c r="E654" s="69" t="str">
        <x:v>second from the left; physical target position L2</x:v>
      </x:c>
      <x:c r="F654" s="69" t="str">
        <x:v>ordering_n4</x:v>
      </x:c>
      <x:c r="G654" s="69" t="str">
        <x:v>exact phrases first from the right and third from the left; physical positions L4 and L3 remain trained through fourth-from-left and second-from-right</x:v>
      </x:c>
      <x:c r="H654" s="69" t="str">
        <x:v>Yes</x:v>
      </x:c>
      <x:c r="I654" s="69" t="str">
        <x:v>replace ordering demonstration</x:v>
      </x:c>
      <x:c r="J654" s="69" t="str">
        <x:v>Four collinear objects, camera-view left to right: L1 green highlighter; L2 airplane toy with propellers; L3 yellow pen; L4 blue tape ball. Use approximately 10 cm centre-to-centre spacing; target at L2.</x:v>
      </x:c>
      <x:c r="K654" s="69" t="str">
        <x:v>airplane toy with propellers</x:v>
      </x:c>
      <x:c r="L654" s="69" t="str">
        <x:v>Home</x:v>
      </x:c>
      <x:c r="M654" s="69" t="str">
        <x:v>Put the fourth object from the right in the bowl.</x:v>
      </x:c>
      <x:c r="N654" s="69" t="str">
        <x:v>blue tape ball, green highlighter, airplane toy with propellers, yellow pen</x:v>
      </x:c>
      <x:c r="O654" s="69" t="str">
        <x:v>blue tape ball</x:v>
      </x:c>
      <x:c r="P654" s="70" t="str">
        <x:v>Four-object ordinal grounding. All physical positions are trained, while only the exact ordinal-direction compositions used by the primary evaluation are absent.</x:v>
      </x:c>
    </x:row>
    <x:row r="655" ht="58" customHeight="1">
      <x:c r="A655" s="100" t="n">
        <x:v>653</x:v>
      </x:c>
      <x:c r="B655" s="69" t="str">
        <x:v>Ordering/Sequencing</x:v>
      </x:c>
      <x:c r="C655" s="69" t="str">
        <x:v>Pick up the object that is second from the left and place it in the bowl.</x:v>
      </x:c>
      <x:c r="D655" s="69" t="str">
        <x:v>Explicit ordinal grounding</x:v>
      </x:c>
      <x:c r="E655" s="69" t="str">
        <x:v>second from the left; physical target position L2</x:v>
      </x:c>
      <x:c r="F655" s="69" t="str">
        <x:v>ordering_n4</x:v>
      </x:c>
      <x:c r="G655" s="69" t="str">
        <x:v>exact phrases first from the right and third from the left; physical positions L4 and L3 remain trained through fourth-from-left and second-from-right</x:v>
      </x:c>
      <x:c r="H655" s="69" t="str">
        <x:v>Yes</x:v>
      </x:c>
      <x:c r="I655" s="69" t="str">
        <x:v>replace ordering demonstration</x:v>
      </x:c>
      <x:c r="J655" s="69" t="str">
        <x:v>Four collinear objects, camera-view left to right: L1 green highlighter; L2 blue tape ball; L3 yellow pen; L4 airplane toy with propellers. Use approximately 10 cm centre-to-centre spacing; target at L2.</x:v>
      </x:c>
      <x:c r="K655" s="69" t="str">
        <x:v>blue tape ball</x:v>
      </x:c>
      <x:c r="L655" s="69" t="str">
        <x:v>Home</x:v>
      </x:c>
      <x:c r="M655" s="69" t="str">
        <x:v>Pick up the object that is first from the left and place it in the bowl.</x:v>
      </x:c>
      <x:c r="N655" s="69" t="str">
        <x:v>blue tape ball, green highlighter, yellow pen, airplane toy with propellers</x:v>
      </x:c>
      <x:c r="O655" s="69" t="str">
        <x:v>blue tape ball</x:v>
      </x:c>
      <x:c r="P655" s="70" t="str">
        <x:v>Four-object ordinal grounding. All physical positions are trained, while only the exact ordinal-direction compositions used by the primary evaluation are absent.</x:v>
      </x:c>
    </x:row>
    <x:row r="656" ht="58" customHeight="1">
      <x:c r="A656" s="100" t="n">
        <x:v>654</x:v>
      </x:c>
      <x:c r="B656" s="69" t="str">
        <x:v>Ordering/Sequencing</x:v>
      </x:c>
      <x:c r="C656" s="69" t="str">
        <x:v>Move the second from the left object into the bowl.</x:v>
      </x:c>
      <x:c r="D656" s="69" t="str">
        <x:v>Explicit ordinal grounding</x:v>
      </x:c>
      <x:c r="E656" s="69" t="str">
        <x:v>second from the left; physical target position L2</x:v>
      </x:c>
      <x:c r="F656" s="69" t="str">
        <x:v>ordering_n4</x:v>
      </x:c>
      <x:c r="G656" s="69" t="str">
        <x:v>exact phrases first from the right and third from the left; physical positions L4 and L3 remain trained through fourth-from-left and second-from-right</x:v>
      </x:c>
      <x:c r="H656" s="69" t="str">
        <x:v>Yes</x:v>
      </x:c>
      <x:c r="I656" s="69" t="str">
        <x:v>replace ordering demonstration</x:v>
      </x:c>
      <x:c r="J656" s="69" t="str">
        <x:v>Four collinear objects, camera-view left to right: L1 blue tape ball; L2 green highlighter; L3 yellow pen; L4 airplane toy with propellers. Use approximately 10 cm centre-to-centre spacing; target at L2.</x:v>
      </x:c>
      <x:c r="K656" s="69" t="str">
        <x:v>green highlighter</x:v>
      </x:c>
      <x:c r="L656" s="69" t="str">
        <x:v>Home</x:v>
      </x:c>
      <x:c r="M656" s="69" t="str">
        <x:v>Put the third object from the right in the bowl.</x:v>
      </x:c>
      <x:c r="N656" s="69" t="str">
        <x:v>blue tape ball, yellow pen, airplane toy with propellers</x:v>
      </x:c>
      <x:c r="O656" s="69" t="str">
        <x:v>blue tape ball</x:v>
      </x:c>
      <x:c r="P656" s="70" t="str">
        <x:v>Four-object ordinal grounding. All physical positions are trained, while only the exact ordinal-direction compositions used by the primary evaluation are absent.</x:v>
      </x:c>
    </x:row>
    <x:row r="657" ht="58" customHeight="1">
      <x:c r="A657" s="100" t="n">
        <x:v>655</x:v>
      </x:c>
      <x:c r="B657" s="69" t="str">
        <x:v>Ordering/Sequencing</x:v>
      </x:c>
      <x:c r="C657" s="69" t="str">
        <x:v>Put the object that is second from the left in the bowl.</x:v>
      </x:c>
      <x:c r="D657" s="69" t="str">
        <x:v>Explicit ordinal grounding</x:v>
      </x:c>
      <x:c r="E657" s="69" t="str">
        <x:v>second from the left; physical target position L2</x:v>
      </x:c>
      <x:c r="F657" s="69" t="str">
        <x:v>ordering_n4</x:v>
      </x:c>
      <x:c r="G657" s="69" t="str">
        <x:v>exact phrases first from the right and third from the left; physical positions L4 and L3 remain trained through fourth-from-left and second-from-right</x:v>
      </x:c>
      <x:c r="H657" s="69" t="str">
        <x:v>Yes</x:v>
      </x:c>
      <x:c r="I657" s="69" t="str">
        <x:v>replace ordering demonstration</x:v>
      </x:c>
      <x:c r="J657" s="69" t="str">
        <x:v>Four collinear objects, camera-view left to right: L1 blue tape ball; L2 yellow pen; L3 green highlighter; L4 airplane toy with propellers. Use approximately 10 cm centre-to-centre spacing; target at L2.</x:v>
      </x:c>
      <x:c r="K657" s="69" t="str">
        <x:v>yellow pen</x:v>
      </x:c>
      <x:c r="L657" s="69" t="str">
        <x:v>Home</x:v>
      </x:c>
      <x:c r="M657" s="69" t="str">
        <x:v>Pick up the object that is third from the right and place it in the bowl.</x:v>
      </x:c>
      <x:c r="N657" s="69" t="str">
        <x:v>blue tape ball, yellow pen, green highlighter</x:v>
      </x:c>
      <x:c r="O657" s="69" t="str">
        <x:v>blue tape ball</x:v>
      </x:c>
      <x:c r="P657" s="70" t="str">
        <x:v>Four-object ordinal grounding. All physical positions are trained, while only the exact ordinal-direction compositions used by the primary evaluation are absent.</x:v>
      </x:c>
    </x:row>
    <x:row r="658" ht="58" customHeight="1">
      <x:c r="A658" s="100" t="n">
        <x:v>656</x:v>
      </x:c>
      <x:c r="B658" s="69" t="str">
        <x:v>Ordering/Sequencing</x:v>
      </x:c>
      <x:c r="C658" s="69" t="str">
        <x:v>Pick up the object that is second from the left and place it in the bowl.</x:v>
      </x:c>
      <x:c r="D658" s="69" t="str">
        <x:v>Explicit ordinal grounding</x:v>
      </x:c>
      <x:c r="E658" s="69" t="str">
        <x:v>second from the left; physical target position L2</x:v>
      </x:c>
      <x:c r="F658" s="69" t="str">
        <x:v>ordering_n4</x:v>
      </x:c>
      <x:c r="G658" s="69" t="str">
        <x:v>exact phrases first from the right and third from the left; physical positions L4 and L3 remain trained through fourth-from-left and second-from-right</x:v>
      </x:c>
      <x:c r="H658" s="69" t="str">
        <x:v>Yes</x:v>
      </x:c>
      <x:c r="I658" s="69" t="str">
        <x:v>replace ordering demonstration</x:v>
      </x:c>
      <x:c r="J658" s="69" t="str">
        <x:v>Four collinear objects, camera-view left to right: L1 yellow pen; L2 airplane toy with propellers; L3 blue tape ball; L4 green highlighter. Use approximately 10 cm centre-to-centre spacing; target at L2.</x:v>
      </x:c>
      <x:c r="K658" s="69" t="str">
        <x:v>airplane toy with propellers</x:v>
      </x:c>
      <x:c r="L658" s="69" t="str">
        <x:v>Home</x:v>
      </x:c>
      <x:c r="M658" s="69" t="str">
        <x:v>Pick up the object that is first from the left and place it in the bowl.</x:v>
      </x:c>
      <x:c r="N658" s="69" t="str">
        <x:v>blue tape ball, airplane toy with propellers, green highlighter</x:v>
      </x:c>
      <x:c r="O658" s="69" t="str">
        <x:v>blue tape ball</x:v>
      </x:c>
      <x:c r="P658" s="70" t="str">
        <x:v>Four-object ordinal grounding. All physical positions are trained, while only the exact ordinal-direction compositions used by the primary evaluation are absent.</x:v>
      </x:c>
    </x:row>
    <x:row r="659" ht="58" customHeight="1">
      <x:c r="A659" s="100" t="n">
        <x:v>657</x:v>
      </x:c>
      <x:c r="B659" s="69" t="str">
        <x:v>Ordering/Sequencing</x:v>
      </x:c>
      <x:c r="C659" s="69" t="str">
        <x:v>Move the second from the left object into the bowl.</x:v>
      </x:c>
      <x:c r="D659" s="69" t="str">
        <x:v>Explicit ordinal grounding</x:v>
      </x:c>
      <x:c r="E659" s="69" t="str">
        <x:v>second from the left; physical target position L2</x:v>
      </x:c>
      <x:c r="F659" s="69" t="str">
        <x:v>ordering_n4</x:v>
      </x:c>
      <x:c r="G659" s="69" t="str">
        <x:v>exact phrases first from the right and third from the left; physical positions L4 and L3 remain trained through fourth-from-left and second-from-right</x:v>
      </x:c>
      <x:c r="H659" s="69" t="str">
        <x:v>Yes</x:v>
      </x:c>
      <x:c r="I659" s="69" t="str">
        <x:v>replace ordering demonstration</x:v>
      </x:c>
      <x:c r="J659" s="69" t="str">
        <x:v>Four collinear objects, camera-view left to right: L1 yellow pen; L2 blue tape ball; L3 airplane toy with propellers; L4 green highlighter. Use approximately 10 cm centre-to-centre spacing; target at L2.</x:v>
      </x:c>
      <x:c r="K659" s="69" t="str">
        <x:v>blue tape ball</x:v>
      </x:c>
      <x:c r="L659" s="69" t="str">
        <x:v>Home</x:v>
      </x:c>
      <x:c r="M659" s="69" t="str">
        <x:v>Put the third object from the right in the bowl.</x:v>
      </x:c>
      <x:c r="N659" s="69" t="str">
        <x:v>blue tape ball, green highlighter, airplane toy with propellers</x:v>
      </x:c>
      <x:c r="O659" s="69" t="str">
        <x:v>blue tape ball</x:v>
      </x:c>
      <x:c r="P659" s="70" t="str">
        <x:v>Four-object ordinal grounding. All physical positions are trained, while only the exact ordinal-direction compositions used by the primary evaluation are absent.</x:v>
      </x:c>
    </x:row>
    <x:row r="660" ht="58" customHeight="1">
      <x:c r="A660" s="100" t="n">
        <x:v>658</x:v>
      </x:c>
      <x:c r="B660" s="69" t="str">
        <x:v>Ordering/Sequencing</x:v>
      </x:c>
      <x:c r="C660" s="69" t="str">
        <x:v>Put the object that is second from the left in the bowl.</x:v>
      </x:c>
      <x:c r="D660" s="69" t="str">
        <x:v>Explicit ordinal grounding</x:v>
      </x:c>
      <x:c r="E660" s="69" t="str">
        <x:v>second from the left; physical target position L2</x:v>
      </x:c>
      <x:c r="F660" s="69" t="str">
        <x:v>ordering_n4</x:v>
      </x:c>
      <x:c r="G660" s="69" t="str">
        <x:v>exact phrases first from the right and third from the left; physical positions L4 and L3 remain trained through fourth-from-left and second-from-right</x:v>
      </x:c>
      <x:c r="H660" s="69" t="str">
        <x:v>Yes</x:v>
      </x:c>
      <x:c r="I660" s="69" t="str">
        <x:v>replace ordering demonstration</x:v>
      </x:c>
      <x:c r="J660" s="69" t="str">
        <x:v>Four collinear objects, camera-view left to right: L1 yellow pen; L2 green highlighter; L3 airplane toy with propellers; L4 blue tape ball. Use approximately 10 cm centre-to-centre spacing; target at L2.</x:v>
      </x:c>
      <x:c r="K660" s="69" t="str">
        <x:v>green highlighter</x:v>
      </x:c>
      <x:c r="L660" s="69" t="str">
        <x:v>Home</x:v>
      </x:c>
      <x:c r="M660" s="69" t="str">
        <x:v>Put the second object from the right in the bowl.</x:v>
      </x:c>
      <x:c r="N660" s="69" t="str">
        <x:v>blue tape ball, airplane toy with propellers</x:v>
      </x:c>
      <x:c r="O660" s="69" t="str">
        <x:v>blue tape ball</x:v>
      </x:c>
      <x:c r="P660" s="70" t="str">
        <x:v>Four-object ordinal grounding. All physical positions are trained, while only the exact ordinal-direction compositions used by the primary evaluation are absent.</x:v>
      </x:c>
    </x:row>
    <x:row r="661" ht="58" customHeight="1">
      <x:c r="A661" s="100" t="n">
        <x:v>659</x:v>
      </x:c>
      <x:c r="B661" s="69" t="str">
        <x:v>Ordering/Sequencing</x:v>
      </x:c>
      <x:c r="C661" s="69" t="str">
        <x:v>Pick up the object that is second from the left and place it in the bowl.</x:v>
      </x:c>
      <x:c r="D661" s="69" t="str">
        <x:v>Explicit ordinal grounding</x:v>
      </x:c>
      <x:c r="E661" s="69" t="str">
        <x:v>second from the left; physical target position L2</x:v>
      </x:c>
      <x:c r="F661" s="69" t="str">
        <x:v>ordering_n4</x:v>
      </x:c>
      <x:c r="G661" s="69" t="str">
        <x:v>exact phrases first from the right and third from the left; physical positions L4 and L3 remain trained through fourth-from-left and second-from-right</x:v>
      </x:c>
      <x:c r="H661" s="69" t="str">
        <x:v>Yes</x:v>
      </x:c>
      <x:c r="I661" s="69" t="str">
        <x:v>replace ordering demonstration</x:v>
      </x:c>
      <x:c r="J661" s="69" t="str">
        <x:v>Four collinear objects, camera-view left to right: L1 green highlighter; L2 yellow pen; L3 airplane toy with propellers; L4 blue tape ball. Use approximately 10 cm centre-to-centre spacing; target at L2.</x:v>
      </x:c>
      <x:c r="K661" s="69" t="str">
        <x:v>yellow pen</x:v>
      </x:c>
      <x:c r="L661" s="69" t="str">
        <x:v>Home</x:v>
      </x:c>
      <x:c r="M661" s="69" t="str">
        <x:v>Pick up the object that is second from the right and place it in the bowl.</x:v>
      </x:c>
      <x:c r="N661" s="69" t="str">
        <x:v>blue tape ball, green highlighter</x:v>
      </x:c>
      <x:c r="O661" s="69" t="str">
        <x:v>blue tape ball</x:v>
      </x:c>
      <x:c r="P661" s="70" t="str">
        <x:v>Four-object ordinal grounding. All physical positions are trained, while only the exact ordinal-direction compositions used by the primary evaluation are absent.</x:v>
      </x:c>
    </x:row>
    <x:row r="662" ht="58" customHeight="1">
      <x:c r="A662" s="100" t="n">
        <x:v>660</x:v>
      </x:c>
      <x:c r="B662" s="69" t="str">
        <x:v>Ordering/Sequencing</x:v>
      </x:c>
      <x:c r="C662" s="69" t="str">
        <x:v>Move the third from the right object into the bowl.</x:v>
      </x:c>
      <x:c r="D662" s="69" t="str">
        <x:v>Explicit ordinal grounding</x:v>
      </x:c>
      <x:c r="E662" s="69" t="str">
        <x:v>third from the right; physical target position L2</x:v>
      </x:c>
      <x:c r="F662" s="69" t="str">
        <x:v>ordering_n4</x:v>
      </x:c>
      <x:c r="G662" s="69" t="str">
        <x:v>exact phrases first from the right and third from the left; physical positions L4 and L3 remain trained through fourth-from-left and second-from-right</x:v>
      </x:c>
      <x:c r="H662" s="69" t="str">
        <x:v>Yes</x:v>
      </x:c>
      <x:c r="I662" s="69" t="str">
        <x:v>replace ordering demonstration</x:v>
      </x:c>
      <x:c r="J662" s="69" t="str">
        <x:v>Four collinear objects, camera-view left to right: L1 blue tape ball; L2 airplane toy with propellers; L3 green highlighter; L4 yellow pen. Use approximately 10 cm centre-to-centre spacing; target at L2.</x:v>
      </x:c>
      <x:c r="K662" s="69" t="str">
        <x:v>airplane toy with propellers</x:v>
      </x:c>
      <x:c r="L662" s="69" t="str">
        <x:v>Recovery</x:v>
      </x:c>
      <x:c r="M662" s="69" t="str">
        <x:v>Put the second object from the right in the bowl.</x:v>
      </x:c>
      <x:c r="N662" s="69" t="str">
        <x:v>blue tape ball, yellow pen</x:v>
      </x:c>
      <x:c r="O662" s="69" t="str">
        <x:v>blue tape ball</x:v>
      </x:c>
      <x:c r="P662" s="70" t="str">
        <x:v>Four-object ordinal grounding. All physical positions are trained, while only the exact ordinal-direction compositions used by the primary evaluation are absent.</x:v>
      </x:c>
    </x:row>
    <x:row r="663" ht="58" customHeight="1">
      <x:c r="A663" s="100" t="n">
        <x:v>661</x:v>
      </x:c>
      <x:c r="B663" s="69" t="str">
        <x:v>Ordering/Sequencing</x:v>
      </x:c>
      <x:c r="C663" s="69" t="str">
        <x:v>Put the object that is third from the right in the bowl.</x:v>
      </x:c>
      <x:c r="D663" s="69" t="str">
        <x:v>Explicit ordinal grounding</x:v>
      </x:c>
      <x:c r="E663" s="69" t="str">
        <x:v>third from the right; physical target position L2</x:v>
      </x:c>
      <x:c r="F663" s="69" t="str">
        <x:v>ordering_n4</x:v>
      </x:c>
      <x:c r="G663" s="69" t="str">
        <x:v>exact phrases first from the right and third from the left; physical positions L4 and L3 remain trained through fourth-from-left and second-from-right</x:v>
      </x:c>
      <x:c r="H663" s="69" t="str">
        <x:v>Yes</x:v>
      </x:c>
      <x:c r="I663" s="69" t="str">
        <x:v>replace ordering demonstration</x:v>
      </x:c>
      <x:c r="J663" s="69" t="str">
        <x:v>Four collinear objects, camera-view left to right: L1 airplane toy with propellers; L2 blue tape ball; L3 green highlighter; L4 yellow pen. Use approximately 10 cm centre-to-centre spacing; target at L2.</x:v>
      </x:c>
      <x:c r="K663" s="69" t="str">
        <x:v>blue tape ball</x:v>
      </x:c>
      <x:c r="L663" s="69" t="str">
        <x:v>Recovery</x:v>
      </x:c>
      <x:c r="M663" s="69" t="str">
        <x:v>Put the first object from the left in the bowl.</x:v>
      </x:c>
      <x:c r="N663" s="69" t="str">
        <x:v>blue tape ball, airplane toy with propellers</x:v>
      </x:c>
      <x:c r="O663" s="69" t="str">
        <x:v>blue tape ball</x:v>
      </x:c>
      <x:c r="P663" s="70" t="str">
        <x:v>Four-object ordinal grounding. All physical positions are trained, while only the exact ordinal-direction compositions used by the primary evaluation are absent.</x:v>
      </x:c>
    </x:row>
    <x:row r="664" ht="58" customHeight="1">
      <x:c r="A664" s="100" t="n">
        <x:v>662</x:v>
      </x:c>
      <x:c r="B664" s="69" t="str">
        <x:v>Ordering/Sequencing</x:v>
      </x:c>
      <x:c r="C664" s="69" t="str">
        <x:v>Pick up the object that is third from the right and place it in the bowl.</x:v>
      </x:c>
      <x:c r="D664" s="69" t="str">
        <x:v>Explicit ordinal grounding</x:v>
      </x:c>
      <x:c r="E664" s="69" t="str">
        <x:v>third from the right; physical target position L2</x:v>
      </x:c>
      <x:c r="F664" s="69" t="str">
        <x:v>ordering_n4</x:v>
      </x:c>
      <x:c r="G664" s="69" t="str">
        <x:v>exact phrases first from the right and third from the left; physical positions L4 and L3 remain trained through fourth-from-left and second-from-right</x:v>
      </x:c>
      <x:c r="H664" s="69" t="str">
        <x:v>Yes</x:v>
      </x:c>
      <x:c r="I664" s="69" t="str">
        <x:v>replace ordering demonstration</x:v>
      </x:c>
      <x:c r="J664" s="69" t="str">
        <x:v>Four collinear objects, camera-view left to right: L1 airplane toy with propellers; L2 green highlighter; L3 blue tape ball; L4 yellow pen. Use approximately 10 cm centre-to-centre spacing; target at L2.</x:v>
      </x:c>
      <x:c r="K664" s="69" t="str">
        <x:v>green highlighter</x:v>
      </x:c>
      <x:c r="L664" s="69" t="str">
        <x:v>Home</x:v>
      </x:c>
      <x:c r="M664" s="69" t="str">
        <x:v>Pick up the object that is second from the left and place it in the bowl.</x:v>
      </x:c>
      <x:c r="N664" s="69" t="str">
        <x:v>airplane toy with propellers, blue tape ball, green highlighter, yellow pen</x:v>
      </x:c>
      <x:c r="O664" s="69" t="str">
        <x:v>blue tape ball</x:v>
      </x:c>
      <x:c r="P664" s="70" t="str">
        <x:v>Four-object ordinal grounding. All physical positions are trained, while only the exact ordinal-direction compositions used by the primary evaluation are absent.</x:v>
      </x:c>
    </x:row>
    <x:row r="665" ht="58" customHeight="1">
      <x:c r="A665" s="100" t="n">
        <x:v>663</x:v>
      </x:c>
      <x:c r="B665" s="69" t="str">
        <x:v>Ordering/Sequencing</x:v>
      </x:c>
      <x:c r="C665" s="69" t="str">
        <x:v>Move the third from the right object into the bowl.</x:v>
      </x:c>
      <x:c r="D665" s="69" t="str">
        <x:v>Explicit ordinal grounding</x:v>
      </x:c>
      <x:c r="E665" s="69" t="str">
        <x:v>third from the right; physical target position L2</x:v>
      </x:c>
      <x:c r="F665" s="69" t="str">
        <x:v>ordering_n4</x:v>
      </x:c>
      <x:c r="G665" s="69" t="str">
        <x:v>exact phrases first from the right and third from the left; physical positions L4 and L3 remain trained through fourth-from-left and second-from-right</x:v>
      </x:c>
      <x:c r="H665" s="69" t="str">
        <x:v>Yes</x:v>
      </x:c>
      <x:c r="I665" s="69" t="str">
        <x:v>replace ordering demonstration</x:v>
      </x:c>
      <x:c r="J665" s="69" t="str">
        <x:v>Four collinear objects, camera-view left to right: L1 airplane toy with propellers; L2 yellow pen; L3 blue tape ball; L4 green highlighter. Use approximately 10 cm centre-to-centre spacing; target at L2.</x:v>
      </x:c>
      <x:c r="K665" s="69" t="str">
        <x:v>yellow pen</x:v>
      </x:c>
      <x:c r="L665" s="69" t="str">
        <x:v>Home</x:v>
      </x:c>
      <x:c r="M665" s="69" t="str">
        <x:v>Move the second item counted from the left into the bowl.</x:v>
      </x:c>
      <x:c r="N665" s="69" t="str">
        <x:v>airplane toy with propellers, blue tape ball, yellow pen, green highlighter</x:v>
      </x:c>
      <x:c r="O665" s="69" t="str">
        <x:v>blue tape ball</x:v>
      </x:c>
      <x:c r="P665" s="70" t="str">
        <x:v>Four-object ordinal grounding. All physical positions are trained, while only the exact ordinal-direction compositions used by the primary evaluation are absent.</x:v>
      </x:c>
    </x:row>
    <x:row r="666" ht="58" customHeight="1">
      <x:c r="A666" s="100" t="n">
        <x:v>664</x:v>
      </x:c>
      <x:c r="B666" s="69" t="str">
        <x:v>Ordering/Sequencing</x:v>
      </x:c>
      <x:c r="C666" s="69" t="str">
        <x:v>Put the object that is third from the right in the bowl.</x:v>
      </x:c>
      <x:c r="D666" s="69" t="str">
        <x:v>Explicit ordinal grounding</x:v>
      </x:c>
      <x:c r="E666" s="69" t="str">
        <x:v>third from the right; physical target position L2</x:v>
      </x:c>
      <x:c r="F666" s="69" t="str">
        <x:v>ordering_n4</x:v>
      </x:c>
      <x:c r="G666" s="69" t="str">
        <x:v>exact phrases first from the right and third from the left; physical positions L4 and L3 remain trained through fourth-from-left and second-from-right</x:v>
      </x:c>
      <x:c r="H666" s="69" t="str">
        <x:v>Yes</x:v>
      </x:c>
      <x:c r="I666" s="69" t="str">
        <x:v>replace ordering demonstration</x:v>
      </x:c>
      <x:c r="J666" s="69" t="str">
        <x:v>Four collinear objects, camera-view left to right: L1 green highlighter; L2 airplane toy with propellers; L3 yellow pen; L4 blue tape ball. Use approximately 10 cm centre-to-centre spacing; target at L2.</x:v>
      </x:c>
      <x:c r="K666" s="69" t="str">
        <x:v>airplane toy with propellers</x:v>
      </x:c>
      <x:c r="L666" s="69" t="str">
        <x:v>Home</x:v>
      </x:c>
      <x:c r="M666" s="69" t="str">
        <x:v>Move the second item counted from the left into the bowl.</x:v>
      </x:c>
      <x:c r="N666" s="69" t="str">
        <x:v>green highlighter, blue tape ball, airplane toy with propellers, yellow pen</x:v>
      </x:c>
      <x:c r="O666" s="69" t="str">
        <x:v>blue tape ball</x:v>
      </x:c>
      <x:c r="P666" s="70" t="str">
        <x:v>Four-object ordinal grounding. All physical positions are trained, while only the exact ordinal-direction compositions used by the primary evaluation are absent.</x:v>
      </x:c>
    </x:row>
    <x:row r="667" ht="58" customHeight="1">
      <x:c r="A667" s="100" t="n">
        <x:v>665</x:v>
      </x:c>
      <x:c r="B667" s="69" t="str">
        <x:v>Ordering/Sequencing</x:v>
      </x:c>
      <x:c r="C667" s="69" t="str">
        <x:v>Pick up the object that is third from the right and place it in the bowl.</x:v>
      </x:c>
      <x:c r="D667" s="69" t="str">
        <x:v>Explicit ordinal grounding</x:v>
      </x:c>
      <x:c r="E667" s="69" t="str">
        <x:v>third from the right; physical target position L2</x:v>
      </x:c>
      <x:c r="F667" s="69" t="str">
        <x:v>ordering_n4</x:v>
      </x:c>
      <x:c r="G667" s="69" t="str">
        <x:v>exact phrases first from the right and third from the left; physical positions L4 and L3 remain trained through fourth-from-left and second-from-right</x:v>
      </x:c>
      <x:c r="H667" s="69" t="str">
        <x:v>Yes</x:v>
      </x:c>
      <x:c r="I667" s="69" t="str">
        <x:v>replace ordering demonstration</x:v>
      </x:c>
      <x:c r="J667" s="69" t="str">
        <x:v>Four collinear objects, camera-view left to right: L1 green highlighter; L2 blue tape ball; L3 yellow pen; L4 airplane toy with propellers. Use approximately 10 cm centre-to-centre spacing; target at L2.</x:v>
      </x:c>
      <x:c r="K667" s="69" t="str">
        <x:v>blue tape ball</x:v>
      </x:c>
      <x:c r="L667" s="69" t="str">
        <x:v>Home</x:v>
      </x:c>
      <x:c r="M667" s="69" t="str">
        <x:v>Pick up the object that is second from the left and place it in the bowl.</x:v>
      </x:c>
      <x:c r="N667" s="69" t="str">
        <x:v>green highlighter, blue tape ball, yellow pen, airplane toy with propellers</x:v>
      </x:c>
      <x:c r="O667" s="69" t="str">
        <x:v>blue tape ball</x:v>
      </x:c>
      <x:c r="P667" s="70" t="str">
        <x:v>Four-object ordinal grounding. All physical positions are trained, while only the exact ordinal-direction compositions used by the primary evaluation are absent.</x:v>
      </x:c>
    </x:row>
    <x:row r="668" ht="58" customHeight="1">
      <x:c r="A668" s="100" t="n">
        <x:v>666</x:v>
      </x:c>
      <x:c r="B668" s="69" t="str">
        <x:v>Ordering/Sequencing</x:v>
      </x:c>
      <x:c r="C668" s="69" t="str">
        <x:v>Move the third from the right object into the bowl.</x:v>
      </x:c>
      <x:c r="D668" s="69" t="str">
        <x:v>Explicit ordinal grounding</x:v>
      </x:c>
      <x:c r="E668" s="69" t="str">
        <x:v>third from the right; physical target position L2</x:v>
      </x:c>
      <x:c r="F668" s="69" t="str">
        <x:v>ordering_n4</x:v>
      </x:c>
      <x:c r="G668" s="69" t="str">
        <x:v>exact phrases first from the right and third from the left; physical positions L4 and L3 remain trained through fourth-from-left and second-from-right</x:v>
      </x:c>
      <x:c r="H668" s="69" t="str">
        <x:v>Yes</x:v>
      </x:c>
      <x:c r="I668" s="69" t="str">
        <x:v>replace ordering demonstration</x:v>
      </x:c>
      <x:c r="J668" s="69" t="str">
        <x:v>Four collinear objects, camera-view left to right: L1 blue tape ball; L2 green highlighter; L3 yellow pen; L4 airplane toy with propellers. Use approximately 10 cm centre-to-centre spacing; target at L2.</x:v>
      </x:c>
      <x:c r="K668" s="69" t="str">
        <x:v>green highlighter</x:v>
      </x:c>
      <x:c r="L668" s="69" t="str">
        <x:v>Home</x:v>
      </x:c>
      <x:c r="M668" s="69" t="str">
        <x:v>Pick up the object that is third from the right and place it in the bowl.</x:v>
      </x:c>
      <x:c r="N668" s="69" t="str">
        <x:v>yellow pen, blue tape ball, airplane toy with propellers, green highlighter</x:v>
      </x:c>
      <x:c r="O668" s="69" t="str">
        <x:v>blue tape ball</x:v>
      </x:c>
      <x:c r="P668" s="70" t="str">
        <x:v>Four-object ordinal grounding. All physical positions are trained, while only the exact ordinal-direction compositions used by the primary evaluation are absent.</x:v>
      </x:c>
    </x:row>
    <x:row r="669" ht="58" customHeight="1">
      <x:c r="A669" s="100" t="n">
        <x:v>667</x:v>
      </x:c>
      <x:c r="B669" s="69" t="str">
        <x:v>Ordering/Sequencing</x:v>
      </x:c>
      <x:c r="C669" s="69" t="str">
        <x:v>Put the object that is third from the right in the bowl.</x:v>
      </x:c>
      <x:c r="D669" s="69" t="str">
        <x:v>Explicit ordinal grounding</x:v>
      </x:c>
      <x:c r="E669" s="69" t="str">
        <x:v>third from the right; physical target position L2</x:v>
      </x:c>
      <x:c r="F669" s="69" t="str">
        <x:v>ordering_n4</x:v>
      </x:c>
      <x:c r="G669" s="69" t="str">
        <x:v>exact phrases first from the right and third from the left; physical positions L4 and L3 remain trained through fourth-from-left and second-from-right</x:v>
      </x:c>
      <x:c r="H669" s="69" t="str">
        <x:v>Yes</x:v>
      </x:c>
      <x:c r="I669" s="69" t="str">
        <x:v>replace ordering demonstration</x:v>
      </x:c>
      <x:c r="J669" s="69" t="str">
        <x:v>Four collinear objects, camera-view left to right: L1 blue tape ball; L2 yellow pen; L3 green highlighter; L4 airplane toy with propellers. Use approximately 10 cm centre-to-centre spacing; target at L2.</x:v>
      </x:c>
      <x:c r="K669" s="69" t="str">
        <x:v>yellow pen</x:v>
      </x:c>
      <x:c r="L669" s="69" t="str">
        <x:v>Home</x:v>
      </x:c>
      <x:c r="M669" s="69" t="str">
        <x:v>Move the second item counted from the left into the bowl.</x:v>
      </x:c>
      <x:c r="N669" s="69" t="str">
        <x:v>yellow pen, blue tape ball, green highlighter, airplane toy with propellers</x:v>
      </x:c>
      <x:c r="O669" s="69" t="str">
        <x:v>blue tape ball</x:v>
      </x:c>
      <x:c r="P669" s="70" t="str">
        <x:v>Four-object ordinal grounding. All physical positions are trained, while only the exact ordinal-direction compositions used by the primary evaluation are absent.</x:v>
      </x:c>
    </x:row>
    <x:row r="670" ht="58" customHeight="1">
      <x:c r="A670" s="100" t="n">
        <x:v>668</x:v>
      </x:c>
      <x:c r="B670" s="69" t="str">
        <x:v>Ordering/Sequencing</x:v>
      </x:c>
      <x:c r="C670" s="69" t="str">
        <x:v>Pick up the object that is third from the right and place it in the bowl.</x:v>
      </x:c>
      <x:c r="D670" s="69" t="str">
        <x:v>Explicit ordinal grounding</x:v>
      </x:c>
      <x:c r="E670" s="69" t="str">
        <x:v>third from the right; physical target position L2</x:v>
      </x:c>
      <x:c r="F670" s="69" t="str">
        <x:v>ordering_n4</x:v>
      </x:c>
      <x:c r="G670" s="69" t="str">
        <x:v>exact phrases first from the right and third from the left; physical positions L4 and L3 remain trained through fourth-from-left and second-from-right</x:v>
      </x:c>
      <x:c r="H670" s="69" t="str">
        <x:v>Yes</x:v>
      </x:c>
      <x:c r="I670" s="69" t="str">
        <x:v>replace ordering demonstration</x:v>
      </x:c>
      <x:c r="J670" s="69" t="str">
        <x:v>Four collinear objects, camera-view left to right: L1 yellow pen; L2 airplane toy with propellers; L3 blue tape ball; L4 green highlighter. Use approximately 10 cm centre-to-centre spacing; target at L2.</x:v>
      </x:c>
      <x:c r="K670" s="69" t="str">
        <x:v>airplane toy with propellers</x:v>
      </x:c>
      <x:c r="L670" s="69" t="str">
        <x:v>Home</x:v>
      </x:c>
      <x:c r="M670" s="69" t="str">
        <x:v>Put the second object from the left in the bowl.</x:v>
      </x:c>
      <x:c r="N670" s="69" t="str">
        <x:v>airplane toy with propellers, blue tape ball</x:v>
      </x:c>
      <x:c r="O670" s="69" t="str">
        <x:v>blue tape ball</x:v>
      </x:c>
      <x:c r="P670" s="70" t="str">
        <x:v>Four-object ordinal grounding. All physical positions are trained, while only the exact ordinal-direction compositions used by the primary evaluation are absent.</x:v>
      </x:c>
    </x:row>
    <x:row r="671" ht="58" customHeight="1">
      <x:c r="A671" s="100" t="n">
        <x:v>669</x:v>
      </x:c>
      <x:c r="B671" s="69" t="str">
        <x:v>Ordering/Sequencing</x:v>
      </x:c>
      <x:c r="C671" s="69" t="str">
        <x:v>Move the third from the right object into the bowl.</x:v>
      </x:c>
      <x:c r="D671" s="69" t="str">
        <x:v>Explicit ordinal grounding</x:v>
      </x:c>
      <x:c r="E671" s="69" t="str">
        <x:v>third from the right; physical target position L2</x:v>
      </x:c>
      <x:c r="F671" s="69" t="str">
        <x:v>ordering_n4</x:v>
      </x:c>
      <x:c r="G671" s="69" t="str">
        <x:v>exact phrases first from the right and third from the left; physical positions L4 and L3 remain trained through fourth-from-left and second-from-right</x:v>
      </x:c>
      <x:c r="H671" s="69" t="str">
        <x:v>Yes</x:v>
      </x:c>
      <x:c r="I671" s="69" t="str">
        <x:v>replace ordering demonstration</x:v>
      </x:c>
      <x:c r="J671" s="69" t="str">
        <x:v>Four collinear objects, camera-view left to right: L1 yellow pen; L2 blue tape ball; L3 airplane toy with propellers; L4 green highlighter. Use approximately 10 cm centre-to-centre spacing; target at L2.</x:v>
      </x:c>
      <x:c r="K671" s="69" t="str">
        <x:v>blue tape ball</x:v>
      </x:c>
      <x:c r="L671" s="69" t="str">
        <x:v>Home</x:v>
      </x:c>
      <x:c r="M671" s="69" t="str">
        <x:v>Pick up the object that is second from the left and place it in the bowl.</x:v>
      </x:c>
      <x:c r="N671" s="69" t="str">
        <x:v>green highlighter, blue tape ball</x:v>
      </x:c>
      <x:c r="O671" s="69" t="str">
        <x:v>blue tape ball</x:v>
      </x:c>
      <x:c r="P671" s="70" t="str">
        <x:v>Four-object ordinal grounding. All physical positions are trained, while only the exact ordinal-direction compositions used by the primary evaluation are absent.</x:v>
      </x:c>
    </x:row>
    <x:row r="672" ht="58" customHeight="1">
      <x:c r="A672" s="100" t="n">
        <x:v>670</x:v>
      </x:c>
      <x:c r="B672" s="69" t="str">
        <x:v>Ordering/Sequencing</x:v>
      </x:c>
      <x:c r="C672" s="69" t="str">
        <x:v>Put the object that is third from the right in the bowl.</x:v>
      </x:c>
      <x:c r="D672" s="69" t="str">
        <x:v>Explicit ordinal grounding</x:v>
      </x:c>
      <x:c r="E672" s="69" t="str">
        <x:v>third from the right; physical target position L2</x:v>
      </x:c>
      <x:c r="F672" s="69" t="str">
        <x:v>ordering_n4</x:v>
      </x:c>
      <x:c r="G672" s="69" t="str">
        <x:v>exact phrases first from the right and third from the left; physical positions L4 and L3 remain trained through fourth-from-left and second-from-right</x:v>
      </x:c>
      <x:c r="H672" s="69" t="str">
        <x:v>Yes</x:v>
      </x:c>
      <x:c r="I672" s="69" t="str">
        <x:v>replace ordering demonstration</x:v>
      </x:c>
      <x:c r="J672" s="69" t="str">
        <x:v>Four collinear objects, camera-view left to right: L1 yellow pen; L2 green highlighter; L3 airplane toy with propellers; L4 blue tape ball. Use approximately 10 cm centre-to-centre spacing; target at L2.</x:v>
      </x:c>
      <x:c r="K672" s="69" t="str">
        <x:v>green highlighter</x:v>
      </x:c>
      <x:c r="L672" s="69" t="str">
        <x:v>Home</x:v>
      </x:c>
      <x:c r="M672" s="69" t="str">
        <x:v>Move the second item counted from the left into the bowl.</x:v>
      </x:c>
      <x:c r="N672" s="69" t="str">
        <x:v>yellow pen, blue tape ball</x:v>
      </x:c>
      <x:c r="O672" s="69" t="str">
        <x:v>blue tape ball</x:v>
      </x:c>
      <x:c r="P672" s="70" t="str">
        <x:v>Four-object ordinal grounding. All physical positions are trained, while only the exact ordinal-direction compositions used by the primary evaluation are absent.</x:v>
      </x:c>
    </x:row>
    <x:row r="673" ht="58" customHeight="1">
      <x:c r="A673" s="100" t="n">
        <x:v>671</x:v>
      </x:c>
      <x:c r="B673" s="69" t="str">
        <x:v>Ordering/Sequencing</x:v>
      </x:c>
      <x:c r="C673" s="69" t="str">
        <x:v>Pick up the object that is third from the right and place it in the bowl.</x:v>
      </x:c>
      <x:c r="D673" s="69" t="str">
        <x:v>Explicit ordinal grounding</x:v>
      </x:c>
      <x:c r="E673" s="69" t="str">
        <x:v>third from the right; physical target position L2</x:v>
      </x:c>
      <x:c r="F673" s="69" t="str">
        <x:v>ordering_n4</x:v>
      </x:c>
      <x:c r="G673" s="69" t="str">
        <x:v>exact phrases first from the right and third from the left; physical positions L4 and L3 remain trained through fourth-from-left and second-from-right</x:v>
      </x:c>
      <x:c r="H673" s="69" t="str">
        <x:v>Yes</x:v>
      </x:c>
      <x:c r="I673" s="69" t="str">
        <x:v>replace ordering demonstration</x:v>
      </x:c>
      <x:c r="J673" s="69" t="str">
        <x:v>Four collinear objects, camera-view left to right: L1 green highlighter; L2 yellow pen; L3 airplane toy with propellers; L4 blue tape ball. Use approximately 10 cm centre-to-centre spacing; target at L2.</x:v>
      </x:c>
      <x:c r="K673" s="69" t="str">
        <x:v>yellow pen</x:v>
      </x:c>
      <x:c r="L673" s="69" t="str">
        <x:v>Home</x:v>
      </x:c>
      <x:c r="M673" s="69" t="str">
        <x:v>Put the second object from the left in the bowl.</x:v>
      </x:c>
      <x:c r="N673" s="69" t="str">
        <x:v>airplane toy with propellers, blue tape ball</x:v>
      </x:c>
      <x:c r="O673" s="69" t="str">
        <x:v>blue tape ball</x:v>
      </x:c>
      <x:c r="P673" s="70" t="str">
        <x:v>Four-object ordinal grounding. All physical positions are trained, while only the exact ordinal-direction compositions used by the primary evaluation are absent.</x:v>
      </x:c>
    </x:row>
    <x:row r="674" ht="58" customHeight="1">
      <x:c r="A674" s="100" t="n">
        <x:v>672</x:v>
      </x:c>
      <x:c r="B674" s="69" t="str">
        <x:v>Ordering/Sequencing</x:v>
      </x:c>
      <x:c r="C674" s="69" t="str">
        <x:v>Move the third from the right object into the bowl.</x:v>
      </x:c>
      <x:c r="D674" s="69" t="str">
        <x:v>Explicit ordinal grounding</x:v>
      </x:c>
      <x:c r="E674" s="69" t="str">
        <x:v>third from the right; physical target position L2</x:v>
      </x:c>
      <x:c r="F674" s="69" t="str">
        <x:v>ordering_n4</x:v>
      </x:c>
      <x:c r="G674" s="69" t="str">
        <x:v>exact phrases first from the right and third from the left; physical positions L4 and L3 remain trained through fourth-from-left and second-from-right</x:v>
      </x:c>
      <x:c r="H674" s="69" t="str">
        <x:v>Yes</x:v>
      </x:c>
      <x:c r="I674" s="69" t="str">
        <x:v>replace ordering demonstration</x:v>
      </x:c>
      <x:c r="J674" s="69" t="str">
        <x:v>Four collinear objects, camera-view left to right: L1 blue tape ball; L2 airplane toy with propellers; L3 green highlighter; L4 yellow pen. Use approximately 10 cm centre-to-centre spacing; target at L2.</x:v>
      </x:c>
      <x:c r="K674" s="69" t="str">
        <x:v>airplane toy with propellers</x:v>
      </x:c>
      <x:c r="L674" s="69" t="str">
        <x:v>Recovery</x:v>
      </x:c>
      <x:c r="M674" s="69" t="str">
        <x:v>Put the second object from the left in the bowl.</x:v>
      </x:c>
      <x:c r="N674" s="69" t="str">
        <x:v>green highlighter, blue tape ball</x:v>
      </x:c>
      <x:c r="O674" s="69" t="str">
        <x:v>blue tape ball</x:v>
      </x:c>
      <x:c r="P674" s="70" t="str">
        <x:v>Four-object ordinal grounding. All physical positions are trained, while only the exact ordinal-direction compositions used by the primary evaluation are absent.</x:v>
      </x:c>
    </x:row>
    <x:row r="675" ht="58" customHeight="1">
      <x:c r="A675" s="100" t="n">
        <x:v>673</x:v>
      </x:c>
      <x:c r="B675" s="69" t="str">
        <x:v>Ordering/Sequencing</x:v>
      </x:c>
      <x:c r="C675" s="69" t="str">
        <x:v>Put the object that is third from the right in the bowl.</x:v>
      </x:c>
      <x:c r="D675" s="69" t="str">
        <x:v>Explicit ordinal grounding</x:v>
      </x:c>
      <x:c r="E675" s="69" t="str">
        <x:v>third from the right; physical target position L2</x:v>
      </x:c>
      <x:c r="F675" s="69" t="str">
        <x:v>ordering_n4</x:v>
      </x:c>
      <x:c r="G675" s="69" t="str">
        <x:v>exact phrases first from the right and third from the left; physical positions L4 and L3 remain trained through fourth-from-left and second-from-right</x:v>
      </x:c>
      <x:c r="H675" s="69" t="str">
        <x:v>Yes</x:v>
      </x:c>
      <x:c r="I675" s="69" t="str">
        <x:v>replace ordering demonstration</x:v>
      </x:c>
      <x:c r="J675" s="69" t="str">
        <x:v>Four collinear objects, camera-view left to right: L1 airplane toy with propellers; L2 blue tape ball; L3 green highlighter; L4 yellow pen. Use approximately 10 cm centre-to-centre spacing; target at L2.</x:v>
      </x:c>
      <x:c r="K675" s="69" t="str">
        <x:v>blue tape ball</x:v>
      </x:c>
      <x:c r="L675" s="69" t="str">
        <x:v>Recovery</x:v>
      </x:c>
      <x:c r="M675" s="69" t="str">
        <x:v>Pick up the object that is second from the left and place it in the bowl.</x:v>
      </x:c>
      <x:c r="N675" s="69" t="str">
        <x:v>yellow pen, blue tape ball</x:v>
      </x:c>
      <x:c r="O675" s="69" t="str">
        <x:v>blue tape ball</x:v>
      </x:c>
      <x:c r="P675" s="70" t="str">
        <x:v>Four-object ordinal grounding. All physical positions are trained, while only the exact ordinal-direction compositions used by the primary evaluation are absent.</x:v>
      </x:c>
    </x:row>
    <x:row r="676" ht="58" customHeight="1">
      <x:c r="A676" s="100" t="n">
        <x:v>674</x:v>
      </x:c>
      <x:c r="B676" s="69" t="str">
        <x:v>Ordering/Sequencing</x:v>
      </x:c>
      <x:c r="C676" s="69" t="str">
        <x:v>Pick up the object that is third from the right and place it in the bowl.</x:v>
      </x:c>
      <x:c r="D676" s="69" t="str">
        <x:v>Explicit ordinal grounding</x:v>
      </x:c>
      <x:c r="E676" s="69" t="str">
        <x:v>third from the right; physical target position L2</x:v>
      </x:c>
      <x:c r="F676" s="69" t="str">
        <x:v>ordering_n4</x:v>
      </x:c>
      <x:c r="G676" s="69" t="str">
        <x:v>exact phrases first from the right and third from the left; physical positions L4 and L3 remain trained through fourth-from-left and second-from-right</x:v>
      </x:c>
      <x:c r="H676" s="69" t="str">
        <x:v>Yes</x:v>
      </x:c>
      <x:c r="I676" s="69" t="str">
        <x:v>replace ordering demonstration</x:v>
      </x:c>
      <x:c r="J676" s="69" t="str">
        <x:v>Four collinear objects, camera-view left to right: L1 airplane toy with propellers; L2 green highlighter; L3 blue tape ball; L4 yellow pen. Use approximately 10 cm centre-to-centre spacing; target at L2.</x:v>
      </x:c>
      <x:c r="K676" s="69" t="str">
        <x:v>green highlighter</x:v>
      </x:c>
      <x:c r="L676" s="69" t="str">
        <x:v>Recovery</x:v>
      </x:c>
      <x:c r="M676" s="69" t="str">
        <x:v>Move the third item counted from the right into the bowl.</x:v>
      </x:c>
      <x:c r="N676" s="69" t="str">
        <x:v>airplane toy with propellers, blue tape ball, green highlighter, yellow pen</x:v>
      </x:c>
      <x:c r="O676" s="69" t="str">
        <x:v>blue tape ball</x:v>
      </x:c>
      <x:c r="P676" s="70" t="str">
        <x:v>Four-object ordinal grounding. All physical positions are trained, while only the exact ordinal-direction compositions used by the primary evaluation are absent.</x:v>
      </x:c>
    </x:row>
    <x:row r="677" ht="58" customHeight="1">
      <x:c r="A677" s="100" t="n">
        <x:v>675</x:v>
      </x:c>
      <x:c r="B677" s="69" t="str">
        <x:v>Ordering/Sequencing</x:v>
      </x:c>
      <x:c r="C677" s="69" t="str">
        <x:v>Move the third from the right object into the bowl.</x:v>
      </x:c>
      <x:c r="D677" s="69" t="str">
        <x:v>Explicit ordinal grounding</x:v>
      </x:c>
      <x:c r="E677" s="69" t="str">
        <x:v>third from the right; physical target position L2</x:v>
      </x:c>
      <x:c r="F677" s="69" t="str">
        <x:v>ordering_n4</x:v>
      </x:c>
      <x:c r="G677" s="69" t="str">
        <x:v>exact phrases first from the right and third from the left; physical positions L4 and L3 remain trained through fourth-from-left and second-from-right</x:v>
      </x:c>
      <x:c r="H677" s="69" t="str">
        <x:v>Yes</x:v>
      </x:c>
      <x:c r="I677" s="69" t="str">
        <x:v>replace ordering demonstration</x:v>
      </x:c>
      <x:c r="J677" s="69" t="str">
        <x:v>Four collinear objects, camera-view left to right: L1 airplane toy with propellers; L2 yellow pen; L3 blue tape ball; L4 green highlighter. Use approximately 10 cm centre-to-centre spacing; target at L2.</x:v>
      </x:c>
      <x:c r="K677" s="69" t="str">
        <x:v>yellow pen</x:v>
      </x:c>
      <x:c r="L677" s="69" t="str">
        <x:v>Home</x:v>
      </x:c>
      <x:c r="M677" s="69" t="str">
        <x:v>Pick up the blue tape ball and place it in the bowl.</x:v>
      </x:c>
      <x:c r="N677" s="69" t="str">
        <x:v>airplane toy with propellers, green highlighter, blue tape ball, yellow pen</x:v>
      </x:c>
      <x:c r="O677" s="69" t="str">
        <x:v>blue tape ball</x:v>
      </x:c>
      <x:c r="P677" s="70" t="str">
        <x:v>Four-object ordinal grounding. All physical positions are trained, while only the exact ordinal-direction compositions used by the primary evaluation are absent.</x:v>
      </x:c>
    </x:row>
    <x:row r="678" ht="58" customHeight="1">
      <x:c r="A678" s="100" t="n">
        <x:v>676</x:v>
      </x:c>
      <x:c r="B678" s="69" t="str">
        <x:v>Ordering/Sequencing</x:v>
      </x:c>
      <x:c r="C678" s="69" t="str">
        <x:v>Put the object that is third from the right in the bowl.</x:v>
      </x:c>
      <x:c r="D678" s="69" t="str">
        <x:v>Explicit ordinal grounding</x:v>
      </x:c>
      <x:c r="E678" s="69" t="str">
        <x:v>third from the right; physical target position L2</x:v>
      </x:c>
      <x:c r="F678" s="69" t="str">
        <x:v>ordering_n4</x:v>
      </x:c>
      <x:c r="G678" s="69" t="str">
        <x:v>exact phrases first from the right and third from the left; physical positions L4 and L3 remain trained through fourth-from-left and second-from-right</x:v>
      </x:c>
      <x:c r="H678" s="69" t="str">
        <x:v>Yes</x:v>
      </x:c>
      <x:c r="I678" s="69" t="str">
        <x:v>replace ordering demonstration</x:v>
      </x:c>
      <x:c r="J678" s="69" t="str">
        <x:v>Four collinear objects, camera-view left to right: L1 green highlighter; L2 airplane toy with propellers; L3 yellow pen; L4 blue tape ball. Use approximately 10 cm centre-to-centre spacing; target at L2.</x:v>
      </x:c>
      <x:c r="K678" s="69" t="str">
        <x:v>airplane toy with propellers</x:v>
      </x:c>
      <x:c r="L678" s="69" t="str">
        <x:v>Home</x:v>
      </x:c>
      <x:c r="M678" s="69" t="str">
        <x:v>Move the blue tape ball into the bowl.</x:v>
      </x:c>
      <x:c r="N678" s="69" t="str">
        <x:v>airplane toy with propellers, yellow pen, blue tape ball, green highlighter</x:v>
      </x:c>
      <x:c r="O678" s="69" t="str">
        <x:v>blue tape ball</x:v>
      </x:c>
      <x:c r="P678" s="70" t="str">
        <x:v>Four-object ordinal grounding. All physical positions are trained, while only the exact ordinal-direction compositions used by the primary evaluation are absent.</x:v>
      </x:c>
    </x:row>
    <x:row r="679" ht="58" customHeight="1">
      <x:c r="A679" s="100" t="n">
        <x:v>677</x:v>
      </x:c>
      <x:c r="B679" s="69" t="str">
        <x:v>Ordering/Sequencing</x:v>
      </x:c>
      <x:c r="C679" s="69" t="str">
        <x:v>Pick up the object that is third from the right and place it in the bowl.</x:v>
      </x:c>
      <x:c r="D679" s="69" t="str">
        <x:v>Explicit ordinal grounding</x:v>
      </x:c>
      <x:c r="E679" s="69" t="str">
        <x:v>third from the right; physical target position L2</x:v>
      </x:c>
      <x:c r="F679" s="69" t="str">
        <x:v>ordering_n4</x:v>
      </x:c>
      <x:c r="G679" s="69" t="str">
        <x:v>exact phrases first from the right and third from the left; physical positions L4 and L3 remain trained through fourth-from-left and second-from-right</x:v>
      </x:c>
      <x:c r="H679" s="69" t="str">
        <x:v>Yes</x:v>
      </x:c>
      <x:c r="I679" s="69" t="str">
        <x:v>replace ordering demonstration</x:v>
      </x:c>
      <x:c r="J679" s="69" t="str">
        <x:v>Four collinear objects, camera-view left to right: L1 green highlighter; L2 blue tape ball; L3 yellow pen; L4 airplane toy with propellers. Use approximately 10 cm centre-to-centre spacing; target at L2.</x:v>
      </x:c>
      <x:c r="K679" s="69" t="str">
        <x:v>blue tape ball</x:v>
      </x:c>
      <x:c r="L679" s="69" t="str">
        <x:v>Home</x:v>
      </x:c>
      <x:c r="M679" s="69" t="str">
        <x:v>Put the blue tape ball in the bowl.</x:v>
      </x:c>
      <x:c r="N679" s="69" t="str">
        <x:v>green highlighter, airplane toy with propellers, blue tape ball, yellow pen</x:v>
      </x:c>
      <x:c r="O679" s="69" t="str">
        <x:v>blue tape ball</x:v>
      </x:c>
      <x:c r="P679" s="70" t="str">
        <x:v>Four-object ordinal grounding. All physical positions are trained, while only the exact ordinal-direction compositions used by the primary evaluation are absent.</x:v>
      </x:c>
    </x:row>
    <x:row r="680" ht="58" customHeight="1">
      <x:c r="A680" s="100" t="n">
        <x:v>678</x:v>
      </x:c>
      <x:c r="B680" s="69" t="str">
        <x:v>Ordering/Sequencing</x:v>
      </x:c>
      <x:c r="C680" s="69" t="str">
        <x:v>Move the third from the right object into the bowl.</x:v>
      </x:c>
      <x:c r="D680" s="69" t="str">
        <x:v>Explicit ordinal grounding</x:v>
      </x:c>
      <x:c r="E680" s="69" t="str">
        <x:v>third from the right; physical target position L2</x:v>
      </x:c>
      <x:c r="F680" s="69" t="str">
        <x:v>ordering_n4</x:v>
      </x:c>
      <x:c r="G680" s="69" t="str">
        <x:v>exact phrases first from the right and third from the left; physical positions L4 and L3 remain trained through fourth-from-left and second-from-right</x:v>
      </x:c>
      <x:c r="H680" s="69" t="str">
        <x:v>Yes</x:v>
      </x:c>
      <x:c r="I680" s="69" t="str">
        <x:v>replace ordering demonstration</x:v>
      </x:c>
      <x:c r="J680" s="69" t="str">
        <x:v>Four collinear objects, camera-view left to right: L1 blue tape ball; L2 green highlighter; L3 yellow pen; L4 airplane toy with propellers. Use approximately 10 cm centre-to-centre spacing; target at L2.</x:v>
      </x:c>
      <x:c r="K680" s="69" t="str">
        <x:v>green highlighter</x:v>
      </x:c>
      <x:c r="L680" s="69" t="str">
        <x:v>Home</x:v>
      </x:c>
      <x:c r="M680" s="69" t="str">
        <x:v>Pick up the blue tape ball and place it in the bowl.</x:v>
      </x:c>
      <x:c r="N680" s="69" t="str">
        <x:v>green highlighter, yellow pen, blue tape ball, airplane toy with propellers</x:v>
      </x:c>
      <x:c r="O680" s="69" t="str">
        <x:v>blue tape ball</x:v>
      </x:c>
      <x:c r="P680" s="70" t="str">
        <x:v>Four-object ordinal grounding. All physical positions are trained, while only the exact ordinal-direction compositions used by the primary evaluation are absent.</x:v>
      </x:c>
    </x:row>
    <x:row r="681" ht="58" customHeight="1">
      <x:c r="A681" s="100" t="n">
        <x:v>679</x:v>
      </x:c>
      <x:c r="B681" s="69" t="str">
        <x:v>Ordering/Sequencing</x:v>
      </x:c>
      <x:c r="C681" s="69" t="str">
        <x:v>Put the object that is third from the right in the bowl.</x:v>
      </x:c>
      <x:c r="D681" s="69" t="str">
        <x:v>Explicit ordinal grounding</x:v>
      </x:c>
      <x:c r="E681" s="69" t="str">
        <x:v>third from the right; physical target position L2</x:v>
      </x:c>
      <x:c r="F681" s="69" t="str">
        <x:v>ordering_n4</x:v>
      </x:c>
      <x:c r="G681" s="69" t="str">
        <x:v>exact phrases first from the right and third from the left; physical positions L4 and L3 remain trained through fourth-from-left and second-from-right</x:v>
      </x:c>
      <x:c r="H681" s="69" t="str">
        <x:v>Yes</x:v>
      </x:c>
      <x:c r="I681" s="69" t="str">
        <x:v>replace ordering demonstration</x:v>
      </x:c>
      <x:c r="J681" s="69" t="str">
        <x:v>Four collinear objects, camera-view left to right: L1 blue tape ball; L2 yellow pen; L3 green highlighter; L4 airplane toy with propellers. Use approximately 10 cm centre-to-centre spacing; target at L2.</x:v>
      </x:c>
      <x:c r="K681" s="69" t="str">
        <x:v>yellow pen</x:v>
      </x:c>
      <x:c r="L681" s="69" t="str">
        <x:v>Home</x:v>
      </x:c>
      <x:c r="M681" s="69" t="str">
        <x:v>Pick up the blue tape ball and place it in the bowl.</x:v>
      </x:c>
      <x:c r="N681" s="69" t="str">
        <x:v>airplane toy with propellers, green highlighter, blue tape ball</x:v>
      </x:c>
      <x:c r="O681" s="69" t="str">
        <x:v>blue tape ball</x:v>
      </x:c>
      <x:c r="P681" s="70" t="str">
        <x:v>Four-object ordinal grounding. All physical positions are trained, while only the exact ordinal-direction compositions used by the primary evaluation are absent.</x:v>
      </x:c>
    </x:row>
    <x:row r="682" ht="58" customHeight="1">
      <x:c r="A682" s="100" t="n">
        <x:v>680</x:v>
      </x:c>
      <x:c r="B682" s="69" t="str">
        <x:v>Ordering/Sequencing</x:v>
      </x:c>
      <x:c r="C682" s="69" t="str">
        <x:v>Pick up the object that is second from the right and place it in the bowl.</x:v>
      </x:c>
      <x:c r="D682" s="69" t="str">
        <x:v>Explicit ordinal grounding</x:v>
      </x:c>
      <x:c r="E682" s="69" t="str">
        <x:v>second from the right; physical target position L3</x:v>
      </x:c>
      <x:c r="F682" s="69" t="str">
        <x:v>ordering_n4</x:v>
      </x:c>
      <x:c r="G682" s="69" t="str">
        <x:v>exact phrases first from the right and third from the left; physical positions L4 and L3 remain trained through fourth-from-left and second-from-right</x:v>
      </x:c>
      <x:c r="H682" s="69" t="str">
        <x:v>Yes</x:v>
      </x:c>
      <x:c r="I682" s="69" t="str">
        <x:v>replace ordering demonstration</x:v>
      </x:c>
      <x:c r="J682" s="69" t="str">
        <x:v>Four collinear objects, camera-view left to right: L1 yellow pen; L2 blue tape ball; L3 airplane toy with propellers; L4 green highlighter. Use approximately 10 cm centre-to-centre spacing; target at L3.</x:v>
      </x:c>
      <x:c r="K682" s="69" t="str">
        <x:v>airplane toy with propellers</x:v>
      </x:c>
      <x:c r="L682" s="69" t="str">
        <x:v>Home</x:v>
      </x:c>
      <x:c r="M682" s="69" t="str">
        <x:v>Move the blue tape ball into the bowl.</x:v>
      </x:c>
      <x:c r="N682" s="69" t="str">
        <x:v>airplane toy with propellers, yellow pen, blue tape ball</x:v>
      </x:c>
      <x:c r="O682" s="69" t="str">
        <x:v>blue tape ball</x:v>
      </x:c>
      <x:c r="P682" s="70" t="str">
        <x:v>Four-object ordinal grounding. All physical positions are trained, while only the exact ordinal-direction compositions used by the primary evaluation are absent.</x:v>
      </x:c>
    </x:row>
    <x:row r="683" ht="58" customHeight="1">
      <x:c r="A683" s="100" t="n">
        <x:v>681</x:v>
      </x:c>
      <x:c r="B683" s="69" t="str">
        <x:v>Ordering/Sequencing</x:v>
      </x:c>
      <x:c r="C683" s="69" t="str">
        <x:v>Move the second from the right object into the bowl.</x:v>
      </x:c>
      <x:c r="D683" s="69" t="str">
        <x:v>Explicit ordinal grounding</x:v>
      </x:c>
      <x:c r="E683" s="69" t="str">
        <x:v>second from the right; physical target position L3</x:v>
      </x:c>
      <x:c r="F683" s="69" t="str">
        <x:v>ordering_n4</x:v>
      </x:c>
      <x:c r="G683" s="69" t="str">
        <x:v>exact phrases first from the right and third from the left; physical positions L4 and L3 remain trained through fourth-from-left and second-from-right</x:v>
      </x:c>
      <x:c r="H683" s="69" t="str">
        <x:v>Yes</x:v>
      </x:c>
      <x:c r="I683" s="69" t="str">
        <x:v>replace ordering demonstration</x:v>
      </x:c>
      <x:c r="J683" s="69" t="str">
        <x:v>Four collinear objects, camera-view left to right: L1 yellow pen; L2 airplane toy with propellers; L3 blue tape ball; L4 green highlighter. Use approximately 10 cm centre-to-centre spacing; target at L3.</x:v>
      </x:c>
      <x:c r="K683" s="69" t="str">
        <x:v>blue tape ball</x:v>
      </x:c>
      <x:c r="L683" s="69" t="str">
        <x:v>Home</x:v>
      </x:c>
      <x:c r="M683" s="69" t="str">
        <x:v>Move the blue tape ball into the bowl.</x:v>
      </x:c>
      <x:c r="N683" s="69" t="str">
        <x:v>green highlighter, airplane toy with propellers, blue tape ball</x:v>
      </x:c>
      <x:c r="O683" s="69" t="str">
        <x:v>blue tape ball</x:v>
      </x:c>
      <x:c r="P683" s="70" t="str">
        <x:v>Four-object ordinal grounding. All physical positions are trained, while only the exact ordinal-direction compositions used by the primary evaluation are absent.</x:v>
      </x:c>
    </x:row>
    <x:row r="684" ht="58" customHeight="1">
      <x:c r="A684" s="100" t="n">
        <x:v>682</x:v>
      </x:c>
      <x:c r="B684" s="69" t="str">
        <x:v>Ordering/Sequencing</x:v>
      </x:c>
      <x:c r="C684" s="69" t="str">
        <x:v>Put the object that is second from the right in the bowl.</x:v>
      </x:c>
      <x:c r="D684" s="69" t="str">
        <x:v>Explicit ordinal grounding</x:v>
      </x:c>
      <x:c r="E684" s="69" t="str">
        <x:v>second from the right; physical target position L3</x:v>
      </x:c>
      <x:c r="F684" s="69" t="str">
        <x:v>ordering_n4</x:v>
      </x:c>
      <x:c r="G684" s="69" t="str">
        <x:v>exact phrases first from the right and third from the left; physical positions L4 and L3 remain trained through fourth-from-left and second-from-right</x:v>
      </x:c>
      <x:c r="H684" s="69" t="str">
        <x:v>Yes</x:v>
      </x:c>
      <x:c r="I684" s="69" t="str">
        <x:v>replace ordering demonstration</x:v>
      </x:c>
      <x:c r="J684" s="69" t="str">
        <x:v>Four collinear objects, camera-view left to right: L1 yellow pen; L2 airplane toy with propellers; L3 green highlighter; L4 blue tape ball. Use approximately 10 cm centre-to-centre spacing; target at L3.</x:v>
      </x:c>
      <x:c r="K684" s="69" t="str">
        <x:v>green highlighter</x:v>
      </x:c>
      <x:c r="L684" s="69" t="str">
        <x:v>Home</x:v>
      </x:c>
      <x:c r="M684" s="69" t="str">
        <x:v>Pick up the blue tape ball and place it in the bowl.</x:v>
      </x:c>
      <x:c r="N684" s="69" t="str">
        <x:v>green highlighter, yellow pen, blue tape ball</x:v>
      </x:c>
      <x:c r="O684" s="69" t="str">
        <x:v>blue tape ball</x:v>
      </x:c>
      <x:c r="P684" s="70" t="str">
        <x:v>Four-object ordinal grounding. All physical positions are trained, while only the exact ordinal-direction compositions used by the primary evaluation are absent.</x:v>
      </x:c>
    </x:row>
    <x:row r="685" ht="58" customHeight="1">
      <x:c r="A685" s="100" t="n">
        <x:v>683</x:v>
      </x:c>
      <x:c r="B685" s="69" t="str">
        <x:v>Ordering/Sequencing</x:v>
      </x:c>
      <x:c r="C685" s="69" t="str">
        <x:v>Pick up the object that is second from the right and place it in the bowl.</x:v>
      </x:c>
      <x:c r="D685" s="69" t="str">
        <x:v>Explicit ordinal grounding</x:v>
      </x:c>
      <x:c r="E685" s="69" t="str">
        <x:v>second from the right; physical target position L3</x:v>
      </x:c>
      <x:c r="F685" s="69" t="str">
        <x:v>ordering_n4</x:v>
      </x:c>
      <x:c r="G685" s="69" t="str">
        <x:v>exact phrases first from the right and third from the left; physical positions L4 and L3 remain trained through fourth-from-left and second-from-right</x:v>
      </x:c>
      <x:c r="H685" s="69" t="str">
        <x:v>Yes</x:v>
      </x:c>
      <x:c r="I685" s="69" t="str">
        <x:v>replace ordering demonstration</x:v>
      </x:c>
      <x:c r="J685" s="69" t="str">
        <x:v>Four collinear objects, camera-view left to right: L1 green highlighter; L2 airplane toy with propellers; L3 yellow pen; L4 blue tape ball. Use approximately 10 cm centre-to-centre spacing; target at L3.</x:v>
      </x:c>
      <x:c r="K685" s="69" t="str">
        <x:v>yellow pen</x:v>
      </x:c>
      <x:c r="L685" s="69" t="str">
        <x:v>Home</x:v>
      </x:c>
      <x:c r="M685" s="69" t="str">
        <x:v>Put the blue tape ball in the bowl.</x:v>
      </x:c>
      <x:c r="N685" s="69" t="str">
        <x:v>yellow pen, airplane toy with propellers, blue tape ball</x:v>
      </x:c>
      <x:c r="O685" s="69" t="str">
        <x:v>blue tape ball</x:v>
      </x:c>
      <x:c r="P685" s="70" t="str">
        <x:v>Four-object ordinal grounding. All physical positions are trained, while only the exact ordinal-direction compositions used by the primary evaluation are absent.</x:v>
      </x:c>
    </x:row>
    <x:row r="686" ht="58" customHeight="1">
      <x:c r="A686" s="100" t="n">
        <x:v>684</x:v>
      </x:c>
      <x:c r="B686" s="69" t="str">
        <x:v>Ordering/Sequencing</x:v>
      </x:c>
      <x:c r="C686" s="69" t="str">
        <x:v>Move the second from the right object into the bowl.</x:v>
      </x:c>
      <x:c r="D686" s="69" t="str">
        <x:v>Explicit ordinal grounding</x:v>
      </x:c>
      <x:c r="E686" s="69" t="str">
        <x:v>second from the right; physical target position L3</x:v>
      </x:c>
      <x:c r="F686" s="69" t="str">
        <x:v>ordering_n4</x:v>
      </x:c>
      <x:c r="G686" s="69" t="str">
        <x:v>exact phrases first from the right and third from the left; physical positions L4 and L3 remain trained through fourth-from-left and second-from-right</x:v>
      </x:c>
      <x:c r="H686" s="69" t="str">
        <x:v>Yes</x:v>
      </x:c>
      <x:c r="I686" s="69" t="str">
        <x:v>replace ordering demonstration</x:v>
      </x:c>
      <x:c r="J686" s="69" t="str">
        <x:v>Four collinear objects, camera-view left to right: L1 blue tape ball; L2 green highlighter; L3 airplane toy with propellers; L4 yellow pen. Use approximately 10 cm centre-to-centre spacing; target at L3.</x:v>
      </x:c>
      <x:c r="K686" s="69" t="str">
        <x:v>airplane toy with propellers</x:v>
      </x:c>
      <x:c r="L686" s="69" t="str">
        <x:v>Home</x:v>
      </x:c>
      <x:c r="M686" s="69" t="str">
        <x:v>Put the blue tape ball in the bowl.</x:v>
      </x:c>
      <x:c r="N686" s="69" t="str">
        <x:v>yellow pen, green highlighter, blue tape ball</x:v>
      </x:c>
      <x:c r="O686" s="69" t="str">
        <x:v>blue tape ball</x:v>
      </x:c>
      <x:c r="P686" s="70" t="str">
        <x:v>Four-object ordinal grounding. All physical positions are trained, while only the exact ordinal-direction compositions used by the primary evaluation are absent.</x:v>
      </x:c>
    </x:row>
    <x:row r="687" ht="58" customHeight="1">
      <x:c r="A687" s="100" t="n">
        <x:v>685</x:v>
      </x:c>
      <x:c r="B687" s="69" t="str">
        <x:v>Ordering/Sequencing</x:v>
      </x:c>
      <x:c r="C687" s="69" t="str">
        <x:v>Put the object that is second from the right in the bowl.</x:v>
      </x:c>
      <x:c r="D687" s="69" t="str">
        <x:v>Explicit ordinal grounding</x:v>
      </x:c>
      <x:c r="E687" s="69" t="str">
        <x:v>second from the right; physical target position L3</x:v>
      </x:c>
      <x:c r="F687" s="69" t="str">
        <x:v>ordering_n4</x:v>
      </x:c>
      <x:c r="G687" s="69" t="str">
        <x:v>exact phrases first from the right and third from the left; physical positions L4 and L3 remain trained through fourth-from-left and second-from-right</x:v>
      </x:c>
      <x:c r="H687" s="69" t="str">
        <x:v>Yes</x:v>
      </x:c>
      <x:c r="I687" s="69" t="str">
        <x:v>replace ordering demonstration</x:v>
      </x:c>
      <x:c r="J687" s="69" t="str">
        <x:v>Four collinear objects, camera-view left to right: L1 airplane toy with propellers; L2 green highlighter; L3 blue tape ball; L4 yellow pen. Use approximately 10 cm centre-to-centre spacing; target at L3.</x:v>
      </x:c>
      <x:c r="K687" s="69" t="str">
        <x:v>blue tape ball</x:v>
      </x:c>
      <x:c r="L687" s="69" t="str">
        <x:v>Recovery</x:v>
      </x:c>
      <x:c r="M687" s="69" t="str">
        <x:v>Move the blue tape ball into the bowl.</x:v>
      </x:c>
      <x:c r="N687" s="69" t="str">
        <x:v>yellow pen, airplane toy with propellers, blue tape ball, green highlighter</x:v>
      </x:c>
      <x:c r="O687" s="69" t="str">
        <x:v>blue tape ball</x:v>
      </x:c>
      <x:c r="P687" s="70" t="str">
        <x:v>Four-object ordinal grounding. All physical positions are trained, while only the exact ordinal-direction compositions used by the primary evaluation are absent.</x:v>
      </x:c>
    </x:row>
    <x:row r="688" ht="58" customHeight="1">
      <x:c r="A688" s="100" t="n">
        <x:v>686</x:v>
      </x:c>
      <x:c r="B688" s="69" t="str">
        <x:v>Ordering/Sequencing</x:v>
      </x:c>
      <x:c r="C688" s="69" t="str">
        <x:v>Pick up the object that is second from the right and place it in the bowl.</x:v>
      </x:c>
      <x:c r="D688" s="69" t="str">
        <x:v>Explicit ordinal grounding</x:v>
      </x:c>
      <x:c r="E688" s="69" t="str">
        <x:v>second from the right; physical target position L3</x:v>
      </x:c>
      <x:c r="F688" s="69" t="str">
        <x:v>ordering_n4</x:v>
      </x:c>
      <x:c r="G688" s="69" t="str">
        <x:v>exact phrases first from the right and third from the left; physical positions L4 and L3 remain trained through fourth-from-left and second-from-right</x:v>
      </x:c>
      <x:c r="H688" s="69" t="str">
        <x:v>Yes</x:v>
      </x:c>
      <x:c r="I688" s="69" t="str">
        <x:v>replace ordering demonstration</x:v>
      </x:c>
      <x:c r="J688" s="69" t="str">
        <x:v>Four collinear objects, camera-view left to right: L1 airplane toy with propellers; L2 blue tape ball; L3 green highlighter; L4 yellow pen. Use approximately 10 cm centre-to-centre spacing; target at L3.</x:v>
      </x:c>
      <x:c r="K688" s="69" t="str">
        <x:v>green highlighter</x:v>
      </x:c>
      <x:c r="L688" s="69" t="str">
        <x:v>Recovery</x:v>
      </x:c>
      <x:c r="M688" s="69" t="str">
        <x:v>Put the blue tape ball in the bowl.</x:v>
      </x:c>
      <x:c r="N688" s="69" t="str">
        <x:v>yellow pen, green highlighter, blue tape ball, airplane toy with propellers</x:v>
      </x:c>
      <x:c r="O688" s="69" t="str">
        <x:v>blue tape ball</x:v>
      </x:c>
      <x:c r="P688" s="70" t="str">
        <x:v>Four-object ordinal grounding. All physical positions are trained, while only the exact ordinal-direction compositions used by the primary evaluation are absent.</x:v>
      </x:c>
    </x:row>
    <x:row r="689" ht="58" customHeight="1">
      <x:c r="A689" s="100" t="n">
        <x:v>687</x:v>
      </x:c>
      <x:c r="B689" s="69" t="str">
        <x:v>Ordering/Sequencing</x:v>
      </x:c>
      <x:c r="C689" s="69" t="str">
        <x:v>Move the second from the right object into the bowl.</x:v>
      </x:c>
      <x:c r="D689" s="69" t="str">
        <x:v>Explicit ordinal grounding</x:v>
      </x:c>
      <x:c r="E689" s="69" t="str">
        <x:v>second from the right; physical target position L3</x:v>
      </x:c>
      <x:c r="F689" s="69" t="str">
        <x:v>ordering_n4</x:v>
      </x:c>
      <x:c r="G689" s="69" t="str">
        <x:v>exact phrases first from the right and third from the left; physical positions L4 and L3 remain trained through fourth-from-left and second-from-right</x:v>
      </x:c>
      <x:c r="H689" s="69" t="str">
        <x:v>Yes</x:v>
      </x:c>
      <x:c r="I689" s="69" t="str">
        <x:v>replace ordering demonstration</x:v>
      </x:c>
      <x:c r="J689" s="69" t="str">
        <x:v>Four collinear objects, camera-view left to right: L1 airplane toy with propellers; L2 blue tape ball; L3 yellow pen; L4 green highlighter. Use approximately 10 cm centre-to-centre spacing; target at L3.</x:v>
      </x:c>
      <x:c r="K689" s="69" t="str">
        <x:v>yellow pen</x:v>
      </x:c>
      <x:c r="L689" s="69" t="str">
        <x:v>Home</x:v>
      </x:c>
      <x:c r="M689" s="69" t="str">
        <x:v>Pick up the blue tape ball and place it in the bowl.</x:v>
      </x:c>
      <x:c r="N689" s="69" t="str">
        <x:v>airplane toy with propellers, green highlighter, yellow pen, blue tape ball</x:v>
      </x:c>
      <x:c r="O689" s="69" t="str">
        <x:v>blue tape ball</x:v>
      </x:c>
      <x:c r="P689" s="70" t="str">
        <x:v>Four-object ordinal grounding. All physical positions are trained, while only the exact ordinal-direction compositions used by the primary evaluation are absent.</x:v>
      </x:c>
    </x:row>
    <x:row r="690" ht="58" customHeight="1">
      <x:c r="A690" s="100" t="n">
        <x:v>688</x:v>
      </x:c>
      <x:c r="B690" s="69" t="str">
        <x:v>Ordering/Sequencing</x:v>
      </x:c>
      <x:c r="C690" s="69" t="str">
        <x:v>Put the object that is second from the right in the bowl.</x:v>
      </x:c>
      <x:c r="D690" s="69" t="str">
        <x:v>Explicit ordinal grounding</x:v>
      </x:c>
      <x:c r="E690" s="69" t="str">
        <x:v>second from the right; physical target position L3</x:v>
      </x:c>
      <x:c r="F690" s="69" t="str">
        <x:v>ordering_n4</x:v>
      </x:c>
      <x:c r="G690" s="69" t="str">
        <x:v>exact phrases first from the right and third from the left; physical positions L4 and L3 remain trained through fourth-from-left and second-from-right</x:v>
      </x:c>
      <x:c r="H690" s="69" t="str">
        <x:v>Yes</x:v>
      </x:c>
      <x:c r="I690" s="69" t="str">
        <x:v>replace ordering demonstration</x:v>
      </x:c>
      <x:c r="J690" s="69" t="str">
        <x:v>Four collinear objects, camera-view left to right: L1 green highlighter; L2 yellow pen; L3 airplane toy with propellers; L4 blue tape ball. Use approximately 10 cm centre-to-centre spacing; target at L3.</x:v>
      </x:c>
      <x:c r="K690" s="69" t="str">
        <x:v>airplane toy with propellers</x:v>
      </x:c>
      <x:c r="L690" s="69" t="str">
        <x:v>Home</x:v>
      </x:c>
      <x:c r="M690" s="69" t="str">
        <x:v>Move the blue tape ball into the bowl.</x:v>
      </x:c>
      <x:c r="N690" s="69" t="str">
        <x:v>airplane toy with propellers, yellow pen, green highlighter, blue tape ball</x:v>
      </x:c>
      <x:c r="O690" s="69" t="str">
        <x:v>blue tape ball</x:v>
      </x:c>
      <x:c r="P690" s="70" t="str">
        <x:v>Four-object ordinal grounding. All physical positions are trained, while only the exact ordinal-direction compositions used by the primary evaluation are absent.</x:v>
      </x:c>
    </x:row>
    <x:row r="691" ht="58" customHeight="1">
      <x:c r="A691" s="100" t="n">
        <x:v>689</x:v>
      </x:c>
      <x:c r="B691" s="69" t="str">
        <x:v>Ordering/Sequencing</x:v>
      </x:c>
      <x:c r="C691" s="69" t="str">
        <x:v>Pick up the object that is second from the right and place it in the bowl.</x:v>
      </x:c>
      <x:c r="D691" s="69" t="str">
        <x:v>Explicit ordinal grounding</x:v>
      </x:c>
      <x:c r="E691" s="69" t="str">
        <x:v>second from the right; physical target position L3</x:v>
      </x:c>
      <x:c r="F691" s="69" t="str">
        <x:v>ordering_n4</x:v>
      </x:c>
      <x:c r="G691" s="69" t="str">
        <x:v>exact phrases first from the right and third from the left; physical positions L4 and L3 remain trained through fourth-from-left and second-from-right</x:v>
      </x:c>
      <x:c r="H691" s="69" t="str">
        <x:v>Yes</x:v>
      </x:c>
      <x:c r="I691" s="69" t="str">
        <x:v>replace ordering demonstration</x:v>
      </x:c>
      <x:c r="J691" s="69" t="str">
        <x:v>Four collinear objects, camera-view left to right: L1 green highlighter; L2 yellow pen; L3 blue tape ball; L4 airplane toy with propellers. Use approximately 10 cm centre-to-centre spacing; target at L3.</x:v>
      </x:c>
      <x:c r="K691" s="69" t="str">
        <x:v>blue tape ball</x:v>
      </x:c>
      <x:c r="L691" s="69" t="str">
        <x:v>Home</x:v>
      </x:c>
      <x:c r="M691" s="69" t="str">
        <x:v>Put the blue tape ball in the bowl.</x:v>
      </x:c>
      <x:c r="N691" s="69" t="str">
        <x:v>green highlighter, airplane toy with propellers, yellow pen, blue tape ball</x:v>
      </x:c>
      <x:c r="O691" s="69" t="str">
        <x:v>blue tape ball</x:v>
      </x:c>
      <x:c r="P691" s="70" t="str">
        <x:v>Four-object ordinal grounding. All physical positions are trained, while only the exact ordinal-direction compositions used by the primary evaluation are absent.</x:v>
      </x:c>
    </x:row>
    <x:row r="692" ht="58" customHeight="1">
      <x:c r="A692" s="100" t="n">
        <x:v>690</x:v>
      </x:c>
      <x:c r="B692" s="69" t="str">
        <x:v>Ordering/Sequencing</x:v>
      </x:c>
      <x:c r="C692" s="69" t="str">
        <x:v>Move the second from the right object into the bowl.</x:v>
      </x:c>
      <x:c r="D692" s="69" t="str">
        <x:v>Explicit ordinal grounding</x:v>
      </x:c>
      <x:c r="E692" s="69" t="str">
        <x:v>second from the right; physical target position L3</x:v>
      </x:c>
      <x:c r="F692" s="69" t="str">
        <x:v>ordering_n4</x:v>
      </x:c>
      <x:c r="G692" s="69" t="str">
        <x:v>exact phrases first from the right and third from the left; physical positions L4 and L3 remain trained through fourth-from-left and second-from-right</x:v>
      </x:c>
      <x:c r="H692" s="69" t="str">
        <x:v>Yes</x:v>
      </x:c>
      <x:c r="I692" s="69" t="str">
        <x:v>replace ordering demonstration</x:v>
      </x:c>
      <x:c r="J692" s="69" t="str">
        <x:v>Four collinear objects, camera-view left to right: L1 blue tape ball; L2 yellow pen; L3 green highlighter; L4 airplane toy with propellers. Use approximately 10 cm centre-to-centre spacing; target at L3.</x:v>
      </x:c>
      <x:c r="K692" s="69" t="str">
        <x:v>green highlighter</x:v>
      </x:c>
      <x:c r="L692" s="69" t="str">
        <x:v>Home</x:v>
      </x:c>
      <x:c r="M692" s="69" t="str">
        <x:v>Pick up the blue tape ball and place it in the bowl.</x:v>
      </x:c>
      <x:c r="N692" s="69" t="str">
        <x:v>green highlighter, yellow pen, airplane toy with propellers, blue tape ball</x:v>
      </x:c>
      <x:c r="O692" s="69" t="str">
        <x:v>blue tape ball</x:v>
      </x:c>
      <x:c r="P692" s="70" t="str">
        <x:v>Four-object ordinal grounding. All physical positions are trained, while only the exact ordinal-direction compositions used by the primary evaluation are absent.</x:v>
      </x:c>
    </x:row>
    <x:row r="693" ht="58" customHeight="1">
      <x:c r="A693" s="100" t="n">
        <x:v>691</x:v>
      </x:c>
      <x:c r="B693" s="69" t="str">
        <x:v>Ordering/Sequencing</x:v>
      </x:c>
      <x:c r="C693" s="69" t="str">
        <x:v>Put the object that is second from the right in the bowl.</x:v>
      </x:c>
      <x:c r="D693" s="69" t="str">
        <x:v>Explicit ordinal grounding</x:v>
      </x:c>
      <x:c r="E693" s="69" t="str">
        <x:v>second from the right; physical target position L3</x:v>
      </x:c>
      <x:c r="F693" s="69" t="str">
        <x:v>ordering_n4</x:v>
      </x:c>
      <x:c r="G693" s="69" t="str">
        <x:v>exact phrases first from the right and third from the left; physical positions L4 and L3 remain trained through fourth-from-left and second-from-right</x:v>
      </x:c>
      <x:c r="H693" s="69" t="str">
        <x:v>Yes</x:v>
      </x:c>
      <x:c r="I693" s="69" t="str">
        <x:v>replace ordering demonstration</x:v>
      </x:c>
      <x:c r="J693" s="69" t="str">
        <x:v>Four collinear objects, camera-view left to right: L1 blue tape ball; L2 green highlighter; L3 yellow pen; L4 airplane toy with propellers. Use approximately 10 cm centre-to-centre spacing; target at L3.</x:v>
      </x:c>
      <x:c r="K693" s="69" t="str">
        <x:v>yellow pen</x:v>
      </x:c>
      <x:c r="L693" s="69" t="str">
        <x:v>Home</x:v>
      </x:c>
      <x:c r="M693" s="69" t="str">
        <x:v>Move the blue tape ball into the bowl.</x:v>
      </x:c>
      <x:c r="N693" s="69" t="str">
        <x:v>yellow pen, airplane toy with propellers, green highlighter, blue tape ball</x:v>
      </x:c>
      <x:c r="O693" s="69" t="str">
        <x:v>blue tape ball</x:v>
      </x:c>
      <x:c r="P693" s="70" t="str">
        <x:v>Four-object ordinal grounding. All physical positions are trained, while only the exact ordinal-direction compositions used by the primary evaluation are absent.</x:v>
      </x:c>
    </x:row>
    <x:row r="694" ht="58" customHeight="1">
      <x:c r="A694" s="100" t="n">
        <x:v>692</x:v>
      </x:c>
      <x:c r="B694" s="69" t="str">
        <x:v>Ordering/Sequencing</x:v>
      </x:c>
      <x:c r="C694" s="69" t="str">
        <x:v>Pick up the object that is second from the right and place it in the bowl.</x:v>
      </x:c>
      <x:c r="D694" s="69" t="str">
        <x:v>Explicit ordinal grounding</x:v>
      </x:c>
      <x:c r="E694" s="69" t="str">
        <x:v>second from the right; physical target position L3</x:v>
      </x:c>
      <x:c r="F694" s="69" t="str">
        <x:v>ordering_n4</x:v>
      </x:c>
      <x:c r="G694" s="69" t="str">
        <x:v>exact phrases first from the right and third from the left; physical positions L4 and L3 remain trained through fourth-from-left and second-from-right</x:v>
      </x:c>
      <x:c r="H694" s="69" t="str">
        <x:v>Yes</x:v>
      </x:c>
      <x:c r="I694" s="69" t="str">
        <x:v>replace ordering demonstration</x:v>
      </x:c>
      <x:c r="J694" s="69" t="str">
        <x:v>Four collinear objects, camera-view left to right: L1 yellow pen; L2 blue tape ball; L3 airplane toy with propellers; L4 green highlighter. Use approximately 10 cm centre-to-centre spacing; target at L3.</x:v>
      </x:c>
      <x:c r="K694" s="69" t="str">
        <x:v>airplane toy with propellers</x:v>
      </x:c>
      <x:c r="L694" s="69" t="str">
        <x:v>Home</x:v>
      </x:c>
      <x:c r="M694" s="69" t="str">
        <x:v>Put the blue tape ball in the bowl.</x:v>
      </x:c>
      <x:c r="N694" s="69" t="str">
        <x:v>yellow pen, green highlighter, airplane toy with propellers, blue tape ball</x:v>
      </x:c>
      <x:c r="O694" s="69" t="str">
        <x:v>blue tape ball</x:v>
      </x:c>
      <x:c r="P694" s="70" t="str">
        <x:v>Four-object ordinal grounding. All physical positions are trained, while only the exact ordinal-direction compositions used by the primary evaluation are absent.</x:v>
      </x:c>
    </x:row>
    <x:row r="695" ht="58" customHeight="1">
      <x:c r="A695" s="100" t="n">
        <x:v>693</x:v>
      </x:c>
      <x:c r="B695" s="69" t="str">
        <x:v>Ordering/Sequencing</x:v>
      </x:c>
      <x:c r="C695" s="69" t="str">
        <x:v>Move the second from the right object into the bowl.</x:v>
      </x:c>
      <x:c r="D695" s="69" t="str">
        <x:v>Explicit ordinal grounding</x:v>
      </x:c>
      <x:c r="E695" s="69" t="str">
        <x:v>second from the right; physical target position L3</x:v>
      </x:c>
      <x:c r="F695" s="69" t="str">
        <x:v>ordering_n4</x:v>
      </x:c>
      <x:c r="G695" s="69" t="str">
        <x:v>exact phrases first from the right and third from the left; physical positions L4 and L3 remain trained through fourth-from-left and second-from-right</x:v>
      </x:c>
      <x:c r="H695" s="69" t="str">
        <x:v>Yes</x:v>
      </x:c>
      <x:c r="I695" s="69" t="str">
        <x:v>replace ordering demonstration</x:v>
      </x:c>
      <x:c r="J695" s="69" t="str">
        <x:v>Four collinear objects, camera-view left to right: L1 yellow pen; L2 airplane toy with propellers; L3 blue tape ball; L4 green highlighter. Use approximately 10 cm centre-to-centre spacing; target at L3.</x:v>
      </x:c>
      <x:c r="K695" s="69" t="str">
        <x:v>blue tape ball</x:v>
      </x:c>
      <x:c r="L695" s="69" t="str">
        <x:v>Home</x:v>
      </x:c>
      <x:c r="M695" s="69" t="str">
        <x:v>Pick up the blue tape ball and place it in the bowl.</x:v>
      </x:c>
      <x:c r="N695" s="69" t="str">
        <x:v>airplane toy with propellers, green highlighter, yellow pen, blue tape ball</x:v>
      </x:c>
      <x:c r="O695" s="69" t="str">
        <x:v>blue tape ball</x:v>
      </x:c>
      <x:c r="P695" s="70" t="str">
        <x:v>Four-object ordinal grounding. All physical positions are trained, while only the exact ordinal-direction compositions used by the primary evaluation are absent.</x:v>
      </x:c>
    </x:row>
    <x:row r="696" ht="58" customHeight="1">
      <x:c r="A696" s="100" t="n">
        <x:v>694</x:v>
      </x:c>
      <x:c r="B696" s="69" t="str">
        <x:v>Ordering/Sequencing</x:v>
      </x:c>
      <x:c r="C696" s="69" t="str">
        <x:v>Put the object that is second from the right in the bowl.</x:v>
      </x:c>
      <x:c r="D696" s="69" t="str">
        <x:v>Explicit ordinal grounding</x:v>
      </x:c>
      <x:c r="E696" s="69" t="str">
        <x:v>second from the right; physical target position L3</x:v>
      </x:c>
      <x:c r="F696" s="69" t="str">
        <x:v>ordering_n4</x:v>
      </x:c>
      <x:c r="G696" s="69" t="str">
        <x:v>exact phrases first from the right and third from the left; physical positions L4 and L3 remain trained through fourth-from-left and second-from-right</x:v>
      </x:c>
      <x:c r="H696" s="69" t="str">
        <x:v>Yes</x:v>
      </x:c>
      <x:c r="I696" s="69" t="str">
        <x:v>replace ordering demonstration</x:v>
      </x:c>
      <x:c r="J696" s="69" t="str">
        <x:v>Four collinear objects, camera-view left to right: L1 yellow pen; L2 airplane toy with propellers; L3 green highlighter; L4 blue tape ball. Use approximately 10 cm centre-to-centre spacing; target at L3.</x:v>
      </x:c>
      <x:c r="K696" s="69" t="str">
        <x:v>green highlighter</x:v>
      </x:c>
      <x:c r="L696" s="69" t="str">
        <x:v>Home</x:v>
      </x:c>
      <x:c r="M696" s="69" t="str">
        <x:v>Move the blue tape ball into the bowl.</x:v>
      </x:c>
      <x:c r="N696" s="69" t="str">
        <x:v>airplane toy with propellers, yellow pen, green highlighter, blue tape ball</x:v>
      </x:c>
      <x:c r="O696" s="69" t="str">
        <x:v>blue tape ball</x:v>
      </x:c>
      <x:c r="P696" s="70" t="str">
        <x:v>Four-object ordinal grounding. All physical positions are trained, while only the exact ordinal-direction compositions used by the primary evaluation are absent.</x:v>
      </x:c>
    </x:row>
    <x:row r="697" ht="58" customHeight="1">
      <x:c r="A697" s="100" t="n">
        <x:v>695</x:v>
      </x:c>
      <x:c r="B697" s="69" t="str">
        <x:v>Ordering/Sequencing</x:v>
      </x:c>
      <x:c r="C697" s="69" t="str">
        <x:v>Pick up the object that is second from the right and place it in the bowl.</x:v>
      </x:c>
      <x:c r="D697" s="69" t="str">
        <x:v>Explicit ordinal grounding</x:v>
      </x:c>
      <x:c r="E697" s="69" t="str">
        <x:v>second from the right; physical target position L3</x:v>
      </x:c>
      <x:c r="F697" s="69" t="str">
        <x:v>ordering_n4</x:v>
      </x:c>
      <x:c r="G697" s="69" t="str">
        <x:v>exact phrases first from the right and third from the left; physical positions L4 and L3 remain trained through fourth-from-left and second-from-right</x:v>
      </x:c>
      <x:c r="H697" s="69" t="str">
        <x:v>Yes</x:v>
      </x:c>
      <x:c r="I697" s="69" t="str">
        <x:v>replace ordering demonstration</x:v>
      </x:c>
      <x:c r="J697" s="69" t="str">
        <x:v>Four collinear objects, camera-view left to right: L1 green highlighter; L2 airplane toy with propellers; L3 yellow pen; L4 blue tape ball. Use approximately 10 cm centre-to-centre spacing; target at L3.</x:v>
      </x:c>
      <x:c r="K697" s="69" t="str">
        <x:v>yellow pen</x:v>
      </x:c>
      <x:c r="L697" s="69" t="str">
        <x:v>Home</x:v>
      </x:c>
      <x:c r="M697" s="69" t="str">
        <x:v>Put the blue tape ball in the bowl.</x:v>
      </x:c>
      <x:c r="N697" s="69" t="str">
        <x:v>green highlighter, airplane toy with propellers, yellow pen, blue tape ball</x:v>
      </x:c>
      <x:c r="O697" s="69" t="str">
        <x:v>blue tape ball</x:v>
      </x:c>
      <x:c r="P697" s="70" t="str">
        <x:v>Four-object ordinal grounding. All physical positions are trained, while only the exact ordinal-direction compositions used by the primary evaluation are absent.</x:v>
      </x:c>
    </x:row>
    <x:row r="698" ht="58" customHeight="1">
      <x:c r="A698" s="100" t="n">
        <x:v>696</x:v>
      </x:c>
      <x:c r="B698" s="69" t="str">
        <x:v>Ordering/Sequencing</x:v>
      </x:c>
      <x:c r="C698" s="69" t="str">
        <x:v>Move the second from the right object into the bowl.</x:v>
      </x:c>
      <x:c r="D698" s="69" t="str">
        <x:v>Explicit ordinal grounding</x:v>
      </x:c>
      <x:c r="E698" s="69" t="str">
        <x:v>second from the right; physical target position L3</x:v>
      </x:c>
      <x:c r="F698" s="69" t="str">
        <x:v>ordering_n4</x:v>
      </x:c>
      <x:c r="G698" s="69" t="str">
        <x:v>exact phrases first from the right and third from the left; physical positions L4 and L3 remain trained through fourth-from-left and second-from-right</x:v>
      </x:c>
      <x:c r="H698" s="69" t="str">
        <x:v>Yes</x:v>
      </x:c>
      <x:c r="I698" s="69" t="str">
        <x:v>replace ordering demonstration</x:v>
      </x:c>
      <x:c r="J698" s="69" t="str">
        <x:v>Four collinear objects, camera-view left to right: L1 blue tape ball; L2 green highlighter; L3 airplane toy with propellers; L4 yellow pen. Use approximately 10 cm centre-to-centre spacing; target at L3.</x:v>
      </x:c>
      <x:c r="K698" s="69" t="str">
        <x:v>airplane toy with propellers</x:v>
      </x:c>
      <x:c r="L698" s="69" t="str">
        <x:v>Home</x:v>
      </x:c>
      <x:c r="M698" s="69" t="str">
        <x:v>Pick up the blue tape ball and place it in the bowl.</x:v>
      </x:c>
      <x:c r="N698" s="69" t="str">
        <x:v>green highlighter, yellow pen, airplane toy with propellers, blue tape ball</x:v>
      </x:c>
      <x:c r="O698" s="69" t="str">
        <x:v>blue tape ball</x:v>
      </x:c>
      <x:c r="P698" s="70" t="str">
        <x:v>Four-object ordinal grounding. All physical positions are trained, while only the exact ordinal-direction compositions used by the primary evaluation are absent.</x:v>
      </x:c>
    </x:row>
    <x:row r="699" ht="58" customHeight="1">
      <x:c r="A699" s="100" t="n">
        <x:v>697</x:v>
      </x:c>
      <x:c r="B699" s="69" t="str">
        <x:v>Ordering/Sequencing</x:v>
      </x:c>
      <x:c r="C699" s="69" t="str">
        <x:v>Put the object that is second from the right in the bowl.</x:v>
      </x:c>
      <x:c r="D699" s="69" t="str">
        <x:v>Explicit ordinal grounding</x:v>
      </x:c>
      <x:c r="E699" s="69" t="str">
        <x:v>second from the right; physical target position L3</x:v>
      </x:c>
      <x:c r="F699" s="69" t="str">
        <x:v>ordering_n4</x:v>
      </x:c>
      <x:c r="G699" s="69" t="str">
        <x:v>exact phrases first from the right and third from the left; physical positions L4 and L3 remain trained through fourth-from-left and second-from-right</x:v>
      </x:c>
      <x:c r="H699" s="69" t="str">
        <x:v>Yes</x:v>
      </x:c>
      <x:c r="I699" s="69" t="str">
        <x:v>replace ordering demonstration</x:v>
      </x:c>
      <x:c r="J699" s="69" t="str">
        <x:v>Four collinear objects, camera-view left to right: L1 airplane toy with propellers; L2 green highlighter; L3 blue tape ball; L4 yellow pen. Use approximately 10 cm centre-to-centre spacing; target at L3.</x:v>
      </x:c>
      <x:c r="K699" s="69" t="str">
        <x:v>blue tape ball</x:v>
      </x:c>
      <x:c r="L699" s="69" t="str">
        <x:v>Recovery</x:v>
      </x:c>
      <x:c r="M699" s="69" t="str">
        <x:v>Move the blue tape ball into the bowl.</x:v>
      </x:c>
      <x:c r="N699" s="69" t="str">
        <x:v>yellow pen, airplane toy with propellers, green highlighter, blue tape ball</x:v>
      </x:c>
      <x:c r="O699" s="69" t="str">
        <x:v>blue tape ball</x:v>
      </x:c>
      <x:c r="P699" s="70" t="str">
        <x:v>Four-object ordinal grounding. All physical positions are trained, while only the exact ordinal-direction compositions used by the primary evaluation are absent.</x:v>
      </x:c>
    </x:row>
    <x:row r="700" ht="58" customHeight="1">
      <x:c r="A700" s="100" t="n">
        <x:v>698</x:v>
      </x:c>
      <x:c r="B700" s="69" t="str">
        <x:v>Ordering/Sequencing</x:v>
      </x:c>
      <x:c r="C700" s="69" t="str">
        <x:v>Pick up the object that is second from the right and place it in the bowl.</x:v>
      </x:c>
      <x:c r="D700" s="69" t="str">
        <x:v>Explicit ordinal grounding</x:v>
      </x:c>
      <x:c r="E700" s="69" t="str">
        <x:v>second from the right; physical target position L3</x:v>
      </x:c>
      <x:c r="F700" s="69" t="str">
        <x:v>ordering_n4</x:v>
      </x:c>
      <x:c r="G700" s="69" t="str">
        <x:v>exact phrases first from the right and third from the left; physical positions L4 and L3 remain trained through fourth-from-left and second-from-right</x:v>
      </x:c>
      <x:c r="H700" s="69" t="str">
        <x:v>Yes</x:v>
      </x:c>
      <x:c r="I700" s="69" t="str">
        <x:v>replace ordering demonstration</x:v>
      </x:c>
      <x:c r="J700" s="69" t="str">
        <x:v>Four collinear objects, camera-view left to right: L1 airplane toy with propellers; L2 blue tape ball; L3 green highlighter; L4 yellow pen. Use approximately 10 cm centre-to-centre spacing; target at L3.</x:v>
      </x:c>
      <x:c r="K700" s="69" t="str">
        <x:v>green highlighter</x:v>
      </x:c>
      <x:c r="L700" s="69" t="str">
        <x:v>Recovery</x:v>
      </x:c>
      <x:c r="M700" s="69" t="str">
        <x:v>Put the blue tape ball in the bowl.</x:v>
      </x:c>
      <x:c r="N700" s="69" t="str">
        <x:v>yellow pen, green highlighter, airplane toy with propellers, blue tape ball</x:v>
      </x:c>
      <x:c r="O700" s="69" t="str">
        <x:v>blue tape ball</x:v>
      </x:c>
      <x:c r="P700" s="70" t="str">
        <x:v>Four-object ordinal grounding. All physical positions are trained, while only the exact ordinal-direction compositions used by the primary evaluation are absent.</x:v>
      </x:c>
    </x:row>
    <x:row r="701" ht="58" customHeight="1">
      <x:c r="A701" s="100" t="n">
        <x:v>699</x:v>
      </x:c>
      <x:c r="B701" s="69" t="str">
        <x:v>Ordering/Sequencing</x:v>
      </x:c>
      <x:c r="C701" s="69" t="str">
        <x:v>Move the second from the right object into the bowl.</x:v>
      </x:c>
      <x:c r="D701" s="69" t="str">
        <x:v>Explicit ordinal grounding</x:v>
      </x:c>
      <x:c r="E701" s="69" t="str">
        <x:v>second from the right; physical target position L3</x:v>
      </x:c>
      <x:c r="F701" s="69" t="str">
        <x:v>ordering_n4</x:v>
      </x:c>
      <x:c r="G701" s="69" t="str">
        <x:v>exact phrases first from the right and third from the left; physical positions L4 and L3 remain trained through fourth-from-left and second-from-right</x:v>
      </x:c>
      <x:c r="H701" s="69" t="str">
        <x:v>Yes</x:v>
      </x:c>
      <x:c r="I701" s="69" t="str">
        <x:v>replace ordering demonstration</x:v>
      </x:c>
      <x:c r="J701" s="69" t="str">
        <x:v>Four collinear objects, camera-view left to right: L1 airplane toy with propellers; L2 blue tape ball; L3 yellow pen; L4 green highlighter. Use approximately 10 cm centre-to-centre spacing; target at L3.</x:v>
      </x:c>
      <x:c r="K701" s="69" t="str">
        <x:v>yellow pen</x:v>
      </x:c>
      <x:c r="L701" s="69" t="str">
        <x:v>Recovery</x:v>
      </x:c>
      <x:c r="M701" s="69" t="str">
        <x:v>Pick up the blue tape ball and place it in the bowl.</x:v>
      </x:c>
      <x:c r="N701" s="69" t="str">
        <x:v>airplane toy with propellers, green highlighter, yellow pen, blue tape ball</x:v>
      </x:c>
      <x:c r="O701" s="69" t="str">
        <x:v>blue tape ball</x:v>
      </x:c>
      <x:c r="P701" s="70" t="str">
        <x:v>Four-object ordinal grounding. All physical positions are trained, while only the exact ordinal-direction compositions used by the primary evaluation are absent.</x:v>
      </x:c>
    </x:row>
    <x:row r="702" ht="58" customHeight="1">
      <x:c r="A702" s="100" t="n">
        <x:v>700</x:v>
      </x:c>
      <x:c r="B702" s="69" t="str">
        <x:v>Ordering/Sequencing</x:v>
      </x:c>
      <x:c r="C702" s="69" t="str">
        <x:v>Put the object that is second from the right in the bowl.</x:v>
      </x:c>
      <x:c r="D702" s="69" t="str">
        <x:v>Explicit ordinal grounding</x:v>
      </x:c>
      <x:c r="E702" s="69" t="str">
        <x:v>second from the right; physical target position L3</x:v>
      </x:c>
      <x:c r="F702" s="69" t="str">
        <x:v>ordering_n4</x:v>
      </x:c>
      <x:c r="G702" s="69" t="str">
        <x:v>exact phrases first from the right and third from the left; physical positions L4 and L3 remain trained through fourth-from-left and second-from-right</x:v>
      </x:c>
      <x:c r="H702" s="69" t="str">
        <x:v>Yes</x:v>
      </x:c>
      <x:c r="I702" s="69" t="str">
        <x:v>replace ordering demonstration</x:v>
      </x:c>
      <x:c r="J702" s="69" t="str">
        <x:v>Four collinear objects, camera-view left to right: L1 green highlighter; L2 yellow pen; L3 airplane toy with propellers; L4 blue tape ball. Use approximately 10 cm centre-to-centre spacing; target at L3.</x:v>
      </x:c>
      <x:c r="K702" s="69" t="str">
        <x:v>airplane toy with propellers</x:v>
      </x:c>
      <x:c r="L702" s="69" t="str">
        <x:v>Home</x:v>
      </x:c>
      <x:c r="M702" s="69" t="str">
        <x:v>Put the first object from the left in the bowl.</x:v>
      </x:c>
      <x:c r="N702" s="69" t="str">
        <x:v>green highlighter, airplane toy with propellers, blue tape ball, yellow pen</x:v>
      </x:c>
      <x:c r="O702" s="69" t="str">
        <x:v>green highlighter</x:v>
      </x:c>
      <x:c r="P702" s="70" t="str">
        <x:v>Four-object ordinal grounding. All physical positions are trained, while only the exact ordinal-direction compositions used by the primary evaluation are absent.</x:v>
      </x:c>
    </x:row>
    <x:row r="703" ht="58" customHeight="1">
      <x:c r="A703" s="100" t="n">
        <x:v>701</x:v>
      </x:c>
      <x:c r="B703" s="69" t="str">
        <x:v>Ordering/Sequencing</x:v>
      </x:c>
      <x:c r="C703" s="69" t="str">
        <x:v>Pick up the object that is second from the right and place it in the bowl.</x:v>
      </x:c>
      <x:c r="D703" s="69" t="str">
        <x:v>Explicit ordinal grounding</x:v>
      </x:c>
      <x:c r="E703" s="69" t="str">
        <x:v>second from the right; physical target position L3</x:v>
      </x:c>
      <x:c r="F703" s="69" t="str">
        <x:v>ordering_n4</x:v>
      </x:c>
      <x:c r="G703" s="69" t="str">
        <x:v>exact phrases first from the right and third from the left; physical positions L4 and L3 remain trained through fourth-from-left and second-from-right</x:v>
      </x:c>
      <x:c r="H703" s="69" t="str">
        <x:v>Yes</x:v>
      </x:c>
      <x:c r="I703" s="69" t="str">
        <x:v>replace ordering demonstration</x:v>
      </x:c>
      <x:c r="J703" s="69" t="str">
        <x:v>Four collinear objects, camera-view left to right: L1 green highlighter; L2 yellow pen; L3 blue tape ball; L4 airplane toy with propellers. Use approximately 10 cm centre-to-centre spacing; target at L3.</x:v>
      </x:c>
      <x:c r="K703" s="69" t="str">
        <x:v>blue tape ball</x:v>
      </x:c>
      <x:c r="L703" s="69" t="str">
        <x:v>Home</x:v>
      </x:c>
      <x:c r="M703" s="69" t="str">
        <x:v>Pick up the object that is fourth from the right and place it in the bowl.</x:v>
      </x:c>
      <x:c r="N703" s="69" t="str">
        <x:v>green highlighter, airplane toy with propellers, yellow pen, blue tape ball</x:v>
      </x:c>
      <x:c r="O703" s="69" t="str">
        <x:v>green highlighter</x:v>
      </x:c>
      <x:c r="P703" s="70" t="str">
        <x:v>Four-object ordinal grounding. All physical positions are trained, while only the exact ordinal-direction compositions used by the primary evaluation are absent.</x:v>
      </x:c>
    </x:row>
    <x:row r="704" ht="58" customHeight="1">
      <x:c r="A704" s="100" t="n">
        <x:v>702</x:v>
      </x:c>
      <x:c r="B704" s="69" t="str">
        <x:v>Ordering/Sequencing</x:v>
      </x:c>
      <x:c r="C704" s="69" t="str">
        <x:v>Move the second from the right object into the bowl.</x:v>
      </x:c>
      <x:c r="D704" s="69" t="str">
        <x:v>Explicit ordinal grounding</x:v>
      </x:c>
      <x:c r="E704" s="69" t="str">
        <x:v>second from the right; physical target position L3</x:v>
      </x:c>
      <x:c r="F704" s="69" t="str">
        <x:v>ordering_n4</x:v>
      </x:c>
      <x:c r="G704" s="69" t="str">
        <x:v>exact phrases first from the right and third from the left; physical positions L4 and L3 remain trained through fourth-from-left and second-from-right</x:v>
      </x:c>
      <x:c r="H704" s="69" t="str">
        <x:v>Yes</x:v>
      </x:c>
      <x:c r="I704" s="69" t="str">
        <x:v>replace ordering demonstration</x:v>
      </x:c>
      <x:c r="J704" s="69" t="str">
        <x:v>Four collinear objects, camera-view left to right: L1 blue tape ball; L2 yellow pen; L3 green highlighter; L4 airplane toy with propellers. Use approximately 10 cm centre-to-centre spacing; target at L3.</x:v>
      </x:c>
      <x:c r="K704" s="69" t="str">
        <x:v>green highlighter</x:v>
      </x:c>
      <x:c r="L704" s="69" t="str">
        <x:v>Home</x:v>
      </x:c>
      <x:c r="M704" s="69" t="str">
        <x:v>Pick up the object that is first from the left and place it in the bowl.</x:v>
      </x:c>
      <x:c r="N704" s="69" t="str">
        <x:v>green highlighter, blue tape ball, airplane toy with propellers, yellow pen</x:v>
      </x:c>
      <x:c r="O704" s="69" t="str">
        <x:v>green highlighter</x:v>
      </x:c>
      <x:c r="P704" s="70" t="str">
        <x:v>Four-object ordinal grounding. All physical positions are trained, while only the exact ordinal-direction compositions used by the primary evaluation are absent.</x:v>
      </x:c>
    </x:row>
    <x:row r="705" ht="58" customHeight="1">
      <x:c r="A705" s="100" t="n">
        <x:v>703</x:v>
      </x:c>
      <x:c r="B705" s="69" t="str">
        <x:v>Ordering/Sequencing</x:v>
      </x:c>
      <x:c r="C705" s="69" t="str">
        <x:v>Put the object that is second from the right in the bowl.</x:v>
      </x:c>
      <x:c r="D705" s="69" t="str">
        <x:v>Explicit ordinal grounding</x:v>
      </x:c>
      <x:c r="E705" s="69" t="str">
        <x:v>second from the right; physical target position L3</x:v>
      </x:c>
      <x:c r="F705" s="69" t="str">
        <x:v>ordering_n4</x:v>
      </x:c>
      <x:c r="G705" s="69" t="str">
        <x:v>exact phrases first from the right and third from the left; physical positions L4 and L3 remain trained through fourth-from-left and second-from-right</x:v>
      </x:c>
      <x:c r="H705" s="69" t="str">
        <x:v>Yes</x:v>
      </x:c>
      <x:c r="I705" s="69" t="str">
        <x:v>replace ordering demonstration</x:v>
      </x:c>
      <x:c r="J705" s="69" t="str">
        <x:v>Four collinear objects, camera-view left to right: L1 blue tape ball; L2 green highlighter; L3 yellow pen; L4 airplane toy with propellers. Use approximately 10 cm centre-to-centre spacing; target at L3.</x:v>
      </x:c>
      <x:c r="K705" s="69" t="str">
        <x:v>yellow pen</x:v>
      </x:c>
      <x:c r="L705" s="69" t="str">
        <x:v>Home</x:v>
      </x:c>
      <x:c r="M705" s="69" t="str">
        <x:v>Put the fourth object from the right in the bowl.</x:v>
      </x:c>
      <x:c r="N705" s="69" t="str">
        <x:v>green highlighter, blue tape ball, yellow pen, airplane toy with propellers</x:v>
      </x:c>
      <x:c r="O705" s="69" t="str">
        <x:v>green highlighter</x:v>
      </x:c>
      <x:c r="P705" s="70" t="str">
        <x:v>Four-object ordinal grounding. All physical positions are trained, while only the exact ordinal-direction compositions used by the primary evaluation are absent.</x:v>
      </x:c>
    </x:row>
    <x:row r="706" ht="58" customHeight="1">
      <x:c r="A706" s="100" t="n">
        <x:v>704</x:v>
      </x:c>
      <x:c r="B706" s="69" t="str">
        <x:v>Ordering/Sequencing</x:v>
      </x:c>
      <x:c r="C706" s="69" t="str">
        <x:v>Pick up the object that is second from the right and place it in the bowl.</x:v>
      </x:c>
      <x:c r="D706" s="69" t="str">
        <x:v>Explicit ordinal grounding</x:v>
      </x:c>
      <x:c r="E706" s="69" t="str">
        <x:v>second from the right; physical target position L3</x:v>
      </x:c>
      <x:c r="F706" s="69" t="str">
        <x:v>ordering_n4</x:v>
      </x:c>
      <x:c r="G706" s="69" t="str">
        <x:v>exact phrases first from the right and third from the left; physical positions L4 and L3 remain trained through fourth-from-left and second-from-right</x:v>
      </x:c>
      <x:c r="H706" s="69" t="str">
        <x:v>Yes</x:v>
      </x:c>
      <x:c r="I706" s="69" t="str">
        <x:v>replace ordering demonstration</x:v>
      </x:c>
      <x:c r="J706" s="69" t="str">
        <x:v>Four collinear objects, camera-view left to right: L1 yellow pen; L2 blue tape ball; L3 airplane toy with propellers; L4 green highlighter. Use approximately 10 cm centre-to-centre spacing; target at L3.</x:v>
      </x:c>
      <x:c r="K706" s="69" t="str">
        <x:v>airplane toy with propellers</x:v>
      </x:c>
      <x:c r="L706" s="69" t="str">
        <x:v>Home</x:v>
      </x:c>
      <x:c r="M706" s="69" t="str">
        <x:v>Move the third item counted from the right into the bowl.</x:v>
      </x:c>
      <x:c r="N706" s="69" t="str">
        <x:v>green highlighter, yellow pen, airplane toy with propellers</x:v>
      </x:c>
      <x:c r="O706" s="69" t="str">
        <x:v>green highlighter</x:v>
      </x:c>
      <x:c r="P706" s="70" t="str">
        <x:v>Four-object ordinal grounding. All physical positions are trained, while only the exact ordinal-direction compositions used by the primary evaluation are absent.</x:v>
      </x:c>
    </x:row>
    <x:row r="707" ht="58" customHeight="1">
      <x:c r="A707" s="100" t="n">
        <x:v>705</x:v>
      </x:c>
      <x:c r="B707" s="69" t="str">
        <x:v>Ordering/Sequencing</x:v>
      </x:c>
      <x:c r="C707" s="69" t="str">
        <x:v>Move the second from the right object into the bowl.</x:v>
      </x:c>
      <x:c r="D707" s="69" t="str">
        <x:v>Explicit ordinal grounding</x:v>
      </x:c>
      <x:c r="E707" s="69" t="str">
        <x:v>second from the right; physical target position L3</x:v>
      </x:c>
      <x:c r="F707" s="69" t="str">
        <x:v>ordering_n4</x:v>
      </x:c>
      <x:c r="G707" s="69" t="str">
        <x:v>exact phrases first from the right and third from the left; physical positions L4 and L3 remain trained through fourth-from-left and second-from-right</x:v>
      </x:c>
      <x:c r="H707" s="69" t="str">
        <x:v>Yes</x:v>
      </x:c>
      <x:c r="I707" s="69" t="str">
        <x:v>replace ordering demonstration</x:v>
      </x:c>
      <x:c r="J707" s="69" t="str">
        <x:v>Four collinear objects, camera-view left to right: L1 yellow pen; L2 airplane toy with propellers; L3 blue tape ball; L4 green highlighter. Use approximately 10 cm centre-to-centre spacing; target at L3.</x:v>
      </x:c>
      <x:c r="K707" s="69" t="str">
        <x:v>blue tape ball</x:v>
      </x:c>
      <x:c r="L707" s="69" t="str">
        <x:v>Home</x:v>
      </x:c>
      <x:c r="M707" s="69" t="str">
        <x:v>Move the third item counted from the right into the bowl.</x:v>
      </x:c>
      <x:c r="N707" s="69" t="str">
        <x:v>green highlighter, yellow pen, blue tape ball</x:v>
      </x:c>
      <x:c r="O707" s="69" t="str">
        <x:v>green highlighter</x:v>
      </x:c>
      <x:c r="P707" s="70" t="str">
        <x:v>Four-object ordinal grounding. All physical positions are trained, while only the exact ordinal-direction compositions used by the primary evaluation are absent.</x:v>
      </x:c>
    </x:row>
    <x:row r="708" ht="58" customHeight="1">
      <x:c r="A708" s="100" t="n">
        <x:v>706</x:v>
      </x:c>
      <x:c r="B708" s="69" t="str">
        <x:v>Ordering/Sequencing</x:v>
      </x:c>
      <x:c r="C708" s="69" t="str">
        <x:v>Put the object that is second from the right in the bowl.</x:v>
      </x:c>
      <x:c r="D708" s="69" t="str">
        <x:v>Explicit ordinal grounding</x:v>
      </x:c>
      <x:c r="E708" s="69" t="str">
        <x:v>second from the right; physical target position L3</x:v>
      </x:c>
      <x:c r="F708" s="69" t="str">
        <x:v>ordering_n4</x:v>
      </x:c>
      <x:c r="G708" s="69" t="str">
        <x:v>exact phrases first from the right and third from the left; physical positions L4 and L3 remain trained through fourth-from-left and second-from-right</x:v>
      </x:c>
      <x:c r="H708" s="69" t="str">
        <x:v>Yes</x:v>
      </x:c>
      <x:c r="I708" s="69" t="str">
        <x:v>replace ordering demonstration</x:v>
      </x:c>
      <x:c r="J708" s="69" t="str">
        <x:v>Four collinear objects, camera-view left to right: L1 yellow pen; L2 airplane toy with propellers; L3 green highlighter; L4 blue tape ball. Use approximately 10 cm centre-to-centre spacing; target at L3.</x:v>
      </x:c>
      <x:c r="K708" s="69" t="str">
        <x:v>green highlighter</x:v>
      </x:c>
      <x:c r="L708" s="69" t="str">
        <x:v>Home</x:v>
      </x:c>
      <x:c r="M708" s="69" t="str">
        <x:v>Put the first object from the left in the bowl.</x:v>
      </x:c>
      <x:c r="N708" s="69" t="str">
        <x:v>green highlighter, airplane toy with propellers, blue tape ball</x:v>
      </x:c>
      <x:c r="O708" s="69" t="str">
        <x:v>green highlighter</x:v>
      </x:c>
      <x:c r="P708" s="70" t="str">
        <x:v>Four-object ordinal grounding. All physical positions are trained, while only the exact ordinal-direction compositions used by the primary evaluation are absent.</x:v>
      </x:c>
    </x:row>
    <x:row r="709" ht="58" customHeight="1">
      <x:c r="A709" s="100" t="n">
        <x:v>707</x:v>
      </x:c>
      <x:c r="B709" s="69" t="str">
        <x:v>Ordering/Sequencing</x:v>
      </x:c>
      <x:c r="C709" s="69" t="str">
        <x:v>Pick up the object that is second from the right and place it in the bowl.</x:v>
      </x:c>
      <x:c r="D709" s="69" t="str">
        <x:v>Explicit ordinal grounding</x:v>
      </x:c>
      <x:c r="E709" s="69" t="str">
        <x:v>second from the right; physical target position L3</x:v>
      </x:c>
      <x:c r="F709" s="69" t="str">
        <x:v>ordering_n4</x:v>
      </x:c>
      <x:c r="G709" s="69" t="str">
        <x:v>exact phrases first from the right and third from the left; physical positions L4 and L3 remain trained through fourth-from-left and second-from-right</x:v>
      </x:c>
      <x:c r="H709" s="69" t="str">
        <x:v>Yes</x:v>
      </x:c>
      <x:c r="I709" s="69" t="str">
        <x:v>replace ordering demonstration</x:v>
      </x:c>
      <x:c r="J709" s="69" t="str">
        <x:v>Four collinear objects, camera-view left to right: L1 green highlighter; L2 airplane toy with propellers; L3 yellow pen; L4 blue tape ball. Use approximately 10 cm centre-to-centre spacing; target at L3.</x:v>
      </x:c>
      <x:c r="K709" s="69" t="str">
        <x:v>yellow pen</x:v>
      </x:c>
      <x:c r="L709" s="69" t="str">
        <x:v>Home</x:v>
      </x:c>
      <x:c r="M709" s="69" t="str">
        <x:v>Pick up the object that is third from the right and place it in the bowl.</x:v>
      </x:c>
      <x:c r="N709" s="69" t="str">
        <x:v>green highlighter, blue tape ball, airplane toy with propellers</x:v>
      </x:c>
      <x:c r="O709" s="69" t="str">
        <x:v>green highlighter</x:v>
      </x:c>
      <x:c r="P709" s="70" t="str">
        <x:v>Four-object ordinal grounding. All physical positions are trained, while only the exact ordinal-direction compositions used by the primary evaluation are absent.</x:v>
      </x:c>
    </x:row>
    <x:row r="710" ht="58" customHeight="1">
      <x:c r="A710" s="100" t="n">
        <x:v>708</x:v>
      </x:c>
      <x:c r="B710" s="69" t="str">
        <x:v>Ordering/Sequencing</x:v>
      </x:c>
      <x:c r="C710" s="69" t="str">
        <x:v>Move the second from the right object into the bowl.</x:v>
      </x:c>
      <x:c r="D710" s="69" t="str">
        <x:v>Explicit ordinal grounding</x:v>
      </x:c>
      <x:c r="E710" s="69" t="str">
        <x:v>second from the right; physical target position L3</x:v>
      </x:c>
      <x:c r="F710" s="69" t="str">
        <x:v>ordering_n4</x:v>
      </x:c>
      <x:c r="G710" s="69" t="str">
        <x:v>exact phrases first from the right and third from the left; physical positions L4 and L3 remain trained through fourth-from-left and second-from-right</x:v>
      </x:c>
      <x:c r="H710" s="69" t="str">
        <x:v>Yes</x:v>
      </x:c>
      <x:c r="I710" s="69" t="str">
        <x:v>replace ordering demonstration</x:v>
      </x:c>
      <x:c r="J710" s="69" t="str">
        <x:v>Four collinear objects, camera-view left to right: L1 blue tape ball; L2 green highlighter; L3 airplane toy with propellers; L4 yellow pen. Use approximately 10 cm centre-to-centre spacing; target at L3.</x:v>
      </x:c>
      <x:c r="K710" s="69" t="str">
        <x:v>airplane toy with propellers</x:v>
      </x:c>
      <x:c r="L710" s="69" t="str">
        <x:v>Home</x:v>
      </x:c>
      <x:c r="M710" s="69" t="str">
        <x:v>Move the second item counted from the right into the bowl.</x:v>
      </x:c>
      <x:c r="N710" s="69" t="str">
        <x:v>green highlighter, airplane toy with propellers</x:v>
      </x:c>
      <x:c r="O710" s="69" t="str">
        <x:v>green highlighter</x:v>
      </x:c>
      <x:c r="P710" s="70" t="str">
        <x:v>Four-object ordinal grounding. All physical positions are trained, while only the exact ordinal-direction compositions used by the primary evaluation are absent.</x:v>
      </x:c>
    </x:row>
    <x:row r="711" ht="58" customHeight="1">
      <x:c r="A711" s="100" t="n">
        <x:v>709</x:v>
      </x:c>
      <x:c r="B711" s="69" t="str">
        <x:v>Ordering/Sequencing</x:v>
      </x:c>
      <x:c r="C711" s="69" t="str">
        <x:v>Put the object that is second from the right in the bowl.</x:v>
      </x:c>
      <x:c r="D711" s="69" t="str">
        <x:v>Explicit ordinal grounding</x:v>
      </x:c>
      <x:c r="E711" s="69" t="str">
        <x:v>second from the right; physical target position L3</x:v>
      </x:c>
      <x:c r="F711" s="69" t="str">
        <x:v>ordering_n4</x:v>
      </x:c>
      <x:c r="G711" s="69" t="str">
        <x:v>exact phrases first from the right and third from the left; physical positions L4 and L3 remain trained through fourth-from-left and second-from-right</x:v>
      </x:c>
      <x:c r="H711" s="69" t="str">
        <x:v>Yes</x:v>
      </x:c>
      <x:c r="I711" s="69" t="str">
        <x:v>replace ordering demonstration</x:v>
      </x:c>
      <x:c r="J711" s="69" t="str">
        <x:v>Four collinear objects, camera-view left to right: L1 airplane toy with propellers; L2 green highlighter; L3 blue tape ball; L4 yellow pen. Use approximately 10 cm centre-to-centre spacing; target at L3.</x:v>
      </x:c>
      <x:c r="K711" s="69" t="str">
        <x:v>blue tape ball</x:v>
      </x:c>
      <x:c r="L711" s="69" t="str">
        <x:v>Home</x:v>
      </x:c>
      <x:c r="M711" s="69" t="str">
        <x:v>Put the second object from the right in the bowl.</x:v>
      </x:c>
      <x:c r="N711" s="69" t="str">
        <x:v>green highlighter, blue tape ball</x:v>
      </x:c>
      <x:c r="O711" s="69" t="str">
        <x:v>green highlighter</x:v>
      </x:c>
      <x:c r="P711" s="70" t="str">
        <x:v>Four-object ordinal grounding. All physical positions are trained, while only the exact ordinal-direction compositions used by the primary evaluation are absent.</x:v>
      </x:c>
    </x:row>
    <x:row r="712" ht="58" customHeight="1">
      <x:c r="A712" s="100" t="n">
        <x:v>710</x:v>
      </x:c>
      <x:c r="B712" s="69" t="str">
        <x:v>Ordering/Sequencing</x:v>
      </x:c>
      <x:c r="C712" s="69" t="str">
        <x:v>Pick up the object that is second from the right and place it in the bowl.</x:v>
      </x:c>
      <x:c r="D712" s="69" t="str">
        <x:v>Explicit ordinal grounding</x:v>
      </x:c>
      <x:c r="E712" s="69" t="str">
        <x:v>second from the right; physical target position L3</x:v>
      </x:c>
      <x:c r="F712" s="69" t="str">
        <x:v>ordering_n4</x:v>
      </x:c>
      <x:c r="G712" s="69" t="str">
        <x:v>exact phrases first from the right and third from the left; physical positions L4 and L3 remain trained through fourth-from-left and second-from-right</x:v>
      </x:c>
      <x:c r="H712" s="69" t="str">
        <x:v>Yes</x:v>
      </x:c>
      <x:c r="I712" s="69" t="str">
        <x:v>replace ordering demonstration</x:v>
      </x:c>
      <x:c r="J712" s="69" t="str">
        <x:v>Four collinear objects, camera-view left to right: L1 airplane toy with propellers; L2 blue tape ball; L3 green highlighter; L4 yellow pen. Use approximately 10 cm centre-to-centre spacing; target at L3.</x:v>
      </x:c>
      <x:c r="K712" s="69" t="str">
        <x:v>green highlighter</x:v>
      </x:c>
      <x:c r="L712" s="69" t="str">
        <x:v>Recovery</x:v>
      </x:c>
      <x:c r="M712" s="69" t="str">
        <x:v>Put the second object from the right in the bowl.</x:v>
      </x:c>
      <x:c r="N712" s="69" t="str">
        <x:v>green highlighter, yellow pen</x:v>
      </x:c>
      <x:c r="O712" s="69" t="str">
        <x:v>green highlighter</x:v>
      </x:c>
      <x:c r="P712" s="70" t="str">
        <x:v>Four-object ordinal grounding. All physical positions are trained, while only the exact ordinal-direction compositions used by the primary evaluation are absent.</x:v>
      </x:c>
    </x:row>
    <x:row r="713" ht="58" customHeight="1">
      <x:c r="A713" s="100" t="n">
        <x:v>711</x:v>
      </x:c>
      <x:c r="B713" s="69" t="str">
        <x:v>Ordering/Sequencing</x:v>
      </x:c>
      <x:c r="C713" s="69" t="str">
        <x:v>Move the second from the right object into the bowl.</x:v>
      </x:c>
      <x:c r="D713" s="69" t="str">
        <x:v>Explicit ordinal grounding</x:v>
      </x:c>
      <x:c r="E713" s="69" t="str">
        <x:v>second from the right; physical target position L3</x:v>
      </x:c>
      <x:c r="F713" s="69" t="str">
        <x:v>ordering_n4</x:v>
      </x:c>
      <x:c r="G713" s="69" t="str">
        <x:v>exact phrases first from the right and third from the left; physical positions L4 and L3 remain trained through fourth-from-left and second-from-right</x:v>
      </x:c>
      <x:c r="H713" s="69" t="str">
        <x:v>Yes</x:v>
      </x:c>
      <x:c r="I713" s="69" t="str">
        <x:v>replace ordering demonstration</x:v>
      </x:c>
      <x:c r="J713" s="69" t="str">
        <x:v>Four collinear objects, camera-view left to right: L1 airplane toy with propellers; L2 blue tape ball; L3 yellow pen; L4 green highlighter. Use approximately 10 cm centre-to-centre spacing; target at L3.</x:v>
      </x:c>
      <x:c r="K713" s="69" t="str">
        <x:v>yellow pen</x:v>
      </x:c>
      <x:c r="L713" s="69" t="str">
        <x:v>Home</x:v>
      </x:c>
      <x:c r="M713" s="69" t="str">
        <x:v>Put the second object from the right in the bowl.</x:v>
      </x:c>
      <x:c r="N713" s="69" t="str">
        <x:v>green highlighter, airplane toy with propellers</x:v>
      </x:c>
      <x:c r="O713" s="69" t="str">
        <x:v>green highlighter</x:v>
      </x:c>
      <x:c r="P713" s="70" t="str">
        <x:v>Four-object ordinal grounding. All physical positions are trained, while only the exact ordinal-direction compositions used by the primary evaluation are absent.</x:v>
      </x:c>
    </x:row>
    <x:row r="714" ht="58" customHeight="1">
      <x:c r="A714" s="100" t="n">
        <x:v>712</x:v>
      </x:c>
      <x:c r="B714" s="69" t="str">
        <x:v>Ordering/Sequencing</x:v>
      </x:c>
      <x:c r="C714" s="69" t="str">
        <x:v>Put the object that is second from the right in the bowl.</x:v>
      </x:c>
      <x:c r="D714" s="69" t="str">
        <x:v>Explicit ordinal grounding</x:v>
      </x:c>
      <x:c r="E714" s="69" t="str">
        <x:v>second from the right; physical target position L3</x:v>
      </x:c>
      <x:c r="F714" s="69" t="str">
        <x:v>ordering_n4</x:v>
      </x:c>
      <x:c r="G714" s="69" t="str">
        <x:v>exact phrases first from the right and third from the left; physical positions L4 and L3 remain trained through fourth-from-left and second-from-right</x:v>
      </x:c>
      <x:c r="H714" s="69" t="str">
        <x:v>Yes</x:v>
      </x:c>
      <x:c r="I714" s="69" t="str">
        <x:v>replace ordering demonstration</x:v>
      </x:c>
      <x:c r="J714" s="69" t="str">
        <x:v>Four collinear objects, camera-view left to right: L1 green highlighter; L2 yellow pen; L3 airplane toy with propellers; L4 blue tape ball. Use approximately 10 cm centre-to-centre spacing; target at L3.</x:v>
      </x:c>
      <x:c r="K714" s="69" t="str">
        <x:v>airplane toy with propellers</x:v>
      </x:c>
      <x:c r="L714" s="69" t="str">
        <x:v>Recovery</x:v>
      </x:c>
      <x:c r="M714" s="69" t="str">
        <x:v>Move the first item counted from the left into the bowl.</x:v>
      </x:c>
      <x:c r="N714" s="69" t="str">
        <x:v>green highlighter, blue tape ball</x:v>
      </x:c>
      <x:c r="O714" s="69" t="str">
        <x:v>green highlighter</x:v>
      </x:c>
      <x:c r="P714" s="70" t="str">
        <x:v>Four-object ordinal grounding. All physical positions are trained, while only the exact ordinal-direction compositions used by the primary evaluation are absent.</x:v>
      </x:c>
    </x:row>
    <x:row r="715" ht="58" customHeight="1">
      <x:c r="A715" s="100" t="n">
        <x:v>713</x:v>
      </x:c>
      <x:c r="B715" s="69" t="str">
        <x:v>Ordering/Sequencing</x:v>
      </x:c>
      <x:c r="C715" s="69" t="str">
        <x:v>Pick up the object that is second from the right and place it in the bowl.</x:v>
      </x:c>
      <x:c r="D715" s="69" t="str">
        <x:v>Explicit ordinal grounding</x:v>
      </x:c>
      <x:c r="E715" s="69" t="str">
        <x:v>second from the right; physical target position L3</x:v>
      </x:c>
      <x:c r="F715" s="69" t="str">
        <x:v>ordering_n4</x:v>
      </x:c>
      <x:c r="G715" s="69" t="str">
        <x:v>exact phrases first from the right and third from the left; physical positions L4 and L3 remain trained through fourth-from-left and second-from-right</x:v>
      </x:c>
      <x:c r="H715" s="69" t="str">
        <x:v>Yes</x:v>
      </x:c>
      <x:c r="I715" s="69" t="str">
        <x:v>replace ordering demonstration</x:v>
      </x:c>
      <x:c r="J715" s="69" t="str">
        <x:v>Four collinear objects, camera-view left to right: L1 green highlighter; L2 yellow pen; L3 blue tape ball; L4 airplane toy with propellers. Use approximately 10 cm centre-to-centre spacing; target at L3.</x:v>
      </x:c>
      <x:c r="K715" s="69" t="str">
        <x:v>blue tape ball</x:v>
      </x:c>
      <x:c r="L715" s="69" t="str">
        <x:v>Recovery</x:v>
      </x:c>
      <x:c r="M715" s="69" t="str">
        <x:v>Put the second object from the left in the bowl.</x:v>
      </x:c>
      <x:c r="N715" s="69" t="str">
        <x:v>airplane toy with propellers, green highlighter, blue tape ball, yellow pen</x:v>
      </x:c>
      <x:c r="O715" s="69" t="str">
        <x:v>green highlighter</x:v>
      </x:c>
      <x:c r="P715" s="70" t="str">
        <x:v>Four-object ordinal grounding. All physical positions are trained, while only the exact ordinal-direction compositions used by the primary evaluation are absent.</x:v>
      </x:c>
    </x:row>
    <x:row r="716" ht="58" customHeight="1">
      <x:c r="A716" s="100" t="n">
        <x:v>714</x:v>
      </x:c>
      <x:c r="B716" s="69" t="str">
        <x:v>Ordering/Sequencing</x:v>
      </x:c>
      <x:c r="C716" s="69" t="str">
        <x:v>Move the second from the right object into the bowl.</x:v>
      </x:c>
      <x:c r="D716" s="69" t="str">
        <x:v>Explicit ordinal grounding</x:v>
      </x:c>
      <x:c r="E716" s="69" t="str">
        <x:v>second from the right; physical target position L3</x:v>
      </x:c>
      <x:c r="F716" s="69" t="str">
        <x:v>ordering_n4</x:v>
      </x:c>
      <x:c r="G716" s="69" t="str">
        <x:v>exact phrases first from the right and third from the left; physical positions L4 and L3 remain trained through fourth-from-left and second-from-right</x:v>
      </x:c>
      <x:c r="H716" s="69" t="str">
        <x:v>Yes</x:v>
      </x:c>
      <x:c r="I716" s="69" t="str">
        <x:v>replace ordering demonstration</x:v>
      </x:c>
      <x:c r="J716" s="69" t="str">
        <x:v>Four collinear objects, camera-view left to right: L1 blue tape ball; L2 yellow pen; L3 green highlighter; L4 airplane toy with propellers. Use approximately 10 cm centre-to-centre spacing; target at L3.</x:v>
      </x:c>
      <x:c r="K716" s="69" t="str">
        <x:v>green highlighter</x:v>
      </x:c>
      <x:c r="L716" s="69" t="str">
        <x:v>Home</x:v>
      </x:c>
      <x:c r="M716" s="69" t="str">
        <x:v>Put the second object from the left in the bowl.</x:v>
      </x:c>
      <x:c r="N716" s="69" t="str">
        <x:v>airplane toy with propellers, green highlighter, yellow pen, blue tape ball</x:v>
      </x:c>
      <x:c r="O716" s="69" t="str">
        <x:v>green highlighter</x:v>
      </x:c>
      <x:c r="P716" s="70" t="str">
        <x:v>Four-object ordinal grounding. All physical positions are trained, while only the exact ordinal-direction compositions used by the primary evaluation are absent.</x:v>
      </x:c>
    </x:row>
    <x:row r="717" ht="58" customHeight="1">
      <x:c r="A717" s="100" t="n">
        <x:v>715</x:v>
      </x:c>
      <x:c r="B717" s="69" t="str">
        <x:v>Ordering/Sequencing</x:v>
      </x:c>
      <x:c r="C717" s="69" t="str">
        <x:v>Put the object that is second from the right in the bowl.</x:v>
      </x:c>
      <x:c r="D717" s="69" t="str">
        <x:v>Explicit ordinal grounding</x:v>
      </x:c>
      <x:c r="E717" s="69" t="str">
        <x:v>second from the right; physical target position L3</x:v>
      </x:c>
      <x:c r="F717" s="69" t="str">
        <x:v>ordering_n4</x:v>
      </x:c>
      <x:c r="G717" s="69" t="str">
        <x:v>exact phrases first from the right and third from the left; physical positions L4 and L3 remain trained through fourth-from-left and second-from-right</x:v>
      </x:c>
      <x:c r="H717" s="69" t="str">
        <x:v>Yes</x:v>
      </x:c>
      <x:c r="I717" s="69" t="str">
        <x:v>replace ordering demonstration</x:v>
      </x:c>
      <x:c r="J717" s="69" t="str">
        <x:v>Four collinear objects, camera-view left to right: L1 blue tape ball; L2 green highlighter; L3 yellow pen; L4 airplane toy with propellers. Use approximately 10 cm centre-to-centre spacing; target at L3.</x:v>
      </x:c>
      <x:c r="K717" s="69" t="str">
        <x:v>yellow pen</x:v>
      </x:c>
      <x:c r="L717" s="69" t="str">
        <x:v>Home</x:v>
      </x:c>
      <x:c r="M717" s="69" t="str">
        <x:v>Move the second item counted from the left into the bowl.</x:v>
      </x:c>
      <x:c r="N717" s="69" t="str">
        <x:v>blue tape ball, green highlighter, airplane toy with propellers, yellow pen</x:v>
      </x:c>
      <x:c r="O717" s="69" t="str">
        <x:v>green highlighter</x:v>
      </x:c>
      <x:c r="P717" s="70" t="str">
        <x:v>Four-object ordinal grounding. All physical positions are trained, while only the exact ordinal-direction compositions used by the primary evaluation are absent.</x:v>
      </x:c>
    </x:row>
    <x:row r="718" ht="58" customHeight="1">
      <x:c r="A718" s="100" t="n">
        <x:v>716</x:v>
      </x:c>
      <x:c r="B718" s="69" t="str">
        <x:v>Ordering/Sequencing</x:v>
      </x:c>
      <x:c r="C718" s="69" t="str">
        <x:v>Pick up the object that is second from the right and place it in the bowl.</x:v>
      </x:c>
      <x:c r="D718" s="69" t="str">
        <x:v>Explicit ordinal grounding</x:v>
      </x:c>
      <x:c r="E718" s="69" t="str">
        <x:v>second from the right; physical target position L3</x:v>
      </x:c>
      <x:c r="F718" s="69" t="str">
        <x:v>ordering_n4</x:v>
      </x:c>
      <x:c r="G718" s="69" t="str">
        <x:v>exact phrases first from the right and third from the left; physical positions L4 and L3 remain trained through fourth-from-left and second-from-right</x:v>
      </x:c>
      <x:c r="H718" s="69" t="str">
        <x:v>Yes</x:v>
      </x:c>
      <x:c r="I718" s="69" t="str">
        <x:v>replace ordering demonstration</x:v>
      </x:c>
      <x:c r="J718" s="69" t="str">
        <x:v>Four collinear objects, camera-view left to right: L1 yellow pen; L2 blue tape ball; L3 airplane toy with propellers; L4 green highlighter. Use approximately 10 cm centre-to-centre spacing; target at L3.</x:v>
      </x:c>
      <x:c r="K718" s="69" t="str">
        <x:v>airplane toy with propellers</x:v>
      </x:c>
      <x:c r="L718" s="69" t="str">
        <x:v>Home</x:v>
      </x:c>
      <x:c r="M718" s="69" t="str">
        <x:v>Move the third item counted from the right into the bowl.</x:v>
      </x:c>
      <x:c r="N718" s="69" t="str">
        <x:v>blue tape ball, green highlighter, yellow pen, airplane toy with propellers</x:v>
      </x:c>
      <x:c r="O718" s="69" t="str">
        <x:v>green highlighter</x:v>
      </x:c>
      <x:c r="P718" s="70" t="str">
        <x:v>Four-object ordinal grounding. All physical positions are trained, while only the exact ordinal-direction compositions used by the primary evaluation are absent.</x:v>
      </x:c>
    </x:row>
    <x:row r="719" ht="58" customHeight="1">
      <x:c r="A719" s="100" t="n">
        <x:v>717</x:v>
      </x:c>
      <x:c r="B719" s="69" t="str">
        <x:v>Ordering/Sequencing</x:v>
      </x:c>
      <x:c r="C719" s="69" t="str">
        <x:v>Move the second from the right object into the bowl.</x:v>
      </x:c>
      <x:c r="D719" s="69" t="str">
        <x:v>Explicit ordinal grounding</x:v>
      </x:c>
      <x:c r="E719" s="69" t="str">
        <x:v>second from the right; physical target position L3</x:v>
      </x:c>
      <x:c r="F719" s="69" t="str">
        <x:v>ordering_n4</x:v>
      </x:c>
      <x:c r="G719" s="69" t="str">
        <x:v>exact phrases first from the right and third from the left; physical positions L4 and L3 remain trained through fourth-from-left and second-from-right</x:v>
      </x:c>
      <x:c r="H719" s="69" t="str">
        <x:v>Yes</x:v>
      </x:c>
      <x:c r="I719" s="69" t="str">
        <x:v>replace ordering demonstration</x:v>
      </x:c>
      <x:c r="J719" s="69" t="str">
        <x:v>Four collinear objects, camera-view left to right: L1 yellow pen; L2 airplane toy with propellers; L3 blue tape ball; L4 green highlighter. Use approximately 10 cm centre-to-centre spacing; target at L3.</x:v>
      </x:c>
      <x:c r="K719" s="69" t="str">
        <x:v>blue tape ball</x:v>
      </x:c>
      <x:c r="L719" s="69" t="str">
        <x:v>Home</x:v>
      </x:c>
      <x:c r="M719" s="69" t="str">
        <x:v>Pick up the object that is second from the left and place it in the bowl.</x:v>
      </x:c>
      <x:c r="N719" s="69" t="str">
        <x:v>yellow pen, green highlighter, airplane toy with propellers, blue tape ball</x:v>
      </x:c>
      <x:c r="O719" s="69" t="str">
        <x:v>green highlighter</x:v>
      </x:c>
      <x:c r="P719" s="70" t="str">
        <x:v>Four-object ordinal grounding. All physical positions are trained, while only the exact ordinal-direction compositions used by the primary evaluation are absent.</x:v>
      </x:c>
    </x:row>
    <x:row r="720" ht="58" customHeight="1">
      <x:c r="A720" s="100" t="n">
        <x:v>718</x:v>
      </x:c>
      <x:c r="B720" s="69" t="str">
        <x:v>Ordering/Sequencing</x:v>
      </x:c>
      <x:c r="C720" s="69" t="str">
        <x:v>Put the object that is second from the right in the bowl.</x:v>
      </x:c>
      <x:c r="D720" s="69" t="str">
        <x:v>Explicit ordinal grounding</x:v>
      </x:c>
      <x:c r="E720" s="69" t="str">
        <x:v>second from the right; physical target position L3</x:v>
      </x:c>
      <x:c r="F720" s="69" t="str">
        <x:v>ordering_n4</x:v>
      </x:c>
      <x:c r="G720" s="69" t="str">
        <x:v>exact phrases first from the right and third from the left; physical positions L4 and L3 remain trained through fourth-from-left and second-from-right</x:v>
      </x:c>
      <x:c r="H720" s="69" t="str">
        <x:v>Yes</x:v>
      </x:c>
      <x:c r="I720" s="69" t="str">
        <x:v>replace ordering demonstration</x:v>
      </x:c>
      <x:c r="J720" s="69" t="str">
        <x:v>Four collinear objects, camera-view left to right: L1 yellow pen; L2 airplane toy with propellers; L3 green highlighter; L4 blue tape ball. Use approximately 10 cm centre-to-centre spacing; target at L3.</x:v>
      </x:c>
      <x:c r="K720" s="69" t="str">
        <x:v>green highlighter</x:v>
      </x:c>
      <x:c r="L720" s="69" t="str">
        <x:v>Home</x:v>
      </x:c>
      <x:c r="M720" s="69" t="str">
        <x:v>Pick up the object that is third from the right and place it in the bowl.</x:v>
      </x:c>
      <x:c r="N720" s="69" t="str">
        <x:v>yellow pen, green highlighter, blue tape ball, airplane toy with propellers</x:v>
      </x:c>
      <x:c r="O720" s="69" t="str">
        <x:v>green highlighter</x:v>
      </x:c>
      <x:c r="P720" s="70" t="str">
        <x:v>Four-object ordinal grounding. All physical positions are trained, while only the exact ordinal-direction compositions used by the primary evaluation are absent.</x:v>
      </x:c>
    </x:row>
    <x:row r="721" ht="58" customHeight="1">
      <x:c r="A721" s="100" t="n">
        <x:v>719</x:v>
      </x:c>
      <x:c r="B721" s="69" t="str">
        <x:v>Ordering/Sequencing</x:v>
      </x:c>
      <x:c r="C721" s="69" t="str">
        <x:v>Pick up the object that is second from the right and place it in the bowl.</x:v>
      </x:c>
      <x:c r="D721" s="69" t="str">
        <x:v>Explicit ordinal grounding</x:v>
      </x:c>
      <x:c r="E721" s="69" t="str">
        <x:v>second from the right; physical target position L3</x:v>
      </x:c>
      <x:c r="F721" s="69" t="str">
        <x:v>ordering_n4</x:v>
      </x:c>
      <x:c r="G721" s="69" t="str">
        <x:v>exact phrases first from the right and third from the left; physical positions L4 and L3 remain trained through fourth-from-left and second-from-right</x:v>
      </x:c>
      <x:c r="H721" s="69" t="str">
        <x:v>Yes</x:v>
      </x:c>
      <x:c r="I721" s="69" t="str">
        <x:v>replace ordering demonstration</x:v>
      </x:c>
      <x:c r="J721" s="69" t="str">
        <x:v>Four collinear objects, camera-view left to right: L1 green highlighter; L2 airplane toy with propellers; L3 yellow pen; L4 blue tape ball. Use approximately 10 cm centre-to-centre spacing; target at L3.</x:v>
      </x:c>
      <x:c r="K721" s="69" t="str">
        <x:v>yellow pen</x:v>
      </x:c>
      <x:c r="L721" s="69" t="str">
        <x:v>Home</x:v>
      </x:c>
      <x:c r="M721" s="69" t="str">
        <x:v>Move the second item counted from the left into the bowl.</x:v>
      </x:c>
      <x:c r="N721" s="69" t="str">
        <x:v>airplane toy with propellers, green highlighter</x:v>
      </x:c>
      <x:c r="O721" s="69" t="str">
        <x:v>green highlighter</x:v>
      </x:c>
      <x:c r="P721" s="70" t="str">
        <x:v>Four-object ordinal grounding. All physical positions are trained, while only the exact ordinal-direction compositions used by the primary evaluation are absent.</x:v>
      </x:c>
    </x:row>
    <x:row r="722" ht="58" customHeight="1">
      <x:c r="A722" s="100" t="n">
        <x:v>720</x:v>
      </x:c>
      <x:c r="B722" s="69" t="str">
        <x:v>Ordering/Sequencing</x:v>
      </x:c>
      <x:c r="C722" s="69" t="str">
        <x:v>Move the fourth from the left object into the bowl.</x:v>
      </x:c>
      <x:c r="D722" s="69" t="str">
        <x:v>Explicit ordinal grounding</x:v>
      </x:c>
      <x:c r="E722" s="69" t="str">
        <x:v>fourth from the left; physical target position L4</x:v>
      </x:c>
      <x:c r="F722" s="69" t="str">
        <x:v>ordering_n4</x:v>
      </x:c>
      <x:c r="G722" s="69" t="str">
        <x:v>exact phrases first from the right and third from the left; physical positions L4 and L3 remain trained through fourth-from-left and second-from-right</x:v>
      </x:c>
      <x:c r="H722" s="69" t="str">
        <x:v>Yes</x:v>
      </x:c>
      <x:c r="I722" s="69" t="str">
        <x:v>replace ordering demonstration</x:v>
      </x:c>
      <x:c r="J722" s="69" t="str">
        <x:v>Four collinear objects, camera-view left to right: L1 blue tape ball; L2 green highlighter; L3 yellow pen; L4 airplane toy with propellers. Use approximately 10 cm centre-to-centre spacing; target at L4.</x:v>
      </x:c>
      <x:c r="K722" s="69" t="str">
        <x:v>airplane toy with propellers</x:v>
      </x:c>
      <x:c r="L722" s="69" t="str">
        <x:v>Home</x:v>
      </x:c>
      <x:c r="M722" s="69" t="str">
        <x:v>Pick up the object that is second from the left and place it in the bowl.</x:v>
      </x:c>
      <x:c r="N722" s="69" t="str">
        <x:v>blue tape ball, green highlighter</x:v>
      </x:c>
      <x:c r="O722" s="69" t="str">
        <x:v>green highlighter</x:v>
      </x:c>
      <x:c r="P722" s="70" t="str">
        <x:v>Four-object ordinal grounding. All physical positions are trained, while only the exact ordinal-direction compositions used by the primary evaluation are absent.</x:v>
      </x:c>
    </x:row>
    <x:row r="723" ht="58" customHeight="1">
      <x:c r="A723" s="100" t="n">
        <x:v>721</x:v>
      </x:c>
      <x:c r="B723" s="69" t="str">
        <x:v>Ordering/Sequencing</x:v>
      </x:c>
      <x:c r="C723" s="69" t="str">
        <x:v>Put the object that is fourth from the left in the bowl.</x:v>
      </x:c>
      <x:c r="D723" s="69" t="str">
        <x:v>Explicit ordinal grounding</x:v>
      </x:c>
      <x:c r="E723" s="69" t="str">
        <x:v>fourth from the left; physical target position L4</x:v>
      </x:c>
      <x:c r="F723" s="69" t="str">
        <x:v>ordering_n4</x:v>
      </x:c>
      <x:c r="G723" s="69" t="str">
        <x:v>exact phrases first from the right and third from the left; physical positions L4 and L3 remain trained through fourth-from-left and second-from-right</x:v>
      </x:c>
      <x:c r="H723" s="69" t="str">
        <x:v>Yes</x:v>
      </x:c>
      <x:c r="I723" s="69" t="str">
        <x:v>replace ordering demonstration</x:v>
      </x:c>
      <x:c r="J723" s="69" t="str">
        <x:v>Four collinear objects, camera-view left to right: L1 airplane toy with propellers; L2 green highlighter; L3 yellow pen; L4 blue tape ball. Use approximately 10 cm centre-to-centre spacing; target at L4.</x:v>
      </x:c>
      <x:c r="K723" s="69" t="str">
        <x:v>blue tape ball</x:v>
      </x:c>
      <x:c r="L723" s="69" t="str">
        <x:v>Home</x:v>
      </x:c>
      <x:c r="M723" s="69" t="str">
        <x:v>Put the second object from the left in the bowl.</x:v>
      </x:c>
      <x:c r="N723" s="69" t="str">
        <x:v>yellow pen, green highlighter</x:v>
      </x:c>
      <x:c r="O723" s="69" t="str">
        <x:v>green highlighter</x:v>
      </x:c>
      <x:c r="P723" s="70" t="str">
        <x:v>Four-object ordinal grounding. All physical positions are trained, while only the exact ordinal-direction compositions used by the primary evaluation are absent.</x:v>
      </x:c>
    </x:row>
    <x:row r="724" ht="58" customHeight="1">
      <x:c r="A724" s="100" t="n">
        <x:v>722</x:v>
      </x:c>
      <x:c r="B724" s="69" t="str">
        <x:v>Ordering/Sequencing</x:v>
      </x:c>
      <x:c r="C724" s="69" t="str">
        <x:v>Pick up the object that is fourth from the left and place it in the bowl.</x:v>
      </x:c>
      <x:c r="D724" s="69" t="str">
        <x:v>Explicit ordinal grounding</x:v>
      </x:c>
      <x:c r="E724" s="69" t="str">
        <x:v>fourth from the left; physical target position L4</x:v>
      </x:c>
      <x:c r="F724" s="69" t="str">
        <x:v>ordering_n4</x:v>
      </x:c>
      <x:c r="G724" s="69" t="str">
        <x:v>exact phrases first from the right and third from the left; physical positions L4 and L3 remain trained through fourth-from-left and second-from-right</x:v>
      </x:c>
      <x:c r="H724" s="69" t="str">
        <x:v>Yes</x:v>
      </x:c>
      <x:c r="I724" s="69" t="str">
        <x:v>replace ordering demonstration</x:v>
      </x:c>
      <x:c r="J724" s="69" t="str">
        <x:v>Four collinear objects, camera-view left to right: L1 airplane toy with propellers; L2 blue tape ball; L3 yellow pen; L4 green highlighter. Use approximately 10 cm centre-to-centre spacing; target at L4.</x:v>
      </x:c>
      <x:c r="K724" s="69" t="str">
        <x:v>green highlighter</x:v>
      </x:c>
      <x:c r="L724" s="69" t="str">
        <x:v>Home</x:v>
      </x:c>
      <x:c r="M724" s="69" t="str">
        <x:v>Move the second item counted from the left into the bowl.</x:v>
      </x:c>
      <x:c r="N724" s="69" t="str">
        <x:v>airplane toy with propellers, green highlighter</x:v>
      </x:c>
      <x:c r="O724" s="69" t="str">
        <x:v>green highlighter</x:v>
      </x:c>
      <x:c r="P724" s="70" t="str">
        <x:v>Four-object ordinal grounding. All physical positions are trained, while only the exact ordinal-direction compositions used by the primary evaluation are absent.</x:v>
      </x:c>
    </x:row>
    <x:row r="725" ht="58" customHeight="1">
      <x:c r="A725" s="100" t="n">
        <x:v>723</x:v>
      </x:c>
      <x:c r="B725" s="69" t="str">
        <x:v>Ordering/Sequencing</x:v>
      </x:c>
      <x:c r="C725" s="69" t="str">
        <x:v>Move the fourth from the left object into the bowl.</x:v>
      </x:c>
      <x:c r="D725" s="69" t="str">
        <x:v>Explicit ordinal grounding</x:v>
      </x:c>
      <x:c r="E725" s="69" t="str">
        <x:v>fourth from the left; physical target position L4</x:v>
      </x:c>
      <x:c r="F725" s="69" t="str">
        <x:v>ordering_n4</x:v>
      </x:c>
      <x:c r="G725" s="69" t="str">
        <x:v>exact phrases first from the right and third from the left; physical positions L4 and L3 remain trained through fourth-from-left and second-from-right</x:v>
      </x:c>
      <x:c r="H725" s="69" t="str">
        <x:v>Yes</x:v>
      </x:c>
      <x:c r="I725" s="69" t="str">
        <x:v>replace ordering demonstration</x:v>
      </x:c>
      <x:c r="J725" s="69" t="str">
        <x:v>Four collinear objects, camera-view left to right: L1 airplane toy with propellers; L2 blue tape ball; L3 green highlighter; L4 yellow pen. Use approximately 10 cm centre-to-centre spacing; target at L4.</x:v>
      </x:c>
      <x:c r="K725" s="69" t="str">
        <x:v>yellow pen</x:v>
      </x:c>
      <x:c r="L725" s="69" t="str">
        <x:v>Recovery</x:v>
      </x:c>
      <x:c r="M725" s="69" t="str">
        <x:v>Put the second object from the left in the bowl.</x:v>
      </x:c>
      <x:c r="N725" s="69" t="str">
        <x:v>blue tape ball, green highlighter</x:v>
      </x:c>
      <x:c r="O725" s="69" t="str">
        <x:v>green highlighter</x:v>
      </x:c>
      <x:c r="P725" s="70" t="str">
        <x:v>Four-object ordinal grounding. All physical positions are trained, while only the exact ordinal-direction compositions used by the primary evaluation are absent.</x:v>
      </x:c>
    </x:row>
    <x:row r="726" ht="58" customHeight="1">
      <x:c r="A726" s="100" t="n">
        <x:v>724</x:v>
      </x:c>
      <x:c r="B726" s="69" t="str">
        <x:v>Ordering/Sequencing</x:v>
      </x:c>
      <x:c r="C726" s="69" t="str">
        <x:v>Put the object that is fourth from the left in the bowl.</x:v>
      </x:c>
      <x:c r="D726" s="69" t="str">
        <x:v>Explicit ordinal grounding</x:v>
      </x:c>
      <x:c r="E726" s="69" t="str">
        <x:v>fourth from the left; physical target position L4</x:v>
      </x:c>
      <x:c r="F726" s="69" t="str">
        <x:v>ordering_n4</x:v>
      </x:c>
      <x:c r="G726" s="69" t="str">
        <x:v>exact phrases first from the right and third from the left; physical positions L4 and L3 remain trained through fourth-from-left and second-from-right</x:v>
      </x:c>
      <x:c r="H726" s="69" t="str">
        <x:v>Yes</x:v>
      </x:c>
      <x:c r="I726" s="69" t="str">
        <x:v>replace ordering demonstration</x:v>
      </x:c>
      <x:c r="J726" s="69" t="str">
        <x:v>Four collinear objects, camera-view left to right: L1 green highlighter; L2 yellow pen; L3 blue tape ball; L4 airplane toy with propellers. Use approximately 10 cm centre-to-centre spacing; target at L4.</x:v>
      </x:c>
      <x:c r="K726" s="69" t="str">
        <x:v>airplane toy with propellers</x:v>
      </x:c>
      <x:c r="L726" s="69" t="str">
        <x:v>Recovery</x:v>
      </x:c>
      <x:c r="M726" s="69" t="str">
        <x:v>Put the second object from the left in the bowl.</x:v>
      </x:c>
      <x:c r="N726" s="69" t="str">
        <x:v>yellow pen, green highlighter</x:v>
      </x:c>
      <x:c r="O726" s="69" t="str">
        <x:v>green highlighter</x:v>
      </x:c>
      <x:c r="P726" s="70" t="str">
        <x:v>Four-object ordinal grounding. All physical positions are trained, while only the exact ordinal-direction compositions used by the primary evaluation are absent.</x:v>
      </x:c>
    </x:row>
    <x:row r="727" ht="58" customHeight="1">
      <x:c r="A727" s="100" t="n">
        <x:v>725</x:v>
      </x:c>
      <x:c r="B727" s="69" t="str">
        <x:v>Ordering/Sequencing</x:v>
      </x:c>
      <x:c r="C727" s="69" t="str">
        <x:v>Pick up the object that is fourth from the left and place it in the bowl.</x:v>
      </x:c>
      <x:c r="D727" s="69" t="str">
        <x:v>Explicit ordinal grounding</x:v>
      </x:c>
      <x:c r="E727" s="69" t="str">
        <x:v>fourth from the left; physical target position L4</x:v>
      </x:c>
      <x:c r="F727" s="69" t="str">
        <x:v>ordering_n4</x:v>
      </x:c>
      <x:c r="G727" s="69" t="str">
        <x:v>exact phrases first from the right and third from the left; physical positions L4 and L3 remain trained through fourth-from-left and second-from-right</x:v>
      </x:c>
      <x:c r="H727" s="69" t="str">
        <x:v>Yes</x:v>
      </x:c>
      <x:c r="I727" s="69" t="str">
        <x:v>replace ordering demonstration</x:v>
      </x:c>
      <x:c r="J727" s="69" t="str">
        <x:v>Four collinear objects, camera-view left to right: L1 green highlighter; L2 yellow pen; L3 airplane toy with propellers; L4 blue tape ball. Use approximately 10 cm centre-to-centre spacing; target at L4.</x:v>
      </x:c>
      <x:c r="K727" s="69" t="str">
        <x:v>blue tape ball</x:v>
      </x:c>
      <x:c r="L727" s="69" t="str">
        <x:v>Home</x:v>
      </x:c>
      <x:c r="M727" s="69" t="str">
        <x:v>Put the green highlighter in the bowl.</x:v>
      </x:c>
      <x:c r="N727" s="69" t="str">
        <x:v>airplane toy with propellers, blue tape ball, green highlighter, yellow pen</x:v>
      </x:c>
      <x:c r="O727" s="69" t="str">
        <x:v>green highlighter</x:v>
      </x:c>
      <x:c r="P727" s="70" t="str">
        <x:v>Four-object ordinal grounding. All physical positions are trained, while only the exact ordinal-direction compositions used by the primary evaluation are absent.</x:v>
      </x:c>
    </x:row>
    <x:row r="728" ht="58" customHeight="1">
      <x:c r="A728" s="100" t="n">
        <x:v>726</x:v>
      </x:c>
      <x:c r="B728" s="69" t="str">
        <x:v>Ordering/Sequencing</x:v>
      </x:c>
      <x:c r="C728" s="69" t="str">
        <x:v>Move the fourth from the left object into the bowl.</x:v>
      </x:c>
      <x:c r="D728" s="69" t="str">
        <x:v>Explicit ordinal grounding</x:v>
      </x:c>
      <x:c r="E728" s="69" t="str">
        <x:v>fourth from the left; physical target position L4</x:v>
      </x:c>
      <x:c r="F728" s="69" t="str">
        <x:v>ordering_n4</x:v>
      </x:c>
      <x:c r="G728" s="69" t="str">
        <x:v>exact phrases first from the right and third from the left; physical positions L4 and L3 remain trained through fourth-from-left and second-from-right</x:v>
      </x:c>
      <x:c r="H728" s="69" t="str">
        <x:v>Yes</x:v>
      </x:c>
      <x:c r="I728" s="69" t="str">
        <x:v>replace ordering demonstration</x:v>
      </x:c>
      <x:c r="J728" s="69" t="str">
        <x:v>Four collinear objects, camera-view left to right: L1 blue tape ball; L2 yellow pen; L3 airplane toy with propellers; L4 green highlighter. Use approximately 10 cm centre-to-centre spacing; target at L4.</x:v>
      </x:c>
      <x:c r="K728" s="69" t="str">
        <x:v>green highlighter</x:v>
      </x:c>
      <x:c r="L728" s="69" t="str">
        <x:v>Home</x:v>
      </x:c>
      <x:c r="M728" s="69" t="str">
        <x:v>Pick up the green highlighter and place it in the bowl.</x:v>
      </x:c>
      <x:c r="N728" s="69" t="str">
        <x:v>airplane toy with propellers, yellow pen, green highlighter, blue tape ball</x:v>
      </x:c>
      <x:c r="O728" s="69" t="str">
        <x:v>green highlighter</x:v>
      </x:c>
      <x:c r="P728" s="70" t="str">
        <x:v>Four-object ordinal grounding. All physical positions are trained, while only the exact ordinal-direction compositions used by the primary evaluation are absent.</x:v>
      </x:c>
    </x:row>
    <x:row r="729" ht="58" customHeight="1">
      <x:c r="A729" s="100" t="n">
        <x:v>727</x:v>
      </x:c>
      <x:c r="B729" s="69" t="str">
        <x:v>Ordering/Sequencing</x:v>
      </x:c>
      <x:c r="C729" s="69" t="str">
        <x:v>Put the object that is fourth from the left in the bowl.</x:v>
      </x:c>
      <x:c r="D729" s="69" t="str">
        <x:v>Explicit ordinal grounding</x:v>
      </x:c>
      <x:c r="E729" s="69" t="str">
        <x:v>fourth from the left; physical target position L4</x:v>
      </x:c>
      <x:c r="F729" s="69" t="str">
        <x:v>ordering_n4</x:v>
      </x:c>
      <x:c r="G729" s="69" t="str">
        <x:v>exact phrases first from the right and third from the left; physical positions L4 and L3 remain trained through fourth-from-left and second-from-right</x:v>
      </x:c>
      <x:c r="H729" s="69" t="str">
        <x:v>Yes</x:v>
      </x:c>
      <x:c r="I729" s="69" t="str">
        <x:v>replace ordering demonstration</x:v>
      </x:c>
      <x:c r="J729" s="69" t="str">
        <x:v>Four collinear objects, camera-view left to right: L1 blue tape ball; L2 green highlighter; L3 airplane toy with propellers; L4 yellow pen. Use approximately 10 cm centre-to-centre spacing; target at L4.</x:v>
      </x:c>
      <x:c r="K729" s="69" t="str">
        <x:v>yellow pen</x:v>
      </x:c>
      <x:c r="L729" s="69" t="str">
        <x:v>Home</x:v>
      </x:c>
      <x:c r="M729" s="69" t="str">
        <x:v>Move the green highlighter into the bowl.</x:v>
      </x:c>
      <x:c r="N729" s="69" t="str">
        <x:v>blue tape ball, airplane toy with propellers, green highlighter, yellow pen</x:v>
      </x:c>
      <x:c r="O729" s="69" t="str">
        <x:v>green highlighter</x:v>
      </x:c>
      <x:c r="P729" s="70" t="str">
        <x:v>Four-object ordinal grounding. All physical positions are trained, while only the exact ordinal-direction compositions used by the primary evaluation are absent.</x:v>
      </x:c>
    </x:row>
    <x:row r="730" ht="58" customHeight="1">
      <x:c r="A730" s="100" t="n">
        <x:v>728</x:v>
      </x:c>
      <x:c r="B730" s="69" t="str">
        <x:v>Ordering/Sequencing</x:v>
      </x:c>
      <x:c r="C730" s="69" t="str">
        <x:v>Pick up the object that is fourth from the left and place it in the bowl.</x:v>
      </x:c>
      <x:c r="D730" s="69" t="str">
        <x:v>Explicit ordinal grounding</x:v>
      </x:c>
      <x:c r="E730" s="69" t="str">
        <x:v>fourth from the left; physical target position L4</x:v>
      </x:c>
      <x:c r="F730" s="69" t="str">
        <x:v>ordering_n4</x:v>
      </x:c>
      <x:c r="G730" s="69" t="str">
        <x:v>exact phrases first from the right and third from the left; physical positions L4 and L3 remain trained through fourth-from-left and second-from-right</x:v>
      </x:c>
      <x:c r="H730" s="69" t="str">
        <x:v>Yes</x:v>
      </x:c>
      <x:c r="I730" s="69" t="str">
        <x:v>replace ordering demonstration</x:v>
      </x:c>
      <x:c r="J730" s="69" t="str">
        <x:v>Four collinear objects, camera-view left to right: L1 yellow pen; L2 blue tape ball; L3 green highlighter; L4 airplane toy with propellers. Use approximately 10 cm centre-to-centre spacing; target at L4.</x:v>
      </x:c>
      <x:c r="K730" s="69" t="str">
        <x:v>airplane toy with propellers</x:v>
      </x:c>
      <x:c r="L730" s="69" t="str">
        <x:v>Home</x:v>
      </x:c>
      <x:c r="M730" s="69" t="str">
        <x:v>Put the green highlighter in the bowl.</x:v>
      </x:c>
      <x:c r="N730" s="69" t="str">
        <x:v>blue tape ball, yellow pen, green highlighter, airplane toy with propellers</x:v>
      </x:c>
      <x:c r="O730" s="69" t="str">
        <x:v>green highlighter</x:v>
      </x:c>
      <x:c r="P730" s="70" t="str">
        <x:v>Four-object ordinal grounding. All physical positions are trained, while only the exact ordinal-direction compositions used by the primary evaluation are absent.</x:v>
      </x:c>
    </x:row>
    <x:row r="731" ht="58" customHeight="1">
      <x:c r="A731" s="100" t="n">
        <x:v>729</x:v>
      </x:c>
      <x:c r="B731" s="69" t="str">
        <x:v>Ordering/Sequencing</x:v>
      </x:c>
      <x:c r="C731" s="69" t="str">
        <x:v>Move the fourth from the left object into the bowl.</x:v>
      </x:c>
      <x:c r="D731" s="69" t="str">
        <x:v>Explicit ordinal grounding</x:v>
      </x:c>
      <x:c r="E731" s="69" t="str">
        <x:v>fourth from the left; physical target position L4</x:v>
      </x:c>
      <x:c r="F731" s="69" t="str">
        <x:v>ordering_n4</x:v>
      </x:c>
      <x:c r="G731" s="69" t="str">
        <x:v>exact phrases first from the right and third from the left; physical positions L4 and L3 remain trained through fourth-from-left and second-from-right</x:v>
      </x:c>
      <x:c r="H731" s="69" t="str">
        <x:v>Yes</x:v>
      </x:c>
      <x:c r="I731" s="69" t="str">
        <x:v>replace ordering demonstration</x:v>
      </x:c>
      <x:c r="J731" s="69" t="str">
        <x:v>Four collinear objects, camera-view left to right: L1 yellow pen; L2 airplane toy with propellers; L3 green highlighter; L4 blue tape ball. Use approximately 10 cm centre-to-centre spacing; target at L4.</x:v>
      </x:c>
      <x:c r="K731" s="69" t="str">
        <x:v>blue tape ball</x:v>
      </x:c>
      <x:c r="L731" s="69" t="str">
        <x:v>Home</x:v>
      </x:c>
      <x:c r="M731" s="69" t="str">
        <x:v>Put the green highlighter in the bowl.</x:v>
      </x:c>
      <x:c r="N731" s="69" t="str">
        <x:v>airplane toy with propellers, blue tape ball, green highlighter</x:v>
      </x:c>
      <x:c r="O731" s="69" t="str">
        <x:v>green highlighter</x:v>
      </x:c>
      <x:c r="P731" s="70" t="str">
        <x:v>Four-object ordinal grounding. All physical positions are trained, while only the exact ordinal-direction compositions used by the primary evaluation are absent.</x:v>
      </x:c>
    </x:row>
    <x:row r="732" ht="58" customHeight="1">
      <x:c r="A732" s="100" t="n">
        <x:v>730</x:v>
      </x:c>
      <x:c r="B732" s="69" t="str">
        <x:v>Ordering/Sequencing</x:v>
      </x:c>
      <x:c r="C732" s="69" t="str">
        <x:v>Put the object that is fourth from the left in the bowl.</x:v>
      </x:c>
      <x:c r="D732" s="69" t="str">
        <x:v>Explicit ordinal grounding</x:v>
      </x:c>
      <x:c r="E732" s="69" t="str">
        <x:v>fourth from the left; physical target position L4</x:v>
      </x:c>
      <x:c r="F732" s="69" t="str">
        <x:v>ordering_n4</x:v>
      </x:c>
      <x:c r="G732" s="69" t="str">
        <x:v>exact phrases first from the right and third from the left; physical positions L4 and L3 remain trained through fourth-from-left and second-from-right</x:v>
      </x:c>
      <x:c r="H732" s="69" t="str">
        <x:v>Yes</x:v>
      </x:c>
      <x:c r="I732" s="69" t="str">
        <x:v>replace ordering demonstration</x:v>
      </x:c>
      <x:c r="J732" s="69" t="str">
        <x:v>Four collinear objects, camera-view left to right: L1 yellow pen; L2 airplane toy with propellers; L3 blue tape ball; L4 green highlighter. Use approximately 10 cm centre-to-centre spacing; target at L4.</x:v>
      </x:c>
      <x:c r="K732" s="69" t="str">
        <x:v>green highlighter</x:v>
      </x:c>
      <x:c r="L732" s="69" t="str">
        <x:v>Home</x:v>
      </x:c>
      <x:c r="M732" s="69" t="str">
        <x:v>Pick up the green highlighter and place it in the bowl.</x:v>
      </x:c>
      <x:c r="N732" s="69" t="str">
        <x:v>airplane toy with propellers, yellow pen, green highlighter</x:v>
      </x:c>
      <x:c r="O732" s="69" t="str">
        <x:v>green highlighter</x:v>
      </x:c>
      <x:c r="P732" s="70" t="str">
        <x:v>Four-object ordinal grounding. All physical positions are trained, while only the exact ordinal-direction compositions used by the primary evaluation are absent.</x:v>
      </x:c>
    </x:row>
    <x:row r="733" ht="58" customHeight="1">
      <x:c r="A733" s="100" t="n">
        <x:v>731</x:v>
      </x:c>
      <x:c r="B733" s="69" t="str">
        <x:v>Ordering/Sequencing</x:v>
      </x:c>
      <x:c r="C733" s="69" t="str">
        <x:v>Pick up the object that is fourth from the left and place it in the bowl.</x:v>
      </x:c>
      <x:c r="D733" s="69" t="str">
        <x:v>Explicit ordinal grounding</x:v>
      </x:c>
      <x:c r="E733" s="69" t="str">
        <x:v>fourth from the left; physical target position L4</x:v>
      </x:c>
      <x:c r="F733" s="69" t="str">
        <x:v>ordering_n4</x:v>
      </x:c>
      <x:c r="G733" s="69" t="str">
        <x:v>exact phrases first from the right and third from the left; physical positions L4 and L3 remain trained through fourth-from-left and second-from-right</x:v>
      </x:c>
      <x:c r="H733" s="69" t="str">
        <x:v>Yes</x:v>
      </x:c>
      <x:c r="I733" s="69" t="str">
        <x:v>replace ordering demonstration</x:v>
      </x:c>
      <x:c r="J733" s="69" t="str">
        <x:v>Four collinear objects, camera-view left to right: L1 green highlighter; L2 airplane toy with propellers; L3 blue tape ball; L4 yellow pen. Use approximately 10 cm centre-to-centre spacing; target at L4.</x:v>
      </x:c>
      <x:c r="K733" s="69" t="str">
        <x:v>yellow pen</x:v>
      </x:c>
      <x:c r="L733" s="69" t="str">
        <x:v>Home</x:v>
      </x:c>
      <x:c r="M733" s="69" t="str">
        <x:v>Move the green highlighter into the bowl.</x:v>
      </x:c>
      <x:c r="N733" s="69" t="str">
        <x:v>blue tape ball, airplane toy with propellers, green highlighter</x:v>
      </x:c>
      <x:c r="O733" s="69" t="str">
        <x:v>green highlighter</x:v>
      </x:c>
      <x:c r="P733" s="70" t="str">
        <x:v>Four-object ordinal grounding. All physical positions are trained, while only the exact ordinal-direction compositions used by the primary evaluation are absent.</x:v>
      </x:c>
    </x:row>
    <x:row r="734" ht="58" customHeight="1">
      <x:c r="A734" s="100" t="n">
        <x:v>732</x:v>
      </x:c>
      <x:c r="B734" s="69" t="str">
        <x:v>Ordering/Sequencing</x:v>
      </x:c>
      <x:c r="C734" s="69" t="str">
        <x:v>Move the fourth from the left object into the bowl.</x:v>
      </x:c>
      <x:c r="D734" s="69" t="str">
        <x:v>Explicit ordinal grounding</x:v>
      </x:c>
      <x:c r="E734" s="69" t="str">
        <x:v>fourth from the left; physical target position L4</x:v>
      </x:c>
      <x:c r="F734" s="69" t="str">
        <x:v>ordering_n4</x:v>
      </x:c>
      <x:c r="G734" s="69" t="str">
        <x:v>exact phrases first from the right and third from the left; physical positions L4 and L3 remain trained through fourth-from-left and second-from-right</x:v>
      </x:c>
      <x:c r="H734" s="69" t="str">
        <x:v>Yes</x:v>
      </x:c>
      <x:c r="I734" s="69" t="str">
        <x:v>replace ordering demonstration</x:v>
      </x:c>
      <x:c r="J734" s="69" t="str">
        <x:v>Four collinear objects, camera-view left to right: L1 blue tape ball; L2 green highlighter; L3 yellow pen; L4 airplane toy with propellers. Use approximately 10 cm centre-to-centre spacing; target at L4.</x:v>
      </x:c>
      <x:c r="K734" s="69" t="str">
        <x:v>airplane toy with propellers</x:v>
      </x:c>
      <x:c r="L734" s="69" t="str">
        <x:v>Home</x:v>
      </x:c>
      <x:c r="M734" s="69" t="str">
        <x:v>Pick up the green highlighter and place it in the bowl.</x:v>
      </x:c>
      <x:c r="N734" s="69" t="str">
        <x:v>blue tape ball, yellow pen, green highlighter</x:v>
      </x:c>
      <x:c r="O734" s="69" t="str">
        <x:v>green highlighter</x:v>
      </x:c>
      <x:c r="P734" s="70" t="str">
        <x:v>Four-object ordinal grounding. All physical positions are trained, while only the exact ordinal-direction compositions used by the primary evaluation are absent.</x:v>
      </x:c>
    </x:row>
    <x:row r="735" ht="58" customHeight="1">
      <x:c r="A735" s="100" t="n">
        <x:v>733</x:v>
      </x:c>
      <x:c r="B735" s="69" t="str">
        <x:v>Ordering/Sequencing</x:v>
      </x:c>
      <x:c r="C735" s="69" t="str">
        <x:v>Put the object that is fourth from the left in the bowl.</x:v>
      </x:c>
      <x:c r="D735" s="69" t="str">
        <x:v>Explicit ordinal grounding</x:v>
      </x:c>
      <x:c r="E735" s="69" t="str">
        <x:v>fourth from the left; physical target position L4</x:v>
      </x:c>
      <x:c r="F735" s="69" t="str">
        <x:v>ordering_n4</x:v>
      </x:c>
      <x:c r="G735" s="69" t="str">
        <x:v>exact phrases first from the right and third from the left; physical positions L4 and L3 remain trained through fourth-from-left and second-from-right</x:v>
      </x:c>
      <x:c r="H735" s="69" t="str">
        <x:v>Yes</x:v>
      </x:c>
      <x:c r="I735" s="69" t="str">
        <x:v>replace ordering demonstration</x:v>
      </x:c>
      <x:c r="J735" s="69" t="str">
        <x:v>Four collinear objects, camera-view left to right: L1 airplane toy with propellers; L2 green highlighter; L3 yellow pen; L4 blue tape ball. Use approximately 10 cm centre-to-centre spacing; target at L4.</x:v>
      </x:c>
      <x:c r="K735" s="69" t="str">
        <x:v>blue tape ball</x:v>
      </x:c>
      <x:c r="L735" s="69" t="str">
        <x:v>Home</x:v>
      </x:c>
      <x:c r="M735" s="69" t="str">
        <x:v>Put the green highlighter in the bowl.</x:v>
      </x:c>
      <x:c r="N735" s="69" t="str">
        <x:v>yellow pen, airplane toy with propellers, green highlighter</x:v>
      </x:c>
      <x:c r="O735" s="69" t="str">
        <x:v>green highlighter</x:v>
      </x:c>
      <x:c r="P735" s="70" t="str">
        <x:v>Four-object ordinal grounding. All physical positions are trained, while only the exact ordinal-direction compositions used by the primary evaluation are absent.</x:v>
      </x:c>
    </x:row>
    <x:row r="736" ht="58" customHeight="1">
      <x:c r="A736" s="100" t="n">
        <x:v>734</x:v>
      </x:c>
      <x:c r="B736" s="69" t="str">
        <x:v>Ordering/Sequencing</x:v>
      </x:c>
      <x:c r="C736" s="69" t="str">
        <x:v>Pick up the object that is fourth from the left and place it in the bowl.</x:v>
      </x:c>
      <x:c r="D736" s="69" t="str">
        <x:v>Explicit ordinal grounding</x:v>
      </x:c>
      <x:c r="E736" s="69" t="str">
        <x:v>fourth from the left; physical target position L4</x:v>
      </x:c>
      <x:c r="F736" s="69" t="str">
        <x:v>ordering_n4</x:v>
      </x:c>
      <x:c r="G736" s="69" t="str">
        <x:v>exact phrases first from the right and third from the left; physical positions L4 and L3 remain trained through fourth-from-left and second-from-right</x:v>
      </x:c>
      <x:c r="H736" s="69" t="str">
        <x:v>Yes</x:v>
      </x:c>
      <x:c r="I736" s="69" t="str">
        <x:v>replace ordering demonstration</x:v>
      </x:c>
      <x:c r="J736" s="69" t="str">
        <x:v>Four collinear objects, camera-view left to right: L1 airplane toy with propellers; L2 blue tape ball; L3 yellow pen; L4 green highlighter. Use approximately 10 cm centre-to-centre spacing; target at L4.</x:v>
      </x:c>
      <x:c r="K736" s="69" t="str">
        <x:v>green highlighter</x:v>
      </x:c>
      <x:c r="L736" s="69" t="str">
        <x:v>Home</x:v>
      </x:c>
      <x:c r="M736" s="69" t="str">
        <x:v>Move the green highlighter into the bowl.</x:v>
      </x:c>
      <x:c r="N736" s="69" t="str">
        <x:v>yellow pen, blue tape ball, green highlighter</x:v>
      </x:c>
      <x:c r="O736" s="69" t="str">
        <x:v>green highlighter</x:v>
      </x:c>
      <x:c r="P736" s="70" t="str">
        <x:v>Four-object ordinal grounding. All physical positions are trained, while only the exact ordinal-direction compositions used by the primary evaluation are absent.</x:v>
      </x:c>
    </x:row>
    <x:row r="737" ht="58" customHeight="1">
      <x:c r="A737" s="100" t="n">
        <x:v>735</x:v>
      </x:c>
      <x:c r="B737" s="69" t="str">
        <x:v>Ordering/Sequencing</x:v>
      </x:c>
      <x:c r="C737" s="69" t="str">
        <x:v>Move the fourth from the left object into the bowl.</x:v>
      </x:c>
      <x:c r="D737" s="69" t="str">
        <x:v>Explicit ordinal grounding</x:v>
      </x:c>
      <x:c r="E737" s="69" t="str">
        <x:v>fourth from the left; physical target position L4</x:v>
      </x:c>
      <x:c r="F737" s="69" t="str">
        <x:v>ordering_n4</x:v>
      </x:c>
      <x:c r="G737" s="69" t="str">
        <x:v>exact phrases first from the right and third from the left; physical positions L4 and L3 remain trained through fourth-from-left and second-from-right</x:v>
      </x:c>
      <x:c r="H737" s="69" t="str">
        <x:v>Yes</x:v>
      </x:c>
      <x:c r="I737" s="69" t="str">
        <x:v>replace ordering demonstration</x:v>
      </x:c>
      <x:c r="J737" s="69" t="str">
        <x:v>Four collinear objects, camera-view left to right: L1 airplane toy with propellers; L2 blue tape ball; L3 green highlighter; L4 yellow pen. Use approximately 10 cm centre-to-centre spacing; target at L4.</x:v>
      </x:c>
      <x:c r="K737" s="69" t="str">
        <x:v>yellow pen</x:v>
      </x:c>
      <x:c r="L737" s="69" t="str">
        <x:v>Recovery</x:v>
      </x:c>
      <x:c r="M737" s="69" t="str">
        <x:v>Pick up the green highlighter and place it in the bowl.</x:v>
      </x:c>
      <x:c r="N737" s="69" t="str">
        <x:v>yellow pen, airplane toy with propellers, green highlighter, blue tape ball</x:v>
      </x:c>
      <x:c r="O737" s="69" t="str">
        <x:v>green highlighter</x:v>
      </x:c>
      <x:c r="P737" s="70" t="str">
        <x:v>Four-object ordinal grounding. All physical positions are trained, while only the exact ordinal-direction compositions used by the primary evaluation are absent.</x:v>
      </x:c>
    </x:row>
    <x:row r="738" ht="58" customHeight="1">
      <x:c r="A738" s="100" t="n">
        <x:v>736</x:v>
      </x:c>
      <x:c r="B738" s="69" t="str">
        <x:v>Ordering/Sequencing</x:v>
      </x:c>
      <x:c r="C738" s="69" t="str">
        <x:v>Put the object that is fourth from the left in the bowl.</x:v>
      </x:c>
      <x:c r="D738" s="69" t="str">
        <x:v>Explicit ordinal grounding</x:v>
      </x:c>
      <x:c r="E738" s="69" t="str">
        <x:v>fourth from the left; physical target position L4</x:v>
      </x:c>
      <x:c r="F738" s="69" t="str">
        <x:v>ordering_n4</x:v>
      </x:c>
      <x:c r="G738" s="69" t="str">
        <x:v>exact phrases first from the right and third from the left; physical positions L4 and L3 remain trained through fourth-from-left and second-from-right</x:v>
      </x:c>
      <x:c r="H738" s="69" t="str">
        <x:v>Yes</x:v>
      </x:c>
      <x:c r="I738" s="69" t="str">
        <x:v>replace ordering demonstration</x:v>
      </x:c>
      <x:c r="J738" s="69" t="str">
        <x:v>Four collinear objects, camera-view left to right: L1 green highlighter; L2 yellow pen; L3 blue tape ball; L4 airplane toy with propellers. Use approximately 10 cm centre-to-centre spacing; target at L4.</x:v>
      </x:c>
      <x:c r="K738" s="69" t="str">
        <x:v>airplane toy with propellers</x:v>
      </x:c>
      <x:c r="L738" s="69" t="str">
        <x:v>Recovery</x:v>
      </x:c>
      <x:c r="M738" s="69" t="str">
        <x:v>Move the green highlighter into the bowl.</x:v>
      </x:c>
      <x:c r="N738" s="69" t="str">
        <x:v>yellow pen, blue tape ball, green highlighter, airplane toy with propellers</x:v>
      </x:c>
      <x:c r="O738" s="69" t="str">
        <x:v>green highlighter</x:v>
      </x:c>
      <x:c r="P738" s="70" t="str">
        <x:v>Four-object ordinal grounding. All physical positions are trained, while only the exact ordinal-direction compositions used by the primary evaluation are absent.</x:v>
      </x:c>
    </x:row>
    <x:row r="739" ht="58" customHeight="1">
      <x:c r="A739" s="100" t="n">
        <x:v>737</x:v>
      </x:c>
      <x:c r="B739" s="69" t="str">
        <x:v>Ordering/Sequencing</x:v>
      </x:c>
      <x:c r="C739" s="69" t="str">
        <x:v>Pick up the object that is fourth from the left and place it in the bowl.</x:v>
      </x:c>
      <x:c r="D739" s="69" t="str">
        <x:v>Explicit ordinal grounding</x:v>
      </x:c>
      <x:c r="E739" s="69" t="str">
        <x:v>fourth from the left; physical target position L4</x:v>
      </x:c>
      <x:c r="F739" s="69" t="str">
        <x:v>ordering_n4</x:v>
      </x:c>
      <x:c r="G739" s="69" t="str">
        <x:v>exact phrases first from the right and third from the left; physical positions L4 and L3 remain trained through fourth-from-left and second-from-right</x:v>
      </x:c>
      <x:c r="H739" s="69" t="str">
        <x:v>Yes</x:v>
      </x:c>
      <x:c r="I739" s="69" t="str">
        <x:v>replace ordering demonstration</x:v>
      </x:c>
      <x:c r="J739" s="69" t="str">
        <x:v>Four collinear objects, camera-view left to right: L1 green highlighter; L2 yellow pen; L3 airplane toy with propellers; L4 blue tape ball. Use approximately 10 cm centre-to-centre spacing; target at L4.</x:v>
      </x:c>
      <x:c r="K739" s="69" t="str">
        <x:v>blue tape ball</x:v>
      </x:c>
      <x:c r="L739" s="69" t="str">
        <x:v>Recovery</x:v>
      </x:c>
      <x:c r="M739" s="69" t="str">
        <x:v>Put the green highlighter in the bowl.</x:v>
      </x:c>
      <x:c r="N739" s="69" t="str">
        <x:v>airplane toy with propellers, blue tape ball, green highlighter, yellow pen</x:v>
      </x:c>
      <x:c r="O739" s="69" t="str">
        <x:v>green highlighter</x:v>
      </x:c>
      <x:c r="P739" s="70" t="str">
        <x:v>Four-object ordinal grounding. All physical positions are trained, while only the exact ordinal-direction compositions used by the primary evaluation are absent.</x:v>
      </x:c>
    </x:row>
    <x:row r="740" ht="58" customHeight="1">
      <x:c r="A740" s="100" t="n">
        <x:v>738</x:v>
      </x:c>
      <x:c r="B740" s="69" t="str">
        <x:v>Ordering/Sequencing</x:v>
      </x:c>
      <x:c r="C740" s="69" t="str">
        <x:v>Move the fourth from the left object into the bowl.</x:v>
      </x:c>
      <x:c r="D740" s="69" t="str">
        <x:v>Explicit ordinal grounding</x:v>
      </x:c>
      <x:c r="E740" s="69" t="str">
        <x:v>fourth from the left; physical target position L4</x:v>
      </x:c>
      <x:c r="F740" s="69" t="str">
        <x:v>ordering_n4</x:v>
      </x:c>
      <x:c r="G740" s="69" t="str">
        <x:v>exact phrases first from the right and third from the left; physical positions L4 and L3 remain trained through fourth-from-left and second-from-right</x:v>
      </x:c>
      <x:c r="H740" s="69" t="str">
        <x:v>Yes</x:v>
      </x:c>
      <x:c r="I740" s="69" t="str">
        <x:v>replace ordering demonstration</x:v>
      </x:c>
      <x:c r="J740" s="69" t="str">
        <x:v>Four collinear objects, camera-view left to right: L1 blue tape ball; L2 yellow pen; L3 airplane toy with propellers; L4 green highlighter. Use approximately 10 cm centre-to-centre spacing; target at L4.</x:v>
      </x:c>
      <x:c r="K740" s="69" t="str">
        <x:v>green highlighter</x:v>
      </x:c>
      <x:c r="L740" s="69" t="str">
        <x:v>Home</x:v>
      </x:c>
      <x:c r="M740" s="69" t="str">
        <x:v>Pick up the green highlighter and place it in the bowl.</x:v>
      </x:c>
      <x:c r="N740" s="69" t="str">
        <x:v>airplane toy with propellers, blue tape ball, yellow pen, green highlighter</x:v>
      </x:c>
      <x:c r="O740" s="69" t="str">
        <x:v>green highlighter</x:v>
      </x:c>
      <x:c r="P740" s="70" t="str">
        <x:v>Four-object ordinal grounding. All physical positions are trained, while only the exact ordinal-direction compositions used by the primary evaluation are absent.</x:v>
      </x:c>
    </x:row>
    <x:row r="741" ht="58" customHeight="1">
      <x:c r="A741" s="100" t="n">
        <x:v>739</x:v>
      </x:c>
      <x:c r="B741" s="69" t="str">
        <x:v>Ordering/Sequencing</x:v>
      </x:c>
      <x:c r="C741" s="69" t="str">
        <x:v>Put the object that is fourth from the left in the bowl.</x:v>
      </x:c>
      <x:c r="D741" s="69" t="str">
        <x:v>Explicit ordinal grounding</x:v>
      </x:c>
      <x:c r="E741" s="69" t="str">
        <x:v>fourth from the left; physical target position L4</x:v>
      </x:c>
      <x:c r="F741" s="69" t="str">
        <x:v>ordering_n4</x:v>
      </x:c>
      <x:c r="G741" s="69" t="str">
        <x:v>exact phrases first from the right and third from the left; physical positions L4 and L3 remain trained through fourth-from-left and second-from-right</x:v>
      </x:c>
      <x:c r="H741" s="69" t="str">
        <x:v>Yes</x:v>
      </x:c>
      <x:c r="I741" s="69" t="str">
        <x:v>replace ordering demonstration</x:v>
      </x:c>
      <x:c r="J741" s="69" t="str">
        <x:v>Four collinear objects, camera-view left to right: L1 blue tape ball; L2 green highlighter; L3 airplane toy with propellers; L4 yellow pen. Use approximately 10 cm centre-to-centre spacing; target at L4.</x:v>
      </x:c>
      <x:c r="K741" s="69" t="str">
        <x:v>yellow pen</x:v>
      </x:c>
      <x:c r="L741" s="69" t="str">
        <x:v>Home</x:v>
      </x:c>
      <x:c r="M741" s="69" t="str">
        <x:v>Move the green highlighter into the bowl.</x:v>
      </x:c>
      <x:c r="N741" s="69" t="str">
        <x:v>airplane toy with propellers, yellow pen, blue tape ball, green highlighter</x:v>
      </x:c>
      <x:c r="O741" s="69" t="str">
        <x:v>green highlighter</x:v>
      </x:c>
      <x:c r="P741" s="70" t="str">
        <x:v>Four-object ordinal grounding. All physical positions are trained, while only the exact ordinal-direction compositions used by the primary evaluation are absent.</x:v>
      </x:c>
    </x:row>
    <x:row r="742" ht="58" customHeight="1">
      <x:c r="A742" s="100" t="n">
        <x:v>740</x:v>
      </x:c>
      <x:c r="B742" s="69" t="str">
        <x:v>Ordering/Sequencing</x:v>
      </x:c>
      <x:c r="C742" s="69" t="str">
        <x:v>Pick up the object that is fourth from the left and place it in the bowl.</x:v>
      </x:c>
      <x:c r="D742" s="69" t="str">
        <x:v>Explicit ordinal grounding</x:v>
      </x:c>
      <x:c r="E742" s="69" t="str">
        <x:v>fourth from the left; physical target position L4</x:v>
      </x:c>
      <x:c r="F742" s="69" t="str">
        <x:v>ordering_n4</x:v>
      </x:c>
      <x:c r="G742" s="69" t="str">
        <x:v>exact phrases first from the right and third from the left; physical positions L4 and L3 remain trained through fourth-from-left and second-from-right</x:v>
      </x:c>
      <x:c r="H742" s="69" t="str">
        <x:v>Yes</x:v>
      </x:c>
      <x:c r="I742" s="69" t="str">
        <x:v>replace ordering demonstration</x:v>
      </x:c>
      <x:c r="J742" s="69" t="str">
        <x:v>Four collinear objects, camera-view left to right: L1 yellow pen; L2 blue tape ball; L3 green highlighter; L4 airplane toy with propellers. Use approximately 10 cm centre-to-centre spacing; target at L4.</x:v>
      </x:c>
      <x:c r="K742" s="69" t="str">
        <x:v>airplane toy with propellers</x:v>
      </x:c>
      <x:c r="L742" s="69" t="str">
        <x:v>Home</x:v>
      </x:c>
      <x:c r="M742" s="69" t="str">
        <x:v>Put the green highlighter in the bowl.</x:v>
      </x:c>
      <x:c r="N742" s="69" t="str">
        <x:v>blue tape ball, airplane toy with propellers, yellow pen, green highlighter</x:v>
      </x:c>
      <x:c r="O742" s="69" t="str">
        <x:v>green highlighter</x:v>
      </x:c>
      <x:c r="P742" s="70" t="str">
        <x:v>Four-object ordinal grounding. All physical positions are trained, while only the exact ordinal-direction compositions used by the primary evaluation are absent.</x:v>
      </x:c>
    </x:row>
    <x:row r="743" ht="58" customHeight="1">
      <x:c r="A743" s="100" t="n">
        <x:v>741</x:v>
      </x:c>
      <x:c r="B743" s="69" t="str">
        <x:v>Ordering/Sequencing</x:v>
      </x:c>
      <x:c r="C743" s="69" t="str">
        <x:v>Move the fourth from the left object into the bowl.</x:v>
      </x:c>
      <x:c r="D743" s="69" t="str">
        <x:v>Explicit ordinal grounding</x:v>
      </x:c>
      <x:c r="E743" s="69" t="str">
        <x:v>fourth from the left; physical target position L4</x:v>
      </x:c>
      <x:c r="F743" s="69" t="str">
        <x:v>ordering_n4</x:v>
      </x:c>
      <x:c r="G743" s="69" t="str">
        <x:v>exact phrases first from the right and third from the left; physical positions L4 and L3 remain trained through fourth-from-left and second-from-right</x:v>
      </x:c>
      <x:c r="H743" s="69" t="str">
        <x:v>Yes</x:v>
      </x:c>
      <x:c r="I743" s="69" t="str">
        <x:v>replace ordering demonstration</x:v>
      </x:c>
      <x:c r="J743" s="69" t="str">
        <x:v>Four collinear objects, camera-view left to right: L1 yellow pen; L2 airplane toy with propellers; L3 green highlighter; L4 blue tape ball. Use approximately 10 cm centre-to-centre spacing; target at L4.</x:v>
      </x:c>
      <x:c r="K743" s="69" t="str">
        <x:v>blue tape ball</x:v>
      </x:c>
      <x:c r="L743" s="69" t="str">
        <x:v>Home</x:v>
      </x:c>
      <x:c r="M743" s="69" t="str">
        <x:v>Pick up the green highlighter and place it in the bowl.</x:v>
      </x:c>
      <x:c r="N743" s="69" t="str">
        <x:v>blue tape ball, yellow pen, airplane toy with propellers, green highlighter</x:v>
      </x:c>
      <x:c r="O743" s="69" t="str">
        <x:v>green highlighter</x:v>
      </x:c>
      <x:c r="P743" s="70" t="str">
        <x:v>Four-object ordinal grounding. All physical positions are trained, while only the exact ordinal-direction compositions used by the primary evaluation are absent.</x:v>
      </x:c>
    </x:row>
    <x:row r="744" ht="58" customHeight="1">
      <x:c r="A744" s="100" t="n">
        <x:v>742</x:v>
      </x:c>
      <x:c r="B744" s="69" t="str">
        <x:v>Ordering/Sequencing</x:v>
      </x:c>
      <x:c r="C744" s="69" t="str">
        <x:v>Put the object that is fourth from the left in the bowl.</x:v>
      </x:c>
      <x:c r="D744" s="69" t="str">
        <x:v>Explicit ordinal grounding</x:v>
      </x:c>
      <x:c r="E744" s="69" t="str">
        <x:v>fourth from the left; physical target position L4</x:v>
      </x:c>
      <x:c r="F744" s="69" t="str">
        <x:v>ordering_n4</x:v>
      </x:c>
      <x:c r="G744" s="69" t="str">
        <x:v>exact phrases first from the right and third from the left; physical positions L4 and L3 remain trained through fourth-from-left and second-from-right</x:v>
      </x:c>
      <x:c r="H744" s="69" t="str">
        <x:v>Yes</x:v>
      </x:c>
      <x:c r="I744" s="69" t="str">
        <x:v>replace ordering demonstration</x:v>
      </x:c>
      <x:c r="J744" s="69" t="str">
        <x:v>Four collinear objects, camera-view left to right: L1 yellow pen; L2 airplane toy with propellers; L3 blue tape ball; L4 green highlighter. Use approximately 10 cm centre-to-centre spacing; target at L4.</x:v>
      </x:c>
      <x:c r="K744" s="69" t="str">
        <x:v>green highlighter</x:v>
      </x:c>
      <x:c r="L744" s="69" t="str">
        <x:v>Home</x:v>
      </x:c>
      <x:c r="M744" s="69" t="str">
        <x:v>Move the green highlighter into the bowl.</x:v>
      </x:c>
      <x:c r="N744" s="69" t="str">
        <x:v>yellow pen, airplane toy with propellers, blue tape ball, green highlighter</x:v>
      </x:c>
      <x:c r="O744" s="69" t="str">
        <x:v>green highlighter</x:v>
      </x:c>
      <x:c r="P744" s="70" t="str">
        <x:v>Four-object ordinal grounding. All physical positions are trained, while only the exact ordinal-direction compositions used by the primary evaluation are absent.</x:v>
      </x:c>
    </x:row>
    <x:row r="745" ht="58" customHeight="1">
      <x:c r="A745" s="100" t="n">
        <x:v>743</x:v>
      </x:c>
      <x:c r="B745" s="69" t="str">
        <x:v>Ordering/Sequencing</x:v>
      </x:c>
      <x:c r="C745" s="69" t="str">
        <x:v>Pick up the object that is fourth from the left and place it in the bowl.</x:v>
      </x:c>
      <x:c r="D745" s="69" t="str">
        <x:v>Explicit ordinal grounding</x:v>
      </x:c>
      <x:c r="E745" s="69" t="str">
        <x:v>fourth from the left; physical target position L4</x:v>
      </x:c>
      <x:c r="F745" s="69" t="str">
        <x:v>ordering_n4</x:v>
      </x:c>
      <x:c r="G745" s="69" t="str">
        <x:v>exact phrases first from the right and third from the left; physical positions L4 and L3 remain trained through fourth-from-left and second-from-right</x:v>
      </x:c>
      <x:c r="H745" s="69" t="str">
        <x:v>Yes</x:v>
      </x:c>
      <x:c r="I745" s="69" t="str">
        <x:v>replace ordering demonstration</x:v>
      </x:c>
      <x:c r="J745" s="69" t="str">
        <x:v>Four collinear objects, camera-view left to right: L1 green highlighter; L2 airplane toy with propellers; L3 blue tape ball; L4 yellow pen. Use approximately 10 cm centre-to-centre spacing; target at L4.</x:v>
      </x:c>
      <x:c r="K745" s="69" t="str">
        <x:v>yellow pen</x:v>
      </x:c>
      <x:c r="L745" s="69" t="str">
        <x:v>Home</x:v>
      </x:c>
      <x:c r="M745" s="69" t="str">
        <x:v>Put the green highlighter in the bowl.</x:v>
      </x:c>
      <x:c r="N745" s="69" t="str">
        <x:v>yellow pen, blue tape ball, airplane toy with propellers, green highlighter</x:v>
      </x:c>
      <x:c r="O745" s="69" t="str">
        <x:v>green highlighter</x:v>
      </x:c>
      <x:c r="P745" s="70" t="str">
        <x:v>Four-object ordinal grounding. All physical positions are trained, while only the exact ordinal-direction compositions used by the primary evaluation are absent.</x:v>
      </x:c>
    </x:row>
    <x:row r="746" ht="58" customHeight="1">
      <x:c r="A746" s="100" t="n">
        <x:v>744</x:v>
      </x:c>
      <x:c r="B746" s="69" t="str">
        <x:v>Ordering/Sequencing</x:v>
      </x:c>
      <x:c r="C746" s="69" t="str">
        <x:v>Move the fourth from the left object into the bowl.</x:v>
      </x:c>
      <x:c r="D746" s="69" t="str">
        <x:v>Explicit ordinal grounding</x:v>
      </x:c>
      <x:c r="E746" s="69" t="str">
        <x:v>fourth from the left; physical target position L4</x:v>
      </x:c>
      <x:c r="F746" s="69" t="str">
        <x:v>ordering_n4</x:v>
      </x:c>
      <x:c r="G746" s="69" t="str">
        <x:v>exact phrases first from the right and third from the left; physical positions L4 and L3 remain trained through fourth-from-left and second-from-right</x:v>
      </x:c>
      <x:c r="H746" s="69" t="str">
        <x:v>Yes</x:v>
      </x:c>
      <x:c r="I746" s="69" t="str">
        <x:v>replace ordering demonstration</x:v>
      </x:c>
      <x:c r="J746" s="69" t="str">
        <x:v>Four collinear objects, camera-view left to right: L1 blue tape ball; L2 green highlighter; L3 yellow pen; L4 airplane toy with propellers. Use approximately 10 cm centre-to-centre spacing; target at L4.</x:v>
      </x:c>
      <x:c r="K746" s="69" t="str">
        <x:v>airplane toy with propellers</x:v>
      </x:c>
      <x:c r="L746" s="69" t="str">
        <x:v>Home</x:v>
      </x:c>
      <x:c r="M746" s="69" t="str">
        <x:v>Pick up the green highlighter and place it in the bowl.</x:v>
      </x:c>
      <x:c r="N746" s="69" t="str">
        <x:v>airplane toy with propellers, blue tape ball, yellow pen, green highlighter</x:v>
      </x:c>
      <x:c r="O746" s="69" t="str">
        <x:v>green highlighter</x:v>
      </x:c>
      <x:c r="P746" s="70" t="str">
        <x:v>Four-object ordinal grounding. All physical positions are trained, while only the exact ordinal-direction compositions used by the primary evaluation are absent.</x:v>
      </x:c>
    </x:row>
    <x:row r="747" ht="58" customHeight="1">
      <x:c r="A747" s="100" t="n">
        <x:v>745</x:v>
      </x:c>
      <x:c r="B747" s="69" t="str">
        <x:v>Ordering/Sequencing</x:v>
      </x:c>
      <x:c r="C747" s="69" t="str">
        <x:v>Put the object that is fourth from the left in the bowl.</x:v>
      </x:c>
      <x:c r="D747" s="69" t="str">
        <x:v>Explicit ordinal grounding</x:v>
      </x:c>
      <x:c r="E747" s="69" t="str">
        <x:v>fourth from the left; physical target position L4</x:v>
      </x:c>
      <x:c r="F747" s="69" t="str">
        <x:v>ordering_n4</x:v>
      </x:c>
      <x:c r="G747" s="69" t="str">
        <x:v>exact phrases first from the right and third from the left; physical positions L4 and L3 remain trained through fourth-from-left and second-from-right</x:v>
      </x:c>
      <x:c r="H747" s="69" t="str">
        <x:v>Yes</x:v>
      </x:c>
      <x:c r="I747" s="69" t="str">
        <x:v>replace ordering demonstration</x:v>
      </x:c>
      <x:c r="J747" s="69" t="str">
        <x:v>Four collinear objects, camera-view left to right: L1 airplane toy with propellers; L2 green highlighter; L3 yellow pen; L4 blue tape ball. Use approximately 10 cm centre-to-centre spacing; target at L4.</x:v>
      </x:c>
      <x:c r="K747" s="69" t="str">
        <x:v>blue tape ball</x:v>
      </x:c>
      <x:c r="L747" s="69" t="str">
        <x:v>Home</x:v>
      </x:c>
      <x:c r="M747" s="69" t="str">
        <x:v>Move the green highlighter into the bowl.</x:v>
      </x:c>
      <x:c r="N747" s="69" t="str">
        <x:v>airplane toy with propellers, yellow pen, blue tape ball, green highlighter</x:v>
      </x:c>
      <x:c r="O747" s="69" t="str">
        <x:v>green highlighter</x:v>
      </x:c>
      <x:c r="P747" s="70" t="str">
        <x:v>Four-object ordinal grounding. All physical positions are trained, while only the exact ordinal-direction compositions used by the primary evaluation are absent.</x:v>
      </x:c>
    </x:row>
    <x:row r="748" ht="58" customHeight="1">
      <x:c r="A748" s="100" t="n">
        <x:v>746</x:v>
      </x:c>
      <x:c r="B748" s="69" t="str">
        <x:v>Ordering/Sequencing</x:v>
      </x:c>
      <x:c r="C748" s="69" t="str">
        <x:v>Pick up the object that is fourth from the left and place it in the bowl.</x:v>
      </x:c>
      <x:c r="D748" s="69" t="str">
        <x:v>Explicit ordinal grounding</x:v>
      </x:c>
      <x:c r="E748" s="69" t="str">
        <x:v>fourth from the left; physical target position L4</x:v>
      </x:c>
      <x:c r="F748" s="69" t="str">
        <x:v>ordering_n4</x:v>
      </x:c>
      <x:c r="G748" s="69" t="str">
        <x:v>exact phrases first from the right and third from the left; physical positions L4 and L3 remain trained through fourth-from-left and second-from-right</x:v>
      </x:c>
      <x:c r="H748" s="69" t="str">
        <x:v>Yes</x:v>
      </x:c>
      <x:c r="I748" s="69" t="str">
        <x:v>replace ordering demonstration</x:v>
      </x:c>
      <x:c r="J748" s="69" t="str">
        <x:v>Four collinear objects, camera-view left to right: L1 airplane toy with propellers; L2 blue tape ball; L3 yellow pen; L4 green highlighter. Use approximately 10 cm centre-to-centre spacing; target at L4.</x:v>
      </x:c>
      <x:c r="K748" s="69" t="str">
        <x:v>green highlighter</x:v>
      </x:c>
      <x:c r="L748" s="69" t="str">
        <x:v>Home</x:v>
      </x:c>
      <x:c r="M748" s="69" t="str">
        <x:v>Put the green highlighter in the bowl.</x:v>
      </x:c>
      <x:c r="N748" s="69" t="str">
        <x:v>blue tape ball, airplane toy with propellers, yellow pen, green highlighter</x:v>
      </x:c>
      <x:c r="O748" s="69" t="str">
        <x:v>green highlighter</x:v>
      </x:c>
      <x:c r="P748" s="70" t="str">
        <x:v>Four-object ordinal grounding. All physical positions are trained, while only the exact ordinal-direction compositions used by the primary evaluation are absent.</x:v>
      </x:c>
    </x:row>
    <x:row r="749" ht="58" customHeight="1">
      <x:c r="A749" s="100" t="n">
        <x:v>747</x:v>
      </x:c>
      <x:c r="B749" s="69" t="str">
        <x:v>Ordering/Sequencing</x:v>
      </x:c>
      <x:c r="C749" s="69" t="str">
        <x:v>Move the fourth from the left object into the bowl.</x:v>
      </x:c>
      <x:c r="D749" s="69" t="str">
        <x:v>Explicit ordinal grounding</x:v>
      </x:c>
      <x:c r="E749" s="69" t="str">
        <x:v>fourth from the left; physical target position L4</x:v>
      </x:c>
      <x:c r="F749" s="69" t="str">
        <x:v>ordering_n4</x:v>
      </x:c>
      <x:c r="G749" s="69" t="str">
        <x:v>exact phrases first from the right and third from the left; physical positions L4 and L3 remain trained through fourth-from-left and second-from-right</x:v>
      </x:c>
      <x:c r="H749" s="69" t="str">
        <x:v>Yes</x:v>
      </x:c>
      <x:c r="I749" s="69" t="str">
        <x:v>replace ordering demonstration</x:v>
      </x:c>
      <x:c r="J749" s="69" t="str">
        <x:v>Four collinear objects, camera-view left to right: L1 airplane toy with propellers; L2 blue tape ball; L3 green highlighter; L4 yellow pen. Use approximately 10 cm centre-to-centre spacing; target at L4.</x:v>
      </x:c>
      <x:c r="K749" s="69" t="str">
        <x:v>yellow pen</x:v>
      </x:c>
      <x:c r="L749" s="69" t="str">
        <x:v>Home</x:v>
      </x:c>
      <x:c r="M749" s="69" t="str">
        <x:v>Pick up the green highlighter and place it in the bowl.</x:v>
      </x:c>
      <x:c r="N749" s="69" t="str">
        <x:v>blue tape ball, yellow pen, airplane toy with propellers, green highlighter</x:v>
      </x:c>
      <x:c r="O749" s="69" t="str">
        <x:v>green highlighter</x:v>
      </x:c>
      <x:c r="P749" s="70" t="str">
        <x:v>Four-object ordinal grounding. All physical positions are trained, while only the exact ordinal-direction compositions used by the primary evaluation are absent.</x:v>
      </x:c>
    </x:row>
    <x:row r="750" ht="58" customHeight="1">
      <x:c r="A750" s="100" t="n">
        <x:v>748</x:v>
      </x:c>
      <x:c r="B750" s="69" t="str">
        <x:v>Ordering/Sequencing</x:v>
      </x:c>
      <x:c r="C750" s="69" t="str">
        <x:v>Put the object that is fourth from the left in the bowl.</x:v>
      </x:c>
      <x:c r="D750" s="69" t="str">
        <x:v>Explicit ordinal grounding</x:v>
      </x:c>
      <x:c r="E750" s="69" t="str">
        <x:v>fourth from the left; physical target position L4</x:v>
      </x:c>
      <x:c r="F750" s="69" t="str">
        <x:v>ordering_n4</x:v>
      </x:c>
      <x:c r="G750" s="69" t="str">
        <x:v>exact phrases first from the right and third from the left; physical positions L4 and L3 remain trained through fourth-from-left and second-from-right</x:v>
      </x:c>
      <x:c r="H750" s="69" t="str">
        <x:v>Yes</x:v>
      </x:c>
      <x:c r="I750" s="69" t="str">
        <x:v>replace ordering demonstration</x:v>
      </x:c>
      <x:c r="J750" s="69" t="str">
        <x:v>Four collinear objects, camera-view left to right: L1 green highlighter; L2 yellow pen; L3 blue tape ball; L4 airplane toy with propellers. Use approximately 10 cm centre-to-centre spacing; target at L4.</x:v>
      </x:c>
      <x:c r="K750" s="69" t="str">
        <x:v>airplane toy with propellers</x:v>
      </x:c>
      <x:c r="L750" s="69" t="str">
        <x:v>Recovery</x:v>
      </x:c>
      <x:c r="M750" s="69" t="str">
        <x:v>Move the green highlighter into the bowl.</x:v>
      </x:c>
      <x:c r="N750" s="69" t="str">
        <x:v>yellow pen, airplane toy with propellers, blue tape ball, green highlighter</x:v>
      </x:c>
      <x:c r="O750" s="69" t="str">
        <x:v>green highlighter</x:v>
      </x:c>
      <x:c r="P750" s="70" t="str">
        <x:v>Four-object ordinal grounding. All physical positions are trained, while only the exact ordinal-direction compositions used by the primary evaluation are absent.</x:v>
      </x:c>
    </x:row>
    <x:row r="751" ht="58" customHeight="1">
      <x:c r="A751" s="100" t="n">
        <x:v>749</x:v>
      </x:c>
      <x:c r="B751" s="69" t="str">
        <x:v>Ordering/Sequencing</x:v>
      </x:c>
      <x:c r="C751" s="69" t="str">
        <x:v>Pick up the object that is fourth from the left and place it in the bowl.</x:v>
      </x:c>
      <x:c r="D751" s="69" t="str">
        <x:v>Explicit ordinal grounding</x:v>
      </x:c>
      <x:c r="E751" s="69" t="str">
        <x:v>fourth from the left; physical target position L4</x:v>
      </x:c>
      <x:c r="F751" s="69" t="str">
        <x:v>ordering_n4</x:v>
      </x:c>
      <x:c r="G751" s="69" t="str">
        <x:v>exact phrases first from the right and third from the left; physical positions L4 and L3 remain trained through fourth-from-left and second-from-right</x:v>
      </x:c>
      <x:c r="H751" s="69" t="str">
        <x:v>Yes</x:v>
      </x:c>
      <x:c r="I751" s="69" t="str">
        <x:v>replace ordering demonstration</x:v>
      </x:c>
      <x:c r="J751" s="69" t="str">
        <x:v>Four collinear objects, camera-view left to right: L1 green highlighter; L2 yellow pen; L3 airplane toy with propellers; L4 blue tape ball. Use approximately 10 cm centre-to-centre spacing; target at L4.</x:v>
      </x:c>
      <x:c r="K751" s="69" t="str">
        <x:v>blue tape ball</x:v>
      </x:c>
      <x:c r="L751" s="69" t="str">
        <x:v>Recovery</x:v>
      </x:c>
      <x:c r="M751" s="69" t="str">
        <x:v>Put the green highlighter in the bowl.</x:v>
      </x:c>
      <x:c r="N751" s="69" t="str">
        <x:v>yellow pen, blue tape ball, airplane toy with propellers, green highlighter</x:v>
      </x:c>
      <x:c r="O751" s="69" t="str">
        <x:v>green highlighter</x:v>
      </x:c>
      <x:c r="P751" s="70" t="str">
        <x:v>Four-object ordinal grounding. All physical positions are trained, while only the exact ordinal-direction compositions used by the primary evaluation are absent.</x:v>
      </x:c>
    </x:row>
    <x:row r="752" ht="58" customHeight="1">
      <x:c r="A752" s="100" t="n">
        <x:v>750</x:v>
      </x:c>
      <x:c r="B752" s="69" t="str">
        <x:v>Ordering/Sequencing</x:v>
      </x:c>
      <x:c r="C752" s="69" t="str">
        <x:v>Move the fourth from the left object into the bowl.</x:v>
      </x:c>
      <x:c r="D752" s="69" t="str">
        <x:v>Explicit ordinal grounding</x:v>
      </x:c>
      <x:c r="E752" s="69" t="str">
        <x:v>fourth from the left; physical target position L4</x:v>
      </x:c>
      <x:c r="F752" s="69" t="str">
        <x:v>ordering_n4</x:v>
      </x:c>
      <x:c r="G752" s="69" t="str">
        <x:v>exact phrases first from the right and third from the left; physical positions L4 and L3 remain trained through fourth-from-left and second-from-right</x:v>
      </x:c>
      <x:c r="H752" s="69" t="str">
        <x:v>Yes</x:v>
      </x:c>
      <x:c r="I752" s="69" t="str">
        <x:v>replace ordering demonstration</x:v>
      </x:c>
      <x:c r="J752" s="69" t="str">
        <x:v>Four collinear objects, camera-view left to right: L1 blue tape ball; L2 yellow pen; L3 airplane toy with propellers; L4 green highlighter. Use approximately 10 cm centre-to-centre spacing; target at L4.</x:v>
      </x:c>
      <x:c r="K752" s="69" t="str">
        <x:v>green highlighter</x:v>
      </x:c>
      <x:c r="L752" s="69" t="str">
        <x:v>Home</x:v>
      </x:c>
      <x:c r="M752" s="69" t="str">
        <x:v>Move the first item counted from the left into the bowl.</x:v>
      </x:c>
      <x:c r="N752" s="69" t="str">
        <x:v>yellow pen, airplane toy with propellers, blue tape ball, green highlighter</x:v>
      </x:c>
      <x:c r="O752" s="69" t="str">
        <x:v>yellow pen</x:v>
      </x:c>
      <x:c r="P752" s="70" t="str">
        <x:v>Four-object ordinal grounding. All physical positions are trained, while only the exact ordinal-direction compositions used by the primary evaluation are absent.</x:v>
      </x:c>
    </x:row>
    <x:row r="753" ht="58" customHeight="1">
      <x:c r="A753" s="100" t="n">
        <x:v>751</x:v>
      </x:c>
      <x:c r="B753" s="69" t="str">
        <x:v>Ordering/Sequencing</x:v>
      </x:c>
      <x:c r="C753" s="69" t="str">
        <x:v>Put the object that is fourth from the left in the bowl.</x:v>
      </x:c>
      <x:c r="D753" s="69" t="str">
        <x:v>Explicit ordinal grounding</x:v>
      </x:c>
      <x:c r="E753" s="69" t="str">
        <x:v>fourth from the left; physical target position L4</x:v>
      </x:c>
      <x:c r="F753" s="69" t="str">
        <x:v>ordering_n4</x:v>
      </x:c>
      <x:c r="G753" s="69" t="str">
        <x:v>exact phrases first from the right and third from the left; physical positions L4 and L3 remain trained through fourth-from-left and second-from-right</x:v>
      </x:c>
      <x:c r="H753" s="69" t="str">
        <x:v>Yes</x:v>
      </x:c>
      <x:c r="I753" s="69" t="str">
        <x:v>replace ordering demonstration</x:v>
      </x:c>
      <x:c r="J753" s="69" t="str">
        <x:v>Four collinear objects, camera-view left to right: L1 blue tape ball; L2 green highlighter; L3 airplane toy with propellers; L4 yellow pen. Use approximately 10 cm centre-to-centre spacing; target at L4.</x:v>
      </x:c>
      <x:c r="K753" s="69" t="str">
        <x:v>yellow pen</x:v>
      </x:c>
      <x:c r="L753" s="69" t="str">
        <x:v>Home</x:v>
      </x:c>
      <x:c r="M753" s="69" t="str">
        <x:v>Move the fourth item counted from the right into the bowl.</x:v>
      </x:c>
      <x:c r="N753" s="69" t="str">
        <x:v>yellow pen, airplane toy with propellers, green highlighter, blue tape ball</x:v>
      </x:c>
      <x:c r="O753" s="69" t="str">
        <x:v>yellow pen</x:v>
      </x:c>
      <x:c r="P753" s="70" t="str">
        <x:v>Four-object ordinal grounding. All physical positions are trained, while only the exact ordinal-direction compositions used by the primary evaluation are absent.</x:v>
      </x:c>
    </x:row>
    <x:row r="754" ht="58" customHeight="1">
      <x:c r="A754" s="100" t="n">
        <x:v>752</x:v>
      </x:c>
      <x:c r="B754" s="69" t="str">
        <x:v>Ordering/Sequencing</x:v>
      </x:c>
      <x:c r="C754" s="69" t="str">
        <x:v>Pick up the object that is fourth from the left and place it in the bowl.</x:v>
      </x:c>
      <x:c r="D754" s="69" t="str">
        <x:v>Explicit ordinal grounding</x:v>
      </x:c>
      <x:c r="E754" s="69" t="str">
        <x:v>fourth from the left; physical target position L4</x:v>
      </x:c>
      <x:c r="F754" s="69" t="str">
        <x:v>ordering_n4</x:v>
      </x:c>
      <x:c r="G754" s="69" t="str">
        <x:v>exact phrases first from the right and third from the left; physical positions L4 and L3 remain trained through fourth-from-left and second-from-right</x:v>
      </x:c>
      <x:c r="H754" s="69" t="str">
        <x:v>Yes</x:v>
      </x:c>
      <x:c r="I754" s="69" t="str">
        <x:v>replace ordering demonstration</x:v>
      </x:c>
      <x:c r="J754" s="69" t="str">
        <x:v>Four collinear objects, camera-view left to right: L1 yellow pen; L2 blue tape ball; L3 green highlighter; L4 airplane toy with propellers. Use approximately 10 cm centre-to-centre spacing; target at L4.</x:v>
      </x:c>
      <x:c r="K754" s="69" t="str">
        <x:v>airplane toy with propellers</x:v>
      </x:c>
      <x:c r="L754" s="69" t="str">
        <x:v>Home</x:v>
      </x:c>
      <x:c r="M754" s="69" t="str">
        <x:v>Put the fourth object from the right in the bowl.</x:v>
      </x:c>
      <x:c r="N754" s="69" t="str">
        <x:v>yellow pen, blue tape ball, airplane toy with propellers, green highlighter</x:v>
      </x:c>
      <x:c r="O754" s="69" t="str">
        <x:v>yellow pen</x:v>
      </x:c>
      <x:c r="P754" s="70" t="str">
        <x:v>Four-object ordinal grounding. All physical positions are trained, while only the exact ordinal-direction compositions used by the primary evaluation are absent.</x:v>
      </x:c>
    </x:row>
    <x:row r="755" ht="58" customHeight="1">
      <x:c r="A755" s="100" t="n">
        <x:v>753</x:v>
      </x:c>
      <x:c r="B755" s="69" t="str">
        <x:v>Ordering/Sequencing</x:v>
      </x:c>
      <x:c r="C755" s="69" t="str">
        <x:v>Move the fourth from the left object into the bowl.</x:v>
      </x:c>
      <x:c r="D755" s="69" t="str">
        <x:v>Explicit ordinal grounding</x:v>
      </x:c>
      <x:c r="E755" s="69" t="str">
        <x:v>fourth from the left; physical target position L4</x:v>
      </x:c>
      <x:c r="F755" s="69" t="str">
        <x:v>ordering_n4</x:v>
      </x:c>
      <x:c r="G755" s="69" t="str">
        <x:v>exact phrases first from the right and third from the left; physical positions L4 and L3 remain trained through fourth-from-left and second-from-right</x:v>
      </x:c>
      <x:c r="H755" s="69" t="str">
        <x:v>Yes</x:v>
      </x:c>
      <x:c r="I755" s="69" t="str">
        <x:v>replace ordering demonstration</x:v>
      </x:c>
      <x:c r="J755" s="69" t="str">
        <x:v>Four collinear objects, camera-view left to right: L1 yellow pen; L2 airplane toy with propellers; L3 green highlighter; L4 blue tape ball. Use approximately 10 cm centre-to-centre spacing; target at L4.</x:v>
      </x:c>
      <x:c r="K755" s="69" t="str">
        <x:v>blue tape ball</x:v>
      </x:c>
      <x:c r="L755" s="69" t="str">
        <x:v>Home</x:v>
      </x:c>
      <x:c r="M755" s="69" t="str">
        <x:v>Move the first item counted from the left into the bowl.</x:v>
      </x:c>
      <x:c r="N755" s="69" t="str">
        <x:v>yellow pen, blue tape ball, green highlighter, airplane toy with propellers</x:v>
      </x:c>
      <x:c r="O755" s="69" t="str">
        <x:v>yellow pen</x:v>
      </x:c>
      <x:c r="P755" s="70" t="str">
        <x:v>Four-object ordinal grounding. All physical positions are trained, while only the exact ordinal-direction compositions used by the primary evaluation are absent.</x:v>
      </x:c>
    </x:row>
    <x:row r="756" ht="58" customHeight="1">
      <x:c r="A756" s="100" t="n">
        <x:v>754</x:v>
      </x:c>
      <x:c r="B756" s="69" t="str">
        <x:v>Ordering/Sequencing</x:v>
      </x:c>
      <x:c r="C756" s="69" t="str">
        <x:v>Put the object that is fourth from the left in the bowl.</x:v>
      </x:c>
      <x:c r="D756" s="69" t="str">
        <x:v>Explicit ordinal grounding</x:v>
      </x:c>
      <x:c r="E756" s="69" t="str">
        <x:v>fourth from the left; physical target position L4</x:v>
      </x:c>
      <x:c r="F756" s="69" t="str">
        <x:v>ordering_n4</x:v>
      </x:c>
      <x:c r="G756" s="69" t="str">
        <x:v>exact phrases first from the right and third from the left; physical positions L4 and L3 remain trained through fourth-from-left and second-from-right</x:v>
      </x:c>
      <x:c r="H756" s="69" t="str">
        <x:v>Yes</x:v>
      </x:c>
      <x:c r="I756" s="69" t="str">
        <x:v>replace ordering demonstration</x:v>
      </x:c>
      <x:c r="J756" s="69" t="str">
        <x:v>Four collinear objects, camera-view left to right: L1 yellow pen; L2 airplane toy with propellers; L3 blue tape ball; L4 green highlighter. Use approximately 10 cm centre-to-centre spacing; target at L4.</x:v>
      </x:c>
      <x:c r="K756" s="69" t="str">
        <x:v>green highlighter</x:v>
      </x:c>
      <x:c r="L756" s="69" t="str">
        <x:v>Home</x:v>
      </x:c>
      <x:c r="M756" s="69" t="str">
        <x:v>Move the third item counted from the right into the bowl.</x:v>
      </x:c>
      <x:c r="N756" s="69" t="str">
        <x:v>yellow pen, green highlighter, airplane toy with propellers</x:v>
      </x:c>
      <x:c r="O756" s="69" t="str">
        <x:v>yellow pen</x:v>
      </x:c>
      <x:c r="P756" s="70" t="str">
        <x:v>Four-object ordinal grounding. All physical positions are trained, while only the exact ordinal-direction compositions used by the primary evaluation are absent.</x:v>
      </x:c>
    </x:row>
    <x:row r="757" ht="58" customHeight="1">
      <x:c r="A757" s="100" t="n">
        <x:v>755</x:v>
      </x:c>
      <x:c r="B757" s="69" t="str">
        <x:v>Ordering/Sequencing</x:v>
      </x:c>
      <x:c r="C757" s="69" t="str">
        <x:v>Pick up the object that is fourth from the left and place it in the bowl.</x:v>
      </x:c>
      <x:c r="D757" s="69" t="str">
        <x:v>Explicit ordinal grounding</x:v>
      </x:c>
      <x:c r="E757" s="69" t="str">
        <x:v>fourth from the left; physical target position L4</x:v>
      </x:c>
      <x:c r="F757" s="69" t="str">
        <x:v>ordering_n4</x:v>
      </x:c>
      <x:c r="G757" s="69" t="str">
        <x:v>exact phrases first from the right and third from the left; physical positions L4 and L3 remain trained through fourth-from-left and second-from-right</x:v>
      </x:c>
      <x:c r="H757" s="69" t="str">
        <x:v>Yes</x:v>
      </x:c>
      <x:c r="I757" s="69" t="str">
        <x:v>replace ordering demonstration</x:v>
      </x:c>
      <x:c r="J757" s="69" t="str">
        <x:v>Four collinear objects, camera-view left to right: L1 green highlighter; L2 airplane toy with propellers; L3 blue tape ball; L4 yellow pen. Use approximately 10 cm centre-to-centre spacing; target at L4.</x:v>
      </x:c>
      <x:c r="K757" s="69" t="str">
        <x:v>yellow pen</x:v>
      </x:c>
      <x:c r="L757" s="69" t="str">
        <x:v>Home</x:v>
      </x:c>
      <x:c r="M757" s="69" t="str">
        <x:v>Move the third item counted from the right into the bowl.</x:v>
      </x:c>
      <x:c r="N757" s="69" t="str">
        <x:v>yellow pen, green highlighter, blue tape ball</x:v>
      </x:c>
      <x:c r="O757" s="69" t="str">
        <x:v>yellow pen</x:v>
      </x:c>
      <x:c r="P757" s="70" t="str">
        <x:v>Four-object ordinal grounding. All physical positions are trained, while only the exact ordinal-direction compositions used by the primary evaluation are absent.</x:v>
      </x:c>
    </x:row>
    <x:row r="758" ht="58" customHeight="1">
      <x:c r="A758" s="100" t="n">
        <x:v>756</x:v>
      </x:c>
      <x:c r="B758" s="69" t="str">
        <x:v>Ordering/Sequencing</x:v>
      </x:c>
      <x:c r="C758" s="69" t="str">
        <x:v>Move the fourth from the left object into the bowl.</x:v>
      </x:c>
      <x:c r="D758" s="69" t="str">
        <x:v>Explicit ordinal grounding</x:v>
      </x:c>
      <x:c r="E758" s="69" t="str">
        <x:v>fourth from the left; physical target position L4</x:v>
      </x:c>
      <x:c r="F758" s="69" t="str">
        <x:v>ordering_n4</x:v>
      </x:c>
      <x:c r="G758" s="69" t="str">
        <x:v>exact phrases first from the right and third from the left; physical positions L4 and L3 remain trained through fourth-from-left and second-from-right</x:v>
      </x:c>
      <x:c r="H758" s="69" t="str">
        <x:v>Yes</x:v>
      </x:c>
      <x:c r="I758" s="69" t="str">
        <x:v>replace ordering demonstration</x:v>
      </x:c>
      <x:c r="J758" s="69" t="str">
        <x:v>Four collinear objects, camera-view left to right: L1 blue tape ball; L2 green highlighter; L3 yellow pen; L4 airplane toy with propellers. Use approximately 10 cm centre-to-centre spacing; target at L4.</x:v>
      </x:c>
      <x:c r="K758" s="69" t="str">
        <x:v>airplane toy with propellers</x:v>
      </x:c>
      <x:c r="L758" s="69" t="str">
        <x:v>Home</x:v>
      </x:c>
      <x:c r="M758" s="69" t="str">
        <x:v>Move the third item counted from the right into the bowl.</x:v>
      </x:c>
      <x:c r="N758" s="69" t="str">
        <x:v>yellow pen, airplane toy with propellers, blue tape ball</x:v>
      </x:c>
      <x:c r="O758" s="69" t="str">
        <x:v>yellow pen</x:v>
      </x:c>
      <x:c r="P758" s="70" t="str">
        <x:v>Four-object ordinal grounding. All physical positions are trained, while only the exact ordinal-direction compositions used by the primary evaluation are absent.</x:v>
      </x:c>
    </x:row>
    <x:row r="759" ht="58" customHeight="1">
      <x:c r="A759" s="100" t="n">
        <x:v>757</x:v>
      </x:c>
      <x:c r="B759" s="69" t="str">
        <x:v>Ordering/Sequencing</x:v>
      </x:c>
      <x:c r="C759" s="69" t="str">
        <x:v>Put the object that is fourth from the left in the bowl.</x:v>
      </x:c>
      <x:c r="D759" s="69" t="str">
        <x:v>Explicit ordinal grounding</x:v>
      </x:c>
      <x:c r="E759" s="69" t="str">
        <x:v>fourth from the left; physical target position L4</x:v>
      </x:c>
      <x:c r="F759" s="69" t="str">
        <x:v>ordering_n4</x:v>
      </x:c>
      <x:c r="G759" s="69" t="str">
        <x:v>exact phrases first from the right and third from the left; physical positions L4 and L3 remain trained through fourth-from-left and second-from-right</x:v>
      </x:c>
      <x:c r="H759" s="69" t="str">
        <x:v>Yes</x:v>
      </x:c>
      <x:c r="I759" s="69" t="str">
        <x:v>replace ordering demonstration</x:v>
      </x:c>
      <x:c r="J759" s="69" t="str">
        <x:v>Four collinear objects, camera-view left to right: L1 airplane toy with propellers; L2 green highlighter; L3 yellow pen; L4 blue tape ball. Use approximately 10 cm centre-to-centre spacing; target at L4.</x:v>
      </x:c>
      <x:c r="K759" s="69" t="str">
        <x:v>blue tape ball</x:v>
      </x:c>
      <x:c r="L759" s="69" t="str">
        <x:v>Home</x:v>
      </x:c>
      <x:c r="M759" s="69" t="str">
        <x:v>Put the first object from the left in the bowl.</x:v>
      </x:c>
      <x:c r="N759" s="69" t="str">
        <x:v>yellow pen, blue tape ball, airplane toy with propellers</x:v>
      </x:c>
      <x:c r="O759" s="69" t="str">
        <x:v>yellow pen</x:v>
      </x:c>
      <x:c r="P759" s="70" t="str">
        <x:v>Four-object ordinal grounding. All physical positions are trained, while only the exact ordinal-direction compositions used by the primary evaluation are absent.</x:v>
      </x:c>
    </x:row>
    <x:row r="760" ht="58" customHeight="1">
      <x:c r="A760" s="100" t="n">
        <x:v>758</x:v>
      </x:c>
      <x:c r="B760" s="69" t="str">
        <x:v>Ordering/Sequencing</x:v>
      </x:c>
      <x:c r="C760" s="69" t="str">
        <x:v>Pick up the object that is fourth from the left and place it in the bowl.</x:v>
      </x:c>
      <x:c r="D760" s="69" t="str">
        <x:v>Explicit ordinal grounding</x:v>
      </x:c>
      <x:c r="E760" s="69" t="str">
        <x:v>fourth from the left; physical target position L4</x:v>
      </x:c>
      <x:c r="F760" s="69" t="str">
        <x:v>ordering_n4</x:v>
      </x:c>
      <x:c r="G760" s="69" t="str">
        <x:v>exact phrases first from the right and third from the left; physical positions L4 and L3 remain trained through fourth-from-left and second-from-right</x:v>
      </x:c>
      <x:c r="H760" s="69" t="str">
        <x:v>Yes</x:v>
      </x:c>
      <x:c r="I760" s="69" t="str">
        <x:v>replace ordering demonstration</x:v>
      </x:c>
      <x:c r="J760" s="69" t="str">
        <x:v>Four collinear objects, camera-view left to right: L1 airplane toy with propellers; L2 blue tape ball; L3 yellow pen; L4 green highlighter. Use approximately 10 cm centre-to-centre spacing; target at L4.</x:v>
      </x:c>
      <x:c r="K760" s="69" t="str">
        <x:v>green highlighter</x:v>
      </x:c>
      <x:c r="L760" s="69" t="str">
        <x:v>Home</x:v>
      </x:c>
      <x:c r="M760" s="69" t="str">
        <x:v>Move the second item counted from the right into the bowl.</x:v>
      </x:c>
      <x:c r="N760" s="69" t="str">
        <x:v>yellow pen, airplane toy with propellers</x:v>
      </x:c>
      <x:c r="O760" s="69" t="str">
        <x:v>yellow pen</x:v>
      </x:c>
      <x:c r="P760" s="70" t="str">
        <x:v>Four-object ordinal grounding. All physical positions are trained, while only the exact ordinal-direction compositions used by the primary evaluation are absent.</x:v>
      </x:c>
    </x:row>
    <x:row r="761" ht="58" customHeight="1">
      <x:c r="A761" s="100" t="n">
        <x:v>759</x:v>
      </x:c>
      <x:c r="B761" s="69" t="str">
        <x:v>Ordering/Sequencing</x:v>
      </x:c>
      <x:c r="C761" s="69" t="str">
        <x:v>Move the fourth from the left object into the bowl.</x:v>
      </x:c>
      <x:c r="D761" s="69" t="str">
        <x:v>Explicit ordinal grounding</x:v>
      </x:c>
      <x:c r="E761" s="69" t="str">
        <x:v>fourth from the left; physical target position L4</x:v>
      </x:c>
      <x:c r="F761" s="69" t="str">
        <x:v>ordering_n4</x:v>
      </x:c>
      <x:c r="G761" s="69" t="str">
        <x:v>exact phrases first from the right and third from the left; physical positions L4 and L3 remain trained through fourth-from-left and second-from-right</x:v>
      </x:c>
      <x:c r="H761" s="69" t="str">
        <x:v>Yes</x:v>
      </x:c>
      <x:c r="I761" s="69" t="str">
        <x:v>replace ordering demonstration</x:v>
      </x:c>
      <x:c r="J761" s="69" t="str">
        <x:v>Four collinear objects, camera-view left to right: L1 airplane toy with propellers; L2 blue tape ball; L3 green highlighter; L4 yellow pen. Use approximately 10 cm centre-to-centre spacing; target at L4.</x:v>
      </x:c>
      <x:c r="K761" s="69" t="str">
        <x:v>yellow pen</x:v>
      </x:c>
      <x:c r="L761" s="69" t="str">
        <x:v>Home</x:v>
      </x:c>
      <x:c r="M761" s="69" t="str">
        <x:v>Pick up the object that is second from the right and place it in the bowl.</x:v>
      </x:c>
      <x:c r="N761" s="69" t="str">
        <x:v>yellow pen, blue tape ball</x:v>
      </x:c>
      <x:c r="O761" s="69" t="str">
        <x:v>yellow pen</x:v>
      </x:c>
      <x:c r="P761" s="70" t="str">
        <x:v>Four-object ordinal grounding. All physical positions are trained, while only the exact ordinal-direction compositions used by the primary evaluation are absent.</x:v>
      </x:c>
    </x:row>
    <x:row r="762" ht="58" customHeight="1">
      <x:c r="A762" s="100" t="n">
        <x:v>760</x:v>
      </x:c>
      <x:c r="B762" s="69" t="str">
        <x:v>Ordering/Sequencing</x:v>
      </x:c>
      <x:c r="C762" s="69" t="str">
        <x:v>Put the airplane toy with propellers in the bowl.</x:v>
      </x:c>
      <x:c r="D762" s="69" t="str">
        <x:v>Direct-object ordering control</x:v>
      </x:c>
      <x:c r="E762" s="69" t="str">
        <x:v>direct object identity; physical target position L1</x:v>
      </x:c>
      <x:c r="F762" s="69" t="str">
        <x:v>ordering_n4</x:v>
      </x:c>
      <x:c r="G762" s="69" t="str">
        <x:v>exact phrases first from the right and third from the left; physical positions L4 and L3 remain trained through fourth-from-left and second-from-right</x:v>
      </x:c>
      <x:c r="H762" s="69" t="str">
        <x:v>Yes</x:v>
      </x:c>
      <x:c r="I762" s="69" t="str">
        <x:v>replace ordering demonstration</x:v>
      </x:c>
      <x:c r="J762" s="69" t="str">
        <x:v>Four collinear objects, camera-view left to right: L1 airplane toy with propellers; L2 green highlighter; L3 yellow pen; L4 blue tape ball. Use approximately 10 cm centre-to-centre spacing; target at L1.</x:v>
      </x:c>
      <x:c r="K762" s="69" t="str">
        <x:v>airplane toy with propellers</x:v>
      </x:c>
      <x:c r="L762" s="69" t="str">
        <x:v>Recovery</x:v>
      </x:c>
      <x:c r="M762" s="69" t="str">
        <x:v>Pick up the object that is second from the right and place it in the bowl.</x:v>
      </x:c>
      <x:c r="N762" s="69" t="str">
        <x:v>yellow pen, green highlighter</x:v>
      </x:c>
      <x:c r="O762" s="69" t="str">
        <x:v>yellow pen</x:v>
      </x:c>
      <x:c r="P762" s="70" t="str">
        <x:v>Direct-name control at the same physical output positions prevents prompt type from predicting the easy half of the sequence.</x:v>
      </x:c>
    </x:row>
    <x:row r="763" ht="58" customHeight="1">
      <x:c r="A763" s="100" t="n">
        <x:v>761</x:v>
      </x:c>
      <x:c r="B763" s="69" t="str">
        <x:v>Ordering/Sequencing</x:v>
      </x:c>
      <x:c r="C763" s="69" t="str">
        <x:v>Pick up the blue tape ball and place it in the bowl.</x:v>
      </x:c>
      <x:c r="D763" s="69" t="str">
        <x:v>Direct-object ordering control</x:v>
      </x:c>
      <x:c r="E763" s="69" t="str">
        <x:v>direct object identity; physical target position L1</x:v>
      </x:c>
      <x:c r="F763" s="69" t="str">
        <x:v>ordering_n4</x:v>
      </x:c>
      <x:c r="G763" s="69" t="str">
        <x:v>exact phrases first from the right and third from the left; physical positions L4 and L3 remain trained through fourth-from-left and second-from-right</x:v>
      </x:c>
      <x:c r="H763" s="69" t="str">
        <x:v>Yes</x:v>
      </x:c>
      <x:c r="I763" s="69" t="str">
        <x:v>replace ordering demonstration</x:v>
      </x:c>
      <x:c r="J763" s="69" t="str">
        <x:v>Four collinear objects, camera-view left to right: L1 blue tape ball; L2 green highlighter; L3 yellow pen; L4 airplane toy with propellers. Use approximately 10 cm centre-to-centre spacing; target at L1.</x:v>
      </x:c>
      <x:c r="K763" s="69" t="str">
        <x:v>blue tape ball</x:v>
      </x:c>
      <x:c r="L763" s="69" t="str">
        <x:v>Recovery</x:v>
      </x:c>
      <x:c r="M763" s="69" t="str">
        <x:v>Pick up the object that is second from the right and place it in the bowl.</x:v>
      </x:c>
      <x:c r="N763" s="69" t="str">
        <x:v>yellow pen, airplane toy with propellers</x:v>
      </x:c>
      <x:c r="O763" s="69" t="str">
        <x:v>yellow pen</x:v>
      </x:c>
      <x:c r="P763" s="70" t="str">
        <x:v>Direct-name control at the same physical output positions prevents prompt type from predicting the easy half of the sequence.</x:v>
      </x:c>
    </x:row>
    <x:row r="764" ht="58" customHeight="1">
      <x:c r="A764" s="100" t="n">
        <x:v>762</x:v>
      </x:c>
      <x:c r="B764" s="69" t="str">
        <x:v>Ordering/Sequencing</x:v>
      </x:c>
      <x:c r="C764" s="69" t="str">
        <x:v>Move the green highlighter into the bowl.</x:v>
      </x:c>
      <x:c r="D764" s="69" t="str">
        <x:v>Direct-object ordering control</x:v>
      </x:c>
      <x:c r="E764" s="69" t="str">
        <x:v>direct object identity; physical target position L1</x:v>
      </x:c>
      <x:c r="F764" s="69" t="str">
        <x:v>ordering_n4</x:v>
      </x:c>
      <x:c r="G764" s="69" t="str">
        <x:v>exact phrases first from the right and third from the left; physical positions L4 and L3 remain trained through fourth-from-left and second-from-right</x:v>
      </x:c>
      <x:c r="H764" s="69" t="str">
        <x:v>Yes</x:v>
      </x:c>
      <x:c r="I764" s="69" t="str">
        <x:v>replace ordering demonstration</x:v>
      </x:c>
      <x:c r="J764" s="69" t="str">
        <x:v>Four collinear objects, camera-view left to right: L1 green highlighter; L2 blue tape ball; L3 yellow pen; L4 airplane toy with propellers. Use approximately 10 cm centre-to-centre spacing; target at L1.</x:v>
      </x:c>
      <x:c r="K764" s="69" t="str">
        <x:v>green highlighter</x:v>
      </x:c>
      <x:c r="L764" s="69" t="str">
        <x:v>Home</x:v>
      </x:c>
      <x:c r="M764" s="69" t="str">
        <x:v>Put the second object from the left in the bowl.</x:v>
      </x:c>
      <x:c r="N764" s="69" t="str">
        <x:v>airplane toy with propellers, yellow pen, blue tape ball, green highlighter</x:v>
      </x:c>
      <x:c r="O764" s="69" t="str">
        <x:v>yellow pen</x:v>
      </x:c>
      <x:c r="P764" s="70" t="str">
        <x:v>Direct-name control at the same physical output positions prevents prompt type from predicting the easy half of the sequence.</x:v>
      </x:c>
    </x:row>
    <x:row r="765" ht="58" customHeight="1">
      <x:c r="A765" s="100" t="n">
        <x:v>763</x:v>
      </x:c>
      <x:c r="B765" s="69" t="str">
        <x:v>Ordering/Sequencing</x:v>
      </x:c>
      <x:c r="C765" s="69" t="str">
        <x:v>Put the yellow pen in the bowl.</x:v>
      </x:c>
      <x:c r="D765" s="69" t="str">
        <x:v>Direct-object ordering control</x:v>
      </x:c>
      <x:c r="E765" s="69" t="str">
        <x:v>direct object identity; physical target position L1</x:v>
      </x:c>
      <x:c r="F765" s="69" t="str">
        <x:v>ordering_n4</x:v>
      </x:c>
      <x:c r="G765" s="69" t="str">
        <x:v>exact phrases first from the right and third from the left; physical positions L4 and L3 remain trained through fourth-from-left and second-from-right</x:v>
      </x:c>
      <x:c r="H765" s="69" t="str">
        <x:v>Yes</x:v>
      </x:c>
      <x:c r="I765" s="69" t="str">
        <x:v>replace ordering demonstration</x:v>
      </x:c>
      <x:c r="J765" s="69" t="str">
        <x:v>Four collinear objects, camera-view left to right: L1 yellow pen; L2 blue tape ball; L3 green highlighter; L4 airplane toy with propellers. Use approximately 10 cm centre-to-centre spacing; target at L1.</x:v>
      </x:c>
      <x:c r="K765" s="69" t="str">
        <x:v>yellow pen</x:v>
      </x:c>
      <x:c r="L765" s="69" t="str">
        <x:v>Home</x:v>
      </x:c>
      <x:c r="M765" s="69" t="str">
        <x:v>Move the second item counted from the left into the bowl.</x:v>
      </x:c>
      <x:c r="N765" s="69" t="str">
        <x:v>airplane toy with propellers, yellow pen, green highlighter, blue tape ball</x:v>
      </x:c>
      <x:c r="O765" s="69" t="str">
        <x:v>yellow pen</x:v>
      </x:c>
      <x:c r="P765" s="70" t="str">
        <x:v>Direct-name control at the same physical output positions prevents prompt type from predicting the easy half of the sequence.</x:v>
      </x:c>
    </x:row>
    <x:row r="766" ht="58" customHeight="1">
      <x:c r="A766" s="100" t="n">
        <x:v>764</x:v>
      </x:c>
      <x:c r="B766" s="69" t="str">
        <x:v>Ordering/Sequencing</x:v>
      </x:c>
      <x:c r="C766" s="69" t="str">
        <x:v>Pick up the airplane toy with propellers and place it in the bowl.</x:v>
      </x:c>
      <x:c r="D766" s="69" t="str">
        <x:v>Direct-object ordering control</x:v>
      </x:c>
      <x:c r="E766" s="69" t="str">
        <x:v>direct object identity; physical target position L1</x:v>
      </x:c>
      <x:c r="F766" s="69" t="str">
        <x:v>ordering_n4</x:v>
      </x:c>
      <x:c r="G766" s="69" t="str">
        <x:v>exact phrases first from the right and third from the left; physical positions L4 and L3 remain trained through fourth-from-left and second-from-right</x:v>
      </x:c>
      <x:c r="H766" s="69" t="str">
        <x:v>Yes</x:v>
      </x:c>
      <x:c r="I766" s="69" t="str">
        <x:v>replace ordering demonstration</x:v>
      </x:c>
      <x:c r="J766" s="69" t="str">
        <x:v>Four collinear objects, camera-view left to right: L1 airplane toy with propellers; L2 yellow pen; L3 blue tape ball; L4 green highlighter. Use approximately 10 cm centre-to-centre spacing; target at L1.</x:v>
      </x:c>
      <x:c r="K766" s="69" t="str">
        <x:v>airplane toy with propellers</x:v>
      </x:c>
      <x:c r="L766" s="69" t="str">
        <x:v>Home</x:v>
      </x:c>
      <x:c r="M766" s="69" t="str">
        <x:v>Put the second object from the left in the bowl.</x:v>
      </x:c>
      <x:c r="N766" s="69" t="str">
        <x:v>blue tape ball, yellow pen, airplane toy with propellers, green highlighter</x:v>
      </x:c>
      <x:c r="O766" s="69" t="str">
        <x:v>yellow pen</x:v>
      </x:c>
      <x:c r="P766" s="70" t="str">
        <x:v>Direct-name control at the same physical output positions prevents prompt type from predicting the easy half of the sequence.</x:v>
      </x:c>
    </x:row>
    <x:row r="767" ht="58" customHeight="1">
      <x:c r="A767" s="100" t="n">
        <x:v>765</x:v>
      </x:c>
      <x:c r="B767" s="69" t="str">
        <x:v>Ordering/Sequencing</x:v>
      </x:c>
      <x:c r="C767" s="69" t="str">
        <x:v>Move the blue tape ball into the bowl.</x:v>
      </x:c>
      <x:c r="D767" s="69" t="str">
        <x:v>Direct-object ordering control</x:v>
      </x:c>
      <x:c r="E767" s="69" t="str">
        <x:v>direct object identity; physical target position L1</x:v>
      </x:c>
      <x:c r="F767" s="69" t="str">
        <x:v>ordering_n4</x:v>
      </x:c>
      <x:c r="G767" s="69" t="str">
        <x:v>exact phrases first from the right and third from the left; physical positions L4 and L3 remain trained through fourth-from-left and second-from-right</x:v>
      </x:c>
      <x:c r="H767" s="69" t="str">
        <x:v>Yes</x:v>
      </x:c>
      <x:c r="I767" s="69" t="str">
        <x:v>replace ordering demonstration</x:v>
      </x:c>
      <x:c r="J767" s="69" t="str">
        <x:v>Four collinear objects, camera-view left to right: L1 blue tape ball; L2 yellow pen; L3 airplane toy with propellers; L4 green highlighter. Use approximately 10 cm centre-to-centre spacing; target at L1.</x:v>
      </x:c>
      <x:c r="K767" s="69" t="str">
        <x:v>blue tape ball</x:v>
      </x:c>
      <x:c r="L767" s="69" t="str">
        <x:v>Home</x:v>
      </x:c>
      <x:c r="M767" s="69" t="str">
        <x:v>Pick up the object that is second from the left and place it in the bowl.</x:v>
      </x:c>
      <x:c r="N767" s="69" t="str">
        <x:v>blue tape ball, yellow pen, green highlighter, airplane toy with propellers</x:v>
      </x:c>
      <x:c r="O767" s="69" t="str">
        <x:v>yellow pen</x:v>
      </x:c>
      <x:c r="P767" s="70" t="str">
        <x:v>Direct-name control at the same physical output positions prevents prompt type from predicting the easy half of the sequence.</x:v>
      </x:c>
    </x:row>
    <x:row r="768" ht="58" customHeight="1">
      <x:c r="A768" s="100" t="n">
        <x:v>766</x:v>
      </x:c>
      <x:c r="B768" s="69" t="str">
        <x:v>Ordering/Sequencing</x:v>
      </x:c>
      <x:c r="C768" s="69" t="str">
        <x:v>Put the green highlighter in the bowl.</x:v>
      </x:c>
      <x:c r="D768" s="69" t="str">
        <x:v>Direct-object ordering control</x:v>
      </x:c>
      <x:c r="E768" s="69" t="str">
        <x:v>direct object identity; physical target position L1</x:v>
      </x:c>
      <x:c r="F768" s="69" t="str">
        <x:v>ordering_n4</x:v>
      </x:c>
      <x:c r="G768" s="69" t="str">
        <x:v>exact phrases first from the right and third from the left; physical positions L4 and L3 remain trained through fourth-from-left and second-from-right</x:v>
      </x:c>
      <x:c r="H768" s="69" t="str">
        <x:v>Yes</x:v>
      </x:c>
      <x:c r="I768" s="69" t="str">
        <x:v>replace ordering demonstration</x:v>
      </x:c>
      <x:c r="J768" s="69" t="str">
        <x:v>Four collinear objects, camera-view left to right: L1 green highlighter; L2 yellow pen; L3 airplane toy with propellers; L4 blue tape ball. Use approximately 10 cm centre-to-centre spacing; target at L1.</x:v>
      </x:c>
      <x:c r="K768" s="69" t="str">
        <x:v>green highlighter</x:v>
      </x:c>
      <x:c r="L768" s="69" t="str">
        <x:v>Home</x:v>
      </x:c>
      <x:c r="M768" s="69" t="str">
        <x:v>Put the third object from the right in the bowl.</x:v>
      </x:c>
      <x:c r="N768" s="69" t="str">
        <x:v>green highlighter, yellow pen, airplane toy with propellers, blue tape ball</x:v>
      </x:c>
      <x:c r="O768" s="69" t="str">
        <x:v>yellow pen</x:v>
      </x:c>
      <x:c r="P768" s="70" t="str">
        <x:v>Direct-name control at the same physical output positions prevents prompt type from predicting the easy half of the sequence.</x:v>
      </x:c>
    </x:row>
    <x:row r="769" ht="58" customHeight="1">
      <x:c r="A769" s="100" t="n">
        <x:v>767</x:v>
      </x:c>
      <x:c r="B769" s="69" t="str">
        <x:v>Ordering/Sequencing</x:v>
      </x:c>
      <x:c r="C769" s="69" t="str">
        <x:v>Pick up the yellow pen and place it in the bowl.</x:v>
      </x:c>
      <x:c r="D769" s="69" t="str">
        <x:v>Direct-object ordering control</x:v>
      </x:c>
      <x:c r="E769" s="69" t="str">
        <x:v>direct object identity; physical target position L1</x:v>
      </x:c>
      <x:c r="F769" s="69" t="str">
        <x:v>ordering_n4</x:v>
      </x:c>
      <x:c r="G769" s="69" t="str">
        <x:v>exact phrases first from the right and third from the left; physical positions L4 and L3 remain trained through fourth-from-left and second-from-right</x:v>
      </x:c>
      <x:c r="H769" s="69" t="str">
        <x:v>Yes</x:v>
      </x:c>
      <x:c r="I769" s="69" t="str">
        <x:v>replace ordering demonstration</x:v>
      </x:c>
      <x:c r="J769" s="69" t="str">
        <x:v>Four collinear objects, camera-view left to right: L1 yellow pen; L2 green highlighter; L3 airplane toy with propellers; L4 blue tape ball. Use approximately 10 cm centre-to-centre spacing; target at L1.</x:v>
      </x:c>
      <x:c r="K769" s="69" t="str">
        <x:v>yellow pen</x:v>
      </x:c>
      <x:c r="L769" s="69" t="str">
        <x:v>Home</x:v>
      </x:c>
      <x:c r="M769" s="69" t="str">
        <x:v>Put the third object from the right in the bowl.</x:v>
      </x:c>
      <x:c r="N769" s="69" t="str">
        <x:v>green highlighter, yellow pen, blue tape ball, airplane toy with propellers</x:v>
      </x:c>
      <x:c r="O769" s="69" t="str">
        <x:v>yellow pen</x:v>
      </x:c>
      <x:c r="P769" s="70" t="str">
        <x:v>Direct-name control at the same physical output positions prevents prompt type from predicting the easy half of the sequence.</x:v>
      </x:c>
    </x:row>
    <x:row r="770" ht="58" customHeight="1">
      <x:c r="A770" s="100" t="n">
        <x:v>768</x:v>
      </x:c>
      <x:c r="B770" s="69" t="str">
        <x:v>Ordering/Sequencing</x:v>
      </x:c>
      <x:c r="C770" s="69" t="str">
        <x:v>Move the airplane toy with propellers into the bowl.</x:v>
      </x:c>
      <x:c r="D770" s="69" t="str">
        <x:v>Direct-object ordering control</x:v>
      </x:c>
      <x:c r="E770" s="69" t="str">
        <x:v>direct object identity; physical target position L1</x:v>
      </x:c>
      <x:c r="F770" s="69" t="str">
        <x:v>ordering_n4</x:v>
      </x:c>
      <x:c r="G770" s="69" t="str">
        <x:v>exact phrases first from the right and third from the left; physical positions L4 and L3 remain trained through fourth-from-left and second-from-right</x:v>
      </x:c>
      <x:c r="H770" s="69" t="str">
        <x:v>Yes</x:v>
      </x:c>
      <x:c r="I770" s="69" t="str">
        <x:v>replace ordering demonstration</x:v>
      </x:c>
      <x:c r="J770" s="69" t="str">
        <x:v>Four collinear objects, camera-view left to right: L1 airplane toy with propellers; L2 blue tape ball; L3 green highlighter; L4 yellow pen. Use approximately 10 cm centre-to-centre spacing; target at L1.</x:v>
      </x:c>
      <x:c r="K770" s="69" t="str">
        <x:v>airplane toy with propellers</x:v>
      </x:c>
      <x:c r="L770" s="69" t="str">
        <x:v>Home</x:v>
      </x:c>
      <x:c r="M770" s="69" t="str">
        <x:v>Pick up the object that is second from the left and place it in the bowl.</x:v>
      </x:c>
      <x:c r="N770" s="69" t="str">
        <x:v>airplane toy with propellers, yellow pen</x:v>
      </x:c>
      <x:c r="O770" s="69" t="str">
        <x:v>yellow pen</x:v>
      </x:c>
      <x:c r="P770" s="70" t="str">
        <x:v>Direct-name control at the same physical output positions prevents prompt type from predicting the easy half of the sequence.</x:v>
      </x:c>
    </x:row>
    <x:row r="771" ht="58" customHeight="1">
      <x:c r="A771" s="100" t="n">
        <x:v>769</x:v>
      </x:c>
      <x:c r="B771" s="69" t="str">
        <x:v>Ordering/Sequencing</x:v>
      </x:c>
      <x:c r="C771" s="69" t="str">
        <x:v>Put the blue tape ball in the bowl.</x:v>
      </x:c>
      <x:c r="D771" s="69" t="str">
        <x:v>Direct-object ordering control</x:v>
      </x:c>
      <x:c r="E771" s="69" t="str">
        <x:v>direct object identity; physical target position L1</x:v>
      </x:c>
      <x:c r="F771" s="69" t="str">
        <x:v>ordering_n4</x:v>
      </x:c>
      <x:c r="G771" s="69" t="str">
        <x:v>exact phrases first from the right and third from the left; physical positions L4 and L3 remain trained through fourth-from-left and second-from-right</x:v>
      </x:c>
      <x:c r="H771" s="69" t="str">
        <x:v>Yes</x:v>
      </x:c>
      <x:c r="I771" s="69" t="str">
        <x:v>replace ordering demonstration</x:v>
      </x:c>
      <x:c r="J771" s="69" t="str">
        <x:v>Four collinear objects, camera-view left to right: L1 blue tape ball; L2 airplane toy with propellers; L3 green highlighter; L4 yellow pen. Use approximately 10 cm centre-to-centre spacing; target at L1.</x:v>
      </x:c>
      <x:c r="K771" s="69" t="str">
        <x:v>blue tape ball</x:v>
      </x:c>
      <x:c r="L771" s="69" t="str">
        <x:v>Home</x:v>
      </x:c>
      <x:c r="M771" s="69" t="str">
        <x:v>Pick up the object that is second from the left and place it in the bowl.</x:v>
      </x:c>
      <x:c r="N771" s="69" t="str">
        <x:v>blue tape ball, yellow pen</x:v>
      </x:c>
      <x:c r="O771" s="69" t="str">
        <x:v>yellow pen</x:v>
      </x:c>
      <x:c r="P771" s="70" t="str">
        <x:v>Direct-name control at the same physical output positions prevents prompt type from predicting the easy half of the sequence.</x:v>
      </x:c>
    </x:row>
    <x:row r="772" ht="58" customHeight="1">
      <x:c r="A772" s="100" t="n">
        <x:v>770</x:v>
      </x:c>
      <x:c r="B772" s="69" t="str">
        <x:v>Ordering/Sequencing</x:v>
      </x:c>
      <x:c r="C772" s="69" t="str">
        <x:v>Pick up the green highlighter and place it in the bowl.</x:v>
      </x:c>
      <x:c r="D772" s="69" t="str">
        <x:v>Direct-object ordering control</x:v>
      </x:c>
      <x:c r="E772" s="69" t="str">
        <x:v>direct object identity; physical target position L2</x:v>
      </x:c>
      <x:c r="F772" s="69" t="str">
        <x:v>ordering_n4</x:v>
      </x:c>
      <x:c r="G772" s="69" t="str">
        <x:v>exact phrases first from the right and third from the left; physical positions L4 and L3 remain trained through fourth-from-left and second-from-right</x:v>
      </x:c>
      <x:c r="H772" s="69" t="str">
        <x:v>Yes</x:v>
      </x:c>
      <x:c r="I772" s="69" t="str">
        <x:v>replace ordering demonstration</x:v>
      </x:c>
      <x:c r="J772" s="69" t="str">
        <x:v>Four collinear objects, camera-view left to right: L1 airplane toy with propellers; L2 green highlighter; L3 blue tape ball; L4 yellow pen. Use approximately 10 cm centre-to-centre spacing; target at L2.</x:v>
      </x:c>
      <x:c r="K772" s="69" t="str">
        <x:v>green highlighter</x:v>
      </x:c>
      <x:c r="L772" s="69" t="str">
        <x:v>Home</x:v>
      </x:c>
      <x:c r="M772" s="69" t="str">
        <x:v>Pick up the object that is second from the left and place it in the bowl.</x:v>
      </x:c>
      <x:c r="N772" s="69" t="str">
        <x:v>green highlighter, yellow pen</x:v>
      </x:c>
      <x:c r="O772" s="69" t="str">
        <x:v>yellow pen</x:v>
      </x:c>
      <x:c r="P772" s="70" t="str">
        <x:v>Direct-name control at the same physical output positions prevents prompt type from predicting the easy half of the sequence.</x:v>
      </x:c>
    </x:row>
    <x:row r="773" ht="58" customHeight="1">
      <x:c r="A773" s="100" t="n">
        <x:v>771</x:v>
      </x:c>
      <x:c r="B773" s="69" t="str">
        <x:v>Ordering/Sequencing</x:v>
      </x:c>
      <x:c r="C773" s="69" t="str">
        <x:v>Move the yellow pen into the bowl.</x:v>
      </x:c>
      <x:c r="D773" s="69" t="str">
        <x:v>Direct-object ordering control</x:v>
      </x:c>
      <x:c r="E773" s="69" t="str">
        <x:v>direct object identity; physical target position L2</x:v>
      </x:c>
      <x:c r="F773" s="69" t="str">
        <x:v>ordering_n4</x:v>
      </x:c>
      <x:c r="G773" s="69" t="str">
        <x:v>exact phrases first from the right and third from the left; physical positions L4 and L3 remain trained through fourth-from-left and second-from-right</x:v>
      </x:c>
      <x:c r="H773" s="69" t="str">
        <x:v>Yes</x:v>
      </x:c>
      <x:c r="I773" s="69" t="str">
        <x:v>replace ordering demonstration</x:v>
      </x:c>
      <x:c r="J773" s="69" t="str">
        <x:v>Four collinear objects, camera-view left to right: L1 airplane toy with propellers; L2 yellow pen; L3 blue tape ball; L4 green highlighter. Use approximately 10 cm centre-to-centre spacing; target at L2.</x:v>
      </x:c>
      <x:c r="K773" s="69" t="str">
        <x:v>yellow pen</x:v>
      </x:c>
      <x:c r="L773" s="69" t="str">
        <x:v>Home</x:v>
      </x:c>
      <x:c r="M773" s="69" t="str">
        <x:v>Put the second object from the left in the bowl.</x:v>
      </x:c>
      <x:c r="N773" s="69" t="str">
        <x:v>airplane toy with propellers, yellow pen</x:v>
      </x:c>
      <x:c r="O773" s="69" t="str">
        <x:v>yellow pen</x:v>
      </x:c>
      <x:c r="P773" s="70" t="str">
        <x:v>Direct-name control at the same physical output positions prevents prompt type from predicting the easy half of the sequence.</x:v>
      </x:c>
    </x:row>
    <x:row r="774" ht="58" customHeight="1">
      <x:c r="A774" s="100" t="n">
        <x:v>772</x:v>
      </x:c>
      <x:c r="B774" s="69" t="str">
        <x:v>Ordering/Sequencing</x:v>
      </x:c>
      <x:c r="C774" s="69" t="str">
        <x:v>Put the airplane toy with propellers in the bowl.</x:v>
      </x:c>
      <x:c r="D774" s="69" t="str">
        <x:v>Direct-object ordering control</x:v>
      </x:c>
      <x:c r="E774" s="69" t="str">
        <x:v>direct object identity; physical target position L2</x:v>
      </x:c>
      <x:c r="F774" s="69" t="str">
        <x:v>ordering_n4</x:v>
      </x:c>
      <x:c r="G774" s="69" t="str">
        <x:v>exact phrases first from the right and third from the left; physical positions L4 and L3 remain trained through fourth-from-left and second-from-right</x:v>
      </x:c>
      <x:c r="H774" s="69" t="str">
        <x:v>Yes</x:v>
      </x:c>
      <x:c r="I774" s="69" t="str">
        <x:v>replace ordering demonstration</x:v>
      </x:c>
      <x:c r="J774" s="69" t="str">
        <x:v>Four collinear objects, camera-view left to right: L1 green highlighter; L2 airplane toy with propellers; L3 yellow pen; L4 blue tape ball. Use approximately 10 cm centre-to-centre spacing; target at L2.</x:v>
      </x:c>
      <x:c r="K774" s="69" t="str">
        <x:v>airplane toy with propellers</x:v>
      </x:c>
      <x:c r="L774" s="69" t="str">
        <x:v>Recovery</x:v>
      </x:c>
      <x:c r="M774" s="69" t="str">
        <x:v>Pick up the object that is second from the left and place it in the bowl.</x:v>
      </x:c>
      <x:c r="N774" s="69" t="str">
        <x:v>blue tape ball, yellow pen</x:v>
      </x:c>
      <x:c r="O774" s="69" t="str">
        <x:v>yellow pen</x:v>
      </x:c>
      <x:c r="P774" s="70" t="str">
        <x:v>Direct-name control at the same physical output positions prevents prompt type from predicting the easy half of the sequence.</x:v>
      </x:c>
    </x:row>
    <x:row r="775" ht="58" customHeight="1">
      <x:c r="A775" s="100" t="n">
        <x:v>773</x:v>
      </x:c>
      <x:c r="B775" s="69" t="str">
        <x:v>Ordering/Sequencing</x:v>
      </x:c>
      <x:c r="C775" s="69" t="str">
        <x:v>Pick up the blue tape ball and place it in the bowl.</x:v>
      </x:c>
      <x:c r="D775" s="69" t="str">
        <x:v>Direct-object ordering control</x:v>
      </x:c>
      <x:c r="E775" s="69" t="str">
        <x:v>direct object identity; physical target position L2</x:v>
      </x:c>
      <x:c r="F775" s="69" t="str">
        <x:v>ordering_n4</x:v>
      </x:c>
      <x:c r="G775" s="69" t="str">
        <x:v>exact phrases first from the right and third from the left; physical positions L4 and L3 remain trained through fourth-from-left and second-from-right</x:v>
      </x:c>
      <x:c r="H775" s="69" t="str">
        <x:v>Yes</x:v>
      </x:c>
      <x:c r="I775" s="69" t="str">
        <x:v>replace ordering demonstration</x:v>
      </x:c>
      <x:c r="J775" s="69" t="str">
        <x:v>Four collinear objects, camera-view left to right: L1 green highlighter; L2 blue tape ball; L3 yellow pen; L4 airplane toy with propellers. Use approximately 10 cm centre-to-centre spacing; target at L2.</x:v>
      </x:c>
      <x:c r="K775" s="69" t="str">
        <x:v>blue tape ball</x:v>
      </x:c>
      <x:c r="L775" s="69" t="str">
        <x:v>Recovery</x:v>
      </x:c>
      <x:c r="M775" s="69" t="str">
        <x:v>Move the second item counted from the left into the bowl.</x:v>
      </x:c>
      <x:c r="N775" s="69" t="str">
        <x:v>green highlighter, yellow pen</x:v>
      </x:c>
      <x:c r="O775" s="69" t="str">
        <x:v>yellow pen</x:v>
      </x:c>
      <x:c r="P775" s="70" t="str">
        <x:v>Direct-name control at the same physical output positions prevents prompt type from predicting the easy half of the sequence.</x:v>
      </x:c>
    </x:row>
    <x:row r="776" ht="58" customHeight="1">
      <x:c r="A776" s="100" t="n">
        <x:v>774</x:v>
      </x:c>
      <x:c r="B776" s="69" t="str">
        <x:v>Ordering/Sequencing</x:v>
      </x:c>
      <x:c r="C776" s="69" t="str">
        <x:v>Move the green highlighter into the bowl.</x:v>
      </x:c>
      <x:c r="D776" s="69" t="str">
        <x:v>Direct-object ordering control</x:v>
      </x:c>
      <x:c r="E776" s="69" t="str">
        <x:v>direct object identity; physical target position L2</x:v>
      </x:c>
      <x:c r="F776" s="69" t="str">
        <x:v>ordering_n4</x:v>
      </x:c>
      <x:c r="G776" s="69" t="str">
        <x:v>exact phrases first from the right and third from the left; physical positions L4 and L3 remain trained through fourth-from-left and second-from-right</x:v>
      </x:c>
      <x:c r="H776" s="69" t="str">
        <x:v>Yes</x:v>
      </x:c>
      <x:c r="I776" s="69" t="str">
        <x:v>replace ordering demonstration</x:v>
      </x:c>
      <x:c r="J776" s="69" t="str">
        <x:v>Four collinear objects, camera-view left to right: L1 blue tape ball; L2 green highlighter; L3 yellow pen; L4 airplane toy with propellers. Use approximately 10 cm centre-to-centre spacing; target at L2.</x:v>
      </x:c>
      <x:c r="K776" s="69" t="str">
        <x:v>green highlighter</x:v>
      </x:c>
      <x:c r="L776" s="69" t="str">
        <x:v>Recovery</x:v>
      </x:c>
      <x:c r="M776" s="69" t="str">
        <x:v>Put the third object from the right in the bowl.</x:v>
      </x:c>
      <x:c r="N776" s="69" t="str">
        <x:v>airplane toy with propellers, yellow pen, blue tape ball, green highlighter</x:v>
      </x:c>
      <x:c r="O776" s="69" t="str">
        <x:v>yellow pen</x:v>
      </x:c>
      <x:c r="P776" s="70" t="str">
        <x:v>Direct-name control at the same physical output positions prevents prompt type from predicting the easy half of the sequence.</x:v>
      </x:c>
    </x:row>
    <x:row r="777" ht="58" customHeight="1">
      <x:c r="A777" s="100" t="n">
        <x:v>775</x:v>
      </x:c>
      <x:c r="B777" s="69" t="str">
        <x:v>Ordering/Sequencing</x:v>
      </x:c>
      <x:c r="C777" s="69" t="str">
        <x:v>Put the yellow pen in the bowl.</x:v>
      </x:c>
      <x:c r="D777" s="69" t="str">
        <x:v>Direct-object ordering control</x:v>
      </x:c>
      <x:c r="E777" s="69" t="str">
        <x:v>direct object identity; physical target position L2</x:v>
      </x:c>
      <x:c r="F777" s="69" t="str">
        <x:v>ordering_n4</x:v>
      </x:c>
      <x:c r="G777" s="69" t="str">
        <x:v>exact phrases first from the right and third from the left; physical positions L4 and L3 remain trained through fourth-from-left and second-from-right</x:v>
      </x:c>
      <x:c r="H777" s="69" t="str">
        <x:v>Yes</x:v>
      </x:c>
      <x:c r="I777" s="69" t="str">
        <x:v>replace ordering demonstration</x:v>
      </x:c>
      <x:c r="J777" s="69" t="str">
        <x:v>Four collinear objects, camera-view left to right: L1 blue tape ball; L2 yellow pen; L3 green highlighter; L4 airplane toy with propellers. Use approximately 10 cm centre-to-centre spacing; target at L2.</x:v>
      </x:c>
      <x:c r="K777" s="69" t="str">
        <x:v>yellow pen</x:v>
      </x:c>
      <x:c r="L777" s="69" t="str">
        <x:v>Home</x:v>
      </x:c>
      <x:c r="M777" s="69" t="str">
        <x:v>Move the yellow pen into the bowl.</x:v>
      </x:c>
      <x:c r="N777" s="69" t="str">
        <x:v>airplane toy with propellers, blue tape ball, yellow pen, green highlighter</x:v>
      </x:c>
      <x:c r="O777" s="69" t="str">
        <x:v>yellow pen</x:v>
      </x:c>
      <x:c r="P777" s="70" t="str">
        <x:v>Direct-name control at the same physical output positions prevents prompt type from predicting the easy half of the sequence.</x:v>
      </x:c>
    </x:row>
    <x:row r="778" ht="58" customHeight="1">
      <x:c r="A778" s="100" t="n">
        <x:v>776</x:v>
      </x:c>
      <x:c r="B778" s="69" t="str">
        <x:v>Ordering/Sequencing</x:v>
      </x:c>
      <x:c r="C778" s="69" t="str">
        <x:v>Pick up the airplane toy with propellers and place it in the bowl.</x:v>
      </x:c>
      <x:c r="D778" s="69" t="str">
        <x:v>Direct-object ordering control</x:v>
      </x:c>
      <x:c r="E778" s="69" t="str">
        <x:v>direct object identity; physical target position L2</x:v>
      </x:c>
      <x:c r="F778" s="69" t="str">
        <x:v>ordering_n4</x:v>
      </x:c>
      <x:c r="G778" s="69" t="str">
        <x:v>exact phrases first from the right and third from the left; physical positions L4 and L3 remain trained through fourth-from-left and second-from-right</x:v>
      </x:c>
      <x:c r="H778" s="69" t="str">
        <x:v>Yes</x:v>
      </x:c>
      <x:c r="I778" s="69" t="str">
        <x:v>replace ordering demonstration</x:v>
      </x:c>
      <x:c r="J778" s="69" t="str">
        <x:v>Four collinear objects, camera-view left to right: L1 yellow pen; L2 airplane toy with propellers; L3 blue tape ball; L4 green highlighter. Use approximately 10 cm centre-to-centre spacing; target at L2.</x:v>
      </x:c>
      <x:c r="K778" s="69" t="str">
        <x:v>airplane toy with propellers</x:v>
      </x:c>
      <x:c r="L778" s="69" t="str">
        <x:v>Home</x:v>
      </x:c>
      <x:c r="M778" s="69" t="str">
        <x:v>Put the yellow pen in the bowl.</x:v>
      </x:c>
      <x:c r="N778" s="69" t="str">
        <x:v>airplane toy with propellers, green highlighter, yellow pen, blue tape ball</x:v>
      </x:c>
      <x:c r="O778" s="69" t="str">
        <x:v>yellow pen</x:v>
      </x:c>
      <x:c r="P778" s="70" t="str">
        <x:v>Direct-name control at the same physical output positions prevents prompt type from predicting the easy half of the sequence.</x:v>
      </x:c>
    </x:row>
    <x:row r="779" ht="58" customHeight="1">
      <x:c r="A779" s="100" t="n">
        <x:v>777</x:v>
      </x:c>
      <x:c r="B779" s="69" t="str">
        <x:v>Ordering/Sequencing</x:v>
      </x:c>
      <x:c r="C779" s="69" t="str">
        <x:v>Move the blue tape ball into the bowl.</x:v>
      </x:c>
      <x:c r="D779" s="69" t="str">
        <x:v>Direct-object ordering control</x:v>
      </x:c>
      <x:c r="E779" s="69" t="str">
        <x:v>direct object identity; physical target position L2</x:v>
      </x:c>
      <x:c r="F779" s="69" t="str">
        <x:v>ordering_n4</x:v>
      </x:c>
      <x:c r="G779" s="69" t="str">
        <x:v>exact phrases first from the right and third from the left; physical positions L4 and L3 remain trained through fourth-from-left and second-from-right</x:v>
      </x:c>
      <x:c r="H779" s="69" t="str">
        <x:v>Yes</x:v>
      </x:c>
      <x:c r="I779" s="69" t="str">
        <x:v>replace ordering demonstration</x:v>
      </x:c>
      <x:c r="J779" s="69" t="str">
        <x:v>Four collinear objects, camera-view left to right: L1 yellow pen; L2 blue tape ball; L3 airplane toy with propellers; L4 green highlighter. Use approximately 10 cm centre-to-centre spacing; target at L2.</x:v>
      </x:c>
      <x:c r="K779" s="69" t="str">
        <x:v>blue tape ball</x:v>
      </x:c>
      <x:c r="L779" s="69" t="str">
        <x:v>Home</x:v>
      </x:c>
      <x:c r="M779" s="69" t="str">
        <x:v>Pick up the yellow pen and place it in the bowl.</x:v>
      </x:c>
      <x:c r="N779" s="69" t="str">
        <x:v>blue tape ball, airplane toy with propellers, yellow pen, green highlighter</x:v>
      </x:c>
      <x:c r="O779" s="69" t="str">
        <x:v>yellow pen</x:v>
      </x:c>
      <x:c r="P779" s="70" t="str">
        <x:v>Direct-name control at the same physical output positions prevents prompt type from predicting the easy half of the sequence.</x:v>
      </x:c>
    </x:row>
    <x:row r="780" ht="58" customHeight="1">
      <x:c r="A780" s="100" t="n">
        <x:v>778</x:v>
      </x:c>
      <x:c r="B780" s="69" t="str">
        <x:v>Ordering/Sequencing</x:v>
      </x:c>
      <x:c r="C780" s="69" t="str">
        <x:v>Put the green highlighter in the bowl.</x:v>
      </x:c>
      <x:c r="D780" s="69" t="str">
        <x:v>Direct-object ordering control</x:v>
      </x:c>
      <x:c r="E780" s="69" t="str">
        <x:v>direct object identity; physical target position L2</x:v>
      </x:c>
      <x:c r="F780" s="69" t="str">
        <x:v>ordering_n4</x:v>
      </x:c>
      <x:c r="G780" s="69" t="str">
        <x:v>exact phrases first from the right and third from the left; physical positions L4 and L3 remain trained through fourth-from-left and second-from-right</x:v>
      </x:c>
      <x:c r="H780" s="69" t="str">
        <x:v>Yes</x:v>
      </x:c>
      <x:c r="I780" s="69" t="str">
        <x:v>replace ordering demonstration</x:v>
      </x:c>
      <x:c r="J780" s="69" t="str">
        <x:v>Four collinear objects, camera-view left to right: L1 yellow pen; L2 green highlighter; L3 airplane toy with propellers; L4 blue tape ball. Use approximately 10 cm centre-to-centre spacing; target at L2.</x:v>
      </x:c>
      <x:c r="K780" s="69" t="str">
        <x:v>green highlighter</x:v>
      </x:c>
      <x:c r="L780" s="69" t="str">
        <x:v>Home</x:v>
      </x:c>
      <x:c r="M780" s="69" t="str">
        <x:v>Move the yellow pen into the bowl.</x:v>
      </x:c>
      <x:c r="N780" s="69" t="str">
        <x:v>blue tape ball, green highlighter, yellow pen, airplane toy with propellers</x:v>
      </x:c>
      <x:c r="O780" s="69" t="str">
        <x:v>yellow pen</x:v>
      </x:c>
      <x:c r="P780" s="70" t="str">
        <x:v>Direct-name control at the same physical output positions prevents prompt type from predicting the easy half of the sequence.</x:v>
      </x:c>
    </x:row>
    <x:row r="781" ht="58" customHeight="1">
      <x:c r="A781" s="100" t="n">
        <x:v>779</x:v>
      </x:c>
      <x:c r="B781" s="69" t="str">
        <x:v>Ordering/Sequencing</x:v>
      </x:c>
      <x:c r="C781" s="69" t="str">
        <x:v>Pick up the yellow pen and place it in the bowl.</x:v>
      </x:c>
      <x:c r="D781" s="69" t="str">
        <x:v>Direct-object ordering control</x:v>
      </x:c>
      <x:c r="E781" s="69" t="str">
        <x:v>direct object identity; physical target position L2</x:v>
      </x:c>
      <x:c r="F781" s="69" t="str">
        <x:v>ordering_n4</x:v>
      </x:c>
      <x:c r="G781" s="69" t="str">
        <x:v>exact phrases first from the right and third from the left; physical positions L4 and L3 remain trained through fourth-from-left and second-from-right</x:v>
      </x:c>
      <x:c r="H781" s="69" t="str">
        <x:v>Yes</x:v>
      </x:c>
      <x:c r="I781" s="69" t="str">
        <x:v>replace ordering demonstration</x:v>
      </x:c>
      <x:c r="J781" s="69" t="str">
        <x:v>Four collinear objects, camera-view left to right: L1 green highlighter; L2 yellow pen; L3 airplane toy with propellers; L4 blue tape ball. Use approximately 10 cm centre-to-centre spacing; target at L2.</x:v>
      </x:c>
      <x:c r="K781" s="69" t="str">
        <x:v>yellow pen</x:v>
      </x:c>
      <x:c r="L781" s="69" t="str">
        <x:v>Home</x:v>
      </x:c>
      <x:c r="M781" s="69" t="str">
        <x:v>Move the yellow pen into the bowl.</x:v>
      </x:c>
      <x:c r="N781" s="69" t="str">
        <x:v>airplane toy with propellers, blue tape ball, yellow pen</x:v>
      </x:c>
      <x:c r="O781" s="69" t="str">
        <x:v>yellow pen</x:v>
      </x:c>
      <x:c r="P781" s="70" t="str">
        <x:v>Direct-name control at the same physical output positions prevents prompt type from predicting the easy half of the sequence.</x:v>
      </x:c>
    </x:row>
    <x:row r="782" ht="58" customHeight="1">
      <x:c r="A782" s="100" t="n">
        <x:v>780</x:v>
      </x:c>
      <x:c r="B782" s="69" t="str">
        <x:v>Ordering/Sequencing</x:v>
      </x:c>
      <x:c r="C782" s="69" t="str">
        <x:v>Move the airplane toy with propellers into the bowl.</x:v>
      </x:c>
      <x:c r="D782" s="69" t="str">
        <x:v>Direct-object ordering control</x:v>
      </x:c>
      <x:c r="E782" s="69" t="str">
        <x:v>direct object identity; physical target position L3</x:v>
      </x:c>
      <x:c r="F782" s="69" t="str">
        <x:v>ordering_n4</x:v>
      </x:c>
      <x:c r="G782" s="69" t="str">
        <x:v>exact phrases first from the right and third from the left; physical positions L4 and L3 remain trained through fourth-from-left and second-from-right</x:v>
      </x:c>
      <x:c r="H782" s="69" t="str">
        <x:v>Yes</x:v>
      </x:c>
      <x:c r="I782" s="69" t="str">
        <x:v>replace ordering demonstration</x:v>
      </x:c>
      <x:c r="J782" s="69" t="str">
        <x:v>Four collinear objects, camera-view left to right: L1 blue tape ball; L2 green highlighter; L3 airplane toy with propellers; L4 yellow pen. Use approximately 10 cm centre-to-centre spacing; target at L3.</x:v>
      </x:c>
      <x:c r="K782" s="69" t="str">
        <x:v>airplane toy with propellers</x:v>
      </x:c>
      <x:c r="L782" s="69" t="str">
        <x:v>Home</x:v>
      </x:c>
      <x:c r="M782" s="69" t="str">
        <x:v>Move the yellow pen into the bowl.</x:v>
      </x:c>
      <x:c r="N782" s="69" t="str">
        <x:v>airplane toy with propellers, green highlighter, yellow pen</x:v>
      </x:c>
      <x:c r="O782" s="69" t="str">
        <x:v>yellow pen</x:v>
      </x:c>
      <x:c r="P782" s="70" t="str">
        <x:v>Direct-name control at the same physical output positions prevents prompt type from predicting the easy half of the sequence.</x:v>
      </x:c>
    </x:row>
    <x:row r="783" ht="58" customHeight="1">
      <x:c r="A783" s="100" t="n">
        <x:v>781</x:v>
      </x:c>
      <x:c r="B783" s="69" t="str">
        <x:v>Ordering/Sequencing</x:v>
      </x:c>
      <x:c r="C783" s="69" t="str">
        <x:v>Put the blue tape ball in the bowl.</x:v>
      </x:c>
      <x:c r="D783" s="69" t="str">
        <x:v>Direct-object ordering control</x:v>
      </x:c>
      <x:c r="E783" s="69" t="str">
        <x:v>direct object identity; physical target position L3</x:v>
      </x:c>
      <x:c r="F783" s="69" t="str">
        <x:v>ordering_n4</x:v>
      </x:c>
      <x:c r="G783" s="69" t="str">
        <x:v>exact phrases first from the right and third from the left; physical positions L4 and L3 remain trained through fourth-from-left and second-from-right</x:v>
      </x:c>
      <x:c r="H783" s="69" t="str">
        <x:v>Yes</x:v>
      </x:c>
      <x:c r="I783" s="69" t="str">
        <x:v>replace ordering demonstration</x:v>
      </x:c>
      <x:c r="J783" s="69" t="str">
        <x:v>Four collinear objects, camera-view left to right: L1 airplane toy with propellers; L2 green highlighter; L3 blue tape ball; L4 yellow pen. Use approximately 10 cm centre-to-centre spacing; target at L3.</x:v>
      </x:c>
      <x:c r="K783" s="69" t="str">
        <x:v>blue tape ball</x:v>
      </x:c>
      <x:c r="L783" s="69" t="str">
        <x:v>Home</x:v>
      </x:c>
      <x:c r="M783" s="69" t="str">
        <x:v>Put the yellow pen in the bowl.</x:v>
      </x:c>
      <x:c r="N783" s="69" t="str">
        <x:v>blue tape ball, airplane toy with propellers, yellow pen</x:v>
      </x:c>
      <x:c r="O783" s="69" t="str">
        <x:v>yellow pen</x:v>
      </x:c>
      <x:c r="P783" s="70" t="str">
        <x:v>Direct-name control at the same physical output positions prevents prompt type from predicting the easy half of the sequence.</x:v>
      </x:c>
    </x:row>
    <x:row r="784" ht="58" customHeight="1">
      <x:c r="A784" s="100" t="n">
        <x:v>782</x:v>
      </x:c>
      <x:c r="B784" s="69" t="str">
        <x:v>Ordering/Sequencing</x:v>
      </x:c>
      <x:c r="C784" s="69" t="str">
        <x:v>Pick up the green highlighter and place it in the bowl.</x:v>
      </x:c>
      <x:c r="D784" s="69" t="str">
        <x:v>Direct-object ordering control</x:v>
      </x:c>
      <x:c r="E784" s="69" t="str">
        <x:v>direct object identity; physical target position L3</x:v>
      </x:c>
      <x:c r="F784" s="69" t="str">
        <x:v>ordering_n4</x:v>
      </x:c>
      <x:c r="G784" s="69" t="str">
        <x:v>exact phrases first from the right and third from the left; physical positions L4 and L3 remain trained through fourth-from-left and second-from-right</x:v>
      </x:c>
      <x:c r="H784" s="69" t="str">
        <x:v>Yes</x:v>
      </x:c>
      <x:c r="I784" s="69" t="str">
        <x:v>replace ordering demonstration</x:v>
      </x:c>
      <x:c r="J784" s="69" t="str">
        <x:v>Four collinear objects, camera-view left to right: L1 airplane toy with propellers; L2 blue tape ball; L3 green highlighter; L4 yellow pen. Use approximately 10 cm centre-to-centre spacing; target at L3.</x:v>
      </x:c>
      <x:c r="K784" s="69" t="str">
        <x:v>green highlighter</x:v>
      </x:c>
      <x:c r="L784" s="69" t="str">
        <x:v>Home</x:v>
      </x:c>
      <x:c r="M784" s="69" t="str">
        <x:v>Put the yellow pen in the bowl.</x:v>
      </x:c>
      <x:c r="N784" s="69" t="str">
        <x:v>blue tape ball, green highlighter, yellow pen</x:v>
      </x:c>
      <x:c r="O784" s="69" t="str">
        <x:v>yellow pen</x:v>
      </x:c>
      <x:c r="P784" s="70" t="str">
        <x:v>Direct-name control at the same physical output positions prevents prompt type from predicting the easy half of the sequence.</x:v>
      </x:c>
    </x:row>
    <x:row r="785" ht="58" customHeight="1">
      <x:c r="A785" s="100" t="n">
        <x:v>783</x:v>
      </x:c>
      <x:c r="B785" s="69" t="str">
        <x:v>Ordering/Sequencing</x:v>
      </x:c>
      <x:c r="C785" s="69" t="str">
        <x:v>Move the yellow pen into the bowl.</x:v>
      </x:c>
      <x:c r="D785" s="69" t="str">
        <x:v>Direct-object ordering control</x:v>
      </x:c>
      <x:c r="E785" s="69" t="str">
        <x:v>direct object identity; physical target position L3</x:v>
      </x:c>
      <x:c r="F785" s="69" t="str">
        <x:v>ordering_n4</x:v>
      </x:c>
      <x:c r="G785" s="69" t="str">
        <x:v>exact phrases first from the right and third from the left; physical positions L4 and L3 remain trained through fourth-from-left and second-from-right</x:v>
      </x:c>
      <x:c r="H785" s="69" t="str">
        <x:v>Yes</x:v>
      </x:c>
      <x:c r="I785" s="69" t="str">
        <x:v>replace ordering demonstration</x:v>
      </x:c>
      <x:c r="J785" s="69" t="str">
        <x:v>Four collinear objects, camera-view left to right: L1 airplane toy with propellers; L2 blue tape ball; L3 yellow pen; L4 green highlighter. Use approximately 10 cm centre-to-centre spacing; target at L3.</x:v>
      </x:c>
      <x:c r="K785" s="69" t="str">
        <x:v>yellow pen</x:v>
      </x:c>
      <x:c r="L785" s="69" t="str">
        <x:v>Home</x:v>
      </x:c>
      <x:c r="M785" s="69" t="str">
        <x:v>Pick up the yellow pen and place it in the bowl.</x:v>
      </x:c>
      <x:c r="N785" s="69" t="str">
        <x:v>green highlighter, airplane toy with propellers, yellow pen</x:v>
      </x:c>
      <x:c r="O785" s="69" t="str">
        <x:v>yellow pen</x:v>
      </x:c>
      <x:c r="P785" s="70" t="str">
        <x:v>Direct-name control at the same physical output positions prevents prompt type from predicting the easy half of the sequence.</x:v>
      </x:c>
    </x:row>
    <x:row r="786" ht="58" customHeight="1">
      <x:c r="A786" s="100" t="n">
        <x:v>784</x:v>
      </x:c>
      <x:c r="B786" s="69" t="str">
        <x:v>Ordering/Sequencing</x:v>
      </x:c>
      <x:c r="C786" s="69" t="str">
        <x:v>Put the airplane toy with propellers in the bowl.</x:v>
      </x:c>
      <x:c r="D786" s="69" t="str">
        <x:v>Direct-object ordering control</x:v>
      </x:c>
      <x:c r="E786" s="69" t="str">
        <x:v>direct object identity; physical target position L3</x:v>
      </x:c>
      <x:c r="F786" s="69" t="str">
        <x:v>ordering_n4</x:v>
      </x:c>
      <x:c r="G786" s="69" t="str">
        <x:v>exact phrases first from the right and third from the left; physical positions L4 and L3 remain trained through fourth-from-left and second-from-right</x:v>
      </x:c>
      <x:c r="H786" s="69" t="str">
        <x:v>Yes</x:v>
      </x:c>
      <x:c r="I786" s="69" t="str">
        <x:v>replace ordering demonstration</x:v>
      </x:c>
      <x:c r="J786" s="69" t="str">
        <x:v>Four collinear objects, camera-view left to right: L1 green highlighter; L2 yellow pen; L3 airplane toy with propellers; L4 blue tape ball. Use approximately 10 cm centre-to-centre spacing; target at L3.</x:v>
      </x:c>
      <x:c r="K786" s="69" t="str">
        <x:v>airplane toy with propellers</x:v>
      </x:c>
      <x:c r="L786" s="69" t="str">
        <x:v>Home</x:v>
      </x:c>
      <x:c r="M786" s="69" t="str">
        <x:v>Pick up the yellow pen and place it in the bowl.</x:v>
      </x:c>
      <x:c r="N786" s="69" t="str">
        <x:v>green highlighter, blue tape ball, yellow pen</x:v>
      </x:c>
      <x:c r="O786" s="69" t="str">
        <x:v>yellow pen</x:v>
      </x:c>
      <x:c r="P786" s="70" t="str">
        <x:v>Direct-name control at the same physical output positions prevents prompt type from predicting the easy half of the sequence.</x:v>
      </x:c>
    </x:row>
    <x:row r="787" ht="58" customHeight="1">
      <x:c r="A787" s="100" t="n">
        <x:v>785</x:v>
      </x:c>
      <x:c r="B787" s="69" t="str">
        <x:v>Ordering/Sequencing</x:v>
      </x:c>
      <x:c r="C787" s="69" t="str">
        <x:v>Pick up the blue tape ball and place it in the bowl.</x:v>
      </x:c>
      <x:c r="D787" s="69" t="str">
        <x:v>Direct-object ordering control</x:v>
      </x:c>
      <x:c r="E787" s="69" t="str">
        <x:v>direct object identity; physical target position L3</x:v>
      </x:c>
      <x:c r="F787" s="69" t="str">
        <x:v>ordering_n4</x:v>
      </x:c>
      <x:c r="G787" s="69" t="str">
        <x:v>exact phrases first from the right and third from the left; physical positions L4 and L3 remain trained through fourth-from-left and second-from-right</x:v>
      </x:c>
      <x:c r="H787" s="69" t="str">
        <x:v>Yes</x:v>
      </x:c>
      <x:c r="I787" s="69" t="str">
        <x:v>replace ordering demonstration</x:v>
      </x:c>
      <x:c r="J787" s="69" t="str">
        <x:v>Four collinear objects, camera-view left to right: L1 green highlighter; L2 yellow pen; L3 blue tape ball; L4 airplane toy with propellers. Use approximately 10 cm centre-to-centre spacing; target at L3.</x:v>
      </x:c>
      <x:c r="K787" s="69" t="str">
        <x:v>blue tape ball</x:v>
      </x:c>
      <x:c r="L787" s="69" t="str">
        <x:v>Recovery</x:v>
      </x:c>
      <x:c r="M787" s="69" t="str">
        <x:v>Put the yellow pen in the bowl.</x:v>
      </x:c>
      <x:c r="N787" s="69" t="str">
        <x:v>green highlighter, airplane toy with propellers, yellow pen, blue tape ball</x:v>
      </x:c>
      <x:c r="O787" s="69" t="str">
        <x:v>yellow pen</x:v>
      </x:c>
      <x:c r="P787" s="70" t="str">
        <x:v>Direct-name control at the same physical output positions prevents prompt type from predicting the easy half of the sequence.</x:v>
      </x:c>
    </x:row>
    <x:row r="788" ht="58" customHeight="1">
      <x:c r="A788" s="100" t="n">
        <x:v>786</x:v>
      </x:c>
      <x:c r="B788" s="69" t="str">
        <x:v>Ordering/Sequencing</x:v>
      </x:c>
      <x:c r="C788" s="69" t="str">
        <x:v>Move the green highlighter into the bowl.</x:v>
      </x:c>
      <x:c r="D788" s="69" t="str">
        <x:v>Direct-object ordering control</x:v>
      </x:c>
      <x:c r="E788" s="69" t="str">
        <x:v>direct object identity; physical target position L3</x:v>
      </x:c>
      <x:c r="F788" s="69" t="str">
        <x:v>ordering_n4</x:v>
      </x:c>
      <x:c r="G788" s="69" t="str">
        <x:v>exact phrases first from the right and third from the left; physical positions L4 and L3 remain trained through fourth-from-left and second-from-right</x:v>
      </x:c>
      <x:c r="H788" s="69" t="str">
        <x:v>Yes</x:v>
      </x:c>
      <x:c r="I788" s="69" t="str">
        <x:v>replace ordering demonstration</x:v>
      </x:c>
      <x:c r="J788" s="69" t="str">
        <x:v>Four collinear objects, camera-view left to right: L1 blue tape ball; L2 yellow pen; L3 green highlighter; L4 airplane toy with propellers. Use approximately 10 cm centre-to-centre spacing; target at L3.</x:v>
      </x:c>
      <x:c r="K788" s="69" t="str">
        <x:v>green highlighter</x:v>
      </x:c>
      <x:c r="L788" s="69" t="str">
        <x:v>Recovery</x:v>
      </x:c>
      <x:c r="M788" s="69" t="str">
        <x:v>Pick up the yellow pen and place it in the bowl.</x:v>
      </x:c>
      <x:c r="N788" s="69" t="str">
        <x:v>green highlighter, blue tape ball, yellow pen, airplane toy with propellers</x:v>
      </x:c>
      <x:c r="O788" s="69" t="str">
        <x:v>yellow pen</x:v>
      </x:c>
      <x:c r="P788" s="70" t="str">
        <x:v>Direct-name control at the same physical output positions prevents prompt type from predicting the easy half of the sequence.</x:v>
      </x:c>
    </x:row>
    <x:row r="789" ht="58" customHeight="1">
      <x:c r="A789" s="100" t="n">
        <x:v>787</x:v>
      </x:c>
      <x:c r="B789" s="69" t="str">
        <x:v>Ordering/Sequencing</x:v>
      </x:c>
      <x:c r="C789" s="69" t="str">
        <x:v>Put the yellow pen in the bowl.</x:v>
      </x:c>
      <x:c r="D789" s="69" t="str">
        <x:v>Direct-object ordering control</x:v>
      </x:c>
      <x:c r="E789" s="69" t="str">
        <x:v>direct object identity; physical target position L3</x:v>
      </x:c>
      <x:c r="F789" s="69" t="str">
        <x:v>ordering_n4</x:v>
      </x:c>
      <x:c r="G789" s="69" t="str">
        <x:v>exact phrases first from the right and third from the left; physical positions L4 and L3 remain trained through fourth-from-left and second-from-right</x:v>
      </x:c>
      <x:c r="H789" s="69" t="str">
        <x:v>Yes</x:v>
      </x:c>
      <x:c r="I789" s="69" t="str">
        <x:v>replace ordering demonstration</x:v>
      </x:c>
      <x:c r="J789" s="69" t="str">
        <x:v>Four collinear objects, camera-view left to right: L1 blue tape ball; L2 green highlighter; L3 yellow pen; L4 airplane toy with propellers. Use approximately 10 cm centre-to-centre spacing; target at L3.</x:v>
      </x:c>
      <x:c r="K789" s="69" t="str">
        <x:v>yellow pen</x:v>
      </x:c>
      <x:c r="L789" s="69" t="str">
        <x:v>Home</x:v>
      </x:c>
      <x:c r="M789" s="69" t="str">
        <x:v>Move the yellow pen into the bowl.</x:v>
      </x:c>
      <x:c r="N789" s="69" t="str">
        <x:v>airplane toy with propellers, blue tape ball, green highlighter, yellow pen</x:v>
      </x:c>
      <x:c r="O789" s="69" t="str">
        <x:v>yellow pen</x:v>
      </x:c>
      <x:c r="P789" s="70" t="str">
        <x:v>Direct-name control at the same physical output positions prevents prompt type from predicting the easy half of the sequence.</x:v>
      </x:c>
    </x:row>
    <x:row r="790" ht="58" customHeight="1">
      <x:c r="A790" s="100" t="n">
        <x:v>788</x:v>
      </x:c>
      <x:c r="B790" s="69" t="str">
        <x:v>Ordering/Sequencing</x:v>
      </x:c>
      <x:c r="C790" s="69" t="str">
        <x:v>Pick up the airplane toy with propellers and place it in the bowl.</x:v>
      </x:c>
      <x:c r="D790" s="69" t="str">
        <x:v>Direct-object ordering control</x:v>
      </x:c>
      <x:c r="E790" s="69" t="str">
        <x:v>direct object identity; physical target position L3</x:v>
      </x:c>
      <x:c r="F790" s="69" t="str">
        <x:v>ordering_n4</x:v>
      </x:c>
      <x:c r="G790" s="69" t="str">
        <x:v>exact phrases first from the right and third from the left; physical positions L4 and L3 remain trained through fourth-from-left and second-from-right</x:v>
      </x:c>
      <x:c r="H790" s="69" t="str">
        <x:v>Yes</x:v>
      </x:c>
      <x:c r="I790" s="69" t="str">
        <x:v>replace ordering demonstration</x:v>
      </x:c>
      <x:c r="J790" s="69" t="str">
        <x:v>Four collinear objects, camera-view left to right: L1 yellow pen; L2 blue tape ball; L3 airplane toy with propellers; L4 green highlighter. Use approximately 10 cm centre-to-centre spacing; target at L3.</x:v>
      </x:c>
      <x:c r="K790" s="69" t="str">
        <x:v>airplane toy with propellers</x:v>
      </x:c>
      <x:c r="L790" s="69" t="str">
        <x:v>Home</x:v>
      </x:c>
      <x:c r="M790" s="69" t="str">
        <x:v>Put the yellow pen in the bowl.</x:v>
      </x:c>
      <x:c r="N790" s="69" t="str">
        <x:v>airplane toy with propellers, green highlighter, blue tape ball, yellow pen</x:v>
      </x:c>
      <x:c r="O790" s="69" t="str">
        <x:v>yellow pen</x:v>
      </x:c>
      <x:c r="P790" s="70" t="str">
        <x:v>Direct-name control at the same physical output positions prevents prompt type from predicting the easy half of the sequence.</x:v>
      </x:c>
    </x:row>
    <x:row r="791" ht="58" customHeight="1">
      <x:c r="A791" s="100" t="n">
        <x:v>789</x:v>
      </x:c>
      <x:c r="B791" s="69" t="str">
        <x:v>Ordering/Sequencing</x:v>
      </x:c>
      <x:c r="C791" s="69" t="str">
        <x:v>Move the blue tape ball into the bowl.</x:v>
      </x:c>
      <x:c r="D791" s="69" t="str">
        <x:v>Direct-object ordering control</x:v>
      </x:c>
      <x:c r="E791" s="69" t="str">
        <x:v>direct object identity; physical target position L3</x:v>
      </x:c>
      <x:c r="F791" s="69" t="str">
        <x:v>ordering_n4</x:v>
      </x:c>
      <x:c r="G791" s="69" t="str">
        <x:v>exact phrases first from the right and third from the left; physical positions L4 and L3 remain trained through fourth-from-left and second-from-right</x:v>
      </x:c>
      <x:c r="H791" s="69" t="str">
        <x:v>Yes</x:v>
      </x:c>
      <x:c r="I791" s="69" t="str">
        <x:v>replace ordering demonstration</x:v>
      </x:c>
      <x:c r="J791" s="69" t="str">
        <x:v>Four collinear objects, camera-view left to right: L1 yellow pen; L2 airplane toy with propellers; L3 blue tape ball; L4 green highlighter. Use approximately 10 cm centre-to-centre spacing; target at L3.</x:v>
      </x:c>
      <x:c r="K791" s="69" t="str">
        <x:v>blue tape ball</x:v>
      </x:c>
      <x:c r="L791" s="69" t="str">
        <x:v>Home</x:v>
      </x:c>
      <x:c r="M791" s="69" t="str">
        <x:v>Pick up the yellow pen and place it in the bowl.</x:v>
      </x:c>
      <x:c r="N791" s="69" t="str">
        <x:v>blue tape ball, airplane toy with propellers, green highlighter, yellow pen</x:v>
      </x:c>
      <x:c r="O791" s="69" t="str">
        <x:v>yellow pen</x:v>
      </x:c>
      <x:c r="P791" s="70" t="str">
        <x:v>Direct-name control at the same physical output positions prevents prompt type from predicting the easy half of the sequence.</x:v>
      </x:c>
    </x:row>
    <x:row r="792" ht="58" customHeight="1">
      <x:c r="A792" s="100" t="n">
        <x:v>790</x:v>
      </x:c>
      <x:c r="B792" s="69" t="str">
        <x:v>Ordering/Sequencing</x:v>
      </x:c>
      <x:c r="C792" s="69" t="str">
        <x:v>Put the green highlighter in the bowl.</x:v>
      </x:c>
      <x:c r="D792" s="69" t="str">
        <x:v>Direct-object ordering control</x:v>
      </x:c>
      <x:c r="E792" s="69" t="str">
        <x:v>direct object identity; physical target position L4</x:v>
      </x:c>
      <x:c r="F792" s="69" t="str">
        <x:v>ordering_n4</x:v>
      </x:c>
      <x:c r="G792" s="69" t="str">
        <x:v>exact phrases first from the right and third from the left; physical positions L4 and L3 remain trained through fourth-from-left and second-from-right</x:v>
      </x:c>
      <x:c r="H792" s="69" t="str">
        <x:v>Yes</x:v>
      </x:c>
      <x:c r="I792" s="69" t="str">
        <x:v>replace ordering demonstration</x:v>
      </x:c>
      <x:c r="J792" s="69" t="str">
        <x:v>Four collinear objects, camera-view left to right: L1 yellow pen; L2 airplane toy with propellers; L3 blue tape ball; L4 green highlighter. Use approximately 10 cm centre-to-centre spacing; target at L4.</x:v>
      </x:c>
      <x:c r="K792" s="69" t="str">
        <x:v>green highlighter</x:v>
      </x:c>
      <x:c r="L792" s="69" t="str">
        <x:v>Home</x:v>
      </x:c>
      <x:c r="M792" s="69" t="str">
        <x:v>Move the yellow pen into the bowl.</x:v>
      </x:c>
      <x:c r="N792" s="69" t="str">
        <x:v>blue tape ball, green highlighter, airplane toy with propellers, yellow pen</x:v>
      </x:c>
      <x:c r="O792" s="69" t="str">
        <x:v>yellow pen</x:v>
      </x:c>
      <x:c r="P792" s="70" t="str">
        <x:v>Direct-name control at the same physical output positions prevents prompt type from predicting the easy half of the sequence.</x:v>
      </x:c>
    </x:row>
    <x:row r="793" ht="58" customHeight="1">
      <x:c r="A793" s="100" t="n">
        <x:v>791</x:v>
      </x:c>
      <x:c r="B793" s="69" t="str">
        <x:v>Ordering/Sequencing</x:v>
      </x:c>
      <x:c r="C793" s="69" t="str">
        <x:v>Pick up the yellow pen and place it in the bowl.</x:v>
      </x:c>
      <x:c r="D793" s="69" t="str">
        <x:v>Direct-object ordering control</x:v>
      </x:c>
      <x:c r="E793" s="69" t="str">
        <x:v>direct object identity; physical target position L4</x:v>
      </x:c>
      <x:c r="F793" s="69" t="str">
        <x:v>ordering_n4</x:v>
      </x:c>
      <x:c r="G793" s="69" t="str">
        <x:v>exact phrases first from the right and third from the left; physical positions L4 and L3 remain trained through fourth-from-left and second-from-right</x:v>
      </x:c>
      <x:c r="H793" s="69" t="str">
        <x:v>Yes</x:v>
      </x:c>
      <x:c r="I793" s="69" t="str">
        <x:v>replace ordering demonstration</x:v>
      </x:c>
      <x:c r="J793" s="69" t="str">
        <x:v>Four collinear objects, camera-view left to right: L1 green highlighter; L2 airplane toy with propellers; L3 blue tape ball; L4 yellow pen. Use approximately 10 cm centre-to-centre spacing; target at L4.</x:v>
      </x:c>
      <x:c r="K793" s="69" t="str">
        <x:v>yellow pen</x:v>
      </x:c>
      <x:c r="L793" s="69" t="str">
        <x:v>Home</x:v>
      </x:c>
      <x:c r="M793" s="69" t="str">
        <x:v>Put the yellow pen in the bowl.</x:v>
      </x:c>
      <x:c r="N793" s="69" t="str">
        <x:v>green highlighter, airplane toy with propellers, blue tape ball, yellow pen</x:v>
      </x:c>
      <x:c r="O793" s="69" t="str">
        <x:v>yellow pen</x:v>
      </x:c>
      <x:c r="P793" s="70" t="str">
        <x:v>Direct-name control at the same physical output positions prevents prompt type from predicting the easy half of the sequence.</x:v>
      </x:c>
    </x:row>
    <x:row r="794" ht="58" customHeight="1">
      <x:c r="A794" s="100" t="n">
        <x:v>792</x:v>
      </x:c>
      <x:c r="B794" s="69" t="str">
        <x:v>Ordering/Sequencing</x:v>
      </x:c>
      <x:c r="C794" s="69" t="str">
        <x:v>Move the airplane toy with propellers into the bowl.</x:v>
      </x:c>
      <x:c r="D794" s="69" t="str">
        <x:v>Direct-object ordering control</x:v>
      </x:c>
      <x:c r="E794" s="69" t="str">
        <x:v>direct object identity; physical target position L4</x:v>
      </x:c>
      <x:c r="F794" s="69" t="str">
        <x:v>ordering_n4</x:v>
      </x:c>
      <x:c r="G794" s="69" t="str">
        <x:v>exact phrases first from the right and third from the left; physical positions L4 and L3 remain trained through fourth-from-left and second-from-right</x:v>
      </x:c>
      <x:c r="H794" s="69" t="str">
        <x:v>Yes</x:v>
      </x:c>
      <x:c r="I794" s="69" t="str">
        <x:v>replace ordering demonstration</x:v>
      </x:c>
      <x:c r="J794" s="69" t="str">
        <x:v>Four collinear objects, camera-view left to right: L1 blue tape ball; L2 green highlighter; L3 yellow pen; L4 airplane toy with propellers. Use approximately 10 cm centre-to-centre spacing; target at L4.</x:v>
      </x:c>
      <x:c r="K794" s="69" t="str">
        <x:v>airplane toy with propellers</x:v>
      </x:c>
      <x:c r="L794" s="69" t="str">
        <x:v>Home</x:v>
      </x:c>
      <x:c r="M794" s="69" t="str">
        <x:v>Pick up the yellow pen and place it in the bowl.</x:v>
      </x:c>
      <x:c r="N794" s="69" t="str">
        <x:v>green highlighter, blue tape ball, airplane toy with propellers, yellow pen</x:v>
      </x:c>
      <x:c r="O794" s="69" t="str">
        <x:v>yellow pen</x:v>
      </x:c>
      <x:c r="P794" s="70" t="str">
        <x:v>Direct-name control at the same physical output positions prevents prompt type from predicting the easy half of the sequence.</x:v>
      </x:c>
    </x:row>
    <x:row r="795" ht="58" customHeight="1">
      <x:c r="A795" s="100" t="n">
        <x:v>793</x:v>
      </x:c>
      <x:c r="B795" s="69" t="str">
        <x:v>Ordering/Sequencing</x:v>
      </x:c>
      <x:c r="C795" s="69" t="str">
        <x:v>Put the blue tape ball in the bowl.</x:v>
      </x:c>
      <x:c r="D795" s="69" t="str">
        <x:v>Direct-object ordering control</x:v>
      </x:c>
      <x:c r="E795" s="69" t="str">
        <x:v>direct object identity; physical target position L4</x:v>
      </x:c>
      <x:c r="F795" s="69" t="str">
        <x:v>ordering_n4</x:v>
      </x:c>
      <x:c r="G795" s="69" t="str">
        <x:v>exact phrases first from the right and third from the left; physical positions L4 and L3 remain trained through fourth-from-left and second-from-right</x:v>
      </x:c>
      <x:c r="H795" s="69" t="str">
        <x:v>Yes</x:v>
      </x:c>
      <x:c r="I795" s="69" t="str">
        <x:v>replace ordering demonstration</x:v>
      </x:c>
      <x:c r="J795" s="69" t="str">
        <x:v>Four collinear objects, camera-view left to right: L1 airplane toy with propellers; L2 green highlighter; L3 yellow pen; L4 blue tape ball. Use approximately 10 cm centre-to-centre spacing; target at L4.</x:v>
      </x:c>
      <x:c r="K795" s="69" t="str">
        <x:v>blue tape ball</x:v>
      </x:c>
      <x:c r="L795" s="69" t="str">
        <x:v>Home</x:v>
      </x:c>
      <x:c r="M795" s="69" t="str">
        <x:v>Move the yellow pen into the bowl.</x:v>
      </x:c>
      <x:c r="N795" s="69" t="str">
        <x:v>airplane toy with propellers, blue tape ball, green highlighter, yellow pen</x:v>
      </x:c>
      <x:c r="O795" s="69" t="str">
        <x:v>yellow pen</x:v>
      </x:c>
      <x:c r="P795" s="70" t="str">
        <x:v>Direct-name control at the same physical output positions prevents prompt type from predicting the easy half of the sequence.</x:v>
      </x:c>
    </x:row>
    <x:row r="796" ht="58" customHeight="1">
      <x:c r="A796" s="100" t="n">
        <x:v>794</x:v>
      </x:c>
      <x:c r="B796" s="69" t="str">
        <x:v>Ordering/Sequencing</x:v>
      </x:c>
      <x:c r="C796" s="69" t="str">
        <x:v>Pick up the green highlighter and place it in the bowl.</x:v>
      </x:c>
      <x:c r="D796" s="69" t="str">
        <x:v>Direct-object ordering control</x:v>
      </x:c>
      <x:c r="E796" s="69" t="str">
        <x:v>direct object identity; physical target position L4</x:v>
      </x:c>
      <x:c r="F796" s="69" t="str">
        <x:v>ordering_n4</x:v>
      </x:c>
      <x:c r="G796" s="69" t="str">
        <x:v>exact phrases first from the right and third from the left; physical positions L4 and L3 remain trained through fourth-from-left and second-from-right</x:v>
      </x:c>
      <x:c r="H796" s="69" t="str">
        <x:v>Yes</x:v>
      </x:c>
      <x:c r="I796" s="69" t="str">
        <x:v>replace ordering demonstration</x:v>
      </x:c>
      <x:c r="J796" s="69" t="str">
        <x:v>Four collinear objects, camera-view left to right: L1 airplane toy with propellers; L2 blue tape ball; L3 yellow pen; L4 green highlighter. Use approximately 10 cm centre-to-centre spacing; target at L4.</x:v>
      </x:c>
      <x:c r="K796" s="69" t="str">
        <x:v>green highlighter</x:v>
      </x:c>
      <x:c r="L796" s="69" t="str">
        <x:v>Home</x:v>
      </x:c>
      <x:c r="M796" s="69" t="str">
        <x:v>Put the yellow pen in the bowl.</x:v>
      </x:c>
      <x:c r="N796" s="69" t="str">
        <x:v>airplane toy with propellers, green highlighter, blue tape ball, yellow pen</x:v>
      </x:c>
      <x:c r="O796" s="69" t="str">
        <x:v>yellow pen</x:v>
      </x:c>
      <x:c r="P796" s="70" t="str">
        <x:v>Direct-name control at the same physical output positions prevents prompt type from predicting the easy half of the sequence.</x:v>
      </x:c>
    </x:row>
    <x:row r="797" ht="58" customHeight="1">
      <x:c r="A797" s="100" t="n">
        <x:v>795</x:v>
      </x:c>
      <x:c r="B797" s="69" t="str">
        <x:v>Ordering/Sequencing</x:v>
      </x:c>
      <x:c r="C797" s="69" t="str">
        <x:v>Move the yellow pen into the bowl.</x:v>
      </x:c>
      <x:c r="D797" s="69" t="str">
        <x:v>Direct-object ordering control</x:v>
      </x:c>
      <x:c r="E797" s="69" t="str">
        <x:v>direct object identity; physical target position L4</x:v>
      </x:c>
      <x:c r="F797" s="69" t="str">
        <x:v>ordering_n4</x:v>
      </x:c>
      <x:c r="G797" s="69" t="str">
        <x:v>exact phrases first from the right and third from the left; physical positions L4 and L3 remain trained through fourth-from-left and second-from-right</x:v>
      </x:c>
      <x:c r="H797" s="69" t="str">
        <x:v>Yes</x:v>
      </x:c>
      <x:c r="I797" s="69" t="str">
        <x:v>replace ordering demonstration</x:v>
      </x:c>
      <x:c r="J797" s="69" t="str">
        <x:v>Four collinear objects, camera-view left to right: L1 airplane toy with propellers; L2 blue tape ball; L3 green highlighter; L4 yellow pen. Use approximately 10 cm centre-to-centre spacing; target at L4.</x:v>
      </x:c>
      <x:c r="K797" s="69" t="str">
        <x:v>yellow pen</x:v>
      </x:c>
      <x:c r="L797" s="69" t="str">
        <x:v>Home</x:v>
      </x:c>
      <x:c r="M797" s="69" t="str">
        <x:v>Pick up the yellow pen and place it in the bowl.</x:v>
      </x:c>
      <x:c r="N797" s="69" t="str">
        <x:v>blue tape ball, airplane toy with propellers, green highlighter, yellow pen</x:v>
      </x:c>
      <x:c r="O797" s="69" t="str">
        <x:v>yellow pen</x:v>
      </x:c>
      <x:c r="P797" s="70" t="str">
        <x:v>Direct-name control at the same physical output positions prevents prompt type from predicting the easy half of the sequence.</x:v>
      </x:c>
    </x:row>
    <x:row r="798" ht="58" customHeight="1">
      <x:c r="A798" s="100" t="n">
        <x:v>796</x:v>
      </x:c>
      <x:c r="B798" s="69" t="str">
        <x:v>Ordering/Sequencing</x:v>
      </x:c>
      <x:c r="C798" s="69" t="str">
        <x:v>Put the airplane toy with propellers in the bowl.</x:v>
      </x:c>
      <x:c r="D798" s="69" t="str">
        <x:v>Direct-object ordering control</x:v>
      </x:c>
      <x:c r="E798" s="69" t="str">
        <x:v>direct object identity; physical target position L4</x:v>
      </x:c>
      <x:c r="F798" s="69" t="str">
        <x:v>ordering_n4</x:v>
      </x:c>
      <x:c r="G798" s="69" t="str">
        <x:v>exact phrases first from the right and third from the left; physical positions L4 and L3 remain trained through fourth-from-left and second-from-right</x:v>
      </x:c>
      <x:c r="H798" s="69" t="str">
        <x:v>Yes</x:v>
      </x:c>
      <x:c r="I798" s="69" t="str">
        <x:v>replace ordering demonstration</x:v>
      </x:c>
      <x:c r="J798" s="69" t="str">
        <x:v>Four collinear objects, camera-view left to right: L1 green highlighter; L2 yellow pen; L3 blue tape ball; L4 airplane toy with propellers. Use approximately 10 cm centre-to-centre spacing; target at L4.</x:v>
      </x:c>
      <x:c r="K798" s="69" t="str">
        <x:v>airplane toy with propellers</x:v>
      </x:c>
      <x:c r="L798" s="69" t="str">
        <x:v>Home</x:v>
      </x:c>
      <x:c r="M798" s="69" t="str">
        <x:v>Move the yellow pen into the bowl.</x:v>
      </x:c>
      <x:c r="N798" s="69" t="str">
        <x:v>blue tape ball, green highlighter, airplane toy with propellers, yellow pen</x:v>
      </x:c>
      <x:c r="O798" s="69" t="str">
        <x:v>yellow pen</x:v>
      </x:c>
      <x:c r="P798" s="70" t="str">
        <x:v>Direct-name control at the same physical output positions prevents prompt type from predicting the easy half of the sequence.</x:v>
      </x:c>
    </x:row>
    <x:row r="799" ht="58" customHeight="1">
      <x:c r="A799" s="100" t="n">
        <x:v>797</x:v>
      </x:c>
      <x:c r="B799" s="69" t="str">
        <x:v>Ordering/Sequencing</x:v>
      </x:c>
      <x:c r="C799" s="69" t="str">
        <x:v>Pick up the blue tape ball and place it in the bowl.</x:v>
      </x:c>
      <x:c r="D799" s="69" t="str">
        <x:v>Direct-object ordering control</x:v>
      </x:c>
      <x:c r="E799" s="69" t="str">
        <x:v>direct object identity; physical target position L4</x:v>
      </x:c>
      <x:c r="F799" s="69" t="str">
        <x:v>ordering_n4</x:v>
      </x:c>
      <x:c r="G799" s="69" t="str">
        <x:v>exact phrases first from the right and third from the left; physical positions L4 and L3 remain trained through fourth-from-left and second-from-right</x:v>
      </x:c>
      <x:c r="H799" s="69" t="str">
        <x:v>Yes</x:v>
      </x:c>
      <x:c r="I799" s="69" t="str">
        <x:v>replace ordering demonstration</x:v>
      </x:c>
      <x:c r="J799" s="69" t="str">
        <x:v>Four collinear objects, camera-view left to right: L1 green highlighter; L2 yellow pen; L3 airplane toy with propellers; L4 blue tape ball. Use approximately 10 cm centre-to-centre spacing; target at L4.</x:v>
      </x:c>
      <x:c r="K799" s="69" t="str">
        <x:v>blue tape ball</x:v>
      </x:c>
      <x:c r="L799" s="69" t="str">
        <x:v>Recovery</x:v>
      </x:c>
      <x:c r="M799" s="69" t="str">
        <x:v>Put the yellow pen in the bowl.</x:v>
      </x:c>
      <x:c r="N799" s="69" t="str">
        <x:v>green highlighter, airplane toy with propellers, blue tape ball, yellow pen</x:v>
      </x:c>
      <x:c r="O799" s="69" t="str">
        <x:v>yellow pen</x:v>
      </x:c>
      <x:c r="P799" s="70" t="str">
        <x:v>Direct-name control at the same physical output positions prevents prompt type from predicting the easy half of the sequence.</x:v>
      </x:c>
    </x:row>
    <x:row r="800" ht="58" customHeight="1">
      <x:c r="A800" s="100" t="n">
        <x:v>798</x:v>
      </x:c>
      <x:c r="B800" s="69" t="str">
        <x:v>Ordering/Sequencing</x:v>
      </x:c>
      <x:c r="C800" s="69" t="str">
        <x:v>Move the green highlighter into the bowl.</x:v>
      </x:c>
      <x:c r="D800" s="69" t="str">
        <x:v>Direct-object ordering control</x:v>
      </x:c>
      <x:c r="E800" s="69" t="str">
        <x:v>direct object identity; physical target position L4</x:v>
      </x:c>
      <x:c r="F800" s="69" t="str">
        <x:v>ordering_n4</x:v>
      </x:c>
      <x:c r="G800" s="69" t="str">
        <x:v>exact phrases first from the right and third from the left; physical positions L4 and L3 remain trained through fourth-from-left and second-from-right</x:v>
      </x:c>
      <x:c r="H800" s="69" t="str">
        <x:v>Yes</x:v>
      </x:c>
      <x:c r="I800" s="69" t="str">
        <x:v>replace ordering demonstration</x:v>
      </x:c>
      <x:c r="J800" s="69" t="str">
        <x:v>Four collinear objects, camera-view left to right: L1 blue tape ball; L2 yellow pen; L3 airplane toy with propellers; L4 green highlighter. Use approximately 10 cm centre-to-centre spacing; target at L4.</x:v>
      </x:c>
      <x:c r="K800" s="69" t="str">
        <x:v>green highlighter</x:v>
      </x:c>
      <x:c r="L800" s="69" t="str">
        <x:v>Recovery</x:v>
      </x:c>
      <x:c r="M800" s="69" t="str">
        <x:v>Pick up the yellow pen and place it in the bowl.</x:v>
      </x:c>
      <x:c r="N800" s="69" t="str">
        <x:v>green highlighter, blue tape ball, airplane toy with propellers, yellow pen</x:v>
      </x:c>
      <x:c r="O800" s="69" t="str">
        <x:v>yellow pen</x:v>
      </x:c>
      <x:c r="P800" s="70" t="str">
        <x:v>Direct-name control at the same physical output positions prevents prompt type from predicting the easy half of the sequence.</x:v>
      </x:c>
    </x:row>
    <x:row r="801" ht="58" customHeight="1">
      <x:c r="A801" s="100" t="n">
        <x:v>799</x:v>
      </x:c>
      <x:c r="B801" s="69" t="str">
        <x:v>Ordering/Sequencing</x:v>
      </x:c>
      <x:c r="C801" s="69" t="str">
        <x:v>Put the yellow pen in the bowl.</x:v>
      </x:c>
      <x:c r="D801" s="69" t="str">
        <x:v>Direct-object ordering control</x:v>
      </x:c>
      <x:c r="E801" s="69" t="str">
        <x:v>direct object identity; physical target position L4</x:v>
      </x:c>
      <x:c r="F801" s="69" t="str">
        <x:v>ordering_n4</x:v>
      </x:c>
      <x:c r="G801" s="69" t="str">
        <x:v>exact phrases first from the right and third from the left; physical positions L4 and L3 remain trained through fourth-from-left and second-from-right</x:v>
      </x:c>
      <x:c r="H801" s="69" t="str">
        <x:v>Yes</x:v>
      </x:c>
      <x:c r="I801" s="69" t="str">
        <x:v>replace ordering demonstration</x:v>
      </x:c>
      <x:c r="J801" s="69" t="str">
        <x:v>Four collinear objects, camera-view left to right: L1 blue tape ball; L2 green highlighter; L3 airplane toy with propellers; L4 yellow pen. Use approximately 10 cm centre-to-centre spacing; target at L4.</x:v>
      </x:c>
      <x:c r="K801" s="69" t="str">
        <x:v>yellow pen</x:v>
      </x:c>
      <x:c r="L801" s="69" t="str">
        <x:v>Recovery</x:v>
      </x:c>
      <x:c r="M801" s="69" t="str">
        <x:v>Move the yellow pen into the bowl.</x:v>
      </x:c>
      <x:c r="N801" s="69" t="str">
        <x:v>airplane toy with propellers, blue tape ball, green highlighter, yellow pen</x:v>
      </x:c>
      <x:c r="O801" s="69" t="str">
        <x:v>yellow pen</x:v>
      </x:c>
      <x:c r="P801" s="70" t="str">
        <x:v>Direct-name control at the same physical output positions prevents prompt type from predicting the easy half of the sequence.</x:v>
      </x:c>
    </x:row>
    <x:row r="802" ht="58" customHeight="1">
      <x:c r="A802" s="100" t="n">
        <x:v>800</x:v>
      </x:c>
      <x:c r="B802" s="69" t="str">
        <x:v>Counting</x:v>
      </x:c>
      <x:c r="C802" s="69" t="str">
        <x:v>Leave exactly zero objects in the bowl.</x:v>
      </x:c>
      <x:c r="D802" s="69" t="str">
        <x:v>Explicit goal-count grounding</x:v>
      </x:c>
      <x:c r="E802" s="69" t="str">
        <x:v>final count 0; initial count 1; remove</x:v>
      </x:c>
      <x:c r="F802" s="69" t="str">
        <x:v>count_explicit_goal_0_initial_1_remove</x:v>
      </x:c>
      <x:c r="G802" s="69" t="str">
        <x:v>goal one from initial count two by removal; goal three from initial count two by addition</x:v>
      </x:c>
      <x:c r="H802" s="69" t="str">
        <x:v>Yes</x:v>
      </x:c>
      <x:c r="I802" s="69" t="str">
        <x:v>replace counting demonstration</x:v>
      </x:c>
      <x:c r="J802" s="69" t="str">
        <x:v>Inside bowl initially (1): airplane toy without propellers [TARGET]; On table: blue pen, green pencil sharpener, yellow block; action=remove; expected final count=0.</x:v>
      </x:c>
      <x:c r="K802" s="69" t="str">
        <x:v>airplane toy without propellers</x:v>
      </x:c>
      <x:c r="L802" s="69" t="str">
        <x:v>Home</x:v>
      </x:c>
      <x:c r="M802" s="69" t="str">
        <x:v>Move the blue pen into the bowl.</x:v>
      </x:c>
      <x:c r="N802" s="69" t="str">
        <x:v>blue pen, yellow block, green pencil sharpener, airplane toy without propellers</x:v>
      </x:c>
      <x:c r="O802" s="69" t="str">
        <x:v>blue pen</x:v>
      </x:c>
      <x:c r="P802" s="70" t="str">
        <x:v>Explicitly grounds the goal count in a familiar transition context, so the count word itself is not held out.</x:v>
      </x:c>
    </x:row>
    <x:row r="803" ht="58" customHeight="1">
      <x:c r="A803" s="100" t="n">
        <x:v>801</x:v>
      </x:c>
      <x:c r="B803" s="69" t="str">
        <x:v>Counting</x:v>
      </x:c>
      <x:c r="C803" s="69" t="str">
        <x:v>Make the bowl contain exactly zero objects.</x:v>
      </x:c>
      <x:c r="D803" s="69" t="str">
        <x:v>Explicit goal-count grounding</x:v>
      </x:c>
      <x:c r="E803" s="69" t="str">
        <x:v>final count 0; initial count 1; remove</x:v>
      </x:c>
      <x:c r="F803" s="69" t="str">
        <x:v>count_explicit_goal_0_initial_1_remove</x:v>
      </x:c>
      <x:c r="G803" s="69" t="str">
        <x:v>goal one from initial count two by removal; goal three from initial count two by addition</x:v>
      </x:c>
      <x:c r="H803" s="69" t="str">
        <x:v>Yes</x:v>
      </x:c>
      <x:c r="I803" s="69" t="str">
        <x:v>replace counting demonstration</x:v>
      </x:c>
      <x:c r="J803" s="69" t="str">
        <x:v>Inside bowl initially (1): blue pen [TARGET]; On table: airplane toy without propellers, green pencil sharpener, yellow block; action=remove; expected final count=0.</x:v>
      </x:c>
      <x:c r="K803" s="69" t="str">
        <x:v>blue pen</x:v>
      </x:c>
      <x:c r="L803" s="69" t="str">
        <x:v>Home</x:v>
      </x:c>
      <x:c r="M803" s="69" t="str">
        <x:v>Pick up the blue pen and place it in the bowl.</x:v>
      </x:c>
      <x:c r="N803" s="69" t="str">
        <x:v>blue pen, yellow block, green pencil sharpener</x:v>
      </x:c>
      <x:c r="O803" s="69" t="str">
        <x:v>blue pen</x:v>
      </x:c>
      <x:c r="P803" s="70" t="str">
        <x:v>Explicitly grounds the goal count in a familiar transition context, so the count word itself is not held out.</x:v>
      </x:c>
    </x:row>
    <x:row r="804" ht="58" customHeight="1">
      <x:c r="A804" s="100" t="n">
        <x:v>802</x:v>
      </x:c>
      <x:c r="B804" s="69" t="str">
        <x:v>Counting</x:v>
      </x:c>
      <x:c r="C804" s="69" t="str">
        <x:v>Adjust the bowl so that it contains exactly zero objects.</x:v>
      </x:c>
      <x:c r="D804" s="69" t="str">
        <x:v>Explicit goal-count grounding</x:v>
      </x:c>
      <x:c r="E804" s="69" t="str">
        <x:v>final count 0; initial count 1; remove</x:v>
      </x:c>
      <x:c r="F804" s="69" t="str">
        <x:v>count_explicit_goal_0_initial_1_remove</x:v>
      </x:c>
      <x:c r="G804" s="69" t="str">
        <x:v>goal one from initial count two by removal; goal three from initial count two by addition</x:v>
      </x:c>
      <x:c r="H804" s="69" t="str">
        <x:v>Yes</x:v>
      </x:c>
      <x:c r="I804" s="69" t="str">
        <x:v>replace counting demonstration</x:v>
      </x:c>
      <x:c r="J804" s="69" t="str">
        <x:v>Inside bowl initially (1): green pencil sharpener [TARGET]; On table: airplane toy without propellers, blue pen, yellow block; action=remove; expected final count=0.</x:v>
      </x:c>
      <x:c r="K804" s="69" t="str">
        <x:v>green pencil sharpener</x:v>
      </x:c>
      <x:c r="L804" s="69" t="str">
        <x:v>Home</x:v>
      </x:c>
      <x:c r="M804" s="69" t="str">
        <x:v>Put the blue pen in the bowl.</x:v>
      </x:c>
      <x:c r="N804" s="69" t="str">
        <x:v>blue pen, airplane toy without propellers</x:v>
      </x:c>
      <x:c r="O804" s="69" t="str">
        <x:v>blue pen</x:v>
      </x:c>
      <x:c r="P804" s="70" t="str">
        <x:v>Explicitly grounds the goal count in a familiar transition context, so the count word itself is not held out.</x:v>
      </x:c>
    </x:row>
    <x:row r="805" ht="58" customHeight="1">
      <x:c r="A805" s="100" t="n">
        <x:v>803</x:v>
      </x:c>
      <x:c r="B805" s="69" t="str">
        <x:v>Counting</x:v>
      </x:c>
      <x:c r="C805" s="69" t="str">
        <x:v>Leave exactly zero objects in the bowl.</x:v>
      </x:c>
      <x:c r="D805" s="69" t="str">
        <x:v>Explicit goal-count grounding</x:v>
      </x:c>
      <x:c r="E805" s="69" t="str">
        <x:v>final count 0; initial count 1; remove</x:v>
      </x:c>
      <x:c r="F805" s="69" t="str">
        <x:v>count_explicit_goal_0_initial_1_remove</x:v>
      </x:c>
      <x:c r="G805" s="69" t="str">
        <x:v>goal one from initial count two by removal; goal three from initial count two by addition</x:v>
      </x:c>
      <x:c r="H805" s="69" t="str">
        <x:v>Yes</x:v>
      </x:c>
      <x:c r="I805" s="69" t="str">
        <x:v>replace counting demonstration</x:v>
      </x:c>
      <x:c r="J805" s="69" t="str">
        <x:v>Inside bowl initially (1): yellow block [TARGET]; On table: airplane toy without propellers, blue pen, green pencil sharpener; action=remove; expected final count=0.</x:v>
      </x:c>
      <x:c r="K805" s="69" t="str">
        <x:v>yellow block</x:v>
      </x:c>
      <x:c r="L805" s="69" t="str">
        <x:v>Post-Drop</x:v>
      </x:c>
      <x:c r="M805" s="69" t="str">
        <x:v>Move the blue pen into the bowl.</x:v>
      </x:c>
      <x:c r="N805" s="69" t="str">
        <x:v>blue pen, yellow block, airplane toy without propellers</x:v>
      </x:c>
      <x:c r="O805" s="69" t="str">
        <x:v>blue pen</x:v>
      </x:c>
      <x:c r="P805" s="70" t="str">
        <x:v>Explicitly grounds the goal count in a familiar transition context, so the count word itself is not held out.</x:v>
      </x:c>
    </x:row>
    <x:row r="806" ht="58" customHeight="1">
      <x:c r="A806" s="100" t="n">
        <x:v>804</x:v>
      </x:c>
      <x:c r="B806" s="69" t="str">
        <x:v>Counting</x:v>
      </x:c>
      <x:c r="C806" s="69" t="str">
        <x:v>Make the bowl contain exactly zero objects.</x:v>
      </x:c>
      <x:c r="D806" s="69" t="str">
        <x:v>Explicit goal-count grounding</x:v>
      </x:c>
      <x:c r="E806" s="69" t="str">
        <x:v>final count 0; initial count 1; remove</x:v>
      </x:c>
      <x:c r="F806" s="69" t="str">
        <x:v>count_explicit_goal_0_initial_1_remove</x:v>
      </x:c>
      <x:c r="G806" s="69" t="str">
        <x:v>goal one from initial count two by removal; goal three from initial count two by addition</x:v>
      </x:c>
      <x:c r="H806" s="69" t="str">
        <x:v>Yes</x:v>
      </x:c>
      <x:c r="I806" s="69" t="str">
        <x:v>replace counting demonstration</x:v>
      </x:c>
      <x:c r="J806" s="69" t="str">
        <x:v>Inside bowl initially (1): airplane toy without propellers [TARGET]; On table: green pencil sharpener, yellow block, blue pen; action=remove; expected final count=0.</x:v>
      </x:c>
      <x:c r="K806" s="69" t="str">
        <x:v>airplane toy without propellers</x:v>
      </x:c>
      <x:c r="L806" s="69" t="str">
        <x:v>Post-Drop</x:v>
      </x:c>
      <x:c r="M806" s="69" t="str">
        <x:v>Pick up the blue pen and place it in the bowl.</x:v>
      </x:c>
      <x:c r="N806" s="69" t="str">
        <x:v>blue pen, green pencil sharpener</x:v>
      </x:c>
      <x:c r="O806" s="69" t="str">
        <x:v>blue pen</x:v>
      </x:c>
      <x:c r="P806" s="70" t="str">
        <x:v>Explicitly grounds the goal count in a familiar transition context, so the count word itself is not held out.</x:v>
      </x:c>
    </x:row>
    <x:row r="807" ht="58" customHeight="1">
      <x:c r="A807" s="100" t="n">
        <x:v>805</x:v>
      </x:c>
      <x:c r="B807" s="69" t="str">
        <x:v>Counting</x:v>
      </x:c>
      <x:c r="C807" s="69" t="str">
        <x:v>Adjust the bowl so that it contains exactly zero objects.</x:v>
      </x:c>
      <x:c r="D807" s="69" t="str">
        <x:v>Explicit goal-count grounding</x:v>
      </x:c>
      <x:c r="E807" s="69" t="str">
        <x:v>final count 0; initial count 1; remove</x:v>
      </x:c>
      <x:c r="F807" s="69" t="str">
        <x:v>count_explicit_goal_0_initial_1_remove</x:v>
      </x:c>
      <x:c r="G807" s="69" t="str">
        <x:v>goal one from initial count two by removal; goal three from initial count two by addition</x:v>
      </x:c>
      <x:c r="H807" s="69" t="str">
        <x:v>Yes</x:v>
      </x:c>
      <x:c r="I807" s="69" t="str">
        <x:v>replace counting demonstration</x:v>
      </x:c>
      <x:c r="J807" s="69" t="str">
        <x:v>Inside bowl initially (1): blue pen [TARGET]; On table: green pencil sharpener, yellow block, airplane toy without propellers; action=remove; expected final count=0.</x:v>
      </x:c>
      <x:c r="K807" s="69" t="str">
        <x:v>blue pen</x:v>
      </x:c>
      <x:c r="L807" s="69" t="str">
        <x:v>Post-Drop</x:v>
      </x:c>
      <x:c r="M807" s="69" t="str">
        <x:v>Pick up the blue pen and place it in the bowl.</x:v>
      </x:c>
      <x:c r="N807" s="69" t="str">
        <x:v>blue pen, yellow block</x:v>
      </x:c>
      <x:c r="O807" s="69" t="str">
        <x:v>blue pen</x:v>
      </x:c>
      <x:c r="P807" s="70" t="str">
        <x:v>Explicitly grounds the goal count in a familiar transition context, so the count word itself is not held out.</x:v>
      </x:c>
    </x:row>
    <x:row r="808" ht="58" customHeight="1">
      <x:c r="A808" s="100" t="n">
        <x:v>806</x:v>
      </x:c>
      <x:c r="B808" s="69" t="str">
        <x:v>Counting</x:v>
      </x:c>
      <x:c r="C808" s="69" t="str">
        <x:v>Leave exactly zero objects in the bowl.</x:v>
      </x:c>
      <x:c r="D808" s="69" t="str">
        <x:v>Explicit goal-count grounding</x:v>
      </x:c>
      <x:c r="E808" s="69" t="str">
        <x:v>final count 0; initial count 1; remove</x:v>
      </x:c>
      <x:c r="F808" s="69" t="str">
        <x:v>count_explicit_goal_0_initial_1_remove</x:v>
      </x:c>
      <x:c r="G808" s="69" t="str">
        <x:v>goal one from initial count two by removal; goal three from initial count two by addition</x:v>
      </x:c>
      <x:c r="H808" s="69" t="str">
        <x:v>Yes</x:v>
      </x:c>
      <x:c r="I808" s="69" t="str">
        <x:v>replace counting demonstration</x:v>
      </x:c>
      <x:c r="J808" s="69" t="str">
        <x:v>Inside bowl initially (1): green pencil sharpener [TARGET]; On table: blue pen, yellow block, airplane toy without propellers; action=remove; expected final count=0.</x:v>
      </x:c>
      <x:c r="K808" s="69" t="str">
        <x:v>green pencil sharpener</x:v>
      </x:c>
      <x:c r="L808" s="69" t="str">
        <x:v>Recovery</x:v>
      </x:c>
      <x:c r="M808" s="69" t="str">
        <x:v>Move the blue pen into the bowl.</x:v>
      </x:c>
      <x:c r="N808" s="69" t="str">
        <x:v>blue pen, green pencil sharpener, airplane toy without propellers</x:v>
      </x:c>
      <x:c r="O808" s="69" t="str">
        <x:v>blue pen</x:v>
      </x:c>
      <x:c r="P808" s="70" t="str">
        <x:v>Explicitly grounds the goal count in a familiar transition context, so the count word itself is not held out.</x:v>
      </x:c>
    </x:row>
    <x:row r="809" ht="58" customHeight="1">
      <x:c r="A809" s="100" t="n">
        <x:v>807</x:v>
      </x:c>
      <x:c r="B809" s="69" t="str">
        <x:v>Counting</x:v>
      </x:c>
      <x:c r="C809" s="69" t="str">
        <x:v>Make the bowl contain exactly zero objects.</x:v>
      </x:c>
      <x:c r="D809" s="69" t="str">
        <x:v>Explicit goal-count grounding</x:v>
      </x:c>
      <x:c r="E809" s="69" t="str">
        <x:v>final count 0; initial count 1; remove</x:v>
      </x:c>
      <x:c r="F809" s="69" t="str">
        <x:v>count_explicit_goal_0_initial_1_remove</x:v>
      </x:c>
      <x:c r="G809" s="69" t="str">
        <x:v>goal one from initial count two by removal; goal three from initial count two by addition</x:v>
      </x:c>
      <x:c r="H809" s="69" t="str">
        <x:v>Yes</x:v>
      </x:c>
      <x:c r="I809" s="69" t="str">
        <x:v>replace counting demonstration</x:v>
      </x:c>
      <x:c r="J809" s="69" t="str">
        <x:v>Inside bowl initially (1): yellow block [TARGET]; On table: blue pen, green pencil sharpener, airplane toy without propellers; action=remove; expected final count=0.</x:v>
      </x:c>
      <x:c r="K809" s="69" t="str">
        <x:v>yellow block</x:v>
      </x:c>
      <x:c r="L809" s="69" t="str">
        <x:v>Recovery</x:v>
      </x:c>
      <x:c r="M809" s="69" t="str">
        <x:v>Pick up the blue pen and place it in the bowl.</x:v>
      </x:c>
      <x:c r="N809" s="69" t="str">
        <x:v>blue pen</x:v>
      </x:c>
      <x:c r="O809" s="69" t="str">
        <x:v>blue pen</x:v>
      </x:c>
      <x:c r="P809" s="70" t="str">
        <x:v>Explicitly grounds the goal count in a familiar transition context, so the count word itself is not held out.</x:v>
      </x:c>
    </x:row>
    <x:row r="810" ht="58" customHeight="1">
      <x:c r="A810" s="100" t="n">
        <x:v>808</x:v>
      </x:c>
      <x:c r="B810" s="69" t="str">
        <x:v>Counting</x:v>
      </x:c>
      <x:c r="C810" s="69" t="str">
        <x:v>Adjust the bowl so that it contains exactly zero objects.</x:v>
      </x:c>
      <x:c r="D810" s="69" t="str">
        <x:v>Explicit goal-count grounding</x:v>
      </x:c>
      <x:c r="E810" s="69" t="str">
        <x:v>final count 0; initial count 1; remove</x:v>
      </x:c>
      <x:c r="F810" s="69" t="str">
        <x:v>count_explicit_goal_0_initial_1_remove</x:v>
      </x:c>
      <x:c r="G810" s="69" t="str">
        <x:v>goal one from initial count two by removal; goal three from initial count two by addition</x:v>
      </x:c>
      <x:c r="H810" s="69" t="str">
        <x:v>Yes</x:v>
      </x:c>
      <x:c r="I810" s="69" t="str">
        <x:v>replace counting demonstration</x:v>
      </x:c>
      <x:c r="J810" s="69" t="str">
        <x:v>Inside bowl initially (1): airplane toy without propellers [TARGET]; On table: yellow block, blue pen, green pencil sharpener; action=remove; expected final count=0.</x:v>
      </x:c>
      <x:c r="K810" s="69" t="str">
        <x:v>airplane toy without propellers</x:v>
      </x:c>
      <x:c r="L810" s="69" t="str">
        <x:v>Home</x:v>
      </x:c>
      <x:c r="M810" s="69" t="str">
        <x:v>Make the bowl contain exactly two objects.</x:v>
      </x:c>
      <x:c r="N810" s="69" t="str">
        <x:v>yellow block, blue pen, green pencil sharpener, airplane toy without propellers</x:v>
      </x:c>
      <x:c r="O810" s="69" t="str">
        <x:v>blue pen</x:v>
      </x:c>
      <x:c r="P810" s="70" t="str">
        <x:v>Explicitly grounds the goal count in a familiar transition context, so the count word itself is not held out.</x:v>
      </x:c>
    </x:row>
    <x:row r="811" ht="58" customHeight="1">
      <x:c r="A811" s="100" t="n">
        <x:v>809</x:v>
      </x:c>
      <x:c r="B811" s="69" t="str">
        <x:v>Counting</x:v>
      </x:c>
      <x:c r="C811" s="69" t="str">
        <x:v>Leave exactly zero objects in the bowl.</x:v>
      </x:c>
      <x:c r="D811" s="69" t="str">
        <x:v>Explicit goal-count grounding</x:v>
      </x:c>
      <x:c r="E811" s="69" t="str">
        <x:v>final count 0; initial count 1; remove</x:v>
      </x:c>
      <x:c r="F811" s="69" t="str">
        <x:v>count_explicit_goal_0_initial_1_remove</x:v>
      </x:c>
      <x:c r="G811" s="69" t="str">
        <x:v>goal one from initial count two by removal; goal three from initial count two by addition</x:v>
      </x:c>
      <x:c r="H811" s="69" t="str">
        <x:v>Yes</x:v>
      </x:c>
      <x:c r="I811" s="69" t="str">
        <x:v>replace counting demonstration</x:v>
      </x:c>
      <x:c r="J811" s="69" t="str">
        <x:v>Inside bowl initially (1): blue pen [TARGET]; On table: yellow block, airplane toy without propellers, green pencil sharpener; action=remove; expected final count=0.</x:v>
      </x:c>
      <x:c r="K811" s="69" t="str">
        <x:v>blue pen</x:v>
      </x:c>
      <x:c r="L811" s="69" t="str">
        <x:v>Home</x:v>
      </x:c>
      <x:c r="M811" s="69" t="str">
        <x:v>Adjust the bowl so that it contains two objects.</x:v>
      </x:c>
      <x:c r="N811" s="69" t="str">
        <x:v>green pencil sharpener, blue pen, yellow block</x:v>
      </x:c>
      <x:c r="O811" s="69" t="str">
        <x:v>blue pen</x:v>
      </x:c>
      <x:c r="P811" s="70" t="str">
        <x:v>Explicitly grounds the goal count in a familiar transition context, so the count word itself is not held out.</x:v>
      </x:c>
    </x:row>
    <x:row r="812" ht="58" customHeight="1">
      <x:c r="A812" s="100" t="n">
        <x:v>810</x:v>
      </x:c>
      <x:c r="B812" s="69" t="str">
        <x:v>Counting</x:v>
      </x:c>
      <x:c r="C812" s="69" t="str">
        <x:v>Make the bowl contain exactly zero objects.</x:v>
      </x:c>
      <x:c r="D812" s="69" t="str">
        <x:v>Explicit goal-count grounding</x:v>
      </x:c>
      <x:c r="E812" s="69" t="str">
        <x:v>final count 0; initial count 1; remove</x:v>
      </x:c>
      <x:c r="F812" s="69" t="str">
        <x:v>count_explicit_goal_0_initial_1_remove</x:v>
      </x:c>
      <x:c r="G812" s="69" t="str">
        <x:v>goal one from initial count two by removal; goal three from initial count two by addition</x:v>
      </x:c>
      <x:c r="H812" s="69" t="str">
        <x:v>Yes</x:v>
      </x:c>
      <x:c r="I812" s="69" t="str">
        <x:v>replace counting demonstration</x:v>
      </x:c>
      <x:c r="J812" s="69" t="str">
        <x:v>Inside bowl initially (1): green pencil sharpener [TARGET]; On table: yellow block, airplane toy without propellers, blue pen; action=remove; expected final count=0.</x:v>
      </x:c>
      <x:c r="K812" s="69" t="str">
        <x:v>green pencil sharpener</x:v>
      </x:c>
      <x:c r="L812" s="69" t="str">
        <x:v>Home</x:v>
      </x:c>
      <x:c r="M812" s="69" t="str">
        <x:v>Make the bowl contain exactly two objects.</x:v>
      </x:c>
      <x:c r="N812" s="69" t="str">
        <x:v>airplane toy without propellers, blue pen, green pencil sharpener</x:v>
      </x:c>
      <x:c r="O812" s="69" t="str">
        <x:v>blue pen</x:v>
      </x:c>
      <x:c r="P812" s="70" t="str">
        <x:v>Explicitly grounds the goal count in a familiar transition context, so the count word itself is not held out.</x:v>
      </x:c>
    </x:row>
    <x:row r="813" ht="58" customHeight="1">
      <x:c r="A813" s="100" t="n">
        <x:v>811</x:v>
      </x:c>
      <x:c r="B813" s="69" t="str">
        <x:v>Counting</x:v>
      </x:c>
      <x:c r="C813" s="69" t="str">
        <x:v>Adjust the bowl so that it contains exactly zero objects.</x:v>
      </x:c>
      <x:c r="D813" s="69" t="str">
        <x:v>Explicit goal-count grounding</x:v>
      </x:c>
      <x:c r="E813" s="69" t="str">
        <x:v>final count 0; initial count 1; remove</x:v>
      </x:c>
      <x:c r="F813" s="69" t="str">
        <x:v>count_explicit_goal_0_initial_1_remove</x:v>
      </x:c>
      <x:c r="G813" s="69" t="str">
        <x:v>goal one from initial count two by removal; goal three from initial count two by addition</x:v>
      </x:c>
      <x:c r="H813" s="69" t="str">
        <x:v>Yes</x:v>
      </x:c>
      <x:c r="I813" s="69" t="str">
        <x:v>replace counting demonstration</x:v>
      </x:c>
      <x:c r="J813" s="69" t="str">
        <x:v>Inside bowl initially (1): yellow block [TARGET]; On table: green pencil sharpener, airplane toy without propellers, blue pen; action=remove; expected final count=0.</x:v>
      </x:c>
      <x:c r="K813" s="69" t="str">
        <x:v>yellow block</x:v>
      </x:c>
      <x:c r="L813" s="69" t="str">
        <x:v>Post-Drop</x:v>
      </x:c>
      <x:c r="M813" s="69" t="str">
        <x:v>Make the bowl contain exactly two objects.</x:v>
      </x:c>
      <x:c r="N813" s="69" t="str">
        <x:v>yellow block, blue pen, green pencil sharpener, airplane toy without propellers</x:v>
      </x:c>
      <x:c r="O813" s="69" t="str">
        <x:v>blue pen</x:v>
      </x:c>
      <x:c r="P813" s="70" t="str">
        <x:v>Explicitly grounds the goal count in a familiar transition context, so the count word itself is not held out.</x:v>
      </x:c>
    </x:row>
    <x:row r="814" ht="58" customHeight="1">
      <x:c r="A814" s="100" t="n">
        <x:v>812</x:v>
      </x:c>
      <x:c r="B814" s="69" t="str">
        <x:v>Counting</x:v>
      </x:c>
      <x:c r="C814" s="69" t="str">
        <x:v>Leave exactly zero objects in the bowl.</x:v>
      </x:c>
      <x:c r="D814" s="69" t="str">
        <x:v>Explicit goal-count grounding</x:v>
      </x:c>
      <x:c r="E814" s="69" t="str">
        <x:v>final count 0; initial count 1; remove</x:v>
      </x:c>
      <x:c r="F814" s="69" t="str">
        <x:v>count_explicit_goal_0_initial_1_remove</x:v>
      </x:c>
      <x:c r="G814" s="69" t="str">
        <x:v>goal one from initial count two by removal; goal three from initial count two by addition</x:v>
      </x:c>
      <x:c r="H814" s="69" t="str">
        <x:v>Yes</x:v>
      </x:c>
      <x:c r="I814" s="69" t="str">
        <x:v>replace counting demonstration</x:v>
      </x:c>
      <x:c r="J814" s="69" t="str">
        <x:v>Inside bowl initially (1): airplane toy without propellers [TARGET]; On table: blue pen, green pencil sharpener, yellow block; action=remove; expected final count=0.</x:v>
      </x:c>
      <x:c r="K814" s="69" t="str">
        <x:v>airplane toy without propellers</x:v>
      </x:c>
      <x:c r="L814" s="69" t="str">
        <x:v>Post-Drop</x:v>
      </x:c>
      <x:c r="M814" s="69" t="str">
        <x:v>Adjust the bowl so that it contains two objects.</x:v>
      </x:c>
      <x:c r="N814" s="69" t="str">
        <x:v>green pencil sharpener, blue pen, airplane toy without propellers</x:v>
      </x:c>
      <x:c r="O814" s="69" t="str">
        <x:v>blue pen</x:v>
      </x:c>
      <x:c r="P814" s="70" t="str">
        <x:v>Explicitly grounds the goal count in a familiar transition context, so the count word itself is not held out.</x:v>
      </x:c>
    </x:row>
    <x:row r="815" ht="58" customHeight="1">
      <x:c r="A815" s="100" t="n">
        <x:v>813</x:v>
      </x:c>
      <x:c r="B815" s="69" t="str">
        <x:v>Counting</x:v>
      </x:c>
      <x:c r="C815" s="69" t="str">
        <x:v>Make the bowl contain exactly zero objects.</x:v>
      </x:c>
      <x:c r="D815" s="69" t="str">
        <x:v>Explicit goal-count grounding</x:v>
      </x:c>
      <x:c r="E815" s="69" t="str">
        <x:v>final count 0; initial count 1; remove</x:v>
      </x:c>
      <x:c r="F815" s="69" t="str">
        <x:v>count_explicit_goal_0_initial_1_remove</x:v>
      </x:c>
      <x:c r="G815" s="69" t="str">
        <x:v>goal one from initial count two by removal; goal three from initial count two by addition</x:v>
      </x:c>
      <x:c r="H815" s="69" t="str">
        <x:v>Yes</x:v>
      </x:c>
      <x:c r="I815" s="69" t="str">
        <x:v>replace counting demonstration</x:v>
      </x:c>
      <x:c r="J815" s="69" t="str">
        <x:v>Inside bowl initially (1): blue pen [TARGET]; On table: airplane toy without propellers, green pencil sharpener, yellow block; action=remove; expected final count=0.</x:v>
      </x:c>
      <x:c r="K815" s="69" t="str">
        <x:v>blue pen</x:v>
      </x:c>
      <x:c r="L815" s="69" t="str">
        <x:v>Post-Drop</x:v>
      </x:c>
      <x:c r="M815" s="69" t="str">
        <x:v>Make the bowl contain exactly two objects.</x:v>
      </x:c>
      <x:c r="N815" s="69" t="str">
        <x:v>airplane toy without propellers, blue pen, yellow block</x:v>
      </x:c>
      <x:c r="O815" s="69" t="str">
        <x:v>blue pen</x:v>
      </x:c>
      <x:c r="P815" s="70" t="str">
        <x:v>Explicitly grounds the goal count in a familiar transition context, so the count word itself is not held out.</x:v>
      </x:c>
    </x:row>
    <x:row r="816" ht="58" customHeight="1">
      <x:c r="A816" s="100" t="n">
        <x:v>814</x:v>
      </x:c>
      <x:c r="B816" s="69" t="str">
        <x:v>Counting</x:v>
      </x:c>
      <x:c r="C816" s="69" t="str">
        <x:v>Adjust the bowl so that it contains exactly zero objects.</x:v>
      </x:c>
      <x:c r="D816" s="69" t="str">
        <x:v>Explicit goal-count grounding</x:v>
      </x:c>
      <x:c r="E816" s="69" t="str">
        <x:v>final count 0; initial count 1; remove</x:v>
      </x:c>
      <x:c r="F816" s="69" t="str">
        <x:v>count_explicit_goal_0_initial_1_remove</x:v>
      </x:c>
      <x:c r="G816" s="69" t="str">
        <x:v>goal one from initial count two by removal; goal three from initial count two by addition</x:v>
      </x:c>
      <x:c r="H816" s="69" t="str">
        <x:v>Yes</x:v>
      </x:c>
      <x:c r="I816" s="69" t="str">
        <x:v>replace counting demonstration</x:v>
      </x:c>
      <x:c r="J816" s="69" t="str">
        <x:v>Inside bowl initially (1): green pencil sharpener [TARGET]; On table: airplane toy without propellers, blue pen, yellow block; action=remove; expected final count=0.</x:v>
      </x:c>
      <x:c r="K816" s="69" t="str">
        <x:v>green pencil sharpener</x:v>
      </x:c>
      <x:c r="L816" s="69" t="str">
        <x:v>Recovery</x:v>
      </x:c>
      <x:c r="M816" s="69" t="str">
        <x:v>Make the bowl contain exactly two objects.</x:v>
      </x:c>
      <x:c r="N816" s="69" t="str">
        <x:v>green pencil sharpener, blue pen, airplane toy without propellers</x:v>
      </x:c>
      <x:c r="O816" s="69" t="str">
        <x:v>blue pen</x:v>
      </x:c>
      <x:c r="P816" s="70" t="str">
        <x:v>Explicitly grounds the goal count in a familiar transition context, so the count word itself is not held out.</x:v>
      </x:c>
    </x:row>
    <x:row r="817" ht="58" customHeight="1">
      <x:c r="A817" s="100" t="n">
        <x:v>815</x:v>
      </x:c>
      <x:c r="B817" s="69" t="str">
        <x:v>Counting</x:v>
      </x:c>
      <x:c r="C817" s="69" t="str">
        <x:v>Leave exactly zero objects in the bowl.</x:v>
      </x:c>
      <x:c r="D817" s="69" t="str">
        <x:v>Explicit goal-count grounding</x:v>
      </x:c>
      <x:c r="E817" s="69" t="str">
        <x:v>final count 0; initial count 1; remove</x:v>
      </x:c>
      <x:c r="F817" s="69" t="str">
        <x:v>count_explicit_goal_0_initial_1_remove</x:v>
      </x:c>
      <x:c r="G817" s="69" t="str">
        <x:v>goal one from initial count two by removal; goal three from initial count two by addition</x:v>
      </x:c>
      <x:c r="H817" s="69" t="str">
        <x:v>Yes</x:v>
      </x:c>
      <x:c r="I817" s="69" t="str">
        <x:v>replace counting demonstration</x:v>
      </x:c>
      <x:c r="J817" s="69" t="str">
        <x:v>Inside bowl initially (1): yellow block [TARGET]; On table: airplane toy without propellers, blue pen, green pencil sharpener; action=remove; expected final count=0.</x:v>
      </x:c>
      <x:c r="K817" s="69" t="str">
        <x:v>yellow block</x:v>
      </x:c>
      <x:c r="L817" s="69" t="str">
        <x:v>Recovery</x:v>
      </x:c>
      <x:c r="M817" s="69" t="str">
        <x:v>Adjust the bowl so that it contains two objects.</x:v>
      </x:c>
      <x:c r="N817" s="69" t="str">
        <x:v>yellow block, blue pen</x:v>
      </x:c>
      <x:c r="O817" s="69" t="str">
        <x:v>blue pen</x:v>
      </x:c>
      <x:c r="P817" s="70" t="str">
        <x:v>Explicitly grounds the goal count in a familiar transition context, so the count word itself is not held out.</x:v>
      </x:c>
    </x:row>
    <x:row r="818" ht="58" customHeight="1">
      <x:c r="A818" s="100" t="n">
        <x:v>816</x:v>
      </x:c>
      <x:c r="B818" s="69" t="str">
        <x:v>Counting</x:v>
      </x:c>
      <x:c r="C818" s="69" t="str">
        <x:v>Make the bowl contain exactly zero objects.</x:v>
      </x:c>
      <x:c r="D818" s="69" t="str">
        <x:v>Explicit goal-count grounding</x:v>
      </x:c>
      <x:c r="E818" s="69" t="str">
        <x:v>final count 0; initial count 1; remove</x:v>
      </x:c>
      <x:c r="F818" s="69" t="str">
        <x:v>count_explicit_goal_0_initial_1_remove</x:v>
      </x:c>
      <x:c r="G818" s="69" t="str">
        <x:v>goal one from initial count two by removal; goal three from initial count two by addition</x:v>
      </x:c>
      <x:c r="H818" s="69" t="str">
        <x:v>Yes</x:v>
      </x:c>
      <x:c r="I818" s="69" t="str">
        <x:v>replace counting demonstration</x:v>
      </x:c>
      <x:c r="J818" s="69" t="str">
        <x:v>Inside bowl initially (1): airplane toy without propellers [TARGET]; On table: green pencil sharpener, yellow block, blue pen; action=remove; expected final count=0.</x:v>
      </x:c>
      <x:c r="K818" s="69" t="str">
        <x:v>airplane toy without propellers</x:v>
      </x:c>
      <x:c r="L818" s="69" t="str">
        <x:v>Home</x:v>
      </x:c>
      <x:c r="M818" s="69" t="str">
        <x:v>Pick up the blue pen and place it in the bowl.</x:v>
      </x:c>
      <x:c r="N818" s="69" t="str">
        <x:v>yellow block, green pencil sharpener, blue pen, airplane toy without propellers</x:v>
      </x:c>
      <x:c r="O818" s="69" t="str">
        <x:v>blue pen</x:v>
      </x:c>
      <x:c r="P818" s="70" t="str">
        <x:v>Explicitly grounds the goal count in a familiar transition context, so the count word itself is not held out.</x:v>
      </x:c>
    </x:row>
    <x:row r="819" ht="58" customHeight="1">
      <x:c r="A819" s="100" t="n">
        <x:v>817</x:v>
      </x:c>
      <x:c r="B819" s="69" t="str">
        <x:v>Counting</x:v>
      </x:c>
      <x:c r="C819" s="69" t="str">
        <x:v>Adjust the bowl so that it contains exactly zero objects.</x:v>
      </x:c>
      <x:c r="D819" s="69" t="str">
        <x:v>Explicit goal-count grounding</x:v>
      </x:c>
      <x:c r="E819" s="69" t="str">
        <x:v>final count 0; initial count 1; remove</x:v>
      </x:c>
      <x:c r="F819" s="69" t="str">
        <x:v>count_explicit_goal_0_initial_1_remove</x:v>
      </x:c>
      <x:c r="G819" s="69" t="str">
        <x:v>goal one from initial count two by removal; goal three from initial count two by addition</x:v>
      </x:c>
      <x:c r="H819" s="69" t="str">
        <x:v>Yes</x:v>
      </x:c>
      <x:c r="I819" s="69" t="str">
        <x:v>replace counting demonstration</x:v>
      </x:c>
      <x:c r="J819" s="69" t="str">
        <x:v>Inside bowl initially (1): blue pen [TARGET]; On table: green pencil sharpener, yellow block, airplane toy without propellers; action=remove; expected final count=0.</x:v>
      </x:c>
      <x:c r="K819" s="69" t="str">
        <x:v>blue pen</x:v>
      </x:c>
      <x:c r="L819" s="69" t="str">
        <x:v>Home</x:v>
      </x:c>
      <x:c r="M819" s="69" t="str">
        <x:v>Move the blue pen into the bowl.</x:v>
      </x:c>
      <x:c r="N819" s="69" t="str">
        <x:v>green pencil sharpener, airplane toy without propellers, blue pen, yellow block</x:v>
      </x:c>
      <x:c r="O819" s="69" t="str">
        <x:v>blue pen</x:v>
      </x:c>
      <x:c r="P819" s="70" t="str">
        <x:v>Explicitly grounds the goal count in a familiar transition context, so the count word itself is not held out.</x:v>
      </x:c>
    </x:row>
    <x:row r="820" ht="58" customHeight="1">
      <x:c r="A820" s="100" t="n">
        <x:v>818</x:v>
      </x:c>
      <x:c r="B820" s="69" t="str">
        <x:v>Counting</x:v>
      </x:c>
      <x:c r="C820" s="69" t="str">
        <x:v>Leave exactly zero objects in the bowl.</x:v>
      </x:c>
      <x:c r="D820" s="69" t="str">
        <x:v>Explicit goal-count grounding</x:v>
      </x:c>
      <x:c r="E820" s="69" t="str">
        <x:v>final count 0; initial count 1; remove</x:v>
      </x:c>
      <x:c r="F820" s="69" t="str">
        <x:v>count_explicit_goal_0_initial_1_remove</x:v>
      </x:c>
      <x:c r="G820" s="69" t="str">
        <x:v>goal one from initial count two by removal; goal three from initial count two by addition</x:v>
      </x:c>
      <x:c r="H820" s="69" t="str">
        <x:v>Yes</x:v>
      </x:c>
      <x:c r="I820" s="69" t="str">
        <x:v>replace counting demonstration</x:v>
      </x:c>
      <x:c r="J820" s="69" t="str">
        <x:v>Inside bowl initially (1): green pencil sharpener [TARGET]; On table: blue pen, yellow block, airplane toy without propellers; action=remove; expected final count=0.</x:v>
      </x:c>
      <x:c r="K820" s="69" t="str">
        <x:v>green pencil sharpener</x:v>
      </x:c>
      <x:c r="L820" s="69" t="str">
        <x:v>Home</x:v>
      </x:c>
      <x:c r="M820" s="69" t="str">
        <x:v>Put the blue pen in the bowl.</x:v>
      </x:c>
      <x:c r="N820" s="69" t="str">
        <x:v>yellow block, airplane toy without propellers, blue pen, green pencil sharpener</x:v>
      </x:c>
      <x:c r="O820" s="69" t="str">
        <x:v>blue pen</x:v>
      </x:c>
      <x:c r="P820" s="70" t="str">
        <x:v>Explicitly grounds the goal count in a familiar transition context, so the count word itself is not held out.</x:v>
      </x:c>
    </x:row>
    <x:row r="821" ht="58" customHeight="1">
      <x:c r="A821" s="100" t="n">
        <x:v>819</x:v>
      </x:c>
      <x:c r="B821" s="69" t="str">
        <x:v>Counting</x:v>
      </x:c>
      <x:c r="C821" s="69" t="str">
        <x:v>Make the bowl contain exactly zero objects.</x:v>
      </x:c>
      <x:c r="D821" s="69" t="str">
        <x:v>Explicit goal-count grounding</x:v>
      </x:c>
      <x:c r="E821" s="69" t="str">
        <x:v>final count 0; initial count 1; remove</x:v>
      </x:c>
      <x:c r="F821" s="69" t="str">
        <x:v>count_explicit_goal_0_initial_1_remove</x:v>
      </x:c>
      <x:c r="G821" s="69" t="str">
        <x:v>goal one from initial count two by removal; goal three from initial count two by addition</x:v>
      </x:c>
      <x:c r="H821" s="69" t="str">
        <x:v>Yes</x:v>
      </x:c>
      <x:c r="I821" s="69" t="str">
        <x:v>replace counting demonstration</x:v>
      </x:c>
      <x:c r="J821" s="69" t="str">
        <x:v>Inside bowl initially (1): yellow block [TARGET]; On table: blue pen, green pencil sharpener, airplane toy without propellers; action=remove; expected final count=0.</x:v>
      </x:c>
      <x:c r="K821" s="69" t="str">
        <x:v>yellow block</x:v>
      </x:c>
      <x:c r="L821" s="69" t="str">
        <x:v>Home</x:v>
      </x:c>
      <x:c r="M821" s="69" t="str">
        <x:v>Put the blue pen in the bowl.</x:v>
      </x:c>
      <x:c r="N821" s="69" t="str">
        <x:v>yellow block, green pencil sharpener, blue pen</x:v>
      </x:c>
      <x:c r="O821" s="69" t="str">
        <x:v>blue pen</x:v>
      </x:c>
      <x:c r="P821" s="70" t="str">
        <x:v>Explicitly grounds the goal count in a familiar transition context, so the count word itself is not held out.</x:v>
      </x:c>
    </x:row>
    <x:row r="822" ht="58" customHeight="1">
      <x:c r="A822" s="100" t="n">
        <x:v>820</x:v>
      </x:c>
      <x:c r="B822" s="69" t="str">
        <x:v>Counting</x:v>
      </x:c>
      <x:c r="C822" s="69" t="str">
        <x:v>Adjust the bowl so that it contains exactly zero objects.</x:v>
      </x:c>
      <x:c r="D822" s="69" t="str">
        <x:v>Explicit goal-count grounding</x:v>
      </x:c>
      <x:c r="E822" s="69" t="str">
        <x:v>final count 0; initial count 1; remove</x:v>
      </x:c>
      <x:c r="F822" s="69" t="str">
        <x:v>count_explicit_goal_0_initial_1_remove</x:v>
      </x:c>
      <x:c r="G822" s="69" t="str">
        <x:v>goal one from initial count two by removal; goal three from initial count two by addition</x:v>
      </x:c>
      <x:c r="H822" s="69" t="str">
        <x:v>Yes</x:v>
      </x:c>
      <x:c r="I822" s="69" t="str">
        <x:v>replace counting demonstration</x:v>
      </x:c>
      <x:c r="J822" s="69" t="str">
        <x:v>Inside bowl initially (1): airplane toy without propellers [TARGET]; On table: yellow block, blue pen, green pencil sharpener; action=remove; expected final count=0.</x:v>
      </x:c>
      <x:c r="K822" s="69" t="str">
        <x:v>airplane toy without propellers</x:v>
      </x:c>
      <x:c r="L822" s="69" t="str">
        <x:v>Post-Drop</x:v>
      </x:c>
      <x:c r="M822" s="69" t="str">
        <x:v>Move the blue pen into the bowl.</x:v>
      </x:c>
      <x:c r="N822" s="69" t="str">
        <x:v>green pencil sharpener, airplane toy without propellers, blue pen, yellow block</x:v>
      </x:c>
      <x:c r="O822" s="69" t="str">
        <x:v>blue pen</x:v>
      </x:c>
      <x:c r="P822" s="70" t="str">
        <x:v>Explicitly grounds the goal count in a familiar transition context, so the count word itself is not held out.</x:v>
      </x:c>
    </x:row>
    <x:row r="823" ht="58" customHeight="1">
      <x:c r="A823" s="100" t="n">
        <x:v>821</x:v>
      </x:c>
      <x:c r="B823" s="69" t="str">
        <x:v>Counting</x:v>
      </x:c>
      <x:c r="C823" s="69" t="str">
        <x:v>Leave exactly zero objects in the bowl.</x:v>
      </x:c>
      <x:c r="D823" s="69" t="str">
        <x:v>Explicit goal-count grounding</x:v>
      </x:c>
      <x:c r="E823" s="69" t="str">
        <x:v>final count 0; initial count 1; remove</x:v>
      </x:c>
      <x:c r="F823" s="69" t="str">
        <x:v>count_explicit_goal_0_initial_1_remove</x:v>
      </x:c>
      <x:c r="G823" s="69" t="str">
        <x:v>goal one from initial count two by removal; goal three from initial count two by addition</x:v>
      </x:c>
      <x:c r="H823" s="69" t="str">
        <x:v>Yes</x:v>
      </x:c>
      <x:c r="I823" s="69" t="str">
        <x:v>replace counting demonstration</x:v>
      </x:c>
      <x:c r="J823" s="69" t="str">
        <x:v>Inside bowl initially (1): blue pen [TARGET]; On table: yellow block, airplane toy without propellers, green pencil sharpener; action=remove; expected final count=0.</x:v>
      </x:c>
      <x:c r="K823" s="69" t="str">
        <x:v>blue pen</x:v>
      </x:c>
      <x:c r="L823" s="69" t="str">
        <x:v>Post-Drop</x:v>
      </x:c>
      <x:c r="M823" s="69" t="str">
        <x:v>Put the blue pen in the bowl.</x:v>
      </x:c>
      <x:c r="N823" s="69" t="str">
        <x:v>yellow block, airplane toy without propellers, blue pen, green pencil sharpener</x:v>
      </x:c>
      <x:c r="O823" s="69" t="str">
        <x:v>blue pen</x:v>
      </x:c>
      <x:c r="P823" s="70" t="str">
        <x:v>Explicitly grounds the goal count in a familiar transition context, so the count word itself is not held out.</x:v>
      </x:c>
    </x:row>
    <x:row r="824" ht="58" customHeight="1">
      <x:c r="A824" s="100" t="n">
        <x:v>822</x:v>
      </x:c>
      <x:c r="B824" s="69" t="str">
        <x:v>Counting</x:v>
      </x:c>
      <x:c r="C824" s="69" t="str">
        <x:v>Make the bowl contain exactly zero objects.</x:v>
      </x:c>
      <x:c r="D824" s="69" t="str">
        <x:v>Explicit goal-count grounding</x:v>
      </x:c>
      <x:c r="E824" s="69" t="str">
        <x:v>final count 0; initial count 1; remove</x:v>
      </x:c>
      <x:c r="F824" s="69" t="str">
        <x:v>count_explicit_goal_0_initial_1_remove</x:v>
      </x:c>
      <x:c r="G824" s="69" t="str">
        <x:v>goal one from initial count two by removal; goal three from initial count two by addition</x:v>
      </x:c>
      <x:c r="H824" s="69" t="str">
        <x:v>Yes</x:v>
      </x:c>
      <x:c r="I824" s="69" t="str">
        <x:v>replace counting demonstration</x:v>
      </x:c>
      <x:c r="J824" s="69" t="str">
        <x:v>Inside bowl initially (1): green pencil sharpener [TARGET]; On table: yellow block, airplane toy without propellers, blue pen; action=remove; expected final count=0.</x:v>
      </x:c>
      <x:c r="K824" s="69" t="str">
        <x:v>green pencil sharpener</x:v>
      </x:c>
      <x:c r="L824" s="69" t="str">
        <x:v>Post-Drop</x:v>
      </x:c>
      <x:c r="M824" s="69" t="str">
        <x:v>Put the blue pen in the bowl.</x:v>
      </x:c>
      <x:c r="N824" s="69" t="str">
        <x:v>yellow block, green pencil sharpener, blue pen, airplane toy without propellers</x:v>
      </x:c>
      <x:c r="O824" s="69" t="str">
        <x:v>blue pen</x:v>
      </x:c>
      <x:c r="P824" s="70" t="str">
        <x:v>Explicitly grounds the goal count in a familiar transition context, so the count word itself is not held out.</x:v>
      </x:c>
    </x:row>
    <x:row r="825" ht="58" customHeight="1">
      <x:c r="A825" s="100" t="n">
        <x:v>823</x:v>
      </x:c>
      <x:c r="B825" s="69" t="str">
        <x:v>Counting</x:v>
      </x:c>
      <x:c r="C825" s="69" t="str">
        <x:v>Adjust the bowl so that it contains exactly zero objects.</x:v>
      </x:c>
      <x:c r="D825" s="69" t="str">
        <x:v>Explicit goal-count grounding</x:v>
      </x:c>
      <x:c r="E825" s="69" t="str">
        <x:v>final count 0; initial count 1; remove</x:v>
      </x:c>
      <x:c r="F825" s="69" t="str">
        <x:v>count_explicit_goal_0_initial_1_remove</x:v>
      </x:c>
      <x:c r="G825" s="69" t="str">
        <x:v>goal one from initial count two by removal; goal three from initial count two by addition</x:v>
      </x:c>
      <x:c r="H825" s="69" t="str">
        <x:v>Yes</x:v>
      </x:c>
      <x:c r="I825" s="69" t="str">
        <x:v>replace counting demonstration</x:v>
      </x:c>
      <x:c r="J825" s="69" t="str">
        <x:v>Inside bowl initially (1): yellow block [TARGET]; On table: green pencil sharpener, airplane toy without propellers, blue pen; action=remove; expected final count=0.</x:v>
      </x:c>
      <x:c r="K825" s="69" t="str">
        <x:v>yellow block</x:v>
      </x:c>
      <x:c r="L825" s="69" t="str">
        <x:v>Post-Drop</x:v>
      </x:c>
      <x:c r="M825" s="69" t="str">
        <x:v>Pick up the blue pen and place it in the bowl.</x:v>
      </x:c>
      <x:c r="N825" s="69" t="str">
        <x:v>green pencil sharpener, airplane toy without propellers, blue pen</x:v>
      </x:c>
      <x:c r="O825" s="69" t="str">
        <x:v>blue pen</x:v>
      </x:c>
      <x:c r="P825" s="70" t="str">
        <x:v>Explicitly grounds the goal count in a familiar transition context, so the count word itself is not held out.</x:v>
      </x:c>
    </x:row>
    <x:row r="826" ht="58" customHeight="1">
      <x:c r="A826" s="100" t="n">
        <x:v>824</x:v>
      </x:c>
      <x:c r="B826" s="69" t="str">
        <x:v>Counting</x:v>
      </x:c>
      <x:c r="C826" s="69" t="str">
        <x:v>Leave exactly zero objects in the bowl.</x:v>
      </x:c>
      <x:c r="D826" s="69" t="str">
        <x:v>Explicit goal-count grounding</x:v>
      </x:c>
      <x:c r="E826" s="69" t="str">
        <x:v>final count 0; initial count 1; remove</x:v>
      </x:c>
      <x:c r="F826" s="69" t="str">
        <x:v>count_explicit_goal_0_initial_1_remove</x:v>
      </x:c>
      <x:c r="G826" s="69" t="str">
        <x:v>goal one from initial count two by removal; goal three from initial count two by addition</x:v>
      </x:c>
      <x:c r="H826" s="69" t="str">
        <x:v>Yes</x:v>
      </x:c>
      <x:c r="I826" s="69" t="str">
        <x:v>replace counting demonstration</x:v>
      </x:c>
      <x:c r="J826" s="69" t="str">
        <x:v>Inside bowl initially (1): airplane toy without propellers [TARGET]; On table: blue pen, green pencil sharpener, yellow block; action=remove; expected final count=0.</x:v>
      </x:c>
      <x:c r="K826" s="69" t="str">
        <x:v>airplane toy without propellers</x:v>
      </x:c>
      <x:c r="L826" s="69" t="str">
        <x:v>Recovery</x:v>
      </x:c>
      <x:c r="M826" s="69" t="str">
        <x:v>Put the blue pen in the bowl.</x:v>
      </x:c>
      <x:c r="N826" s="69" t="str">
        <x:v>yellow block, airplane toy without propellers, blue pen</x:v>
      </x:c>
      <x:c r="O826" s="69" t="str">
        <x:v>blue pen</x:v>
      </x:c>
      <x:c r="P826" s="70" t="str">
        <x:v>Explicitly grounds the goal count in a familiar transition context, so the count word itself is not held out.</x:v>
      </x:c>
    </x:row>
    <x:row r="827" ht="58" customHeight="1">
      <x:c r="A827" s="100" t="n">
        <x:v>825</x:v>
      </x:c>
      <x:c r="B827" s="69" t="str">
        <x:v>Counting</x:v>
      </x:c>
      <x:c r="C827" s="69" t="str">
        <x:v>Make the bowl contain exactly zero objects.</x:v>
      </x:c>
      <x:c r="D827" s="69" t="str">
        <x:v>Explicit goal-count grounding</x:v>
      </x:c>
      <x:c r="E827" s="69" t="str">
        <x:v>final count 0; initial count 1; remove</x:v>
      </x:c>
      <x:c r="F827" s="69" t="str">
        <x:v>count_explicit_goal_0_initial_1_remove</x:v>
      </x:c>
      <x:c r="G827" s="69" t="str">
        <x:v>goal one from initial count two by removal; goal three from initial count two by addition</x:v>
      </x:c>
      <x:c r="H827" s="69" t="str">
        <x:v>Yes</x:v>
      </x:c>
      <x:c r="I827" s="69" t="str">
        <x:v>replace counting demonstration</x:v>
      </x:c>
      <x:c r="J827" s="69" t="str">
        <x:v>Inside bowl initially (1): blue pen [TARGET]; On table: airplane toy without propellers, green pencil sharpener, yellow block; action=remove; expected final count=0.</x:v>
      </x:c>
      <x:c r="K827" s="69" t="str">
        <x:v>blue pen</x:v>
      </x:c>
      <x:c r="L827" s="69" t="str">
        <x:v>Home</x:v>
      </x:c>
      <x:c r="M827" s="69" t="str">
        <x:v>Make the bowl contain exactly zero objects.</x:v>
      </x:c>
      <x:c r="N827" s="69" t="str">
        <x:v>blue pen, yellow block, green pencil sharpener, airplane toy without propellers</x:v>
      </x:c>
      <x:c r="O827" s="69" t="str">
        <x:v>blue pen</x:v>
      </x:c>
      <x:c r="P827" s="70" t="str">
        <x:v>Explicitly grounds the goal count in a familiar transition context, so the count word itself is not held out.</x:v>
      </x:c>
    </x:row>
    <x:row r="828" ht="58" customHeight="1">
      <x:c r="A828" s="100" t="n">
        <x:v>826</x:v>
      </x:c>
      <x:c r="B828" s="69" t="str">
        <x:v>Counting</x:v>
      </x:c>
      <x:c r="C828" s="69" t="str">
        <x:v>Adjust the bowl so that it contains exactly zero objects.</x:v>
      </x:c>
      <x:c r="D828" s="69" t="str">
        <x:v>Explicit goal-count grounding</x:v>
      </x:c>
      <x:c r="E828" s="69" t="str">
        <x:v>final count 0; initial count 1; remove</x:v>
      </x:c>
      <x:c r="F828" s="69" t="str">
        <x:v>count_explicit_goal_0_initial_1_remove</x:v>
      </x:c>
      <x:c r="G828" s="69" t="str">
        <x:v>goal one from initial count two by removal; goal three from initial count two by addition</x:v>
      </x:c>
      <x:c r="H828" s="69" t="str">
        <x:v>Yes</x:v>
      </x:c>
      <x:c r="I828" s="69" t="str">
        <x:v>replace counting demonstration</x:v>
      </x:c>
      <x:c r="J828" s="69" t="str">
        <x:v>Inside bowl initially (1): green pencil sharpener [TARGET]; On table: airplane toy without propellers, blue pen, yellow block; action=remove; expected final count=0.</x:v>
      </x:c>
      <x:c r="K828" s="69" t="str">
        <x:v>green pencil sharpener</x:v>
      </x:c>
      <x:c r="L828" s="69" t="str">
        <x:v>Home</x:v>
      </x:c>
      <x:c r="M828" s="69" t="str">
        <x:v>Adjust the bowl so that it contains zero objects.</x:v>
      </x:c>
      <x:c r="N828" s="69" t="str">
        <x:v>blue pen, green pencil sharpener, airplane toy without propellers</x:v>
      </x:c>
      <x:c r="O828" s="69" t="str">
        <x:v>blue pen</x:v>
      </x:c>
      <x:c r="P828" s="70" t="str">
        <x:v>Explicitly grounds the goal count in a familiar transition context, so the count word itself is not held out.</x:v>
      </x:c>
    </x:row>
    <x:row r="829" ht="58" customHeight="1">
      <x:c r="A829" s="100" t="n">
        <x:v>827</x:v>
      </x:c>
      <x:c r="B829" s="69" t="str">
        <x:v>Counting</x:v>
      </x:c>
      <x:c r="C829" s="69" t="str">
        <x:v>Leave exactly zero objects in the bowl.</x:v>
      </x:c>
      <x:c r="D829" s="69" t="str">
        <x:v>Explicit goal-count grounding</x:v>
      </x:c>
      <x:c r="E829" s="69" t="str">
        <x:v>final count 0; initial count 1; remove</x:v>
      </x:c>
      <x:c r="F829" s="69" t="str">
        <x:v>count_explicit_goal_0_initial_1_remove</x:v>
      </x:c>
      <x:c r="G829" s="69" t="str">
        <x:v>goal one from initial count two by removal; goal three from initial count two by addition</x:v>
      </x:c>
      <x:c r="H829" s="69" t="str">
        <x:v>Yes</x:v>
      </x:c>
      <x:c r="I829" s="69" t="str">
        <x:v>replace counting demonstration</x:v>
      </x:c>
      <x:c r="J829" s="69" t="str">
        <x:v>Inside bowl initially (1): yellow block [TARGET]; On table: airplane toy without propellers, blue pen, green pencil sharpener; action=remove; expected final count=0.</x:v>
      </x:c>
      <x:c r="K829" s="69" t="str">
        <x:v>yellow block</x:v>
      </x:c>
      <x:c r="L829" s="69" t="str">
        <x:v>Post-Drop</x:v>
      </x:c>
      <x:c r="M829" s="69" t="str">
        <x:v>Adjust the bowl so that it contains zero objects.</x:v>
      </x:c>
      <x:c r="N829" s="69" t="str">
        <x:v>blue pen, yellow block, green pencil sharpener</x:v>
      </x:c>
      <x:c r="O829" s="69" t="str">
        <x:v>blue pen</x:v>
      </x:c>
      <x:c r="P829" s="70" t="str">
        <x:v>Explicitly grounds the goal count in a familiar transition context, so the count word itself is not held out.</x:v>
      </x:c>
    </x:row>
    <x:row r="830" ht="58" customHeight="1">
      <x:c r="A830" s="100" t="n">
        <x:v>828</x:v>
      </x:c>
      <x:c r="B830" s="69" t="str">
        <x:v>Counting</x:v>
      </x:c>
      <x:c r="C830" s="69" t="str">
        <x:v>Make the bowl contain exactly zero objects.</x:v>
      </x:c>
      <x:c r="D830" s="69" t="str">
        <x:v>Explicit goal-count grounding</x:v>
      </x:c>
      <x:c r="E830" s="69" t="str">
        <x:v>final count 0; initial count 1; remove</x:v>
      </x:c>
      <x:c r="F830" s="69" t="str">
        <x:v>count_explicit_goal_0_initial_1_remove</x:v>
      </x:c>
      <x:c r="G830" s="69" t="str">
        <x:v>goal one from initial count two by removal; goal three from initial count two by addition</x:v>
      </x:c>
      <x:c r="H830" s="69" t="str">
        <x:v>Yes</x:v>
      </x:c>
      <x:c r="I830" s="69" t="str">
        <x:v>replace counting demonstration</x:v>
      </x:c>
      <x:c r="J830" s="69" t="str">
        <x:v>Inside bowl initially (1): airplane toy without propellers [TARGET]; On table: green pencil sharpener, yellow block, blue pen; action=remove; expected final count=0.</x:v>
      </x:c>
      <x:c r="K830" s="69" t="str">
        <x:v>airplane toy without propellers</x:v>
      </x:c>
      <x:c r="L830" s="69" t="str">
        <x:v>Post-Drop</x:v>
      </x:c>
      <x:c r="M830" s="69" t="str">
        <x:v>Leave no objects in the bowl.</x:v>
      </x:c>
      <x:c r="N830" s="69" t="str">
        <x:v>blue pen, airplane toy without propellers</x:v>
      </x:c>
      <x:c r="O830" s="69" t="str">
        <x:v>blue pen</x:v>
      </x:c>
      <x:c r="P830" s="70" t="str">
        <x:v>Explicitly grounds the goal count in a familiar transition context, so the count word itself is not held out.</x:v>
      </x:c>
    </x:row>
    <x:row r="831" ht="58" customHeight="1">
      <x:c r="A831" s="100" t="n">
        <x:v>829</x:v>
      </x:c>
      <x:c r="B831" s="69" t="str">
        <x:v>Counting</x:v>
      </x:c>
      <x:c r="C831" s="69" t="str">
        <x:v>Adjust the bowl so that it contains exactly zero objects.</x:v>
      </x:c>
      <x:c r="D831" s="69" t="str">
        <x:v>Explicit goal-count grounding</x:v>
      </x:c>
      <x:c r="E831" s="69" t="str">
        <x:v>final count 0; initial count 1; remove</x:v>
      </x:c>
      <x:c r="F831" s="69" t="str">
        <x:v>count_explicit_goal_0_initial_1_remove</x:v>
      </x:c>
      <x:c r="G831" s="69" t="str">
        <x:v>goal one from initial count two by removal; goal three from initial count two by addition</x:v>
      </x:c>
      <x:c r="H831" s="69" t="str">
        <x:v>Yes</x:v>
      </x:c>
      <x:c r="I831" s="69" t="str">
        <x:v>replace counting demonstration</x:v>
      </x:c>
      <x:c r="J831" s="69" t="str">
        <x:v>Inside bowl initially (1): blue pen [TARGET]; On table: green pencil sharpener, yellow block, airplane toy without propellers; action=remove; expected final count=0.</x:v>
      </x:c>
      <x:c r="K831" s="69" t="str">
        <x:v>blue pen</x:v>
      </x:c>
      <x:c r="L831" s="69" t="str">
        <x:v>Recovery</x:v>
      </x:c>
      <x:c r="M831" s="69" t="str">
        <x:v>Leave no objects in the bowl.</x:v>
      </x:c>
      <x:c r="N831" s="69" t="str">
        <x:v>blue pen, yellow block, airplane toy without propellers</x:v>
      </x:c>
      <x:c r="O831" s="69" t="str">
        <x:v>blue pen</x:v>
      </x:c>
      <x:c r="P831" s="70" t="str">
        <x:v>Explicitly grounds the goal count in a familiar transition context, so the count word itself is not held out.</x:v>
      </x:c>
    </x:row>
    <x:row r="832" ht="58" customHeight="1">
      <x:c r="A832" s="100" t="n">
        <x:v>830</x:v>
      </x:c>
      <x:c r="B832" s="69" t="str">
        <x:v>Counting</x:v>
      </x:c>
      <x:c r="C832" s="69" t="str">
        <x:v>Leave exactly zero objects in the bowl.</x:v>
      </x:c>
      <x:c r="D832" s="69" t="str">
        <x:v>Explicit goal-count grounding</x:v>
      </x:c>
      <x:c r="E832" s="69" t="str">
        <x:v>final count 0; initial count 1; remove</x:v>
      </x:c>
      <x:c r="F832" s="69" t="str">
        <x:v>count_explicit_goal_0_initial_1_remove</x:v>
      </x:c>
      <x:c r="G832" s="69" t="str">
        <x:v>goal one from initial count two by removal; goal three from initial count two by addition</x:v>
      </x:c>
      <x:c r="H832" s="69" t="str">
        <x:v>Yes</x:v>
      </x:c>
      <x:c r="I832" s="69" t="str">
        <x:v>replace counting demonstration</x:v>
      </x:c>
      <x:c r="J832" s="69" t="str">
        <x:v>Inside bowl initially (1): green pencil sharpener [TARGET]; On table: blue pen, yellow block, airplane toy without propellers; action=remove; expected final count=0.</x:v>
      </x:c>
      <x:c r="K832" s="69" t="str">
        <x:v>green pencil sharpener</x:v>
      </x:c>
      <x:c r="L832" s="69" t="str">
        <x:v>Recovery</x:v>
      </x:c>
      <x:c r="M832" s="69" t="str">
        <x:v>Adjust the bowl so that it contains zero objects.</x:v>
      </x:c>
      <x:c r="N832" s="69" t="str">
        <x:v>blue pen</x:v>
      </x:c>
      <x:c r="O832" s="69" t="str">
        <x:v>blue pen</x:v>
      </x:c>
      <x:c r="P832" s="70" t="str">
        <x:v>Explicitly grounds the goal count in a familiar transition context, so the count word itself is not held out.</x:v>
      </x:c>
    </x:row>
    <x:row r="833" ht="58" customHeight="1">
      <x:c r="A833" s="100" t="n">
        <x:v>831</x:v>
      </x:c>
      <x:c r="B833" s="69" t="str">
        <x:v>Counting</x:v>
      </x:c>
      <x:c r="C833" s="69" t="str">
        <x:v>Make the bowl contain exactly zero objects.</x:v>
      </x:c>
      <x:c r="D833" s="69" t="str">
        <x:v>Explicit goal-count grounding</x:v>
      </x:c>
      <x:c r="E833" s="69" t="str">
        <x:v>final count 0; initial count 1; remove</x:v>
      </x:c>
      <x:c r="F833" s="69" t="str">
        <x:v>count_explicit_goal_0_initial_1_remove</x:v>
      </x:c>
      <x:c r="G833" s="69" t="str">
        <x:v>goal one from initial count two by removal; goal three from initial count two by addition</x:v>
      </x:c>
      <x:c r="H833" s="69" t="str">
        <x:v>Yes</x:v>
      </x:c>
      <x:c r="I833" s="69" t="str">
        <x:v>replace counting demonstration</x:v>
      </x:c>
      <x:c r="J833" s="69" t="str">
        <x:v>Inside bowl initially (1): yellow block [TARGET]; On table: blue pen, green pencil sharpener, airplane toy without propellers; action=remove; expected final count=0.</x:v>
      </x:c>
      <x:c r="K833" s="69" t="str">
        <x:v>yellow block</x:v>
      </x:c>
      <x:c r="L833" s="69" t="str">
        <x:v>Home</x:v>
      </x:c>
      <x:c r="M833" s="69" t="str">
        <x:v>Remove the blue pen from the bowl.</x:v>
      </x:c>
      <x:c r="N833" s="69" t="str">
        <x:v>blue pen, yellow block, green pencil sharpener, airplane toy without propellers</x:v>
      </x:c>
      <x:c r="O833" s="69" t="str">
        <x:v>blue pen</x:v>
      </x:c>
      <x:c r="P833" s="70" t="str">
        <x:v>Explicitly grounds the goal count in a familiar transition context, so the count word itself is not held out.</x:v>
      </x:c>
    </x:row>
    <x:row r="834" ht="58" customHeight="1">
      <x:c r="A834" s="100" t="n">
        <x:v>832</x:v>
      </x:c>
      <x:c r="B834" s="69" t="str">
        <x:v>Counting</x:v>
      </x:c>
      <x:c r="C834" s="69" t="str">
        <x:v>Adjust the bowl so that it contains exactly zero objects.</x:v>
      </x:c>
      <x:c r="D834" s="69" t="str">
        <x:v>Explicit goal-count grounding</x:v>
      </x:c>
      <x:c r="E834" s="69" t="str">
        <x:v>final count 0; initial count 1; remove</x:v>
      </x:c>
      <x:c r="F834" s="69" t="str">
        <x:v>count_explicit_goal_0_initial_1_remove</x:v>
      </x:c>
      <x:c r="G834" s="69" t="str">
        <x:v>goal one from initial count two by removal; goal three from initial count two by addition</x:v>
      </x:c>
      <x:c r="H834" s="69" t="str">
        <x:v>Yes</x:v>
      </x:c>
      <x:c r="I834" s="69" t="str">
        <x:v>replace counting demonstration</x:v>
      </x:c>
      <x:c r="J834" s="69" t="str">
        <x:v>Inside bowl initially (1): airplane toy without propellers [TARGET]; On table: yellow block, blue pen, green pencil sharpener; action=remove; expected final count=0.</x:v>
      </x:c>
      <x:c r="K834" s="69" t="str">
        <x:v>airplane toy without propellers</x:v>
      </x:c>
      <x:c r="L834" s="69" t="str">
        <x:v>Home</x:v>
      </x:c>
      <x:c r="M834" s="69" t="str">
        <x:v>Remove the blue pen from the bowl.</x:v>
      </x:c>
      <x:c r="N834" s="69" t="str">
        <x:v>blue pen, green pencil sharpener, yellow block</x:v>
      </x:c>
      <x:c r="O834" s="69" t="str">
        <x:v>blue pen</x:v>
      </x:c>
      <x:c r="P834" s="70" t="str">
        <x:v>Explicitly grounds the goal count in a familiar transition context, so the count word itself is not held out.</x:v>
      </x:c>
    </x:row>
    <x:row r="835" ht="58" customHeight="1">
      <x:c r="A835" s="100" t="n">
        <x:v>833</x:v>
      </x:c>
      <x:c r="B835" s="69" t="str">
        <x:v>Counting</x:v>
      </x:c>
      <x:c r="C835" s="69" t="str">
        <x:v>Leave exactly zero objects in the bowl.</x:v>
      </x:c>
      <x:c r="D835" s="69" t="str">
        <x:v>Explicit goal-count grounding</x:v>
      </x:c>
      <x:c r="E835" s="69" t="str">
        <x:v>final count 0; initial count 1; remove</x:v>
      </x:c>
      <x:c r="F835" s="69" t="str">
        <x:v>count_explicit_goal_0_initial_1_remove</x:v>
      </x:c>
      <x:c r="G835" s="69" t="str">
        <x:v>goal one from initial count two by removal; goal three from initial count two by addition</x:v>
      </x:c>
      <x:c r="H835" s="69" t="str">
        <x:v>Yes</x:v>
      </x:c>
      <x:c r="I835" s="69" t="str">
        <x:v>replace counting demonstration</x:v>
      </x:c>
      <x:c r="J835" s="69" t="str">
        <x:v>Inside bowl initially (1): blue pen [TARGET]; On table: yellow block, airplane toy without propellers, green pencil sharpener; action=remove; expected final count=0.</x:v>
      </x:c>
      <x:c r="K835" s="69" t="str">
        <x:v>blue pen</x:v>
      </x:c>
      <x:c r="L835" s="69" t="str">
        <x:v>Home</x:v>
      </x:c>
      <x:c r="M835" s="69" t="str">
        <x:v>Take the blue pen out of the bowl.</x:v>
      </x:c>
      <x:c r="N835" s="69" t="str">
        <x:v>blue pen, airplane toy without propellers, green pencil sharpener</x:v>
      </x:c>
      <x:c r="O835" s="69" t="str">
        <x:v>blue pen</x:v>
      </x:c>
      <x:c r="P835" s="70" t="str">
        <x:v>Explicitly grounds the goal count in a familiar transition context, so the count word itself is not held out.</x:v>
      </x:c>
    </x:row>
    <x:row r="836" ht="58" customHeight="1">
      <x:c r="A836" s="100" t="n">
        <x:v>834</x:v>
      </x:c>
      <x:c r="B836" s="69" t="str">
        <x:v>Counting</x:v>
      </x:c>
      <x:c r="C836" s="69" t="str">
        <x:v>Make the bowl contain exactly zero objects.</x:v>
      </x:c>
      <x:c r="D836" s="69" t="str">
        <x:v>Explicit goal-count grounding</x:v>
      </x:c>
      <x:c r="E836" s="69" t="str">
        <x:v>final count 0; initial count 1; remove</x:v>
      </x:c>
      <x:c r="F836" s="69" t="str">
        <x:v>count_explicit_goal_0_initial_1_remove</x:v>
      </x:c>
      <x:c r="G836" s="69" t="str">
        <x:v>goal one from initial count two by removal; goal three from initial count two by addition</x:v>
      </x:c>
      <x:c r="H836" s="69" t="str">
        <x:v>Yes</x:v>
      </x:c>
      <x:c r="I836" s="69" t="str">
        <x:v>replace counting demonstration</x:v>
      </x:c>
      <x:c r="J836" s="69" t="str">
        <x:v>Inside bowl initially (1): green pencil sharpener [TARGET]; On table: yellow block, airplane toy without propellers, blue pen; action=remove; expected final count=0.</x:v>
      </x:c>
      <x:c r="K836" s="69" t="str">
        <x:v>green pencil sharpener</x:v>
      </x:c>
      <x:c r="L836" s="69" t="str">
        <x:v>Post-Drop</x:v>
      </x:c>
      <x:c r="M836" s="69" t="str">
        <x:v>Take the blue pen out of the bowl.</x:v>
      </x:c>
      <x:c r="N836" s="69" t="str">
        <x:v>blue pen, yellow block, airplane toy without propellers</x:v>
      </x:c>
      <x:c r="O836" s="69" t="str">
        <x:v>blue pen</x:v>
      </x:c>
      <x:c r="P836" s="70" t="str">
        <x:v>Explicitly grounds the goal count in a familiar transition context, so the count word itself is not held out.</x:v>
      </x:c>
    </x:row>
    <x:row r="837" ht="58" customHeight="1">
      <x:c r="A837" s="100" t="n">
        <x:v>835</x:v>
      </x:c>
      <x:c r="B837" s="69" t="str">
        <x:v>Counting</x:v>
      </x:c>
      <x:c r="C837" s="69" t="str">
        <x:v>Adjust the bowl so that it contains exactly zero objects.</x:v>
      </x:c>
      <x:c r="D837" s="69" t="str">
        <x:v>Explicit goal-count grounding</x:v>
      </x:c>
      <x:c r="E837" s="69" t="str">
        <x:v>final count 0; initial count 1; remove</x:v>
      </x:c>
      <x:c r="F837" s="69" t="str">
        <x:v>count_explicit_goal_0_initial_1_remove</x:v>
      </x:c>
      <x:c r="G837" s="69" t="str">
        <x:v>goal one from initial count two by removal; goal three from initial count two by addition</x:v>
      </x:c>
      <x:c r="H837" s="69" t="str">
        <x:v>Yes</x:v>
      </x:c>
      <x:c r="I837" s="69" t="str">
        <x:v>replace counting demonstration</x:v>
      </x:c>
      <x:c r="J837" s="69" t="str">
        <x:v>Inside bowl initially (1): yellow block [TARGET]; On table: green pencil sharpener, airplane toy without propellers, blue pen; action=remove; expected final count=0.</x:v>
      </x:c>
      <x:c r="K837" s="69" t="str">
        <x:v>yellow block</x:v>
      </x:c>
      <x:c r="L837" s="69" t="str">
        <x:v>Post-Drop</x:v>
      </x:c>
      <x:c r="M837" s="69" t="str">
        <x:v>Move the blue pen from the bowl to the table.</x:v>
      </x:c>
      <x:c r="N837" s="69" t="str">
        <x:v>blue pen, green pencil sharpener, yellow block, airplane toy without propellers</x:v>
      </x:c>
      <x:c r="O837" s="69" t="str">
        <x:v>blue pen</x:v>
      </x:c>
      <x:c r="P837" s="70" t="str">
        <x:v>Explicitly grounds the goal count in a familiar transition context, so the count word itself is not held out.</x:v>
      </x:c>
    </x:row>
    <x:row r="838" ht="58" customHeight="1">
      <x:c r="A838" s="100" t="n">
        <x:v>836</x:v>
      </x:c>
      <x:c r="B838" s="69" t="str">
        <x:v>Counting</x:v>
      </x:c>
      <x:c r="C838" s="69" t="str">
        <x:v>Leave exactly zero objects in the bowl.</x:v>
      </x:c>
      <x:c r="D838" s="69" t="str">
        <x:v>Explicit goal-count grounding</x:v>
      </x:c>
      <x:c r="E838" s="69" t="str">
        <x:v>final count 0; initial count 1; remove</x:v>
      </x:c>
      <x:c r="F838" s="69" t="str">
        <x:v>count_explicit_goal_0_initial_1_remove</x:v>
      </x:c>
      <x:c r="G838" s="69" t="str">
        <x:v>goal one from initial count two by removal; goal three from initial count two by addition</x:v>
      </x:c>
      <x:c r="H838" s="69" t="str">
        <x:v>Yes</x:v>
      </x:c>
      <x:c r="I838" s="69" t="str">
        <x:v>replace counting demonstration</x:v>
      </x:c>
      <x:c r="J838" s="69" t="str">
        <x:v>Inside bowl initially (1): airplane toy without propellers [TARGET]; On table: blue pen, green pencil sharpener, yellow block; action=remove; expected final count=0.</x:v>
      </x:c>
      <x:c r="K838" s="69" t="str">
        <x:v>airplane toy without propellers</x:v>
      </x:c>
      <x:c r="L838" s="69" t="str">
        <x:v>Recovery</x:v>
      </x:c>
      <x:c r="M838" s="69" t="str">
        <x:v>Remove the blue pen from the bowl.</x:v>
      </x:c>
      <x:c r="N838" s="69" t="str">
        <x:v>blue pen, airplane toy without propellers</x:v>
      </x:c>
      <x:c r="O838" s="69" t="str">
        <x:v>blue pen</x:v>
      </x:c>
      <x:c r="P838" s="70" t="str">
        <x:v>Explicitly grounds the goal count in a familiar transition context, so the count word itself is not held out.</x:v>
      </x:c>
    </x:row>
    <x:row r="839" ht="58" customHeight="1">
      <x:c r="A839" s="100" t="n">
        <x:v>837</x:v>
      </x:c>
      <x:c r="B839" s="69" t="str">
        <x:v>Counting</x:v>
      </x:c>
      <x:c r="C839" s="69" t="str">
        <x:v>Make the bowl contain exactly zero objects.</x:v>
      </x:c>
      <x:c r="D839" s="69" t="str">
        <x:v>Explicit goal-count grounding</x:v>
      </x:c>
      <x:c r="E839" s="69" t="str">
        <x:v>final count 0; initial count 1; remove</x:v>
      </x:c>
      <x:c r="F839" s="69" t="str">
        <x:v>count_explicit_goal_0_initial_1_remove</x:v>
      </x:c>
      <x:c r="G839" s="69" t="str">
        <x:v>goal one from initial count two by removal; goal three from initial count two by addition</x:v>
      </x:c>
      <x:c r="H839" s="69" t="str">
        <x:v>Yes</x:v>
      </x:c>
      <x:c r="I839" s="69" t="str">
        <x:v>replace counting demonstration</x:v>
      </x:c>
      <x:c r="J839" s="69" t="str">
        <x:v>Inside bowl initially (1): blue pen [TARGET]; On table: airplane toy without propellers, green pencil sharpener, yellow block; action=remove; expected final count=0.</x:v>
      </x:c>
      <x:c r="K839" s="69" t="str">
        <x:v>blue pen</x:v>
      </x:c>
      <x:c r="L839" s="69" t="str">
        <x:v>Home</x:v>
      </x:c>
      <x:c r="M839" s="69" t="str">
        <x:v>Make the bowl contain exactly two objects.</x:v>
      </x:c>
      <x:c r="N839" s="69" t="str">
        <x:v>blue pen, yellow block, green pencil sharpener, airplane toy without propellers</x:v>
      </x:c>
      <x:c r="O839" s="69" t="str">
        <x:v>blue pen</x:v>
      </x:c>
      <x:c r="P839" s="70" t="str">
        <x:v>Explicitly grounds the goal count in a familiar transition context, so the count word itself is not held out.</x:v>
      </x:c>
    </x:row>
    <x:row r="840" ht="58" customHeight="1">
      <x:c r="A840" s="100" t="n">
        <x:v>838</x:v>
      </x:c>
      <x:c r="B840" s="69" t="str">
        <x:v>Counting</x:v>
      </x:c>
      <x:c r="C840" s="69" t="str">
        <x:v>Adjust the bowl so that it contains exactly zero objects.</x:v>
      </x:c>
      <x:c r="D840" s="69" t="str">
        <x:v>Explicit goal-count grounding</x:v>
      </x:c>
      <x:c r="E840" s="69" t="str">
        <x:v>final count 0; initial count 1; remove</x:v>
      </x:c>
      <x:c r="F840" s="69" t="str">
        <x:v>count_explicit_goal_0_initial_1_remove</x:v>
      </x:c>
      <x:c r="G840" s="69" t="str">
        <x:v>goal one from initial count two by removal; goal three from initial count two by addition</x:v>
      </x:c>
      <x:c r="H840" s="69" t="str">
        <x:v>Yes</x:v>
      </x:c>
      <x:c r="I840" s="69" t="str">
        <x:v>replace counting demonstration</x:v>
      </x:c>
      <x:c r="J840" s="69" t="str">
        <x:v>Inside bowl initially (1): green pencil sharpener [TARGET]; On table: airplane toy without propellers, blue pen, yellow block; action=remove; expected final count=0.</x:v>
      </x:c>
      <x:c r="K840" s="69" t="str">
        <x:v>green pencil sharpener</x:v>
      </x:c>
      <x:c r="L840" s="69" t="str">
        <x:v>Home</x:v>
      </x:c>
      <x:c r="M840" s="69" t="str">
        <x:v>Make the bowl contain exactly two objects.</x:v>
      </x:c>
      <x:c r="N840" s="69" t="str">
        <x:v>blue pen, green pencil sharpener, airplane toy without propellers, yellow block</x:v>
      </x:c>
      <x:c r="O840" s="69" t="str">
        <x:v>blue pen</x:v>
      </x:c>
      <x:c r="P840" s="70" t="str">
        <x:v>Explicitly grounds the goal count in a familiar transition context, so the count word itself is not held out.</x:v>
      </x:c>
    </x:row>
    <x:row r="841" ht="58" customHeight="1">
      <x:c r="A841" s="100" t="n">
        <x:v>839</x:v>
      </x:c>
      <x:c r="B841" s="69" t="str">
        <x:v>Counting</x:v>
      </x:c>
      <x:c r="C841" s="69" t="str">
        <x:v>Leave exactly zero objects in the bowl.</x:v>
      </x:c>
      <x:c r="D841" s="69" t="str">
        <x:v>Explicit goal-count grounding</x:v>
      </x:c>
      <x:c r="E841" s="69" t="str">
        <x:v>final count 0; initial count 1; remove</x:v>
      </x:c>
      <x:c r="F841" s="69" t="str">
        <x:v>count_explicit_goal_0_initial_1_remove</x:v>
      </x:c>
      <x:c r="G841" s="69" t="str">
        <x:v>goal one from initial count two by removal; goal three from initial count two by addition</x:v>
      </x:c>
      <x:c r="H841" s="69" t="str">
        <x:v>Yes</x:v>
      </x:c>
      <x:c r="I841" s="69" t="str">
        <x:v>replace counting demonstration</x:v>
      </x:c>
      <x:c r="J841" s="69" t="str">
        <x:v>Inside bowl initially (1): yellow block [TARGET]; On table: airplane toy without propellers, blue pen, green pencil sharpener; action=remove; expected final count=0.</x:v>
      </x:c>
      <x:c r="K841" s="69" t="str">
        <x:v>yellow block</x:v>
      </x:c>
      <x:c r="L841" s="69" t="str">
        <x:v>Post-Drop</x:v>
      </x:c>
      <x:c r="M841" s="69" t="str">
        <x:v>Make the bowl contain exactly two objects.</x:v>
      </x:c>
      <x:c r="N841" s="69" t="str">
        <x:v>blue pen, yellow block, airplane toy without propellers, green pencil sharpener</x:v>
      </x:c>
      <x:c r="O841" s="69" t="str">
        <x:v>blue pen</x:v>
      </x:c>
      <x:c r="P841" s="70" t="str">
        <x:v>Explicitly grounds the goal count in a familiar transition context, so the count word itself is not held out.</x:v>
      </x:c>
    </x:row>
    <x:row r="842" ht="58" customHeight="1">
      <x:c r="A842" s="100" t="n">
        <x:v>840</x:v>
      </x:c>
      <x:c r="B842" s="69" t="str">
        <x:v>Counting</x:v>
      </x:c>
      <x:c r="C842" s="69" t="str">
        <x:v>Make the bowl contain exactly one object.</x:v>
      </x:c>
      <x:c r="D842" s="69" t="str">
        <x:v>Explicit goal-count grounding</x:v>
      </x:c>
      <x:c r="E842" s="69" t="str">
        <x:v>final count 1; initial count 0; add</x:v>
      </x:c>
      <x:c r="F842" s="69" t="str">
        <x:v>count_explicit_goal_1_initial_0_add</x:v>
      </x:c>
      <x:c r="G842" s="69" t="str">
        <x:v>goal one from initial count two by removal; goal three from initial count two by addition</x:v>
      </x:c>
      <x:c r="H842" s="69" t="str">
        <x:v>Yes</x:v>
      </x:c>
      <x:c r="I842" s="69" t="str">
        <x:v>replace counting demonstration</x:v>
      </x:c>
      <x:c r="J842" s="69" t="str">
        <x:v>Inside bowl initially (0): none; On table: airplane toy without propellers [TARGET], green pencil sharpener, yellow block, blue pen; action=add; expected final count=1.</x:v>
      </x:c>
      <x:c r="K842" s="69" t="str">
        <x:v>airplane toy without propellers</x:v>
      </x:c>
      <x:c r="L842" s="69" t="str">
        <x:v>Post-Drop</x:v>
      </x:c>
      <x:c r="M842" s="69" t="str">
        <x:v>Adjust the bowl so that it contains two objects.</x:v>
      </x:c>
      <x:c r="N842" s="69" t="str">
        <x:v>blue pen, yellow block, green pencil sharpener</x:v>
      </x:c>
      <x:c r="O842" s="69" t="str">
        <x:v>blue pen</x:v>
      </x:c>
      <x:c r="P842" s="70" t="str">
        <x:v>Explicitly grounds the goal count in a familiar transition context, so the count word itself is not held out.</x:v>
      </x:c>
    </x:row>
    <x:row r="843" ht="58" customHeight="1">
      <x:c r="A843" s="100" t="n">
        <x:v>841</x:v>
      </x:c>
      <x:c r="B843" s="69" t="str">
        <x:v>Counting</x:v>
      </x:c>
      <x:c r="C843" s="69" t="str">
        <x:v>Adjust the bowl so that it contains exactly one object.</x:v>
      </x:c>
      <x:c r="D843" s="69" t="str">
        <x:v>Explicit goal-count grounding</x:v>
      </x:c>
      <x:c r="E843" s="69" t="str">
        <x:v>final count 1; initial count 0; add</x:v>
      </x:c>
      <x:c r="F843" s="69" t="str">
        <x:v>count_explicit_goal_1_initial_0_add</x:v>
      </x:c>
      <x:c r="G843" s="69" t="str">
        <x:v>goal one from initial count two by removal; goal three from initial count two by addition</x:v>
      </x:c>
      <x:c r="H843" s="69" t="str">
        <x:v>Yes</x:v>
      </x:c>
      <x:c r="I843" s="69" t="str">
        <x:v>replace counting demonstration</x:v>
      </x:c>
      <x:c r="J843" s="69" t="str">
        <x:v>Inside bowl initially (0): none; On table: blue pen [TARGET], green pencil sharpener, yellow block, airplane toy without propellers; action=add; expected final count=1.</x:v>
      </x:c>
      <x:c r="K843" s="69" t="str">
        <x:v>blue pen</x:v>
      </x:c>
      <x:c r="L843" s="69" t="str">
        <x:v>Post-Drop</x:v>
      </x:c>
      <x:c r="M843" s="69" t="str">
        <x:v>Leave exactly two objects in the bowl.</x:v>
      </x:c>
      <x:c r="N843" s="69" t="str">
        <x:v>blue pen, green pencil sharpener, airplane toy without propellers</x:v>
      </x:c>
      <x:c r="O843" s="69" t="str">
        <x:v>blue pen</x:v>
      </x:c>
      <x:c r="P843" s="70" t="str">
        <x:v>Explicitly grounds the goal count in a familiar transition context, so the count word itself is not held out.</x:v>
      </x:c>
    </x:row>
    <x:row r="844" ht="58" customHeight="1">
      <x:c r="A844" s="100" t="n">
        <x:v>842</x:v>
      </x:c>
      <x:c r="B844" s="69" t="str">
        <x:v>Counting</x:v>
      </x:c>
      <x:c r="C844" s="69" t="str">
        <x:v>Leave exactly one object in the bowl.</x:v>
      </x:c>
      <x:c r="D844" s="69" t="str">
        <x:v>Explicit goal-count grounding</x:v>
      </x:c>
      <x:c r="E844" s="69" t="str">
        <x:v>final count 1; initial count 0; add</x:v>
      </x:c>
      <x:c r="F844" s="69" t="str">
        <x:v>count_explicit_goal_1_initial_0_add</x:v>
      </x:c>
      <x:c r="G844" s="69" t="str">
        <x:v>goal one from initial count two by removal; goal three from initial count two by addition</x:v>
      </x:c>
      <x:c r="H844" s="69" t="str">
        <x:v>Yes</x:v>
      </x:c>
      <x:c r="I844" s="69" t="str">
        <x:v>replace counting demonstration</x:v>
      </x:c>
      <x:c r="J844" s="69" t="str">
        <x:v>Inside bowl initially (0): none; On table: green pencil sharpener [TARGET], blue pen, yellow block, airplane toy without propellers; action=add; expected final count=1.</x:v>
      </x:c>
      <x:c r="K844" s="69" t="str">
        <x:v>green pencil sharpener</x:v>
      </x:c>
      <x:c r="L844" s="69" t="str">
        <x:v>Recovery</x:v>
      </x:c>
      <x:c r="M844" s="69" t="str">
        <x:v>Make the bowl contain exactly two objects.</x:v>
      </x:c>
      <x:c r="N844" s="69" t="str">
        <x:v>blue pen, yellow block, airplane toy without propellers</x:v>
      </x:c>
      <x:c r="O844" s="69" t="str">
        <x:v>blue pen</x:v>
      </x:c>
      <x:c r="P844" s="70" t="str">
        <x:v>Explicitly grounds the goal count in a familiar transition context, so the count word itself is not held out.</x:v>
      </x:c>
    </x:row>
    <x:row r="845" ht="58" customHeight="1">
      <x:c r="A845" s="100" t="n">
        <x:v>843</x:v>
      </x:c>
      <x:c r="B845" s="69" t="str">
        <x:v>Counting</x:v>
      </x:c>
      <x:c r="C845" s="69" t="str">
        <x:v>Make the bowl contain exactly one object.</x:v>
      </x:c>
      <x:c r="D845" s="69" t="str">
        <x:v>Explicit goal-count grounding</x:v>
      </x:c>
      <x:c r="E845" s="69" t="str">
        <x:v>final count 1; initial count 0; add</x:v>
      </x:c>
      <x:c r="F845" s="69" t="str">
        <x:v>count_explicit_goal_1_initial_0_add</x:v>
      </x:c>
      <x:c r="G845" s="69" t="str">
        <x:v>goal one from initial count two by removal; goal three from initial count two by addition</x:v>
      </x:c>
      <x:c r="H845" s="69" t="str">
        <x:v>Yes</x:v>
      </x:c>
      <x:c r="I845" s="69" t="str">
        <x:v>replace counting demonstration</x:v>
      </x:c>
      <x:c r="J845" s="69" t="str">
        <x:v>Inside bowl initially (0): none; On table: yellow block [TARGET], blue pen, green pencil sharpener, airplane toy without propellers; action=add; expected final count=1.</x:v>
      </x:c>
      <x:c r="K845" s="69" t="str">
        <x:v>yellow block</x:v>
      </x:c>
      <x:c r="L845" s="69" t="str">
        <x:v>Home</x:v>
      </x:c>
      <x:c r="M845" s="69" t="str">
        <x:v>Take the blue pen out of the bowl.</x:v>
      </x:c>
      <x:c r="N845" s="69" t="str">
        <x:v>blue pen, yellow block, green pencil sharpener, airplane toy without propellers</x:v>
      </x:c>
      <x:c r="O845" s="69" t="str">
        <x:v>blue pen</x:v>
      </x:c>
      <x:c r="P845" s="70" t="str">
        <x:v>Explicitly grounds the goal count in a familiar transition context, so the count word itself is not held out.</x:v>
      </x:c>
    </x:row>
    <x:row r="846" ht="58" customHeight="1">
      <x:c r="A846" s="100" t="n">
        <x:v>844</x:v>
      </x:c>
      <x:c r="B846" s="69" t="str">
        <x:v>Counting</x:v>
      </x:c>
      <x:c r="C846" s="69" t="str">
        <x:v>Adjust the bowl so that it contains exactly one object.</x:v>
      </x:c>
      <x:c r="D846" s="69" t="str">
        <x:v>Explicit goal-count grounding</x:v>
      </x:c>
      <x:c r="E846" s="69" t="str">
        <x:v>final count 1; initial count 0; add</x:v>
      </x:c>
      <x:c r="F846" s="69" t="str">
        <x:v>count_explicit_goal_1_initial_0_add</x:v>
      </x:c>
      <x:c r="G846" s="69" t="str">
        <x:v>goal one from initial count two by removal; goal three from initial count two by addition</x:v>
      </x:c>
      <x:c r="H846" s="69" t="str">
        <x:v>Yes</x:v>
      </x:c>
      <x:c r="I846" s="69" t="str">
        <x:v>replace counting demonstration</x:v>
      </x:c>
      <x:c r="J846" s="69" t="str">
        <x:v>Inside bowl initially (0): none; On table: airplane toy without propellers [TARGET], yellow block, blue pen, green pencil sharpener; action=add; expected final count=1.</x:v>
      </x:c>
      <x:c r="K846" s="69" t="str">
        <x:v>airplane toy without propellers</x:v>
      </x:c>
      <x:c r="L846" s="69" t="str">
        <x:v>Home</x:v>
      </x:c>
      <x:c r="M846" s="69" t="str">
        <x:v>Move the blue pen from the bowl to the table.</x:v>
      </x:c>
      <x:c r="N846" s="69" t="str">
        <x:v>blue pen, yellow block, green pencil sharpener, airplane toy without propellers</x:v>
      </x:c>
      <x:c r="O846" s="69" t="str">
        <x:v>blue pen</x:v>
      </x:c>
      <x:c r="P846" s="70" t="str">
        <x:v>Explicitly grounds the goal count in a familiar transition context, so the count word itself is not held out.</x:v>
      </x:c>
    </x:row>
    <x:row r="847" ht="58" customHeight="1">
      <x:c r="A847" s="100" t="n">
        <x:v>845</x:v>
      </x:c>
      <x:c r="B847" s="69" t="str">
        <x:v>Counting</x:v>
      </x:c>
      <x:c r="C847" s="69" t="str">
        <x:v>Leave exactly one object in the bowl.</x:v>
      </x:c>
      <x:c r="D847" s="69" t="str">
        <x:v>Explicit goal-count grounding</x:v>
      </x:c>
      <x:c r="E847" s="69" t="str">
        <x:v>final count 1; initial count 0; add</x:v>
      </x:c>
      <x:c r="F847" s="69" t="str">
        <x:v>count_explicit_goal_1_initial_0_add</x:v>
      </x:c>
      <x:c r="G847" s="69" t="str">
        <x:v>goal one from initial count two by removal; goal three from initial count two by addition</x:v>
      </x:c>
      <x:c r="H847" s="69" t="str">
        <x:v>Yes</x:v>
      </x:c>
      <x:c r="I847" s="69" t="str">
        <x:v>replace counting demonstration</x:v>
      </x:c>
      <x:c r="J847" s="69" t="str">
        <x:v>Inside bowl initially (0): none; On table: blue pen [TARGET], yellow block, airplane toy without propellers, green pencil sharpener; action=add; expected final count=1.</x:v>
      </x:c>
      <x:c r="K847" s="69" t="str">
        <x:v>blue pen</x:v>
      </x:c>
      <x:c r="L847" s="69" t="str">
        <x:v>Home</x:v>
      </x:c>
      <x:c r="M847" s="69" t="str">
        <x:v>Take the blue pen out of the bowl.</x:v>
      </x:c>
      <x:c r="N847" s="69" t="str">
        <x:v>blue pen, yellow block, green pencil sharpener, airplane toy without propellers</x:v>
      </x:c>
      <x:c r="O847" s="69" t="str">
        <x:v>blue pen</x:v>
      </x:c>
      <x:c r="P847" s="70" t="str">
        <x:v>Explicitly grounds the goal count in a familiar transition context, so the count word itself is not held out.</x:v>
      </x:c>
    </x:row>
    <x:row r="848" ht="58" customHeight="1">
      <x:c r="A848" s="100" t="n">
        <x:v>846</x:v>
      </x:c>
      <x:c r="B848" s="69" t="str">
        <x:v>Counting</x:v>
      </x:c>
      <x:c r="C848" s="69" t="str">
        <x:v>Make the bowl contain exactly one object.</x:v>
      </x:c>
      <x:c r="D848" s="69" t="str">
        <x:v>Explicit goal-count grounding</x:v>
      </x:c>
      <x:c r="E848" s="69" t="str">
        <x:v>final count 1; initial count 0; add</x:v>
      </x:c>
      <x:c r="F848" s="69" t="str">
        <x:v>count_explicit_goal_1_initial_0_add</x:v>
      </x:c>
      <x:c r="G848" s="69" t="str">
        <x:v>goal one from initial count two by removal; goal three from initial count two by addition</x:v>
      </x:c>
      <x:c r="H848" s="69" t="str">
        <x:v>Yes</x:v>
      </x:c>
      <x:c r="I848" s="69" t="str">
        <x:v>replace counting demonstration</x:v>
      </x:c>
      <x:c r="J848" s="69" t="str">
        <x:v>Inside bowl initially (0): none; On table: green pencil sharpener [TARGET], yellow block, airplane toy without propellers, blue pen; action=add; expected final count=1.</x:v>
      </x:c>
      <x:c r="K848" s="69" t="str">
        <x:v>green pencil sharpener</x:v>
      </x:c>
      <x:c r="L848" s="69" t="str">
        <x:v>Post-Drop</x:v>
      </x:c>
      <x:c r="M848" s="69" t="str">
        <x:v>Take the blue pen out of the bowl.</x:v>
      </x:c>
      <x:c r="N848" s="69" t="str">
        <x:v>blue pen, yellow block, green pencil sharpener, airplane toy without propellers</x:v>
      </x:c>
      <x:c r="O848" s="69" t="str">
        <x:v>blue pen</x:v>
      </x:c>
      <x:c r="P848" s="70" t="str">
        <x:v>Explicitly grounds the goal count in a familiar transition context, so the count word itself is not held out.</x:v>
      </x:c>
    </x:row>
    <x:row r="849" ht="58" customHeight="1">
      <x:c r="A849" s="100" t="n">
        <x:v>847</x:v>
      </x:c>
      <x:c r="B849" s="69" t="str">
        <x:v>Counting</x:v>
      </x:c>
      <x:c r="C849" s="69" t="str">
        <x:v>Adjust the bowl so that it contains exactly one object.</x:v>
      </x:c>
      <x:c r="D849" s="69" t="str">
        <x:v>Explicit goal-count grounding</x:v>
      </x:c>
      <x:c r="E849" s="69" t="str">
        <x:v>final count 1; initial count 0; add</x:v>
      </x:c>
      <x:c r="F849" s="69" t="str">
        <x:v>count_explicit_goal_1_initial_0_add</x:v>
      </x:c>
      <x:c r="G849" s="69" t="str">
        <x:v>goal one from initial count two by removal; goal three from initial count two by addition</x:v>
      </x:c>
      <x:c r="H849" s="69" t="str">
        <x:v>Yes</x:v>
      </x:c>
      <x:c r="I849" s="69" t="str">
        <x:v>replace counting demonstration</x:v>
      </x:c>
      <x:c r="J849" s="69" t="str">
        <x:v>Inside bowl initially (0): none; On table: yellow block [TARGET], green pencil sharpener, airplane toy without propellers, blue pen; action=add; expected final count=1.</x:v>
      </x:c>
      <x:c r="K849" s="69" t="str">
        <x:v>yellow block</x:v>
      </x:c>
      <x:c r="L849" s="69" t="str">
        <x:v>Post-Drop</x:v>
      </x:c>
      <x:c r="M849" s="69" t="str">
        <x:v>Remove the blue pen from the bowl.</x:v>
      </x:c>
      <x:c r="N849" s="69" t="str">
        <x:v>blue pen, yellow block, green pencil sharpener, airplane toy without propellers</x:v>
      </x:c>
      <x:c r="O849" s="69" t="str">
        <x:v>blue pen</x:v>
      </x:c>
      <x:c r="P849" s="70" t="str">
        <x:v>Explicitly grounds the goal count in a familiar transition context, so the count word itself is not held out.</x:v>
      </x:c>
    </x:row>
    <x:row r="850" ht="58" customHeight="1">
      <x:c r="A850" s="100" t="n">
        <x:v>848</x:v>
      </x:c>
      <x:c r="B850" s="69" t="str">
        <x:v>Counting</x:v>
      </x:c>
      <x:c r="C850" s="69" t="str">
        <x:v>Leave exactly one object in the bowl.</x:v>
      </x:c>
      <x:c r="D850" s="69" t="str">
        <x:v>Explicit goal-count grounding</x:v>
      </x:c>
      <x:c r="E850" s="69" t="str">
        <x:v>final count 1; initial count 0; add</x:v>
      </x:c>
      <x:c r="F850" s="69" t="str">
        <x:v>count_explicit_goal_1_initial_0_add</x:v>
      </x:c>
      <x:c r="G850" s="69" t="str">
        <x:v>goal one from initial count two by removal; goal three from initial count two by addition</x:v>
      </x:c>
      <x:c r="H850" s="69" t="str">
        <x:v>Yes</x:v>
      </x:c>
      <x:c r="I850" s="69" t="str">
        <x:v>replace counting demonstration</x:v>
      </x:c>
      <x:c r="J850" s="69" t="str">
        <x:v>Inside bowl initially (0): none; On table: airplane toy without propellers [TARGET], blue pen, green pencil sharpener, yellow block; action=add; expected final count=1.</x:v>
      </x:c>
      <x:c r="K850" s="69" t="str">
        <x:v>airplane toy without propellers</x:v>
      </x:c>
      <x:c r="L850" s="69" t="str">
        <x:v>Post-Drop</x:v>
      </x:c>
      <x:c r="M850" s="69" t="str">
        <x:v>Move the blue pen from the bowl to the table.</x:v>
      </x:c>
      <x:c r="N850" s="69" t="str">
        <x:v>blue pen, yellow block, green pencil sharpener, airplane toy without propellers</x:v>
      </x:c>
      <x:c r="O850" s="69" t="str">
        <x:v>blue pen</x:v>
      </x:c>
      <x:c r="P850" s="70" t="str">
        <x:v>Explicitly grounds the goal count in a familiar transition context, so the count word itself is not held out.</x:v>
      </x:c>
    </x:row>
    <x:row r="851" ht="58" customHeight="1">
      <x:c r="A851" s="100" t="n">
        <x:v>849</x:v>
      </x:c>
      <x:c r="B851" s="69" t="str">
        <x:v>Counting</x:v>
      </x:c>
      <x:c r="C851" s="69" t="str">
        <x:v>Make the bowl contain exactly one object.</x:v>
      </x:c>
      <x:c r="D851" s="69" t="str">
        <x:v>Explicit goal-count grounding</x:v>
      </x:c>
      <x:c r="E851" s="69" t="str">
        <x:v>final count 1; initial count 0; add</x:v>
      </x:c>
      <x:c r="F851" s="69" t="str">
        <x:v>count_explicit_goal_1_initial_0_add</x:v>
      </x:c>
      <x:c r="G851" s="69" t="str">
        <x:v>goal one from initial count two by removal; goal three from initial count two by addition</x:v>
      </x:c>
      <x:c r="H851" s="69" t="str">
        <x:v>Yes</x:v>
      </x:c>
      <x:c r="I851" s="69" t="str">
        <x:v>replace counting demonstration</x:v>
      </x:c>
      <x:c r="J851" s="69" t="str">
        <x:v>Inside bowl initially (0): none; On table: blue pen [TARGET], airplane toy without propellers, green pencil sharpener, yellow block; action=add; expected final count=1.</x:v>
      </x:c>
      <x:c r="K851" s="69" t="str">
        <x:v>blue pen</x:v>
      </x:c>
      <x:c r="L851" s="69" t="str">
        <x:v>Recovery</x:v>
      </x:c>
      <x:c r="M851" s="69" t="str">
        <x:v>Move the blue pen from the bowl to the table.</x:v>
      </x:c>
      <x:c r="N851" s="69" t="str">
        <x:v>blue pen, yellow block, green pencil sharpener, airplane toy without propellers</x:v>
      </x:c>
      <x:c r="O851" s="69" t="str">
        <x:v>blue pen</x:v>
      </x:c>
      <x:c r="P851" s="70" t="str">
        <x:v>Explicitly grounds the goal count in a familiar transition context, so the count word itself is not held out.</x:v>
      </x:c>
    </x:row>
    <x:row r="852" ht="58" customHeight="1">
      <x:c r="A852" s="100" t="n">
        <x:v>850</x:v>
      </x:c>
      <x:c r="B852" s="69" t="str">
        <x:v>Counting</x:v>
      </x:c>
      <x:c r="C852" s="69" t="str">
        <x:v>Adjust the bowl so that it contains exactly one object.</x:v>
      </x:c>
      <x:c r="D852" s="69" t="str">
        <x:v>Explicit goal-count grounding</x:v>
      </x:c>
      <x:c r="E852" s="69" t="str">
        <x:v>final count 1; initial count 0; add</x:v>
      </x:c>
      <x:c r="F852" s="69" t="str">
        <x:v>count_explicit_goal_1_initial_0_add</x:v>
      </x:c>
      <x:c r="G852" s="69" t="str">
        <x:v>goal one from initial count two by removal; goal three from initial count two by addition</x:v>
      </x:c>
      <x:c r="H852" s="69" t="str">
        <x:v>Yes</x:v>
      </x:c>
      <x:c r="I852" s="69" t="str">
        <x:v>replace counting demonstration</x:v>
      </x:c>
      <x:c r="J852" s="69" t="str">
        <x:v>Inside bowl initially (0): none; On table: green pencil sharpener [TARGET], airplane toy without propellers, blue pen, yellow block; action=add; expected final count=1.</x:v>
      </x:c>
      <x:c r="K852" s="69" t="str">
        <x:v>green pencil sharpener</x:v>
      </x:c>
      <x:c r="L852" s="69" t="str">
        <x:v>Home</x:v>
      </x:c>
      <x:c r="M852" s="69" t="str">
        <x:v>Move the yellow block into the bowl.</x:v>
      </x:c>
      <x:c r="N852" s="69" t="str">
        <x:v>yellow block, green pencil sharpener, airplane toy without propellers, blue pen</x:v>
      </x:c>
      <x:c r="O852" s="69" t="str">
        <x:v>yellow block</x:v>
      </x:c>
      <x:c r="P852" s="70" t="str">
        <x:v>Explicitly grounds the goal count in a familiar transition context, so the count word itself is not held out.</x:v>
      </x:c>
    </x:row>
    <x:row r="853" ht="58" customHeight="1">
      <x:c r="A853" s="100" t="n">
        <x:v>851</x:v>
      </x:c>
      <x:c r="B853" s="69" t="str">
        <x:v>Counting</x:v>
      </x:c>
      <x:c r="C853" s="69" t="str">
        <x:v>Leave exactly one object in the bowl.</x:v>
      </x:c>
      <x:c r="D853" s="69" t="str">
        <x:v>Explicit goal-count grounding</x:v>
      </x:c>
      <x:c r="E853" s="69" t="str">
        <x:v>final count 1; initial count 0; add</x:v>
      </x:c>
      <x:c r="F853" s="69" t="str">
        <x:v>count_explicit_goal_1_initial_0_add</x:v>
      </x:c>
      <x:c r="G853" s="69" t="str">
        <x:v>goal one from initial count two by removal; goal three from initial count two by addition</x:v>
      </x:c>
      <x:c r="H853" s="69" t="str">
        <x:v>Yes</x:v>
      </x:c>
      <x:c r="I853" s="69" t="str">
        <x:v>replace counting demonstration</x:v>
      </x:c>
      <x:c r="J853" s="69" t="str">
        <x:v>Inside bowl initially (0): none; On table: yellow block [TARGET], airplane toy without propellers, blue pen, green pencil sharpener; action=add; expected final count=1.</x:v>
      </x:c>
      <x:c r="K853" s="69" t="str">
        <x:v>yellow block</x:v>
      </x:c>
      <x:c r="L853" s="69" t="str">
        <x:v>Home</x:v>
      </x:c>
      <x:c r="M853" s="69" t="str">
        <x:v>Put the yellow block in the bowl.</x:v>
      </x:c>
      <x:c r="N853" s="69" t="str">
        <x:v>yellow block, green pencil sharpener, airplane toy without propellers</x:v>
      </x:c>
      <x:c r="O853" s="69" t="str">
        <x:v>yellow block</x:v>
      </x:c>
      <x:c r="P853" s="70" t="str">
        <x:v>Explicitly grounds the goal count in a familiar transition context, so the count word itself is not held out.</x:v>
      </x:c>
    </x:row>
    <x:row r="854" ht="58" customHeight="1">
      <x:c r="A854" s="100" t="n">
        <x:v>852</x:v>
      </x:c>
      <x:c r="B854" s="69" t="str">
        <x:v>Counting</x:v>
      </x:c>
      <x:c r="C854" s="69" t="str">
        <x:v>Make the bowl contain exactly one object.</x:v>
      </x:c>
      <x:c r="D854" s="69" t="str">
        <x:v>Explicit goal-count grounding</x:v>
      </x:c>
      <x:c r="E854" s="69" t="str">
        <x:v>final count 1; initial count 0; add</x:v>
      </x:c>
      <x:c r="F854" s="69" t="str">
        <x:v>count_explicit_goal_1_initial_0_add</x:v>
      </x:c>
      <x:c r="G854" s="69" t="str">
        <x:v>goal one from initial count two by removal; goal three from initial count two by addition</x:v>
      </x:c>
      <x:c r="H854" s="69" t="str">
        <x:v>Yes</x:v>
      </x:c>
      <x:c r="I854" s="69" t="str">
        <x:v>replace counting demonstration</x:v>
      </x:c>
      <x:c r="J854" s="69" t="str">
        <x:v>Inside bowl initially (0): none; On table: airplane toy without propellers [TARGET], green pencil sharpener, yellow block, blue pen; action=add; expected final count=1.</x:v>
      </x:c>
      <x:c r="K854" s="69" t="str">
        <x:v>airplane toy without propellers</x:v>
      </x:c>
      <x:c r="L854" s="69" t="str">
        <x:v>Home</x:v>
      </x:c>
      <x:c r="M854" s="69" t="str">
        <x:v>Put the yellow block in the bowl.</x:v>
      </x:c>
      <x:c r="N854" s="69" t="str">
        <x:v>yellow block, blue pen</x:v>
      </x:c>
      <x:c r="O854" s="69" t="str">
        <x:v>yellow block</x:v>
      </x:c>
      <x:c r="P854" s="70" t="str">
        <x:v>Explicitly grounds the goal count in a familiar transition context, so the count word itself is not held out.</x:v>
      </x:c>
    </x:row>
    <x:row r="855" ht="58" customHeight="1">
      <x:c r="A855" s="100" t="n">
        <x:v>853</x:v>
      </x:c>
      <x:c r="B855" s="69" t="str">
        <x:v>Counting</x:v>
      </x:c>
      <x:c r="C855" s="69" t="str">
        <x:v>Adjust the bowl so that it contains exactly one object.</x:v>
      </x:c>
      <x:c r="D855" s="69" t="str">
        <x:v>Explicit goal-count grounding</x:v>
      </x:c>
      <x:c r="E855" s="69" t="str">
        <x:v>final count 1; initial count 0; add</x:v>
      </x:c>
      <x:c r="F855" s="69" t="str">
        <x:v>count_explicit_goal_1_initial_0_add</x:v>
      </x:c>
      <x:c r="G855" s="69" t="str">
        <x:v>goal one from initial count two by removal; goal three from initial count two by addition</x:v>
      </x:c>
      <x:c r="H855" s="69" t="str">
        <x:v>Yes</x:v>
      </x:c>
      <x:c r="I855" s="69" t="str">
        <x:v>replace counting demonstration</x:v>
      </x:c>
      <x:c r="J855" s="69" t="str">
        <x:v>Inside bowl initially (0): none; On table: blue pen [TARGET], green pencil sharpener, yellow block, airplane toy without propellers; action=add; expected final count=1.</x:v>
      </x:c>
      <x:c r="K855" s="69" t="str">
        <x:v>blue pen</x:v>
      </x:c>
      <x:c r="L855" s="69" t="str">
        <x:v>Post-Drop</x:v>
      </x:c>
      <x:c r="M855" s="69" t="str">
        <x:v>Put the yellow block in the bowl.</x:v>
      </x:c>
      <x:c r="N855" s="69" t="str">
        <x:v>yellow block, green pencil sharpener, blue pen</x:v>
      </x:c>
      <x:c r="O855" s="69" t="str">
        <x:v>yellow block</x:v>
      </x:c>
      <x:c r="P855" s="70" t="str">
        <x:v>Explicitly grounds the goal count in a familiar transition context, so the count word itself is not held out.</x:v>
      </x:c>
    </x:row>
    <x:row r="856" ht="58" customHeight="1">
      <x:c r="A856" s="100" t="n">
        <x:v>854</x:v>
      </x:c>
      <x:c r="B856" s="69" t="str">
        <x:v>Counting</x:v>
      </x:c>
      <x:c r="C856" s="69" t="str">
        <x:v>Leave exactly one object in the bowl.</x:v>
      </x:c>
      <x:c r="D856" s="69" t="str">
        <x:v>Explicit goal-count grounding</x:v>
      </x:c>
      <x:c r="E856" s="69" t="str">
        <x:v>final count 1; initial count 0; add</x:v>
      </x:c>
      <x:c r="F856" s="69" t="str">
        <x:v>count_explicit_goal_1_initial_0_add</x:v>
      </x:c>
      <x:c r="G856" s="69" t="str">
        <x:v>goal one from initial count two by removal; goal three from initial count two by addition</x:v>
      </x:c>
      <x:c r="H856" s="69" t="str">
        <x:v>Yes</x:v>
      </x:c>
      <x:c r="I856" s="69" t="str">
        <x:v>replace counting demonstration</x:v>
      </x:c>
      <x:c r="J856" s="69" t="str">
        <x:v>Inside bowl initially (0): none; On table: green pencil sharpener [TARGET], blue pen, yellow block, airplane toy without propellers; action=add; expected final count=1.</x:v>
      </x:c>
      <x:c r="K856" s="69" t="str">
        <x:v>green pencil sharpener</x:v>
      </x:c>
      <x:c r="L856" s="69" t="str">
        <x:v>Post-Drop</x:v>
      </x:c>
      <x:c r="M856" s="69" t="str">
        <x:v>Move the yellow block into the bowl.</x:v>
      </x:c>
      <x:c r="N856" s="69" t="str">
        <x:v>yellow block, airplane toy without propellers</x:v>
      </x:c>
      <x:c r="O856" s="69" t="str">
        <x:v>yellow block</x:v>
      </x:c>
      <x:c r="P856" s="70" t="str">
        <x:v>Explicitly grounds the goal count in a familiar transition context, so the count word itself is not held out.</x:v>
      </x:c>
    </x:row>
    <x:row r="857" ht="58" customHeight="1">
      <x:c r="A857" s="100" t="n">
        <x:v>855</x:v>
      </x:c>
      <x:c r="B857" s="69" t="str">
        <x:v>Counting</x:v>
      </x:c>
      <x:c r="C857" s="69" t="str">
        <x:v>Make the bowl contain exactly one object.</x:v>
      </x:c>
      <x:c r="D857" s="69" t="str">
        <x:v>Explicit goal-count grounding</x:v>
      </x:c>
      <x:c r="E857" s="69" t="str">
        <x:v>final count 1; initial count 0; add</x:v>
      </x:c>
      <x:c r="F857" s="69" t="str">
        <x:v>count_explicit_goal_1_initial_0_add</x:v>
      </x:c>
      <x:c r="G857" s="69" t="str">
        <x:v>goal one from initial count two by removal; goal three from initial count two by addition</x:v>
      </x:c>
      <x:c r="H857" s="69" t="str">
        <x:v>Yes</x:v>
      </x:c>
      <x:c r="I857" s="69" t="str">
        <x:v>replace counting demonstration</x:v>
      </x:c>
      <x:c r="J857" s="69" t="str">
        <x:v>Inside bowl initially (0): none; On table: yellow block [TARGET], blue pen, green pencil sharpener, airplane toy without propellers; action=add; expected final count=1.</x:v>
      </x:c>
      <x:c r="K857" s="69" t="str">
        <x:v>yellow block</x:v>
      </x:c>
      <x:c r="L857" s="69" t="str">
        <x:v>Post-Drop</x:v>
      </x:c>
      <x:c r="M857" s="69" t="str">
        <x:v>Pick up the yellow block and place it in the bowl.</x:v>
      </x:c>
      <x:c r="N857" s="69" t="str">
        <x:v>yellow block, green pencil sharpener</x:v>
      </x:c>
      <x:c r="O857" s="69" t="str">
        <x:v>yellow block</x:v>
      </x:c>
      <x:c r="P857" s="70" t="str">
        <x:v>Explicitly grounds the goal count in a familiar transition context, so the count word itself is not held out.</x:v>
      </x:c>
    </x:row>
    <x:row r="858" ht="58" customHeight="1">
      <x:c r="A858" s="100" t="n">
        <x:v>856</x:v>
      </x:c>
      <x:c r="B858" s="69" t="str">
        <x:v>Counting</x:v>
      </x:c>
      <x:c r="C858" s="69" t="str">
        <x:v>Adjust the bowl so that it contains exactly one object.</x:v>
      </x:c>
      <x:c r="D858" s="69" t="str">
        <x:v>Explicit goal-count grounding</x:v>
      </x:c>
      <x:c r="E858" s="69" t="str">
        <x:v>final count 1; initial count 0; add</x:v>
      </x:c>
      <x:c r="F858" s="69" t="str">
        <x:v>count_explicit_goal_1_initial_0_add</x:v>
      </x:c>
      <x:c r="G858" s="69" t="str">
        <x:v>goal one from initial count two by removal; goal three from initial count two by addition</x:v>
      </x:c>
      <x:c r="H858" s="69" t="str">
        <x:v>Yes</x:v>
      </x:c>
      <x:c r="I858" s="69" t="str">
        <x:v>replace counting demonstration</x:v>
      </x:c>
      <x:c r="J858" s="69" t="str">
        <x:v>Inside bowl initially (0): none; On table: airplane toy without propellers [TARGET], yellow block, blue pen, green pencil sharpener; action=add; expected final count=1.</x:v>
      </x:c>
      <x:c r="K858" s="69" t="str">
        <x:v>airplane toy without propellers</x:v>
      </x:c>
      <x:c r="L858" s="69" t="str">
        <x:v>Recovery</x:v>
      </x:c>
      <x:c r="M858" s="69" t="str">
        <x:v>Pick up the yellow block and place it in the bowl.</x:v>
      </x:c>
      <x:c r="N858" s="69" t="str">
        <x:v>yellow block, airplane toy without propellers, blue pen</x:v>
      </x:c>
      <x:c r="O858" s="69" t="str">
        <x:v>yellow block</x:v>
      </x:c>
      <x:c r="P858" s="70" t="str">
        <x:v>Explicitly grounds the goal count in a familiar transition context, so the count word itself is not held out.</x:v>
      </x:c>
    </x:row>
    <x:row r="859" ht="58" customHeight="1">
      <x:c r="A859" s="100" t="n">
        <x:v>857</x:v>
      </x:c>
      <x:c r="B859" s="69" t="str">
        <x:v>Counting</x:v>
      </x:c>
      <x:c r="C859" s="69" t="str">
        <x:v>Leave exactly one object in the bowl.</x:v>
      </x:c>
      <x:c r="D859" s="69" t="str">
        <x:v>Explicit goal-count grounding</x:v>
      </x:c>
      <x:c r="E859" s="69" t="str">
        <x:v>final count 1; initial count 0; add</x:v>
      </x:c>
      <x:c r="F859" s="69" t="str">
        <x:v>count_explicit_goal_1_initial_0_add</x:v>
      </x:c>
      <x:c r="G859" s="69" t="str">
        <x:v>goal one from initial count two by removal; goal three from initial count two by addition</x:v>
      </x:c>
      <x:c r="H859" s="69" t="str">
        <x:v>Yes</x:v>
      </x:c>
      <x:c r="I859" s="69" t="str">
        <x:v>replace counting demonstration</x:v>
      </x:c>
      <x:c r="J859" s="69" t="str">
        <x:v>Inside bowl initially (0): none; On table: blue pen [TARGET], yellow block, airplane toy without propellers, green pencil sharpener; action=add; expected final count=1.</x:v>
      </x:c>
      <x:c r="K859" s="69" t="str">
        <x:v>blue pen</x:v>
      </x:c>
      <x:c r="L859" s="69" t="str">
        <x:v>Recovery</x:v>
      </x:c>
      <x:c r="M859" s="69" t="str">
        <x:v>Pick up the yellow block and place it in the bowl.</x:v>
      </x:c>
      <x:c r="N859" s="69" t="str">
        <x:v>yellow block</x:v>
      </x:c>
      <x:c r="O859" s="69" t="str">
        <x:v>yellow block</x:v>
      </x:c>
      <x:c r="P859" s="70" t="str">
        <x:v>Explicitly grounds the goal count in a familiar transition context, so the count word itself is not held out.</x:v>
      </x:c>
    </x:row>
    <x:row r="860" ht="58" customHeight="1">
      <x:c r="A860" s="100" t="n">
        <x:v>858</x:v>
      </x:c>
      <x:c r="B860" s="69" t="str">
        <x:v>Counting</x:v>
      </x:c>
      <x:c r="C860" s="69" t="str">
        <x:v>Make the bowl contain exactly one object.</x:v>
      </x:c>
      <x:c r="D860" s="69" t="str">
        <x:v>Explicit goal-count grounding</x:v>
      </x:c>
      <x:c r="E860" s="69" t="str">
        <x:v>final count 1; initial count 0; add</x:v>
      </x:c>
      <x:c r="F860" s="69" t="str">
        <x:v>count_explicit_goal_1_initial_0_add</x:v>
      </x:c>
      <x:c r="G860" s="69" t="str">
        <x:v>goal one from initial count two by removal; goal three from initial count two by addition</x:v>
      </x:c>
      <x:c r="H860" s="69" t="str">
        <x:v>Yes</x:v>
      </x:c>
      <x:c r="I860" s="69" t="str">
        <x:v>replace counting demonstration</x:v>
      </x:c>
      <x:c r="J860" s="69" t="str">
        <x:v>Inside bowl initially (0): none; On table: green pencil sharpener [TARGET], yellow block, airplane toy without propellers, blue pen; action=add; expected final count=1.</x:v>
      </x:c>
      <x:c r="K860" s="69" t="str">
        <x:v>green pencil sharpener</x:v>
      </x:c>
      <x:c r="L860" s="69" t="str">
        <x:v>Home</x:v>
      </x:c>
      <x:c r="M860" s="69" t="str">
        <x:v>Adjust the bowl so that it contains two objects.</x:v>
      </x:c>
      <x:c r="N860" s="69" t="str">
        <x:v>green pencil sharpener, yellow block, airplane toy without propellers, blue pen</x:v>
      </x:c>
      <x:c r="O860" s="69" t="str">
        <x:v>yellow block</x:v>
      </x:c>
      <x:c r="P860" s="70" t="str">
        <x:v>Explicitly grounds the goal count in a familiar transition context, so the count word itself is not held out.</x:v>
      </x:c>
    </x:row>
    <x:row r="861" ht="58" customHeight="1">
      <x:c r="A861" s="100" t="n">
        <x:v>859</x:v>
      </x:c>
      <x:c r="B861" s="69" t="str">
        <x:v>Counting</x:v>
      </x:c>
      <x:c r="C861" s="69" t="str">
        <x:v>Adjust the bowl so that it contains exactly one object.</x:v>
      </x:c>
      <x:c r="D861" s="69" t="str">
        <x:v>Explicit goal-count grounding</x:v>
      </x:c>
      <x:c r="E861" s="69" t="str">
        <x:v>final count 1; initial count 0; add</x:v>
      </x:c>
      <x:c r="F861" s="69" t="str">
        <x:v>count_explicit_goal_1_initial_0_add</x:v>
      </x:c>
      <x:c r="G861" s="69" t="str">
        <x:v>goal one from initial count two by removal; goal three from initial count two by addition</x:v>
      </x:c>
      <x:c r="H861" s="69" t="str">
        <x:v>Yes</x:v>
      </x:c>
      <x:c r="I861" s="69" t="str">
        <x:v>replace counting demonstration</x:v>
      </x:c>
      <x:c r="J861" s="69" t="str">
        <x:v>Inside bowl initially (0): none; On table: yellow block [TARGET], green pencil sharpener, airplane toy without propellers, blue pen; action=add; expected final count=1.</x:v>
      </x:c>
      <x:c r="K861" s="69" t="str">
        <x:v>yellow block</x:v>
      </x:c>
      <x:c r="L861" s="69" t="str">
        <x:v>Home</x:v>
      </x:c>
      <x:c r="M861" s="69" t="str">
        <x:v>Adjust the bowl so that it contains two objects.</x:v>
      </x:c>
      <x:c r="N861" s="69" t="str">
        <x:v>airplane toy without propellers, yellow block, green pencil sharpener</x:v>
      </x:c>
      <x:c r="O861" s="69" t="str">
        <x:v>yellow block</x:v>
      </x:c>
      <x:c r="P861" s="70" t="str">
        <x:v>Explicitly grounds the goal count in a familiar transition context, so the count word itself is not held out.</x:v>
      </x:c>
    </x:row>
    <x:row r="862" ht="58" customHeight="1">
      <x:c r="A862" s="100" t="n">
        <x:v>860</x:v>
      </x:c>
      <x:c r="B862" s="69" t="str">
        <x:v>Counting</x:v>
      </x:c>
      <x:c r="C862" s="69" t="str">
        <x:v>Leave exactly one object in the bowl.</x:v>
      </x:c>
      <x:c r="D862" s="69" t="str">
        <x:v>Explicit goal-count grounding</x:v>
      </x:c>
      <x:c r="E862" s="69" t="str">
        <x:v>final count 1; initial count 0; add</x:v>
      </x:c>
      <x:c r="F862" s="69" t="str">
        <x:v>count_explicit_goal_1_initial_0_add</x:v>
      </x:c>
      <x:c r="G862" s="69" t="str">
        <x:v>goal one from initial count two by removal; goal three from initial count two by addition</x:v>
      </x:c>
      <x:c r="H862" s="69" t="str">
        <x:v>Yes</x:v>
      </x:c>
      <x:c r="I862" s="69" t="str">
        <x:v>replace counting demonstration</x:v>
      </x:c>
      <x:c r="J862" s="69" t="str">
        <x:v>Inside bowl initially (0): none; On table: airplane toy without propellers [TARGET], blue pen, green pencil sharpener, yellow block; action=add; expected final count=1.</x:v>
      </x:c>
      <x:c r="K862" s="69" t="str">
        <x:v>airplane toy without propellers</x:v>
      </x:c>
      <x:c r="L862" s="69" t="str">
        <x:v>Home</x:v>
      </x:c>
      <x:c r="M862" s="69" t="str">
        <x:v>Adjust the bowl so that it contains two objects.</x:v>
      </x:c>
      <x:c r="N862" s="69" t="str">
        <x:v>blue pen, yellow block, airplane toy without propellers</x:v>
      </x:c>
      <x:c r="O862" s="69" t="str">
        <x:v>yellow block</x:v>
      </x:c>
      <x:c r="P862" s="70" t="str">
        <x:v>Explicitly grounds the goal count in a familiar transition context, so the count word itself is not held out.</x:v>
      </x:c>
    </x:row>
    <x:row r="863" ht="58" customHeight="1">
      <x:c r="A863" s="100" t="n">
        <x:v>861</x:v>
      </x:c>
      <x:c r="B863" s="69" t="str">
        <x:v>Counting</x:v>
      </x:c>
      <x:c r="C863" s="69" t="str">
        <x:v>Make the bowl contain exactly one object.</x:v>
      </x:c>
      <x:c r="D863" s="69" t="str">
        <x:v>Explicit goal-count grounding</x:v>
      </x:c>
      <x:c r="E863" s="69" t="str">
        <x:v>final count 1; initial count 0; add</x:v>
      </x:c>
      <x:c r="F863" s="69" t="str">
        <x:v>count_explicit_goal_1_initial_0_add</x:v>
      </x:c>
      <x:c r="G863" s="69" t="str">
        <x:v>goal one from initial count two by removal; goal three from initial count two by addition</x:v>
      </x:c>
      <x:c r="H863" s="69" t="str">
        <x:v>Yes</x:v>
      </x:c>
      <x:c r="I863" s="69" t="str">
        <x:v>replace counting demonstration</x:v>
      </x:c>
      <x:c r="J863" s="69" t="str">
        <x:v>Inside bowl initially (0): none; On table: blue pen [TARGET], airplane toy without propellers, green pencil sharpener, yellow block; action=add; expected final count=1.</x:v>
      </x:c>
      <x:c r="K863" s="69" t="str">
        <x:v>blue pen</x:v>
      </x:c>
      <x:c r="L863" s="69" t="str">
        <x:v>Post-Drop</x:v>
      </x:c>
      <x:c r="M863" s="69" t="str">
        <x:v>Leave exactly two objects in the bowl.</x:v>
      </x:c>
      <x:c r="N863" s="69" t="str">
        <x:v>green pencil sharpener, yellow block, airplane toy without propellers, blue pen</x:v>
      </x:c>
      <x:c r="O863" s="69" t="str">
        <x:v>yellow block</x:v>
      </x:c>
      <x:c r="P863" s="70" t="str">
        <x:v>Explicitly grounds the goal count in a familiar transition context, so the count word itself is not held out.</x:v>
      </x:c>
    </x:row>
    <x:row r="864" ht="58" customHeight="1">
      <x:c r="A864" s="100" t="n">
        <x:v>862</x:v>
      </x:c>
      <x:c r="B864" s="69" t="str">
        <x:v>Counting</x:v>
      </x:c>
      <x:c r="C864" s="69" t="str">
        <x:v>Adjust the bowl so that it contains exactly one object.</x:v>
      </x:c>
      <x:c r="D864" s="69" t="str">
        <x:v>Explicit goal-count grounding</x:v>
      </x:c>
      <x:c r="E864" s="69" t="str">
        <x:v>final count 1; initial count 0; add</x:v>
      </x:c>
      <x:c r="F864" s="69" t="str">
        <x:v>count_explicit_goal_1_initial_0_add</x:v>
      </x:c>
      <x:c r="G864" s="69" t="str">
        <x:v>goal one from initial count two by removal; goal three from initial count two by addition</x:v>
      </x:c>
      <x:c r="H864" s="69" t="str">
        <x:v>Yes</x:v>
      </x:c>
      <x:c r="I864" s="69" t="str">
        <x:v>replace counting demonstration</x:v>
      </x:c>
      <x:c r="J864" s="69" t="str">
        <x:v>Inside bowl initially (0): none; On table: green pencil sharpener [TARGET], airplane toy without propellers, blue pen, yellow block; action=add; expected final count=1.</x:v>
      </x:c>
      <x:c r="K864" s="69" t="str">
        <x:v>green pencil sharpener</x:v>
      </x:c>
      <x:c r="L864" s="69" t="str">
        <x:v>Post-Drop</x:v>
      </x:c>
      <x:c r="M864" s="69" t="str">
        <x:v>Make the bowl contain exactly two objects.</x:v>
      </x:c>
      <x:c r="N864" s="69" t="str">
        <x:v>airplane toy without propellers, yellow block, blue pen</x:v>
      </x:c>
      <x:c r="O864" s="69" t="str">
        <x:v>yellow block</x:v>
      </x:c>
      <x:c r="P864" s="70" t="str">
        <x:v>Explicitly grounds the goal count in a familiar transition context, so the count word itself is not held out.</x:v>
      </x:c>
    </x:row>
    <x:row r="865" ht="58" customHeight="1">
      <x:c r="A865" s="100" t="n">
        <x:v>863</x:v>
      </x:c>
      <x:c r="B865" s="69" t="str">
        <x:v>Counting</x:v>
      </x:c>
      <x:c r="C865" s="69" t="str">
        <x:v>Leave exactly one object in the bowl.</x:v>
      </x:c>
      <x:c r="D865" s="69" t="str">
        <x:v>Explicit goal-count grounding</x:v>
      </x:c>
      <x:c r="E865" s="69" t="str">
        <x:v>final count 1; initial count 0; add</x:v>
      </x:c>
      <x:c r="F865" s="69" t="str">
        <x:v>count_explicit_goal_1_initial_0_add</x:v>
      </x:c>
      <x:c r="G865" s="69" t="str">
        <x:v>goal one from initial count two by removal; goal three from initial count two by addition</x:v>
      </x:c>
      <x:c r="H865" s="69" t="str">
        <x:v>Yes</x:v>
      </x:c>
      <x:c r="I865" s="69" t="str">
        <x:v>replace counting demonstration</x:v>
      </x:c>
      <x:c r="J865" s="69" t="str">
        <x:v>Inside bowl initially (0): none; On table: yellow block [TARGET], airplane toy without propellers, blue pen, green pencil sharpener; action=add; expected final count=1.</x:v>
      </x:c>
      <x:c r="K865" s="69" t="str">
        <x:v>yellow block</x:v>
      </x:c>
      <x:c r="L865" s="69" t="str">
        <x:v>Post-Drop</x:v>
      </x:c>
      <x:c r="M865" s="69" t="str">
        <x:v>Make the bowl contain exactly two objects.</x:v>
      </x:c>
      <x:c r="N865" s="69" t="str">
        <x:v>blue pen, yellow block, green pencil sharpener</x:v>
      </x:c>
      <x:c r="O865" s="69" t="str">
        <x:v>yellow block</x:v>
      </x:c>
      <x:c r="P865" s="70" t="str">
        <x:v>Explicitly grounds the goal count in a familiar transition context, so the count word itself is not held out.</x:v>
      </x:c>
    </x:row>
    <x:row r="866" ht="58" customHeight="1">
      <x:c r="A866" s="100" t="n">
        <x:v>864</x:v>
      </x:c>
      <x:c r="B866" s="69" t="str">
        <x:v>Counting</x:v>
      </x:c>
      <x:c r="C866" s="69" t="str">
        <x:v>Make the bowl contain exactly one object.</x:v>
      </x:c>
      <x:c r="D866" s="69" t="str">
        <x:v>Explicit goal-count grounding</x:v>
      </x:c>
      <x:c r="E866" s="69" t="str">
        <x:v>final count 1; initial count 0; add</x:v>
      </x:c>
      <x:c r="F866" s="69" t="str">
        <x:v>count_explicit_goal_1_initial_0_add</x:v>
      </x:c>
      <x:c r="G866" s="69" t="str">
        <x:v>goal one from initial count two by removal; goal three from initial count two by addition</x:v>
      </x:c>
      <x:c r="H866" s="69" t="str">
        <x:v>Yes</x:v>
      </x:c>
      <x:c r="I866" s="69" t="str">
        <x:v>replace counting demonstration</x:v>
      </x:c>
      <x:c r="J866" s="69" t="str">
        <x:v>Inside bowl initially (0): none; On table: airplane toy without propellers [TARGET], green pencil sharpener, yellow block, blue pen; action=add; expected final count=1.</x:v>
      </x:c>
      <x:c r="K866" s="69" t="str">
        <x:v>airplane toy without propellers</x:v>
      </x:c>
      <x:c r="L866" s="69" t="str">
        <x:v>Recovery</x:v>
      </x:c>
      <x:c r="M866" s="69" t="str">
        <x:v>Leave exactly two objects in the bowl.</x:v>
      </x:c>
      <x:c r="N866" s="69" t="str">
        <x:v>airplane toy without propellers, yellow block, blue pen</x:v>
      </x:c>
      <x:c r="O866" s="69" t="str">
        <x:v>yellow block</x:v>
      </x:c>
      <x:c r="P866" s="70" t="str">
        <x:v>Explicitly grounds the goal count in a familiar transition context, so the count word itself is not held out.</x:v>
      </x:c>
    </x:row>
    <x:row r="867" ht="58" customHeight="1">
      <x:c r="A867" s="100" t="n">
        <x:v>865</x:v>
      </x:c>
      <x:c r="B867" s="69" t="str">
        <x:v>Counting</x:v>
      </x:c>
      <x:c r="C867" s="69" t="str">
        <x:v>Adjust the bowl so that it contains exactly one object.</x:v>
      </x:c>
      <x:c r="D867" s="69" t="str">
        <x:v>Explicit goal-count grounding</x:v>
      </x:c>
      <x:c r="E867" s="69" t="str">
        <x:v>final count 1; initial count 0; add</x:v>
      </x:c>
      <x:c r="F867" s="69" t="str">
        <x:v>count_explicit_goal_1_initial_0_add</x:v>
      </x:c>
      <x:c r="G867" s="69" t="str">
        <x:v>goal one from initial count two by removal; goal three from initial count two by addition</x:v>
      </x:c>
      <x:c r="H867" s="69" t="str">
        <x:v>Yes</x:v>
      </x:c>
      <x:c r="I867" s="69" t="str">
        <x:v>replace counting demonstration</x:v>
      </x:c>
      <x:c r="J867" s="69" t="str">
        <x:v>Inside bowl initially (0): none; On table: blue pen [TARGET], green pencil sharpener, yellow block, airplane toy without propellers; action=add; expected final count=1.</x:v>
      </x:c>
      <x:c r="K867" s="69" t="str">
        <x:v>blue pen</x:v>
      </x:c>
      <x:c r="L867" s="69" t="str">
        <x:v>Recovery</x:v>
      </x:c>
      <x:c r="M867" s="69" t="str">
        <x:v>Make the bowl contain exactly two objects.</x:v>
      </x:c>
      <x:c r="N867" s="69" t="str">
        <x:v>green pencil sharpener, yellow block</x:v>
      </x:c>
      <x:c r="O867" s="69" t="str">
        <x:v>yellow block</x:v>
      </x:c>
      <x:c r="P867" s="70" t="str">
        <x:v>Explicitly grounds the goal count in a familiar transition context, so the count word itself is not held out.</x:v>
      </x:c>
    </x:row>
    <x:row r="868" ht="58" customHeight="1">
      <x:c r="A868" s="100" t="n">
        <x:v>866</x:v>
      </x:c>
      <x:c r="B868" s="69" t="str">
        <x:v>Counting</x:v>
      </x:c>
      <x:c r="C868" s="69" t="str">
        <x:v>Leave exactly one object in the bowl.</x:v>
      </x:c>
      <x:c r="D868" s="69" t="str">
        <x:v>Explicit goal-count grounding</x:v>
      </x:c>
      <x:c r="E868" s="69" t="str">
        <x:v>final count 1; initial count 0; add</x:v>
      </x:c>
      <x:c r="F868" s="69" t="str">
        <x:v>count_explicit_goal_1_initial_0_add</x:v>
      </x:c>
      <x:c r="G868" s="69" t="str">
        <x:v>goal one from initial count two by removal; goal three from initial count two by addition</x:v>
      </x:c>
      <x:c r="H868" s="69" t="str">
        <x:v>Yes</x:v>
      </x:c>
      <x:c r="I868" s="69" t="str">
        <x:v>replace counting demonstration</x:v>
      </x:c>
      <x:c r="J868" s="69" t="str">
        <x:v>Inside bowl initially (0): none; On table: green pencil sharpener [TARGET], blue pen, yellow block, airplane toy without propellers; action=add; expected final count=1.</x:v>
      </x:c>
      <x:c r="K868" s="69" t="str">
        <x:v>green pencil sharpener</x:v>
      </x:c>
      <x:c r="L868" s="69" t="str">
        <x:v>Home</x:v>
      </x:c>
      <x:c r="M868" s="69" t="str">
        <x:v>Put the yellow block in the bowl.</x:v>
      </x:c>
      <x:c r="N868" s="69" t="str">
        <x:v>green pencil sharpener, airplane toy without propellers, yellow block, blue pen</x:v>
      </x:c>
      <x:c r="O868" s="69" t="str">
        <x:v>yellow block</x:v>
      </x:c>
      <x:c r="P868" s="70" t="str">
        <x:v>Explicitly grounds the goal count in a familiar transition context, so the count word itself is not held out.</x:v>
      </x:c>
    </x:row>
    <x:row r="869" ht="58" customHeight="1">
      <x:c r="A869" s="100" t="n">
        <x:v>867</x:v>
      </x:c>
      <x:c r="B869" s="69" t="str">
        <x:v>Counting</x:v>
      </x:c>
      <x:c r="C869" s="69" t="str">
        <x:v>Make the bowl contain exactly one object.</x:v>
      </x:c>
      <x:c r="D869" s="69" t="str">
        <x:v>Explicit goal-count grounding</x:v>
      </x:c>
      <x:c r="E869" s="69" t="str">
        <x:v>final count 1; initial count 0; add</x:v>
      </x:c>
      <x:c r="F869" s="69" t="str">
        <x:v>count_explicit_goal_1_initial_0_add</x:v>
      </x:c>
      <x:c r="G869" s="69" t="str">
        <x:v>goal one from initial count two by removal; goal three from initial count two by addition</x:v>
      </x:c>
      <x:c r="H869" s="69" t="str">
        <x:v>Yes</x:v>
      </x:c>
      <x:c r="I869" s="69" t="str">
        <x:v>replace counting demonstration</x:v>
      </x:c>
      <x:c r="J869" s="69" t="str">
        <x:v>Inside bowl initially (0): none; On table: yellow block [TARGET], blue pen, green pencil sharpener, airplane toy without propellers; action=add; expected final count=1.</x:v>
      </x:c>
      <x:c r="K869" s="69" t="str">
        <x:v>yellow block</x:v>
      </x:c>
      <x:c r="L869" s="69" t="str">
        <x:v>Home</x:v>
      </x:c>
      <x:c r="M869" s="69" t="str">
        <x:v>Put the yellow block in the bowl.</x:v>
      </x:c>
      <x:c r="N869" s="69" t="str">
        <x:v>airplane toy without propellers, blue pen, yellow block, green pencil sharpener</x:v>
      </x:c>
      <x:c r="O869" s="69" t="str">
        <x:v>yellow block</x:v>
      </x:c>
      <x:c r="P869" s="70" t="str">
        <x:v>Explicitly grounds the goal count in a familiar transition context, so the count word itself is not held out.</x:v>
      </x:c>
    </x:row>
    <x:row r="870" ht="58" customHeight="1">
      <x:c r="A870" s="100" t="n">
        <x:v>868</x:v>
      </x:c>
      <x:c r="B870" s="69" t="str">
        <x:v>Counting</x:v>
      </x:c>
      <x:c r="C870" s="69" t="str">
        <x:v>Adjust the bowl so that it contains exactly one object.</x:v>
      </x:c>
      <x:c r="D870" s="69" t="str">
        <x:v>Explicit goal-count grounding</x:v>
      </x:c>
      <x:c r="E870" s="69" t="str">
        <x:v>final count 1; initial count 0; add</x:v>
      </x:c>
      <x:c r="F870" s="69" t="str">
        <x:v>count_explicit_goal_1_initial_0_add</x:v>
      </x:c>
      <x:c r="G870" s="69" t="str">
        <x:v>goal one from initial count two by removal; goal three from initial count two by addition</x:v>
      </x:c>
      <x:c r="H870" s="69" t="str">
        <x:v>Yes</x:v>
      </x:c>
      <x:c r="I870" s="69" t="str">
        <x:v>replace counting demonstration</x:v>
      </x:c>
      <x:c r="J870" s="69" t="str">
        <x:v>Inside bowl initially (0): none; On table: airplane toy without propellers [TARGET], yellow block, blue pen, green pencil sharpener; action=add; expected final count=1.</x:v>
      </x:c>
      <x:c r="K870" s="69" t="str">
        <x:v>airplane toy without propellers</x:v>
      </x:c>
      <x:c r="L870" s="69" t="str">
        <x:v>Home</x:v>
      </x:c>
      <x:c r="M870" s="69" t="str">
        <x:v>Pick up the yellow block and place it in the bowl.</x:v>
      </x:c>
      <x:c r="N870" s="69" t="str">
        <x:v>green pencil sharpener, blue pen, yellow block, airplane toy without propellers</x:v>
      </x:c>
      <x:c r="O870" s="69" t="str">
        <x:v>yellow block</x:v>
      </x:c>
      <x:c r="P870" s="70" t="str">
        <x:v>Explicitly grounds the goal count in a familiar transition context, so the count word itself is not held out.</x:v>
      </x:c>
    </x:row>
    <x:row r="871" ht="58" customHeight="1">
      <x:c r="A871" s="100" t="n">
        <x:v>869</x:v>
      </x:c>
      <x:c r="B871" s="69" t="str">
        <x:v>Counting</x:v>
      </x:c>
      <x:c r="C871" s="69" t="str">
        <x:v>Leave exactly one object in the bowl.</x:v>
      </x:c>
      <x:c r="D871" s="69" t="str">
        <x:v>Explicit goal-count grounding</x:v>
      </x:c>
      <x:c r="E871" s="69" t="str">
        <x:v>final count 1; initial count 0; add</x:v>
      </x:c>
      <x:c r="F871" s="69" t="str">
        <x:v>count_explicit_goal_1_initial_0_add</x:v>
      </x:c>
      <x:c r="G871" s="69" t="str">
        <x:v>goal one from initial count two by removal; goal three from initial count two by addition</x:v>
      </x:c>
      <x:c r="H871" s="69" t="str">
        <x:v>Yes</x:v>
      </x:c>
      <x:c r="I871" s="69" t="str">
        <x:v>replace counting demonstration</x:v>
      </x:c>
      <x:c r="J871" s="69" t="str">
        <x:v>Inside bowl initially (0): none; On table: blue pen [TARGET], yellow block, airplane toy without propellers, green pencil sharpener; action=add; expected final count=1.</x:v>
      </x:c>
      <x:c r="K871" s="69" t="str">
        <x:v>blue pen</x:v>
      </x:c>
      <x:c r="L871" s="69" t="str">
        <x:v>Home</x:v>
      </x:c>
      <x:c r="M871" s="69" t="str">
        <x:v>Put the yellow block in the bowl.</x:v>
      </x:c>
      <x:c r="N871" s="69" t="str">
        <x:v>green pencil sharpener, airplane toy without propellers, yellow block</x:v>
      </x:c>
      <x:c r="O871" s="69" t="str">
        <x:v>yellow block</x:v>
      </x:c>
      <x:c r="P871" s="70" t="str">
        <x:v>Explicitly grounds the goal count in a familiar transition context, so the count word itself is not held out.</x:v>
      </x:c>
    </x:row>
    <x:row r="872" ht="58" customHeight="1">
      <x:c r="A872" s="100" t="n">
        <x:v>870</x:v>
      </x:c>
      <x:c r="B872" s="69" t="str">
        <x:v>Counting</x:v>
      </x:c>
      <x:c r="C872" s="69" t="str">
        <x:v>Make the bowl contain exactly one object.</x:v>
      </x:c>
      <x:c r="D872" s="69" t="str">
        <x:v>Explicit goal-count grounding</x:v>
      </x:c>
      <x:c r="E872" s="69" t="str">
        <x:v>final count 1; initial count 0; add</x:v>
      </x:c>
      <x:c r="F872" s="69" t="str">
        <x:v>count_explicit_goal_1_initial_0_add</x:v>
      </x:c>
      <x:c r="G872" s="69" t="str">
        <x:v>goal one from initial count two by removal; goal three from initial count two by addition</x:v>
      </x:c>
      <x:c r="H872" s="69" t="str">
        <x:v>Yes</x:v>
      </x:c>
      <x:c r="I872" s="69" t="str">
        <x:v>replace counting demonstration</x:v>
      </x:c>
      <x:c r="J872" s="69" t="str">
        <x:v>Inside bowl initially (0): none; On table: green pencil sharpener [TARGET], yellow block, airplane toy without propellers, blue pen; action=add; expected final count=1.</x:v>
      </x:c>
      <x:c r="K872" s="69" t="str">
        <x:v>green pencil sharpener</x:v>
      </x:c>
      <x:c r="L872" s="69" t="str">
        <x:v>Post-Drop</x:v>
      </x:c>
      <x:c r="M872" s="69" t="str">
        <x:v>Pick up the yellow block and place it in the bowl.</x:v>
      </x:c>
      <x:c r="N872" s="69" t="str">
        <x:v>airplane toy without propellers, blue pen, yellow block, green pencil sharpener</x:v>
      </x:c>
      <x:c r="O872" s="69" t="str">
        <x:v>yellow block</x:v>
      </x:c>
      <x:c r="P872" s="70" t="str">
        <x:v>Explicitly grounds the goal count in a familiar transition context, so the count word itself is not held out.</x:v>
      </x:c>
    </x:row>
    <x:row r="873" ht="58" customHeight="1">
      <x:c r="A873" s="100" t="n">
        <x:v>871</x:v>
      </x:c>
      <x:c r="B873" s="69" t="str">
        <x:v>Counting</x:v>
      </x:c>
      <x:c r="C873" s="69" t="str">
        <x:v>Adjust the bowl so that it contains exactly one object.</x:v>
      </x:c>
      <x:c r="D873" s="69" t="str">
        <x:v>Explicit goal-count grounding</x:v>
      </x:c>
      <x:c r="E873" s="69" t="str">
        <x:v>final count 1; initial count 0; add</x:v>
      </x:c>
      <x:c r="F873" s="69" t="str">
        <x:v>count_explicit_goal_1_initial_0_add</x:v>
      </x:c>
      <x:c r="G873" s="69" t="str">
        <x:v>goal one from initial count two by removal; goal three from initial count two by addition</x:v>
      </x:c>
      <x:c r="H873" s="69" t="str">
        <x:v>Yes</x:v>
      </x:c>
      <x:c r="I873" s="69" t="str">
        <x:v>replace counting demonstration</x:v>
      </x:c>
      <x:c r="J873" s="69" t="str">
        <x:v>Inside bowl initially (0): none; On table: yellow block [TARGET], green pencil sharpener, airplane toy without propellers, blue pen; action=add; expected final count=1.</x:v>
      </x:c>
      <x:c r="K873" s="69" t="str">
        <x:v>yellow block</x:v>
      </x:c>
      <x:c r="L873" s="69" t="str">
        <x:v>Post-Drop</x:v>
      </x:c>
      <x:c r="M873" s="69" t="str">
        <x:v>Pick up the yellow block and place it in the bowl.</x:v>
      </x:c>
      <x:c r="N873" s="69" t="str">
        <x:v>green pencil sharpener, blue pen, yellow block, airplane toy without propellers</x:v>
      </x:c>
      <x:c r="O873" s="69" t="str">
        <x:v>yellow block</x:v>
      </x:c>
      <x:c r="P873" s="70" t="str">
        <x:v>Explicitly grounds the goal count in a familiar transition context, so the count word itself is not held out.</x:v>
      </x:c>
    </x:row>
    <x:row r="874" ht="58" customHeight="1">
      <x:c r="A874" s="100" t="n">
        <x:v>872</x:v>
      </x:c>
      <x:c r="B874" s="69" t="str">
        <x:v>Counting</x:v>
      </x:c>
      <x:c r="C874" s="69" t="str">
        <x:v>Leave exactly one object in the bowl.</x:v>
      </x:c>
      <x:c r="D874" s="69" t="str">
        <x:v>Explicit goal-count grounding</x:v>
      </x:c>
      <x:c r="E874" s="69" t="str">
        <x:v>final count 1; initial count 0; add</x:v>
      </x:c>
      <x:c r="F874" s="69" t="str">
        <x:v>count_explicit_goal_1_initial_0_add</x:v>
      </x:c>
      <x:c r="G874" s="69" t="str">
        <x:v>goal one from initial count two by removal; goal three from initial count two by addition</x:v>
      </x:c>
      <x:c r="H874" s="69" t="str">
        <x:v>Yes</x:v>
      </x:c>
      <x:c r="I874" s="69" t="str">
        <x:v>replace counting demonstration</x:v>
      </x:c>
      <x:c r="J874" s="69" t="str">
        <x:v>Inside bowl initially (0): none; On table: airplane toy without propellers [TARGET], blue pen, green pencil sharpener, yellow block; action=add; expected final count=1.</x:v>
      </x:c>
      <x:c r="K874" s="69" t="str">
        <x:v>airplane toy without propellers</x:v>
      </x:c>
      <x:c r="L874" s="69" t="str">
        <x:v>Post-Drop</x:v>
      </x:c>
      <x:c r="M874" s="69" t="str">
        <x:v>Move the yellow block into the bowl.</x:v>
      </x:c>
      <x:c r="N874" s="69" t="str">
        <x:v>green pencil sharpener, airplane toy without propellers, yellow block, blue pen</x:v>
      </x:c>
      <x:c r="O874" s="69" t="str">
        <x:v>yellow block</x:v>
      </x:c>
      <x:c r="P874" s="70" t="str">
        <x:v>Explicitly grounds the goal count in a familiar transition context, so the count word itself is not held out.</x:v>
      </x:c>
    </x:row>
    <x:row r="875" ht="58" customHeight="1">
      <x:c r="A875" s="100" t="n">
        <x:v>873</x:v>
      </x:c>
      <x:c r="B875" s="69" t="str">
        <x:v>Counting</x:v>
      </x:c>
      <x:c r="C875" s="69" t="str">
        <x:v>Make the bowl contain exactly one object.</x:v>
      </x:c>
      <x:c r="D875" s="69" t="str">
        <x:v>Explicit goal-count grounding</x:v>
      </x:c>
      <x:c r="E875" s="69" t="str">
        <x:v>final count 1; initial count 0; add</x:v>
      </x:c>
      <x:c r="F875" s="69" t="str">
        <x:v>count_explicit_goal_1_initial_0_add</x:v>
      </x:c>
      <x:c r="G875" s="69" t="str">
        <x:v>goal one from initial count two by removal; goal three from initial count two by addition</x:v>
      </x:c>
      <x:c r="H875" s="69" t="str">
        <x:v>Yes</x:v>
      </x:c>
      <x:c r="I875" s="69" t="str">
        <x:v>replace counting demonstration</x:v>
      </x:c>
      <x:c r="J875" s="69" t="str">
        <x:v>Inside bowl initially (0): none; On table: blue pen [TARGET], airplane toy without propellers, green pencil sharpener, yellow block; action=add; expected final count=1.</x:v>
      </x:c>
      <x:c r="K875" s="69" t="str">
        <x:v>blue pen</x:v>
      </x:c>
      <x:c r="L875" s="69" t="str">
        <x:v>Post-Drop</x:v>
      </x:c>
      <x:c r="M875" s="69" t="str">
        <x:v>Move the yellow block into the bowl.</x:v>
      </x:c>
      <x:c r="N875" s="69" t="str">
        <x:v>airplane toy without propellers, blue pen, yellow block</x:v>
      </x:c>
      <x:c r="O875" s="69" t="str">
        <x:v>yellow block</x:v>
      </x:c>
      <x:c r="P875" s="70" t="str">
        <x:v>Explicitly grounds the goal count in a familiar transition context, so the count word itself is not held out.</x:v>
      </x:c>
    </x:row>
    <x:row r="876" ht="58" customHeight="1">
      <x:c r="A876" s="100" t="n">
        <x:v>874</x:v>
      </x:c>
      <x:c r="B876" s="69" t="str">
        <x:v>Counting</x:v>
      </x:c>
      <x:c r="C876" s="69" t="str">
        <x:v>Adjust the bowl so that it contains exactly one object.</x:v>
      </x:c>
      <x:c r="D876" s="69" t="str">
        <x:v>Explicit goal-count grounding</x:v>
      </x:c>
      <x:c r="E876" s="69" t="str">
        <x:v>final count 1; initial count 0; add</x:v>
      </x:c>
      <x:c r="F876" s="69" t="str">
        <x:v>count_explicit_goal_1_initial_0_add</x:v>
      </x:c>
      <x:c r="G876" s="69" t="str">
        <x:v>goal one from initial count two by removal; goal three from initial count two by addition</x:v>
      </x:c>
      <x:c r="H876" s="69" t="str">
        <x:v>Yes</x:v>
      </x:c>
      <x:c r="I876" s="69" t="str">
        <x:v>replace counting demonstration</x:v>
      </x:c>
      <x:c r="J876" s="69" t="str">
        <x:v>Inside bowl initially (0): none; On table: green pencil sharpener [TARGET], airplane toy without propellers, blue pen, yellow block; action=add; expected final count=1.</x:v>
      </x:c>
      <x:c r="K876" s="69" t="str">
        <x:v>green pencil sharpener</x:v>
      </x:c>
      <x:c r="L876" s="69" t="str">
        <x:v>Recovery</x:v>
      </x:c>
      <x:c r="M876" s="69" t="str">
        <x:v>Move the yellow block into the bowl.</x:v>
      </x:c>
      <x:c r="N876" s="69" t="str">
        <x:v>green pencil sharpener, blue pen, yellow block</x:v>
      </x:c>
      <x:c r="O876" s="69" t="str">
        <x:v>yellow block</x:v>
      </x:c>
      <x:c r="P876" s="70" t="str">
        <x:v>Explicitly grounds the goal count in a familiar transition context, so the count word itself is not held out.</x:v>
      </x:c>
    </x:row>
    <x:row r="877" ht="58" customHeight="1">
      <x:c r="A877" s="100" t="n">
        <x:v>875</x:v>
      </x:c>
      <x:c r="B877" s="69" t="str">
        <x:v>Counting</x:v>
      </x:c>
      <x:c r="C877" s="69" t="str">
        <x:v>Leave exactly one object in the bowl.</x:v>
      </x:c>
      <x:c r="D877" s="69" t="str">
        <x:v>Explicit goal-count grounding</x:v>
      </x:c>
      <x:c r="E877" s="69" t="str">
        <x:v>final count 1; initial count 0; add</x:v>
      </x:c>
      <x:c r="F877" s="69" t="str">
        <x:v>count_explicit_goal_1_initial_0_add</x:v>
      </x:c>
      <x:c r="G877" s="69" t="str">
        <x:v>goal one from initial count two by removal; goal three from initial count two by addition</x:v>
      </x:c>
      <x:c r="H877" s="69" t="str">
        <x:v>Yes</x:v>
      </x:c>
      <x:c r="I877" s="69" t="str">
        <x:v>replace counting demonstration</x:v>
      </x:c>
      <x:c r="J877" s="69" t="str">
        <x:v>Inside bowl initially (0): none; On table: yellow block [TARGET], airplane toy without propellers, blue pen, green pencil sharpener; action=add; expected final count=1.</x:v>
      </x:c>
      <x:c r="K877" s="69" t="str">
        <x:v>yellow block</x:v>
      </x:c>
      <x:c r="L877" s="69" t="str">
        <x:v>Home</x:v>
      </x:c>
      <x:c r="M877" s="69" t="str">
        <x:v>Adjust the bowl so that it contains zero objects.</x:v>
      </x:c>
      <x:c r="N877" s="69" t="str">
        <x:v>yellow block, green pencil sharpener, airplane toy without propellers, blue pen</x:v>
      </x:c>
      <x:c r="O877" s="69" t="str">
        <x:v>yellow block</x:v>
      </x:c>
      <x:c r="P877" s="70" t="str">
        <x:v>Explicitly grounds the goal count in a familiar transition context, so the count word itself is not held out.</x:v>
      </x:c>
    </x:row>
    <x:row r="878" ht="58" customHeight="1">
      <x:c r="A878" s="100" t="n">
        <x:v>876</x:v>
      </x:c>
      <x:c r="B878" s="69" t="str">
        <x:v>Counting</x:v>
      </x:c>
      <x:c r="C878" s="69" t="str">
        <x:v>Make the bowl contain exactly one object.</x:v>
      </x:c>
      <x:c r="D878" s="69" t="str">
        <x:v>Explicit goal-count grounding</x:v>
      </x:c>
      <x:c r="E878" s="69" t="str">
        <x:v>final count 1; initial count 0; add</x:v>
      </x:c>
      <x:c r="F878" s="69" t="str">
        <x:v>count_explicit_goal_1_initial_0_add</x:v>
      </x:c>
      <x:c r="G878" s="69" t="str">
        <x:v>goal one from initial count two by removal; goal three from initial count two by addition</x:v>
      </x:c>
      <x:c r="H878" s="69" t="str">
        <x:v>Yes</x:v>
      </x:c>
      <x:c r="I878" s="69" t="str">
        <x:v>replace counting demonstration</x:v>
      </x:c>
      <x:c r="J878" s="69" t="str">
        <x:v>Inside bowl initially (0): none; On table: airplane toy without propellers [TARGET], green pencil sharpener, yellow block, blue pen; action=add; expected final count=1.</x:v>
      </x:c>
      <x:c r="K878" s="69" t="str">
        <x:v>airplane toy without propellers</x:v>
      </x:c>
      <x:c r="L878" s="69" t="str">
        <x:v>Home</x:v>
      </x:c>
      <x:c r="M878" s="69" t="str">
        <x:v>Leave no objects in the bowl.</x:v>
      </x:c>
      <x:c r="N878" s="69" t="str">
        <x:v>yellow block, airplane toy without propellers, blue pen</x:v>
      </x:c>
      <x:c r="O878" s="69" t="str">
        <x:v>yellow block</x:v>
      </x:c>
      <x:c r="P878" s="70" t="str">
        <x:v>Explicitly grounds the goal count in a familiar transition context, so the count word itself is not held out.</x:v>
      </x:c>
    </x:row>
    <x:row r="879" ht="58" customHeight="1">
      <x:c r="A879" s="100" t="n">
        <x:v>877</x:v>
      </x:c>
      <x:c r="B879" s="69" t="str">
        <x:v>Counting</x:v>
      </x:c>
      <x:c r="C879" s="69" t="str">
        <x:v>Adjust the bowl so that it contains exactly one object.</x:v>
      </x:c>
      <x:c r="D879" s="69" t="str">
        <x:v>Explicit goal-count grounding</x:v>
      </x:c>
      <x:c r="E879" s="69" t="str">
        <x:v>final count 1; initial count 0; add</x:v>
      </x:c>
      <x:c r="F879" s="69" t="str">
        <x:v>count_explicit_goal_1_initial_0_add</x:v>
      </x:c>
      <x:c r="G879" s="69" t="str">
        <x:v>goal one from initial count two by removal; goal three from initial count two by addition</x:v>
      </x:c>
      <x:c r="H879" s="69" t="str">
        <x:v>Yes</x:v>
      </x:c>
      <x:c r="I879" s="69" t="str">
        <x:v>replace counting demonstration</x:v>
      </x:c>
      <x:c r="J879" s="69" t="str">
        <x:v>Inside bowl initially (0): none; On table: blue pen [TARGET], green pencil sharpener, yellow block, airplane toy without propellers; action=add; expected final count=1.</x:v>
      </x:c>
      <x:c r="K879" s="69" t="str">
        <x:v>blue pen</x:v>
      </x:c>
      <x:c r="L879" s="69" t="str">
        <x:v>Post-Drop</x:v>
      </x:c>
      <x:c r="M879" s="69" t="str">
        <x:v>Make the bowl contain exactly zero objects.</x:v>
      </x:c>
      <x:c r="N879" s="69" t="str">
        <x:v>yellow block, green pencil sharpener, airplane toy without propellers</x:v>
      </x:c>
      <x:c r="O879" s="69" t="str">
        <x:v>yellow block</x:v>
      </x:c>
      <x:c r="P879" s="70" t="str">
        <x:v>Explicitly grounds the goal count in a familiar transition context, so the count word itself is not held out.</x:v>
      </x:c>
    </x:row>
    <x:row r="880" ht="58" customHeight="1">
      <x:c r="A880" s="100" t="n">
        <x:v>878</x:v>
      </x:c>
      <x:c r="B880" s="69" t="str">
        <x:v>Counting</x:v>
      </x:c>
      <x:c r="C880" s="69" t="str">
        <x:v>Leave exactly one object in the bowl.</x:v>
      </x:c>
      <x:c r="D880" s="69" t="str">
        <x:v>Explicit goal-count grounding</x:v>
      </x:c>
      <x:c r="E880" s="69" t="str">
        <x:v>final count 1; initial count 0; add</x:v>
      </x:c>
      <x:c r="F880" s="69" t="str">
        <x:v>count_explicit_goal_1_initial_0_add</x:v>
      </x:c>
      <x:c r="G880" s="69" t="str">
        <x:v>goal one from initial count two by removal; goal three from initial count two by addition</x:v>
      </x:c>
      <x:c r="H880" s="69" t="str">
        <x:v>Yes</x:v>
      </x:c>
      <x:c r="I880" s="69" t="str">
        <x:v>replace counting demonstration</x:v>
      </x:c>
      <x:c r="J880" s="69" t="str">
        <x:v>Inside bowl initially (0): none; On table: green pencil sharpener [TARGET], blue pen, yellow block, airplane toy without propellers; action=add; expected final count=1.</x:v>
      </x:c>
      <x:c r="K880" s="69" t="str">
        <x:v>green pencil sharpener</x:v>
      </x:c>
      <x:c r="L880" s="69" t="str">
        <x:v>Post-Drop</x:v>
      </x:c>
      <x:c r="M880" s="69" t="str">
        <x:v>Adjust the bowl so that it contains zero objects.</x:v>
      </x:c>
      <x:c r="N880" s="69" t="str">
        <x:v>yellow block, blue pen</x:v>
      </x:c>
      <x:c r="O880" s="69" t="str">
        <x:v>yellow block</x:v>
      </x:c>
      <x:c r="P880" s="70" t="str">
        <x:v>Explicitly grounds the goal count in a familiar transition context, so the count word itself is not held out.</x:v>
      </x:c>
    </x:row>
    <x:row r="881" ht="58" customHeight="1">
      <x:c r="A881" s="100" t="n">
        <x:v>879</x:v>
      </x:c>
      <x:c r="B881" s="69" t="str">
        <x:v>Counting</x:v>
      </x:c>
      <x:c r="C881" s="69" t="str">
        <x:v>Make the bowl contain exactly one object.</x:v>
      </x:c>
      <x:c r="D881" s="69" t="str">
        <x:v>Explicit goal-count grounding</x:v>
      </x:c>
      <x:c r="E881" s="69" t="str">
        <x:v>final count 1; initial count 0; add</x:v>
      </x:c>
      <x:c r="F881" s="69" t="str">
        <x:v>count_explicit_goal_1_initial_0_add</x:v>
      </x:c>
      <x:c r="G881" s="69" t="str">
        <x:v>goal one from initial count two by removal; goal three from initial count two by addition</x:v>
      </x:c>
      <x:c r="H881" s="69" t="str">
        <x:v>Yes</x:v>
      </x:c>
      <x:c r="I881" s="69" t="str">
        <x:v>replace counting demonstration</x:v>
      </x:c>
      <x:c r="J881" s="69" t="str">
        <x:v>Inside bowl initially (0): none; On table: yellow block [TARGET], blue pen, green pencil sharpener, airplane toy without propellers; action=add; expected final count=1.</x:v>
      </x:c>
      <x:c r="K881" s="69" t="str">
        <x:v>yellow block</x:v>
      </x:c>
      <x:c r="L881" s="69" t="str">
        <x:v>Recovery</x:v>
      </x:c>
      <x:c r="M881" s="69" t="str">
        <x:v>Adjust the bowl so that it contains zero objects.</x:v>
      </x:c>
      <x:c r="N881" s="69" t="str">
        <x:v>yellow block, green pencil sharpener, blue pen</x:v>
      </x:c>
      <x:c r="O881" s="69" t="str">
        <x:v>yellow block</x:v>
      </x:c>
      <x:c r="P881" s="70" t="str">
        <x:v>Explicitly grounds the goal count in a familiar transition context, so the count word itself is not held out.</x:v>
      </x:c>
    </x:row>
    <x:row r="882" ht="58" customHeight="1">
      <x:c r="A882" s="100" t="n">
        <x:v>880</x:v>
      </x:c>
      <x:c r="B882" s="69" t="str">
        <x:v>Counting</x:v>
      </x:c>
      <x:c r="C882" s="69" t="str">
        <x:v>Adjust the bowl so that it contains exactly two objects.</x:v>
      </x:c>
      <x:c r="D882" s="69" t="str">
        <x:v>Explicit goal-count grounding</x:v>
      </x:c>
      <x:c r="E882" s="69" t="str">
        <x:v>final count 2; initial count 1; add</x:v>
      </x:c>
      <x:c r="F882" s="69" t="str">
        <x:v>count_explicit_goal_2_initial_1_add</x:v>
      </x:c>
      <x:c r="G882" s="69" t="str">
        <x:v>goal one from initial count two by removal; goal three from initial count two by addition</x:v>
      </x:c>
      <x:c r="H882" s="69" t="str">
        <x:v>Yes</x:v>
      </x:c>
      <x:c r="I882" s="69" t="str">
        <x:v>replace counting demonstration</x:v>
      </x:c>
      <x:c r="J882" s="69" t="str">
        <x:v>Inside bowl initially (1): yellow block; On table: airplane toy without propellers [TARGET], blue pen, green pencil sharpener; action=add; expected final count=2.</x:v>
      </x:c>
      <x:c r="K882" s="69" t="str">
        <x:v>airplane toy without propellers</x:v>
      </x:c>
      <x:c r="L882" s="69" t="str">
        <x:v>Recovery</x:v>
      </x:c>
      <x:c r="M882" s="69" t="str">
        <x:v>Make the bowl contain exactly zero objects.</x:v>
      </x:c>
      <x:c r="N882" s="69" t="str">
        <x:v>yellow block</x:v>
      </x:c>
      <x:c r="O882" s="69" t="str">
        <x:v>yellow block</x:v>
      </x:c>
      <x:c r="P882" s="70" t="str">
        <x:v>Explicitly grounds the goal count in a familiar transition context, so the count word itself is not held out.</x:v>
      </x:c>
    </x:row>
    <x:row r="883" ht="58" customHeight="1">
      <x:c r="A883" s="100" t="n">
        <x:v>881</x:v>
      </x:c>
      <x:c r="B883" s="69" t="str">
        <x:v>Counting</x:v>
      </x:c>
      <x:c r="C883" s="69" t="str">
        <x:v>Leave exactly two objects in the bowl.</x:v>
      </x:c>
      <x:c r="D883" s="69" t="str">
        <x:v>Explicit goal-count grounding</x:v>
      </x:c>
      <x:c r="E883" s="69" t="str">
        <x:v>final count 2; initial count 1; add</x:v>
      </x:c>
      <x:c r="F883" s="69" t="str">
        <x:v>count_explicit_goal_2_initial_1_add</x:v>
      </x:c>
      <x:c r="G883" s="69" t="str">
        <x:v>goal one from initial count two by removal; goal three from initial count two by addition</x:v>
      </x:c>
      <x:c r="H883" s="69" t="str">
        <x:v>Yes</x:v>
      </x:c>
      <x:c r="I883" s="69" t="str">
        <x:v>replace counting demonstration</x:v>
      </x:c>
      <x:c r="J883" s="69" t="str">
        <x:v>Inside bowl initially (1): yellow block; On table: blue pen [TARGET], airplane toy without propellers, green pencil sharpener; action=add; expected final count=2.</x:v>
      </x:c>
      <x:c r="K883" s="69" t="str">
        <x:v>blue pen</x:v>
      </x:c>
      <x:c r="L883" s="69" t="str">
        <x:v>Home</x:v>
      </x:c>
      <x:c r="M883" s="69" t="str">
        <x:v>Remove the yellow block from the bowl.</x:v>
      </x:c>
      <x:c r="N883" s="69" t="str">
        <x:v>yellow block, green pencil sharpener, airplane toy without propellers, blue pen</x:v>
      </x:c>
      <x:c r="O883" s="69" t="str">
        <x:v>yellow block</x:v>
      </x:c>
      <x:c r="P883" s="70" t="str">
        <x:v>Explicitly grounds the goal count in a familiar transition context, so the count word itself is not held out.</x:v>
      </x:c>
    </x:row>
    <x:row r="884" ht="58" customHeight="1">
      <x:c r="A884" s="100" t="n">
        <x:v>882</x:v>
      </x:c>
      <x:c r="B884" s="69" t="str">
        <x:v>Counting</x:v>
      </x:c>
      <x:c r="C884" s="69" t="str">
        <x:v>Make the bowl contain exactly two objects.</x:v>
      </x:c>
      <x:c r="D884" s="69" t="str">
        <x:v>Explicit goal-count grounding</x:v>
      </x:c>
      <x:c r="E884" s="69" t="str">
        <x:v>final count 2; initial count 1; add</x:v>
      </x:c>
      <x:c r="F884" s="69" t="str">
        <x:v>count_explicit_goal_2_initial_1_add</x:v>
      </x:c>
      <x:c r="G884" s="69" t="str">
        <x:v>goal one from initial count two by removal; goal three from initial count two by addition</x:v>
      </x:c>
      <x:c r="H884" s="69" t="str">
        <x:v>Yes</x:v>
      </x:c>
      <x:c r="I884" s="69" t="str">
        <x:v>replace counting demonstration</x:v>
      </x:c>
      <x:c r="J884" s="69" t="str">
        <x:v>Inside bowl initially (1): yellow block; On table: green pencil sharpener [TARGET], airplane toy without propellers, blue pen; action=add; expected final count=2.</x:v>
      </x:c>
      <x:c r="K884" s="69" t="str">
        <x:v>green pencil sharpener</x:v>
      </x:c>
      <x:c r="L884" s="69" t="str">
        <x:v>Home</x:v>
      </x:c>
      <x:c r="M884" s="69" t="str">
        <x:v>Move the yellow block from the bowl to the table.</x:v>
      </x:c>
      <x:c r="N884" s="69" t="str">
        <x:v>yellow block, airplane toy without propellers, green pencil sharpener</x:v>
      </x:c>
      <x:c r="O884" s="69" t="str">
        <x:v>yellow block</x:v>
      </x:c>
      <x:c r="P884" s="70" t="str">
        <x:v>Explicitly grounds the goal count in a familiar transition context, so the count word itself is not held out.</x:v>
      </x:c>
    </x:row>
    <x:row r="885" ht="58" customHeight="1">
      <x:c r="A885" s="100" t="n">
        <x:v>883</x:v>
      </x:c>
      <x:c r="B885" s="69" t="str">
        <x:v>Counting</x:v>
      </x:c>
      <x:c r="C885" s="69" t="str">
        <x:v>Adjust the bowl so that it contains exactly two objects.</x:v>
      </x:c>
      <x:c r="D885" s="69" t="str">
        <x:v>Explicit goal-count grounding</x:v>
      </x:c>
      <x:c r="E885" s="69" t="str">
        <x:v>final count 2; initial count 1; add</x:v>
      </x:c>
      <x:c r="F885" s="69" t="str">
        <x:v>count_explicit_goal_2_initial_1_add</x:v>
      </x:c>
      <x:c r="G885" s="69" t="str">
        <x:v>goal one from initial count two by removal; goal three from initial count two by addition</x:v>
      </x:c>
      <x:c r="H885" s="69" t="str">
        <x:v>Yes</x:v>
      </x:c>
      <x:c r="I885" s="69" t="str">
        <x:v>replace counting demonstration</x:v>
      </x:c>
      <x:c r="J885" s="69" t="str">
        <x:v>Inside bowl initially (1): green pencil sharpener; On table: yellow block [TARGET], airplane toy without propellers, blue pen; action=add; expected final count=2.</x:v>
      </x:c>
      <x:c r="K885" s="69" t="str">
        <x:v>yellow block</x:v>
      </x:c>
      <x:c r="L885" s="69" t="str">
        <x:v>Home</x:v>
      </x:c>
      <x:c r="M885" s="69" t="str">
        <x:v>Take the yellow block out of the bowl.</x:v>
      </x:c>
      <x:c r="N885" s="69" t="str">
        <x:v>yellow block, blue pen, airplane toy without propellers</x:v>
      </x:c>
      <x:c r="O885" s="69" t="str">
        <x:v>yellow block</x:v>
      </x:c>
      <x:c r="P885" s="70" t="str">
        <x:v>Explicitly grounds the goal count in a familiar transition context, so the count word itself is not held out.</x:v>
      </x:c>
    </x:row>
    <x:row r="886" ht="58" customHeight="1">
      <x:c r="A886" s="100" t="n">
        <x:v>884</x:v>
      </x:c>
      <x:c r="B886" s="69" t="str">
        <x:v>Counting</x:v>
      </x:c>
      <x:c r="C886" s="69" t="str">
        <x:v>Leave exactly two objects in the bowl.</x:v>
      </x:c>
      <x:c r="D886" s="69" t="str">
        <x:v>Explicit goal-count grounding</x:v>
      </x:c>
      <x:c r="E886" s="69" t="str">
        <x:v>final count 2; initial count 1; add</x:v>
      </x:c>
      <x:c r="F886" s="69" t="str">
        <x:v>count_explicit_goal_2_initial_1_add</x:v>
      </x:c>
      <x:c r="G886" s="69" t="str">
        <x:v>goal one from initial count two by removal; goal three from initial count two by addition</x:v>
      </x:c>
      <x:c r="H886" s="69" t="str">
        <x:v>Yes</x:v>
      </x:c>
      <x:c r="I886" s="69" t="str">
        <x:v>replace counting demonstration</x:v>
      </x:c>
      <x:c r="J886" s="69" t="str">
        <x:v>Inside bowl initially (1): blue pen; On table: airplane toy without propellers [TARGET], green pencil sharpener, yellow block; action=add; expected final count=2.</x:v>
      </x:c>
      <x:c r="K886" s="69" t="str">
        <x:v>airplane toy without propellers</x:v>
      </x:c>
      <x:c r="L886" s="69" t="str">
        <x:v>Post-Drop</x:v>
      </x:c>
      <x:c r="M886" s="69" t="str">
        <x:v>Move the yellow block from the bowl to the table.</x:v>
      </x:c>
      <x:c r="N886" s="69" t="str">
        <x:v>yellow block, green pencil sharpener, blue pen</x:v>
      </x:c>
      <x:c r="O886" s="69" t="str">
        <x:v>yellow block</x:v>
      </x:c>
      <x:c r="P886" s="70" t="str">
        <x:v>Explicitly grounds the goal count in a familiar transition context, so the count word itself is not held out.</x:v>
      </x:c>
    </x:row>
    <x:row r="887" ht="58" customHeight="1">
      <x:c r="A887" s="100" t="n">
        <x:v>885</x:v>
      </x:c>
      <x:c r="B887" s="69" t="str">
        <x:v>Counting</x:v>
      </x:c>
      <x:c r="C887" s="69" t="str">
        <x:v>Make the bowl contain exactly two objects.</x:v>
      </x:c>
      <x:c r="D887" s="69" t="str">
        <x:v>Explicit goal-count grounding</x:v>
      </x:c>
      <x:c r="E887" s="69" t="str">
        <x:v>final count 2; initial count 1; add</x:v>
      </x:c>
      <x:c r="F887" s="69" t="str">
        <x:v>count_explicit_goal_2_initial_1_add</x:v>
      </x:c>
      <x:c r="G887" s="69" t="str">
        <x:v>goal one from initial count two by removal; goal three from initial count two by addition</x:v>
      </x:c>
      <x:c r="H887" s="69" t="str">
        <x:v>Yes</x:v>
      </x:c>
      <x:c r="I887" s="69" t="str">
        <x:v>replace counting demonstration</x:v>
      </x:c>
      <x:c r="J887" s="69" t="str">
        <x:v>Inside bowl initially (1): airplane toy without propellers; On table: blue pen [TARGET], green pencil sharpener, yellow block; action=add; expected final count=2.</x:v>
      </x:c>
      <x:c r="K887" s="69" t="str">
        <x:v>blue pen</x:v>
      </x:c>
      <x:c r="L887" s="69" t="str">
        <x:v>Post-Drop</x:v>
      </x:c>
      <x:c r="M887" s="69" t="str">
        <x:v>Move the yellow block from the bowl to the table.</x:v>
      </x:c>
      <x:c r="N887" s="69" t="str">
        <x:v>yellow block, airplane toy without propellers, green pencil sharpener, blue pen</x:v>
      </x:c>
      <x:c r="O887" s="69" t="str">
        <x:v>yellow block</x:v>
      </x:c>
      <x:c r="P887" s="70" t="str">
        <x:v>Explicitly grounds the goal count in a familiar transition context, so the count word itself is not held out.</x:v>
      </x:c>
    </x:row>
    <x:row r="888" ht="58" customHeight="1">
      <x:c r="A888" s="100" t="n">
        <x:v>886</x:v>
      </x:c>
      <x:c r="B888" s="69" t="str">
        <x:v>Counting</x:v>
      </x:c>
      <x:c r="C888" s="69" t="str">
        <x:v>Adjust the bowl so that it contains exactly two objects.</x:v>
      </x:c>
      <x:c r="D888" s="69" t="str">
        <x:v>Explicit goal-count grounding</x:v>
      </x:c>
      <x:c r="E888" s="69" t="str">
        <x:v>final count 2; initial count 1; add</x:v>
      </x:c>
      <x:c r="F888" s="69" t="str">
        <x:v>count_explicit_goal_2_initial_1_add</x:v>
      </x:c>
      <x:c r="G888" s="69" t="str">
        <x:v>goal one from initial count two by removal; goal three from initial count two by addition</x:v>
      </x:c>
      <x:c r="H888" s="69" t="str">
        <x:v>Yes</x:v>
      </x:c>
      <x:c r="I888" s="69" t="str">
        <x:v>replace counting demonstration</x:v>
      </x:c>
      <x:c r="J888" s="69" t="str">
        <x:v>Inside bowl initially (1): airplane toy without propellers; On table: green pencil sharpener [TARGET], blue pen, yellow block; action=add; expected final count=2.</x:v>
      </x:c>
      <x:c r="K888" s="69" t="str">
        <x:v>green pencil sharpener</x:v>
      </x:c>
      <x:c r="L888" s="69" t="str">
        <x:v>Recovery</x:v>
      </x:c>
      <x:c r="M888" s="69" t="str">
        <x:v>Take the yellow block out of the bowl.</x:v>
      </x:c>
      <x:c r="N888" s="69" t="str">
        <x:v>yellow block, blue pen</x:v>
      </x:c>
      <x:c r="O888" s="69" t="str">
        <x:v>yellow block</x:v>
      </x:c>
      <x:c r="P888" s="70" t="str">
        <x:v>Explicitly grounds the goal count in a familiar transition context, so the count word itself is not held out.</x:v>
      </x:c>
    </x:row>
    <x:row r="889" ht="58" customHeight="1">
      <x:c r="A889" s="100" t="n">
        <x:v>887</x:v>
      </x:c>
      <x:c r="B889" s="69" t="str">
        <x:v>Counting</x:v>
      </x:c>
      <x:c r="C889" s="69" t="str">
        <x:v>Leave exactly two objects in the bowl.</x:v>
      </x:c>
      <x:c r="D889" s="69" t="str">
        <x:v>Explicit goal-count grounding</x:v>
      </x:c>
      <x:c r="E889" s="69" t="str">
        <x:v>final count 2; initial count 1; add</x:v>
      </x:c>
      <x:c r="F889" s="69" t="str">
        <x:v>count_explicit_goal_2_initial_1_add</x:v>
      </x:c>
      <x:c r="G889" s="69" t="str">
        <x:v>goal one from initial count two by removal; goal three from initial count two by addition</x:v>
      </x:c>
      <x:c r="H889" s="69" t="str">
        <x:v>Yes</x:v>
      </x:c>
      <x:c r="I889" s="69" t="str">
        <x:v>replace counting demonstration</x:v>
      </x:c>
      <x:c r="J889" s="69" t="str">
        <x:v>Inside bowl initially (1): airplane toy without propellers; On table: yellow block [TARGET], blue pen, green pencil sharpener; action=add; expected final count=2.</x:v>
      </x:c>
      <x:c r="K889" s="69" t="str">
        <x:v>yellow block</x:v>
      </x:c>
      <x:c r="L889" s="69" t="str">
        <x:v>Home</x:v>
      </x:c>
      <x:c r="M889" s="69" t="str">
        <x:v>Make the bowl contain exactly two objects.</x:v>
      </x:c>
      <x:c r="N889" s="69" t="str">
        <x:v>yellow block, green pencil sharpener, airplane toy without propellers, blue pen</x:v>
      </x:c>
      <x:c r="O889" s="69" t="str">
        <x:v>yellow block</x:v>
      </x:c>
      <x:c r="P889" s="70" t="str">
        <x:v>Explicitly grounds the goal count in a familiar transition context, so the count word itself is not held out.</x:v>
      </x:c>
    </x:row>
    <x:row r="890" ht="58" customHeight="1">
      <x:c r="A890" s="100" t="n">
        <x:v>888</x:v>
      </x:c>
      <x:c r="B890" s="69" t="str">
        <x:v>Counting</x:v>
      </x:c>
      <x:c r="C890" s="69" t="str">
        <x:v>Make the bowl contain exactly two objects.</x:v>
      </x:c>
      <x:c r="D890" s="69" t="str">
        <x:v>Explicit goal-count grounding</x:v>
      </x:c>
      <x:c r="E890" s="69" t="str">
        <x:v>final count 2; initial count 1; add</x:v>
      </x:c>
      <x:c r="F890" s="69" t="str">
        <x:v>count_explicit_goal_2_initial_1_add</x:v>
      </x:c>
      <x:c r="G890" s="69" t="str">
        <x:v>goal one from initial count two by removal; goal three from initial count two by addition</x:v>
      </x:c>
      <x:c r="H890" s="69" t="str">
        <x:v>Yes</x:v>
      </x:c>
      <x:c r="I890" s="69" t="str">
        <x:v>replace counting demonstration</x:v>
      </x:c>
      <x:c r="J890" s="69" t="str">
        <x:v>Inside bowl initially (1): green pencil sharpener; On table: airplane toy without propellers [TARGET], yellow block, blue pen; action=add; expected final count=2.</x:v>
      </x:c>
      <x:c r="K890" s="69" t="str">
        <x:v>airplane toy without propellers</x:v>
      </x:c>
      <x:c r="L890" s="69" t="str">
        <x:v>Home</x:v>
      </x:c>
      <x:c r="M890" s="69" t="str">
        <x:v>Leave exactly two objects in the bowl.</x:v>
      </x:c>
      <x:c r="N890" s="69" t="str">
        <x:v>yellow block, airplane toy without propellers, blue pen, green pencil sharpener</x:v>
      </x:c>
      <x:c r="O890" s="69" t="str">
        <x:v>yellow block</x:v>
      </x:c>
      <x:c r="P890" s="70" t="str">
        <x:v>Explicitly grounds the goal count in a familiar transition context, so the count word itself is not held out.</x:v>
      </x:c>
    </x:row>
    <x:row r="891" ht="58" customHeight="1">
      <x:c r="A891" s="100" t="n">
        <x:v>889</x:v>
      </x:c>
      <x:c r="B891" s="69" t="str">
        <x:v>Counting</x:v>
      </x:c>
      <x:c r="C891" s="69" t="str">
        <x:v>Adjust the bowl so that it contains exactly two objects.</x:v>
      </x:c>
      <x:c r="D891" s="69" t="str">
        <x:v>Explicit goal-count grounding</x:v>
      </x:c>
      <x:c r="E891" s="69" t="str">
        <x:v>final count 2; initial count 1; add</x:v>
      </x:c>
      <x:c r="F891" s="69" t="str">
        <x:v>count_explicit_goal_2_initial_1_add</x:v>
      </x:c>
      <x:c r="G891" s="69" t="str">
        <x:v>goal one from initial count two by removal; goal three from initial count two by addition</x:v>
      </x:c>
      <x:c r="H891" s="69" t="str">
        <x:v>Yes</x:v>
      </x:c>
      <x:c r="I891" s="69" t="str">
        <x:v>replace counting demonstration</x:v>
      </x:c>
      <x:c r="J891" s="69" t="str">
        <x:v>Inside bowl initially (1): green pencil sharpener; On table: blue pen [TARGET], yellow block, airplane toy without propellers; action=add; expected final count=2.</x:v>
      </x:c>
      <x:c r="K891" s="69" t="str">
        <x:v>blue pen</x:v>
      </x:c>
      <x:c r="L891" s="69" t="str">
        <x:v>Post-Drop</x:v>
      </x:c>
      <x:c r="M891" s="69" t="str">
        <x:v>Make the bowl contain exactly two objects.</x:v>
      </x:c>
      <x:c r="N891" s="69" t="str">
        <x:v>yellow block, green pencil sharpener, blue pen, airplane toy without propellers</x:v>
      </x:c>
      <x:c r="O891" s="69" t="str">
        <x:v>yellow block</x:v>
      </x:c>
      <x:c r="P891" s="70" t="str">
        <x:v>Explicitly grounds the goal count in a familiar transition context, so the count word itself is not held out.</x:v>
      </x:c>
    </x:row>
    <x:row r="892" ht="58" customHeight="1">
      <x:c r="A892" s="100" t="n">
        <x:v>890</x:v>
      </x:c>
      <x:c r="B892" s="69" t="str">
        <x:v>Counting</x:v>
      </x:c>
      <x:c r="C892" s="69" t="str">
        <x:v>Leave exactly two objects in the bowl.</x:v>
      </x:c>
      <x:c r="D892" s="69" t="str">
        <x:v>Explicit goal-count grounding</x:v>
      </x:c>
      <x:c r="E892" s="69" t="str">
        <x:v>final count 2; initial count 1; add</x:v>
      </x:c>
      <x:c r="F892" s="69" t="str">
        <x:v>count_explicit_goal_2_initial_1_add</x:v>
      </x:c>
      <x:c r="G892" s="69" t="str">
        <x:v>goal one from initial count two by removal; goal three from initial count two by addition</x:v>
      </x:c>
      <x:c r="H892" s="69" t="str">
        <x:v>Yes</x:v>
      </x:c>
      <x:c r="I892" s="69" t="str">
        <x:v>replace counting demonstration</x:v>
      </x:c>
      <x:c r="J892" s="69" t="str">
        <x:v>Inside bowl initially (1): blue pen; On table: green pencil sharpener [TARGET], yellow block, airplane toy without propellers; action=add; expected final count=2.</x:v>
      </x:c>
      <x:c r="K892" s="69" t="str">
        <x:v>green pencil sharpener</x:v>
      </x:c>
      <x:c r="L892" s="69" t="str">
        <x:v>Post-Drop</x:v>
      </x:c>
      <x:c r="M892" s="69" t="str">
        <x:v>Adjust the bowl so that it contains two objects.</x:v>
      </x:c>
      <x:c r="N892" s="69" t="str">
        <x:v>yellow block, green pencil sharpener, airplane toy without propellers</x:v>
      </x:c>
      <x:c r="O892" s="69" t="str">
        <x:v>yellow block</x:v>
      </x:c>
      <x:c r="P892" s="70" t="str">
        <x:v>Explicitly grounds the goal count in a familiar transition context, so the count word itself is not held out.</x:v>
      </x:c>
    </x:row>
    <x:row r="893" ht="58" customHeight="1">
      <x:c r="A893" s="100" t="n">
        <x:v>891</x:v>
      </x:c>
      <x:c r="B893" s="69" t="str">
        <x:v>Counting</x:v>
      </x:c>
      <x:c r="C893" s="69" t="str">
        <x:v>Make the bowl contain exactly two objects.</x:v>
      </x:c>
      <x:c r="D893" s="69" t="str">
        <x:v>Explicit goal-count grounding</x:v>
      </x:c>
      <x:c r="E893" s="69" t="str">
        <x:v>final count 2; initial count 1; add</x:v>
      </x:c>
      <x:c r="F893" s="69" t="str">
        <x:v>count_explicit_goal_2_initial_1_add</x:v>
      </x:c>
      <x:c r="G893" s="69" t="str">
        <x:v>goal one from initial count two by removal; goal three from initial count two by addition</x:v>
      </x:c>
      <x:c r="H893" s="69" t="str">
        <x:v>Yes</x:v>
      </x:c>
      <x:c r="I893" s="69" t="str">
        <x:v>replace counting demonstration</x:v>
      </x:c>
      <x:c r="J893" s="69" t="str">
        <x:v>Inside bowl initially (1): blue pen; On table: yellow block [TARGET], green pencil sharpener, airplane toy without propellers; action=add; expected final count=2.</x:v>
      </x:c>
      <x:c r="K893" s="69" t="str">
        <x:v>yellow block</x:v>
      </x:c>
      <x:c r="L893" s="69" t="str">
        <x:v>Post-Drop</x:v>
      </x:c>
      <x:c r="M893" s="69" t="str">
        <x:v>Leave exactly two objects in the bowl.</x:v>
      </x:c>
      <x:c r="N893" s="69" t="str">
        <x:v>yellow block, airplane toy without propellers, blue pen</x:v>
      </x:c>
      <x:c r="O893" s="69" t="str">
        <x:v>yellow block</x:v>
      </x:c>
      <x:c r="P893" s="70" t="str">
        <x:v>Explicitly grounds the goal count in a familiar transition context, so the count word itself is not held out.</x:v>
      </x:c>
    </x:row>
    <x:row r="894" ht="58" customHeight="1">
      <x:c r="A894" s="100" t="n">
        <x:v>892</x:v>
      </x:c>
      <x:c r="B894" s="69" t="str">
        <x:v>Counting</x:v>
      </x:c>
      <x:c r="C894" s="69" t="str">
        <x:v>Adjust the bowl so that it contains exactly two objects.</x:v>
      </x:c>
      <x:c r="D894" s="69" t="str">
        <x:v>Explicit goal-count grounding</x:v>
      </x:c>
      <x:c r="E894" s="69" t="str">
        <x:v>final count 2; initial count 1; add</x:v>
      </x:c>
      <x:c r="F894" s="69" t="str">
        <x:v>count_explicit_goal_2_initial_1_add</x:v>
      </x:c>
      <x:c r="G894" s="69" t="str">
        <x:v>goal one from initial count two by removal; goal three from initial count two by addition</x:v>
      </x:c>
      <x:c r="H894" s="69" t="str">
        <x:v>Yes</x:v>
      </x:c>
      <x:c r="I894" s="69" t="str">
        <x:v>replace counting demonstration</x:v>
      </x:c>
      <x:c r="J894" s="69" t="str">
        <x:v>Inside bowl initially (1): yellow block; On table: airplane toy without propellers [TARGET], blue pen, green pencil sharpener; action=add; expected final count=2.</x:v>
      </x:c>
      <x:c r="K894" s="69" t="str">
        <x:v>airplane toy without propellers</x:v>
      </x:c>
      <x:c r="L894" s="69" t="str">
        <x:v>Recovery</x:v>
      </x:c>
      <x:c r="M894" s="69" t="str">
        <x:v>Leave exactly two objects in the bowl.</x:v>
      </x:c>
      <x:c r="N894" s="69" t="str">
        <x:v>yellow block, green pencil sharpener, blue pen</x:v>
      </x:c>
      <x:c r="O894" s="69" t="str">
        <x:v>yellow block</x:v>
      </x:c>
      <x:c r="P894" s="70" t="str">
        <x:v>Explicitly grounds the goal count in a familiar transition context, so the count word itself is not held out.</x:v>
      </x:c>
    </x:row>
    <x:row r="895" ht="58" customHeight="1">
      <x:c r="A895" s="100" t="n">
        <x:v>893</x:v>
      </x:c>
      <x:c r="B895" s="69" t="str">
        <x:v>Counting</x:v>
      </x:c>
      <x:c r="C895" s="69" t="str">
        <x:v>Leave exactly two objects in the bowl.</x:v>
      </x:c>
      <x:c r="D895" s="69" t="str">
        <x:v>Explicit goal-count grounding</x:v>
      </x:c>
      <x:c r="E895" s="69" t="str">
        <x:v>final count 2; initial count 1; add</x:v>
      </x:c>
      <x:c r="F895" s="69" t="str">
        <x:v>count_explicit_goal_2_initial_1_add</x:v>
      </x:c>
      <x:c r="G895" s="69" t="str">
        <x:v>goal one from initial count two by removal; goal three from initial count two by addition</x:v>
      </x:c>
      <x:c r="H895" s="69" t="str">
        <x:v>Yes</x:v>
      </x:c>
      <x:c r="I895" s="69" t="str">
        <x:v>replace counting demonstration</x:v>
      </x:c>
      <x:c r="J895" s="69" t="str">
        <x:v>Inside bowl initially (1): yellow block; On table: blue pen [TARGET], airplane toy without propellers, green pencil sharpener; action=add; expected final count=2.</x:v>
      </x:c>
      <x:c r="K895" s="69" t="str">
        <x:v>blue pen</x:v>
      </x:c>
      <x:c r="L895" s="69" t="str">
        <x:v>Home</x:v>
      </x:c>
      <x:c r="M895" s="69" t="str">
        <x:v>Take the yellow block out of the bowl.</x:v>
      </x:c>
      <x:c r="N895" s="69" t="str">
        <x:v>yellow block, green pencil sharpener, airplane toy without propellers, blue pen</x:v>
      </x:c>
      <x:c r="O895" s="69" t="str">
        <x:v>yellow block</x:v>
      </x:c>
      <x:c r="P895" s="70" t="str">
        <x:v>Explicitly grounds the goal count in a familiar transition context, so the count word itself is not held out.</x:v>
      </x:c>
    </x:row>
    <x:row r="896" ht="58" customHeight="1">
      <x:c r="A896" s="100" t="n">
        <x:v>894</x:v>
      </x:c>
      <x:c r="B896" s="69" t="str">
        <x:v>Counting</x:v>
      </x:c>
      <x:c r="C896" s="69" t="str">
        <x:v>Make the bowl contain exactly two objects.</x:v>
      </x:c>
      <x:c r="D896" s="69" t="str">
        <x:v>Explicit goal-count grounding</x:v>
      </x:c>
      <x:c r="E896" s="69" t="str">
        <x:v>final count 2; initial count 1; add</x:v>
      </x:c>
      <x:c r="F896" s="69" t="str">
        <x:v>count_explicit_goal_2_initial_1_add</x:v>
      </x:c>
      <x:c r="G896" s="69" t="str">
        <x:v>goal one from initial count two by removal; goal three from initial count two by addition</x:v>
      </x:c>
      <x:c r="H896" s="69" t="str">
        <x:v>Yes</x:v>
      </x:c>
      <x:c r="I896" s="69" t="str">
        <x:v>replace counting demonstration</x:v>
      </x:c>
      <x:c r="J896" s="69" t="str">
        <x:v>Inside bowl initially (1): yellow block; On table: green pencil sharpener [TARGET], airplane toy without propellers, blue pen; action=add; expected final count=2.</x:v>
      </x:c>
      <x:c r="K896" s="69" t="str">
        <x:v>green pencil sharpener</x:v>
      </x:c>
      <x:c r="L896" s="69" t="str">
        <x:v>Home</x:v>
      </x:c>
      <x:c r="M896" s="69" t="str">
        <x:v>Take the yellow block out of the bowl.</x:v>
      </x:c>
      <x:c r="N896" s="69" t="str">
        <x:v>yellow block, green pencil sharpener, airplane toy without propellers, blue pen</x:v>
      </x:c>
      <x:c r="O896" s="69" t="str">
        <x:v>yellow block</x:v>
      </x:c>
      <x:c r="P896" s="70" t="str">
        <x:v>Explicitly grounds the goal count in a familiar transition context, so the count word itself is not held out.</x:v>
      </x:c>
    </x:row>
    <x:row r="897" ht="58" customHeight="1">
      <x:c r="A897" s="100" t="n">
        <x:v>895</x:v>
      </x:c>
      <x:c r="B897" s="69" t="str">
        <x:v>Counting</x:v>
      </x:c>
      <x:c r="C897" s="69" t="str">
        <x:v>Adjust the bowl so that it contains exactly two objects.</x:v>
      </x:c>
      <x:c r="D897" s="69" t="str">
        <x:v>Explicit goal-count grounding</x:v>
      </x:c>
      <x:c r="E897" s="69" t="str">
        <x:v>final count 2; initial count 1; add</x:v>
      </x:c>
      <x:c r="F897" s="69" t="str">
        <x:v>count_explicit_goal_2_initial_1_add</x:v>
      </x:c>
      <x:c r="G897" s="69" t="str">
        <x:v>goal one from initial count two by removal; goal three from initial count two by addition</x:v>
      </x:c>
      <x:c r="H897" s="69" t="str">
        <x:v>Yes</x:v>
      </x:c>
      <x:c r="I897" s="69" t="str">
        <x:v>replace counting demonstration</x:v>
      </x:c>
      <x:c r="J897" s="69" t="str">
        <x:v>Inside bowl initially (1): green pencil sharpener; On table: yellow block [TARGET], airplane toy without propellers, blue pen; action=add; expected final count=2.</x:v>
      </x:c>
      <x:c r="K897" s="69" t="str">
        <x:v>yellow block</x:v>
      </x:c>
      <x:c r="L897" s="69" t="str">
        <x:v>Home</x:v>
      </x:c>
      <x:c r="M897" s="69" t="str">
        <x:v>Move the yellow block from the bowl to the table.</x:v>
      </x:c>
      <x:c r="N897" s="69" t="str">
        <x:v>yellow block, green pencil sharpener, airplane toy without propellers, blue pen</x:v>
      </x:c>
      <x:c r="O897" s="69" t="str">
        <x:v>yellow block</x:v>
      </x:c>
      <x:c r="P897" s="70" t="str">
        <x:v>Explicitly grounds the goal count in a familiar transition context, so the count word itself is not held out.</x:v>
      </x:c>
    </x:row>
    <x:row r="898" ht="58" customHeight="1">
      <x:c r="A898" s="100" t="n">
        <x:v>896</x:v>
      </x:c>
      <x:c r="B898" s="69" t="str">
        <x:v>Counting</x:v>
      </x:c>
      <x:c r="C898" s="69" t="str">
        <x:v>Leave exactly two objects in the bowl.</x:v>
      </x:c>
      <x:c r="D898" s="69" t="str">
        <x:v>Explicit goal-count grounding</x:v>
      </x:c>
      <x:c r="E898" s="69" t="str">
        <x:v>final count 2; initial count 1; add</x:v>
      </x:c>
      <x:c r="F898" s="69" t="str">
        <x:v>count_explicit_goal_2_initial_1_add</x:v>
      </x:c>
      <x:c r="G898" s="69" t="str">
        <x:v>goal one from initial count two by removal; goal three from initial count two by addition</x:v>
      </x:c>
      <x:c r="H898" s="69" t="str">
        <x:v>Yes</x:v>
      </x:c>
      <x:c r="I898" s="69" t="str">
        <x:v>replace counting demonstration</x:v>
      </x:c>
      <x:c r="J898" s="69" t="str">
        <x:v>Inside bowl initially (1): blue pen; On table: airplane toy without propellers [TARGET], green pencil sharpener, yellow block; action=add; expected final count=2.</x:v>
      </x:c>
      <x:c r="K898" s="69" t="str">
        <x:v>airplane toy without propellers</x:v>
      </x:c>
      <x:c r="L898" s="69" t="str">
        <x:v>Post-Drop</x:v>
      </x:c>
      <x:c r="M898" s="69" t="str">
        <x:v>Remove the yellow block from the bowl.</x:v>
      </x:c>
      <x:c r="N898" s="69" t="str">
        <x:v>yellow block, green pencil sharpener, airplane toy without propellers, blue pen</x:v>
      </x:c>
      <x:c r="O898" s="69" t="str">
        <x:v>yellow block</x:v>
      </x:c>
      <x:c r="P898" s="70" t="str">
        <x:v>Explicitly grounds the goal count in a familiar transition context, so the count word itself is not held out.</x:v>
      </x:c>
    </x:row>
    <x:row r="899" ht="58" customHeight="1">
      <x:c r="A899" s="100" t="n">
        <x:v>897</x:v>
      </x:c>
      <x:c r="B899" s="69" t="str">
        <x:v>Counting</x:v>
      </x:c>
      <x:c r="C899" s="69" t="str">
        <x:v>Make the bowl contain exactly two objects.</x:v>
      </x:c>
      <x:c r="D899" s="69" t="str">
        <x:v>Explicit goal-count grounding</x:v>
      </x:c>
      <x:c r="E899" s="69" t="str">
        <x:v>final count 2; initial count 1; add</x:v>
      </x:c>
      <x:c r="F899" s="69" t="str">
        <x:v>count_explicit_goal_2_initial_1_add</x:v>
      </x:c>
      <x:c r="G899" s="69" t="str">
        <x:v>goal one from initial count two by removal; goal three from initial count two by addition</x:v>
      </x:c>
      <x:c r="H899" s="69" t="str">
        <x:v>Yes</x:v>
      </x:c>
      <x:c r="I899" s="69" t="str">
        <x:v>replace counting demonstration</x:v>
      </x:c>
      <x:c r="J899" s="69" t="str">
        <x:v>Inside bowl initially (1): airplane toy without propellers; On table: blue pen [TARGET], green pencil sharpener, yellow block; action=add; expected final count=2.</x:v>
      </x:c>
      <x:c r="K899" s="69" t="str">
        <x:v>blue pen</x:v>
      </x:c>
      <x:c r="L899" s="69" t="str">
        <x:v>Post-Drop</x:v>
      </x:c>
      <x:c r="M899" s="69" t="str">
        <x:v>Remove the yellow block from the bowl.</x:v>
      </x:c>
      <x:c r="N899" s="69" t="str">
        <x:v>yellow block, green pencil sharpener, airplane toy without propellers, blue pen</x:v>
      </x:c>
      <x:c r="O899" s="69" t="str">
        <x:v>yellow block</x:v>
      </x:c>
      <x:c r="P899" s="70" t="str">
        <x:v>Explicitly grounds the goal count in a familiar transition context, so the count word itself is not held out.</x:v>
      </x:c>
    </x:row>
    <x:row r="900" ht="58" customHeight="1">
      <x:c r="A900" s="100" t="n">
        <x:v>898</x:v>
      </x:c>
      <x:c r="B900" s="69" t="str">
        <x:v>Counting</x:v>
      </x:c>
      <x:c r="C900" s="69" t="str">
        <x:v>Adjust the bowl so that it contains exactly two objects.</x:v>
      </x:c>
      <x:c r="D900" s="69" t="str">
        <x:v>Explicit goal-count grounding</x:v>
      </x:c>
      <x:c r="E900" s="69" t="str">
        <x:v>final count 2; initial count 1; add</x:v>
      </x:c>
      <x:c r="F900" s="69" t="str">
        <x:v>count_explicit_goal_2_initial_1_add</x:v>
      </x:c>
      <x:c r="G900" s="69" t="str">
        <x:v>goal one from initial count two by removal; goal three from initial count two by addition</x:v>
      </x:c>
      <x:c r="H900" s="69" t="str">
        <x:v>Yes</x:v>
      </x:c>
      <x:c r="I900" s="69" t="str">
        <x:v>replace counting demonstration</x:v>
      </x:c>
      <x:c r="J900" s="69" t="str">
        <x:v>Inside bowl initially (1): airplane toy without propellers; On table: green pencil sharpener [TARGET], blue pen, yellow block; action=add; expected final count=2.</x:v>
      </x:c>
      <x:c r="K900" s="69" t="str">
        <x:v>green pencil sharpener</x:v>
      </x:c>
      <x:c r="L900" s="69" t="str">
        <x:v>Post-Drop</x:v>
      </x:c>
      <x:c r="M900" s="69" t="str">
        <x:v>Take the yellow block out of the bowl.</x:v>
      </x:c>
      <x:c r="N900" s="69" t="str">
        <x:v>yellow block, green pencil sharpener, airplane toy without propellers, blue pen</x:v>
      </x:c>
      <x:c r="O900" s="69" t="str">
        <x:v>yellow block</x:v>
      </x:c>
      <x:c r="P900" s="70" t="str">
        <x:v>Explicitly grounds the goal count in a familiar transition context, so the count word itself is not held out.</x:v>
      </x:c>
    </x:row>
    <x:row r="901" ht="58" customHeight="1">
      <x:c r="A901" s="100" t="n">
        <x:v>899</x:v>
      </x:c>
      <x:c r="B901" s="69" t="str">
        <x:v>Counting</x:v>
      </x:c>
      <x:c r="C901" s="69" t="str">
        <x:v>Leave exactly two objects in the bowl.</x:v>
      </x:c>
      <x:c r="D901" s="69" t="str">
        <x:v>Explicit goal-count grounding</x:v>
      </x:c>
      <x:c r="E901" s="69" t="str">
        <x:v>final count 2; initial count 1; add</x:v>
      </x:c>
      <x:c r="F901" s="69" t="str">
        <x:v>count_explicit_goal_2_initial_1_add</x:v>
      </x:c>
      <x:c r="G901" s="69" t="str">
        <x:v>goal one from initial count two by removal; goal three from initial count two by addition</x:v>
      </x:c>
      <x:c r="H901" s="69" t="str">
        <x:v>Yes</x:v>
      </x:c>
      <x:c r="I901" s="69" t="str">
        <x:v>replace counting demonstration</x:v>
      </x:c>
      <x:c r="J901" s="69" t="str">
        <x:v>Inside bowl initially (1): airplane toy without propellers; On table: yellow block [TARGET], blue pen, green pencil sharpener; action=add; expected final count=2.</x:v>
      </x:c>
      <x:c r="K901" s="69" t="str">
        <x:v>yellow block</x:v>
      </x:c>
      <x:c r="L901" s="69" t="str">
        <x:v>Recovery</x:v>
      </x:c>
      <x:c r="M901" s="69" t="str">
        <x:v>Remove the yellow block from the bowl.</x:v>
      </x:c>
      <x:c r="N901" s="69" t="str">
        <x:v>yellow block, green pencil sharpener, airplane toy without propellers, blue pen</x:v>
      </x:c>
      <x:c r="O901" s="69" t="str">
        <x:v>yellow block</x:v>
      </x:c>
      <x:c r="P901" s="70" t="str">
        <x:v>Explicitly grounds the goal count in a familiar transition context, so the count word itself is not held out.</x:v>
      </x:c>
    </x:row>
    <x:row r="902" ht="58" customHeight="1">
      <x:c r="A902" s="100" t="n">
        <x:v>900</x:v>
      </x:c>
      <x:c r="B902" s="69" t="str">
        <x:v>Counting</x:v>
      </x:c>
      <x:c r="C902" s="69" t="str">
        <x:v>Make the bowl contain exactly two objects.</x:v>
      </x:c>
      <x:c r="D902" s="69" t="str">
        <x:v>Explicit goal-count grounding</x:v>
      </x:c>
      <x:c r="E902" s="69" t="str">
        <x:v>final count 2; initial count 3; remove</x:v>
      </x:c>
      <x:c r="F902" s="69" t="str">
        <x:v>count_explicit_goal_2_initial_3_remove</x:v>
      </x:c>
      <x:c r="G902" s="69" t="str">
        <x:v>goal one from initial count two by removal; goal three from initial count two by addition</x:v>
      </x:c>
      <x:c r="H902" s="69" t="str">
        <x:v>Yes</x:v>
      </x:c>
      <x:c r="I902" s="69" t="str">
        <x:v>replace counting demonstration</x:v>
      </x:c>
      <x:c r="J902" s="69" t="str">
        <x:v>Inside bowl initially (3): airplane toy without propellers [TARGET], green pencil sharpener, yellow block; On table: blue pen; action=remove; expected final count=2.</x:v>
      </x:c>
      <x:c r="K902" s="69" t="str">
        <x:v>airplane toy without propellers</x:v>
      </x:c>
      <x:c r="L902" s="69" t="str">
        <x:v>Home</x:v>
      </x:c>
      <x:c r="M902" s="69" t="str">
        <x:v>Pick up the green pencil sharpener and place it in the bowl.</x:v>
      </x:c>
      <x:c r="N902" s="69" t="str">
        <x:v>green pencil sharpener, airplane toy without propellers, blue pen, yellow block</x:v>
      </x:c>
      <x:c r="O902" s="69" t="str">
        <x:v>green pencil sharpener</x:v>
      </x:c>
      <x:c r="P902" s="70" t="str">
        <x:v>Explicitly grounds the goal count in a familiar transition context, so the count word itself is not held out.</x:v>
      </x:c>
    </x:row>
    <x:row r="903" ht="58" customHeight="1">
      <x:c r="A903" s="100" t="n">
        <x:v>901</x:v>
      </x:c>
      <x:c r="B903" s="69" t="str">
        <x:v>Counting</x:v>
      </x:c>
      <x:c r="C903" s="69" t="str">
        <x:v>Adjust the bowl so that it contains exactly two objects.</x:v>
      </x:c>
      <x:c r="D903" s="69" t="str">
        <x:v>Explicit goal-count grounding</x:v>
      </x:c>
      <x:c r="E903" s="69" t="str">
        <x:v>final count 2; initial count 3; remove</x:v>
      </x:c>
      <x:c r="F903" s="69" t="str">
        <x:v>count_explicit_goal_2_initial_3_remove</x:v>
      </x:c>
      <x:c r="G903" s="69" t="str">
        <x:v>goal one from initial count two by removal; goal three from initial count two by addition</x:v>
      </x:c>
      <x:c r="H903" s="69" t="str">
        <x:v>Yes</x:v>
      </x:c>
      <x:c r="I903" s="69" t="str">
        <x:v>replace counting demonstration</x:v>
      </x:c>
      <x:c r="J903" s="69" t="str">
        <x:v>Inside bowl initially (3): blue pen [TARGET], green pencil sharpener, yellow block; On table: airplane toy without propellers; action=remove; expected final count=2.</x:v>
      </x:c>
      <x:c r="K903" s="69" t="str">
        <x:v>blue pen</x:v>
      </x:c>
      <x:c r="L903" s="69" t="str">
        <x:v>Home</x:v>
      </x:c>
      <x:c r="M903" s="69" t="str">
        <x:v>Put the green pencil sharpener in the bowl.</x:v>
      </x:c>
      <x:c r="N903" s="69" t="str">
        <x:v>green pencil sharpener, airplane toy without propellers, blue pen</x:v>
      </x:c>
      <x:c r="O903" s="69" t="str">
        <x:v>green pencil sharpener</x:v>
      </x:c>
      <x:c r="P903" s="70" t="str">
        <x:v>Explicitly grounds the goal count in a familiar transition context, so the count word itself is not held out.</x:v>
      </x:c>
    </x:row>
    <x:row r="904" ht="58" customHeight="1">
      <x:c r="A904" s="100" t="n">
        <x:v>902</x:v>
      </x:c>
      <x:c r="B904" s="69" t="str">
        <x:v>Counting</x:v>
      </x:c>
      <x:c r="C904" s="69" t="str">
        <x:v>Leave exactly two objects in the bowl.</x:v>
      </x:c>
      <x:c r="D904" s="69" t="str">
        <x:v>Explicit goal-count grounding</x:v>
      </x:c>
      <x:c r="E904" s="69" t="str">
        <x:v>final count 2; initial count 3; remove</x:v>
      </x:c>
      <x:c r="F904" s="69" t="str">
        <x:v>count_explicit_goal_2_initial_3_remove</x:v>
      </x:c>
      <x:c r="G904" s="69" t="str">
        <x:v>goal one from initial count two by removal; goal three from initial count two by addition</x:v>
      </x:c>
      <x:c r="H904" s="69" t="str">
        <x:v>Yes</x:v>
      </x:c>
      <x:c r="I904" s="69" t="str">
        <x:v>replace counting demonstration</x:v>
      </x:c>
      <x:c r="J904" s="69" t="str">
        <x:v>Inside bowl initially (3): green pencil sharpener [TARGET], blue pen, yellow block; On table: airplane toy without propellers; action=remove; expected final count=2.</x:v>
      </x:c>
      <x:c r="K904" s="69" t="str">
        <x:v>green pencil sharpener</x:v>
      </x:c>
      <x:c r="L904" s="69" t="str">
        <x:v>Home</x:v>
      </x:c>
      <x:c r="M904" s="69" t="str">
        <x:v>Pick up the green pencil sharpener and place it in the bowl.</x:v>
      </x:c>
      <x:c r="N904" s="69" t="str">
        <x:v>green pencil sharpener, yellow block</x:v>
      </x:c>
      <x:c r="O904" s="69" t="str">
        <x:v>green pencil sharpener</x:v>
      </x:c>
      <x:c r="P904" s="70" t="str">
        <x:v>Explicitly grounds the goal count in a familiar transition context, so the count word itself is not held out.</x:v>
      </x:c>
    </x:row>
    <x:row r="905" ht="58" customHeight="1">
      <x:c r="A905" s="100" t="n">
        <x:v>903</x:v>
      </x:c>
      <x:c r="B905" s="69" t="str">
        <x:v>Counting</x:v>
      </x:c>
      <x:c r="C905" s="69" t="str">
        <x:v>Make the bowl contain exactly two objects.</x:v>
      </x:c>
      <x:c r="D905" s="69" t="str">
        <x:v>Explicit goal-count grounding</x:v>
      </x:c>
      <x:c r="E905" s="69" t="str">
        <x:v>final count 2; initial count 3; remove</x:v>
      </x:c>
      <x:c r="F905" s="69" t="str">
        <x:v>count_explicit_goal_2_initial_3_remove</x:v>
      </x:c>
      <x:c r="G905" s="69" t="str">
        <x:v>goal one from initial count two by removal; goal three from initial count two by addition</x:v>
      </x:c>
      <x:c r="H905" s="69" t="str">
        <x:v>Yes</x:v>
      </x:c>
      <x:c r="I905" s="69" t="str">
        <x:v>replace counting demonstration</x:v>
      </x:c>
      <x:c r="J905" s="69" t="str">
        <x:v>Inside bowl initially (3): yellow block [TARGET], blue pen, green pencil sharpener; On table: airplane toy without propellers; action=remove; expected final count=2.</x:v>
      </x:c>
      <x:c r="K905" s="69" t="str">
        <x:v>yellow block</x:v>
      </x:c>
      <x:c r="L905" s="69" t="str">
        <x:v>Post-Drop</x:v>
      </x:c>
      <x:c r="M905" s="69" t="str">
        <x:v>Put the green pencil sharpener in the bowl.</x:v>
      </x:c>
      <x:c r="N905" s="69" t="str">
        <x:v>green pencil sharpener, airplane toy without propellers, yellow block</x:v>
      </x:c>
      <x:c r="O905" s="69" t="str">
        <x:v>green pencil sharpener</x:v>
      </x:c>
      <x:c r="P905" s="70" t="str">
        <x:v>Explicitly grounds the goal count in a familiar transition context, so the count word itself is not held out.</x:v>
      </x:c>
    </x:row>
    <x:row r="906" ht="58" customHeight="1">
      <x:c r="A906" s="100" t="n">
        <x:v>904</x:v>
      </x:c>
      <x:c r="B906" s="69" t="str">
        <x:v>Counting</x:v>
      </x:c>
      <x:c r="C906" s="69" t="str">
        <x:v>Adjust the bowl so that it contains exactly two objects.</x:v>
      </x:c>
      <x:c r="D906" s="69" t="str">
        <x:v>Explicit goal-count grounding</x:v>
      </x:c>
      <x:c r="E906" s="69" t="str">
        <x:v>final count 2; initial count 3; remove</x:v>
      </x:c>
      <x:c r="F906" s="69" t="str">
        <x:v>count_explicit_goal_2_initial_3_remove</x:v>
      </x:c>
      <x:c r="G906" s="69" t="str">
        <x:v>goal one from initial count two by removal; goal three from initial count two by addition</x:v>
      </x:c>
      <x:c r="H906" s="69" t="str">
        <x:v>Yes</x:v>
      </x:c>
      <x:c r="I906" s="69" t="str">
        <x:v>replace counting demonstration</x:v>
      </x:c>
      <x:c r="J906" s="69" t="str">
        <x:v>Inside bowl initially (3): airplane toy without propellers [TARGET], yellow block, blue pen; On table: green pencil sharpener; action=remove; expected final count=2.</x:v>
      </x:c>
      <x:c r="K906" s="69" t="str">
        <x:v>airplane toy without propellers</x:v>
      </x:c>
      <x:c r="L906" s="69" t="str">
        <x:v>Post-Drop</x:v>
      </x:c>
      <x:c r="M906" s="69" t="str">
        <x:v>Put the green pencil sharpener in the bowl.</x:v>
      </x:c>
      <x:c r="N906" s="69" t="str">
        <x:v>green pencil sharpener, blue pen</x:v>
      </x:c>
      <x:c r="O906" s="69" t="str">
        <x:v>green pencil sharpener</x:v>
      </x:c>
      <x:c r="P906" s="70" t="str">
        <x:v>Explicitly grounds the goal count in a familiar transition context, so the count word itself is not held out.</x:v>
      </x:c>
    </x:row>
    <x:row r="907" ht="58" customHeight="1">
      <x:c r="A907" s="100" t="n">
        <x:v>905</x:v>
      </x:c>
      <x:c r="B907" s="69" t="str">
        <x:v>Counting</x:v>
      </x:c>
      <x:c r="C907" s="69" t="str">
        <x:v>Leave exactly two objects in the bowl.</x:v>
      </x:c>
      <x:c r="D907" s="69" t="str">
        <x:v>Explicit goal-count grounding</x:v>
      </x:c>
      <x:c r="E907" s="69" t="str">
        <x:v>final count 2; initial count 3; remove</x:v>
      </x:c>
      <x:c r="F907" s="69" t="str">
        <x:v>count_explicit_goal_2_initial_3_remove</x:v>
      </x:c>
      <x:c r="G907" s="69" t="str">
        <x:v>goal one from initial count two by removal; goal three from initial count two by addition</x:v>
      </x:c>
      <x:c r="H907" s="69" t="str">
        <x:v>Yes</x:v>
      </x:c>
      <x:c r="I907" s="69" t="str">
        <x:v>replace counting demonstration</x:v>
      </x:c>
      <x:c r="J907" s="69" t="str">
        <x:v>Inside bowl initially (3): blue pen [TARGET], yellow block, airplane toy without propellers; On table: green pencil sharpener; action=remove; expected final count=2.</x:v>
      </x:c>
      <x:c r="K907" s="69" t="str">
        <x:v>blue pen</x:v>
      </x:c>
      <x:c r="L907" s="69" t="str">
        <x:v>Post-Drop</x:v>
      </x:c>
      <x:c r="M907" s="69" t="str">
        <x:v>Put the green pencil sharpener in the bowl.</x:v>
      </x:c>
      <x:c r="N907" s="69" t="str">
        <x:v>green pencil sharpener, airplane toy without propellers</x:v>
      </x:c>
      <x:c r="O907" s="69" t="str">
        <x:v>green pencil sharpener</x:v>
      </x:c>
      <x:c r="P907" s="70" t="str">
        <x:v>Explicitly grounds the goal count in a familiar transition context, so the count word itself is not held out.</x:v>
      </x:c>
    </x:row>
    <x:row r="908" ht="58" customHeight="1">
      <x:c r="A908" s="100" t="n">
        <x:v>906</x:v>
      </x:c>
      <x:c r="B908" s="69" t="str">
        <x:v>Counting</x:v>
      </x:c>
      <x:c r="C908" s="69" t="str">
        <x:v>Make the bowl contain exactly two objects.</x:v>
      </x:c>
      <x:c r="D908" s="69" t="str">
        <x:v>Explicit goal-count grounding</x:v>
      </x:c>
      <x:c r="E908" s="69" t="str">
        <x:v>final count 2; initial count 3; remove</x:v>
      </x:c>
      <x:c r="F908" s="69" t="str">
        <x:v>count_explicit_goal_2_initial_3_remove</x:v>
      </x:c>
      <x:c r="G908" s="69" t="str">
        <x:v>goal one from initial count two by removal; goal three from initial count two by addition</x:v>
      </x:c>
      <x:c r="H908" s="69" t="str">
        <x:v>Yes</x:v>
      </x:c>
      <x:c r="I908" s="69" t="str">
        <x:v>replace counting demonstration</x:v>
      </x:c>
      <x:c r="J908" s="69" t="str">
        <x:v>Inside bowl initially (3): green pencil sharpener [TARGET], yellow block, airplane toy without propellers; On table: blue pen; action=remove; expected final count=2.</x:v>
      </x:c>
      <x:c r="K908" s="69" t="str">
        <x:v>green pencil sharpener</x:v>
      </x:c>
      <x:c r="L908" s="69" t="str">
        <x:v>Recovery</x:v>
      </x:c>
      <x:c r="M908" s="69" t="str">
        <x:v>Move the green pencil sharpener into the bowl.</x:v>
      </x:c>
      <x:c r="N908" s="69" t="str">
        <x:v>green pencil sharpener, blue pen, yellow block</x:v>
      </x:c>
      <x:c r="O908" s="69" t="str">
        <x:v>green pencil sharpener</x:v>
      </x:c>
      <x:c r="P908" s="70" t="str">
        <x:v>Explicitly grounds the goal count in a familiar transition context, so the count word itself is not held out.</x:v>
      </x:c>
    </x:row>
    <x:row r="909" ht="58" customHeight="1">
      <x:c r="A909" s="100" t="n">
        <x:v>907</x:v>
      </x:c>
      <x:c r="B909" s="69" t="str">
        <x:v>Counting</x:v>
      </x:c>
      <x:c r="C909" s="69" t="str">
        <x:v>Adjust the bowl so that it contains exactly two objects.</x:v>
      </x:c>
      <x:c r="D909" s="69" t="str">
        <x:v>Explicit goal-count grounding</x:v>
      </x:c>
      <x:c r="E909" s="69" t="str">
        <x:v>final count 2; initial count 3; remove</x:v>
      </x:c>
      <x:c r="F909" s="69" t="str">
        <x:v>count_explicit_goal_2_initial_3_remove</x:v>
      </x:c>
      <x:c r="G909" s="69" t="str">
        <x:v>goal one from initial count two by removal; goal three from initial count two by addition</x:v>
      </x:c>
      <x:c r="H909" s="69" t="str">
        <x:v>Yes</x:v>
      </x:c>
      <x:c r="I909" s="69" t="str">
        <x:v>replace counting demonstration</x:v>
      </x:c>
      <x:c r="J909" s="69" t="str">
        <x:v>Inside bowl initially (3): yellow block [TARGET], green pencil sharpener, airplane toy without propellers; On table: blue pen; action=remove; expected final count=2.</x:v>
      </x:c>
      <x:c r="K909" s="69" t="str">
        <x:v>yellow block</x:v>
      </x:c>
      <x:c r="L909" s="69" t="str">
        <x:v>Recovery</x:v>
      </x:c>
      <x:c r="M909" s="69" t="str">
        <x:v>Pick up the green pencil sharpener and place it in the bowl.</x:v>
      </x:c>
      <x:c r="N909" s="69" t="str">
        <x:v>green pencil sharpener</x:v>
      </x:c>
      <x:c r="O909" s="69" t="str">
        <x:v>green pencil sharpener</x:v>
      </x:c>
      <x:c r="P909" s="70" t="str">
        <x:v>Explicitly grounds the goal count in a familiar transition context, so the count word itself is not held out.</x:v>
      </x:c>
    </x:row>
    <x:row r="910" ht="58" customHeight="1">
      <x:c r="A910" s="100" t="n">
        <x:v>908</x:v>
      </x:c>
      <x:c r="B910" s="69" t="str">
        <x:v>Counting</x:v>
      </x:c>
      <x:c r="C910" s="69" t="str">
        <x:v>Leave exactly two objects in the bowl.</x:v>
      </x:c>
      <x:c r="D910" s="69" t="str">
        <x:v>Explicit goal-count grounding</x:v>
      </x:c>
      <x:c r="E910" s="69" t="str">
        <x:v>final count 2; initial count 3; remove</x:v>
      </x:c>
      <x:c r="F910" s="69" t="str">
        <x:v>count_explicit_goal_2_initial_3_remove</x:v>
      </x:c>
      <x:c r="G910" s="69" t="str">
        <x:v>goal one from initial count two by removal; goal three from initial count two by addition</x:v>
      </x:c>
      <x:c r="H910" s="69" t="str">
        <x:v>Yes</x:v>
      </x:c>
      <x:c r="I910" s="69" t="str">
        <x:v>replace counting demonstration</x:v>
      </x:c>
      <x:c r="J910" s="69" t="str">
        <x:v>Inside bowl initially (3): airplane toy without propellers [TARGET], blue pen, green pencil sharpener; On table: yellow block; action=remove; expected final count=2.</x:v>
      </x:c>
      <x:c r="K910" s="69" t="str">
        <x:v>airplane toy without propellers</x:v>
      </x:c>
      <x:c r="L910" s="69" t="str">
        <x:v>Home</x:v>
      </x:c>
      <x:c r="M910" s="69" t="str">
        <x:v>Leave exactly two objects in the bowl.</x:v>
      </x:c>
      <x:c r="N910" s="69" t="str">
        <x:v>airplane toy without propellers, green pencil sharpener, blue pen, yellow block</x:v>
      </x:c>
      <x:c r="O910" s="69" t="str">
        <x:v>green pencil sharpener</x:v>
      </x:c>
      <x:c r="P910" s="70" t="str">
        <x:v>Explicitly grounds the goal count in a familiar transition context, so the count word itself is not held out.</x:v>
      </x:c>
    </x:row>
    <x:row r="911" ht="58" customHeight="1">
      <x:c r="A911" s="100" t="n">
        <x:v>909</x:v>
      </x:c>
      <x:c r="B911" s="69" t="str">
        <x:v>Counting</x:v>
      </x:c>
      <x:c r="C911" s="69" t="str">
        <x:v>Make the bowl contain exactly two objects.</x:v>
      </x:c>
      <x:c r="D911" s="69" t="str">
        <x:v>Explicit goal-count grounding</x:v>
      </x:c>
      <x:c r="E911" s="69" t="str">
        <x:v>final count 2; initial count 3; remove</x:v>
      </x:c>
      <x:c r="F911" s="69" t="str">
        <x:v>count_explicit_goal_2_initial_3_remove</x:v>
      </x:c>
      <x:c r="G911" s="69" t="str">
        <x:v>goal one from initial count two by removal; goal three from initial count two by addition</x:v>
      </x:c>
      <x:c r="H911" s="69" t="str">
        <x:v>Yes</x:v>
      </x:c>
      <x:c r="I911" s="69" t="str">
        <x:v>replace counting demonstration</x:v>
      </x:c>
      <x:c r="J911" s="69" t="str">
        <x:v>Inside bowl initially (3): blue pen [TARGET], airplane toy without propellers, green pencil sharpener; On table: yellow block; action=remove; expected final count=2.</x:v>
      </x:c>
      <x:c r="K911" s="69" t="str">
        <x:v>blue pen</x:v>
      </x:c>
      <x:c r="L911" s="69" t="str">
        <x:v>Home</x:v>
      </x:c>
      <x:c r="M911" s="69" t="str">
        <x:v>Adjust the bowl so that it contains two objects.</x:v>
      </x:c>
      <x:c r="N911" s="69" t="str">
        <x:v>blue pen, green pencil sharpener, airplane toy without propellers</x:v>
      </x:c>
      <x:c r="O911" s="69" t="str">
        <x:v>green pencil sharpener</x:v>
      </x:c>
      <x:c r="P911" s="70" t="str">
        <x:v>Explicitly grounds the goal count in a familiar transition context, so the count word itself is not held out.</x:v>
      </x:c>
    </x:row>
    <x:row r="912" ht="58" customHeight="1">
      <x:c r="A912" s="100" t="n">
        <x:v>910</x:v>
      </x:c>
      <x:c r="B912" s="69" t="str">
        <x:v>Counting</x:v>
      </x:c>
      <x:c r="C912" s="69" t="str">
        <x:v>Adjust the bowl so that it contains exactly two objects.</x:v>
      </x:c>
      <x:c r="D912" s="69" t="str">
        <x:v>Explicit goal-count grounding</x:v>
      </x:c>
      <x:c r="E912" s="69" t="str">
        <x:v>final count 2; initial count 3; remove</x:v>
      </x:c>
      <x:c r="F912" s="69" t="str">
        <x:v>count_explicit_goal_2_initial_3_remove</x:v>
      </x:c>
      <x:c r="G912" s="69" t="str">
        <x:v>goal one from initial count two by removal; goal three from initial count two by addition</x:v>
      </x:c>
      <x:c r="H912" s="69" t="str">
        <x:v>Yes</x:v>
      </x:c>
      <x:c r="I912" s="69" t="str">
        <x:v>replace counting demonstration</x:v>
      </x:c>
      <x:c r="J912" s="69" t="str">
        <x:v>Inside bowl initially (3): green pencil sharpener [TARGET], airplane toy without propellers, blue pen; On table: yellow block; action=remove; expected final count=2.</x:v>
      </x:c>
      <x:c r="K912" s="69" t="str">
        <x:v>green pencil sharpener</x:v>
      </x:c>
      <x:c r="L912" s="69" t="str">
        <x:v>Home</x:v>
      </x:c>
      <x:c r="M912" s="69" t="str">
        <x:v>Adjust the bowl so that it contains two objects.</x:v>
      </x:c>
      <x:c r="N912" s="69" t="str">
        <x:v>yellow block, green pencil sharpener, blue pen</x:v>
      </x:c>
      <x:c r="O912" s="69" t="str">
        <x:v>green pencil sharpener</x:v>
      </x:c>
      <x:c r="P912" s="70" t="str">
        <x:v>Explicitly grounds the goal count in a familiar transition context, so the count word itself is not held out.</x:v>
      </x:c>
    </x:row>
    <x:row r="913" ht="58" customHeight="1">
      <x:c r="A913" s="100" t="n">
        <x:v>911</x:v>
      </x:c>
      <x:c r="B913" s="69" t="str">
        <x:v>Counting</x:v>
      </x:c>
      <x:c r="C913" s="69" t="str">
        <x:v>Leave exactly two objects in the bowl.</x:v>
      </x:c>
      <x:c r="D913" s="69" t="str">
        <x:v>Explicit goal-count grounding</x:v>
      </x:c>
      <x:c r="E913" s="69" t="str">
        <x:v>final count 2; initial count 3; remove</x:v>
      </x:c>
      <x:c r="F913" s="69" t="str">
        <x:v>count_explicit_goal_2_initial_3_remove</x:v>
      </x:c>
      <x:c r="G913" s="69" t="str">
        <x:v>goal one from initial count two by removal; goal three from initial count two by addition</x:v>
      </x:c>
      <x:c r="H913" s="69" t="str">
        <x:v>Yes</x:v>
      </x:c>
      <x:c r="I913" s="69" t="str">
        <x:v>replace counting demonstration</x:v>
      </x:c>
      <x:c r="J913" s="69" t="str">
        <x:v>Inside bowl initially (3): yellow block [TARGET], airplane toy without propellers, blue pen; On table: green pencil sharpener; action=remove; expected final count=2.</x:v>
      </x:c>
      <x:c r="K913" s="69" t="str">
        <x:v>yellow block</x:v>
      </x:c>
      <x:c r="L913" s="69" t="str">
        <x:v>Post-Drop</x:v>
      </x:c>
      <x:c r="M913" s="69" t="str">
        <x:v>Leave exactly two objects in the bowl.</x:v>
      </x:c>
      <x:c r="N913" s="69" t="str">
        <x:v>airplane toy without propellers, green pencil sharpener, blue pen, yellow block</x:v>
      </x:c>
      <x:c r="O913" s="69" t="str">
        <x:v>green pencil sharpener</x:v>
      </x:c>
      <x:c r="P913" s="70" t="str">
        <x:v>Explicitly grounds the goal count in a familiar transition context, so the count word itself is not held out.</x:v>
      </x:c>
    </x:row>
    <x:row r="914" ht="58" customHeight="1">
      <x:c r="A914" s="100" t="n">
        <x:v>912</x:v>
      </x:c>
      <x:c r="B914" s="69" t="str">
        <x:v>Counting</x:v>
      </x:c>
      <x:c r="C914" s="69" t="str">
        <x:v>Make the bowl contain exactly two objects.</x:v>
      </x:c>
      <x:c r="D914" s="69" t="str">
        <x:v>Explicit goal-count grounding</x:v>
      </x:c>
      <x:c r="E914" s="69" t="str">
        <x:v>final count 2; initial count 3; remove</x:v>
      </x:c>
      <x:c r="F914" s="69" t="str">
        <x:v>count_explicit_goal_2_initial_3_remove</x:v>
      </x:c>
      <x:c r="G914" s="69" t="str">
        <x:v>goal one from initial count two by removal; goal three from initial count two by addition</x:v>
      </x:c>
      <x:c r="H914" s="69" t="str">
        <x:v>Yes</x:v>
      </x:c>
      <x:c r="I914" s="69" t="str">
        <x:v>replace counting demonstration</x:v>
      </x:c>
      <x:c r="J914" s="69" t="str">
        <x:v>Inside bowl initially (3): airplane toy without propellers [TARGET], green pencil sharpener, yellow block; On table: blue pen; action=remove; expected final count=2.</x:v>
      </x:c>
      <x:c r="K914" s="69" t="str">
        <x:v>airplane toy without propellers</x:v>
      </x:c>
      <x:c r="L914" s="69" t="str">
        <x:v>Post-Drop</x:v>
      </x:c>
      <x:c r="M914" s="69" t="str">
        <x:v>Leave exactly two objects in the bowl.</x:v>
      </x:c>
      <x:c r="N914" s="69" t="str">
        <x:v>blue pen, green pencil sharpener, yellow block</x:v>
      </x:c>
      <x:c r="O914" s="69" t="str">
        <x:v>green pencil sharpener</x:v>
      </x:c>
      <x:c r="P914" s="70" t="str">
        <x:v>Explicitly grounds the goal count in a familiar transition context, so the count word itself is not held out.</x:v>
      </x:c>
    </x:row>
    <x:row r="915" ht="58" customHeight="1">
      <x:c r="A915" s="100" t="n">
        <x:v>913</x:v>
      </x:c>
      <x:c r="B915" s="69" t="str">
        <x:v>Counting</x:v>
      </x:c>
      <x:c r="C915" s="69" t="str">
        <x:v>Adjust the bowl so that it contains exactly two objects.</x:v>
      </x:c>
      <x:c r="D915" s="69" t="str">
        <x:v>Explicit goal-count grounding</x:v>
      </x:c>
      <x:c r="E915" s="69" t="str">
        <x:v>final count 2; initial count 3; remove</x:v>
      </x:c>
      <x:c r="F915" s="69" t="str">
        <x:v>count_explicit_goal_2_initial_3_remove</x:v>
      </x:c>
      <x:c r="G915" s="69" t="str">
        <x:v>goal one from initial count two by removal; goal three from initial count two by addition</x:v>
      </x:c>
      <x:c r="H915" s="69" t="str">
        <x:v>Yes</x:v>
      </x:c>
      <x:c r="I915" s="69" t="str">
        <x:v>replace counting demonstration</x:v>
      </x:c>
      <x:c r="J915" s="69" t="str">
        <x:v>Inside bowl initially (3): blue pen [TARGET], green pencil sharpener, yellow block; On table: airplane toy without propellers; action=remove; expected final count=2.</x:v>
      </x:c>
      <x:c r="K915" s="69" t="str">
        <x:v>blue pen</x:v>
      </x:c>
      <x:c r="L915" s="69" t="str">
        <x:v>Post-Drop</x:v>
      </x:c>
      <x:c r="M915" s="69" t="str">
        <x:v>Make the bowl contain exactly two objects.</x:v>
      </x:c>
      <x:c r="N915" s="69" t="str">
        <x:v>yellow block, green pencil sharpener, airplane toy without propellers</x:v>
      </x:c>
      <x:c r="O915" s="69" t="str">
        <x:v>green pencil sharpener</x:v>
      </x:c>
      <x:c r="P915" s="70" t="str">
        <x:v>Explicitly grounds the goal count in a familiar transition context, so the count word itself is not held out.</x:v>
      </x:c>
    </x:row>
    <x:row r="916" ht="58" customHeight="1">
      <x:c r="A916" s="100" t="n">
        <x:v>914</x:v>
      </x:c>
      <x:c r="B916" s="69" t="str">
        <x:v>Counting</x:v>
      </x:c>
      <x:c r="C916" s="69" t="str">
        <x:v>Leave exactly two objects in the bowl.</x:v>
      </x:c>
      <x:c r="D916" s="69" t="str">
        <x:v>Explicit goal-count grounding</x:v>
      </x:c>
      <x:c r="E916" s="69" t="str">
        <x:v>final count 2; initial count 3; remove</x:v>
      </x:c>
      <x:c r="F916" s="69" t="str">
        <x:v>count_explicit_goal_2_initial_3_remove</x:v>
      </x:c>
      <x:c r="G916" s="69" t="str">
        <x:v>goal one from initial count two by removal; goal three from initial count two by addition</x:v>
      </x:c>
      <x:c r="H916" s="69" t="str">
        <x:v>Yes</x:v>
      </x:c>
      <x:c r="I916" s="69" t="str">
        <x:v>replace counting demonstration</x:v>
      </x:c>
      <x:c r="J916" s="69" t="str">
        <x:v>Inside bowl initially (3): green pencil sharpener [TARGET], blue pen, yellow block; On table: airplane toy without propellers; action=remove; expected final count=2.</x:v>
      </x:c>
      <x:c r="K916" s="69" t="str">
        <x:v>green pencil sharpener</x:v>
      </x:c>
      <x:c r="L916" s="69" t="str">
        <x:v>Recovery</x:v>
      </x:c>
      <x:c r="M916" s="69" t="str">
        <x:v>Adjust the bowl so that it contains two objects.</x:v>
      </x:c>
      <x:c r="N916" s="69" t="str">
        <x:v>blue pen, green pencil sharpener, yellow block</x:v>
      </x:c>
      <x:c r="O916" s="69" t="str">
        <x:v>green pencil sharpener</x:v>
      </x:c>
      <x:c r="P916" s="70" t="str">
        <x:v>Explicitly grounds the goal count in a familiar transition context, so the count word itself is not held out.</x:v>
      </x:c>
    </x:row>
    <x:row r="917" ht="58" customHeight="1">
      <x:c r="A917" s="100" t="n">
        <x:v>915</x:v>
      </x:c>
      <x:c r="B917" s="69" t="str">
        <x:v>Counting</x:v>
      </x:c>
      <x:c r="C917" s="69" t="str">
        <x:v>Make the bowl contain exactly two objects.</x:v>
      </x:c>
      <x:c r="D917" s="69" t="str">
        <x:v>Explicit goal-count grounding</x:v>
      </x:c>
      <x:c r="E917" s="69" t="str">
        <x:v>final count 2; initial count 3; remove</x:v>
      </x:c>
      <x:c r="F917" s="69" t="str">
        <x:v>count_explicit_goal_2_initial_3_remove</x:v>
      </x:c>
      <x:c r="G917" s="69" t="str">
        <x:v>goal one from initial count two by removal; goal three from initial count two by addition</x:v>
      </x:c>
      <x:c r="H917" s="69" t="str">
        <x:v>Yes</x:v>
      </x:c>
      <x:c r="I917" s="69" t="str">
        <x:v>replace counting demonstration</x:v>
      </x:c>
      <x:c r="J917" s="69" t="str">
        <x:v>Inside bowl initially (3): yellow block [TARGET], blue pen, green pencil sharpener; On table: airplane toy without propellers; action=remove; expected final count=2.</x:v>
      </x:c>
      <x:c r="K917" s="69" t="str">
        <x:v>yellow block</x:v>
      </x:c>
      <x:c r="L917" s="69" t="str">
        <x:v>Recovery</x:v>
      </x:c>
      <x:c r="M917" s="69" t="str">
        <x:v>Leave exactly two objects in the bowl.</x:v>
      </x:c>
      <x:c r="N917" s="69" t="str">
        <x:v>airplane toy without propellers, green pencil sharpener</x:v>
      </x:c>
      <x:c r="O917" s="69" t="str">
        <x:v>green pencil sharpener</x:v>
      </x:c>
      <x:c r="P917" s="70" t="str">
        <x:v>Explicitly grounds the goal count in a familiar transition context, so the count word itself is not held out.</x:v>
      </x:c>
    </x:row>
    <x:row r="918" ht="58" customHeight="1">
      <x:c r="A918" s="100" t="n">
        <x:v>916</x:v>
      </x:c>
      <x:c r="B918" s="69" t="str">
        <x:v>Counting</x:v>
      </x:c>
      <x:c r="C918" s="69" t="str">
        <x:v>Adjust the bowl so that it contains exactly two objects.</x:v>
      </x:c>
      <x:c r="D918" s="69" t="str">
        <x:v>Explicit goal-count grounding</x:v>
      </x:c>
      <x:c r="E918" s="69" t="str">
        <x:v>final count 2; initial count 3; remove</x:v>
      </x:c>
      <x:c r="F918" s="69" t="str">
        <x:v>count_explicit_goal_2_initial_3_remove</x:v>
      </x:c>
      <x:c r="G918" s="69" t="str">
        <x:v>goal one from initial count two by removal; goal three from initial count two by addition</x:v>
      </x:c>
      <x:c r="H918" s="69" t="str">
        <x:v>Yes</x:v>
      </x:c>
      <x:c r="I918" s="69" t="str">
        <x:v>replace counting demonstration</x:v>
      </x:c>
      <x:c r="J918" s="69" t="str">
        <x:v>Inside bowl initially (3): airplane toy without propellers [TARGET], yellow block, blue pen; On table: green pencil sharpener; action=remove; expected final count=2.</x:v>
      </x:c>
      <x:c r="K918" s="69" t="str">
        <x:v>airplane toy without propellers</x:v>
      </x:c>
      <x:c r="L918" s="69" t="str">
        <x:v>Home</x:v>
      </x:c>
      <x:c r="M918" s="69" t="str">
        <x:v>Put the green pencil sharpener in the bowl.</x:v>
      </x:c>
      <x:c r="N918" s="69" t="str">
        <x:v>airplane toy without propellers, blue pen, green pencil sharpener, yellow block</x:v>
      </x:c>
      <x:c r="O918" s="69" t="str">
        <x:v>green pencil sharpener</x:v>
      </x:c>
      <x:c r="P918" s="70" t="str">
        <x:v>Explicitly grounds the goal count in a familiar transition context, so the count word itself is not held out.</x:v>
      </x:c>
    </x:row>
    <x:row r="919" ht="58" customHeight="1">
      <x:c r="A919" s="100" t="n">
        <x:v>917</x:v>
      </x:c>
      <x:c r="B919" s="69" t="str">
        <x:v>Counting</x:v>
      </x:c>
      <x:c r="C919" s="69" t="str">
        <x:v>Leave exactly two objects in the bowl.</x:v>
      </x:c>
      <x:c r="D919" s="69" t="str">
        <x:v>Explicit goal-count grounding</x:v>
      </x:c>
      <x:c r="E919" s="69" t="str">
        <x:v>final count 2; initial count 3; remove</x:v>
      </x:c>
      <x:c r="F919" s="69" t="str">
        <x:v>count_explicit_goal_2_initial_3_remove</x:v>
      </x:c>
      <x:c r="G919" s="69" t="str">
        <x:v>goal one from initial count two by removal; goal three from initial count two by addition</x:v>
      </x:c>
      <x:c r="H919" s="69" t="str">
        <x:v>Yes</x:v>
      </x:c>
      <x:c r="I919" s="69" t="str">
        <x:v>replace counting demonstration</x:v>
      </x:c>
      <x:c r="J919" s="69" t="str">
        <x:v>Inside bowl initially (3): blue pen [TARGET], yellow block, airplane toy without propellers; On table: green pencil sharpener; action=remove; expected final count=2.</x:v>
      </x:c>
      <x:c r="K919" s="69" t="str">
        <x:v>blue pen</x:v>
      </x:c>
      <x:c r="L919" s="69" t="str">
        <x:v>Home</x:v>
      </x:c>
      <x:c r="M919" s="69" t="str">
        <x:v>Move the green pencil sharpener into the bowl.</x:v>
      </x:c>
      <x:c r="N919" s="69" t="str">
        <x:v>blue pen, yellow block, green pencil sharpener, airplane toy without propellers</x:v>
      </x:c>
      <x:c r="O919" s="69" t="str">
        <x:v>green pencil sharpener</x:v>
      </x:c>
      <x:c r="P919" s="70" t="str">
        <x:v>Explicitly grounds the goal count in a familiar transition context, so the count word itself is not held out.</x:v>
      </x:c>
    </x:row>
    <x:row r="920" ht="58" customHeight="1">
      <x:c r="A920" s="100" t="n">
        <x:v>918</x:v>
      </x:c>
      <x:c r="B920" s="69" t="str">
        <x:v>Counting</x:v>
      </x:c>
      <x:c r="C920" s="69" t="str">
        <x:v>Make the bowl contain exactly two objects.</x:v>
      </x:c>
      <x:c r="D920" s="69" t="str">
        <x:v>Explicit goal-count grounding</x:v>
      </x:c>
      <x:c r="E920" s="69" t="str">
        <x:v>final count 2; initial count 3; remove</x:v>
      </x:c>
      <x:c r="F920" s="69" t="str">
        <x:v>count_explicit_goal_2_initial_3_remove</x:v>
      </x:c>
      <x:c r="G920" s="69" t="str">
        <x:v>goal one from initial count two by removal; goal three from initial count two by addition</x:v>
      </x:c>
      <x:c r="H920" s="69" t="str">
        <x:v>Yes</x:v>
      </x:c>
      <x:c r="I920" s="69" t="str">
        <x:v>replace counting demonstration</x:v>
      </x:c>
      <x:c r="J920" s="69" t="str">
        <x:v>Inside bowl initially (3): green pencil sharpener [TARGET], yellow block, airplane toy without propellers; On table: blue pen; action=remove; expected final count=2.</x:v>
      </x:c>
      <x:c r="K920" s="69" t="str">
        <x:v>green pencil sharpener</x:v>
      </x:c>
      <x:c r="L920" s="69" t="str">
        <x:v>Home</x:v>
      </x:c>
      <x:c r="M920" s="69" t="str">
        <x:v>Pick up the green pencil sharpener and place it in the bowl.</x:v>
      </x:c>
      <x:c r="N920" s="69" t="str">
        <x:v>airplane toy without propellers, yellow block, green pencil sharpener, blue pen</x:v>
      </x:c>
      <x:c r="O920" s="69" t="str">
        <x:v>green pencil sharpener</x:v>
      </x:c>
      <x:c r="P920" s="70" t="str">
        <x:v>Explicitly grounds the goal count in a familiar transition context, so the count word itself is not held out.</x:v>
      </x:c>
    </x:row>
    <x:row r="921" ht="58" customHeight="1">
      <x:c r="A921" s="100" t="n">
        <x:v>919</x:v>
      </x:c>
      <x:c r="B921" s="69" t="str">
        <x:v>Counting</x:v>
      </x:c>
      <x:c r="C921" s="69" t="str">
        <x:v>Adjust the bowl so that it contains exactly two objects.</x:v>
      </x:c>
      <x:c r="D921" s="69" t="str">
        <x:v>Explicit goal-count grounding</x:v>
      </x:c>
      <x:c r="E921" s="69" t="str">
        <x:v>final count 2; initial count 3; remove</x:v>
      </x:c>
      <x:c r="F921" s="69" t="str">
        <x:v>count_explicit_goal_2_initial_3_remove</x:v>
      </x:c>
      <x:c r="G921" s="69" t="str">
        <x:v>goal one from initial count two by removal; goal three from initial count two by addition</x:v>
      </x:c>
      <x:c r="H921" s="69" t="str">
        <x:v>Yes</x:v>
      </x:c>
      <x:c r="I921" s="69" t="str">
        <x:v>replace counting demonstration</x:v>
      </x:c>
      <x:c r="J921" s="69" t="str">
        <x:v>Inside bowl initially (3): yellow block [TARGET], green pencil sharpener, airplane toy without propellers; On table: blue pen; action=remove; expected final count=2.</x:v>
      </x:c>
      <x:c r="K921" s="69" t="str">
        <x:v>yellow block</x:v>
      </x:c>
      <x:c r="L921" s="69" t="str">
        <x:v>Home</x:v>
      </x:c>
      <x:c r="M921" s="69" t="str">
        <x:v>Move the green pencil sharpener into the bowl.</x:v>
      </x:c>
      <x:c r="N921" s="69" t="str">
        <x:v>airplane toy without propellers, blue pen, green pencil sharpener</x:v>
      </x:c>
      <x:c r="O921" s="69" t="str">
        <x:v>green pencil sharpener</x:v>
      </x:c>
      <x:c r="P921" s="70" t="str">
        <x:v>Explicitly grounds the goal count in a familiar transition context, so the count word itself is not held out.</x:v>
      </x:c>
    </x:row>
    <x:row r="922" ht="58" customHeight="1">
      <x:c r="A922" s="100" t="n">
        <x:v>920</x:v>
      </x:c>
      <x:c r="B922" s="69" t="str">
        <x:v>Counting</x:v>
      </x:c>
      <x:c r="C922" s="69" t="str">
        <x:v>Leave exactly three objects in the bowl.</x:v>
      </x:c>
      <x:c r="D922" s="69" t="str">
        <x:v>Explicit goal-count grounding</x:v>
      </x:c>
      <x:c r="E922" s="69" t="str">
        <x:v>final count 3; initial count 4; remove</x:v>
      </x:c>
      <x:c r="F922" s="69" t="str">
        <x:v>count_explicit_goal_3_initial_4_remove</x:v>
      </x:c>
      <x:c r="G922" s="69" t="str">
        <x:v>goal one from initial count two by removal; goal three from initial count two by addition</x:v>
      </x:c>
      <x:c r="H922" s="69" t="str">
        <x:v>Yes</x:v>
      </x:c>
      <x:c r="I922" s="69" t="str">
        <x:v>replace counting demonstration</x:v>
      </x:c>
      <x:c r="J922" s="69" t="str">
        <x:v>Inside bowl initially (4): airplane toy without propellers [TARGET], blue pen, green pencil sharpener, yellow block; On table: none; action=remove; expected final count=3.</x:v>
      </x:c>
      <x:c r="K922" s="69" t="str">
        <x:v>airplane toy without propellers</x:v>
      </x:c>
      <x:c r="L922" s="69" t="str">
        <x:v>Post-Drop</x:v>
      </x:c>
      <x:c r="M922" s="69" t="str">
        <x:v>Move the green pencil sharpener into the bowl.</x:v>
      </x:c>
      <x:c r="N922" s="69" t="str">
        <x:v>blue pen, yellow block, green pencil sharpener, airplane toy without propellers</x:v>
      </x:c>
      <x:c r="O922" s="69" t="str">
        <x:v>green pencil sharpener</x:v>
      </x:c>
      <x:c r="P922" s="70" t="str">
        <x:v>Explicitly grounds the goal count in a familiar transition context, so the count word itself is not held out.</x:v>
      </x:c>
    </x:row>
    <x:row r="923" ht="58" customHeight="1">
      <x:c r="A923" s="100" t="n">
        <x:v>921</x:v>
      </x:c>
      <x:c r="B923" s="69" t="str">
        <x:v>Counting</x:v>
      </x:c>
      <x:c r="C923" s="69" t="str">
        <x:v>Make the bowl contain exactly three objects.</x:v>
      </x:c>
      <x:c r="D923" s="69" t="str">
        <x:v>Explicit goal-count grounding</x:v>
      </x:c>
      <x:c r="E923" s="69" t="str">
        <x:v>final count 3; initial count 4; remove</x:v>
      </x:c>
      <x:c r="F923" s="69" t="str">
        <x:v>count_explicit_goal_3_initial_4_remove</x:v>
      </x:c>
      <x:c r="G923" s="69" t="str">
        <x:v>goal one from initial count two by removal; goal three from initial count two by addition</x:v>
      </x:c>
      <x:c r="H923" s="69" t="str">
        <x:v>Yes</x:v>
      </x:c>
      <x:c r="I923" s="69" t="str">
        <x:v>replace counting demonstration</x:v>
      </x:c>
      <x:c r="J923" s="69" t="str">
        <x:v>Inside bowl initially (4): blue pen [TARGET], airplane toy without propellers, green pencil sharpener, yellow block; On table: none; action=remove; expected final count=3.</x:v>
      </x:c>
      <x:c r="K923" s="69" t="str">
        <x:v>blue pen</x:v>
      </x:c>
      <x:c r="L923" s="69" t="str">
        <x:v>Post-Drop</x:v>
      </x:c>
      <x:c r="M923" s="69" t="str">
        <x:v>Put the green pencil sharpener in the bowl.</x:v>
      </x:c>
      <x:c r="N923" s="69" t="str">
        <x:v>airplane toy without propellers, yellow block, green pencil sharpener, blue pen</x:v>
      </x:c>
      <x:c r="O923" s="69" t="str">
        <x:v>green pencil sharpener</x:v>
      </x:c>
      <x:c r="P923" s="70" t="str">
        <x:v>Explicitly grounds the goal count in a familiar transition context, so the count word itself is not held out.</x:v>
      </x:c>
    </x:row>
    <x:row r="924" ht="58" customHeight="1">
      <x:c r="A924" s="100" t="n">
        <x:v>922</x:v>
      </x:c>
      <x:c r="B924" s="69" t="str">
        <x:v>Counting</x:v>
      </x:c>
      <x:c r="C924" s="69" t="str">
        <x:v>Adjust the bowl so that it contains exactly three objects.</x:v>
      </x:c>
      <x:c r="D924" s="69" t="str">
        <x:v>Explicit goal-count grounding</x:v>
      </x:c>
      <x:c r="E924" s="69" t="str">
        <x:v>final count 3; initial count 4; remove</x:v>
      </x:c>
      <x:c r="F924" s="69" t="str">
        <x:v>count_explicit_goal_3_initial_4_remove</x:v>
      </x:c>
      <x:c r="G924" s="69" t="str">
        <x:v>goal one from initial count two by removal; goal three from initial count two by addition</x:v>
      </x:c>
      <x:c r="H924" s="69" t="str">
        <x:v>Yes</x:v>
      </x:c>
      <x:c r="I924" s="69" t="str">
        <x:v>replace counting demonstration</x:v>
      </x:c>
      <x:c r="J924" s="69" t="str">
        <x:v>Inside bowl initially (4): green pencil sharpener [TARGET], airplane toy without propellers, blue pen, yellow block; On table: none; action=remove; expected final count=3.</x:v>
      </x:c>
      <x:c r="K924" s="69" t="str">
        <x:v>green pencil sharpener</x:v>
      </x:c>
      <x:c r="L924" s="69" t="str">
        <x:v>Post-Drop</x:v>
      </x:c>
      <x:c r="M924" s="69" t="str">
        <x:v>Move the green pencil sharpener into the bowl.</x:v>
      </x:c>
      <x:c r="N924" s="69" t="str">
        <x:v>airplane toy without propellers, blue pen, green pencil sharpener, yellow block</x:v>
      </x:c>
      <x:c r="O924" s="69" t="str">
        <x:v>green pencil sharpener</x:v>
      </x:c>
      <x:c r="P924" s="70" t="str">
        <x:v>Explicitly grounds the goal count in a familiar transition context, so the count word itself is not held out.</x:v>
      </x:c>
    </x:row>
    <x:row r="925" ht="58" customHeight="1">
      <x:c r="A925" s="100" t="n">
        <x:v>923</x:v>
      </x:c>
      <x:c r="B925" s="69" t="str">
        <x:v>Counting</x:v>
      </x:c>
      <x:c r="C925" s="69" t="str">
        <x:v>Leave exactly three objects in the bowl.</x:v>
      </x:c>
      <x:c r="D925" s="69" t="str">
        <x:v>Explicit goal-count grounding</x:v>
      </x:c>
      <x:c r="E925" s="69" t="str">
        <x:v>final count 3; initial count 4; remove</x:v>
      </x:c>
      <x:c r="F925" s="69" t="str">
        <x:v>count_explicit_goal_3_initial_4_remove</x:v>
      </x:c>
      <x:c r="G925" s="69" t="str">
        <x:v>goal one from initial count two by removal; goal three from initial count two by addition</x:v>
      </x:c>
      <x:c r="H925" s="69" t="str">
        <x:v>Yes</x:v>
      </x:c>
      <x:c r="I925" s="69" t="str">
        <x:v>replace counting demonstration</x:v>
      </x:c>
      <x:c r="J925" s="69" t="str">
        <x:v>Inside bowl initially (4): yellow block [TARGET], airplane toy without propellers, blue pen, green pencil sharpener; On table: none; action=remove; expected final count=3.</x:v>
      </x:c>
      <x:c r="K925" s="69" t="str">
        <x:v>yellow block</x:v>
      </x:c>
      <x:c r="L925" s="69" t="str">
        <x:v>Post-Drop</x:v>
      </x:c>
      <x:c r="M925" s="69" t="str">
        <x:v>Pick up the green pencil sharpener and place it in the bowl.</x:v>
      </x:c>
      <x:c r="N925" s="69" t="str">
        <x:v>blue pen, yellow block, green pencil sharpener</x:v>
      </x:c>
      <x:c r="O925" s="69" t="str">
        <x:v>green pencil sharpener</x:v>
      </x:c>
      <x:c r="P925" s="70" t="str">
        <x:v>Explicitly grounds the goal count in a familiar transition context, so the count word itself is not held out.</x:v>
      </x:c>
    </x:row>
    <x:row r="926" ht="58" customHeight="1">
      <x:c r="A926" s="100" t="n">
        <x:v>924</x:v>
      </x:c>
      <x:c r="B926" s="69" t="str">
        <x:v>Counting</x:v>
      </x:c>
      <x:c r="C926" s="69" t="str">
        <x:v>Make the bowl contain exactly three objects.</x:v>
      </x:c>
      <x:c r="D926" s="69" t="str">
        <x:v>Explicit goal-count grounding</x:v>
      </x:c>
      <x:c r="E926" s="69" t="str">
        <x:v>final count 3; initial count 4; remove</x:v>
      </x:c>
      <x:c r="F926" s="69" t="str">
        <x:v>count_explicit_goal_3_initial_4_remove</x:v>
      </x:c>
      <x:c r="G926" s="69" t="str">
        <x:v>goal one from initial count two by removal; goal three from initial count two by addition</x:v>
      </x:c>
      <x:c r="H926" s="69" t="str">
        <x:v>Yes</x:v>
      </x:c>
      <x:c r="I926" s="69" t="str">
        <x:v>replace counting demonstration</x:v>
      </x:c>
      <x:c r="J926" s="69" t="str">
        <x:v>Inside bowl initially (4): airplane toy without propellers [TARGET], green pencil sharpener, yellow block, blue pen; On table: none; action=remove; expected final count=3.</x:v>
      </x:c>
      <x:c r="K926" s="69" t="str">
        <x:v>airplane toy without propellers</x:v>
      </x:c>
      <x:c r="L926" s="69" t="str">
        <x:v>Recovery</x:v>
      </x:c>
      <x:c r="M926" s="69" t="str">
        <x:v>Pick up the green pencil sharpener and place it in the bowl.</x:v>
      </x:c>
      <x:c r="N926" s="69" t="str">
        <x:v>airplane toy without propellers, yellow block, green pencil sharpener</x:v>
      </x:c>
      <x:c r="O926" s="69" t="str">
        <x:v>green pencil sharpener</x:v>
      </x:c>
      <x:c r="P926" s="70" t="str">
        <x:v>Explicitly grounds the goal count in a familiar transition context, so the count word itself is not held out.</x:v>
      </x:c>
    </x:row>
    <x:row r="927" ht="58" customHeight="1">
      <x:c r="A927" s="100" t="n">
        <x:v>925</x:v>
      </x:c>
      <x:c r="B927" s="69" t="str">
        <x:v>Counting</x:v>
      </x:c>
      <x:c r="C927" s="69" t="str">
        <x:v>Adjust the bowl so that it contains exactly three objects.</x:v>
      </x:c>
      <x:c r="D927" s="69" t="str">
        <x:v>Explicit goal-count grounding</x:v>
      </x:c>
      <x:c r="E927" s="69" t="str">
        <x:v>final count 3; initial count 4; remove</x:v>
      </x:c>
      <x:c r="F927" s="69" t="str">
        <x:v>count_explicit_goal_3_initial_4_remove</x:v>
      </x:c>
      <x:c r="G927" s="69" t="str">
        <x:v>goal one from initial count two by removal; goal three from initial count two by addition</x:v>
      </x:c>
      <x:c r="H927" s="69" t="str">
        <x:v>Yes</x:v>
      </x:c>
      <x:c r="I927" s="69" t="str">
        <x:v>replace counting demonstration</x:v>
      </x:c>
      <x:c r="J927" s="69" t="str">
        <x:v>Inside bowl initially (4): blue pen [TARGET], green pencil sharpener, yellow block, airplane toy without propellers; On table: none; action=remove; expected final count=3.</x:v>
      </x:c>
      <x:c r="K927" s="69" t="str">
        <x:v>blue pen</x:v>
      </x:c>
      <x:c r="L927" s="69" t="str">
        <x:v>Home</x:v>
      </x:c>
      <x:c r="M927" s="69" t="str">
        <x:v>Adjust the bowl so that it contains zero objects.</x:v>
      </x:c>
      <x:c r="N927" s="69" t="str">
        <x:v>green pencil sharpener, airplane toy without propellers, blue pen, yellow block</x:v>
      </x:c>
      <x:c r="O927" s="69" t="str">
        <x:v>green pencil sharpener</x:v>
      </x:c>
      <x:c r="P927" s="70" t="str">
        <x:v>Explicitly grounds the goal count in a familiar transition context, so the count word itself is not held out.</x:v>
      </x:c>
    </x:row>
    <x:row r="928" ht="58" customHeight="1">
      <x:c r="A928" s="100" t="n">
        <x:v>926</x:v>
      </x:c>
      <x:c r="B928" s="69" t="str">
        <x:v>Counting</x:v>
      </x:c>
      <x:c r="C928" s="69" t="str">
        <x:v>Leave exactly three objects in the bowl.</x:v>
      </x:c>
      <x:c r="D928" s="69" t="str">
        <x:v>Explicit goal-count grounding</x:v>
      </x:c>
      <x:c r="E928" s="69" t="str">
        <x:v>final count 3; initial count 4; remove</x:v>
      </x:c>
      <x:c r="F928" s="69" t="str">
        <x:v>count_explicit_goal_3_initial_4_remove</x:v>
      </x:c>
      <x:c r="G928" s="69" t="str">
        <x:v>goal one from initial count two by removal; goal three from initial count two by addition</x:v>
      </x:c>
      <x:c r="H928" s="69" t="str">
        <x:v>Yes</x:v>
      </x:c>
      <x:c r="I928" s="69" t="str">
        <x:v>replace counting demonstration</x:v>
      </x:c>
      <x:c r="J928" s="69" t="str">
        <x:v>Inside bowl initially (4): green pencil sharpener [TARGET], blue pen, yellow block, airplane toy without propellers; On table: none; action=remove; expected final count=3.</x:v>
      </x:c>
      <x:c r="K928" s="69" t="str">
        <x:v>green pencil sharpener</x:v>
      </x:c>
      <x:c r="L928" s="69" t="str">
        <x:v>Home</x:v>
      </x:c>
      <x:c r="M928" s="69" t="str">
        <x:v>Leave no objects in the bowl.</x:v>
      </x:c>
      <x:c r="N928" s="69" t="str">
        <x:v>green pencil sharpener, blue pen, yellow block</x:v>
      </x:c>
      <x:c r="O928" s="69" t="str">
        <x:v>green pencil sharpener</x:v>
      </x:c>
      <x:c r="P928" s="70" t="str">
        <x:v>Explicitly grounds the goal count in a familiar transition context, so the count word itself is not held out.</x:v>
      </x:c>
    </x:row>
    <x:row r="929" ht="58" customHeight="1">
      <x:c r="A929" s="100" t="n">
        <x:v>927</x:v>
      </x:c>
      <x:c r="B929" s="69" t="str">
        <x:v>Counting</x:v>
      </x:c>
      <x:c r="C929" s="69" t="str">
        <x:v>Make the bowl contain exactly three objects.</x:v>
      </x:c>
      <x:c r="D929" s="69" t="str">
        <x:v>Explicit goal-count grounding</x:v>
      </x:c>
      <x:c r="E929" s="69" t="str">
        <x:v>final count 3; initial count 4; remove</x:v>
      </x:c>
      <x:c r="F929" s="69" t="str">
        <x:v>count_explicit_goal_3_initial_4_remove</x:v>
      </x:c>
      <x:c r="G929" s="69" t="str">
        <x:v>goal one from initial count two by removal; goal three from initial count two by addition</x:v>
      </x:c>
      <x:c r="H929" s="69" t="str">
        <x:v>Yes</x:v>
      </x:c>
      <x:c r="I929" s="69" t="str">
        <x:v>replace counting demonstration</x:v>
      </x:c>
      <x:c r="J929" s="69" t="str">
        <x:v>Inside bowl initially (4): yellow block [TARGET], blue pen, green pencil sharpener, airplane toy without propellers; On table: none; action=remove; expected final count=3.</x:v>
      </x:c>
      <x:c r="K929" s="69" t="str">
        <x:v>yellow block</x:v>
      </x:c>
      <x:c r="L929" s="69" t="str">
        <x:v>Post-Drop</x:v>
      </x:c>
      <x:c r="M929" s="69" t="str">
        <x:v>Leave no objects in the bowl.</x:v>
      </x:c>
      <x:c r="N929" s="69" t="str">
        <x:v>green pencil sharpener, airplane toy without propellers, blue pen</x:v>
      </x:c>
      <x:c r="O929" s="69" t="str">
        <x:v>green pencil sharpener</x:v>
      </x:c>
      <x:c r="P929" s="70" t="str">
        <x:v>Explicitly grounds the goal count in a familiar transition context, so the count word itself is not held out.</x:v>
      </x:c>
    </x:row>
    <x:row r="930" ht="58" customHeight="1">
      <x:c r="A930" s="100" t="n">
        <x:v>928</x:v>
      </x:c>
      <x:c r="B930" s="69" t="str">
        <x:v>Counting</x:v>
      </x:c>
      <x:c r="C930" s="69" t="str">
        <x:v>Adjust the bowl so that it contains exactly three objects.</x:v>
      </x:c>
      <x:c r="D930" s="69" t="str">
        <x:v>Explicit goal-count grounding</x:v>
      </x:c>
      <x:c r="E930" s="69" t="str">
        <x:v>final count 3; initial count 4; remove</x:v>
      </x:c>
      <x:c r="F930" s="69" t="str">
        <x:v>count_explicit_goal_3_initial_4_remove</x:v>
      </x:c>
      <x:c r="G930" s="69" t="str">
        <x:v>goal one from initial count two by removal; goal three from initial count two by addition</x:v>
      </x:c>
      <x:c r="H930" s="69" t="str">
        <x:v>Yes</x:v>
      </x:c>
      <x:c r="I930" s="69" t="str">
        <x:v>replace counting demonstration</x:v>
      </x:c>
      <x:c r="J930" s="69" t="str">
        <x:v>Inside bowl initially (4): airplane toy without propellers [TARGET], yellow block, blue pen, green pencil sharpener; On table: none; action=remove; expected final count=3.</x:v>
      </x:c>
      <x:c r="K930" s="69" t="str">
        <x:v>airplane toy without propellers</x:v>
      </x:c>
      <x:c r="L930" s="69" t="str">
        <x:v>Post-Drop</x:v>
      </x:c>
      <x:c r="M930" s="69" t="str">
        <x:v>Make the bowl contain exactly zero objects.</x:v>
      </x:c>
      <x:c r="N930" s="69" t="str">
        <x:v>green pencil sharpener, yellow block</x:v>
      </x:c>
      <x:c r="O930" s="69" t="str">
        <x:v>green pencil sharpener</x:v>
      </x:c>
      <x:c r="P930" s="70" t="str">
        <x:v>Explicitly grounds the goal count in a familiar transition context, so the count word itself is not held out.</x:v>
      </x:c>
    </x:row>
    <x:row r="931" ht="58" customHeight="1">
      <x:c r="A931" s="100" t="n">
        <x:v>929</x:v>
      </x:c>
      <x:c r="B931" s="69" t="str">
        <x:v>Counting</x:v>
      </x:c>
      <x:c r="C931" s="69" t="str">
        <x:v>Leave exactly three objects in the bowl.</x:v>
      </x:c>
      <x:c r="D931" s="69" t="str">
        <x:v>Explicit goal-count grounding</x:v>
      </x:c>
      <x:c r="E931" s="69" t="str">
        <x:v>final count 3; initial count 4; remove</x:v>
      </x:c>
      <x:c r="F931" s="69" t="str">
        <x:v>count_explicit_goal_3_initial_4_remove</x:v>
      </x:c>
      <x:c r="G931" s="69" t="str">
        <x:v>goal one from initial count two by removal; goal three from initial count two by addition</x:v>
      </x:c>
      <x:c r="H931" s="69" t="str">
        <x:v>Yes</x:v>
      </x:c>
      <x:c r="I931" s="69" t="str">
        <x:v>replace counting demonstration</x:v>
      </x:c>
      <x:c r="J931" s="69" t="str">
        <x:v>Inside bowl initially (4): blue pen [TARGET], yellow block, airplane toy without propellers, green pencil sharpener; On table: none; action=remove; expected final count=3.</x:v>
      </x:c>
      <x:c r="K931" s="69" t="str">
        <x:v>blue pen</x:v>
      </x:c>
      <x:c r="L931" s="69" t="str">
        <x:v>Recovery</x:v>
      </x:c>
      <x:c r="M931" s="69" t="str">
        <x:v>Make the bowl contain exactly zero objects.</x:v>
      </x:c>
      <x:c r="N931" s="69" t="str">
        <x:v>green pencil sharpener, airplane toy without propellers, yellow block</x:v>
      </x:c>
      <x:c r="O931" s="69" t="str">
        <x:v>green pencil sharpener</x:v>
      </x:c>
      <x:c r="P931" s="70" t="str">
        <x:v>Explicitly grounds the goal count in a familiar transition context, so the count word itself is not held out.</x:v>
      </x:c>
    </x:row>
    <x:row r="932" ht="58" customHeight="1">
      <x:c r="A932" s="100" t="n">
        <x:v>930</x:v>
      </x:c>
      <x:c r="B932" s="69" t="str">
        <x:v>Counting</x:v>
      </x:c>
      <x:c r="C932" s="69" t="str">
        <x:v>Make the bowl contain exactly three objects.</x:v>
      </x:c>
      <x:c r="D932" s="69" t="str">
        <x:v>Explicit goal-count grounding</x:v>
      </x:c>
      <x:c r="E932" s="69" t="str">
        <x:v>final count 3; initial count 4; remove</x:v>
      </x:c>
      <x:c r="F932" s="69" t="str">
        <x:v>count_explicit_goal_3_initial_4_remove</x:v>
      </x:c>
      <x:c r="G932" s="69" t="str">
        <x:v>goal one from initial count two by removal; goal three from initial count two by addition</x:v>
      </x:c>
      <x:c r="H932" s="69" t="str">
        <x:v>Yes</x:v>
      </x:c>
      <x:c r="I932" s="69" t="str">
        <x:v>replace counting demonstration</x:v>
      </x:c>
      <x:c r="J932" s="69" t="str">
        <x:v>Inside bowl initially (4): green pencil sharpener [TARGET], yellow block, airplane toy without propellers, blue pen; On table: none; action=remove; expected final count=3.</x:v>
      </x:c>
      <x:c r="K932" s="69" t="str">
        <x:v>green pencil sharpener</x:v>
      </x:c>
      <x:c r="L932" s="69" t="str">
        <x:v>Recovery</x:v>
      </x:c>
      <x:c r="M932" s="69" t="str">
        <x:v>Make the bowl contain exactly zero objects.</x:v>
      </x:c>
      <x:c r="N932" s="69" t="str">
        <x:v>green pencil sharpener</x:v>
      </x:c>
      <x:c r="O932" s="69" t="str">
        <x:v>green pencil sharpener</x:v>
      </x:c>
      <x:c r="P932" s="70" t="str">
        <x:v>Explicitly grounds the goal count in a familiar transition context, so the count word itself is not held out.</x:v>
      </x:c>
    </x:row>
    <x:row r="933" ht="58" customHeight="1">
      <x:c r="A933" s="100" t="n">
        <x:v>931</x:v>
      </x:c>
      <x:c r="B933" s="69" t="str">
        <x:v>Counting</x:v>
      </x:c>
      <x:c r="C933" s="69" t="str">
        <x:v>Adjust the bowl so that it contains exactly three objects.</x:v>
      </x:c>
      <x:c r="D933" s="69" t="str">
        <x:v>Explicit goal-count grounding</x:v>
      </x:c>
      <x:c r="E933" s="69" t="str">
        <x:v>final count 3; initial count 4; remove</x:v>
      </x:c>
      <x:c r="F933" s="69" t="str">
        <x:v>count_explicit_goal_3_initial_4_remove</x:v>
      </x:c>
      <x:c r="G933" s="69" t="str">
        <x:v>goal one from initial count two by removal; goal three from initial count two by addition</x:v>
      </x:c>
      <x:c r="H933" s="69" t="str">
        <x:v>Yes</x:v>
      </x:c>
      <x:c r="I933" s="69" t="str">
        <x:v>replace counting demonstration</x:v>
      </x:c>
      <x:c r="J933" s="69" t="str">
        <x:v>Inside bowl initially (4): yellow block [TARGET], green pencil sharpener, airplane toy without propellers, blue pen; On table: none; action=remove; expected final count=3.</x:v>
      </x:c>
      <x:c r="K933" s="69" t="str">
        <x:v>yellow block</x:v>
      </x:c>
      <x:c r="L933" s="69" t="str">
        <x:v>Home</x:v>
      </x:c>
      <x:c r="M933" s="69" t="str">
        <x:v>Remove the green pencil sharpener from the bowl.</x:v>
      </x:c>
      <x:c r="N933" s="69" t="str">
        <x:v>green pencil sharpener, airplane toy without propellers, blue pen, yellow block</x:v>
      </x:c>
      <x:c r="O933" s="69" t="str">
        <x:v>green pencil sharpener</x:v>
      </x:c>
      <x:c r="P933" s="70" t="str">
        <x:v>Explicitly grounds the goal count in a familiar transition context, so the count word itself is not held out.</x:v>
      </x:c>
    </x:row>
    <x:row r="934" ht="58" customHeight="1">
      <x:c r="A934" s="100" t="n">
        <x:v>932</x:v>
      </x:c>
      <x:c r="B934" s="69" t="str">
        <x:v>Counting</x:v>
      </x:c>
      <x:c r="C934" s="69" t="str">
        <x:v>Leave exactly three objects in the bowl.</x:v>
      </x:c>
      <x:c r="D934" s="69" t="str">
        <x:v>Explicit goal-count grounding</x:v>
      </x:c>
      <x:c r="E934" s="69" t="str">
        <x:v>final count 3; initial count 4; remove</x:v>
      </x:c>
      <x:c r="F934" s="69" t="str">
        <x:v>count_explicit_goal_3_initial_4_remove</x:v>
      </x:c>
      <x:c r="G934" s="69" t="str">
        <x:v>goal one from initial count two by removal; goal three from initial count two by addition</x:v>
      </x:c>
      <x:c r="H934" s="69" t="str">
        <x:v>Yes</x:v>
      </x:c>
      <x:c r="I934" s="69" t="str">
        <x:v>replace counting demonstration</x:v>
      </x:c>
      <x:c r="J934" s="69" t="str">
        <x:v>Inside bowl initially (4): airplane toy without propellers [TARGET], blue pen, green pencil sharpener, yellow block; On table: none; action=remove; expected final count=3.</x:v>
      </x:c>
      <x:c r="K934" s="69" t="str">
        <x:v>airplane toy without propellers</x:v>
      </x:c>
      <x:c r="L934" s="69" t="str">
        <x:v>Home</x:v>
      </x:c>
      <x:c r="M934" s="69" t="str">
        <x:v>Move the green pencil sharpener from the bowl to the table.</x:v>
      </x:c>
      <x:c r="N934" s="69" t="str">
        <x:v>green pencil sharpener, blue pen, airplane toy without propellers</x:v>
      </x:c>
      <x:c r="O934" s="69" t="str">
        <x:v>green pencil sharpener</x:v>
      </x:c>
      <x:c r="P934" s="70" t="str">
        <x:v>Explicitly grounds the goal count in a familiar transition context, so the count word itself is not held out.</x:v>
      </x:c>
    </x:row>
    <x:row r="935" ht="58" customHeight="1">
      <x:c r="A935" s="100" t="n">
        <x:v>933</x:v>
      </x:c>
      <x:c r="B935" s="69" t="str">
        <x:v>Counting</x:v>
      </x:c>
      <x:c r="C935" s="69" t="str">
        <x:v>Make the bowl contain exactly three objects.</x:v>
      </x:c>
      <x:c r="D935" s="69" t="str">
        <x:v>Explicit goal-count grounding</x:v>
      </x:c>
      <x:c r="E935" s="69" t="str">
        <x:v>final count 3; initial count 4; remove</x:v>
      </x:c>
      <x:c r="F935" s="69" t="str">
        <x:v>count_explicit_goal_3_initial_4_remove</x:v>
      </x:c>
      <x:c r="G935" s="69" t="str">
        <x:v>goal one from initial count two by removal; goal three from initial count two by addition</x:v>
      </x:c>
      <x:c r="H935" s="69" t="str">
        <x:v>Yes</x:v>
      </x:c>
      <x:c r="I935" s="69" t="str">
        <x:v>replace counting demonstration</x:v>
      </x:c>
      <x:c r="J935" s="69" t="str">
        <x:v>Inside bowl initially (4): blue pen [TARGET], airplane toy without propellers, green pencil sharpener, yellow block; On table: none; action=remove; expected final count=3.</x:v>
      </x:c>
      <x:c r="K935" s="69" t="str">
        <x:v>blue pen</x:v>
      </x:c>
      <x:c r="L935" s="69" t="str">
        <x:v>Home</x:v>
      </x:c>
      <x:c r="M935" s="69" t="str">
        <x:v>Move the green pencil sharpener from the bowl to the table.</x:v>
      </x:c>
      <x:c r="N935" s="69" t="str">
        <x:v>green pencil sharpener, yellow block, blue pen</x:v>
      </x:c>
      <x:c r="O935" s="69" t="str">
        <x:v>green pencil sharpener</x:v>
      </x:c>
      <x:c r="P935" s="70" t="str">
        <x:v>Explicitly grounds the goal count in a familiar transition context, so the count word itself is not held out.</x:v>
      </x:c>
    </x:row>
    <x:row r="936" ht="58" customHeight="1">
      <x:c r="A936" s="100" t="n">
        <x:v>934</x:v>
      </x:c>
      <x:c r="B936" s="69" t="str">
        <x:v>Counting</x:v>
      </x:c>
      <x:c r="C936" s="69" t="str">
        <x:v>Adjust the bowl so that it contains exactly three objects.</x:v>
      </x:c>
      <x:c r="D936" s="69" t="str">
        <x:v>Explicit goal-count grounding</x:v>
      </x:c>
      <x:c r="E936" s="69" t="str">
        <x:v>final count 3; initial count 4; remove</x:v>
      </x:c>
      <x:c r="F936" s="69" t="str">
        <x:v>count_explicit_goal_3_initial_4_remove</x:v>
      </x:c>
      <x:c r="G936" s="69" t="str">
        <x:v>goal one from initial count two by removal; goal three from initial count two by addition</x:v>
      </x:c>
      <x:c r="H936" s="69" t="str">
        <x:v>Yes</x:v>
      </x:c>
      <x:c r="I936" s="69" t="str">
        <x:v>replace counting demonstration</x:v>
      </x:c>
      <x:c r="J936" s="69" t="str">
        <x:v>Inside bowl initially (4): green pencil sharpener [TARGET], airplane toy without propellers, blue pen, yellow block; On table: none; action=remove; expected final count=3.</x:v>
      </x:c>
      <x:c r="K936" s="69" t="str">
        <x:v>green pencil sharpener</x:v>
      </x:c>
      <x:c r="L936" s="69" t="str">
        <x:v>Post-Drop</x:v>
      </x:c>
      <x:c r="M936" s="69" t="str">
        <x:v>Remove the green pencil sharpener from the bowl.</x:v>
      </x:c>
      <x:c r="N936" s="69" t="str">
        <x:v>green pencil sharpener, airplane toy without propellers, yellow block</x:v>
      </x:c>
      <x:c r="O936" s="69" t="str">
        <x:v>green pencil sharpener</x:v>
      </x:c>
      <x:c r="P936" s="70" t="str">
        <x:v>Explicitly grounds the goal count in a familiar transition context, so the count word itself is not held out.</x:v>
      </x:c>
    </x:row>
    <x:row r="937" ht="58" customHeight="1">
      <x:c r="A937" s="100" t="n">
        <x:v>935</x:v>
      </x:c>
      <x:c r="B937" s="69" t="str">
        <x:v>Counting</x:v>
      </x:c>
      <x:c r="C937" s="69" t="str">
        <x:v>Leave exactly three objects in the bowl.</x:v>
      </x:c>
      <x:c r="D937" s="69" t="str">
        <x:v>Explicit goal-count grounding</x:v>
      </x:c>
      <x:c r="E937" s="69" t="str">
        <x:v>final count 3; initial count 4; remove</x:v>
      </x:c>
      <x:c r="F937" s="69" t="str">
        <x:v>count_explicit_goal_3_initial_4_remove</x:v>
      </x:c>
      <x:c r="G937" s="69" t="str">
        <x:v>goal one from initial count two by removal; goal three from initial count two by addition</x:v>
      </x:c>
      <x:c r="H937" s="69" t="str">
        <x:v>Yes</x:v>
      </x:c>
      <x:c r="I937" s="69" t="str">
        <x:v>replace counting demonstration</x:v>
      </x:c>
      <x:c r="J937" s="69" t="str">
        <x:v>Inside bowl initially (4): yellow block [TARGET], airplane toy without propellers, blue pen, green pencil sharpener; On table: none; action=remove; expected final count=3.</x:v>
      </x:c>
      <x:c r="K937" s="69" t="str">
        <x:v>yellow block</x:v>
      </x:c>
      <x:c r="L937" s="69" t="str">
        <x:v>Post-Drop</x:v>
      </x:c>
      <x:c r="M937" s="69" t="str">
        <x:v>Move the green pencil sharpener from the bowl to the table.</x:v>
      </x:c>
      <x:c r="N937" s="69" t="str">
        <x:v>green pencil sharpener, blue pen, airplane toy without propellers, yellow block</x:v>
      </x:c>
      <x:c r="O937" s="69" t="str">
        <x:v>green pencil sharpener</x:v>
      </x:c>
      <x:c r="P937" s="70" t="str">
        <x:v>Explicitly grounds the goal count in a familiar transition context, so the count word itself is not held out.</x:v>
      </x:c>
    </x:row>
    <x:row r="938" ht="58" customHeight="1">
      <x:c r="A938" s="100" t="n">
        <x:v>936</x:v>
      </x:c>
      <x:c r="B938" s="69" t="str">
        <x:v>Counting</x:v>
      </x:c>
      <x:c r="C938" s="69" t="str">
        <x:v>Make the bowl contain exactly three objects.</x:v>
      </x:c>
      <x:c r="D938" s="69" t="str">
        <x:v>Explicit goal-count grounding</x:v>
      </x:c>
      <x:c r="E938" s="69" t="str">
        <x:v>final count 3; initial count 4; remove</x:v>
      </x:c>
      <x:c r="F938" s="69" t="str">
        <x:v>count_explicit_goal_3_initial_4_remove</x:v>
      </x:c>
      <x:c r="G938" s="69" t="str">
        <x:v>goal one from initial count two by removal; goal three from initial count two by addition</x:v>
      </x:c>
      <x:c r="H938" s="69" t="str">
        <x:v>Yes</x:v>
      </x:c>
      <x:c r="I938" s="69" t="str">
        <x:v>replace counting demonstration</x:v>
      </x:c>
      <x:c r="J938" s="69" t="str">
        <x:v>Inside bowl initially (4): airplane toy without propellers [TARGET], green pencil sharpener, yellow block, blue pen; On table: none; action=remove; expected final count=3.</x:v>
      </x:c>
      <x:c r="K938" s="69" t="str">
        <x:v>airplane toy without propellers</x:v>
      </x:c>
      <x:c r="L938" s="69" t="str">
        <x:v>Recovery</x:v>
      </x:c>
      <x:c r="M938" s="69" t="str">
        <x:v>Take the green pencil sharpener out of the bowl.</x:v>
      </x:c>
      <x:c r="N938" s="69" t="str">
        <x:v>green pencil sharpener, yellow block</x:v>
      </x:c>
      <x:c r="O938" s="69" t="str">
        <x:v>green pencil sharpener</x:v>
      </x:c>
      <x:c r="P938" s="70" t="str">
        <x:v>Explicitly grounds the goal count in a familiar transition context, so the count word itself is not held out.</x:v>
      </x:c>
    </x:row>
    <x:row r="939" ht="58" customHeight="1">
      <x:c r="A939" s="100" t="n">
        <x:v>937</x:v>
      </x:c>
      <x:c r="B939" s="69" t="str">
        <x:v>Counting</x:v>
      </x:c>
      <x:c r="C939" s="69" t="str">
        <x:v>Adjust the bowl so that it contains exactly three objects.</x:v>
      </x:c>
      <x:c r="D939" s="69" t="str">
        <x:v>Explicit goal-count grounding</x:v>
      </x:c>
      <x:c r="E939" s="69" t="str">
        <x:v>final count 3; initial count 4; remove</x:v>
      </x:c>
      <x:c r="F939" s="69" t="str">
        <x:v>count_explicit_goal_3_initial_4_remove</x:v>
      </x:c>
      <x:c r="G939" s="69" t="str">
        <x:v>goal one from initial count two by removal; goal three from initial count two by addition</x:v>
      </x:c>
      <x:c r="H939" s="69" t="str">
        <x:v>Yes</x:v>
      </x:c>
      <x:c r="I939" s="69" t="str">
        <x:v>replace counting demonstration</x:v>
      </x:c>
      <x:c r="J939" s="69" t="str">
        <x:v>Inside bowl initially (4): blue pen [TARGET], green pencil sharpener, yellow block, airplane toy without propellers; On table: none; action=remove; expected final count=3.</x:v>
      </x:c>
      <x:c r="K939" s="69" t="str">
        <x:v>blue pen</x:v>
      </x:c>
      <x:c r="L939" s="69" t="str">
        <x:v>Home</x:v>
      </x:c>
      <x:c r="M939" s="69" t="str">
        <x:v>Adjust the bowl so that it contains two objects.</x:v>
      </x:c>
      <x:c r="N939" s="69" t="str">
        <x:v>green pencil sharpener, airplane toy without propellers, blue pen, yellow block</x:v>
      </x:c>
      <x:c r="O939" s="69" t="str">
        <x:v>green pencil sharpener</x:v>
      </x:c>
      <x:c r="P939" s="70" t="str">
        <x:v>Explicitly grounds the goal count in a familiar transition context, so the count word itself is not held out.</x:v>
      </x:c>
    </x:row>
    <x:row r="940" ht="58" customHeight="1">
      <x:c r="A940" s="100" t="n">
        <x:v>938</x:v>
      </x:c>
      <x:c r="B940" s="69" t="str">
        <x:v>Counting</x:v>
      </x:c>
      <x:c r="C940" s="69" t="str">
        <x:v>Leave exactly three objects in the bowl.</x:v>
      </x:c>
      <x:c r="D940" s="69" t="str">
        <x:v>Explicit goal-count grounding</x:v>
      </x:c>
      <x:c r="E940" s="69" t="str">
        <x:v>final count 3; initial count 4; remove</x:v>
      </x:c>
      <x:c r="F940" s="69" t="str">
        <x:v>count_explicit_goal_3_initial_4_remove</x:v>
      </x:c>
      <x:c r="G940" s="69" t="str">
        <x:v>goal one from initial count two by removal; goal three from initial count two by addition</x:v>
      </x:c>
      <x:c r="H940" s="69" t="str">
        <x:v>Yes</x:v>
      </x:c>
      <x:c r="I940" s="69" t="str">
        <x:v>replace counting demonstration</x:v>
      </x:c>
      <x:c r="J940" s="69" t="str">
        <x:v>Inside bowl initially (4): green pencil sharpener [TARGET], blue pen, yellow block, airplane toy without propellers; On table: none; action=remove; expected final count=3.</x:v>
      </x:c>
      <x:c r="K940" s="69" t="str">
        <x:v>green pencil sharpener</x:v>
      </x:c>
      <x:c r="L940" s="69" t="str">
        <x:v>Home</x:v>
      </x:c>
      <x:c r="M940" s="69" t="str">
        <x:v>Adjust the bowl so that it contains two objects.</x:v>
      </x:c>
      <x:c r="N940" s="69" t="str">
        <x:v>green pencil sharpener, blue pen, yellow block, airplane toy without propellers</x:v>
      </x:c>
      <x:c r="O940" s="69" t="str">
        <x:v>green pencil sharpener</x:v>
      </x:c>
      <x:c r="P940" s="70" t="str">
        <x:v>Explicitly grounds the goal count in a familiar transition context, so the count word itself is not held out.</x:v>
      </x:c>
    </x:row>
    <x:row r="941" ht="58" customHeight="1">
      <x:c r="A941" s="100" t="n">
        <x:v>939</x:v>
      </x:c>
      <x:c r="B941" s="69" t="str">
        <x:v>Counting</x:v>
      </x:c>
      <x:c r="C941" s="69" t="str">
        <x:v>Make the bowl contain exactly three objects.</x:v>
      </x:c>
      <x:c r="D941" s="69" t="str">
        <x:v>Explicit goal-count grounding</x:v>
      </x:c>
      <x:c r="E941" s="69" t="str">
        <x:v>final count 3; initial count 4; remove</x:v>
      </x:c>
      <x:c r="F941" s="69" t="str">
        <x:v>count_explicit_goal_3_initial_4_remove</x:v>
      </x:c>
      <x:c r="G941" s="69" t="str">
        <x:v>goal one from initial count two by removal; goal three from initial count two by addition</x:v>
      </x:c>
      <x:c r="H941" s="69" t="str">
        <x:v>Yes</x:v>
      </x:c>
      <x:c r="I941" s="69" t="str">
        <x:v>replace counting demonstration</x:v>
      </x:c>
      <x:c r="J941" s="69" t="str">
        <x:v>Inside bowl initially (4): yellow block [TARGET], blue pen, green pencil sharpener, airplane toy without propellers; On table: none; action=remove; expected final count=3.</x:v>
      </x:c>
      <x:c r="K941" s="69" t="str">
        <x:v>yellow block</x:v>
      </x:c>
      <x:c r="L941" s="69" t="str">
        <x:v>Post-Drop</x:v>
      </x:c>
      <x:c r="M941" s="69" t="str">
        <x:v>Leave exactly two objects in the bowl.</x:v>
      </x:c>
      <x:c r="N941" s="69" t="str">
        <x:v>green pencil sharpener, airplane toy without propellers, yellow block, blue pen</x:v>
      </x:c>
      <x:c r="O941" s="69" t="str">
        <x:v>green pencil sharpener</x:v>
      </x:c>
      <x:c r="P941" s="70" t="str">
        <x:v>Explicitly grounds the goal count in a familiar transition context, so the count word itself is not held out.</x:v>
      </x:c>
    </x:row>
    <x:row r="942" ht="58" customHeight="1">
      <x:c r="A942" s="100" t="n">
        <x:v>940</x:v>
      </x:c>
      <x:c r="B942" s="69" t="str">
        <x:v>Counting</x:v>
      </x:c>
      <x:c r="C942" s="69" t="str">
        <x:v>Adjust the bowl so that it contains exactly three objects.</x:v>
      </x:c>
      <x:c r="D942" s="69" t="str">
        <x:v>Explicit goal-count grounding</x:v>
      </x:c>
      <x:c r="E942" s="69" t="str">
        <x:v>final count 3; initial count 4; remove</x:v>
      </x:c>
      <x:c r="F942" s="69" t="str">
        <x:v>count_explicit_goal_3_initial_4_remove</x:v>
      </x:c>
      <x:c r="G942" s="69" t="str">
        <x:v>goal one from initial count two by removal; goal three from initial count two by addition</x:v>
      </x:c>
      <x:c r="H942" s="69" t="str">
        <x:v>Yes</x:v>
      </x:c>
      <x:c r="I942" s="69" t="str">
        <x:v>replace counting demonstration</x:v>
      </x:c>
      <x:c r="J942" s="69" t="str">
        <x:v>Inside bowl initially (4): airplane toy without propellers [TARGET], yellow block, blue pen, green pencil sharpener; On table: none; action=remove; expected final count=3.</x:v>
      </x:c>
      <x:c r="K942" s="69" t="str">
        <x:v>airplane toy without propellers</x:v>
      </x:c>
      <x:c r="L942" s="69" t="str">
        <x:v>Post-Drop</x:v>
      </x:c>
      <x:c r="M942" s="69" t="str">
        <x:v>Leave exactly two objects in the bowl.</x:v>
      </x:c>
      <x:c r="N942" s="69" t="str">
        <x:v>green pencil sharpener, airplane toy without propellers, blue pen</x:v>
      </x:c>
      <x:c r="O942" s="69" t="str">
        <x:v>green pencil sharpener</x:v>
      </x:c>
      <x:c r="P942" s="70" t="str">
        <x:v>Explicitly grounds the goal count in a familiar transition context, so the count word itself is not held out.</x:v>
      </x:c>
    </x:row>
    <x:row r="943" ht="58" customHeight="1">
      <x:c r="A943" s="100" t="n">
        <x:v>941</x:v>
      </x:c>
      <x:c r="B943" s="69" t="str">
        <x:v>Counting</x:v>
      </x:c>
      <x:c r="C943" s="69" t="str">
        <x:v>Leave exactly three objects in the bowl.</x:v>
      </x:c>
      <x:c r="D943" s="69" t="str">
        <x:v>Explicit goal-count grounding</x:v>
      </x:c>
      <x:c r="E943" s="69" t="str">
        <x:v>final count 3; initial count 4; remove</x:v>
      </x:c>
      <x:c r="F943" s="69" t="str">
        <x:v>count_explicit_goal_3_initial_4_remove</x:v>
      </x:c>
      <x:c r="G943" s="69" t="str">
        <x:v>goal one from initial count two by removal; goal three from initial count two by addition</x:v>
      </x:c>
      <x:c r="H943" s="69" t="str">
        <x:v>Yes</x:v>
      </x:c>
      <x:c r="I943" s="69" t="str">
        <x:v>replace counting demonstration</x:v>
      </x:c>
      <x:c r="J943" s="69" t="str">
        <x:v>Inside bowl initially (4): blue pen [TARGET], yellow block, airplane toy without propellers, green pencil sharpener; On table: none; action=remove; expected final count=3.</x:v>
      </x:c>
      <x:c r="K943" s="69" t="str">
        <x:v>blue pen</x:v>
      </x:c>
      <x:c r="L943" s="69" t="str">
        <x:v>Post-Drop</x:v>
      </x:c>
      <x:c r="M943" s="69" t="str">
        <x:v>Leave exactly two objects in the bowl.</x:v>
      </x:c>
      <x:c r="N943" s="69" t="str">
        <x:v>green pencil sharpener, blue pen, yellow block</x:v>
      </x:c>
      <x:c r="O943" s="69" t="str">
        <x:v>green pencil sharpener</x:v>
      </x:c>
      <x:c r="P943" s="70" t="str">
        <x:v>Explicitly grounds the goal count in a familiar transition context, so the count word itself is not held out.</x:v>
      </x:c>
    </x:row>
    <x:row r="944" ht="58" customHeight="1">
      <x:c r="A944" s="100" t="n">
        <x:v>942</x:v>
      </x:c>
      <x:c r="B944" s="69" t="str">
        <x:v>Counting</x:v>
      </x:c>
      <x:c r="C944" s="69" t="str">
        <x:v>Make the bowl contain exactly three objects.</x:v>
      </x:c>
      <x:c r="D944" s="69" t="str">
        <x:v>Explicit goal-count grounding</x:v>
      </x:c>
      <x:c r="E944" s="69" t="str">
        <x:v>final count 3; initial count 4; remove</x:v>
      </x:c>
      <x:c r="F944" s="69" t="str">
        <x:v>count_explicit_goal_3_initial_4_remove</x:v>
      </x:c>
      <x:c r="G944" s="69" t="str">
        <x:v>goal one from initial count two by removal; goal three from initial count two by addition</x:v>
      </x:c>
      <x:c r="H944" s="69" t="str">
        <x:v>Yes</x:v>
      </x:c>
      <x:c r="I944" s="69" t="str">
        <x:v>replace counting demonstration</x:v>
      </x:c>
      <x:c r="J944" s="69" t="str">
        <x:v>Inside bowl initially (4): green pencil sharpener [TARGET], yellow block, airplane toy without propellers, blue pen; On table: none; action=remove; expected final count=3.</x:v>
      </x:c>
      <x:c r="K944" s="69" t="str">
        <x:v>green pencil sharpener</x:v>
      </x:c>
      <x:c r="L944" s="69" t="str">
        <x:v>Recovery</x:v>
      </x:c>
      <x:c r="M944" s="69" t="str">
        <x:v>Make the bowl contain exactly two objects.</x:v>
      </x:c>
      <x:c r="N944" s="69" t="str">
        <x:v>green pencil sharpener, airplane toy without propellers, yellow block</x:v>
      </x:c>
      <x:c r="O944" s="69" t="str">
        <x:v>green pencil sharpener</x:v>
      </x:c>
      <x:c r="P944" s="70" t="str">
        <x:v>Explicitly grounds the goal count in a familiar transition context, so the count word itself is not held out.</x:v>
      </x:c>
    </x:row>
    <x:row r="945" ht="58" customHeight="1">
      <x:c r="A945" s="100" t="n">
        <x:v>943</x:v>
      </x:c>
      <x:c r="B945" s="69" t="str">
        <x:v>Counting</x:v>
      </x:c>
      <x:c r="C945" s="69" t="str">
        <x:v>Adjust the bowl so that it contains exactly three objects.</x:v>
      </x:c>
      <x:c r="D945" s="69" t="str">
        <x:v>Explicit goal-count grounding</x:v>
      </x:c>
      <x:c r="E945" s="69" t="str">
        <x:v>final count 3; initial count 4; remove</x:v>
      </x:c>
      <x:c r="F945" s="69" t="str">
        <x:v>count_explicit_goal_3_initial_4_remove</x:v>
      </x:c>
      <x:c r="G945" s="69" t="str">
        <x:v>goal one from initial count two by removal; goal three from initial count two by addition</x:v>
      </x:c>
      <x:c r="H945" s="69" t="str">
        <x:v>Yes</x:v>
      </x:c>
      <x:c r="I945" s="69" t="str">
        <x:v>replace counting demonstration</x:v>
      </x:c>
      <x:c r="J945" s="69" t="str">
        <x:v>Inside bowl initially (4): yellow block [TARGET], green pencil sharpener, airplane toy without propellers, blue pen; On table: none; action=remove; expected final count=3.</x:v>
      </x:c>
      <x:c r="K945" s="69" t="str">
        <x:v>yellow block</x:v>
      </x:c>
      <x:c r="L945" s="69" t="str">
        <x:v>Home</x:v>
      </x:c>
      <x:c r="M945" s="69" t="str">
        <x:v>Take the green pencil sharpener out of the bowl.</x:v>
      </x:c>
      <x:c r="N945" s="69" t="str">
        <x:v>green pencil sharpener, airplane toy without propellers, blue pen, yellow block</x:v>
      </x:c>
      <x:c r="O945" s="69" t="str">
        <x:v>green pencil sharpener</x:v>
      </x:c>
      <x:c r="P945" s="70" t="str">
        <x:v>Explicitly grounds the goal count in a familiar transition context, so the count word itself is not held out.</x:v>
      </x:c>
    </x:row>
    <x:row r="946" ht="58" customHeight="1">
      <x:c r="A946" s="100" t="n">
        <x:v>944</x:v>
      </x:c>
      <x:c r="B946" s="69" t="str">
        <x:v>Counting</x:v>
      </x:c>
      <x:c r="C946" s="69" t="str">
        <x:v>Leave exactly three objects in the bowl.</x:v>
      </x:c>
      <x:c r="D946" s="69" t="str">
        <x:v>Explicit goal-count grounding</x:v>
      </x:c>
      <x:c r="E946" s="69" t="str">
        <x:v>final count 3; initial count 4; remove</x:v>
      </x:c>
      <x:c r="F946" s="69" t="str">
        <x:v>count_explicit_goal_3_initial_4_remove</x:v>
      </x:c>
      <x:c r="G946" s="69" t="str">
        <x:v>goal one from initial count two by removal; goal three from initial count two by addition</x:v>
      </x:c>
      <x:c r="H946" s="69" t="str">
        <x:v>Yes</x:v>
      </x:c>
      <x:c r="I946" s="69" t="str">
        <x:v>replace counting demonstration</x:v>
      </x:c>
      <x:c r="J946" s="69" t="str">
        <x:v>Inside bowl initially (4): airplane toy without propellers [TARGET], blue pen, green pencil sharpener, yellow block; On table: none; action=remove; expected final count=3.</x:v>
      </x:c>
      <x:c r="K946" s="69" t="str">
        <x:v>airplane toy without propellers</x:v>
      </x:c>
      <x:c r="L946" s="69" t="str">
        <x:v>Home</x:v>
      </x:c>
      <x:c r="M946" s="69" t="str">
        <x:v>Take the green pencil sharpener out of the bowl.</x:v>
      </x:c>
      <x:c r="N946" s="69" t="str">
        <x:v>green pencil sharpener, airplane toy without propellers, blue pen, yellow block</x:v>
      </x:c>
      <x:c r="O946" s="69" t="str">
        <x:v>green pencil sharpener</x:v>
      </x:c>
      <x:c r="P946" s="70" t="str">
        <x:v>Explicitly grounds the goal count in a familiar transition context, so the count word itself is not held out.</x:v>
      </x:c>
    </x:row>
    <x:row r="947" ht="58" customHeight="1">
      <x:c r="A947" s="100" t="n">
        <x:v>945</x:v>
      </x:c>
      <x:c r="B947" s="69" t="str">
        <x:v>Counting</x:v>
      </x:c>
      <x:c r="C947" s="69" t="str">
        <x:v>Make the bowl contain exactly three objects.</x:v>
      </x:c>
      <x:c r="D947" s="69" t="str">
        <x:v>Explicit goal-count grounding</x:v>
      </x:c>
      <x:c r="E947" s="69" t="str">
        <x:v>final count 3; initial count 4; remove</x:v>
      </x:c>
      <x:c r="F947" s="69" t="str">
        <x:v>count_explicit_goal_3_initial_4_remove</x:v>
      </x:c>
      <x:c r="G947" s="69" t="str">
        <x:v>goal one from initial count two by removal; goal three from initial count two by addition</x:v>
      </x:c>
      <x:c r="H947" s="69" t="str">
        <x:v>Yes</x:v>
      </x:c>
      <x:c r="I947" s="69" t="str">
        <x:v>replace counting demonstration</x:v>
      </x:c>
      <x:c r="J947" s="69" t="str">
        <x:v>Inside bowl initially (4): blue pen [TARGET], airplane toy without propellers, green pencil sharpener, yellow block; On table: none; action=remove; expected final count=3.</x:v>
      </x:c>
      <x:c r="K947" s="69" t="str">
        <x:v>blue pen</x:v>
      </x:c>
      <x:c r="L947" s="69" t="str">
        <x:v>Home</x:v>
      </x:c>
      <x:c r="M947" s="69" t="str">
        <x:v>Move the green pencil sharpener from the bowl to the table.</x:v>
      </x:c>
      <x:c r="N947" s="69" t="str">
        <x:v>green pencil sharpener, airplane toy without propellers, blue pen, yellow block</x:v>
      </x:c>
      <x:c r="O947" s="69" t="str">
        <x:v>green pencil sharpener</x:v>
      </x:c>
      <x:c r="P947" s="70" t="str">
        <x:v>Explicitly grounds the goal count in a familiar transition context, so the count word itself is not held out.</x:v>
      </x:c>
    </x:row>
    <x:row r="948" ht="58" customHeight="1">
      <x:c r="A948" s="100" t="n">
        <x:v>946</x:v>
      </x:c>
      <x:c r="B948" s="69" t="str">
        <x:v>Counting</x:v>
      </x:c>
      <x:c r="C948" s="69" t="str">
        <x:v>Adjust the bowl so that it contains exactly three objects.</x:v>
      </x:c>
      <x:c r="D948" s="69" t="str">
        <x:v>Explicit goal-count grounding</x:v>
      </x:c>
      <x:c r="E948" s="69" t="str">
        <x:v>final count 3; initial count 4; remove</x:v>
      </x:c>
      <x:c r="F948" s="69" t="str">
        <x:v>count_explicit_goal_3_initial_4_remove</x:v>
      </x:c>
      <x:c r="G948" s="69" t="str">
        <x:v>goal one from initial count two by removal; goal three from initial count two by addition</x:v>
      </x:c>
      <x:c r="H948" s="69" t="str">
        <x:v>Yes</x:v>
      </x:c>
      <x:c r="I948" s="69" t="str">
        <x:v>replace counting demonstration</x:v>
      </x:c>
      <x:c r="J948" s="69" t="str">
        <x:v>Inside bowl initially (4): green pencil sharpener [TARGET], airplane toy without propellers, blue pen, yellow block; On table: none; action=remove; expected final count=3.</x:v>
      </x:c>
      <x:c r="K948" s="69" t="str">
        <x:v>green pencil sharpener</x:v>
      </x:c>
      <x:c r="L948" s="69" t="str">
        <x:v>Post-Drop</x:v>
      </x:c>
      <x:c r="M948" s="69" t="str">
        <x:v>Take the green pencil sharpener out of the bowl.</x:v>
      </x:c>
      <x:c r="N948" s="69" t="str">
        <x:v>green pencil sharpener, airplane toy without propellers, blue pen, yellow block</x:v>
      </x:c>
      <x:c r="O948" s="69" t="str">
        <x:v>green pencil sharpener</x:v>
      </x:c>
      <x:c r="P948" s="70" t="str">
        <x:v>Explicitly grounds the goal count in a familiar transition context, so the count word itself is not held out.</x:v>
      </x:c>
    </x:row>
    <x:row r="949" ht="58" customHeight="1">
      <x:c r="A949" s="100" t="n">
        <x:v>947</x:v>
      </x:c>
      <x:c r="B949" s="69" t="str">
        <x:v>Counting</x:v>
      </x:c>
      <x:c r="C949" s="69" t="str">
        <x:v>Leave exactly three objects in the bowl.</x:v>
      </x:c>
      <x:c r="D949" s="69" t="str">
        <x:v>Explicit goal-count grounding</x:v>
      </x:c>
      <x:c r="E949" s="69" t="str">
        <x:v>final count 3; initial count 4; remove</x:v>
      </x:c>
      <x:c r="F949" s="69" t="str">
        <x:v>count_explicit_goal_3_initial_4_remove</x:v>
      </x:c>
      <x:c r="G949" s="69" t="str">
        <x:v>goal one from initial count two by removal; goal three from initial count two by addition</x:v>
      </x:c>
      <x:c r="H949" s="69" t="str">
        <x:v>Yes</x:v>
      </x:c>
      <x:c r="I949" s="69" t="str">
        <x:v>replace counting demonstration</x:v>
      </x:c>
      <x:c r="J949" s="69" t="str">
        <x:v>Inside bowl initially (4): yellow block [TARGET], airplane toy without propellers, blue pen, green pencil sharpener; On table: none; action=remove; expected final count=3.</x:v>
      </x:c>
      <x:c r="K949" s="69" t="str">
        <x:v>yellow block</x:v>
      </x:c>
      <x:c r="L949" s="69" t="str">
        <x:v>Post-Drop</x:v>
      </x:c>
      <x:c r="M949" s="69" t="str">
        <x:v>Remove the green pencil sharpener from the bowl.</x:v>
      </x:c>
      <x:c r="N949" s="69" t="str">
        <x:v>green pencil sharpener, airplane toy without propellers, blue pen, yellow block</x:v>
      </x:c>
      <x:c r="O949" s="69" t="str">
        <x:v>green pencil sharpener</x:v>
      </x:c>
      <x:c r="P949" s="70" t="str">
        <x:v>Explicitly grounds the goal count in a familiar transition context, so the count word itself is not held out.</x:v>
      </x:c>
    </x:row>
    <x:row r="950" ht="58" customHeight="1">
      <x:c r="A950" s="100" t="n">
        <x:v>948</x:v>
      </x:c>
      <x:c r="B950" s="69" t="str">
        <x:v>Counting</x:v>
      </x:c>
      <x:c r="C950" s="69" t="str">
        <x:v>Make the bowl contain exactly three objects.</x:v>
      </x:c>
      <x:c r="D950" s="69" t="str">
        <x:v>Explicit goal-count grounding</x:v>
      </x:c>
      <x:c r="E950" s="69" t="str">
        <x:v>final count 3; initial count 4; remove</x:v>
      </x:c>
      <x:c r="F950" s="69" t="str">
        <x:v>count_explicit_goal_3_initial_4_remove</x:v>
      </x:c>
      <x:c r="G950" s="69" t="str">
        <x:v>goal one from initial count two by removal; goal three from initial count two by addition</x:v>
      </x:c>
      <x:c r="H950" s="69" t="str">
        <x:v>Yes</x:v>
      </x:c>
      <x:c r="I950" s="69" t="str">
        <x:v>replace counting demonstration</x:v>
      </x:c>
      <x:c r="J950" s="69" t="str">
        <x:v>Inside bowl initially (4): airplane toy without propellers [TARGET], green pencil sharpener, yellow block, blue pen; On table: none; action=remove; expected final count=3.</x:v>
      </x:c>
      <x:c r="K950" s="69" t="str">
        <x:v>airplane toy without propellers</x:v>
      </x:c>
      <x:c r="L950" s="69" t="str">
        <x:v>Post-Drop</x:v>
      </x:c>
      <x:c r="M950" s="69" t="str">
        <x:v>Remove the green pencil sharpener from the bowl.</x:v>
      </x:c>
      <x:c r="N950" s="69" t="str">
        <x:v>green pencil sharpener, airplane toy without propellers, blue pen, yellow block</x:v>
      </x:c>
      <x:c r="O950" s="69" t="str">
        <x:v>green pencil sharpener</x:v>
      </x:c>
      <x:c r="P950" s="70" t="str">
        <x:v>Explicitly grounds the goal count in a familiar transition context, so the count word itself is not held out.</x:v>
      </x:c>
    </x:row>
    <x:row r="951" ht="58" customHeight="1">
      <x:c r="A951" s="100" t="n">
        <x:v>949</x:v>
      </x:c>
      <x:c r="B951" s="69" t="str">
        <x:v>Counting</x:v>
      </x:c>
      <x:c r="C951" s="69" t="str">
        <x:v>Adjust the bowl so that it contains exactly three objects.</x:v>
      </x:c>
      <x:c r="D951" s="69" t="str">
        <x:v>Explicit goal-count grounding</x:v>
      </x:c>
      <x:c r="E951" s="69" t="str">
        <x:v>final count 3; initial count 4; remove</x:v>
      </x:c>
      <x:c r="F951" s="69" t="str">
        <x:v>count_explicit_goal_3_initial_4_remove</x:v>
      </x:c>
      <x:c r="G951" s="69" t="str">
        <x:v>goal one from initial count two by removal; goal three from initial count two by addition</x:v>
      </x:c>
      <x:c r="H951" s="69" t="str">
        <x:v>Yes</x:v>
      </x:c>
      <x:c r="I951" s="69" t="str">
        <x:v>replace counting demonstration</x:v>
      </x:c>
      <x:c r="J951" s="69" t="str">
        <x:v>Inside bowl initially (4): blue pen [TARGET], green pencil sharpener, yellow block, airplane toy without propellers; On table: none; action=remove; expected final count=3.</x:v>
      </x:c>
      <x:c r="K951" s="69" t="str">
        <x:v>blue pen</x:v>
      </x:c>
      <x:c r="L951" s="69" t="str">
        <x:v>Recovery</x:v>
      </x:c>
      <x:c r="M951" s="69" t="str">
        <x:v>Take the green pencil sharpener out of the bowl.</x:v>
      </x:c>
      <x:c r="N951" s="69" t="str">
        <x:v>green pencil sharpener, airplane toy without propellers, blue pen, yellow block</x:v>
      </x:c>
      <x:c r="O951" s="69" t="str">
        <x:v>green pencil sharpener</x:v>
      </x:c>
      <x:c r="P951" s="70" t="str">
        <x:v>Explicitly grounds the goal count in a familiar transition context, so the count word itself is not held out.</x:v>
      </x:c>
    </x:row>
    <x:row r="952" ht="58" customHeight="1">
      <x:c r="A952" s="100" t="n">
        <x:v>950</x:v>
      </x:c>
      <x:c r="B952" s="69" t="str">
        <x:v>Counting</x:v>
      </x:c>
      <x:c r="C952" s="69" t="str">
        <x:v>Leave exactly three objects in the bowl.</x:v>
      </x:c>
      <x:c r="D952" s="69" t="str">
        <x:v>Explicit goal-count grounding</x:v>
      </x:c>
      <x:c r="E952" s="69" t="str">
        <x:v>final count 3; initial count 4; remove</x:v>
      </x:c>
      <x:c r="F952" s="69" t="str">
        <x:v>count_explicit_goal_3_initial_4_remove</x:v>
      </x:c>
      <x:c r="G952" s="69" t="str">
        <x:v>goal one from initial count two by removal; goal three from initial count two by addition</x:v>
      </x:c>
      <x:c r="H952" s="69" t="str">
        <x:v>Yes</x:v>
      </x:c>
      <x:c r="I952" s="69" t="str">
        <x:v>replace counting demonstration</x:v>
      </x:c>
      <x:c r="J952" s="69" t="str">
        <x:v>Inside bowl initially (4): green pencil sharpener [TARGET], blue pen, yellow block, airplane toy without propellers; On table: none; action=remove; expected final count=3.</x:v>
      </x:c>
      <x:c r="K952" s="69" t="str">
        <x:v>green pencil sharpener</x:v>
      </x:c>
      <x:c r="L952" s="69" t="str">
        <x:v>Home</x:v>
      </x:c>
      <x:c r="M952" s="69" t="str">
        <x:v>Move the airplane toy without propellers into the bowl.</x:v>
      </x:c>
      <x:c r="N952" s="69" t="str">
        <x:v>airplane toy without propellers, blue pen, yellow block, green pencil sharpener</x:v>
      </x:c>
      <x:c r="O952" s="69" t="str">
        <x:v>airplane toy without propellers</x:v>
      </x:c>
      <x:c r="P952" s="70" t="str">
        <x:v>Explicitly grounds the goal count in a familiar transition context, so the count word itself is not held out.</x:v>
      </x:c>
    </x:row>
    <x:row r="953" ht="58" customHeight="1">
      <x:c r="A953" s="100" t="n">
        <x:v>951</x:v>
      </x:c>
      <x:c r="B953" s="69" t="str">
        <x:v>Counting</x:v>
      </x:c>
      <x:c r="C953" s="69" t="str">
        <x:v>Make the bowl contain exactly three objects.</x:v>
      </x:c>
      <x:c r="D953" s="69" t="str">
        <x:v>Explicit goal-count grounding</x:v>
      </x:c>
      <x:c r="E953" s="69" t="str">
        <x:v>final count 3; initial count 4; remove</x:v>
      </x:c>
      <x:c r="F953" s="69" t="str">
        <x:v>count_explicit_goal_3_initial_4_remove</x:v>
      </x:c>
      <x:c r="G953" s="69" t="str">
        <x:v>goal one from initial count two by removal; goal three from initial count two by addition</x:v>
      </x:c>
      <x:c r="H953" s="69" t="str">
        <x:v>Yes</x:v>
      </x:c>
      <x:c r="I953" s="69" t="str">
        <x:v>replace counting demonstration</x:v>
      </x:c>
      <x:c r="J953" s="69" t="str">
        <x:v>Inside bowl initially (4): yellow block [TARGET], blue pen, green pencil sharpener, airplane toy without propellers; On table: none; action=remove; expected final count=3.</x:v>
      </x:c>
      <x:c r="K953" s="69" t="str">
        <x:v>yellow block</x:v>
      </x:c>
      <x:c r="L953" s="69" t="str">
        <x:v>Home</x:v>
      </x:c>
      <x:c r="M953" s="69" t="str">
        <x:v>Put the airplane toy without propellers in the bowl.</x:v>
      </x:c>
      <x:c r="N953" s="69" t="str">
        <x:v>airplane toy without propellers, blue pen, yellow block</x:v>
      </x:c>
      <x:c r="O953" s="69" t="str">
        <x:v>airplane toy without propellers</x:v>
      </x:c>
      <x:c r="P953" s="70" t="str">
        <x:v>Explicitly grounds the goal count in a familiar transition context, so the count word itself is not held out.</x:v>
      </x:c>
    </x:row>
    <x:row r="954" ht="58" customHeight="1">
      <x:c r="A954" s="100" t="n">
        <x:v>952</x:v>
      </x:c>
      <x:c r="B954" s="69" t="str">
        <x:v>Counting</x:v>
      </x:c>
      <x:c r="C954" s="69" t="str">
        <x:v>Adjust the bowl so that it contains exactly three objects.</x:v>
      </x:c>
      <x:c r="D954" s="69" t="str">
        <x:v>Explicit goal-count grounding</x:v>
      </x:c>
      <x:c r="E954" s="69" t="str">
        <x:v>final count 3; initial count 4; remove</x:v>
      </x:c>
      <x:c r="F954" s="69" t="str">
        <x:v>count_explicit_goal_3_initial_4_remove</x:v>
      </x:c>
      <x:c r="G954" s="69" t="str">
        <x:v>goal one from initial count two by removal; goal three from initial count two by addition</x:v>
      </x:c>
      <x:c r="H954" s="69" t="str">
        <x:v>Yes</x:v>
      </x:c>
      <x:c r="I954" s="69" t="str">
        <x:v>replace counting demonstration</x:v>
      </x:c>
      <x:c r="J954" s="69" t="str">
        <x:v>Inside bowl initially (4): airplane toy without propellers [TARGET], yellow block, blue pen, green pencil sharpener; On table: none; action=remove; expected final count=3.</x:v>
      </x:c>
      <x:c r="K954" s="69" t="str">
        <x:v>airplane toy without propellers</x:v>
      </x:c>
      <x:c r="L954" s="69" t="str">
        <x:v>Home</x:v>
      </x:c>
      <x:c r="M954" s="69" t="str">
        <x:v>Move the airplane toy without propellers into the bowl.</x:v>
      </x:c>
      <x:c r="N954" s="69" t="str">
        <x:v>airplane toy without propellers, green pencil sharpener</x:v>
      </x:c>
      <x:c r="O954" s="69" t="str">
        <x:v>airplane toy without propellers</x:v>
      </x:c>
      <x:c r="P954" s="70" t="str">
        <x:v>Explicitly grounds the goal count in a familiar transition context, so the count word itself is not held out.</x:v>
      </x:c>
    </x:row>
    <x:row r="955" ht="58" customHeight="1">
      <x:c r="A955" s="100" t="n">
        <x:v>953</x:v>
      </x:c>
      <x:c r="B955" s="69" t="str">
        <x:v>Counting</x:v>
      </x:c>
      <x:c r="C955" s="69" t="str">
        <x:v>Leave exactly three objects in the bowl.</x:v>
      </x:c>
      <x:c r="D955" s="69" t="str">
        <x:v>Explicit goal-count grounding</x:v>
      </x:c>
      <x:c r="E955" s="69" t="str">
        <x:v>final count 3; initial count 4; remove</x:v>
      </x:c>
      <x:c r="F955" s="69" t="str">
        <x:v>count_explicit_goal_3_initial_4_remove</x:v>
      </x:c>
      <x:c r="G955" s="69" t="str">
        <x:v>goal one from initial count two by removal; goal three from initial count two by addition</x:v>
      </x:c>
      <x:c r="H955" s="69" t="str">
        <x:v>Yes</x:v>
      </x:c>
      <x:c r="I955" s="69" t="str">
        <x:v>replace counting demonstration</x:v>
      </x:c>
      <x:c r="J955" s="69" t="str">
        <x:v>Inside bowl initially (4): blue pen [TARGET], yellow block, airplane toy without propellers, green pencil sharpener; On table: none; action=remove; expected final count=3.</x:v>
      </x:c>
      <x:c r="K955" s="69" t="str">
        <x:v>blue pen</x:v>
      </x:c>
      <x:c r="L955" s="69" t="str">
        <x:v>Post-Drop</x:v>
      </x:c>
      <x:c r="M955" s="69" t="str">
        <x:v>Put the airplane toy without propellers in the bowl.</x:v>
      </x:c>
      <x:c r="N955" s="69" t="str">
        <x:v>airplane toy without propellers, blue pen, green pencil sharpener</x:v>
      </x:c>
      <x:c r="O955" s="69" t="str">
        <x:v>airplane toy without propellers</x:v>
      </x:c>
      <x:c r="P955" s="70" t="str">
        <x:v>Explicitly grounds the goal count in a familiar transition context, so the count word itself is not held out.</x:v>
      </x:c>
    </x:row>
    <x:row r="956" ht="58" customHeight="1">
      <x:c r="A956" s="100" t="n">
        <x:v>954</x:v>
      </x:c>
      <x:c r="B956" s="69" t="str">
        <x:v>Counting</x:v>
      </x:c>
      <x:c r="C956" s="69" t="str">
        <x:v>Make the bowl contain exactly three objects.</x:v>
      </x:c>
      <x:c r="D956" s="69" t="str">
        <x:v>Explicit goal-count grounding</x:v>
      </x:c>
      <x:c r="E956" s="69" t="str">
        <x:v>final count 3; initial count 4; remove</x:v>
      </x:c>
      <x:c r="F956" s="69" t="str">
        <x:v>count_explicit_goal_3_initial_4_remove</x:v>
      </x:c>
      <x:c r="G956" s="69" t="str">
        <x:v>goal one from initial count two by removal; goal three from initial count two by addition</x:v>
      </x:c>
      <x:c r="H956" s="69" t="str">
        <x:v>Yes</x:v>
      </x:c>
      <x:c r="I956" s="69" t="str">
        <x:v>replace counting demonstration</x:v>
      </x:c>
      <x:c r="J956" s="69" t="str">
        <x:v>Inside bowl initially (4): green pencil sharpener [TARGET], yellow block, airplane toy without propellers, blue pen; On table: none; action=remove; expected final count=3.</x:v>
      </x:c>
      <x:c r="K956" s="69" t="str">
        <x:v>green pencil sharpener</x:v>
      </x:c>
      <x:c r="L956" s="69" t="str">
        <x:v>Post-Drop</x:v>
      </x:c>
      <x:c r="M956" s="69" t="str">
        <x:v>Pick up the airplane toy without propellers and place it in the bowl.</x:v>
      </x:c>
      <x:c r="N956" s="69" t="str">
        <x:v>airplane toy without propellers, yellow block</x:v>
      </x:c>
      <x:c r="O956" s="69" t="str">
        <x:v>airplane toy without propellers</x:v>
      </x:c>
      <x:c r="P956" s="70" t="str">
        <x:v>Explicitly grounds the goal count in a familiar transition context, so the count word itself is not held out.</x:v>
      </x:c>
    </x:row>
    <x:row r="957" ht="58" customHeight="1">
      <x:c r="A957" s="100" t="n">
        <x:v>955</x:v>
      </x:c>
      <x:c r="B957" s="69" t="str">
        <x:v>Counting</x:v>
      </x:c>
      <x:c r="C957" s="69" t="str">
        <x:v>Adjust the bowl so that it contains exactly three objects.</x:v>
      </x:c>
      <x:c r="D957" s="69" t="str">
        <x:v>Explicit goal-count grounding</x:v>
      </x:c>
      <x:c r="E957" s="69" t="str">
        <x:v>final count 3; initial count 4; remove</x:v>
      </x:c>
      <x:c r="F957" s="69" t="str">
        <x:v>count_explicit_goal_3_initial_4_remove</x:v>
      </x:c>
      <x:c r="G957" s="69" t="str">
        <x:v>goal one from initial count two by removal; goal three from initial count two by addition</x:v>
      </x:c>
      <x:c r="H957" s="69" t="str">
        <x:v>Yes</x:v>
      </x:c>
      <x:c r="I957" s="69" t="str">
        <x:v>replace counting demonstration</x:v>
      </x:c>
      <x:c r="J957" s="69" t="str">
        <x:v>Inside bowl initially (4): yellow block [TARGET], green pencil sharpener, airplane toy without propellers, blue pen; On table: none; action=remove; expected final count=3.</x:v>
      </x:c>
      <x:c r="K957" s="69" t="str">
        <x:v>yellow block</x:v>
      </x:c>
      <x:c r="L957" s="69" t="str">
        <x:v>Post-Drop</x:v>
      </x:c>
      <x:c r="M957" s="69" t="str">
        <x:v>Put the airplane toy without propellers in the bowl.</x:v>
      </x:c>
      <x:c r="N957" s="69" t="str">
        <x:v>airplane toy without propellers, blue pen</x:v>
      </x:c>
      <x:c r="O957" s="69" t="str">
        <x:v>airplane toy without propellers</x:v>
      </x:c>
      <x:c r="P957" s="70" t="str">
        <x:v>Explicitly grounds the goal count in a familiar transition context, so the count word itself is not held out.</x:v>
      </x:c>
    </x:row>
    <x:row r="958" ht="58" customHeight="1">
      <x:c r="A958" s="100" t="n">
        <x:v>956</x:v>
      </x:c>
      <x:c r="B958" s="69" t="str">
        <x:v>Counting</x:v>
      </x:c>
      <x:c r="C958" s="69" t="str">
        <x:v>Leave exactly three objects in the bowl.</x:v>
      </x:c>
      <x:c r="D958" s="69" t="str">
        <x:v>Explicit goal-count grounding</x:v>
      </x:c>
      <x:c r="E958" s="69" t="str">
        <x:v>final count 3; initial count 4; remove</x:v>
      </x:c>
      <x:c r="F958" s="69" t="str">
        <x:v>count_explicit_goal_3_initial_4_remove</x:v>
      </x:c>
      <x:c r="G958" s="69" t="str">
        <x:v>goal one from initial count two by removal; goal three from initial count two by addition</x:v>
      </x:c>
      <x:c r="H958" s="69" t="str">
        <x:v>Yes</x:v>
      </x:c>
      <x:c r="I958" s="69" t="str">
        <x:v>replace counting demonstration</x:v>
      </x:c>
      <x:c r="J958" s="69" t="str">
        <x:v>Inside bowl initially (4): airplane toy without propellers [TARGET], blue pen, green pencil sharpener, yellow block; On table: none; action=remove; expected final count=3.</x:v>
      </x:c>
      <x:c r="K958" s="69" t="str">
        <x:v>airplane toy without propellers</x:v>
      </x:c>
      <x:c r="L958" s="69" t="str">
        <x:v>Recovery</x:v>
      </x:c>
      <x:c r="M958" s="69" t="str">
        <x:v>Pick up the airplane toy without propellers and place it in the bowl.</x:v>
      </x:c>
      <x:c r="N958" s="69" t="str">
        <x:v>airplane toy without propellers, yellow block, green pencil sharpener</x:v>
      </x:c>
      <x:c r="O958" s="69" t="str">
        <x:v>airplane toy without propellers</x:v>
      </x:c>
      <x:c r="P958" s="70" t="str">
        <x:v>Explicitly grounds the goal count in a familiar transition context, so the count word itself is not held out.</x:v>
      </x:c>
    </x:row>
    <x:row r="959" ht="58" customHeight="1">
      <x:c r="A959" s="100" t="n">
        <x:v>957</x:v>
      </x:c>
      <x:c r="B959" s="69" t="str">
        <x:v>Counting</x:v>
      </x:c>
      <x:c r="C959" s="69" t="str">
        <x:v>Make the bowl contain exactly three objects.</x:v>
      </x:c>
      <x:c r="D959" s="69" t="str">
        <x:v>Explicit goal-count grounding</x:v>
      </x:c>
      <x:c r="E959" s="69" t="str">
        <x:v>final count 3; initial count 4; remove</x:v>
      </x:c>
      <x:c r="F959" s="69" t="str">
        <x:v>count_explicit_goal_3_initial_4_remove</x:v>
      </x:c>
      <x:c r="G959" s="69" t="str">
        <x:v>goal one from initial count two by removal; goal three from initial count two by addition</x:v>
      </x:c>
      <x:c r="H959" s="69" t="str">
        <x:v>Yes</x:v>
      </x:c>
      <x:c r="I959" s="69" t="str">
        <x:v>replace counting demonstration</x:v>
      </x:c>
      <x:c r="J959" s="69" t="str">
        <x:v>Inside bowl initially (4): blue pen [TARGET], airplane toy without propellers, green pencil sharpener, yellow block; On table: none; action=remove; expected final count=3.</x:v>
      </x:c>
      <x:c r="K959" s="69" t="str">
        <x:v>blue pen</x:v>
      </x:c>
      <x:c r="L959" s="69" t="str">
        <x:v>Recovery</x:v>
      </x:c>
      <x:c r="M959" s="69" t="str">
        <x:v>Put the airplane toy without propellers in the bowl.</x:v>
      </x:c>
      <x:c r="N959" s="69" t="str">
        <x:v>airplane toy without propellers</x:v>
      </x:c>
      <x:c r="O959" s="69" t="str">
        <x:v>airplane toy without propellers</x:v>
      </x:c>
      <x:c r="P959" s="70" t="str">
        <x:v>Explicitly grounds the goal count in a familiar transition context, so the count word itself is not held out.</x:v>
      </x:c>
    </x:row>
    <x:row r="960" ht="58" customHeight="1">
      <x:c r="A960" s="100" t="n">
        <x:v>958</x:v>
      </x:c>
      <x:c r="B960" s="69" t="str">
        <x:v>Counting</x:v>
      </x:c>
      <x:c r="C960" s="69" t="str">
        <x:v>Adjust the bowl so that it contains exactly three objects.</x:v>
      </x:c>
      <x:c r="D960" s="69" t="str">
        <x:v>Explicit goal-count grounding</x:v>
      </x:c>
      <x:c r="E960" s="69" t="str">
        <x:v>final count 3; initial count 4; remove</x:v>
      </x:c>
      <x:c r="F960" s="69" t="str">
        <x:v>count_explicit_goal_3_initial_4_remove</x:v>
      </x:c>
      <x:c r="G960" s="69" t="str">
        <x:v>goal one from initial count two by removal; goal three from initial count two by addition</x:v>
      </x:c>
      <x:c r="H960" s="69" t="str">
        <x:v>Yes</x:v>
      </x:c>
      <x:c r="I960" s="69" t="str">
        <x:v>replace counting demonstration</x:v>
      </x:c>
      <x:c r="J960" s="69" t="str">
        <x:v>Inside bowl initially (4): green pencil sharpener [TARGET], airplane toy without propellers, blue pen, yellow block; On table: none; action=remove; expected final count=3.</x:v>
      </x:c>
      <x:c r="K960" s="69" t="str">
        <x:v>green pencil sharpener</x:v>
      </x:c>
      <x:c r="L960" s="69" t="str">
        <x:v>Home</x:v>
      </x:c>
      <x:c r="M960" s="69" t="str">
        <x:v>Adjust the bowl so that it contains two objects.</x:v>
      </x:c>
      <x:c r="N960" s="69" t="str">
        <x:v>blue pen, airplane toy without propellers, yellow block, green pencil sharpener</x:v>
      </x:c>
      <x:c r="O960" s="69" t="str">
        <x:v>airplane toy without propellers</x:v>
      </x:c>
      <x:c r="P960" s="70" t="str">
        <x:v>Explicitly grounds the goal count in a familiar transition context, so the count word itself is not held out.</x:v>
      </x:c>
    </x:row>
    <x:row r="961" ht="58" customHeight="1">
      <x:c r="A961" s="100" t="n">
        <x:v>959</x:v>
      </x:c>
      <x:c r="B961" s="69" t="str">
        <x:v>Counting</x:v>
      </x:c>
      <x:c r="C961" s="69" t="str">
        <x:v>Leave exactly three objects in the bowl.</x:v>
      </x:c>
      <x:c r="D961" s="69" t="str">
        <x:v>Explicit goal-count grounding</x:v>
      </x:c>
      <x:c r="E961" s="69" t="str">
        <x:v>final count 3; initial count 4; remove</x:v>
      </x:c>
      <x:c r="F961" s="69" t="str">
        <x:v>count_explicit_goal_3_initial_4_remove</x:v>
      </x:c>
      <x:c r="G961" s="69" t="str">
        <x:v>goal one from initial count two by removal; goal three from initial count two by addition</x:v>
      </x:c>
      <x:c r="H961" s="69" t="str">
        <x:v>Yes</x:v>
      </x:c>
      <x:c r="I961" s="69" t="str">
        <x:v>replace counting demonstration</x:v>
      </x:c>
      <x:c r="J961" s="69" t="str">
        <x:v>Inside bowl initially (4): yellow block [TARGET], airplane toy without propellers, blue pen, green pencil sharpener; On table: none; action=remove; expected final count=3.</x:v>
      </x:c>
      <x:c r="K961" s="69" t="str">
        <x:v>yellow block</x:v>
      </x:c>
      <x:c r="L961" s="69" t="str">
        <x:v>Home</x:v>
      </x:c>
      <x:c r="M961" s="69" t="str">
        <x:v>Leave exactly two objects in the bowl.</x:v>
      </x:c>
      <x:c r="N961" s="69" t="str">
        <x:v>yellow block, airplane toy without propellers, blue pen</x:v>
      </x:c>
      <x:c r="O961" s="69" t="str">
        <x:v>airplane toy without propellers</x:v>
      </x:c>
      <x:c r="P961" s="70" t="str">
        <x:v>Explicitly grounds the goal count in a familiar transition context, so the count word itself is not held out.</x:v>
      </x:c>
    </x:row>
    <x:row r="962" ht="58" customHeight="1">
      <x:c r="A962" s="100" t="n">
        <x:v>960</x:v>
      </x:c>
      <x:c r="B962" s="69" t="str">
        <x:v>Counting</x:v>
      </x:c>
      <x:c r="C962" s="69" t="str">
        <x:v>Take the airplane toy without propellers out of the bowl.</x:v>
      </x:c>
      <x:c r="D962" s="69" t="str">
        <x:v>Masked goal-count × transition composition</x:v>
      </x:c>
      <x:c r="E962" s="69" t="str">
        <x:v>direct object identity; hidden final count 1; initial count 2; remove</x:v>
      </x:c>
      <x:c r="F962" s="69" t="str">
        <x:v>count_masked_goal_1_initial_2_remove</x:v>
      </x:c>
      <x:c r="G962" s="69" t="str">
        <x:v>goal one from initial count two by removal; goal three from initial count two by addition</x:v>
      </x:c>
      <x:c r="H962" s="69" t="str">
        <x:v>Yes</x:v>
      </x:c>
      <x:c r="I962" s="69" t="str">
        <x:v>replace counting demonstration</x:v>
      </x:c>
      <x:c r="J962" s="69" t="str">
        <x:v>Inside bowl initially (2): airplane toy without propellers [TARGET], green pencil sharpener; On table: yellow block, blue pen; action=remove; expected final count=1.</x:v>
      </x:c>
      <x:c r="K962" s="69" t="str">
        <x:v>airplane toy without propellers</x:v>
      </x:c>
      <x:c r="L962" s="69" t="str">
        <x:v>Home</x:v>
      </x:c>
      <x:c r="M962" s="69" t="str">
        <x:v>Make the bowl contain exactly two objects.</x:v>
      </x:c>
      <x:c r="N962" s="69" t="str">
        <x:v>green pencil sharpener, airplane toy without propellers, yellow block</x:v>
      </x:c>
      <x:c r="O962" s="69" t="str">
        <x:v>airplane toy without propellers</x:v>
      </x:c>
      <x:c r="P962" s="70" t="str">
        <x:v>Preserves the held-out goal-count × action-direction composition while exposing the exact motor transition under a direct-name instruction.</x:v>
      </x:c>
    </x:row>
    <x:row r="963" ht="58" customHeight="1">
      <x:c r="A963" s="100" t="n">
        <x:v>961</x:v>
      </x:c>
      <x:c r="B963" s="69" t="str">
        <x:v>Counting</x:v>
      </x:c>
      <x:c r="C963" s="69" t="str">
        <x:v>Move the blue pen from the bowl to the table.</x:v>
      </x:c>
      <x:c r="D963" s="69" t="str">
        <x:v>Masked goal-count × transition composition</x:v>
      </x:c>
      <x:c r="E963" s="69" t="str">
        <x:v>direct object identity; hidden final count 1; initial count 2; remove</x:v>
      </x:c>
      <x:c r="F963" s="69" t="str">
        <x:v>count_masked_goal_1_initial_2_remove</x:v>
      </x:c>
      <x:c r="G963" s="69" t="str">
        <x:v>goal one from initial count two by removal; goal three from initial count two by addition</x:v>
      </x:c>
      <x:c r="H963" s="69" t="str">
        <x:v>Yes</x:v>
      </x:c>
      <x:c r="I963" s="69" t="str">
        <x:v>replace counting demonstration</x:v>
      </x:c>
      <x:c r="J963" s="69" t="str">
        <x:v>Inside bowl initially (2): blue pen [TARGET], green pencil sharpener; On table: yellow block, airplane toy without propellers; action=remove; expected final count=1.</x:v>
      </x:c>
      <x:c r="K963" s="69" t="str">
        <x:v>blue pen</x:v>
      </x:c>
      <x:c r="L963" s="69" t="str">
        <x:v>Post-Drop</x:v>
      </x:c>
      <x:c r="M963" s="69" t="str">
        <x:v>Make the bowl contain exactly two objects.</x:v>
      </x:c>
      <x:c r="N963" s="69" t="str">
        <x:v>blue pen, airplane toy without propellers, yellow block, green pencil sharpener</x:v>
      </x:c>
      <x:c r="O963" s="69" t="str">
        <x:v>airplane toy without propellers</x:v>
      </x:c>
      <x:c r="P963" s="70" t="str">
        <x:v>Preserves the held-out goal-count × action-direction composition while exposing the exact motor transition under a direct-name instruction.</x:v>
      </x:c>
    </x:row>
    <x:row r="964" ht="58" customHeight="1">
      <x:c r="A964" s="100" t="n">
        <x:v>962</x:v>
      </x:c>
      <x:c r="B964" s="69" t="str">
        <x:v>Counting</x:v>
      </x:c>
      <x:c r="C964" s="69" t="str">
        <x:v>Remove the green pencil sharpener from the bowl.</x:v>
      </x:c>
      <x:c r="D964" s="69" t="str">
        <x:v>Masked goal-count × transition composition</x:v>
      </x:c>
      <x:c r="E964" s="69" t="str">
        <x:v>direct object identity; hidden final count 1; initial count 2; remove</x:v>
      </x:c>
      <x:c r="F964" s="69" t="str">
        <x:v>count_masked_goal_1_initial_2_remove</x:v>
      </x:c>
      <x:c r="G964" s="69" t="str">
        <x:v>goal one from initial count two by removal; goal three from initial count two by addition</x:v>
      </x:c>
      <x:c r="H964" s="69" t="str">
        <x:v>Yes</x:v>
      </x:c>
      <x:c r="I964" s="69" t="str">
        <x:v>replace counting demonstration</x:v>
      </x:c>
      <x:c r="J964" s="69" t="str">
        <x:v>Inside bowl initially (2): green pencil sharpener [TARGET], blue pen; On table: yellow block, airplane toy without propellers; action=remove; expected final count=1.</x:v>
      </x:c>
      <x:c r="K964" s="69" t="str">
        <x:v>green pencil sharpener</x:v>
      </x:c>
      <x:c r="L964" s="69" t="str">
        <x:v>Post-Drop</x:v>
      </x:c>
      <x:c r="M964" s="69" t="str">
        <x:v>Leave exactly two objects in the bowl.</x:v>
      </x:c>
      <x:c r="N964" s="69" t="str">
        <x:v>yellow block, airplane toy without propellers, green pencil sharpener</x:v>
      </x:c>
      <x:c r="O964" s="69" t="str">
        <x:v>airplane toy without propellers</x:v>
      </x:c>
      <x:c r="P964" s="70" t="str">
        <x:v>Preserves the held-out goal-count × action-direction composition while exposing the exact motor transition under a direct-name instruction.</x:v>
      </x:c>
    </x:row>
    <x:row r="965" ht="58" customHeight="1">
      <x:c r="A965" s="100" t="n">
        <x:v>963</x:v>
      </x:c>
      <x:c r="B965" s="69" t="str">
        <x:v>Counting</x:v>
      </x:c>
      <x:c r="C965" s="69" t="str">
        <x:v>Take the yellow block out of the bowl.</x:v>
      </x:c>
      <x:c r="D965" s="69" t="str">
        <x:v>Masked goal-count × transition composition</x:v>
      </x:c>
      <x:c r="E965" s="69" t="str">
        <x:v>direct object identity; hidden final count 1; initial count 2; remove</x:v>
      </x:c>
      <x:c r="F965" s="69" t="str">
        <x:v>count_masked_goal_1_initial_2_remove</x:v>
      </x:c>
      <x:c r="G965" s="69" t="str">
        <x:v>goal one from initial count two by removal; goal three from initial count two by addition</x:v>
      </x:c>
      <x:c r="H965" s="69" t="str">
        <x:v>Yes</x:v>
      </x:c>
      <x:c r="I965" s="69" t="str">
        <x:v>replace counting demonstration</x:v>
      </x:c>
      <x:c r="J965" s="69" t="str">
        <x:v>Inside bowl initially (2): yellow block [TARGET], blue pen; On table: green pencil sharpener, airplane toy without propellers; action=remove; expected final count=1.</x:v>
      </x:c>
      <x:c r="K965" s="69" t="str">
        <x:v>yellow block</x:v>
      </x:c>
      <x:c r="L965" s="69" t="str">
        <x:v>Post-Drop</x:v>
      </x:c>
      <x:c r="M965" s="69" t="str">
        <x:v>Leave exactly two objects in the bowl.</x:v>
      </x:c>
      <x:c r="N965" s="69" t="str">
        <x:v>green pencil sharpener, airplane toy without propellers, blue pen</x:v>
      </x:c>
      <x:c r="O965" s="69" t="str">
        <x:v>airplane toy without propellers</x:v>
      </x:c>
      <x:c r="P965" s="70" t="str">
        <x:v>Preserves the held-out goal-count × action-direction composition while exposing the exact motor transition under a direct-name instruction.</x:v>
      </x:c>
    </x:row>
    <x:row r="966" ht="58" customHeight="1">
      <x:c r="A966" s="100" t="n">
        <x:v>964</x:v>
      </x:c>
      <x:c r="B966" s="69" t="str">
        <x:v>Counting</x:v>
      </x:c>
      <x:c r="C966" s="69" t="str">
        <x:v>Move the airplane toy without propellers from the bowl to the table.</x:v>
      </x:c>
      <x:c r="D966" s="69" t="str">
        <x:v>Masked goal-count × transition composition</x:v>
      </x:c>
      <x:c r="E966" s="69" t="str">
        <x:v>direct object identity; hidden final count 1; initial count 2; remove</x:v>
      </x:c>
      <x:c r="F966" s="69" t="str">
        <x:v>count_masked_goal_1_initial_2_remove</x:v>
      </x:c>
      <x:c r="G966" s="69" t="str">
        <x:v>goal one from initial count two by removal; goal three from initial count two by addition</x:v>
      </x:c>
      <x:c r="H966" s="69" t="str">
        <x:v>Yes</x:v>
      </x:c>
      <x:c r="I966" s="69" t="str">
        <x:v>replace counting demonstration</x:v>
      </x:c>
      <x:c r="J966" s="69" t="str">
        <x:v>Inside bowl initially (2): airplane toy without propellers [TARGET], yellow block; On table: blue pen, green pencil sharpener; action=remove; expected final count=1.</x:v>
      </x:c>
      <x:c r="K966" s="69" t="str">
        <x:v>airplane toy without propellers</x:v>
      </x:c>
      <x:c r="L966" s="69" t="str">
        <x:v>Recovery</x:v>
      </x:c>
      <x:c r="M966" s="69" t="str">
        <x:v>Leave exactly two objects in the bowl.</x:v>
      </x:c>
      <x:c r="N966" s="69" t="str">
        <x:v>yellow block, airplane toy without propellers, green pencil sharpener</x:v>
      </x:c>
      <x:c r="O966" s="69" t="str">
        <x:v>airplane toy without propellers</x:v>
      </x:c>
      <x:c r="P966" s="70" t="str">
        <x:v>Preserves the held-out goal-count × action-direction composition while exposing the exact motor transition under a direct-name instruction.</x:v>
      </x:c>
    </x:row>
    <x:row r="967" ht="58" customHeight="1">
      <x:c r="A967" s="100" t="n">
        <x:v>965</x:v>
      </x:c>
      <x:c r="B967" s="69" t="str">
        <x:v>Counting</x:v>
      </x:c>
      <x:c r="C967" s="69" t="str">
        <x:v>Remove the blue pen from the bowl.</x:v>
      </x:c>
      <x:c r="D967" s="69" t="str">
        <x:v>Masked goal-count × transition composition</x:v>
      </x:c>
      <x:c r="E967" s="69" t="str">
        <x:v>direct object identity; hidden final count 1; initial count 2; remove</x:v>
      </x:c>
      <x:c r="F967" s="69" t="str">
        <x:v>count_masked_goal_1_initial_2_remove</x:v>
      </x:c>
      <x:c r="G967" s="69" t="str">
        <x:v>goal one from initial count two by removal; goal three from initial count two by addition</x:v>
      </x:c>
      <x:c r="H967" s="69" t="str">
        <x:v>Yes</x:v>
      </x:c>
      <x:c r="I967" s="69" t="str">
        <x:v>replace counting demonstration</x:v>
      </x:c>
      <x:c r="J967" s="69" t="str">
        <x:v>Inside bowl initially (2): blue pen [TARGET], yellow block; On table: airplane toy without propellers, green pencil sharpener; action=remove; expected final count=1.</x:v>
      </x:c>
      <x:c r="K967" s="69" t="str">
        <x:v>blue pen</x:v>
      </x:c>
      <x:c r="L967" s="69" t="str">
        <x:v>Recovery</x:v>
      </x:c>
      <x:c r="M967" s="69" t="str">
        <x:v>Leave exactly two objects in the bowl.</x:v>
      </x:c>
      <x:c r="N967" s="69" t="str">
        <x:v>blue pen, airplane toy without propellers</x:v>
      </x:c>
      <x:c r="O967" s="69" t="str">
        <x:v>airplane toy without propellers</x:v>
      </x:c>
      <x:c r="P967" s="70" t="str">
        <x:v>Preserves the held-out goal-count × action-direction composition while exposing the exact motor transition under a direct-name instruction.</x:v>
      </x:c>
    </x:row>
    <x:row r="968" ht="58" customHeight="1">
      <x:c r="A968" s="100" t="n">
        <x:v>966</x:v>
      </x:c>
      <x:c r="B968" s="69" t="str">
        <x:v>Counting</x:v>
      </x:c>
      <x:c r="C968" s="69" t="str">
        <x:v>Take the green pencil sharpener out of the bowl.</x:v>
      </x:c>
      <x:c r="D968" s="69" t="str">
        <x:v>Masked goal-count × transition composition</x:v>
      </x:c>
      <x:c r="E968" s="69" t="str">
        <x:v>direct object identity; hidden final count 1; initial count 2; remove</x:v>
      </x:c>
      <x:c r="F968" s="69" t="str">
        <x:v>count_masked_goal_1_initial_2_remove</x:v>
      </x:c>
      <x:c r="G968" s="69" t="str">
        <x:v>goal one from initial count two by removal; goal three from initial count two by addition</x:v>
      </x:c>
      <x:c r="H968" s="69" t="str">
        <x:v>Yes</x:v>
      </x:c>
      <x:c r="I968" s="69" t="str">
        <x:v>replace counting demonstration</x:v>
      </x:c>
      <x:c r="J968" s="69" t="str">
        <x:v>Inside bowl initially (2): green pencil sharpener [TARGET], yellow block; On table: airplane toy without propellers, blue pen; action=remove; expected final count=1.</x:v>
      </x:c>
      <x:c r="K968" s="69" t="str">
        <x:v>green pencil sharpener</x:v>
      </x:c>
      <x:c r="L968" s="69" t="str">
        <x:v>Home</x:v>
      </x:c>
      <x:c r="M968" s="69" t="str">
        <x:v>Pick up the airplane toy without propellers and place it in the bowl.</x:v>
      </x:c>
      <x:c r="N968" s="69" t="str">
        <x:v>blue pen, yellow block, airplane toy without propellers, green pencil sharpener</x:v>
      </x:c>
      <x:c r="O968" s="69" t="str">
        <x:v>airplane toy without propellers</x:v>
      </x:c>
      <x:c r="P968" s="70" t="str">
        <x:v>Preserves the held-out goal-count × action-direction composition while exposing the exact motor transition under a direct-name instruction.</x:v>
      </x:c>
    </x:row>
    <x:row r="969" ht="58" customHeight="1">
      <x:c r="A969" s="100" t="n">
        <x:v>967</x:v>
      </x:c>
      <x:c r="B969" s="69" t="str">
        <x:v>Counting</x:v>
      </x:c>
      <x:c r="C969" s="69" t="str">
        <x:v>Move the yellow block from the bowl to the table.</x:v>
      </x:c>
      <x:c r="D969" s="69" t="str">
        <x:v>Masked goal-count × transition composition</x:v>
      </x:c>
      <x:c r="E969" s="69" t="str">
        <x:v>direct object identity; hidden final count 1; initial count 2; remove</x:v>
      </x:c>
      <x:c r="F969" s="69" t="str">
        <x:v>count_masked_goal_1_initial_2_remove</x:v>
      </x:c>
      <x:c r="G969" s="69" t="str">
        <x:v>goal one from initial count two by removal; goal three from initial count two by addition</x:v>
      </x:c>
      <x:c r="H969" s="69" t="str">
        <x:v>Yes</x:v>
      </x:c>
      <x:c r="I969" s="69" t="str">
        <x:v>replace counting demonstration</x:v>
      </x:c>
      <x:c r="J969" s="69" t="str">
        <x:v>Inside bowl initially (2): yellow block [TARGET], green pencil sharpener; On table: airplane toy without propellers, blue pen; action=remove; expected final count=1.</x:v>
      </x:c>
      <x:c r="K969" s="69" t="str">
        <x:v>yellow block</x:v>
      </x:c>
      <x:c r="L969" s="69" t="str">
        <x:v>Home</x:v>
      </x:c>
      <x:c r="M969" s="69" t="str">
        <x:v>Pick up the airplane toy without propellers and place it in the bowl.</x:v>
      </x:c>
      <x:c r="N969" s="69" t="str">
        <x:v>yellow block, green pencil sharpener, airplane toy without propellers, blue pen</x:v>
      </x:c>
      <x:c r="O969" s="69" t="str">
        <x:v>airplane toy without propellers</x:v>
      </x:c>
      <x:c r="P969" s="70" t="str">
        <x:v>Preserves the held-out goal-count × action-direction composition while exposing the exact motor transition under a direct-name instruction.</x:v>
      </x:c>
    </x:row>
    <x:row r="970" ht="58" customHeight="1">
      <x:c r="A970" s="100" t="n">
        <x:v>968</x:v>
      </x:c>
      <x:c r="B970" s="69" t="str">
        <x:v>Counting</x:v>
      </x:c>
      <x:c r="C970" s="69" t="str">
        <x:v>Remove the airplane toy without propellers from the bowl.</x:v>
      </x:c>
      <x:c r="D970" s="69" t="str">
        <x:v>Masked goal-count × transition composition</x:v>
      </x:c>
      <x:c r="E970" s="69" t="str">
        <x:v>direct object identity; hidden final count 1; initial count 2; remove</x:v>
      </x:c>
      <x:c r="F970" s="69" t="str">
        <x:v>count_masked_goal_1_initial_2_remove</x:v>
      </x:c>
      <x:c r="G970" s="69" t="str">
        <x:v>goal one from initial count two by removal; goal three from initial count two by addition</x:v>
      </x:c>
      <x:c r="H970" s="69" t="str">
        <x:v>Yes</x:v>
      </x:c>
      <x:c r="I970" s="69" t="str">
        <x:v>replace counting demonstration</x:v>
      </x:c>
      <x:c r="J970" s="69" t="str">
        <x:v>Inside bowl initially (2): airplane toy without propellers [TARGET], blue pen; On table: green pencil sharpener, yellow block; action=remove; expected final count=1.</x:v>
      </x:c>
      <x:c r="K970" s="69" t="str">
        <x:v>airplane toy without propellers</x:v>
      </x:c>
      <x:c r="L970" s="69" t="str">
        <x:v>Home</x:v>
      </x:c>
      <x:c r="M970" s="69" t="str">
        <x:v>Move the airplane toy without propellers into the bowl.</x:v>
      </x:c>
      <x:c r="N970" s="69" t="str">
        <x:v>blue pen, green pencil sharpener, airplane toy without propellers, yellow block</x:v>
      </x:c>
      <x:c r="O970" s="69" t="str">
        <x:v>airplane toy without propellers</x:v>
      </x:c>
      <x:c r="P970" s="70" t="str">
        <x:v>Preserves the held-out goal-count × action-direction composition while exposing the exact motor transition under a direct-name instruction.</x:v>
      </x:c>
    </x:row>
    <x:row r="971" ht="58" customHeight="1">
      <x:c r="A971" s="100" t="n">
        <x:v>969</x:v>
      </x:c>
      <x:c r="B971" s="69" t="str">
        <x:v>Counting</x:v>
      </x:c>
      <x:c r="C971" s="69" t="str">
        <x:v>Take the blue pen out of the bowl.</x:v>
      </x:c>
      <x:c r="D971" s="69" t="str">
        <x:v>Masked goal-count × transition composition</x:v>
      </x:c>
      <x:c r="E971" s="69" t="str">
        <x:v>direct object identity; hidden final count 1; initial count 2; remove</x:v>
      </x:c>
      <x:c r="F971" s="69" t="str">
        <x:v>count_masked_goal_1_initial_2_remove</x:v>
      </x:c>
      <x:c r="G971" s="69" t="str">
        <x:v>goal one from initial count two by removal; goal three from initial count two by addition</x:v>
      </x:c>
      <x:c r="H971" s="69" t="str">
        <x:v>Yes</x:v>
      </x:c>
      <x:c r="I971" s="69" t="str">
        <x:v>replace counting demonstration</x:v>
      </x:c>
      <x:c r="J971" s="69" t="str">
        <x:v>Inside bowl initially (2): blue pen [TARGET], airplane toy without propellers; On table: green pencil sharpener, yellow block; action=remove; expected final count=1.</x:v>
      </x:c>
      <x:c r="K971" s="69" t="str">
        <x:v>blue pen</x:v>
      </x:c>
      <x:c r="L971" s="69" t="str">
        <x:v>Home</x:v>
      </x:c>
      <x:c r="M971" s="69" t="str">
        <x:v>Move the airplane toy without propellers into the bowl.</x:v>
      </x:c>
      <x:c r="N971" s="69" t="str">
        <x:v>blue pen, yellow block, airplane toy without propellers</x:v>
      </x:c>
      <x:c r="O971" s="69" t="str">
        <x:v>airplane toy without propellers</x:v>
      </x:c>
      <x:c r="P971" s="70" t="str">
        <x:v>Preserves the held-out goal-count × action-direction composition while exposing the exact motor transition under a direct-name instruction.</x:v>
      </x:c>
    </x:row>
    <x:row r="972" ht="58" customHeight="1">
      <x:c r="A972" s="100" t="n">
        <x:v>970</x:v>
      </x:c>
      <x:c r="B972" s="69" t="str">
        <x:v>Counting</x:v>
      </x:c>
      <x:c r="C972" s="69" t="str">
        <x:v>Move the green pencil sharpener from the bowl to the table.</x:v>
      </x:c>
      <x:c r="D972" s="69" t="str">
        <x:v>Masked goal-count × transition composition</x:v>
      </x:c>
      <x:c r="E972" s="69" t="str">
        <x:v>direct object identity; hidden final count 1; initial count 2; remove</x:v>
      </x:c>
      <x:c r="F972" s="69" t="str">
        <x:v>count_masked_goal_1_initial_2_remove</x:v>
      </x:c>
      <x:c r="G972" s="69" t="str">
        <x:v>goal one from initial count two by removal; goal three from initial count two by addition</x:v>
      </x:c>
      <x:c r="H972" s="69" t="str">
        <x:v>Yes</x:v>
      </x:c>
      <x:c r="I972" s="69" t="str">
        <x:v>replace counting demonstration</x:v>
      </x:c>
      <x:c r="J972" s="69" t="str">
        <x:v>Inside bowl initially (2): green pencil sharpener [TARGET], airplane toy without propellers; On table: blue pen, yellow block; action=remove; expected final count=1.</x:v>
      </x:c>
      <x:c r="K972" s="69" t="str">
        <x:v>green pencil sharpener</x:v>
      </x:c>
      <x:c r="L972" s="69" t="str">
        <x:v>Post-Drop</x:v>
      </x:c>
      <x:c r="M972" s="69" t="str">
        <x:v>Put the airplane toy without propellers in the bowl.</x:v>
      </x:c>
      <x:c r="N972" s="69" t="str">
        <x:v>yellow block, green pencil sharpener, airplane toy without propellers, blue pen</x:v>
      </x:c>
      <x:c r="O972" s="69" t="str">
        <x:v>airplane toy without propellers</x:v>
      </x:c>
      <x:c r="P972" s="70" t="str">
        <x:v>Preserves the held-out goal-count × action-direction composition while exposing the exact motor transition under a direct-name instruction.</x:v>
      </x:c>
    </x:row>
    <x:row r="973" ht="58" customHeight="1">
      <x:c r="A973" s="100" t="n">
        <x:v>971</x:v>
      </x:c>
      <x:c r="B973" s="69" t="str">
        <x:v>Counting</x:v>
      </x:c>
      <x:c r="C973" s="69" t="str">
        <x:v>Remove the yellow block from the bowl.</x:v>
      </x:c>
      <x:c r="D973" s="69" t="str">
        <x:v>Masked goal-count × transition composition</x:v>
      </x:c>
      <x:c r="E973" s="69" t="str">
        <x:v>direct object identity; hidden final count 1; initial count 2; remove</x:v>
      </x:c>
      <x:c r="F973" s="69" t="str">
        <x:v>count_masked_goal_1_initial_2_remove</x:v>
      </x:c>
      <x:c r="G973" s="69" t="str">
        <x:v>goal one from initial count two by removal; goal three from initial count two by addition</x:v>
      </x:c>
      <x:c r="H973" s="69" t="str">
        <x:v>Yes</x:v>
      </x:c>
      <x:c r="I973" s="69" t="str">
        <x:v>replace counting demonstration</x:v>
      </x:c>
      <x:c r="J973" s="69" t="str">
        <x:v>Inside bowl initially (2): yellow block [TARGET], airplane toy without propellers; On table: blue pen, green pencil sharpener; action=remove; expected final count=1.</x:v>
      </x:c>
      <x:c r="K973" s="69" t="str">
        <x:v>yellow block</x:v>
      </x:c>
      <x:c r="L973" s="69" t="str">
        <x:v>Post-Drop</x:v>
      </x:c>
      <x:c r="M973" s="69" t="str">
        <x:v>Pick up the airplane toy without propellers and place it in the bowl.</x:v>
      </x:c>
      <x:c r="N973" s="69" t="str">
        <x:v>blue pen, green pencil sharpener, airplane toy without propellers, yellow block</x:v>
      </x:c>
      <x:c r="O973" s="69" t="str">
        <x:v>airplane toy without propellers</x:v>
      </x:c>
      <x:c r="P973" s="70" t="str">
        <x:v>Preserves the held-out goal-count × action-direction composition while exposing the exact motor transition under a direct-name instruction.</x:v>
      </x:c>
    </x:row>
    <x:row r="974" ht="58" customHeight="1">
      <x:c r="A974" s="100" t="n">
        <x:v>972</x:v>
      </x:c>
      <x:c r="B974" s="69" t="str">
        <x:v>Counting</x:v>
      </x:c>
      <x:c r="C974" s="69" t="str">
        <x:v>Take the airplane toy without propellers out of the bowl.</x:v>
      </x:c>
      <x:c r="D974" s="69" t="str">
        <x:v>Masked goal-count × transition composition</x:v>
      </x:c>
      <x:c r="E974" s="69" t="str">
        <x:v>direct object identity; hidden final count 1; initial count 2; remove</x:v>
      </x:c>
      <x:c r="F974" s="69" t="str">
        <x:v>count_masked_goal_1_initial_2_remove</x:v>
      </x:c>
      <x:c r="G974" s="69" t="str">
        <x:v>goal one from initial count two by removal; goal three from initial count two by addition</x:v>
      </x:c>
      <x:c r="H974" s="69" t="str">
        <x:v>Yes</x:v>
      </x:c>
      <x:c r="I974" s="69" t="str">
        <x:v>replace counting demonstration</x:v>
      </x:c>
      <x:c r="J974" s="69" t="str">
        <x:v>Inside bowl initially (2): airplane toy without propellers [TARGET], green pencil sharpener; On table: yellow block, blue pen; action=remove; expected final count=1.</x:v>
      </x:c>
      <x:c r="K974" s="69" t="str">
        <x:v>airplane toy without propellers</x:v>
      </x:c>
      <x:c r="L974" s="69" t="str">
        <x:v>Post-Drop</x:v>
      </x:c>
      <x:c r="M974" s="69" t="str">
        <x:v>Move the airplane toy without propellers into the bowl.</x:v>
      </x:c>
      <x:c r="N974" s="69" t="str">
        <x:v>blue pen, yellow block, airplane toy without propellers, green pencil sharpener</x:v>
      </x:c>
      <x:c r="O974" s="69" t="str">
        <x:v>airplane toy without propellers</x:v>
      </x:c>
      <x:c r="P974" s="70" t="str">
        <x:v>Preserves the held-out goal-count × action-direction composition while exposing the exact motor transition under a direct-name instruction.</x:v>
      </x:c>
    </x:row>
    <x:row r="975" ht="58" customHeight="1">
      <x:c r="A975" s="100" t="n">
        <x:v>973</x:v>
      </x:c>
      <x:c r="B975" s="69" t="str">
        <x:v>Counting</x:v>
      </x:c>
      <x:c r="C975" s="69" t="str">
        <x:v>Move the blue pen from the bowl to the table.</x:v>
      </x:c>
      <x:c r="D975" s="69" t="str">
        <x:v>Masked goal-count × transition composition</x:v>
      </x:c>
      <x:c r="E975" s="69" t="str">
        <x:v>direct object identity; hidden final count 1; initial count 2; remove</x:v>
      </x:c>
      <x:c r="F975" s="69" t="str">
        <x:v>count_masked_goal_1_initial_2_remove</x:v>
      </x:c>
      <x:c r="G975" s="69" t="str">
        <x:v>goal one from initial count two by removal; goal three from initial count two by addition</x:v>
      </x:c>
      <x:c r="H975" s="69" t="str">
        <x:v>Yes</x:v>
      </x:c>
      <x:c r="I975" s="69" t="str">
        <x:v>replace counting demonstration</x:v>
      </x:c>
      <x:c r="J975" s="69" t="str">
        <x:v>Inside bowl initially (2): blue pen [TARGET], green pencil sharpener; On table: yellow block, airplane toy without propellers; action=remove; expected final count=1.</x:v>
      </x:c>
      <x:c r="K975" s="69" t="str">
        <x:v>blue pen</x:v>
      </x:c>
      <x:c r="L975" s="69" t="str">
        <x:v>Post-Drop</x:v>
      </x:c>
      <x:c r="M975" s="69" t="str">
        <x:v>Pick up the airplane toy without propellers and place it in the bowl.</x:v>
      </x:c>
      <x:c r="N975" s="69" t="str">
        <x:v>yellow block, green pencil sharpener, airplane toy without propellers</x:v>
      </x:c>
      <x:c r="O975" s="69" t="str">
        <x:v>airplane toy without propellers</x:v>
      </x:c>
      <x:c r="P975" s="70" t="str">
        <x:v>Preserves the held-out goal-count × action-direction composition while exposing the exact motor transition under a direct-name instruction.</x:v>
      </x:c>
    </x:row>
    <x:row r="976" ht="58" customHeight="1">
      <x:c r="A976" s="100" t="n">
        <x:v>974</x:v>
      </x:c>
      <x:c r="B976" s="69" t="str">
        <x:v>Counting</x:v>
      </x:c>
      <x:c r="C976" s="69" t="str">
        <x:v>Remove the green pencil sharpener from the bowl.</x:v>
      </x:c>
      <x:c r="D976" s="69" t="str">
        <x:v>Masked goal-count × transition composition</x:v>
      </x:c>
      <x:c r="E976" s="69" t="str">
        <x:v>direct object identity; hidden final count 1; initial count 2; remove</x:v>
      </x:c>
      <x:c r="F976" s="69" t="str">
        <x:v>count_masked_goal_1_initial_2_remove</x:v>
      </x:c>
      <x:c r="G976" s="69" t="str">
        <x:v>goal one from initial count two by removal; goal three from initial count two by addition</x:v>
      </x:c>
      <x:c r="H976" s="69" t="str">
        <x:v>Yes</x:v>
      </x:c>
      <x:c r="I976" s="69" t="str">
        <x:v>replace counting demonstration</x:v>
      </x:c>
      <x:c r="J976" s="69" t="str">
        <x:v>Inside bowl initially (2): green pencil sharpener [TARGET], blue pen; On table: yellow block, airplane toy without propellers; action=remove; expected final count=1.</x:v>
      </x:c>
      <x:c r="K976" s="69" t="str">
        <x:v>green pencil sharpener</x:v>
      </x:c>
      <x:c r="L976" s="69" t="str">
        <x:v>Recovery</x:v>
      </x:c>
      <x:c r="M976" s="69" t="str">
        <x:v>Put the airplane toy without propellers in the bowl.</x:v>
      </x:c>
      <x:c r="N976" s="69" t="str">
        <x:v>blue pen, green pencil sharpener, airplane toy without propellers</x:v>
      </x:c>
      <x:c r="O976" s="69" t="str">
        <x:v>airplane toy without propellers</x:v>
      </x:c>
      <x:c r="P976" s="70" t="str">
        <x:v>Preserves the held-out goal-count × action-direction composition while exposing the exact motor transition under a direct-name instruction.</x:v>
      </x:c>
    </x:row>
    <x:row r="977" ht="58" customHeight="1">
      <x:c r="A977" s="100" t="n">
        <x:v>975</x:v>
      </x:c>
      <x:c r="B977" s="69" t="str">
        <x:v>Counting</x:v>
      </x:c>
      <x:c r="C977" s="69" t="str">
        <x:v>Take the yellow block out of the bowl.</x:v>
      </x:c>
      <x:c r="D977" s="69" t="str">
        <x:v>Masked goal-count × transition composition</x:v>
      </x:c>
      <x:c r="E977" s="69" t="str">
        <x:v>direct object identity; hidden final count 1; initial count 2; remove</x:v>
      </x:c>
      <x:c r="F977" s="69" t="str">
        <x:v>count_masked_goal_1_initial_2_remove</x:v>
      </x:c>
      <x:c r="G977" s="69" t="str">
        <x:v>goal one from initial count two by removal; goal three from initial count two by addition</x:v>
      </x:c>
      <x:c r="H977" s="69" t="str">
        <x:v>Yes</x:v>
      </x:c>
      <x:c r="I977" s="69" t="str">
        <x:v>replace counting demonstration</x:v>
      </x:c>
      <x:c r="J977" s="69" t="str">
        <x:v>Inside bowl initially (2): yellow block [TARGET], blue pen; On table: green pencil sharpener, airplane toy without propellers; action=remove; expected final count=1.</x:v>
      </x:c>
      <x:c r="K977" s="69" t="str">
        <x:v>yellow block</x:v>
      </x:c>
      <x:c r="L977" s="69" t="str">
        <x:v>Home</x:v>
      </x:c>
      <x:c r="M977" s="69" t="str">
        <x:v>Leave no objects in the bowl.</x:v>
      </x:c>
      <x:c r="N977" s="69" t="str">
        <x:v>airplane toy without propellers, blue pen, yellow block, green pencil sharpener</x:v>
      </x:c>
      <x:c r="O977" s="69" t="str">
        <x:v>airplane toy without propellers</x:v>
      </x:c>
      <x:c r="P977" s="70" t="str">
        <x:v>Preserves the held-out goal-count × action-direction composition while exposing the exact motor transition under a direct-name instruction.</x:v>
      </x:c>
    </x:row>
    <x:row r="978" ht="58" customHeight="1">
      <x:c r="A978" s="100" t="n">
        <x:v>976</x:v>
      </x:c>
      <x:c r="B978" s="69" t="str">
        <x:v>Counting</x:v>
      </x:c>
      <x:c r="C978" s="69" t="str">
        <x:v>Move the airplane toy without propellers from the bowl to the table.</x:v>
      </x:c>
      <x:c r="D978" s="69" t="str">
        <x:v>Masked goal-count × transition composition</x:v>
      </x:c>
      <x:c r="E978" s="69" t="str">
        <x:v>direct object identity; hidden final count 1; initial count 2; remove</x:v>
      </x:c>
      <x:c r="F978" s="69" t="str">
        <x:v>count_masked_goal_1_initial_2_remove</x:v>
      </x:c>
      <x:c r="G978" s="69" t="str">
        <x:v>goal one from initial count two by removal; goal three from initial count two by addition</x:v>
      </x:c>
      <x:c r="H978" s="69" t="str">
        <x:v>Yes</x:v>
      </x:c>
      <x:c r="I978" s="69" t="str">
        <x:v>replace counting demonstration</x:v>
      </x:c>
      <x:c r="J978" s="69" t="str">
        <x:v>Inside bowl initially (2): airplane toy without propellers [TARGET], yellow block; On table: blue pen, green pencil sharpener; action=remove; expected final count=1.</x:v>
      </x:c>
      <x:c r="K978" s="69" t="str">
        <x:v>airplane toy without propellers</x:v>
      </x:c>
      <x:c r="L978" s="69" t="str">
        <x:v>Home</x:v>
      </x:c>
      <x:c r="M978" s="69" t="str">
        <x:v>Make the bowl contain exactly zero objects.</x:v>
      </x:c>
      <x:c r="N978" s="69" t="str">
        <x:v>airplane toy without propellers, yellow block, green pencil sharpener</x:v>
      </x:c>
      <x:c r="O978" s="69" t="str">
        <x:v>airplane toy without propellers</x:v>
      </x:c>
      <x:c r="P978" s="70" t="str">
        <x:v>Preserves the held-out goal-count × action-direction composition while exposing the exact motor transition under a direct-name instruction.</x:v>
      </x:c>
    </x:row>
    <x:row r="979" ht="58" customHeight="1">
      <x:c r="A979" s="100" t="n">
        <x:v>977</x:v>
      </x:c>
      <x:c r="B979" s="69" t="str">
        <x:v>Counting</x:v>
      </x:c>
      <x:c r="C979" s="69" t="str">
        <x:v>Remove the blue pen from the bowl.</x:v>
      </x:c>
      <x:c r="D979" s="69" t="str">
        <x:v>Masked goal-count × transition composition</x:v>
      </x:c>
      <x:c r="E979" s="69" t="str">
        <x:v>direct object identity; hidden final count 1; initial count 2; remove</x:v>
      </x:c>
      <x:c r="F979" s="69" t="str">
        <x:v>count_masked_goal_1_initial_2_remove</x:v>
      </x:c>
      <x:c r="G979" s="69" t="str">
        <x:v>goal one from initial count two by removal; goal three from initial count two by addition</x:v>
      </x:c>
      <x:c r="H979" s="69" t="str">
        <x:v>Yes</x:v>
      </x:c>
      <x:c r="I979" s="69" t="str">
        <x:v>replace counting demonstration</x:v>
      </x:c>
      <x:c r="J979" s="69" t="str">
        <x:v>Inside bowl initially (2): blue pen [TARGET], yellow block; On table: airplane toy without propellers, green pencil sharpener; action=remove; expected final count=1.</x:v>
      </x:c>
      <x:c r="K979" s="69" t="str">
        <x:v>blue pen</x:v>
      </x:c>
      <x:c r="L979" s="69" t="str">
        <x:v>Post-Drop</x:v>
      </x:c>
      <x:c r="M979" s="69" t="str">
        <x:v>Adjust the bowl so that it contains zero objects.</x:v>
      </x:c>
      <x:c r="N979" s="69" t="str">
        <x:v>airplane toy without propellers, blue pen, yellow block</x:v>
      </x:c>
      <x:c r="O979" s="69" t="str">
        <x:v>airplane toy without propellers</x:v>
      </x:c>
      <x:c r="P979" s="70" t="str">
        <x:v>Preserves the held-out goal-count × action-direction composition while exposing the exact motor transition under a direct-name instruction.</x:v>
      </x:c>
    </x:row>
    <x:row r="980" ht="58" customHeight="1">
      <x:c r="A980" s="100" t="n">
        <x:v>978</x:v>
      </x:c>
      <x:c r="B980" s="69" t="str">
        <x:v>Counting</x:v>
      </x:c>
      <x:c r="C980" s="69" t="str">
        <x:v>Take the green pencil sharpener out of the bowl.</x:v>
      </x:c>
      <x:c r="D980" s="69" t="str">
        <x:v>Masked goal-count × transition composition</x:v>
      </x:c>
      <x:c r="E980" s="69" t="str">
        <x:v>direct object identity; hidden final count 1; initial count 2; remove</x:v>
      </x:c>
      <x:c r="F980" s="69" t="str">
        <x:v>count_masked_goal_1_initial_2_remove</x:v>
      </x:c>
      <x:c r="G980" s="69" t="str">
        <x:v>goal one from initial count two by removal; goal three from initial count two by addition</x:v>
      </x:c>
      <x:c r="H980" s="69" t="str">
        <x:v>Yes</x:v>
      </x:c>
      <x:c r="I980" s="69" t="str">
        <x:v>replace counting demonstration</x:v>
      </x:c>
      <x:c r="J980" s="69" t="str">
        <x:v>Inside bowl initially (2): green pencil sharpener [TARGET], yellow block; On table: airplane toy without propellers, blue pen; action=remove; expected final count=1.</x:v>
      </x:c>
      <x:c r="K980" s="69" t="str">
        <x:v>green pencil sharpener</x:v>
      </x:c>
      <x:c r="L980" s="69" t="str">
        <x:v>Post-Drop</x:v>
      </x:c>
      <x:c r="M980" s="69" t="str">
        <x:v>Leave no objects in the bowl.</x:v>
      </x:c>
      <x:c r="N980" s="69" t="str">
        <x:v>airplane toy without propellers, green pencil sharpener</x:v>
      </x:c>
      <x:c r="O980" s="69" t="str">
        <x:v>airplane toy without propellers</x:v>
      </x:c>
      <x:c r="P980" s="70" t="str">
        <x:v>Preserves the held-out goal-count × action-direction composition while exposing the exact motor transition under a direct-name instruction.</x:v>
      </x:c>
    </x:row>
    <x:row r="981" ht="58" customHeight="1">
      <x:c r="A981" s="100" t="n">
        <x:v>979</x:v>
      </x:c>
      <x:c r="B981" s="69" t="str">
        <x:v>Counting</x:v>
      </x:c>
      <x:c r="C981" s="69" t="str">
        <x:v>Move the yellow block from the bowl to the table.</x:v>
      </x:c>
      <x:c r="D981" s="69" t="str">
        <x:v>Masked goal-count × transition composition</x:v>
      </x:c>
      <x:c r="E981" s="69" t="str">
        <x:v>direct object identity; hidden final count 1; initial count 2; remove</x:v>
      </x:c>
      <x:c r="F981" s="69" t="str">
        <x:v>count_masked_goal_1_initial_2_remove</x:v>
      </x:c>
      <x:c r="G981" s="69" t="str">
        <x:v>goal one from initial count two by removal; goal three from initial count two by addition</x:v>
      </x:c>
      <x:c r="H981" s="69" t="str">
        <x:v>Yes</x:v>
      </x:c>
      <x:c r="I981" s="69" t="str">
        <x:v>replace counting demonstration</x:v>
      </x:c>
      <x:c r="J981" s="69" t="str">
        <x:v>Inside bowl initially (2): yellow block [TARGET], green pencil sharpener; On table: airplane toy without propellers, blue pen; action=remove; expected final count=1.</x:v>
      </x:c>
      <x:c r="K981" s="69" t="str">
        <x:v>yellow block</x:v>
      </x:c>
      <x:c r="L981" s="69" t="str">
        <x:v>Recovery</x:v>
      </x:c>
      <x:c r="M981" s="69" t="str">
        <x:v>Make the bowl contain exactly zero objects.</x:v>
      </x:c>
      <x:c r="N981" s="69" t="str">
        <x:v>airplane toy without propellers, blue pen, green pencil sharpener</x:v>
      </x:c>
      <x:c r="O981" s="69" t="str">
        <x:v>airplane toy without propellers</x:v>
      </x:c>
      <x:c r="P981" s="70" t="str">
        <x:v>Preserves the held-out goal-count × action-direction composition while exposing the exact motor transition under a direct-name instruction.</x:v>
      </x:c>
    </x:row>
    <x:row r="982" ht="58" customHeight="1">
      <x:c r="A982" s="100" t="n">
        <x:v>980</x:v>
      </x:c>
      <x:c r="B982" s="69" t="str">
        <x:v>Counting</x:v>
      </x:c>
      <x:c r="C982" s="69" t="str">
        <x:v>Move the airplane toy without propellers into the bowl.</x:v>
      </x:c>
      <x:c r="D982" s="69" t="str">
        <x:v>Masked goal-count × transition composition</x:v>
      </x:c>
      <x:c r="E982" s="69" t="str">
        <x:v>direct object identity; hidden final count 3; initial count 2; add</x:v>
      </x:c>
      <x:c r="F982" s="69" t="str">
        <x:v>count_masked_goal_3_initial_2_add</x:v>
      </x:c>
      <x:c r="G982" s="69" t="str">
        <x:v>goal one from initial count two by removal; goal three from initial count two by addition</x:v>
      </x:c>
      <x:c r="H982" s="69" t="str">
        <x:v>Yes</x:v>
      </x:c>
      <x:c r="I982" s="69" t="str">
        <x:v>replace counting demonstration</x:v>
      </x:c>
      <x:c r="J982" s="69" t="str">
        <x:v>Inside bowl initially (2): blue pen, green pencil sharpener; On table: airplane toy without propellers [TARGET], yellow block; action=add; expected final count=3.</x:v>
      </x:c>
      <x:c r="K982" s="69" t="str">
        <x:v>airplane toy without propellers</x:v>
      </x:c>
      <x:c r="L982" s="69" t="str">
        <x:v>Recovery</x:v>
      </x:c>
      <x:c r="M982" s="69" t="str">
        <x:v>Leave no objects in the bowl.</x:v>
      </x:c>
      <x:c r="N982" s="69" t="str">
        <x:v>airplane toy without propellers</x:v>
      </x:c>
      <x:c r="O982" s="69" t="str">
        <x:v>airplane toy without propellers</x:v>
      </x:c>
      <x:c r="P982" s="70" t="str">
        <x:v>Preserves the held-out goal-count × action-direction composition while exposing the exact motor transition under a direct-name instruction.</x:v>
      </x:c>
    </x:row>
    <x:row r="983" ht="58" customHeight="1">
      <x:c r="A983" s="100" t="n">
        <x:v>981</x:v>
      </x:c>
      <x:c r="B983" s="69" t="str">
        <x:v>Counting</x:v>
      </x:c>
      <x:c r="C983" s="69" t="str">
        <x:v>Put the blue pen in the bowl.</x:v>
      </x:c>
      <x:c r="D983" s="69" t="str">
        <x:v>Masked goal-count × transition composition</x:v>
      </x:c>
      <x:c r="E983" s="69" t="str">
        <x:v>direct object identity; hidden final count 3; initial count 2; add</x:v>
      </x:c>
      <x:c r="F983" s="69" t="str">
        <x:v>count_masked_goal_3_initial_2_add</x:v>
      </x:c>
      <x:c r="G983" s="69" t="str">
        <x:v>goal one from initial count two by removal; goal three from initial count two by addition</x:v>
      </x:c>
      <x:c r="H983" s="69" t="str">
        <x:v>Yes</x:v>
      </x:c>
      <x:c r="I983" s="69" t="str">
        <x:v>replace counting demonstration</x:v>
      </x:c>
      <x:c r="J983" s="69" t="str">
        <x:v>Inside bowl initially (2): airplane toy without propellers, green pencil sharpener; On table: blue pen [TARGET], yellow block; action=add; expected final count=3.</x:v>
      </x:c>
      <x:c r="K983" s="69" t="str">
        <x:v>blue pen</x:v>
      </x:c>
      <x:c r="L983" s="69" t="str">
        <x:v>Home</x:v>
      </x:c>
      <x:c r="M983" s="69" t="str">
        <x:v>Remove the airplane toy without propellers from the bowl.</x:v>
      </x:c>
      <x:c r="N983" s="69" t="str">
        <x:v>airplane toy without propellers, blue pen, yellow block, green pencil sharpener</x:v>
      </x:c>
      <x:c r="O983" s="69" t="str">
        <x:v>airplane toy without propellers</x:v>
      </x:c>
      <x:c r="P983" s="70" t="str">
        <x:v>Preserves the held-out goal-count × action-direction composition while exposing the exact motor transition under a direct-name instruction.</x:v>
      </x:c>
    </x:row>
    <x:row r="984" ht="58" customHeight="1">
      <x:c r="A984" s="100" t="n">
        <x:v>982</x:v>
      </x:c>
      <x:c r="B984" s="69" t="str">
        <x:v>Counting</x:v>
      </x:c>
      <x:c r="C984" s="69" t="str">
        <x:v>Pick up the green pencil sharpener and place it in the bowl.</x:v>
      </x:c>
      <x:c r="D984" s="69" t="str">
        <x:v>Masked goal-count × transition composition</x:v>
      </x:c>
      <x:c r="E984" s="69" t="str">
        <x:v>direct object identity; hidden final count 3; initial count 2; add</x:v>
      </x:c>
      <x:c r="F984" s="69" t="str">
        <x:v>count_masked_goal_3_initial_2_add</x:v>
      </x:c>
      <x:c r="G984" s="69" t="str">
        <x:v>goal one from initial count two by removal; goal three from initial count two by addition</x:v>
      </x:c>
      <x:c r="H984" s="69" t="str">
        <x:v>Yes</x:v>
      </x:c>
      <x:c r="I984" s="69" t="str">
        <x:v>replace counting demonstration</x:v>
      </x:c>
      <x:c r="J984" s="69" t="str">
        <x:v>Inside bowl initially (2): airplane toy without propellers, blue pen; On table: green pencil sharpener [TARGET], yellow block; action=add; expected final count=3.</x:v>
      </x:c>
      <x:c r="K984" s="69" t="str">
        <x:v>green pencil sharpener</x:v>
      </x:c>
      <x:c r="L984" s="69" t="str">
        <x:v>Home</x:v>
      </x:c>
      <x:c r="M984" s="69" t="str">
        <x:v>Take the airplane toy without propellers out of the bowl.</x:v>
      </x:c>
      <x:c r="N984" s="69" t="str">
        <x:v>airplane toy without propellers, yellow block, blue pen</x:v>
      </x:c>
      <x:c r="O984" s="69" t="str">
        <x:v>airplane toy without propellers</x:v>
      </x:c>
      <x:c r="P984" s="70" t="str">
        <x:v>Preserves the held-out goal-count × action-direction composition while exposing the exact motor transition under a direct-name instruction.</x:v>
      </x:c>
    </x:row>
    <x:row r="985" ht="58" customHeight="1">
      <x:c r="A985" s="100" t="n">
        <x:v>983</x:v>
      </x:c>
      <x:c r="B985" s="69" t="str">
        <x:v>Counting</x:v>
      </x:c>
      <x:c r="C985" s="69" t="str">
        <x:v>Move the yellow block into the bowl.</x:v>
      </x:c>
      <x:c r="D985" s="69" t="str">
        <x:v>Masked goal-count × transition composition</x:v>
      </x:c>
      <x:c r="E985" s="69" t="str">
        <x:v>direct object identity; hidden final count 3; initial count 2; add</x:v>
      </x:c>
      <x:c r="F985" s="69" t="str">
        <x:v>count_masked_goal_3_initial_2_add</x:v>
      </x:c>
      <x:c r="G985" s="69" t="str">
        <x:v>goal one from initial count two by removal; goal three from initial count two by addition</x:v>
      </x:c>
      <x:c r="H985" s="69" t="str">
        <x:v>Yes</x:v>
      </x:c>
      <x:c r="I985" s="69" t="str">
        <x:v>replace counting demonstration</x:v>
      </x:c>
      <x:c r="J985" s="69" t="str">
        <x:v>Inside bowl initially (2): airplane toy without propellers, blue pen; On table: yellow block [TARGET], green pencil sharpener; action=add; expected final count=3.</x:v>
      </x:c>
      <x:c r="K985" s="69" t="str">
        <x:v>yellow block</x:v>
      </x:c>
      <x:c r="L985" s="69" t="str">
        <x:v>Home</x:v>
      </x:c>
      <x:c r="M985" s="69" t="str">
        <x:v>Take the airplane toy without propellers out of the bowl.</x:v>
      </x:c>
      <x:c r="N985" s="69" t="str">
        <x:v>airplane toy without propellers, green pencil sharpener, yellow block</x:v>
      </x:c>
      <x:c r="O985" s="69" t="str">
        <x:v>airplane toy without propellers</x:v>
      </x:c>
      <x:c r="P985" s="70" t="str">
        <x:v>Preserves the held-out goal-count × action-direction composition while exposing the exact motor transition under a direct-name instruction.</x:v>
      </x:c>
    </x:row>
    <x:row r="986" ht="58" customHeight="1">
      <x:c r="A986" s="100" t="n">
        <x:v>984</x:v>
      </x:c>
      <x:c r="B986" s="69" t="str">
        <x:v>Counting</x:v>
      </x:c>
      <x:c r="C986" s="69" t="str">
        <x:v>Put the airplane toy without propellers in the bowl.</x:v>
      </x:c>
      <x:c r="D986" s="69" t="str">
        <x:v>Masked goal-count × transition composition</x:v>
      </x:c>
      <x:c r="E986" s="69" t="str">
        <x:v>direct object identity; hidden final count 3; initial count 2; add</x:v>
      </x:c>
      <x:c r="F986" s="69" t="str">
        <x:v>count_masked_goal_3_initial_2_add</x:v>
      </x:c>
      <x:c r="G986" s="69" t="str">
        <x:v>goal one from initial count two by removal; goal three from initial count two by addition</x:v>
      </x:c>
      <x:c r="H986" s="69" t="str">
        <x:v>Yes</x:v>
      </x:c>
      <x:c r="I986" s="69" t="str">
        <x:v>replace counting demonstration</x:v>
      </x:c>
      <x:c r="J986" s="69" t="str">
        <x:v>Inside bowl initially (2): green pencil sharpener, yellow block; On table: airplane toy without propellers [TARGET], blue pen; action=add; expected final count=3.</x:v>
      </x:c>
      <x:c r="K986" s="69" t="str">
        <x:v>airplane toy without propellers</x:v>
      </x:c>
      <x:c r="L986" s="69" t="str">
        <x:v>Post-Drop</x:v>
      </x:c>
      <x:c r="M986" s="69" t="str">
        <x:v>Take the airplane toy without propellers out of the bowl.</x:v>
      </x:c>
      <x:c r="N986" s="69" t="str">
        <x:v>airplane toy without propellers, blue pen, green pencil sharpener</x:v>
      </x:c>
      <x:c r="O986" s="69" t="str">
        <x:v>airplane toy without propellers</x:v>
      </x:c>
      <x:c r="P986" s="70" t="str">
        <x:v>Preserves the held-out goal-count × action-direction composition while exposing the exact motor transition under a direct-name instruction.</x:v>
      </x:c>
    </x:row>
    <x:row r="987" ht="58" customHeight="1">
      <x:c r="A987" s="100" t="n">
        <x:v>985</x:v>
      </x:c>
      <x:c r="B987" s="69" t="str">
        <x:v>Counting</x:v>
      </x:c>
      <x:c r="C987" s="69" t="str">
        <x:v>Pick up the blue pen and place it in the bowl.</x:v>
      </x:c>
      <x:c r="D987" s="69" t="str">
        <x:v>Masked goal-count × transition composition</x:v>
      </x:c>
      <x:c r="E987" s="69" t="str">
        <x:v>direct object identity; hidden final count 3; initial count 2; add</x:v>
      </x:c>
      <x:c r="F987" s="69" t="str">
        <x:v>count_masked_goal_3_initial_2_add</x:v>
      </x:c>
      <x:c r="G987" s="69" t="str">
        <x:v>goal one from initial count two by removal; goal three from initial count two by addition</x:v>
      </x:c>
      <x:c r="H987" s="69" t="str">
        <x:v>Yes</x:v>
      </x:c>
      <x:c r="I987" s="69" t="str">
        <x:v>replace counting demonstration</x:v>
      </x:c>
      <x:c r="J987" s="69" t="str">
        <x:v>Inside bowl initially (2): green pencil sharpener, yellow block; On table: blue pen [TARGET], airplane toy without propellers; action=add; expected final count=3.</x:v>
      </x:c>
      <x:c r="K987" s="69" t="str">
        <x:v>blue pen</x:v>
      </x:c>
      <x:c r="L987" s="69" t="str">
        <x:v>Post-Drop</x:v>
      </x:c>
      <x:c r="M987" s="69" t="str">
        <x:v>Move the airplane toy without propellers from the bowl to the table.</x:v>
      </x:c>
      <x:c r="N987" s="69" t="str">
        <x:v>airplane toy without propellers, yellow block, blue pen, green pencil sharpener</x:v>
      </x:c>
      <x:c r="O987" s="69" t="str">
        <x:v>airplane toy without propellers</x:v>
      </x:c>
      <x:c r="P987" s="70" t="str">
        <x:v>Preserves the held-out goal-count × action-direction composition while exposing the exact motor transition under a direct-name instruction.</x:v>
      </x:c>
    </x:row>
    <x:row r="988" ht="58" customHeight="1">
      <x:c r="A988" s="100" t="n">
        <x:v>986</x:v>
      </x:c>
      <x:c r="B988" s="69" t="str">
        <x:v>Counting</x:v>
      </x:c>
      <x:c r="C988" s="69" t="str">
        <x:v>Move the green pencil sharpener into the bowl.</x:v>
      </x:c>
      <x:c r="D988" s="69" t="str">
        <x:v>Masked goal-count × transition composition</x:v>
      </x:c>
      <x:c r="E988" s="69" t="str">
        <x:v>direct object identity; hidden final count 3; initial count 2; add</x:v>
      </x:c>
      <x:c r="F988" s="69" t="str">
        <x:v>count_masked_goal_3_initial_2_add</x:v>
      </x:c>
      <x:c r="G988" s="69" t="str">
        <x:v>goal one from initial count two by removal; goal three from initial count two by addition</x:v>
      </x:c>
      <x:c r="H988" s="69" t="str">
        <x:v>Yes</x:v>
      </x:c>
      <x:c r="I988" s="69" t="str">
        <x:v>replace counting demonstration</x:v>
      </x:c>
      <x:c r="J988" s="69" t="str">
        <x:v>Inside bowl initially (2): blue pen, yellow block; On table: green pencil sharpener [TARGET], airplane toy without propellers; action=add; expected final count=3.</x:v>
      </x:c>
      <x:c r="K988" s="69" t="str">
        <x:v>green pencil sharpener</x:v>
      </x:c>
      <x:c r="L988" s="69" t="str">
        <x:v>Recovery</x:v>
      </x:c>
      <x:c r="M988" s="69" t="str">
        <x:v>Remove the airplane toy without propellers from the bowl.</x:v>
      </x:c>
      <x:c r="N988" s="69" t="str">
        <x:v>airplane toy without propellers, green pencil sharpener</x:v>
      </x:c>
      <x:c r="O988" s="69" t="str">
        <x:v>airplane toy without propellers</x:v>
      </x:c>
      <x:c r="P988" s="70" t="str">
        <x:v>Preserves the held-out goal-count × action-direction composition while exposing the exact motor transition under a direct-name instruction.</x:v>
      </x:c>
    </x:row>
    <x:row r="989" ht="58" customHeight="1">
      <x:c r="A989" s="100" t="n">
        <x:v>987</x:v>
      </x:c>
      <x:c r="B989" s="69" t="str">
        <x:v>Counting</x:v>
      </x:c>
      <x:c r="C989" s="69" t="str">
        <x:v>Put the yellow block in the bowl.</x:v>
      </x:c>
      <x:c r="D989" s="69" t="str">
        <x:v>Masked goal-count × transition composition</x:v>
      </x:c>
      <x:c r="E989" s="69" t="str">
        <x:v>direct object identity; hidden final count 3; initial count 2; add</x:v>
      </x:c>
      <x:c r="F989" s="69" t="str">
        <x:v>count_masked_goal_3_initial_2_add</x:v>
      </x:c>
      <x:c r="G989" s="69" t="str">
        <x:v>goal one from initial count two by removal; goal three from initial count two by addition</x:v>
      </x:c>
      <x:c r="H989" s="69" t="str">
        <x:v>Yes</x:v>
      </x:c>
      <x:c r="I989" s="69" t="str">
        <x:v>replace counting demonstration</x:v>
      </x:c>
      <x:c r="J989" s="69" t="str">
        <x:v>Inside bowl initially (2): blue pen, green pencil sharpener; On table: yellow block [TARGET], airplane toy without propellers; action=add; expected final count=3.</x:v>
      </x:c>
      <x:c r="K989" s="69" t="str">
        <x:v>yellow block</x:v>
      </x:c>
      <x:c r="L989" s="69" t="str">
        <x:v>Home</x:v>
      </x:c>
      <x:c r="M989" s="69" t="str">
        <x:v>Adjust the bowl so that it contains two objects.</x:v>
      </x:c>
      <x:c r="N989" s="69" t="str">
        <x:v>airplane toy without propellers, blue pen, yellow block, green pencil sharpener</x:v>
      </x:c>
      <x:c r="O989" s="69" t="str">
        <x:v>airplane toy without propellers</x:v>
      </x:c>
      <x:c r="P989" s="70" t="str">
        <x:v>Preserves the held-out goal-count × action-direction composition while exposing the exact motor transition under a direct-name instruction.</x:v>
      </x:c>
    </x:row>
    <x:row r="990" ht="58" customHeight="1">
      <x:c r="A990" s="100" t="n">
        <x:v>988</x:v>
      </x:c>
      <x:c r="B990" s="69" t="str">
        <x:v>Counting</x:v>
      </x:c>
      <x:c r="C990" s="69" t="str">
        <x:v>Pick up the airplane toy without propellers and place it in the bowl.</x:v>
      </x:c>
      <x:c r="D990" s="69" t="str">
        <x:v>Masked goal-count × transition composition</x:v>
      </x:c>
      <x:c r="E990" s="69" t="str">
        <x:v>direct object identity; hidden final count 3; initial count 2; add</x:v>
      </x:c>
      <x:c r="F990" s="69" t="str">
        <x:v>count_masked_goal_3_initial_2_add</x:v>
      </x:c>
      <x:c r="G990" s="69" t="str">
        <x:v>goal one from initial count two by removal; goal three from initial count two by addition</x:v>
      </x:c>
      <x:c r="H990" s="69" t="str">
        <x:v>Yes</x:v>
      </x:c>
      <x:c r="I990" s="69" t="str">
        <x:v>replace counting demonstration</x:v>
      </x:c>
      <x:c r="J990" s="69" t="str">
        <x:v>Inside bowl initially (2): yellow block, blue pen; On table: airplane toy without propellers [TARGET], green pencil sharpener; action=add; expected final count=3.</x:v>
      </x:c>
      <x:c r="K990" s="69" t="str">
        <x:v>airplane toy without propellers</x:v>
      </x:c>
      <x:c r="L990" s="69" t="str">
        <x:v>Home</x:v>
      </x:c>
      <x:c r="M990" s="69" t="str">
        <x:v>Adjust the bowl so that it contains two objects.</x:v>
      </x:c>
      <x:c r="N990" s="69" t="str">
        <x:v>airplane toy without propellers, yellow block, green pencil sharpener, blue pen</x:v>
      </x:c>
      <x:c r="O990" s="69" t="str">
        <x:v>airplane toy without propellers</x:v>
      </x:c>
      <x:c r="P990" s="70" t="str">
        <x:v>Preserves the held-out goal-count × action-direction composition while exposing the exact motor transition under a direct-name instruction.</x:v>
      </x:c>
    </x:row>
    <x:row r="991" ht="58" customHeight="1">
      <x:c r="A991" s="100" t="n">
        <x:v>989</x:v>
      </x:c>
      <x:c r="B991" s="69" t="str">
        <x:v>Counting</x:v>
      </x:c>
      <x:c r="C991" s="69" t="str">
        <x:v>Move the blue pen into the bowl.</x:v>
      </x:c>
      <x:c r="D991" s="69" t="str">
        <x:v>Masked goal-count × transition composition</x:v>
      </x:c>
      <x:c r="E991" s="69" t="str">
        <x:v>direct object identity; hidden final count 3; initial count 2; add</x:v>
      </x:c>
      <x:c r="F991" s="69" t="str">
        <x:v>count_masked_goal_3_initial_2_add</x:v>
      </x:c>
      <x:c r="G991" s="69" t="str">
        <x:v>goal one from initial count two by removal; goal three from initial count two by addition</x:v>
      </x:c>
      <x:c r="H991" s="69" t="str">
        <x:v>Yes</x:v>
      </x:c>
      <x:c r="I991" s="69" t="str">
        <x:v>replace counting demonstration</x:v>
      </x:c>
      <x:c r="J991" s="69" t="str">
        <x:v>Inside bowl initially (2): yellow block, airplane toy without propellers; On table: blue pen [TARGET], green pencil sharpener; action=add; expected final count=3.</x:v>
      </x:c>
      <x:c r="K991" s="69" t="str">
        <x:v>blue pen</x:v>
      </x:c>
      <x:c r="L991" s="69" t="str">
        <x:v>Post-Drop</x:v>
      </x:c>
      <x:c r="M991" s="69" t="str">
        <x:v>Adjust the bowl so that it contains two objects.</x:v>
      </x:c>
      <x:c r="N991" s="69" t="str">
        <x:v>airplane toy without propellers, blue pen, green pencil sharpener, yellow block</x:v>
      </x:c>
      <x:c r="O991" s="69" t="str">
        <x:v>airplane toy without propellers</x:v>
      </x:c>
      <x:c r="P991" s="70" t="str">
        <x:v>Preserves the held-out goal-count × action-direction composition while exposing the exact motor transition under a direct-name instruction.</x:v>
      </x:c>
    </x:row>
    <x:row r="992" ht="58" customHeight="1">
      <x:c r="A992" s="100" t="n">
        <x:v>990</x:v>
      </x:c>
      <x:c r="B992" s="69" t="str">
        <x:v>Counting</x:v>
      </x:c>
      <x:c r="C992" s="69" t="str">
        <x:v>Put the green pencil sharpener in the bowl.</x:v>
      </x:c>
      <x:c r="D992" s="69" t="str">
        <x:v>Masked goal-count × transition composition</x:v>
      </x:c>
      <x:c r="E992" s="69" t="str">
        <x:v>direct object identity; hidden final count 3; initial count 2; add</x:v>
      </x:c>
      <x:c r="F992" s="69" t="str">
        <x:v>count_masked_goal_3_initial_2_add</x:v>
      </x:c>
      <x:c r="G992" s="69" t="str">
        <x:v>goal one from initial count two by removal; goal three from initial count two by addition</x:v>
      </x:c>
      <x:c r="H992" s="69" t="str">
        <x:v>Yes</x:v>
      </x:c>
      <x:c r="I992" s="69" t="str">
        <x:v>replace counting demonstration</x:v>
      </x:c>
      <x:c r="J992" s="69" t="str">
        <x:v>Inside bowl initially (2): yellow block, airplane toy without propellers; On table: green pencil sharpener [TARGET], blue pen; action=add; expected final count=3.</x:v>
      </x:c>
      <x:c r="K992" s="69" t="str">
        <x:v>green pencil sharpener</x:v>
      </x:c>
      <x:c r="L992" s="69" t="str">
        <x:v>Post-Drop</x:v>
      </x:c>
      <x:c r="M992" s="69" t="str">
        <x:v>Make the bowl contain exactly two objects.</x:v>
      </x:c>
      <x:c r="N992" s="69" t="str">
        <x:v>airplane toy without propellers, blue pen, yellow block</x:v>
      </x:c>
      <x:c r="O992" s="69" t="str">
        <x:v>airplane toy without propellers</x:v>
      </x:c>
      <x:c r="P992" s="70" t="str">
        <x:v>Preserves the held-out goal-count × action-direction composition while exposing the exact motor transition under a direct-name instruction.</x:v>
      </x:c>
    </x:row>
    <x:row r="993" ht="58" customHeight="1">
      <x:c r="A993" s="100" t="n">
        <x:v>991</x:v>
      </x:c>
      <x:c r="B993" s="69" t="str">
        <x:v>Counting</x:v>
      </x:c>
      <x:c r="C993" s="69" t="str">
        <x:v>Pick up the yellow block and place it in the bowl.</x:v>
      </x:c>
      <x:c r="D993" s="69" t="str">
        <x:v>Masked goal-count × transition composition</x:v>
      </x:c>
      <x:c r="E993" s="69" t="str">
        <x:v>direct object identity; hidden final count 3; initial count 2; add</x:v>
      </x:c>
      <x:c r="F993" s="69" t="str">
        <x:v>count_masked_goal_3_initial_2_add</x:v>
      </x:c>
      <x:c r="G993" s="69" t="str">
        <x:v>goal one from initial count two by removal; goal three from initial count two by addition</x:v>
      </x:c>
      <x:c r="H993" s="69" t="str">
        <x:v>Yes</x:v>
      </x:c>
      <x:c r="I993" s="69" t="str">
        <x:v>replace counting demonstration</x:v>
      </x:c>
      <x:c r="J993" s="69" t="str">
        <x:v>Inside bowl initially (2): green pencil sharpener, airplane toy without propellers; On table: yellow block [TARGET], blue pen; action=add; expected final count=3.</x:v>
      </x:c>
      <x:c r="K993" s="69" t="str">
        <x:v>yellow block</x:v>
      </x:c>
      <x:c r="L993" s="69" t="str">
        <x:v>Post-Drop</x:v>
      </x:c>
      <x:c r="M993" s="69" t="str">
        <x:v>Leave exactly two objects in the bowl.</x:v>
      </x:c>
      <x:c r="N993" s="69" t="str">
        <x:v>airplane toy without propellers, yellow block, green pencil sharpener</x:v>
      </x:c>
      <x:c r="O993" s="69" t="str">
        <x:v>airplane toy without propellers</x:v>
      </x:c>
      <x:c r="P993" s="70" t="str">
        <x:v>Preserves the held-out goal-count × action-direction composition while exposing the exact motor transition under a direct-name instruction.</x:v>
      </x:c>
    </x:row>
    <x:row r="994" ht="58" customHeight="1">
      <x:c r="A994" s="100" t="n">
        <x:v>992</x:v>
      </x:c>
      <x:c r="B994" s="69" t="str">
        <x:v>Counting</x:v>
      </x:c>
      <x:c r="C994" s="69" t="str">
        <x:v>Move the airplane toy without propellers into the bowl.</x:v>
      </x:c>
      <x:c r="D994" s="69" t="str">
        <x:v>Masked goal-count × transition composition</x:v>
      </x:c>
      <x:c r="E994" s="69" t="str">
        <x:v>direct object identity; hidden final count 3; initial count 2; add</x:v>
      </x:c>
      <x:c r="F994" s="69" t="str">
        <x:v>count_masked_goal_3_initial_2_add</x:v>
      </x:c>
      <x:c r="G994" s="69" t="str">
        <x:v>goal one from initial count two by removal; goal three from initial count two by addition</x:v>
      </x:c>
      <x:c r="H994" s="69" t="str">
        <x:v>Yes</x:v>
      </x:c>
      <x:c r="I994" s="69" t="str">
        <x:v>replace counting demonstration</x:v>
      </x:c>
      <x:c r="J994" s="69" t="str">
        <x:v>Inside bowl initially (2): blue pen, green pencil sharpener; On table: airplane toy without propellers [TARGET], yellow block; action=add; expected final count=3.</x:v>
      </x:c>
      <x:c r="K994" s="69" t="str">
        <x:v>airplane toy without propellers</x:v>
      </x:c>
      <x:c r="L994" s="69" t="str">
        <x:v>Recovery</x:v>
      </x:c>
      <x:c r="M994" s="69" t="str">
        <x:v>Adjust the bowl so that it contains two objects.</x:v>
      </x:c>
      <x:c r="N994" s="69" t="str">
        <x:v>airplane toy without propellers, blue pen, green pencil sharpener</x:v>
      </x:c>
      <x:c r="O994" s="69" t="str">
        <x:v>airplane toy without propellers</x:v>
      </x:c>
      <x:c r="P994" s="70" t="str">
        <x:v>Preserves the held-out goal-count × action-direction composition while exposing the exact motor transition under a direct-name instruction.</x:v>
      </x:c>
    </x:row>
    <x:row r="995" ht="58" customHeight="1">
      <x:c r="A995" s="100" t="n">
        <x:v>993</x:v>
      </x:c>
      <x:c r="B995" s="69" t="str">
        <x:v>Counting</x:v>
      </x:c>
      <x:c r="C995" s="69" t="str">
        <x:v>Put the blue pen in the bowl.</x:v>
      </x:c>
      <x:c r="D995" s="69" t="str">
        <x:v>Masked goal-count × transition composition</x:v>
      </x:c>
      <x:c r="E995" s="69" t="str">
        <x:v>direct object identity; hidden final count 3; initial count 2; add</x:v>
      </x:c>
      <x:c r="F995" s="69" t="str">
        <x:v>count_masked_goal_3_initial_2_add</x:v>
      </x:c>
      <x:c r="G995" s="69" t="str">
        <x:v>goal one from initial count two by removal; goal three from initial count two by addition</x:v>
      </x:c>
      <x:c r="H995" s="69" t="str">
        <x:v>Yes</x:v>
      </x:c>
      <x:c r="I995" s="69" t="str">
        <x:v>replace counting demonstration</x:v>
      </x:c>
      <x:c r="J995" s="69" t="str">
        <x:v>Inside bowl initially (2): airplane toy without propellers, green pencil sharpener; On table: blue pen [TARGET], yellow block; action=add; expected final count=3.</x:v>
      </x:c>
      <x:c r="K995" s="69" t="str">
        <x:v>blue pen</x:v>
      </x:c>
      <x:c r="L995" s="69" t="str">
        <x:v>Home</x:v>
      </x:c>
      <x:c r="M995" s="69" t="str">
        <x:v>Remove the airplane toy without propellers from the bowl.</x:v>
      </x:c>
      <x:c r="N995" s="69" t="str">
        <x:v>airplane toy without propellers, blue pen, yellow block, green pencil sharpener</x:v>
      </x:c>
      <x:c r="O995" s="69" t="str">
        <x:v>airplane toy without propellers</x:v>
      </x:c>
      <x:c r="P995" s="70" t="str">
        <x:v>Preserves the held-out goal-count × action-direction composition while exposing the exact motor transition under a direct-name instruction.</x:v>
      </x:c>
    </x:row>
    <x:row r="996" ht="58" customHeight="1">
      <x:c r="A996" s="100" t="n">
        <x:v>994</x:v>
      </x:c>
      <x:c r="B996" s="69" t="str">
        <x:v>Counting</x:v>
      </x:c>
      <x:c r="C996" s="69" t="str">
        <x:v>Pick up the green pencil sharpener and place it in the bowl.</x:v>
      </x:c>
      <x:c r="D996" s="69" t="str">
        <x:v>Masked goal-count × transition composition</x:v>
      </x:c>
      <x:c r="E996" s="69" t="str">
        <x:v>direct object identity; hidden final count 3; initial count 2; add</x:v>
      </x:c>
      <x:c r="F996" s="69" t="str">
        <x:v>count_masked_goal_3_initial_2_add</x:v>
      </x:c>
      <x:c r="G996" s="69" t="str">
        <x:v>goal one from initial count two by removal; goal three from initial count two by addition</x:v>
      </x:c>
      <x:c r="H996" s="69" t="str">
        <x:v>Yes</x:v>
      </x:c>
      <x:c r="I996" s="69" t="str">
        <x:v>replace counting demonstration</x:v>
      </x:c>
      <x:c r="J996" s="69" t="str">
        <x:v>Inside bowl initially (2): airplane toy without propellers, blue pen; On table: green pencil sharpener [TARGET], yellow block; action=add; expected final count=3.</x:v>
      </x:c>
      <x:c r="K996" s="69" t="str">
        <x:v>green pencil sharpener</x:v>
      </x:c>
      <x:c r="L996" s="69" t="str">
        <x:v>Home</x:v>
      </x:c>
      <x:c r="M996" s="69" t="str">
        <x:v>Take the airplane toy without propellers out of the bowl.</x:v>
      </x:c>
      <x:c r="N996" s="69" t="str">
        <x:v>airplane toy without propellers, blue pen, yellow block, green pencil sharpener</x:v>
      </x:c>
      <x:c r="O996" s="69" t="str">
        <x:v>airplane toy without propellers</x:v>
      </x:c>
      <x:c r="P996" s="70" t="str">
        <x:v>Preserves the held-out goal-count × action-direction composition while exposing the exact motor transition under a direct-name instruction.</x:v>
      </x:c>
    </x:row>
    <x:row r="997" ht="58" customHeight="1">
      <x:c r="A997" s="100" t="n">
        <x:v>995</x:v>
      </x:c>
      <x:c r="B997" s="69" t="str">
        <x:v>Counting</x:v>
      </x:c>
      <x:c r="C997" s="69" t="str">
        <x:v>Move the yellow block into the bowl.</x:v>
      </x:c>
      <x:c r="D997" s="69" t="str">
        <x:v>Masked goal-count × transition composition</x:v>
      </x:c>
      <x:c r="E997" s="69" t="str">
        <x:v>direct object identity; hidden final count 3; initial count 2; add</x:v>
      </x:c>
      <x:c r="F997" s="69" t="str">
        <x:v>count_masked_goal_3_initial_2_add</x:v>
      </x:c>
      <x:c r="G997" s="69" t="str">
        <x:v>goal one from initial count two by removal; goal three from initial count two by addition</x:v>
      </x:c>
      <x:c r="H997" s="69" t="str">
        <x:v>Yes</x:v>
      </x:c>
      <x:c r="I997" s="69" t="str">
        <x:v>replace counting demonstration</x:v>
      </x:c>
      <x:c r="J997" s="69" t="str">
        <x:v>Inside bowl initially (2): airplane toy without propellers, blue pen; On table: yellow block [TARGET], green pencil sharpener; action=add; expected final count=3.</x:v>
      </x:c>
      <x:c r="K997" s="69" t="str">
        <x:v>yellow block</x:v>
      </x:c>
      <x:c r="L997" s="69" t="str">
        <x:v>Home</x:v>
      </x:c>
      <x:c r="M997" s="69" t="str">
        <x:v>Move the airplane toy without propellers from the bowl to the table.</x:v>
      </x:c>
      <x:c r="N997" s="69" t="str">
        <x:v>airplane toy without propellers, blue pen, yellow block, green pencil sharpener</x:v>
      </x:c>
      <x:c r="O997" s="69" t="str">
        <x:v>airplane toy without propellers</x:v>
      </x:c>
      <x:c r="P997" s="70" t="str">
        <x:v>Preserves the held-out goal-count × action-direction composition while exposing the exact motor transition under a direct-name instruction.</x:v>
      </x:c>
    </x:row>
    <x:row r="998" ht="58" customHeight="1">
      <x:c r="A998" s="100" t="n">
        <x:v>996</x:v>
      </x:c>
      <x:c r="B998" s="69" t="str">
        <x:v>Counting</x:v>
      </x:c>
      <x:c r="C998" s="69" t="str">
        <x:v>Put the airplane toy without propellers in the bowl.</x:v>
      </x:c>
      <x:c r="D998" s="69" t="str">
        <x:v>Masked goal-count × transition composition</x:v>
      </x:c>
      <x:c r="E998" s="69" t="str">
        <x:v>direct object identity; hidden final count 3; initial count 2; add</x:v>
      </x:c>
      <x:c r="F998" s="69" t="str">
        <x:v>count_masked_goal_3_initial_2_add</x:v>
      </x:c>
      <x:c r="G998" s="69" t="str">
        <x:v>goal one from initial count two by removal; goal three from initial count two by addition</x:v>
      </x:c>
      <x:c r="H998" s="69" t="str">
        <x:v>Yes</x:v>
      </x:c>
      <x:c r="I998" s="69" t="str">
        <x:v>replace counting demonstration</x:v>
      </x:c>
      <x:c r="J998" s="69" t="str">
        <x:v>Inside bowl initially (2): green pencil sharpener, yellow block; On table: airplane toy without propellers [TARGET], blue pen; action=add; expected final count=3.</x:v>
      </x:c>
      <x:c r="K998" s="69" t="str">
        <x:v>airplane toy without propellers</x:v>
      </x:c>
      <x:c r="L998" s="69" t="str">
        <x:v>Post-Drop</x:v>
      </x:c>
      <x:c r="M998" s="69" t="str">
        <x:v>Take the airplane toy without propellers out of the bowl.</x:v>
      </x:c>
      <x:c r="N998" s="69" t="str">
        <x:v>airplane toy without propellers, blue pen, yellow block, green pencil sharpener</x:v>
      </x:c>
      <x:c r="O998" s="69" t="str">
        <x:v>airplane toy without propellers</x:v>
      </x:c>
      <x:c r="P998" s="70" t="str">
        <x:v>Preserves the held-out goal-count × action-direction composition while exposing the exact motor transition under a direct-name instruction.</x:v>
      </x:c>
    </x:row>
    <x:row r="999" ht="58" customHeight="1">
      <x:c r="A999" s="100" t="n">
        <x:v>997</x:v>
      </x:c>
      <x:c r="B999" s="69" t="str">
        <x:v>Counting</x:v>
      </x:c>
      <x:c r="C999" s="69" t="str">
        <x:v>Pick up the blue pen and place it in the bowl.</x:v>
      </x:c>
      <x:c r="D999" s="69" t="str">
        <x:v>Masked goal-count × transition composition</x:v>
      </x:c>
      <x:c r="E999" s="69" t="str">
        <x:v>direct object identity; hidden final count 3; initial count 2; add</x:v>
      </x:c>
      <x:c r="F999" s="69" t="str">
        <x:v>count_masked_goal_3_initial_2_add</x:v>
      </x:c>
      <x:c r="G999" s="69" t="str">
        <x:v>goal one from initial count two by removal; goal three from initial count two by addition</x:v>
      </x:c>
      <x:c r="H999" s="69" t="str">
        <x:v>Yes</x:v>
      </x:c>
      <x:c r="I999" s="69" t="str">
        <x:v>replace counting demonstration</x:v>
      </x:c>
      <x:c r="J999" s="69" t="str">
        <x:v>Inside bowl initially (2): green pencil sharpener, yellow block; On table: blue pen [TARGET], airplane toy without propellers; action=add; expected final count=3.</x:v>
      </x:c>
      <x:c r="K999" s="69" t="str">
        <x:v>blue pen</x:v>
      </x:c>
      <x:c r="L999" s="69" t="str">
        <x:v>Post-Drop</x:v>
      </x:c>
      <x:c r="M999" s="69" t="str">
        <x:v>Move the airplane toy without propellers from the bowl to the table.</x:v>
      </x:c>
      <x:c r="N999" s="69" t="str">
        <x:v>airplane toy without propellers, blue pen, yellow block, green pencil sharpener</x:v>
      </x:c>
      <x:c r="O999" s="69" t="str">
        <x:v>airplane toy without propellers</x:v>
      </x:c>
      <x:c r="P999" s="70" t="str">
        <x:v>Preserves the held-out goal-count × action-direction composition while exposing the exact motor transition under a direct-name instruction.</x:v>
      </x:c>
    </x:row>
    <x:row r="1000" ht="58" customHeight="1">
      <x:c r="A1000" s="100" t="n">
        <x:v>998</x:v>
      </x:c>
      <x:c r="B1000" s="69" t="str">
        <x:v>Counting</x:v>
      </x:c>
      <x:c r="C1000" s="69" t="str">
        <x:v>Move the green pencil sharpener into the bowl.</x:v>
      </x:c>
      <x:c r="D1000" s="69" t="str">
        <x:v>Masked goal-count × transition composition</x:v>
      </x:c>
      <x:c r="E1000" s="69" t="str">
        <x:v>direct object identity; hidden final count 3; initial count 2; add</x:v>
      </x:c>
      <x:c r="F1000" s="69" t="str">
        <x:v>count_masked_goal_3_initial_2_add</x:v>
      </x:c>
      <x:c r="G1000" s="69" t="str">
        <x:v>goal one from initial count two by removal; goal three from initial count two by addition</x:v>
      </x:c>
      <x:c r="H1000" s="69" t="str">
        <x:v>Yes</x:v>
      </x:c>
      <x:c r="I1000" s="69" t="str">
        <x:v>replace counting demonstration</x:v>
      </x:c>
      <x:c r="J1000" s="69" t="str">
        <x:v>Inside bowl initially (2): blue pen, yellow block; On table: green pencil sharpener [TARGET], airplane toy without propellers; action=add; expected final count=3.</x:v>
      </x:c>
      <x:c r="K1000" s="69" t="str">
        <x:v>green pencil sharpener</x:v>
      </x:c>
      <x:c r="L1000" s="69" t="str">
        <x:v>Post-Drop</x:v>
      </x:c>
      <x:c r="M1000" s="69" t="str">
        <x:v>Remove the airplane toy without propellers from the bowl.</x:v>
      </x:c>
      <x:c r="N1000" s="69" t="str">
        <x:v>airplane toy without propellers, blue pen, yellow block, green pencil sharpener</x:v>
      </x:c>
      <x:c r="O1000" s="69" t="str">
        <x:v>airplane toy without propellers</x:v>
      </x:c>
      <x:c r="P1000" s="70" t="str">
        <x:v>Preserves the held-out goal-count × action-direction composition while exposing the exact motor transition under a direct-name instruction.</x:v>
      </x:c>
    </x:row>
    <x:row r="1001" ht="58" customHeight="1">
      <x:c r="A1001" s="100" t="n">
        <x:v>999</x:v>
      </x:c>
      <x:c r="B1001" s="69" t="str">
        <x:v>Counting</x:v>
      </x:c>
      <x:c r="C1001" s="69" t="str">
        <x:v>Put the yellow block in the bowl.</x:v>
      </x:c>
      <x:c r="D1001" s="69" t="str">
        <x:v>Masked goal-count × transition composition</x:v>
      </x:c>
      <x:c r="E1001" s="69" t="str">
        <x:v>direct object identity; hidden final count 3; initial count 2; add</x:v>
      </x:c>
      <x:c r="F1001" s="69" t="str">
        <x:v>count_masked_goal_3_initial_2_add</x:v>
      </x:c>
      <x:c r="G1001" s="69" t="str">
        <x:v>goal one from initial count two by removal; goal three from initial count two by addition</x:v>
      </x:c>
      <x:c r="H1001" s="69" t="str">
        <x:v>Yes</x:v>
      </x:c>
      <x:c r="I1001" s="69" t="str">
        <x:v>replace counting demonstration</x:v>
      </x:c>
      <x:c r="J1001" s="69" t="str">
        <x:v>Inside bowl initially (2): blue pen, green pencil sharpener; On table: yellow block [TARGET], airplane toy without propellers; action=add; expected final count=3.</x:v>
      </x:c>
      <x:c r="K1001" s="69" t="str">
        <x:v>yellow block</x:v>
      </x:c>
      <x:c r="L1001" s="69" t="str">
        <x:v>Recovery</x:v>
      </x:c>
      <x:c r="M1001" s="69" t="str">
        <x:v>Move the airplane toy without propellers from the bowl to the table.</x:v>
      </x:c>
      <x:c r="N1001" s="69" t="str">
        <x:v>airplane toy without propellers, blue pen, yellow block, green pencil sharpener</x:v>
      </x:c>
      <x:c r="O1001" s="69" t="str">
        <x:v>airplane toy without propellers</x:v>
      </x:c>
      <x:c r="P1001" s="70" t="str">
        <x:v>Preserves the held-out goal-count × action-direction composition while exposing the exact motor transition under a direct-name instruction.</x:v>
      </x:c>
    </x:row>
    <x:row r="1002" ht="58" customHeight="1">
      <x:c r="A1002" s="100" t="n">
        <x:v>1000</x:v>
      </x:c>
      <x:c r="B1002" s="69" t="str">
        <x:v>Size Recognition</x:v>
      </x:c>
      <x:c r="C1002" s="69" t="str">
        <x:v>Put the red pencil sharpener in the bowl.</x:v>
      </x:c>
      <x:c r="D1002" s="69" t="str">
        <x:v>Direct-object size control</x:v>
      </x:c>
      <x:c r="E1002" s="69" t="str">
        <x:v>direct object identity</x:v>
      </x:c>
      <x:c r="F1002" s="69" t="str">
        <x:v>size_direct_red_pencil_sharpener</x:v>
      </x:c>
      <x:c r="G1002" s="69" t="str">
        <x:v>largest green block; smallest juggling ball</x:v>
      </x:c>
      <x:c r="H1002" s="69" t="str">
        <x:v>No</x:v>
      </x:c>
      <x:c r="I1002" s="69" t="str"/>
      <x:c r="J1002" s="69" t="str">
        <x:v>red pencil sharpener, green block, juggling ball, crushed Pepsi can</x:v>
      </x:c>
      <x:c r="K1002" s="69" t="str">
        <x:v>red pencil sharpener</x:v>
      </x:c>
      <x:c r="L1002" s="69" t="str">
        <x:v>Home</x:v>
      </x:c>
      <x:c r="M1002" s="69" t="str">
        <x:v>Move the object that is smallest into the bowl.</x:v>
      </x:c>
      <x:c r="N1002" s="69" t="str">
        <x:v>red pencil sharpener, green block, juggling ball, crushed Pepsi can</x:v>
      </x:c>
      <x:c r="O1002" s="69" t="str">
        <x:v>red pencil sharpener</x:v>
      </x:c>
      <x:c r="P1002" s="70" t="str">
        <x:v>Balances direct-name controls across all four size-task identities without changing the recorded trajectory.</x:v>
      </x:c>
    </x:row>
    <x:row r="1003" ht="58" customHeight="1">
      <x:c r="A1003" s="100" t="n">
        <x:v>1001</x:v>
      </x:c>
      <x:c r="B1003" s="69" t="str">
        <x:v>Size Recognition</x:v>
      </x:c>
      <x:c r="C1003" s="69" t="str">
        <x:v>Pick up the red pencil sharpener and place it in the bowl.</x:v>
      </x:c>
      <x:c r="D1003" s="69" t="str">
        <x:v>Direct-object size control</x:v>
      </x:c>
      <x:c r="E1003" s="69" t="str">
        <x:v>direct object identity</x:v>
      </x:c>
      <x:c r="F1003" s="69" t="str">
        <x:v>size_direct_red_pencil_sharpener</x:v>
      </x:c>
      <x:c r="G1003" s="69" t="str">
        <x:v>largest green block; smallest juggling ball</x:v>
      </x:c>
      <x:c r="H1003" s="69" t="str">
        <x:v>No</x:v>
      </x:c>
      <x:c r="I1003" s="69" t="str"/>
      <x:c r="J1003" s="69" t="str">
        <x:v>red pencil sharpener, green block, juggling ball, crushed Pepsi can</x:v>
      </x:c>
      <x:c r="K1003" s="69" t="str">
        <x:v>red pencil sharpener</x:v>
      </x:c>
      <x:c r="L1003" s="69" t="str">
        <x:v>Home</x:v>
      </x:c>
      <x:c r="M1003" s="69" t="str">
        <x:v>Move the object that is smallest into the bowl.</x:v>
      </x:c>
      <x:c r="N1003" s="69" t="str">
        <x:v>red pencil sharpener, green block, juggling ball, crushed Pepsi can</x:v>
      </x:c>
      <x:c r="O1003" s="69" t="str">
        <x:v>red pencil sharpener</x:v>
      </x:c>
      <x:c r="P1003" s="70" t="str">
        <x:v>Balances direct-name controls across all four size-task identities without changing the recorded trajectory.</x:v>
      </x:c>
    </x:row>
    <x:row r="1004" ht="58" customHeight="1">
      <x:c r="A1004" s="100" t="n">
        <x:v>1002</x:v>
      </x:c>
      <x:c r="B1004" s="69" t="str">
        <x:v>Size Recognition</x:v>
      </x:c>
      <x:c r="C1004" s="69" t="str">
        <x:v>Move the red pencil sharpener into the bowl.</x:v>
      </x:c>
      <x:c r="D1004" s="69" t="str">
        <x:v>Direct-object size control</x:v>
      </x:c>
      <x:c r="E1004" s="69" t="str">
        <x:v>direct object identity</x:v>
      </x:c>
      <x:c r="F1004" s="69" t="str">
        <x:v>size_direct_red_pencil_sharpener</x:v>
      </x:c>
      <x:c r="G1004" s="69" t="str">
        <x:v>largest green block; smallest juggling ball</x:v>
      </x:c>
      <x:c r="H1004" s="69" t="str">
        <x:v>No</x:v>
      </x:c>
      <x:c r="I1004" s="69" t="str"/>
      <x:c r="J1004" s="69" t="str">
        <x:v>red pencil sharpener, green block, juggling ball, crushed Pepsi can</x:v>
      </x:c>
      <x:c r="K1004" s="69" t="str">
        <x:v>red pencil sharpener</x:v>
      </x:c>
      <x:c r="L1004" s="69" t="str">
        <x:v>Home</x:v>
      </x:c>
      <x:c r="M1004" s="69" t="str">
        <x:v>Move the object that is smallest into the bowl.</x:v>
      </x:c>
      <x:c r="N1004" s="69" t="str">
        <x:v>red pencil sharpener, green block, juggling ball, crushed Pepsi can</x:v>
      </x:c>
      <x:c r="O1004" s="69" t="str">
        <x:v>red pencil sharpener</x:v>
      </x:c>
      <x:c r="P1004" s="70" t="str">
        <x:v>Balances direct-name controls across all four size-task identities without changing the recorded trajectory.</x:v>
      </x:c>
    </x:row>
    <x:row r="1005" ht="58" customHeight="1">
      <x:c r="A1005" s="100" t="n">
        <x:v>1003</x:v>
      </x:c>
      <x:c r="B1005" s="69" t="str">
        <x:v>Size Recognition</x:v>
      </x:c>
      <x:c r="C1005" s="69" t="str">
        <x:v>Put the red pencil sharpener in the bowl.</x:v>
      </x:c>
      <x:c r="D1005" s="69" t="str">
        <x:v>Direct-object size control</x:v>
      </x:c>
      <x:c r="E1005" s="69" t="str">
        <x:v>direct object identity</x:v>
      </x:c>
      <x:c r="F1005" s="69" t="str">
        <x:v>size_direct_red_pencil_sharpener</x:v>
      </x:c>
      <x:c r="G1005" s="69" t="str">
        <x:v>largest green block; smallest juggling ball</x:v>
      </x:c>
      <x:c r="H1005" s="69" t="str">
        <x:v>No</x:v>
      </x:c>
      <x:c r="I1005" s="69" t="str"/>
      <x:c r="J1005" s="69" t="str">
        <x:v>red pencil sharpener, green block, juggling ball, crushed Pepsi can</x:v>
      </x:c>
      <x:c r="K1005" s="69" t="str">
        <x:v>red pencil sharpener</x:v>
      </x:c>
      <x:c r="L1005" s="69" t="str">
        <x:v>Home</x:v>
      </x:c>
      <x:c r="M1005" s="69" t="str">
        <x:v>Pick up the smallest item and place it in the bowl.</x:v>
      </x:c>
      <x:c r="N1005" s="69" t="str">
        <x:v>red pencil sharpener, green block, juggling ball, crushed Pepsi can</x:v>
      </x:c>
      <x:c r="O1005" s="69" t="str">
        <x:v>red pencil sharpener</x:v>
      </x:c>
      <x:c r="P1005" s="70" t="str">
        <x:v>Balances direct-name controls across all four size-task identities without changing the recorded trajectory.</x:v>
      </x:c>
    </x:row>
    <x:row r="1006" ht="58" customHeight="1">
      <x:c r="A1006" s="100" t="n">
        <x:v>1004</x:v>
      </x:c>
      <x:c r="B1006" s="69" t="str">
        <x:v>Size Recognition</x:v>
      </x:c>
      <x:c r="C1006" s="69" t="str">
        <x:v>Pick up the red pencil sharpener and place it in the bowl.</x:v>
      </x:c>
      <x:c r="D1006" s="69" t="str">
        <x:v>Direct-object size control</x:v>
      </x:c>
      <x:c r="E1006" s="69" t="str">
        <x:v>direct object identity</x:v>
      </x:c>
      <x:c r="F1006" s="69" t="str">
        <x:v>size_direct_red_pencil_sharpener</x:v>
      </x:c>
      <x:c r="G1006" s="69" t="str">
        <x:v>largest green block; smallest juggling ball</x:v>
      </x:c>
      <x:c r="H1006" s="69" t="str">
        <x:v>No</x:v>
      </x:c>
      <x:c r="I1006" s="69" t="str"/>
      <x:c r="J1006" s="69" t="str">
        <x:v>red pencil sharpener, green block, juggling ball, crushed Pepsi can</x:v>
      </x:c>
      <x:c r="K1006" s="69" t="str">
        <x:v>red pencil sharpener</x:v>
      </x:c>
      <x:c r="L1006" s="69" t="str">
        <x:v>Home</x:v>
      </x:c>
      <x:c r="M1006" s="69" t="str">
        <x:v>Put the smallest object in the bowl.</x:v>
      </x:c>
      <x:c r="N1006" s="69" t="str">
        <x:v>red pencil sharpener, green block, juggling ball, crushed Pepsi can</x:v>
      </x:c>
      <x:c r="O1006" s="69" t="str">
        <x:v>red pencil sharpener</x:v>
      </x:c>
      <x:c r="P1006" s="70" t="str">
        <x:v>Balances direct-name controls across all four size-task identities without changing the recorded trajectory.</x:v>
      </x:c>
    </x:row>
    <x:row r="1007" ht="58" customHeight="1">
      <x:c r="A1007" s="100" t="n">
        <x:v>1005</x:v>
      </x:c>
      <x:c r="B1007" s="69" t="str">
        <x:v>Size Recognition</x:v>
      </x:c>
      <x:c r="C1007" s="69" t="str">
        <x:v>Move the object that is smallest into the bowl.</x:v>
      </x:c>
      <x:c r="D1007" s="69" t="str">
        <x:v>Explicit size grounding</x:v>
      </x:c>
      <x:c r="E1007" s="69" t="str">
        <x:v>smallest</x:v>
      </x:c>
      <x:c r="F1007" s="69" t="str">
        <x:v>size_explicit_smallest_red_pencil_sharpener</x:v>
      </x:c>
      <x:c r="G1007" s="69" t="str">
        <x:v>largest green block; smallest juggling ball</x:v>
      </x:c>
      <x:c r="H1007" s="69" t="str">
        <x:v>No</x:v>
      </x:c>
      <x:c r="I1007" s="69" t="str"/>
      <x:c r="J1007" s="69" t="str">
        <x:v>red pencil sharpener, green block, juggling ball, crushed Pepsi can</x:v>
      </x:c>
      <x:c r="K1007" s="69" t="str">
        <x:v>red pencil sharpener</x:v>
      </x:c>
      <x:c r="L1007" s="69" t="str">
        <x:v>Home</x:v>
      </x:c>
      <x:c r="M1007" s="69" t="str">
        <x:v>Move the object that is smallest into the bowl.</x:v>
      </x:c>
      <x:c r="N1007" s="69" t="str">
        <x:v>red pencil sharpener, green block, juggling ball, crushed Pepsi can</x:v>
      </x:c>
      <x:c r="O1007" s="69" t="str">
        <x:v>red pencil sharpener</x:v>
      </x:c>
      <x:c r="P1007" s="70" t="str">
        <x:v>Explicitly grounds smallest/largest in a trained object-role combination.</x:v>
      </x:c>
    </x:row>
    <x:row r="1008" ht="58" customHeight="1">
      <x:c r="A1008" s="100" t="n">
        <x:v>1006</x:v>
      </x:c>
      <x:c r="B1008" s="69" t="str">
        <x:v>Size Recognition</x:v>
      </x:c>
      <x:c r="C1008" s="69" t="str">
        <x:v>Pick up the smallest item and place it in the bowl.</x:v>
      </x:c>
      <x:c r="D1008" s="69" t="str">
        <x:v>Explicit size grounding</x:v>
      </x:c>
      <x:c r="E1008" s="69" t="str">
        <x:v>smallest</x:v>
      </x:c>
      <x:c r="F1008" s="69" t="str">
        <x:v>size_explicit_smallest_red_pencil_sharpener</x:v>
      </x:c>
      <x:c r="G1008" s="69" t="str">
        <x:v>largest green block; smallest juggling ball</x:v>
      </x:c>
      <x:c r="H1008" s="69" t="str">
        <x:v>No</x:v>
      </x:c>
      <x:c r="I1008" s="69" t="str"/>
      <x:c r="J1008" s="69" t="str">
        <x:v>red pencil sharpener, green block, juggling ball, crushed Pepsi can</x:v>
      </x:c>
      <x:c r="K1008" s="69" t="str">
        <x:v>red pencil sharpener</x:v>
      </x:c>
      <x:c r="L1008" s="69" t="str">
        <x:v>Home</x:v>
      </x:c>
      <x:c r="M1008" s="69" t="str">
        <x:v>Pick up the smallest item and place it in the bowl.</x:v>
      </x:c>
      <x:c r="N1008" s="69" t="str">
        <x:v>red pencil sharpener, green block, juggling ball, crushed Pepsi can</x:v>
      </x:c>
      <x:c r="O1008" s="69" t="str">
        <x:v>red pencil sharpener</x:v>
      </x:c>
      <x:c r="P1008" s="70" t="str">
        <x:v>Explicitly grounds smallest/largest in a trained object-role combination.</x:v>
      </x:c>
    </x:row>
    <x:row r="1009" ht="58" customHeight="1">
      <x:c r="A1009" s="100" t="n">
        <x:v>1007</x:v>
      </x:c>
      <x:c r="B1009" s="69" t="str">
        <x:v>Size Recognition</x:v>
      </x:c>
      <x:c r="C1009" s="69" t="str">
        <x:v>Move the object that is smallest into the bowl.</x:v>
      </x:c>
      <x:c r="D1009" s="69" t="str">
        <x:v>Explicit size grounding</x:v>
      </x:c>
      <x:c r="E1009" s="69" t="str">
        <x:v>smallest</x:v>
      </x:c>
      <x:c r="F1009" s="69" t="str">
        <x:v>size_explicit_smallest_red_pencil_sharpener</x:v>
      </x:c>
      <x:c r="G1009" s="69" t="str">
        <x:v>largest green block; smallest juggling ball</x:v>
      </x:c>
      <x:c r="H1009" s="69" t="str">
        <x:v>No</x:v>
      </x:c>
      <x:c r="I1009" s="69" t="str"/>
      <x:c r="J1009" s="69" t="str">
        <x:v>red pencil sharpener, green block, juggling ball, crushed Pepsi can</x:v>
      </x:c>
      <x:c r="K1009" s="69" t="str">
        <x:v>red pencil sharpener</x:v>
      </x:c>
      <x:c r="L1009" s="69" t="str">
        <x:v>Home</x:v>
      </x:c>
      <x:c r="M1009" s="69" t="str">
        <x:v>Move the object that is smallest into the bowl.</x:v>
      </x:c>
      <x:c r="N1009" s="69" t="str">
        <x:v>red pencil sharpener, green block, juggling ball, crushed Pepsi can</x:v>
      </x:c>
      <x:c r="O1009" s="69" t="str">
        <x:v>red pencil sharpener</x:v>
      </x:c>
      <x:c r="P1009" s="70" t="str">
        <x:v>Explicitly grounds smallest/largest in a trained object-role combination.</x:v>
      </x:c>
    </x:row>
    <x:row r="1010" ht="58" customHeight="1">
      <x:c r="A1010" s="100" t="n">
        <x:v>1008</x:v>
      </x:c>
      <x:c r="B1010" s="69" t="str">
        <x:v>Size Recognition</x:v>
      </x:c>
      <x:c r="C1010" s="69" t="str">
        <x:v>Put the smallest object in the bowl.</x:v>
      </x:c>
      <x:c r="D1010" s="69" t="str">
        <x:v>Explicit size grounding</x:v>
      </x:c>
      <x:c r="E1010" s="69" t="str">
        <x:v>smallest</x:v>
      </x:c>
      <x:c r="F1010" s="69" t="str">
        <x:v>size_explicit_smallest_red_pencil_sharpener</x:v>
      </x:c>
      <x:c r="G1010" s="69" t="str">
        <x:v>largest green block; smallest juggling ball</x:v>
      </x:c>
      <x:c r="H1010" s="69" t="str">
        <x:v>No</x:v>
      </x:c>
      <x:c r="I1010" s="69" t="str"/>
      <x:c r="J1010" s="69" t="str">
        <x:v>red pencil sharpener, green block, juggling ball, crushed Pepsi can</x:v>
      </x:c>
      <x:c r="K1010" s="69" t="str">
        <x:v>red pencil sharpener</x:v>
      </x:c>
      <x:c r="L1010" s="69" t="str">
        <x:v>Home</x:v>
      </x:c>
      <x:c r="M1010" s="69" t="str">
        <x:v>Put the smallest object in the bowl.</x:v>
      </x:c>
      <x:c r="N1010" s="69" t="str">
        <x:v>red pencil sharpener, green block, juggling ball, crushed Pepsi can</x:v>
      </x:c>
      <x:c r="O1010" s="69" t="str">
        <x:v>red pencil sharpener</x:v>
      </x:c>
      <x:c r="P1010" s="70" t="str">
        <x:v>Explicitly grounds smallest/largest in a trained object-role combination.</x:v>
      </x:c>
    </x:row>
    <x:row r="1011" ht="58" customHeight="1">
      <x:c r="A1011" s="100" t="n">
        <x:v>1009</x:v>
      </x:c>
      <x:c r="B1011" s="69" t="str">
        <x:v>Size Recognition</x:v>
      </x:c>
      <x:c r="C1011" s="69" t="str">
        <x:v>Move the object that is smallest into the bowl.</x:v>
      </x:c>
      <x:c r="D1011" s="69" t="str">
        <x:v>Explicit size grounding</x:v>
      </x:c>
      <x:c r="E1011" s="69" t="str">
        <x:v>smallest</x:v>
      </x:c>
      <x:c r="F1011" s="69" t="str">
        <x:v>size_explicit_smallest_red_pencil_sharpener</x:v>
      </x:c>
      <x:c r="G1011" s="69" t="str">
        <x:v>largest green block; smallest juggling ball</x:v>
      </x:c>
      <x:c r="H1011" s="69" t="str">
        <x:v>No</x:v>
      </x:c>
      <x:c r="I1011" s="69" t="str"/>
      <x:c r="J1011" s="69" t="str">
        <x:v>red pencil sharpener, green block, juggling ball, crushed Pepsi can</x:v>
      </x:c>
      <x:c r="K1011" s="69" t="str">
        <x:v>red pencil sharpener</x:v>
      </x:c>
      <x:c r="L1011" s="69" t="str">
        <x:v>Home</x:v>
      </x:c>
      <x:c r="M1011" s="69" t="str">
        <x:v>Move the object that is smallest into the bowl.</x:v>
      </x:c>
      <x:c r="N1011" s="69" t="str">
        <x:v>red pencil sharpener, green block, juggling ball, crushed Pepsi can</x:v>
      </x:c>
      <x:c r="O1011" s="69" t="str">
        <x:v>red pencil sharpener</x:v>
      </x:c>
      <x:c r="P1011" s="70" t="str">
        <x:v>Explicitly grounds smallest/largest in a trained object-role combination.</x:v>
      </x:c>
    </x:row>
    <x:row r="1012" ht="58" customHeight="1">
      <x:c r="A1012" s="100" t="n">
        <x:v>1010</x:v>
      </x:c>
      <x:c r="B1012" s="69" t="str">
        <x:v>Size Recognition</x:v>
      </x:c>
      <x:c r="C1012" s="69" t="str">
        <x:v>Put the smallest object in the bowl.</x:v>
      </x:c>
      <x:c r="D1012" s="69" t="str">
        <x:v>Explicit size grounding</x:v>
      </x:c>
      <x:c r="E1012" s="69" t="str">
        <x:v>smallest</x:v>
      </x:c>
      <x:c r="F1012" s="69" t="str">
        <x:v>size_explicit_smallest_red_pencil_sharpener</x:v>
      </x:c>
      <x:c r="G1012" s="69" t="str">
        <x:v>largest green block; smallest juggling ball</x:v>
      </x:c>
      <x:c r="H1012" s="69" t="str">
        <x:v>No</x:v>
      </x:c>
      <x:c r="I1012" s="69" t="str"/>
      <x:c r="J1012" s="69" t="str">
        <x:v>red pencil sharpener, green block, juggling ball, crushed Pepsi can</x:v>
      </x:c>
      <x:c r="K1012" s="69" t="str">
        <x:v>red pencil sharpener</x:v>
      </x:c>
      <x:c r="L1012" s="69" t="str">
        <x:v>Home</x:v>
      </x:c>
      <x:c r="M1012" s="69" t="str">
        <x:v>Put the smallest object in the bowl.</x:v>
      </x:c>
      <x:c r="N1012" s="69" t="str">
        <x:v>red pencil sharpener, green block, juggling ball, crushed Pepsi can</x:v>
      </x:c>
      <x:c r="O1012" s="69" t="str">
        <x:v>red pencil sharpener</x:v>
      </x:c>
      <x:c r="P1012" s="70" t="str">
        <x:v>Explicitly grounds smallest/largest in a trained object-role combination.</x:v>
      </x:c>
    </x:row>
    <x:row r="1013" ht="58" customHeight="1">
      <x:c r="A1013" s="100" t="n">
        <x:v>1011</x:v>
      </x:c>
      <x:c r="B1013" s="69" t="str">
        <x:v>Size Recognition</x:v>
      </x:c>
      <x:c r="C1013" s="69" t="str">
        <x:v>Pick up the smallest item and place it in the bowl.</x:v>
      </x:c>
      <x:c r="D1013" s="69" t="str">
        <x:v>Explicit size grounding</x:v>
      </x:c>
      <x:c r="E1013" s="69" t="str">
        <x:v>smallest</x:v>
      </x:c>
      <x:c r="F1013" s="69" t="str">
        <x:v>size_explicit_smallest_red_pencil_sharpener</x:v>
      </x:c>
      <x:c r="G1013" s="69" t="str">
        <x:v>largest green block; smallest juggling ball</x:v>
      </x:c>
      <x:c r="H1013" s="69" t="str">
        <x:v>No</x:v>
      </x:c>
      <x:c r="I1013" s="69" t="str"/>
      <x:c r="J1013" s="69" t="str">
        <x:v>red pencil sharpener, green block, juggling ball, crushed Pepsi can</x:v>
      </x:c>
      <x:c r="K1013" s="69" t="str">
        <x:v>red pencil sharpener</x:v>
      </x:c>
      <x:c r="L1013" s="69" t="str">
        <x:v>Home</x:v>
      </x:c>
      <x:c r="M1013" s="69" t="str">
        <x:v>Pick up the smallest item and place it in the bowl.</x:v>
      </x:c>
      <x:c r="N1013" s="69" t="str">
        <x:v>red pencil sharpener, green block, juggling ball, crushed Pepsi can</x:v>
      </x:c>
      <x:c r="O1013" s="69" t="str">
        <x:v>red pencil sharpener</x:v>
      </x:c>
      <x:c r="P1013" s="70" t="str">
        <x:v>Explicitly grounds smallest/largest in a trained object-role combination.</x:v>
      </x:c>
    </x:row>
    <x:row r="1014" ht="58" customHeight="1">
      <x:c r="A1014" s="100" t="n">
        <x:v>1012</x:v>
      </x:c>
      <x:c r="B1014" s="69" t="str">
        <x:v>Size Recognition</x:v>
      </x:c>
      <x:c r="C1014" s="69" t="str">
        <x:v>Put the smallest object in the bowl.</x:v>
      </x:c>
      <x:c r="D1014" s="69" t="str">
        <x:v>Explicit size grounding</x:v>
      </x:c>
      <x:c r="E1014" s="69" t="str">
        <x:v>smallest</x:v>
      </x:c>
      <x:c r="F1014" s="69" t="str">
        <x:v>size_explicit_smallest_red_pencil_sharpener</x:v>
      </x:c>
      <x:c r="G1014" s="69" t="str">
        <x:v>largest green block; smallest juggling ball</x:v>
      </x:c>
      <x:c r="H1014" s="69" t="str">
        <x:v>No</x:v>
      </x:c>
      <x:c r="I1014" s="69" t="str"/>
      <x:c r="J1014" s="69" t="str">
        <x:v>red pencil sharpener, green block, juggling ball, crushed Pepsi can</x:v>
      </x:c>
      <x:c r="K1014" s="69" t="str">
        <x:v>red pencil sharpener</x:v>
      </x:c>
      <x:c r="L1014" s="69" t="str">
        <x:v>Recovery</x:v>
      </x:c>
      <x:c r="M1014" s="69" t="str">
        <x:v>Put the smallest object in the bowl.</x:v>
      </x:c>
      <x:c r="N1014" s="69" t="str">
        <x:v>red pencil sharpener, green block, juggling ball, crushed Pepsi can</x:v>
      </x:c>
      <x:c r="O1014" s="69" t="str">
        <x:v>red pencil sharpener</x:v>
      </x:c>
      <x:c r="P1014" s="70" t="str">
        <x:v>Explicitly grounds smallest/largest in a trained object-role combination.</x:v>
      </x:c>
    </x:row>
    <x:row r="1015" ht="58" customHeight="1">
      <x:c r="A1015" s="100" t="n">
        <x:v>1013</x:v>
      </x:c>
      <x:c r="B1015" s="69" t="str">
        <x:v>Size Recognition</x:v>
      </x:c>
      <x:c r="C1015" s="69" t="str">
        <x:v>Put the smallest object in the bowl.</x:v>
      </x:c>
      <x:c r="D1015" s="69" t="str">
        <x:v>Explicit size grounding</x:v>
      </x:c>
      <x:c r="E1015" s="69" t="str">
        <x:v>smallest</x:v>
      </x:c>
      <x:c r="F1015" s="69" t="str">
        <x:v>size_explicit_smallest_red_pencil_sharpener</x:v>
      </x:c>
      <x:c r="G1015" s="69" t="str">
        <x:v>largest green block; smallest juggling ball</x:v>
      </x:c>
      <x:c r="H1015" s="69" t="str">
        <x:v>No</x:v>
      </x:c>
      <x:c r="I1015" s="69" t="str"/>
      <x:c r="J1015" s="69" t="str">
        <x:v>red pencil sharpener, green block, juggling ball, crushed Pepsi can</x:v>
      </x:c>
      <x:c r="K1015" s="69" t="str">
        <x:v>red pencil sharpener</x:v>
      </x:c>
      <x:c r="L1015" s="69" t="str">
        <x:v>Recovery</x:v>
      </x:c>
      <x:c r="M1015" s="69" t="str">
        <x:v>Put the smallest object in the bowl.</x:v>
      </x:c>
      <x:c r="N1015" s="69" t="str">
        <x:v>red pencil sharpener, green block, juggling ball, crushed Pepsi can</x:v>
      </x:c>
      <x:c r="O1015" s="69" t="str">
        <x:v>red pencil sharpener</x:v>
      </x:c>
      <x:c r="P1015" s="70" t="str">
        <x:v>Explicitly grounds smallest/largest in a trained object-role combination.</x:v>
      </x:c>
    </x:row>
    <x:row r="1016" ht="58" customHeight="1">
      <x:c r="A1016" s="100" t="n">
        <x:v>1014</x:v>
      </x:c>
      <x:c r="B1016" s="69" t="str">
        <x:v>Size Recognition</x:v>
      </x:c>
      <x:c r="C1016" s="69" t="str">
        <x:v>Pick up the smallest item and place it in the bowl.</x:v>
      </x:c>
      <x:c r="D1016" s="69" t="str">
        <x:v>Explicit size grounding</x:v>
      </x:c>
      <x:c r="E1016" s="69" t="str">
        <x:v>smallest</x:v>
      </x:c>
      <x:c r="F1016" s="69" t="str">
        <x:v>size_explicit_smallest_red_pencil_sharpener</x:v>
      </x:c>
      <x:c r="G1016" s="69" t="str">
        <x:v>largest green block; smallest juggling ball</x:v>
      </x:c>
      <x:c r="H1016" s="69" t="str">
        <x:v>No</x:v>
      </x:c>
      <x:c r="I1016" s="69" t="str"/>
      <x:c r="J1016" s="69" t="str">
        <x:v>red pencil sharpener, green block, juggling ball, crushed Pepsi can</x:v>
      </x:c>
      <x:c r="K1016" s="69" t="str">
        <x:v>red pencil sharpener</x:v>
      </x:c>
      <x:c r="L1016" s="69" t="str">
        <x:v>Recovery</x:v>
      </x:c>
      <x:c r="M1016" s="69" t="str">
        <x:v>Pick up the smallest item and place it in the bowl.</x:v>
      </x:c>
      <x:c r="N1016" s="69" t="str">
        <x:v>red pencil sharpener, green block, juggling ball, crushed Pepsi can</x:v>
      </x:c>
      <x:c r="O1016" s="69" t="str">
        <x:v>red pencil sharpener</x:v>
      </x:c>
      <x:c r="P1016" s="70" t="str">
        <x:v>Explicitly grounds smallest/largest in a trained object-role combination.</x:v>
      </x:c>
    </x:row>
    <x:row r="1017" ht="58" customHeight="1">
      <x:c r="A1017" s="100" t="n">
        <x:v>1015</x:v>
      </x:c>
      <x:c r="B1017" s="69" t="str">
        <x:v>Size Recognition</x:v>
      </x:c>
      <x:c r="C1017" s="69" t="str">
        <x:v>Move the object that is smallest into the bowl.</x:v>
      </x:c>
      <x:c r="D1017" s="69" t="str">
        <x:v>Explicit size grounding</x:v>
      </x:c>
      <x:c r="E1017" s="69" t="str">
        <x:v>smallest</x:v>
      </x:c>
      <x:c r="F1017" s="69" t="str">
        <x:v>size_explicit_smallest_red_pencil_sharpener</x:v>
      </x:c>
      <x:c r="G1017" s="69" t="str">
        <x:v>largest green block; smallest juggling ball</x:v>
      </x:c>
      <x:c r="H1017" s="69" t="str">
        <x:v>No</x:v>
      </x:c>
      <x:c r="I1017" s="69" t="str"/>
      <x:c r="J1017" s="69" t="str">
        <x:v>red pencil sharpener, green block, crushed Pepsi can</x:v>
      </x:c>
      <x:c r="K1017" s="69" t="str">
        <x:v>red pencil sharpener</x:v>
      </x:c>
      <x:c r="L1017" s="69" t="str">
        <x:v>Home</x:v>
      </x:c>
      <x:c r="M1017" s="69" t="str">
        <x:v>Move the object that is smallest into the bowl.</x:v>
      </x:c>
      <x:c r="N1017" s="69" t="str">
        <x:v>red pencil sharpener, green block, crushed Pepsi can</x:v>
      </x:c>
      <x:c r="O1017" s="69" t="str">
        <x:v>red pencil sharpener</x:v>
      </x:c>
      <x:c r="P1017" s="70" t="str">
        <x:v>Explicitly grounds smallest/largest in a trained object-role combination.</x:v>
      </x:c>
    </x:row>
    <x:row r="1018" ht="58" customHeight="1">
      <x:c r="A1018" s="100" t="n">
        <x:v>1016</x:v>
      </x:c>
      <x:c r="B1018" s="69" t="str">
        <x:v>Size Recognition</x:v>
      </x:c>
      <x:c r="C1018" s="69" t="str">
        <x:v>Pick up the smallest item and place it in the bowl.</x:v>
      </x:c>
      <x:c r="D1018" s="69" t="str">
        <x:v>Explicit size grounding</x:v>
      </x:c>
      <x:c r="E1018" s="69" t="str">
        <x:v>smallest</x:v>
      </x:c>
      <x:c r="F1018" s="69" t="str">
        <x:v>size_explicit_smallest_red_pencil_sharpener</x:v>
      </x:c>
      <x:c r="G1018" s="69" t="str">
        <x:v>largest green block; smallest juggling ball</x:v>
      </x:c>
      <x:c r="H1018" s="69" t="str">
        <x:v>No</x:v>
      </x:c>
      <x:c r="I1018" s="69" t="str"/>
      <x:c r="J1018" s="69" t="str">
        <x:v>red pencil sharpener, green block, crushed Pepsi can</x:v>
      </x:c>
      <x:c r="K1018" s="69" t="str">
        <x:v>red pencil sharpener</x:v>
      </x:c>
      <x:c r="L1018" s="69" t="str">
        <x:v>Home</x:v>
      </x:c>
      <x:c r="M1018" s="69" t="str">
        <x:v>Pick up the smallest item and place it in the bowl.</x:v>
      </x:c>
      <x:c r="N1018" s="69" t="str">
        <x:v>red pencil sharpener, green block, crushed Pepsi can</x:v>
      </x:c>
      <x:c r="O1018" s="69" t="str">
        <x:v>red pencil sharpener</x:v>
      </x:c>
      <x:c r="P1018" s="70" t="str">
        <x:v>Explicitly grounds smallest/largest in a trained object-role combination.</x:v>
      </x:c>
    </x:row>
    <x:row r="1019" ht="58" customHeight="1">
      <x:c r="A1019" s="100" t="n">
        <x:v>1017</x:v>
      </x:c>
      <x:c r="B1019" s="69" t="str">
        <x:v>Size Recognition</x:v>
      </x:c>
      <x:c r="C1019" s="69" t="str">
        <x:v>Move the object that is smallest into the bowl.</x:v>
      </x:c>
      <x:c r="D1019" s="69" t="str">
        <x:v>Explicit size grounding</x:v>
      </x:c>
      <x:c r="E1019" s="69" t="str">
        <x:v>smallest</x:v>
      </x:c>
      <x:c r="F1019" s="69" t="str">
        <x:v>size_explicit_smallest_red_pencil_sharpener</x:v>
      </x:c>
      <x:c r="G1019" s="69" t="str">
        <x:v>largest green block; smallest juggling ball</x:v>
      </x:c>
      <x:c r="H1019" s="69" t="str">
        <x:v>No</x:v>
      </x:c>
      <x:c r="I1019" s="69" t="str"/>
      <x:c r="J1019" s="69" t="str">
        <x:v>red pencil sharpener, green block, crushed Pepsi can</x:v>
      </x:c>
      <x:c r="K1019" s="69" t="str">
        <x:v>red pencil sharpener</x:v>
      </x:c>
      <x:c r="L1019" s="69" t="str">
        <x:v>Home</x:v>
      </x:c>
      <x:c r="M1019" s="69" t="str">
        <x:v>Move the object that is smallest into the bowl.</x:v>
      </x:c>
      <x:c r="N1019" s="69" t="str">
        <x:v>red pencil sharpener, green block, crushed Pepsi can</x:v>
      </x:c>
      <x:c r="O1019" s="69" t="str">
        <x:v>red pencil sharpener</x:v>
      </x:c>
      <x:c r="P1019" s="70" t="str">
        <x:v>Explicitly grounds smallest/largest in a trained object-role combination.</x:v>
      </x:c>
    </x:row>
    <x:row r="1020" ht="58" customHeight="1">
      <x:c r="A1020" s="100" t="n">
        <x:v>1018</x:v>
      </x:c>
      <x:c r="B1020" s="69" t="str">
        <x:v>Size Recognition</x:v>
      </x:c>
      <x:c r="C1020" s="69" t="str">
        <x:v>Pick up the smallest item and place it in the bowl.</x:v>
      </x:c>
      <x:c r="D1020" s="69" t="str">
        <x:v>Explicit size grounding</x:v>
      </x:c>
      <x:c r="E1020" s="69" t="str">
        <x:v>smallest</x:v>
      </x:c>
      <x:c r="F1020" s="69" t="str">
        <x:v>size_explicit_smallest_red_pencil_sharpener</x:v>
      </x:c>
      <x:c r="G1020" s="69" t="str">
        <x:v>largest green block; smallest juggling ball</x:v>
      </x:c>
      <x:c r="H1020" s="69" t="str">
        <x:v>No</x:v>
      </x:c>
      <x:c r="I1020" s="69" t="str"/>
      <x:c r="J1020" s="69" t="str">
        <x:v>red pencil sharpener, green block, crushed Pepsi can</x:v>
      </x:c>
      <x:c r="K1020" s="69" t="str">
        <x:v>red pencil sharpener</x:v>
      </x:c>
      <x:c r="L1020" s="69" t="str">
        <x:v>Home</x:v>
      </x:c>
      <x:c r="M1020" s="69" t="str">
        <x:v>Pick up the smallest item and place it in the bowl.</x:v>
      </x:c>
      <x:c r="N1020" s="69" t="str">
        <x:v>red pencil sharpener, green block, crushed Pepsi can</x:v>
      </x:c>
      <x:c r="O1020" s="69" t="str">
        <x:v>red pencil sharpener</x:v>
      </x:c>
      <x:c r="P1020" s="70" t="str">
        <x:v>Explicitly grounds smallest/largest in a trained object-role combination.</x:v>
      </x:c>
    </x:row>
    <x:row r="1021" ht="58" customHeight="1">
      <x:c r="A1021" s="100" t="n">
        <x:v>1019</x:v>
      </x:c>
      <x:c r="B1021" s="69" t="str">
        <x:v>Size Recognition</x:v>
      </x:c>
      <x:c r="C1021" s="69" t="str">
        <x:v>Move the object that is smallest into the bowl.</x:v>
      </x:c>
      <x:c r="D1021" s="69" t="str">
        <x:v>Explicit size grounding</x:v>
      </x:c>
      <x:c r="E1021" s="69" t="str">
        <x:v>smallest</x:v>
      </x:c>
      <x:c r="F1021" s="69" t="str">
        <x:v>size_explicit_smallest_red_pencil_sharpener</x:v>
      </x:c>
      <x:c r="G1021" s="69" t="str">
        <x:v>largest green block; smallest juggling ball</x:v>
      </x:c>
      <x:c r="H1021" s="69" t="str">
        <x:v>No</x:v>
      </x:c>
      <x:c r="I1021" s="69" t="str"/>
      <x:c r="J1021" s="69" t="str">
        <x:v>red pencil sharpener, green block, crushed Pepsi can</x:v>
      </x:c>
      <x:c r="K1021" s="69" t="str">
        <x:v>red pencil sharpener</x:v>
      </x:c>
      <x:c r="L1021" s="69" t="str">
        <x:v>Home</x:v>
      </x:c>
      <x:c r="M1021" s="69" t="str">
        <x:v>Move the object that is smallest into the bowl.</x:v>
      </x:c>
      <x:c r="N1021" s="69" t="str">
        <x:v>red pencil sharpener, green block, crushed Pepsi can</x:v>
      </x:c>
      <x:c r="O1021" s="69" t="str">
        <x:v>red pencil sharpener</x:v>
      </x:c>
      <x:c r="P1021" s="70" t="str">
        <x:v>Explicitly grounds smallest/largest in a trained object-role combination.</x:v>
      </x:c>
    </x:row>
    <x:row r="1022" ht="58" customHeight="1">
      <x:c r="A1022" s="100" t="n">
        <x:v>1020</x:v>
      </x:c>
      <x:c r="B1022" s="69" t="str">
        <x:v>Size Recognition</x:v>
      </x:c>
      <x:c r="C1022" s="69" t="str">
        <x:v>Pick up the smallest item and place it in the bowl.</x:v>
      </x:c>
      <x:c r="D1022" s="69" t="str">
        <x:v>Explicit size grounding</x:v>
      </x:c>
      <x:c r="E1022" s="69" t="str">
        <x:v>smallest</x:v>
      </x:c>
      <x:c r="F1022" s="69" t="str">
        <x:v>size_explicit_smallest_red_pencil_sharpener</x:v>
      </x:c>
      <x:c r="G1022" s="69" t="str">
        <x:v>largest green block; smallest juggling ball</x:v>
      </x:c>
      <x:c r="H1022" s="69" t="str">
        <x:v>No</x:v>
      </x:c>
      <x:c r="I1022" s="69" t="str"/>
      <x:c r="J1022" s="69" t="str">
        <x:v>red pencil sharpener, green block, crushed Pepsi can</x:v>
      </x:c>
      <x:c r="K1022" s="69" t="str">
        <x:v>red pencil sharpener</x:v>
      </x:c>
      <x:c r="L1022" s="69" t="str">
        <x:v>Home</x:v>
      </x:c>
      <x:c r="M1022" s="69" t="str">
        <x:v>Pick up the smallest item and place it in the bowl.</x:v>
      </x:c>
      <x:c r="N1022" s="69" t="str">
        <x:v>red pencil sharpener, green block, crushed Pepsi can</x:v>
      </x:c>
      <x:c r="O1022" s="69" t="str">
        <x:v>red pencil sharpener</x:v>
      </x:c>
      <x:c r="P1022" s="70" t="str">
        <x:v>Explicitly grounds smallest/largest in a trained object-role combination.</x:v>
      </x:c>
    </x:row>
    <x:row r="1023" ht="58" customHeight="1">
      <x:c r="A1023" s="100" t="n">
        <x:v>1021</x:v>
      </x:c>
      <x:c r="B1023" s="69" t="str">
        <x:v>Size Recognition</x:v>
      </x:c>
      <x:c r="C1023" s="69" t="str">
        <x:v>Move the object that is smallest into the bowl.</x:v>
      </x:c>
      <x:c r="D1023" s="69" t="str">
        <x:v>Explicit size grounding</x:v>
      </x:c>
      <x:c r="E1023" s="69" t="str">
        <x:v>smallest</x:v>
      </x:c>
      <x:c r="F1023" s="69" t="str">
        <x:v>size_explicit_smallest_red_pencil_sharpener</x:v>
      </x:c>
      <x:c r="G1023" s="69" t="str">
        <x:v>largest green block; smallest juggling ball</x:v>
      </x:c>
      <x:c r="H1023" s="69" t="str">
        <x:v>No</x:v>
      </x:c>
      <x:c r="I1023" s="69" t="str"/>
      <x:c r="J1023" s="69" t="str">
        <x:v>red pencil sharpener, green block, crushed Pepsi can</x:v>
      </x:c>
      <x:c r="K1023" s="69" t="str">
        <x:v>red pencil sharpener</x:v>
      </x:c>
      <x:c r="L1023" s="69" t="str">
        <x:v>Home</x:v>
      </x:c>
      <x:c r="M1023" s="69" t="str">
        <x:v>Move the object that is smallest into the bowl.</x:v>
      </x:c>
      <x:c r="N1023" s="69" t="str">
        <x:v>red pencil sharpener, green block, crushed Pepsi can</x:v>
      </x:c>
      <x:c r="O1023" s="69" t="str">
        <x:v>red pencil sharpener</x:v>
      </x:c>
      <x:c r="P1023" s="70" t="str">
        <x:v>Explicitly grounds smallest/largest in a trained object-role combination.</x:v>
      </x:c>
    </x:row>
    <x:row r="1024" ht="58" customHeight="1">
      <x:c r="A1024" s="100" t="n">
        <x:v>1022</x:v>
      </x:c>
      <x:c r="B1024" s="69" t="str">
        <x:v>Size Recognition</x:v>
      </x:c>
      <x:c r="C1024" s="69" t="str">
        <x:v>Put the smallest object in the bowl.</x:v>
      </x:c>
      <x:c r="D1024" s="69" t="str">
        <x:v>Explicit size grounding</x:v>
      </x:c>
      <x:c r="E1024" s="69" t="str">
        <x:v>smallest</x:v>
      </x:c>
      <x:c r="F1024" s="69" t="str">
        <x:v>size_explicit_smallest_red_pencil_sharpener</x:v>
      </x:c>
      <x:c r="G1024" s="69" t="str">
        <x:v>largest green block; smallest juggling ball</x:v>
      </x:c>
      <x:c r="H1024" s="69" t="str">
        <x:v>No</x:v>
      </x:c>
      <x:c r="I1024" s="69" t="str"/>
      <x:c r="J1024" s="69" t="str">
        <x:v>red pencil sharpener, green block, crushed Pepsi can</x:v>
      </x:c>
      <x:c r="K1024" s="69" t="str">
        <x:v>red pencil sharpener</x:v>
      </x:c>
      <x:c r="L1024" s="69" t="str">
        <x:v>Home</x:v>
      </x:c>
      <x:c r="M1024" s="69" t="str">
        <x:v>Put the smallest object in the bowl.</x:v>
      </x:c>
      <x:c r="N1024" s="69" t="str">
        <x:v>red pencil sharpener, green block, crushed Pepsi can</x:v>
      </x:c>
      <x:c r="O1024" s="69" t="str">
        <x:v>red pencil sharpener</x:v>
      </x:c>
      <x:c r="P1024" s="70" t="str">
        <x:v>Explicitly grounds smallest/largest in a trained object-role combination.</x:v>
      </x:c>
    </x:row>
    <x:row r="1025" ht="58" customHeight="1">
      <x:c r="A1025" s="100" t="n">
        <x:v>1023</x:v>
      </x:c>
      <x:c r="B1025" s="69" t="str">
        <x:v>Size Recognition</x:v>
      </x:c>
      <x:c r="C1025" s="69" t="str">
        <x:v>Move the object that is smallest into the bowl.</x:v>
      </x:c>
      <x:c r="D1025" s="69" t="str">
        <x:v>Explicit size grounding</x:v>
      </x:c>
      <x:c r="E1025" s="69" t="str">
        <x:v>smallest</x:v>
      </x:c>
      <x:c r="F1025" s="69" t="str">
        <x:v>size_explicit_smallest_red_pencil_sharpener</x:v>
      </x:c>
      <x:c r="G1025" s="69" t="str">
        <x:v>largest green block; smallest juggling ball</x:v>
      </x:c>
      <x:c r="H1025" s="69" t="str">
        <x:v>No</x:v>
      </x:c>
      <x:c r="I1025" s="69" t="str"/>
      <x:c r="J1025" s="69" t="str">
        <x:v>red pencil sharpener, green block, crushed Pepsi can</x:v>
      </x:c>
      <x:c r="K1025" s="69" t="str">
        <x:v>red pencil sharpener</x:v>
      </x:c>
      <x:c r="L1025" s="69" t="str">
        <x:v>Home</x:v>
      </x:c>
      <x:c r="M1025" s="69" t="str">
        <x:v>Move the object that is smallest into the bowl.</x:v>
      </x:c>
      <x:c r="N1025" s="69" t="str">
        <x:v>red pencil sharpener, green block, crushed Pepsi can</x:v>
      </x:c>
      <x:c r="O1025" s="69" t="str">
        <x:v>red pencil sharpener</x:v>
      </x:c>
      <x:c r="P1025" s="70" t="str">
        <x:v>Explicitly grounds smallest/largest in a trained object-role combination.</x:v>
      </x:c>
    </x:row>
    <x:row r="1026" ht="58" customHeight="1">
      <x:c r="A1026" s="100" t="n">
        <x:v>1024</x:v>
      </x:c>
      <x:c r="B1026" s="69" t="str">
        <x:v>Size Recognition</x:v>
      </x:c>
      <x:c r="C1026" s="69" t="str">
        <x:v>Move the object that is smallest into the bowl.</x:v>
      </x:c>
      <x:c r="D1026" s="69" t="str">
        <x:v>Explicit size grounding</x:v>
      </x:c>
      <x:c r="E1026" s="69" t="str">
        <x:v>smallest</x:v>
      </x:c>
      <x:c r="F1026" s="69" t="str">
        <x:v>size_explicit_smallest_red_pencil_sharpener</x:v>
      </x:c>
      <x:c r="G1026" s="69" t="str">
        <x:v>largest green block; smallest juggling ball</x:v>
      </x:c>
      <x:c r="H1026" s="69" t="str">
        <x:v>No</x:v>
      </x:c>
      <x:c r="I1026" s="69" t="str"/>
      <x:c r="J1026" s="69" t="str">
        <x:v>red pencil sharpener, green block, crushed Pepsi can</x:v>
      </x:c>
      <x:c r="K1026" s="69" t="str">
        <x:v>red pencil sharpener</x:v>
      </x:c>
      <x:c r="L1026" s="69" t="str">
        <x:v>Home</x:v>
      </x:c>
      <x:c r="M1026" s="69" t="str">
        <x:v>Move the object that is smallest into the bowl.</x:v>
      </x:c>
      <x:c r="N1026" s="69" t="str">
        <x:v>red pencil sharpener, green block, crushed Pepsi can</x:v>
      </x:c>
      <x:c r="O1026" s="69" t="str">
        <x:v>red pencil sharpener</x:v>
      </x:c>
      <x:c r="P1026" s="70" t="str">
        <x:v>Explicitly grounds smallest/largest in a trained object-role combination.</x:v>
      </x:c>
    </x:row>
    <x:row r="1027" ht="58" customHeight="1">
      <x:c r="A1027" s="100" t="n">
        <x:v>1025</x:v>
      </x:c>
      <x:c r="B1027" s="69" t="str">
        <x:v>Size Recognition</x:v>
      </x:c>
      <x:c r="C1027" s="69" t="str">
        <x:v>Move the object that is smallest into the bowl.</x:v>
      </x:c>
      <x:c r="D1027" s="69" t="str">
        <x:v>Explicit size grounding</x:v>
      </x:c>
      <x:c r="E1027" s="69" t="str">
        <x:v>smallest</x:v>
      </x:c>
      <x:c r="F1027" s="69" t="str">
        <x:v>size_explicit_smallest_red_pencil_sharpener</x:v>
      </x:c>
      <x:c r="G1027" s="69" t="str">
        <x:v>largest green block; smallest juggling ball</x:v>
      </x:c>
      <x:c r="H1027" s="69" t="str">
        <x:v>No</x:v>
      </x:c>
      <x:c r="I1027" s="69" t="str"/>
      <x:c r="J1027" s="69" t="str">
        <x:v>red pencil sharpener, green block, crushed Pepsi can</x:v>
      </x:c>
      <x:c r="K1027" s="69" t="str">
        <x:v>red pencil sharpener</x:v>
      </x:c>
      <x:c r="L1027" s="69" t="str">
        <x:v>Home</x:v>
      </x:c>
      <x:c r="M1027" s="69" t="str">
        <x:v>Move the object that is smallest into the bowl.</x:v>
      </x:c>
      <x:c r="N1027" s="69" t="str">
        <x:v>red pencil sharpener, green block, crushed Pepsi can</x:v>
      </x:c>
      <x:c r="O1027" s="69" t="str">
        <x:v>red pencil sharpener</x:v>
      </x:c>
      <x:c r="P1027" s="70" t="str">
        <x:v>Explicitly grounds smallest/largest in a trained object-role combination.</x:v>
      </x:c>
    </x:row>
    <x:row r="1028" ht="58" customHeight="1">
      <x:c r="A1028" s="100" t="n">
        <x:v>1026</x:v>
      </x:c>
      <x:c r="B1028" s="69" t="str">
        <x:v>Size Recognition</x:v>
      </x:c>
      <x:c r="C1028" s="69" t="str">
        <x:v>Pick up the smallest item and place it in the bowl.</x:v>
      </x:c>
      <x:c r="D1028" s="69" t="str">
        <x:v>Explicit size grounding</x:v>
      </x:c>
      <x:c r="E1028" s="69" t="str">
        <x:v>smallest</x:v>
      </x:c>
      <x:c r="F1028" s="69" t="str">
        <x:v>size_explicit_smallest_red_pencil_sharpener</x:v>
      </x:c>
      <x:c r="G1028" s="69" t="str">
        <x:v>largest green block; smallest juggling ball</x:v>
      </x:c>
      <x:c r="H1028" s="69" t="str">
        <x:v>No</x:v>
      </x:c>
      <x:c r="I1028" s="69" t="str"/>
      <x:c r="J1028" s="69" t="str">
        <x:v>red pencil sharpener, green block, crushed Pepsi can</x:v>
      </x:c>
      <x:c r="K1028" s="69" t="str">
        <x:v>red pencil sharpener</x:v>
      </x:c>
      <x:c r="L1028" s="69" t="str">
        <x:v>Home</x:v>
      </x:c>
      <x:c r="M1028" s="69" t="str">
        <x:v>Pick up the smallest item and place it in the bowl.</x:v>
      </x:c>
      <x:c r="N1028" s="69" t="str">
        <x:v>red pencil sharpener, green block, crushed Pepsi can</x:v>
      </x:c>
      <x:c r="O1028" s="69" t="str">
        <x:v>red pencil sharpener</x:v>
      </x:c>
      <x:c r="P1028" s="70" t="str">
        <x:v>Explicitly grounds smallest/largest in a trained object-role combination.</x:v>
      </x:c>
    </x:row>
    <x:row r="1029" ht="58" customHeight="1">
      <x:c r="A1029" s="100" t="n">
        <x:v>1027</x:v>
      </x:c>
      <x:c r="B1029" s="69" t="str">
        <x:v>Size Recognition</x:v>
      </x:c>
      <x:c r="C1029" s="69" t="str">
        <x:v>Pick up the smallest item and place it in the bowl.</x:v>
      </x:c>
      <x:c r="D1029" s="69" t="str">
        <x:v>Explicit size grounding</x:v>
      </x:c>
      <x:c r="E1029" s="69" t="str">
        <x:v>smallest</x:v>
      </x:c>
      <x:c r="F1029" s="69" t="str">
        <x:v>size_explicit_smallest_red_pencil_sharpener</x:v>
      </x:c>
      <x:c r="G1029" s="69" t="str">
        <x:v>largest green block; smallest juggling ball</x:v>
      </x:c>
      <x:c r="H1029" s="69" t="str">
        <x:v>No</x:v>
      </x:c>
      <x:c r="I1029" s="69" t="str"/>
      <x:c r="J1029" s="69" t="str">
        <x:v>red pencil sharpener, green block, crushed Pepsi can</x:v>
      </x:c>
      <x:c r="K1029" s="69" t="str">
        <x:v>red pencil sharpener</x:v>
      </x:c>
      <x:c r="L1029" s="69" t="str">
        <x:v>Recovery</x:v>
      </x:c>
      <x:c r="M1029" s="69" t="str">
        <x:v>Pick up the smallest item and place it in the bowl.</x:v>
      </x:c>
      <x:c r="N1029" s="69" t="str">
        <x:v>red pencil sharpener, green block, crushed Pepsi can</x:v>
      </x:c>
      <x:c r="O1029" s="69" t="str">
        <x:v>red pencil sharpener</x:v>
      </x:c>
      <x:c r="P1029" s="70" t="str">
        <x:v>Explicitly grounds smallest/largest in a trained object-role combination.</x:v>
      </x:c>
    </x:row>
    <x:row r="1030" ht="58" customHeight="1">
      <x:c r="A1030" s="100" t="n">
        <x:v>1028</x:v>
      </x:c>
      <x:c r="B1030" s="69" t="str">
        <x:v>Size Recognition</x:v>
      </x:c>
      <x:c r="C1030" s="69" t="str">
        <x:v>Put the smallest object in the bowl.</x:v>
      </x:c>
      <x:c r="D1030" s="69" t="str">
        <x:v>Explicit size grounding</x:v>
      </x:c>
      <x:c r="E1030" s="69" t="str">
        <x:v>smallest</x:v>
      </x:c>
      <x:c r="F1030" s="69" t="str">
        <x:v>size_explicit_smallest_red_pencil_sharpener</x:v>
      </x:c>
      <x:c r="G1030" s="69" t="str">
        <x:v>largest green block; smallest juggling ball</x:v>
      </x:c>
      <x:c r="H1030" s="69" t="str">
        <x:v>No</x:v>
      </x:c>
      <x:c r="I1030" s="69" t="str"/>
      <x:c r="J1030" s="69" t="str">
        <x:v>red pencil sharpener, green block, crushed Pepsi can</x:v>
      </x:c>
      <x:c r="K1030" s="69" t="str">
        <x:v>red pencil sharpener</x:v>
      </x:c>
      <x:c r="L1030" s="69" t="str">
        <x:v>Recovery</x:v>
      </x:c>
      <x:c r="M1030" s="69" t="str">
        <x:v>Put the smallest object in the bowl.</x:v>
      </x:c>
      <x:c r="N1030" s="69" t="str">
        <x:v>red pencil sharpener, green block, crushed Pepsi can</x:v>
      </x:c>
      <x:c r="O1030" s="69" t="str">
        <x:v>red pencil sharpener</x:v>
      </x:c>
      <x:c r="P1030" s="70" t="str">
        <x:v>Explicitly grounds smallest/largest in a trained object-role combination.</x:v>
      </x:c>
    </x:row>
    <x:row r="1031" ht="58" customHeight="1">
      <x:c r="A1031" s="100" t="n">
        <x:v>1029</x:v>
      </x:c>
      <x:c r="B1031" s="69" t="str">
        <x:v>Size Recognition</x:v>
      </x:c>
      <x:c r="C1031" s="69" t="str">
        <x:v>Move the object that is smallest into the bowl.</x:v>
      </x:c>
      <x:c r="D1031" s="69" t="str">
        <x:v>Explicit size grounding</x:v>
      </x:c>
      <x:c r="E1031" s="69" t="str">
        <x:v>smallest</x:v>
      </x:c>
      <x:c r="F1031" s="69" t="str">
        <x:v>size_explicit_smallest_red_pencil_sharpener</x:v>
      </x:c>
      <x:c r="G1031" s="69" t="str">
        <x:v>largest green block; smallest juggling ball</x:v>
      </x:c>
      <x:c r="H1031" s="69" t="str">
        <x:v>No</x:v>
      </x:c>
      <x:c r="I1031" s="69" t="str"/>
      <x:c r="J1031" s="69" t="str">
        <x:v>red pencil sharpener, green block, crushed Pepsi can</x:v>
      </x:c>
      <x:c r="K1031" s="69" t="str">
        <x:v>red pencil sharpener</x:v>
      </x:c>
      <x:c r="L1031" s="69" t="str">
        <x:v>Recovery</x:v>
      </x:c>
      <x:c r="M1031" s="69" t="str">
        <x:v>Move the object that is smallest into the bowl.</x:v>
      </x:c>
      <x:c r="N1031" s="69" t="str">
        <x:v>red pencil sharpener, green block, crushed Pepsi can</x:v>
      </x:c>
      <x:c r="O1031" s="69" t="str">
        <x:v>red pencil sharpener</x:v>
      </x:c>
      <x:c r="P1031" s="70" t="str">
        <x:v>Explicitly grounds smallest/largest in a trained object-role combination.</x:v>
      </x:c>
    </x:row>
    <x:row r="1032" ht="58" customHeight="1">
      <x:c r="A1032" s="100" t="n">
        <x:v>1030</x:v>
      </x:c>
      <x:c r="B1032" s="69" t="str">
        <x:v>Size Recognition</x:v>
      </x:c>
      <x:c r="C1032" s="69" t="str">
        <x:v>Put the smallest object in the bowl.</x:v>
      </x:c>
      <x:c r="D1032" s="69" t="str">
        <x:v>Explicit size grounding</x:v>
      </x:c>
      <x:c r="E1032" s="69" t="str">
        <x:v>smallest</x:v>
      </x:c>
      <x:c r="F1032" s="69" t="str">
        <x:v>size_explicit_smallest_red_pencil_sharpener</x:v>
      </x:c>
      <x:c r="G1032" s="69" t="str">
        <x:v>largest green block; smallest juggling ball</x:v>
      </x:c>
      <x:c r="H1032" s="69" t="str">
        <x:v>No</x:v>
      </x:c>
      <x:c r="I1032" s="69" t="str"/>
      <x:c r="J1032" s="69" t="str">
        <x:v>red pencil sharpener, juggling ball</x:v>
      </x:c>
      <x:c r="K1032" s="69" t="str">
        <x:v>red pencil sharpener</x:v>
      </x:c>
      <x:c r="L1032" s="69" t="str">
        <x:v>Home</x:v>
      </x:c>
      <x:c r="M1032" s="69" t="str">
        <x:v>Put the smallest object in the bowl.</x:v>
      </x:c>
      <x:c r="N1032" s="69" t="str">
        <x:v>red pencil sharpener, juggling ball</x:v>
      </x:c>
      <x:c r="O1032" s="69" t="str">
        <x:v>red pencil sharpener</x:v>
      </x:c>
      <x:c r="P1032" s="70" t="str">
        <x:v>Explicitly grounds smallest/largest in a trained object-role combination.</x:v>
      </x:c>
    </x:row>
    <x:row r="1033" ht="58" customHeight="1">
      <x:c r="A1033" s="100" t="n">
        <x:v>1031</x:v>
      </x:c>
      <x:c r="B1033" s="69" t="str">
        <x:v>Size Recognition</x:v>
      </x:c>
      <x:c r="C1033" s="69" t="str">
        <x:v>Pick up the smallest item and place it in the bowl.</x:v>
      </x:c>
      <x:c r="D1033" s="69" t="str">
        <x:v>Explicit size grounding</x:v>
      </x:c>
      <x:c r="E1033" s="69" t="str">
        <x:v>smallest</x:v>
      </x:c>
      <x:c r="F1033" s="69" t="str">
        <x:v>size_explicit_smallest_red_pencil_sharpener</x:v>
      </x:c>
      <x:c r="G1033" s="69" t="str">
        <x:v>largest green block; smallest juggling ball</x:v>
      </x:c>
      <x:c r="H1033" s="69" t="str">
        <x:v>No</x:v>
      </x:c>
      <x:c r="I1033" s="69" t="str"/>
      <x:c r="J1033" s="69" t="str">
        <x:v>red pencil sharpener, juggling ball</x:v>
      </x:c>
      <x:c r="K1033" s="69" t="str">
        <x:v>red pencil sharpener</x:v>
      </x:c>
      <x:c r="L1033" s="69" t="str">
        <x:v>Home</x:v>
      </x:c>
      <x:c r="M1033" s="69" t="str">
        <x:v>Pick up the smallest item and place it in the bowl.</x:v>
      </x:c>
      <x:c r="N1033" s="69" t="str">
        <x:v>red pencil sharpener, juggling ball</x:v>
      </x:c>
      <x:c r="O1033" s="69" t="str">
        <x:v>red pencil sharpener</x:v>
      </x:c>
      <x:c r="P1033" s="70" t="str">
        <x:v>Explicitly grounds smallest/largest in a trained object-role combination.</x:v>
      </x:c>
    </x:row>
    <x:row r="1034" ht="58" customHeight="1">
      <x:c r="A1034" s="100" t="n">
        <x:v>1032</x:v>
      </x:c>
      <x:c r="B1034" s="69" t="str">
        <x:v>Size Recognition</x:v>
      </x:c>
      <x:c r="C1034" s="69" t="str">
        <x:v>Put the smallest object in the bowl.</x:v>
      </x:c>
      <x:c r="D1034" s="69" t="str">
        <x:v>Explicit size grounding</x:v>
      </x:c>
      <x:c r="E1034" s="69" t="str">
        <x:v>smallest</x:v>
      </x:c>
      <x:c r="F1034" s="69" t="str">
        <x:v>size_explicit_smallest_red_pencil_sharpener</x:v>
      </x:c>
      <x:c r="G1034" s="69" t="str">
        <x:v>largest green block; smallest juggling ball</x:v>
      </x:c>
      <x:c r="H1034" s="69" t="str">
        <x:v>No</x:v>
      </x:c>
      <x:c r="I1034" s="69" t="str"/>
      <x:c r="J1034" s="69" t="str">
        <x:v>red pencil sharpener, juggling ball</x:v>
      </x:c>
      <x:c r="K1034" s="69" t="str">
        <x:v>red pencil sharpener</x:v>
      </x:c>
      <x:c r="L1034" s="69" t="str">
        <x:v>Home</x:v>
      </x:c>
      <x:c r="M1034" s="69" t="str">
        <x:v>Put the smallest object in the bowl.</x:v>
      </x:c>
      <x:c r="N1034" s="69" t="str">
        <x:v>red pencil sharpener, juggling ball</x:v>
      </x:c>
      <x:c r="O1034" s="69" t="str">
        <x:v>red pencil sharpener</x:v>
      </x:c>
      <x:c r="P1034" s="70" t="str">
        <x:v>Explicitly grounds smallest/largest in a trained object-role combination.</x:v>
      </x:c>
    </x:row>
    <x:row r="1035" ht="58" customHeight="1">
      <x:c r="A1035" s="100" t="n">
        <x:v>1033</x:v>
      </x:c>
      <x:c r="B1035" s="69" t="str">
        <x:v>Size Recognition</x:v>
      </x:c>
      <x:c r="C1035" s="69" t="str">
        <x:v>Pick up the smallest item and place it in the bowl.</x:v>
      </x:c>
      <x:c r="D1035" s="69" t="str">
        <x:v>Explicit size grounding</x:v>
      </x:c>
      <x:c r="E1035" s="69" t="str">
        <x:v>smallest</x:v>
      </x:c>
      <x:c r="F1035" s="69" t="str">
        <x:v>size_explicit_smallest_red_pencil_sharpener</x:v>
      </x:c>
      <x:c r="G1035" s="69" t="str">
        <x:v>largest green block; smallest juggling ball</x:v>
      </x:c>
      <x:c r="H1035" s="69" t="str">
        <x:v>No</x:v>
      </x:c>
      <x:c r="I1035" s="69" t="str"/>
      <x:c r="J1035" s="69" t="str">
        <x:v>red pencil sharpener, juggling ball</x:v>
      </x:c>
      <x:c r="K1035" s="69" t="str">
        <x:v>red pencil sharpener</x:v>
      </x:c>
      <x:c r="L1035" s="69" t="str">
        <x:v>Home</x:v>
      </x:c>
      <x:c r="M1035" s="69" t="str">
        <x:v>Pick up the smallest item and place it in the bowl.</x:v>
      </x:c>
      <x:c r="N1035" s="69" t="str">
        <x:v>red pencil sharpener, juggling ball</x:v>
      </x:c>
      <x:c r="O1035" s="69" t="str">
        <x:v>red pencil sharpener</x:v>
      </x:c>
      <x:c r="P1035" s="70" t="str">
        <x:v>Explicitly grounds smallest/largest in a trained object-role combination.</x:v>
      </x:c>
    </x:row>
    <x:row r="1036" ht="58" customHeight="1">
      <x:c r="A1036" s="100" t="n">
        <x:v>1034</x:v>
      </x:c>
      <x:c r="B1036" s="69" t="str">
        <x:v>Size Recognition</x:v>
      </x:c>
      <x:c r="C1036" s="69" t="str">
        <x:v>Move the object that is smallest into the bowl.</x:v>
      </x:c>
      <x:c r="D1036" s="69" t="str">
        <x:v>Explicit size grounding</x:v>
      </x:c>
      <x:c r="E1036" s="69" t="str">
        <x:v>smallest</x:v>
      </x:c>
      <x:c r="F1036" s="69" t="str">
        <x:v>size_explicit_smallest_red_pencil_sharpener</x:v>
      </x:c>
      <x:c r="G1036" s="69" t="str">
        <x:v>largest green block; smallest juggling ball</x:v>
      </x:c>
      <x:c r="H1036" s="69" t="str">
        <x:v>No</x:v>
      </x:c>
      <x:c r="I1036" s="69" t="str"/>
      <x:c r="J1036" s="69" t="str">
        <x:v>red pencil sharpener, juggling ball</x:v>
      </x:c>
      <x:c r="K1036" s="69" t="str">
        <x:v>red pencil sharpener</x:v>
      </x:c>
      <x:c r="L1036" s="69" t="str">
        <x:v>Home</x:v>
      </x:c>
      <x:c r="M1036" s="69" t="str">
        <x:v>Move the object that is smallest into the bowl.</x:v>
      </x:c>
      <x:c r="N1036" s="69" t="str">
        <x:v>red pencil sharpener, juggling ball</x:v>
      </x:c>
      <x:c r="O1036" s="69" t="str">
        <x:v>red pencil sharpener</x:v>
      </x:c>
      <x:c r="P1036" s="70" t="str">
        <x:v>Explicitly grounds smallest/largest in a trained object-role combination.</x:v>
      </x:c>
    </x:row>
    <x:row r="1037" ht="58" customHeight="1">
      <x:c r="A1037" s="100" t="n">
        <x:v>1035</x:v>
      </x:c>
      <x:c r="B1037" s="69" t="str">
        <x:v>Size Recognition</x:v>
      </x:c>
      <x:c r="C1037" s="69" t="str">
        <x:v>Put the smallest object in the bowl.</x:v>
      </x:c>
      <x:c r="D1037" s="69" t="str">
        <x:v>Explicit size grounding</x:v>
      </x:c>
      <x:c r="E1037" s="69" t="str">
        <x:v>smallest</x:v>
      </x:c>
      <x:c r="F1037" s="69" t="str">
        <x:v>size_explicit_smallest_red_pencil_sharpener</x:v>
      </x:c>
      <x:c r="G1037" s="69" t="str">
        <x:v>largest green block; smallest juggling ball</x:v>
      </x:c>
      <x:c r="H1037" s="69" t="str">
        <x:v>No</x:v>
      </x:c>
      <x:c r="I1037" s="69" t="str"/>
      <x:c r="J1037" s="69" t="str">
        <x:v>red pencil sharpener, juggling ball</x:v>
      </x:c>
      <x:c r="K1037" s="69" t="str">
        <x:v>red pencil sharpener</x:v>
      </x:c>
      <x:c r="L1037" s="69" t="str">
        <x:v>Home</x:v>
      </x:c>
      <x:c r="M1037" s="69" t="str">
        <x:v>Put the smallest object in the bowl.</x:v>
      </x:c>
      <x:c r="N1037" s="69" t="str">
        <x:v>red pencil sharpener, juggling ball</x:v>
      </x:c>
      <x:c r="O1037" s="69" t="str">
        <x:v>red pencil sharpener</x:v>
      </x:c>
      <x:c r="P1037" s="70" t="str">
        <x:v>Explicitly grounds smallest/largest in a trained object-role combination.</x:v>
      </x:c>
    </x:row>
    <x:row r="1038" ht="58" customHeight="1">
      <x:c r="A1038" s="100" t="n">
        <x:v>1036</x:v>
      </x:c>
      <x:c r="B1038" s="69" t="str">
        <x:v>Size Recognition</x:v>
      </x:c>
      <x:c r="C1038" s="69" t="str">
        <x:v>Pick up the smallest item and place it in the bowl.</x:v>
      </x:c>
      <x:c r="D1038" s="69" t="str">
        <x:v>Explicit size grounding</x:v>
      </x:c>
      <x:c r="E1038" s="69" t="str">
        <x:v>smallest</x:v>
      </x:c>
      <x:c r="F1038" s="69" t="str">
        <x:v>size_explicit_smallest_red_pencil_sharpener</x:v>
      </x:c>
      <x:c r="G1038" s="69" t="str">
        <x:v>largest green block; smallest juggling ball</x:v>
      </x:c>
      <x:c r="H1038" s="69" t="str">
        <x:v>No</x:v>
      </x:c>
      <x:c r="I1038" s="69" t="str"/>
      <x:c r="J1038" s="69" t="str">
        <x:v>red pencil sharpener, juggling ball</x:v>
      </x:c>
      <x:c r="K1038" s="69" t="str">
        <x:v>red pencil sharpener</x:v>
      </x:c>
      <x:c r="L1038" s="69" t="str">
        <x:v>Home</x:v>
      </x:c>
      <x:c r="M1038" s="69" t="str">
        <x:v>Pick up the smallest item and place it in the bowl.</x:v>
      </x:c>
      <x:c r="N1038" s="69" t="str">
        <x:v>red pencil sharpener, juggling ball</x:v>
      </x:c>
      <x:c r="O1038" s="69" t="str">
        <x:v>red pencil sharpener</x:v>
      </x:c>
      <x:c r="P1038" s="70" t="str">
        <x:v>Explicitly grounds smallest/largest in a trained object-role combination.</x:v>
      </x:c>
    </x:row>
    <x:row r="1039" ht="58" customHeight="1">
      <x:c r="A1039" s="100" t="n">
        <x:v>1037</x:v>
      </x:c>
      <x:c r="B1039" s="69" t="str">
        <x:v>Size Recognition</x:v>
      </x:c>
      <x:c r="C1039" s="69" t="str">
        <x:v>Put the smallest object in the bowl.</x:v>
      </x:c>
      <x:c r="D1039" s="69" t="str">
        <x:v>Explicit size grounding</x:v>
      </x:c>
      <x:c r="E1039" s="69" t="str">
        <x:v>smallest</x:v>
      </x:c>
      <x:c r="F1039" s="69" t="str">
        <x:v>size_explicit_smallest_red_pencil_sharpener</x:v>
      </x:c>
      <x:c r="G1039" s="69" t="str">
        <x:v>largest green block; smallest juggling ball</x:v>
      </x:c>
      <x:c r="H1039" s="69" t="str">
        <x:v>No</x:v>
      </x:c>
      <x:c r="I1039" s="69" t="str"/>
      <x:c r="J1039" s="69" t="str">
        <x:v>red pencil sharpener, juggling ball</x:v>
      </x:c>
      <x:c r="K1039" s="69" t="str">
        <x:v>red pencil sharpener</x:v>
      </x:c>
      <x:c r="L1039" s="69" t="str">
        <x:v>Home</x:v>
      </x:c>
      <x:c r="M1039" s="69" t="str">
        <x:v>Put the smallest object in the bowl.</x:v>
      </x:c>
      <x:c r="N1039" s="69" t="str">
        <x:v>red pencil sharpener, juggling ball</x:v>
      </x:c>
      <x:c r="O1039" s="69" t="str">
        <x:v>red pencil sharpener</x:v>
      </x:c>
      <x:c r="P1039" s="70" t="str">
        <x:v>Explicitly grounds smallest/largest in a trained object-role combination.</x:v>
      </x:c>
    </x:row>
    <x:row r="1040" ht="58" customHeight="1">
      <x:c r="A1040" s="100" t="n">
        <x:v>1038</x:v>
      </x:c>
      <x:c r="B1040" s="69" t="str">
        <x:v>Size Recognition</x:v>
      </x:c>
      <x:c r="C1040" s="69" t="str">
        <x:v>Move the object that is smallest into the bowl.</x:v>
      </x:c>
      <x:c r="D1040" s="69" t="str">
        <x:v>Explicit size grounding</x:v>
      </x:c>
      <x:c r="E1040" s="69" t="str">
        <x:v>smallest</x:v>
      </x:c>
      <x:c r="F1040" s="69" t="str">
        <x:v>size_explicit_smallest_red_pencil_sharpener</x:v>
      </x:c>
      <x:c r="G1040" s="69" t="str">
        <x:v>largest green block; smallest juggling ball</x:v>
      </x:c>
      <x:c r="H1040" s="69" t="str">
        <x:v>No</x:v>
      </x:c>
      <x:c r="I1040" s="69" t="str"/>
      <x:c r="J1040" s="69" t="str">
        <x:v>red pencil sharpener, juggling ball</x:v>
      </x:c>
      <x:c r="K1040" s="69" t="str">
        <x:v>red pencil sharpener</x:v>
      </x:c>
      <x:c r="L1040" s="69" t="str">
        <x:v>Home</x:v>
      </x:c>
      <x:c r="M1040" s="69" t="str">
        <x:v>Move the object that is smallest into the bowl.</x:v>
      </x:c>
      <x:c r="N1040" s="69" t="str">
        <x:v>red pencil sharpener, juggling ball</x:v>
      </x:c>
      <x:c r="O1040" s="69" t="str">
        <x:v>red pencil sharpener</x:v>
      </x:c>
      <x:c r="P1040" s="70" t="str">
        <x:v>Explicitly grounds smallest/largest in a trained object-role combination.</x:v>
      </x:c>
    </x:row>
    <x:row r="1041" ht="58" customHeight="1">
      <x:c r="A1041" s="100" t="n">
        <x:v>1039</x:v>
      </x:c>
      <x:c r="B1041" s="69" t="str">
        <x:v>Size Recognition</x:v>
      </x:c>
      <x:c r="C1041" s="69" t="str">
        <x:v>Put the smallest object in the bowl.</x:v>
      </x:c>
      <x:c r="D1041" s="69" t="str">
        <x:v>Explicit size grounding</x:v>
      </x:c>
      <x:c r="E1041" s="69" t="str">
        <x:v>smallest</x:v>
      </x:c>
      <x:c r="F1041" s="69" t="str">
        <x:v>size_explicit_smallest_red_pencil_sharpener</x:v>
      </x:c>
      <x:c r="G1041" s="69" t="str">
        <x:v>largest green block; smallest juggling ball</x:v>
      </x:c>
      <x:c r="H1041" s="69" t="str">
        <x:v>No</x:v>
      </x:c>
      <x:c r="I1041" s="69" t="str"/>
      <x:c r="J1041" s="69" t="str">
        <x:v>red pencil sharpener, juggling ball</x:v>
      </x:c>
      <x:c r="K1041" s="69" t="str">
        <x:v>red pencil sharpener</x:v>
      </x:c>
      <x:c r="L1041" s="69" t="str">
        <x:v>Home</x:v>
      </x:c>
      <x:c r="M1041" s="69" t="str">
        <x:v>Put the smallest object in the bowl.</x:v>
      </x:c>
      <x:c r="N1041" s="69" t="str">
        <x:v>red pencil sharpener, juggling ball</x:v>
      </x:c>
      <x:c r="O1041" s="69" t="str">
        <x:v>red pencil sharpener</x:v>
      </x:c>
      <x:c r="P1041" s="70" t="str">
        <x:v>Explicitly grounds smallest/largest in a trained object-role combination.</x:v>
      </x:c>
    </x:row>
    <x:row r="1042" ht="58" customHeight="1">
      <x:c r="A1042" s="100" t="n">
        <x:v>1040</x:v>
      </x:c>
      <x:c r="B1042" s="69" t="str">
        <x:v>Size Recognition</x:v>
      </x:c>
      <x:c r="C1042" s="69" t="str">
        <x:v>Move the object that is smallest into the bowl.</x:v>
      </x:c>
      <x:c r="D1042" s="69" t="str">
        <x:v>Explicit size grounding</x:v>
      </x:c>
      <x:c r="E1042" s="69" t="str">
        <x:v>smallest</x:v>
      </x:c>
      <x:c r="F1042" s="69" t="str">
        <x:v>size_explicit_smallest_red_pencil_sharpener</x:v>
      </x:c>
      <x:c r="G1042" s="69" t="str">
        <x:v>largest green block; smallest juggling ball</x:v>
      </x:c>
      <x:c r="H1042" s="69" t="str">
        <x:v>No</x:v>
      </x:c>
      <x:c r="I1042" s="69" t="str"/>
      <x:c r="J1042" s="69" t="str">
        <x:v>red pencil sharpener, juggling ball</x:v>
      </x:c>
      <x:c r="K1042" s="69" t="str">
        <x:v>red pencil sharpener</x:v>
      </x:c>
      <x:c r="L1042" s="69" t="str">
        <x:v>Home</x:v>
      </x:c>
      <x:c r="M1042" s="69" t="str">
        <x:v>Move the object that is smallest into the bowl.</x:v>
      </x:c>
      <x:c r="N1042" s="69" t="str">
        <x:v>red pencil sharpener, juggling ball</x:v>
      </x:c>
      <x:c r="O1042" s="69" t="str">
        <x:v>red pencil sharpener</x:v>
      </x:c>
      <x:c r="P1042" s="70" t="str">
        <x:v>Explicitly grounds smallest/largest in a trained object-role combination.</x:v>
      </x:c>
    </x:row>
    <x:row r="1043" ht="58" customHeight="1">
      <x:c r="A1043" s="100" t="n">
        <x:v>1041</x:v>
      </x:c>
      <x:c r="B1043" s="69" t="str">
        <x:v>Size Recognition</x:v>
      </x:c>
      <x:c r="C1043" s="69" t="str">
        <x:v>Put the smallest object in the bowl.</x:v>
      </x:c>
      <x:c r="D1043" s="69" t="str">
        <x:v>Explicit size grounding</x:v>
      </x:c>
      <x:c r="E1043" s="69" t="str">
        <x:v>smallest</x:v>
      </x:c>
      <x:c r="F1043" s="69" t="str">
        <x:v>size_explicit_smallest_red_pencil_sharpener</x:v>
      </x:c>
      <x:c r="G1043" s="69" t="str">
        <x:v>largest green block; smallest juggling ball</x:v>
      </x:c>
      <x:c r="H1043" s="69" t="str">
        <x:v>No</x:v>
      </x:c>
      <x:c r="I1043" s="69" t="str"/>
      <x:c r="J1043" s="69" t="str">
        <x:v>red pencil sharpener, juggling ball</x:v>
      </x:c>
      <x:c r="K1043" s="69" t="str">
        <x:v>red pencil sharpener</x:v>
      </x:c>
      <x:c r="L1043" s="69" t="str">
        <x:v>Home</x:v>
      </x:c>
      <x:c r="M1043" s="69" t="str">
        <x:v>Put the smallest object in the bowl.</x:v>
      </x:c>
      <x:c r="N1043" s="69" t="str">
        <x:v>red pencil sharpener, juggling ball</x:v>
      </x:c>
      <x:c r="O1043" s="69" t="str">
        <x:v>red pencil sharpener</x:v>
      </x:c>
      <x:c r="P1043" s="70" t="str">
        <x:v>Explicitly grounds smallest/largest in a trained object-role combination.</x:v>
      </x:c>
    </x:row>
    <x:row r="1044" ht="58" customHeight="1">
      <x:c r="A1044" s="100" t="n">
        <x:v>1042</x:v>
      </x:c>
      <x:c r="B1044" s="69" t="str">
        <x:v>Size Recognition</x:v>
      </x:c>
      <x:c r="C1044" s="69" t="str">
        <x:v>Pick up the smallest item and place it in the bowl.</x:v>
      </x:c>
      <x:c r="D1044" s="69" t="str">
        <x:v>Explicit size grounding</x:v>
      </x:c>
      <x:c r="E1044" s="69" t="str">
        <x:v>smallest</x:v>
      </x:c>
      <x:c r="F1044" s="69" t="str">
        <x:v>size_explicit_smallest_red_pencil_sharpener</x:v>
      </x:c>
      <x:c r="G1044" s="69" t="str">
        <x:v>largest green block; smallest juggling ball</x:v>
      </x:c>
      <x:c r="H1044" s="69" t="str">
        <x:v>No</x:v>
      </x:c>
      <x:c r="I1044" s="69" t="str"/>
      <x:c r="J1044" s="69" t="str">
        <x:v>red pencil sharpener, juggling ball</x:v>
      </x:c>
      <x:c r="K1044" s="69" t="str">
        <x:v>red pencil sharpener</x:v>
      </x:c>
      <x:c r="L1044" s="69" t="str">
        <x:v>Home</x:v>
      </x:c>
      <x:c r="M1044" s="69" t="str">
        <x:v>Pick up the smallest item and place it in the bowl.</x:v>
      </x:c>
      <x:c r="N1044" s="69" t="str">
        <x:v>red pencil sharpener, juggling ball</x:v>
      </x:c>
      <x:c r="O1044" s="69" t="str">
        <x:v>red pencil sharpener</x:v>
      </x:c>
      <x:c r="P1044" s="70" t="str">
        <x:v>Explicitly grounds smallest/largest in a trained object-role combination.</x:v>
      </x:c>
    </x:row>
    <x:row r="1045" ht="58" customHeight="1">
      <x:c r="A1045" s="100" t="n">
        <x:v>1043</x:v>
      </x:c>
      <x:c r="B1045" s="69" t="str">
        <x:v>Size Recognition</x:v>
      </x:c>
      <x:c r="C1045" s="69" t="str">
        <x:v>Pick up the smallest item and place it in the bowl.</x:v>
      </x:c>
      <x:c r="D1045" s="69" t="str">
        <x:v>Explicit size grounding</x:v>
      </x:c>
      <x:c r="E1045" s="69" t="str">
        <x:v>smallest</x:v>
      </x:c>
      <x:c r="F1045" s="69" t="str">
        <x:v>size_explicit_smallest_red_pencil_sharpener</x:v>
      </x:c>
      <x:c r="G1045" s="69" t="str">
        <x:v>largest green block; smallest juggling ball</x:v>
      </x:c>
      <x:c r="H1045" s="69" t="str">
        <x:v>No</x:v>
      </x:c>
      <x:c r="I1045" s="69" t="str"/>
      <x:c r="J1045" s="69" t="str">
        <x:v>red pencil sharpener, juggling ball</x:v>
      </x:c>
      <x:c r="K1045" s="69" t="str">
        <x:v>red pencil sharpener</x:v>
      </x:c>
      <x:c r="L1045" s="69" t="str">
        <x:v>Home</x:v>
      </x:c>
      <x:c r="M1045" s="69" t="str">
        <x:v>Pick up the smallest item and place it in the bowl.</x:v>
      </x:c>
      <x:c r="N1045" s="69" t="str">
        <x:v>red pencil sharpener, juggling ball</x:v>
      </x:c>
      <x:c r="O1045" s="69" t="str">
        <x:v>red pencil sharpener</x:v>
      </x:c>
      <x:c r="P1045" s="70" t="str">
        <x:v>Explicitly grounds smallest/largest in a trained object-role combination.</x:v>
      </x:c>
    </x:row>
    <x:row r="1046" ht="58" customHeight="1">
      <x:c r="A1046" s="100" t="n">
        <x:v>1044</x:v>
      </x:c>
      <x:c r="B1046" s="69" t="str">
        <x:v>Size Recognition</x:v>
      </x:c>
      <x:c r="C1046" s="69" t="str">
        <x:v>Pick up the smallest item and place it in the bowl.</x:v>
      </x:c>
      <x:c r="D1046" s="69" t="str">
        <x:v>Explicit size grounding</x:v>
      </x:c>
      <x:c r="E1046" s="69" t="str">
        <x:v>smallest</x:v>
      </x:c>
      <x:c r="F1046" s="69" t="str">
        <x:v>size_explicit_smallest_red_pencil_sharpener</x:v>
      </x:c>
      <x:c r="G1046" s="69" t="str">
        <x:v>largest green block; smallest juggling ball</x:v>
      </x:c>
      <x:c r="H1046" s="69" t="str">
        <x:v>No</x:v>
      </x:c>
      <x:c r="I1046" s="69" t="str"/>
      <x:c r="J1046" s="69" t="str">
        <x:v>red pencil sharpener, juggling ball</x:v>
      </x:c>
      <x:c r="K1046" s="69" t="str">
        <x:v>red pencil sharpener</x:v>
      </x:c>
      <x:c r="L1046" s="69" t="str">
        <x:v>Home</x:v>
      </x:c>
      <x:c r="M1046" s="69" t="str">
        <x:v>Pick up the smallest item and place it in the bowl.</x:v>
      </x:c>
      <x:c r="N1046" s="69" t="str">
        <x:v>red pencil sharpener, juggling ball</x:v>
      </x:c>
      <x:c r="O1046" s="69" t="str">
        <x:v>red pencil sharpener</x:v>
      </x:c>
      <x:c r="P1046" s="70" t="str">
        <x:v>Explicitly grounds smallest/largest in a trained object-role combination.</x:v>
      </x:c>
    </x:row>
    <x:row r="1047" ht="58" customHeight="1">
      <x:c r="A1047" s="100" t="n">
        <x:v>1045</x:v>
      </x:c>
      <x:c r="B1047" s="69" t="str">
        <x:v>Size Recognition</x:v>
      </x:c>
      <x:c r="C1047" s="69" t="str">
        <x:v>Pick up the smallest item and place it in the bowl.</x:v>
      </x:c>
      <x:c r="D1047" s="69" t="str">
        <x:v>Explicit size grounding</x:v>
      </x:c>
      <x:c r="E1047" s="69" t="str">
        <x:v>smallest</x:v>
      </x:c>
      <x:c r="F1047" s="69" t="str">
        <x:v>size_explicit_smallest_red_pencil_sharpener</x:v>
      </x:c>
      <x:c r="G1047" s="69" t="str">
        <x:v>largest green block; smallest juggling ball</x:v>
      </x:c>
      <x:c r="H1047" s="69" t="str">
        <x:v>No</x:v>
      </x:c>
      <x:c r="I1047" s="69" t="str"/>
      <x:c r="J1047" s="69" t="str">
        <x:v>red pencil sharpener, juggling ball</x:v>
      </x:c>
      <x:c r="K1047" s="69" t="str">
        <x:v>red pencil sharpener</x:v>
      </x:c>
      <x:c r="L1047" s="69" t="str">
        <x:v>Home</x:v>
      </x:c>
      <x:c r="M1047" s="69" t="str">
        <x:v>Pick up the smallest item and place it in the bowl.</x:v>
      </x:c>
      <x:c r="N1047" s="69" t="str">
        <x:v>red pencil sharpener, juggling ball</x:v>
      </x:c>
      <x:c r="O1047" s="69" t="str">
        <x:v>red pencil sharpener</x:v>
      </x:c>
      <x:c r="P1047" s="70" t="str">
        <x:v>Explicitly grounds smallest/largest in a trained object-role combination.</x:v>
      </x:c>
    </x:row>
    <x:row r="1048" ht="58" customHeight="1">
      <x:c r="A1048" s="100" t="n">
        <x:v>1046</x:v>
      </x:c>
      <x:c r="B1048" s="69" t="str">
        <x:v>Size Recognition</x:v>
      </x:c>
      <x:c r="C1048" s="69" t="str">
        <x:v>Pick up the smallest item and place it in the bowl.</x:v>
      </x:c>
      <x:c r="D1048" s="69" t="str">
        <x:v>Explicit size grounding</x:v>
      </x:c>
      <x:c r="E1048" s="69" t="str">
        <x:v>smallest</x:v>
      </x:c>
      <x:c r="F1048" s="69" t="str">
        <x:v>size_explicit_smallest_red_pencil_sharpener</x:v>
      </x:c>
      <x:c r="G1048" s="69" t="str">
        <x:v>largest green block; smallest juggling ball</x:v>
      </x:c>
      <x:c r="H1048" s="69" t="str">
        <x:v>No</x:v>
      </x:c>
      <x:c r="I1048" s="69" t="str"/>
      <x:c r="J1048" s="69" t="str">
        <x:v>red pencil sharpener, juggling ball</x:v>
      </x:c>
      <x:c r="K1048" s="69" t="str">
        <x:v>red pencil sharpener</x:v>
      </x:c>
      <x:c r="L1048" s="69" t="str">
        <x:v>Recovery</x:v>
      </x:c>
      <x:c r="M1048" s="69" t="str">
        <x:v>Pick up the smallest item and place it in the bowl.</x:v>
      </x:c>
      <x:c r="N1048" s="69" t="str">
        <x:v>red pencil sharpener, juggling ball</x:v>
      </x:c>
      <x:c r="O1048" s="69" t="str">
        <x:v>red pencil sharpener</x:v>
      </x:c>
      <x:c r="P1048" s="70" t="str">
        <x:v>Explicitly grounds smallest/largest in a trained object-role combination.</x:v>
      </x:c>
    </x:row>
    <x:row r="1049" ht="58" customHeight="1">
      <x:c r="A1049" s="100" t="n">
        <x:v>1047</x:v>
      </x:c>
      <x:c r="B1049" s="69" t="str">
        <x:v>Size Recognition</x:v>
      </x:c>
      <x:c r="C1049" s="69" t="str">
        <x:v>Put the smallest object in the bowl.</x:v>
      </x:c>
      <x:c r="D1049" s="69" t="str">
        <x:v>Explicit size grounding</x:v>
      </x:c>
      <x:c r="E1049" s="69" t="str">
        <x:v>smallest</x:v>
      </x:c>
      <x:c r="F1049" s="69" t="str">
        <x:v>size_explicit_smallest_red_pencil_sharpener</x:v>
      </x:c>
      <x:c r="G1049" s="69" t="str">
        <x:v>largest green block; smallest juggling ball</x:v>
      </x:c>
      <x:c r="H1049" s="69" t="str">
        <x:v>No</x:v>
      </x:c>
      <x:c r="I1049" s="69" t="str"/>
      <x:c r="J1049" s="69" t="str">
        <x:v>red pencil sharpener, juggling ball</x:v>
      </x:c>
      <x:c r="K1049" s="69" t="str">
        <x:v>red pencil sharpener</x:v>
      </x:c>
      <x:c r="L1049" s="69" t="str">
        <x:v>Recovery</x:v>
      </x:c>
      <x:c r="M1049" s="69" t="str">
        <x:v>Put the smallest object in the bowl.</x:v>
      </x:c>
      <x:c r="N1049" s="69" t="str">
        <x:v>red pencil sharpener, juggling ball</x:v>
      </x:c>
      <x:c r="O1049" s="69" t="str">
        <x:v>red pencil sharpener</x:v>
      </x:c>
      <x:c r="P1049" s="70" t="str">
        <x:v>Explicitly grounds smallest/largest in a trained object-role combination.</x:v>
      </x:c>
    </x:row>
    <x:row r="1050" ht="58" customHeight="1">
      <x:c r="A1050" s="100" t="n">
        <x:v>1048</x:v>
      </x:c>
      <x:c r="B1050" s="69" t="str">
        <x:v>Size Recognition</x:v>
      </x:c>
      <x:c r="C1050" s="69" t="str">
        <x:v>Put the smallest object in the bowl.</x:v>
      </x:c>
      <x:c r="D1050" s="69" t="str">
        <x:v>Explicit size grounding</x:v>
      </x:c>
      <x:c r="E1050" s="69" t="str">
        <x:v>smallest</x:v>
      </x:c>
      <x:c r="F1050" s="69" t="str">
        <x:v>size_explicit_smallest_red_pencil_sharpener</x:v>
      </x:c>
      <x:c r="G1050" s="69" t="str">
        <x:v>largest green block; smallest juggling ball</x:v>
      </x:c>
      <x:c r="H1050" s="69" t="str">
        <x:v>No</x:v>
      </x:c>
      <x:c r="I1050" s="69" t="str"/>
      <x:c r="J1050" s="69" t="str">
        <x:v>red pencil sharpener, juggling ball</x:v>
      </x:c>
      <x:c r="K1050" s="69" t="str">
        <x:v>red pencil sharpener</x:v>
      </x:c>
      <x:c r="L1050" s="69" t="str">
        <x:v>Recovery</x:v>
      </x:c>
      <x:c r="M1050" s="69" t="str">
        <x:v>Put the smallest object in the bowl.</x:v>
      </x:c>
      <x:c r="N1050" s="69" t="str">
        <x:v>red pencil sharpener, juggling ball</x:v>
      </x:c>
      <x:c r="O1050" s="69" t="str">
        <x:v>red pencil sharpener</x:v>
      </x:c>
      <x:c r="P1050" s="70" t="str">
        <x:v>Explicitly grounds smallest/largest in a trained object-role combination.</x:v>
      </x:c>
    </x:row>
    <x:row r="1051" ht="58" customHeight="1">
      <x:c r="A1051" s="100" t="n">
        <x:v>1049</x:v>
      </x:c>
      <x:c r="B1051" s="69" t="str">
        <x:v>Size Recognition</x:v>
      </x:c>
      <x:c r="C1051" s="69" t="str">
        <x:v>Move the object that is smallest into the bowl.</x:v>
      </x:c>
      <x:c r="D1051" s="69" t="str">
        <x:v>Explicit size grounding</x:v>
      </x:c>
      <x:c r="E1051" s="69" t="str">
        <x:v>smallest</x:v>
      </x:c>
      <x:c r="F1051" s="69" t="str">
        <x:v>size_explicit_smallest_red_pencil_sharpener</x:v>
      </x:c>
      <x:c r="G1051" s="69" t="str">
        <x:v>largest green block; smallest juggling ball</x:v>
      </x:c>
      <x:c r="H1051" s="69" t="str">
        <x:v>No</x:v>
      </x:c>
      <x:c r="I1051" s="69" t="str"/>
      <x:c r="J1051" s="69" t="str">
        <x:v>red pencil sharpener, juggling ball</x:v>
      </x:c>
      <x:c r="K1051" s="69" t="str">
        <x:v>red pencil sharpener</x:v>
      </x:c>
      <x:c r="L1051" s="69" t="str">
        <x:v>Recovery</x:v>
      </x:c>
      <x:c r="M1051" s="69" t="str">
        <x:v>Move the object that is smallest into the bowl.</x:v>
      </x:c>
      <x:c r="N1051" s="69" t="str">
        <x:v>red pencil sharpener, juggling ball</x:v>
      </x:c>
      <x:c r="O1051" s="69" t="str">
        <x:v>red pencil sharpener</x:v>
      </x:c>
      <x:c r="P1051" s="70" t="str">
        <x:v>Explicitly grounds smallest/largest in a trained object-role combination.</x:v>
      </x:c>
    </x:row>
    <x:row r="1052" ht="58" customHeight="1">
      <x:c r="A1052" s="100" t="n">
        <x:v>1050</x:v>
      </x:c>
      <x:c r="B1052" s="69" t="str">
        <x:v>Size Recognition</x:v>
      </x:c>
      <x:c r="C1052" s="69" t="str">
        <x:v>Pick up the smallest item and place it in the bowl.</x:v>
      </x:c>
      <x:c r="D1052" s="69" t="str">
        <x:v>Explicit size grounding</x:v>
      </x:c>
      <x:c r="E1052" s="69" t="str">
        <x:v>smallest</x:v>
      </x:c>
      <x:c r="F1052" s="69" t="str">
        <x:v>size_explicit_smallest_green_block</x:v>
      </x:c>
      <x:c r="G1052" s="69" t="str">
        <x:v>largest green block; smallest juggling ball</x:v>
      </x:c>
      <x:c r="H1052" s="69" t="str">
        <x:v>No</x:v>
      </x:c>
      <x:c r="I1052" s="69" t="str"/>
      <x:c r="J1052" s="69" t="str">
        <x:v>green block, juggling ball, crushed Pepsi can</x:v>
      </x:c>
      <x:c r="K1052" s="69" t="str">
        <x:v>green block</x:v>
      </x:c>
      <x:c r="L1052" s="69" t="str">
        <x:v>Home</x:v>
      </x:c>
      <x:c r="M1052" s="69" t="str">
        <x:v>Pick up the smallest item and place it in the bowl.</x:v>
      </x:c>
      <x:c r="N1052" s="69" t="str">
        <x:v>green block, juggling ball, crushed Pepsi can</x:v>
      </x:c>
      <x:c r="O1052" s="69" t="str">
        <x:v>green block</x:v>
      </x:c>
      <x:c r="P1052" s="70" t="str">
        <x:v>Explicitly grounds smallest/largest in a trained object-role combination.</x:v>
      </x:c>
    </x:row>
    <x:row r="1053" ht="58" customHeight="1">
      <x:c r="A1053" s="100" t="n">
        <x:v>1051</x:v>
      </x:c>
      <x:c r="B1053" s="69" t="str">
        <x:v>Size Recognition</x:v>
      </x:c>
      <x:c r="C1053" s="69" t="str">
        <x:v>Pick up the smallest item and place it in the bowl.</x:v>
      </x:c>
      <x:c r="D1053" s="69" t="str">
        <x:v>Explicit size grounding</x:v>
      </x:c>
      <x:c r="E1053" s="69" t="str">
        <x:v>smallest</x:v>
      </x:c>
      <x:c r="F1053" s="69" t="str">
        <x:v>size_explicit_smallest_green_block</x:v>
      </x:c>
      <x:c r="G1053" s="69" t="str">
        <x:v>largest green block; smallest juggling ball</x:v>
      </x:c>
      <x:c r="H1053" s="69" t="str">
        <x:v>No</x:v>
      </x:c>
      <x:c r="I1053" s="69" t="str"/>
      <x:c r="J1053" s="69" t="str">
        <x:v>green block, juggling ball, crushed Pepsi can</x:v>
      </x:c>
      <x:c r="K1053" s="69" t="str">
        <x:v>green block</x:v>
      </x:c>
      <x:c r="L1053" s="69" t="str">
        <x:v>Home</x:v>
      </x:c>
      <x:c r="M1053" s="69" t="str">
        <x:v>Pick up the smallest item and place it in the bowl.</x:v>
      </x:c>
      <x:c r="N1053" s="69" t="str">
        <x:v>green block, juggling ball, crushed Pepsi can</x:v>
      </x:c>
      <x:c r="O1053" s="69" t="str">
        <x:v>green block</x:v>
      </x:c>
      <x:c r="P1053" s="70" t="str">
        <x:v>Explicitly grounds smallest/largest in a trained object-role combination.</x:v>
      </x:c>
    </x:row>
    <x:row r="1054" ht="58" customHeight="1">
      <x:c r="A1054" s="100" t="n">
        <x:v>1052</x:v>
      </x:c>
      <x:c r="B1054" s="69" t="str">
        <x:v>Size Recognition</x:v>
      </x:c>
      <x:c r="C1054" s="69" t="str">
        <x:v>Put the smallest object in the bowl.</x:v>
      </x:c>
      <x:c r="D1054" s="69" t="str">
        <x:v>Explicit size grounding</x:v>
      </x:c>
      <x:c r="E1054" s="69" t="str">
        <x:v>smallest</x:v>
      </x:c>
      <x:c r="F1054" s="69" t="str">
        <x:v>size_explicit_smallest_green_block</x:v>
      </x:c>
      <x:c r="G1054" s="69" t="str">
        <x:v>largest green block; smallest juggling ball</x:v>
      </x:c>
      <x:c r="H1054" s="69" t="str">
        <x:v>No</x:v>
      </x:c>
      <x:c r="I1054" s="69" t="str"/>
      <x:c r="J1054" s="69" t="str">
        <x:v>green block, juggling ball, crushed Pepsi can</x:v>
      </x:c>
      <x:c r="K1054" s="69" t="str">
        <x:v>green block</x:v>
      </x:c>
      <x:c r="L1054" s="69" t="str">
        <x:v>Home</x:v>
      </x:c>
      <x:c r="M1054" s="69" t="str">
        <x:v>Put the smallest object in the bowl.</x:v>
      </x:c>
      <x:c r="N1054" s="69" t="str">
        <x:v>green block, juggling ball, crushed Pepsi can</x:v>
      </x:c>
      <x:c r="O1054" s="69" t="str">
        <x:v>green block</x:v>
      </x:c>
      <x:c r="P1054" s="70" t="str">
        <x:v>Explicitly grounds smallest/largest in a trained object-role combination.</x:v>
      </x:c>
    </x:row>
    <x:row r="1055" ht="58" customHeight="1">
      <x:c r="A1055" s="100" t="n">
        <x:v>1053</x:v>
      </x:c>
      <x:c r="B1055" s="69" t="str">
        <x:v>Size Recognition</x:v>
      </x:c>
      <x:c r="C1055" s="69" t="str">
        <x:v>Put the smallest object in the bowl.</x:v>
      </x:c>
      <x:c r="D1055" s="69" t="str">
        <x:v>Explicit size grounding</x:v>
      </x:c>
      <x:c r="E1055" s="69" t="str">
        <x:v>smallest</x:v>
      </x:c>
      <x:c r="F1055" s="69" t="str">
        <x:v>size_explicit_smallest_green_block</x:v>
      </x:c>
      <x:c r="G1055" s="69" t="str">
        <x:v>largest green block; smallest juggling ball</x:v>
      </x:c>
      <x:c r="H1055" s="69" t="str">
        <x:v>No</x:v>
      </x:c>
      <x:c r="I1055" s="69" t="str"/>
      <x:c r="J1055" s="69" t="str">
        <x:v>green block, juggling ball, crushed Pepsi can</x:v>
      </x:c>
      <x:c r="K1055" s="69" t="str">
        <x:v>green block</x:v>
      </x:c>
      <x:c r="L1055" s="69" t="str">
        <x:v>Home</x:v>
      </x:c>
      <x:c r="M1055" s="69" t="str">
        <x:v>Put the smallest object in the bowl.</x:v>
      </x:c>
      <x:c r="N1055" s="69" t="str">
        <x:v>green block, juggling ball, crushed Pepsi can</x:v>
      </x:c>
      <x:c r="O1055" s="69" t="str">
        <x:v>green block</x:v>
      </x:c>
      <x:c r="P1055" s="70" t="str">
        <x:v>Explicitly grounds smallest/largest in a trained object-role combination.</x:v>
      </x:c>
    </x:row>
    <x:row r="1056" ht="58" customHeight="1">
      <x:c r="A1056" s="100" t="n">
        <x:v>1054</x:v>
      </x:c>
      <x:c r="B1056" s="69" t="str">
        <x:v>Size Recognition</x:v>
      </x:c>
      <x:c r="C1056" s="69" t="str">
        <x:v>Put the smallest object in the bowl.</x:v>
      </x:c>
      <x:c r="D1056" s="69" t="str">
        <x:v>Explicit size grounding</x:v>
      </x:c>
      <x:c r="E1056" s="69" t="str">
        <x:v>smallest</x:v>
      </x:c>
      <x:c r="F1056" s="69" t="str">
        <x:v>size_explicit_smallest_green_block</x:v>
      </x:c>
      <x:c r="G1056" s="69" t="str">
        <x:v>largest green block; smallest juggling ball</x:v>
      </x:c>
      <x:c r="H1056" s="69" t="str">
        <x:v>No</x:v>
      </x:c>
      <x:c r="I1056" s="69" t="str"/>
      <x:c r="J1056" s="69" t="str">
        <x:v>green block, juggling ball, crushed Pepsi can</x:v>
      </x:c>
      <x:c r="K1056" s="69" t="str">
        <x:v>green block</x:v>
      </x:c>
      <x:c r="L1056" s="69" t="str">
        <x:v>Home</x:v>
      </x:c>
      <x:c r="M1056" s="69" t="str">
        <x:v>Put the smallest object in the bowl.</x:v>
      </x:c>
      <x:c r="N1056" s="69" t="str">
        <x:v>green block, juggling ball, crushed Pepsi can</x:v>
      </x:c>
      <x:c r="O1056" s="69" t="str">
        <x:v>green block</x:v>
      </x:c>
      <x:c r="P1056" s="70" t="str">
        <x:v>Explicitly grounds smallest/largest in a trained object-role combination.</x:v>
      </x:c>
    </x:row>
    <x:row r="1057" ht="58" customHeight="1">
      <x:c r="A1057" s="100" t="n">
        <x:v>1055</x:v>
      </x:c>
      <x:c r="B1057" s="69" t="str">
        <x:v>Size Recognition</x:v>
      </x:c>
      <x:c r="C1057" s="69" t="str">
        <x:v>Put the smallest object in the bowl.</x:v>
      </x:c>
      <x:c r="D1057" s="69" t="str">
        <x:v>Explicit size grounding</x:v>
      </x:c>
      <x:c r="E1057" s="69" t="str">
        <x:v>smallest</x:v>
      </x:c>
      <x:c r="F1057" s="69" t="str">
        <x:v>size_explicit_smallest_green_block</x:v>
      </x:c>
      <x:c r="G1057" s="69" t="str">
        <x:v>largest green block; smallest juggling ball</x:v>
      </x:c>
      <x:c r="H1057" s="69" t="str">
        <x:v>No</x:v>
      </x:c>
      <x:c r="I1057" s="69" t="str"/>
      <x:c r="J1057" s="69" t="str">
        <x:v>green block, juggling ball, crushed Pepsi can</x:v>
      </x:c>
      <x:c r="K1057" s="69" t="str">
        <x:v>green block</x:v>
      </x:c>
      <x:c r="L1057" s="69" t="str">
        <x:v>Home</x:v>
      </x:c>
      <x:c r="M1057" s="69" t="str">
        <x:v>Put the smallest object in the bowl.</x:v>
      </x:c>
      <x:c r="N1057" s="69" t="str">
        <x:v>green block, juggling ball, crushed Pepsi can</x:v>
      </x:c>
      <x:c r="O1057" s="69" t="str">
        <x:v>green block</x:v>
      </x:c>
      <x:c r="P1057" s="70" t="str">
        <x:v>Explicitly grounds smallest/largest in a trained object-role combination.</x:v>
      </x:c>
    </x:row>
    <x:row r="1058" ht="58" customHeight="1">
      <x:c r="A1058" s="100" t="n">
        <x:v>1056</x:v>
      </x:c>
      <x:c r="B1058" s="69" t="str">
        <x:v>Size Recognition</x:v>
      </x:c>
      <x:c r="C1058" s="69" t="str">
        <x:v>Pick up the smallest item and place it in the bowl.</x:v>
      </x:c>
      <x:c r="D1058" s="69" t="str">
        <x:v>Explicit size grounding</x:v>
      </x:c>
      <x:c r="E1058" s="69" t="str">
        <x:v>smallest</x:v>
      </x:c>
      <x:c r="F1058" s="69" t="str">
        <x:v>size_explicit_smallest_green_block</x:v>
      </x:c>
      <x:c r="G1058" s="69" t="str">
        <x:v>largest green block; smallest juggling ball</x:v>
      </x:c>
      <x:c r="H1058" s="69" t="str">
        <x:v>No</x:v>
      </x:c>
      <x:c r="I1058" s="69" t="str"/>
      <x:c r="J1058" s="69" t="str">
        <x:v>green block, juggling ball, crushed Pepsi can</x:v>
      </x:c>
      <x:c r="K1058" s="69" t="str">
        <x:v>green block</x:v>
      </x:c>
      <x:c r="L1058" s="69" t="str">
        <x:v>Home</x:v>
      </x:c>
      <x:c r="M1058" s="69" t="str">
        <x:v>Pick up the smallest item and place it in the bowl.</x:v>
      </x:c>
      <x:c r="N1058" s="69" t="str">
        <x:v>green block, juggling ball, crushed Pepsi can</x:v>
      </x:c>
      <x:c r="O1058" s="69" t="str">
        <x:v>green block</x:v>
      </x:c>
      <x:c r="P1058" s="70" t="str">
        <x:v>Explicitly grounds smallest/largest in a trained object-role combination.</x:v>
      </x:c>
    </x:row>
    <x:row r="1059" ht="58" customHeight="1">
      <x:c r="A1059" s="100" t="n">
        <x:v>1057</x:v>
      </x:c>
      <x:c r="B1059" s="69" t="str">
        <x:v>Size Recognition</x:v>
      </x:c>
      <x:c r="C1059" s="69" t="str">
        <x:v>Move the object that is smallest into the bowl.</x:v>
      </x:c>
      <x:c r="D1059" s="69" t="str">
        <x:v>Explicit size grounding</x:v>
      </x:c>
      <x:c r="E1059" s="69" t="str">
        <x:v>smallest</x:v>
      </x:c>
      <x:c r="F1059" s="69" t="str">
        <x:v>size_explicit_smallest_green_block</x:v>
      </x:c>
      <x:c r="G1059" s="69" t="str">
        <x:v>largest green block; smallest juggling ball</x:v>
      </x:c>
      <x:c r="H1059" s="69" t="str">
        <x:v>No</x:v>
      </x:c>
      <x:c r="I1059" s="69" t="str"/>
      <x:c r="J1059" s="69" t="str">
        <x:v>green block, juggling ball, crushed Pepsi can</x:v>
      </x:c>
      <x:c r="K1059" s="69" t="str">
        <x:v>green block</x:v>
      </x:c>
      <x:c r="L1059" s="69" t="str">
        <x:v>Home</x:v>
      </x:c>
      <x:c r="M1059" s="69" t="str">
        <x:v>Move the object that is smallest into the bowl.</x:v>
      </x:c>
      <x:c r="N1059" s="69" t="str">
        <x:v>green block, juggling ball, crushed Pepsi can</x:v>
      </x:c>
      <x:c r="O1059" s="69" t="str">
        <x:v>green block</x:v>
      </x:c>
      <x:c r="P1059" s="70" t="str">
        <x:v>Explicitly grounds smallest/largest in a trained object-role combination.</x:v>
      </x:c>
    </x:row>
    <x:row r="1060" ht="58" customHeight="1">
      <x:c r="A1060" s="100" t="n">
        <x:v>1058</x:v>
      </x:c>
      <x:c r="B1060" s="69" t="str">
        <x:v>Size Recognition</x:v>
      </x:c>
      <x:c r="C1060" s="69" t="str">
        <x:v>Put the smallest object in the bowl.</x:v>
      </x:c>
      <x:c r="D1060" s="69" t="str">
        <x:v>Explicit size grounding</x:v>
      </x:c>
      <x:c r="E1060" s="69" t="str">
        <x:v>smallest</x:v>
      </x:c>
      <x:c r="F1060" s="69" t="str">
        <x:v>size_explicit_smallest_green_block</x:v>
      </x:c>
      <x:c r="G1060" s="69" t="str">
        <x:v>largest green block; smallest juggling ball</x:v>
      </x:c>
      <x:c r="H1060" s="69" t="str">
        <x:v>No</x:v>
      </x:c>
      <x:c r="I1060" s="69" t="str"/>
      <x:c r="J1060" s="69" t="str">
        <x:v>green block, juggling ball, crushed Pepsi can</x:v>
      </x:c>
      <x:c r="K1060" s="69" t="str">
        <x:v>green block</x:v>
      </x:c>
      <x:c r="L1060" s="69" t="str">
        <x:v>Recovery</x:v>
      </x:c>
      <x:c r="M1060" s="69" t="str">
        <x:v>Put the smallest object in the bowl.</x:v>
      </x:c>
      <x:c r="N1060" s="69" t="str">
        <x:v>green block, juggling ball, crushed Pepsi can</x:v>
      </x:c>
      <x:c r="O1060" s="69" t="str">
        <x:v>green block</x:v>
      </x:c>
      <x:c r="P1060" s="70" t="str">
        <x:v>Explicitly grounds smallest/largest in a trained object-role combination.</x:v>
      </x:c>
    </x:row>
    <x:row r="1061" ht="58" customHeight="1">
      <x:c r="A1061" s="100" t="n">
        <x:v>1059</x:v>
      </x:c>
      <x:c r="B1061" s="69" t="str">
        <x:v>Size Recognition</x:v>
      </x:c>
      <x:c r="C1061" s="69" t="str">
        <x:v>Pick up the smallest item and place it in the bowl.</x:v>
      </x:c>
      <x:c r="D1061" s="69" t="str">
        <x:v>Explicit size grounding</x:v>
      </x:c>
      <x:c r="E1061" s="69" t="str">
        <x:v>smallest</x:v>
      </x:c>
      <x:c r="F1061" s="69" t="str">
        <x:v>size_explicit_smallest_green_block</x:v>
      </x:c>
      <x:c r="G1061" s="69" t="str">
        <x:v>largest green block; smallest juggling ball</x:v>
      </x:c>
      <x:c r="H1061" s="69" t="str">
        <x:v>No</x:v>
      </x:c>
      <x:c r="I1061" s="69" t="str"/>
      <x:c r="J1061" s="69" t="str">
        <x:v>green block, juggling ball, crushed Pepsi can</x:v>
      </x:c>
      <x:c r="K1061" s="69" t="str">
        <x:v>green block</x:v>
      </x:c>
      <x:c r="L1061" s="69" t="str">
        <x:v>Recovery</x:v>
      </x:c>
      <x:c r="M1061" s="69" t="str">
        <x:v>Pick up the smallest item and place it in the bowl.</x:v>
      </x:c>
      <x:c r="N1061" s="69" t="str">
        <x:v>green block, juggling ball, crushed Pepsi can</x:v>
      </x:c>
      <x:c r="O1061" s="69" t="str">
        <x:v>green block</x:v>
      </x:c>
      <x:c r="P1061" s="70" t="str">
        <x:v>Explicitly grounds smallest/largest in a trained object-role combination.</x:v>
      </x:c>
    </x:row>
    <x:row r="1062" ht="58" customHeight="1">
      <x:c r="A1062" s="100" t="n">
        <x:v>1060</x:v>
      </x:c>
      <x:c r="B1062" s="69" t="str">
        <x:v>Size Recognition</x:v>
      </x:c>
      <x:c r="C1062" s="69" t="str">
        <x:v>Put the smallest object in the bowl.</x:v>
      </x:c>
      <x:c r="D1062" s="69" t="str">
        <x:v>Explicit size grounding</x:v>
      </x:c>
      <x:c r="E1062" s="69" t="str">
        <x:v>smallest</x:v>
      </x:c>
      <x:c r="F1062" s="69" t="str">
        <x:v>size_explicit_smallest_green_block</x:v>
      </x:c>
      <x:c r="G1062" s="69" t="str">
        <x:v>largest green block; smallest juggling ball</x:v>
      </x:c>
      <x:c r="H1062" s="69" t="str">
        <x:v>No</x:v>
      </x:c>
      <x:c r="I1062" s="69" t="str"/>
      <x:c r="J1062" s="69" t="str">
        <x:v>green block, crushed Pepsi can</x:v>
      </x:c>
      <x:c r="K1062" s="69" t="str">
        <x:v>green block</x:v>
      </x:c>
      <x:c r="L1062" s="69" t="str">
        <x:v>Home</x:v>
      </x:c>
      <x:c r="M1062" s="69" t="str">
        <x:v>Put the smallest object in the bowl.</x:v>
      </x:c>
      <x:c r="N1062" s="69" t="str">
        <x:v>green block, crushed Pepsi can</x:v>
      </x:c>
      <x:c r="O1062" s="69" t="str">
        <x:v>green block</x:v>
      </x:c>
      <x:c r="P1062" s="70" t="str">
        <x:v>Explicitly grounds smallest/largest in a trained object-role combination.</x:v>
      </x:c>
    </x:row>
    <x:row r="1063" ht="58" customHeight="1">
      <x:c r="A1063" s="100" t="n">
        <x:v>1061</x:v>
      </x:c>
      <x:c r="B1063" s="69" t="str">
        <x:v>Size Recognition</x:v>
      </x:c>
      <x:c r="C1063" s="69" t="str">
        <x:v>Pick up the smallest item and place it in the bowl.</x:v>
      </x:c>
      <x:c r="D1063" s="69" t="str">
        <x:v>Explicit size grounding</x:v>
      </x:c>
      <x:c r="E1063" s="69" t="str">
        <x:v>smallest</x:v>
      </x:c>
      <x:c r="F1063" s="69" t="str">
        <x:v>size_explicit_smallest_green_block</x:v>
      </x:c>
      <x:c r="G1063" s="69" t="str">
        <x:v>largest green block; smallest juggling ball</x:v>
      </x:c>
      <x:c r="H1063" s="69" t="str">
        <x:v>No</x:v>
      </x:c>
      <x:c r="I1063" s="69" t="str"/>
      <x:c r="J1063" s="69" t="str">
        <x:v>green block, crushed Pepsi can</x:v>
      </x:c>
      <x:c r="K1063" s="69" t="str">
        <x:v>green block</x:v>
      </x:c>
      <x:c r="L1063" s="69" t="str">
        <x:v>Home</x:v>
      </x:c>
      <x:c r="M1063" s="69" t="str">
        <x:v>Pick up the smallest item and place it in the bowl.</x:v>
      </x:c>
      <x:c r="N1063" s="69" t="str">
        <x:v>green block, crushed Pepsi can</x:v>
      </x:c>
      <x:c r="O1063" s="69" t="str">
        <x:v>green block</x:v>
      </x:c>
      <x:c r="P1063" s="70" t="str">
        <x:v>Explicitly grounds smallest/largest in a trained object-role combination.</x:v>
      </x:c>
    </x:row>
    <x:row r="1064" ht="58" customHeight="1">
      <x:c r="A1064" s="100" t="n">
        <x:v>1062</x:v>
      </x:c>
      <x:c r="B1064" s="69" t="str">
        <x:v>Size Recognition</x:v>
      </x:c>
      <x:c r="C1064" s="69" t="str">
        <x:v>Move the object that is smallest into the bowl.</x:v>
      </x:c>
      <x:c r="D1064" s="69" t="str">
        <x:v>Explicit size grounding</x:v>
      </x:c>
      <x:c r="E1064" s="69" t="str">
        <x:v>smallest</x:v>
      </x:c>
      <x:c r="F1064" s="69" t="str">
        <x:v>size_explicit_smallest_green_block</x:v>
      </x:c>
      <x:c r="G1064" s="69" t="str">
        <x:v>largest green block; smallest juggling ball</x:v>
      </x:c>
      <x:c r="H1064" s="69" t="str">
        <x:v>No</x:v>
      </x:c>
      <x:c r="I1064" s="69" t="str"/>
      <x:c r="J1064" s="69" t="str">
        <x:v>green block, crushed Pepsi can</x:v>
      </x:c>
      <x:c r="K1064" s="69" t="str">
        <x:v>green block</x:v>
      </x:c>
      <x:c r="L1064" s="69" t="str">
        <x:v>Home</x:v>
      </x:c>
      <x:c r="M1064" s="69" t="str">
        <x:v>Move the object that is smallest into the bowl.</x:v>
      </x:c>
      <x:c r="N1064" s="69" t="str">
        <x:v>green block, crushed Pepsi can</x:v>
      </x:c>
      <x:c r="O1064" s="69" t="str">
        <x:v>green block</x:v>
      </x:c>
      <x:c r="P1064" s="70" t="str">
        <x:v>Explicitly grounds smallest/largest in a trained object-role combination.</x:v>
      </x:c>
    </x:row>
    <x:row r="1065" ht="58" customHeight="1">
      <x:c r="A1065" s="100" t="n">
        <x:v>1063</x:v>
      </x:c>
      <x:c r="B1065" s="69" t="str">
        <x:v>Size Recognition</x:v>
      </x:c>
      <x:c r="C1065" s="69" t="str">
        <x:v>Move the object that is smallest into the bowl.</x:v>
      </x:c>
      <x:c r="D1065" s="69" t="str">
        <x:v>Explicit size grounding</x:v>
      </x:c>
      <x:c r="E1065" s="69" t="str">
        <x:v>smallest</x:v>
      </x:c>
      <x:c r="F1065" s="69" t="str">
        <x:v>size_explicit_smallest_green_block</x:v>
      </x:c>
      <x:c r="G1065" s="69" t="str">
        <x:v>largest green block; smallest juggling ball</x:v>
      </x:c>
      <x:c r="H1065" s="69" t="str">
        <x:v>No</x:v>
      </x:c>
      <x:c r="I1065" s="69" t="str"/>
      <x:c r="J1065" s="69" t="str">
        <x:v>green block, crushed Pepsi can</x:v>
      </x:c>
      <x:c r="K1065" s="69" t="str">
        <x:v>green block</x:v>
      </x:c>
      <x:c r="L1065" s="69" t="str">
        <x:v>Home</x:v>
      </x:c>
      <x:c r="M1065" s="69" t="str">
        <x:v>Move the object that is smallest into the bowl.</x:v>
      </x:c>
      <x:c r="N1065" s="69" t="str">
        <x:v>green block, crushed Pepsi can</x:v>
      </x:c>
      <x:c r="O1065" s="69" t="str">
        <x:v>green block</x:v>
      </x:c>
      <x:c r="P1065" s="70" t="str">
        <x:v>Explicitly grounds smallest/largest in a trained object-role combination.</x:v>
      </x:c>
    </x:row>
    <x:row r="1066" ht="58" customHeight="1">
      <x:c r="A1066" s="100" t="n">
        <x:v>1064</x:v>
      </x:c>
      <x:c r="B1066" s="69" t="str">
        <x:v>Size Recognition</x:v>
      </x:c>
      <x:c r="C1066" s="69" t="str">
        <x:v>Move the object that is smallest into the bowl.</x:v>
      </x:c>
      <x:c r="D1066" s="69" t="str">
        <x:v>Explicit size grounding</x:v>
      </x:c>
      <x:c r="E1066" s="69" t="str">
        <x:v>smallest</x:v>
      </x:c>
      <x:c r="F1066" s="69" t="str">
        <x:v>size_explicit_smallest_green_block</x:v>
      </x:c>
      <x:c r="G1066" s="69" t="str">
        <x:v>largest green block; smallest juggling ball</x:v>
      </x:c>
      <x:c r="H1066" s="69" t="str">
        <x:v>No</x:v>
      </x:c>
      <x:c r="I1066" s="69" t="str"/>
      <x:c r="J1066" s="69" t="str">
        <x:v>green block, crushed Pepsi can</x:v>
      </x:c>
      <x:c r="K1066" s="69" t="str">
        <x:v>green block</x:v>
      </x:c>
      <x:c r="L1066" s="69" t="str">
        <x:v>Home</x:v>
      </x:c>
      <x:c r="M1066" s="69" t="str">
        <x:v>Move the object that is smallest into the bowl.</x:v>
      </x:c>
      <x:c r="N1066" s="69" t="str">
        <x:v>green block, crushed Pepsi can</x:v>
      </x:c>
      <x:c r="O1066" s="69" t="str">
        <x:v>green block</x:v>
      </x:c>
      <x:c r="P1066" s="70" t="str">
        <x:v>Explicitly grounds smallest/largest in a trained object-role combination.</x:v>
      </x:c>
    </x:row>
    <x:row r="1067" ht="58" customHeight="1">
      <x:c r="A1067" s="100" t="n">
        <x:v>1065</x:v>
      </x:c>
      <x:c r="B1067" s="69" t="str">
        <x:v>Size Recognition</x:v>
      </x:c>
      <x:c r="C1067" s="69" t="str">
        <x:v>Pick up the smallest item and place it in the bowl.</x:v>
      </x:c>
      <x:c r="D1067" s="69" t="str">
        <x:v>Explicit size grounding</x:v>
      </x:c>
      <x:c r="E1067" s="69" t="str">
        <x:v>smallest</x:v>
      </x:c>
      <x:c r="F1067" s="69" t="str">
        <x:v>size_explicit_smallest_green_block</x:v>
      </x:c>
      <x:c r="G1067" s="69" t="str">
        <x:v>largest green block; smallest juggling ball</x:v>
      </x:c>
      <x:c r="H1067" s="69" t="str">
        <x:v>No</x:v>
      </x:c>
      <x:c r="I1067" s="69" t="str"/>
      <x:c r="J1067" s="69" t="str">
        <x:v>green block, crushed Pepsi can</x:v>
      </x:c>
      <x:c r="K1067" s="69" t="str">
        <x:v>green block</x:v>
      </x:c>
      <x:c r="L1067" s="69" t="str">
        <x:v>Home</x:v>
      </x:c>
      <x:c r="M1067" s="69" t="str">
        <x:v>Pick up the smallest item and place it in the bowl.</x:v>
      </x:c>
      <x:c r="N1067" s="69" t="str">
        <x:v>green block, crushed Pepsi can</x:v>
      </x:c>
      <x:c r="O1067" s="69" t="str">
        <x:v>green block</x:v>
      </x:c>
      <x:c r="P1067" s="70" t="str">
        <x:v>Explicitly grounds smallest/largest in a trained object-role combination.</x:v>
      </x:c>
    </x:row>
    <x:row r="1068" ht="58" customHeight="1">
      <x:c r="A1068" s="100" t="n">
        <x:v>1066</x:v>
      </x:c>
      <x:c r="B1068" s="69" t="str">
        <x:v>Size Recognition</x:v>
      </x:c>
      <x:c r="C1068" s="69" t="str">
        <x:v>Put the smallest object in the bowl.</x:v>
      </x:c>
      <x:c r="D1068" s="69" t="str">
        <x:v>Explicit size grounding</x:v>
      </x:c>
      <x:c r="E1068" s="69" t="str">
        <x:v>smallest</x:v>
      </x:c>
      <x:c r="F1068" s="69" t="str">
        <x:v>size_explicit_smallest_green_block</x:v>
      </x:c>
      <x:c r="G1068" s="69" t="str">
        <x:v>largest green block; smallest juggling ball</x:v>
      </x:c>
      <x:c r="H1068" s="69" t="str">
        <x:v>No</x:v>
      </x:c>
      <x:c r="I1068" s="69" t="str"/>
      <x:c r="J1068" s="69" t="str">
        <x:v>green block, crushed Pepsi can</x:v>
      </x:c>
      <x:c r="K1068" s="69" t="str">
        <x:v>green block</x:v>
      </x:c>
      <x:c r="L1068" s="69" t="str">
        <x:v>Home</x:v>
      </x:c>
      <x:c r="M1068" s="69" t="str">
        <x:v>Put the smallest object in the bowl.</x:v>
      </x:c>
      <x:c r="N1068" s="69" t="str">
        <x:v>green block, crushed Pepsi can</x:v>
      </x:c>
      <x:c r="O1068" s="69" t="str">
        <x:v>green block</x:v>
      </x:c>
      <x:c r="P1068" s="70" t="str">
        <x:v>Explicitly grounds smallest/largest in a trained object-role combination.</x:v>
      </x:c>
    </x:row>
    <x:row r="1069" ht="58" customHeight="1">
      <x:c r="A1069" s="100" t="n">
        <x:v>1067</x:v>
      </x:c>
      <x:c r="B1069" s="69" t="str">
        <x:v>Size Recognition</x:v>
      </x:c>
      <x:c r="C1069" s="69" t="str">
        <x:v>Pick up the smallest item and place it in the bowl.</x:v>
      </x:c>
      <x:c r="D1069" s="69" t="str">
        <x:v>Explicit size grounding</x:v>
      </x:c>
      <x:c r="E1069" s="69" t="str">
        <x:v>smallest</x:v>
      </x:c>
      <x:c r="F1069" s="69" t="str">
        <x:v>size_explicit_smallest_green_block</x:v>
      </x:c>
      <x:c r="G1069" s="69" t="str">
        <x:v>largest green block; smallest juggling ball</x:v>
      </x:c>
      <x:c r="H1069" s="69" t="str">
        <x:v>No</x:v>
      </x:c>
      <x:c r="I1069" s="69" t="str"/>
      <x:c r="J1069" s="69" t="str">
        <x:v>green block, crushed Pepsi can</x:v>
      </x:c>
      <x:c r="K1069" s="69" t="str">
        <x:v>green block</x:v>
      </x:c>
      <x:c r="L1069" s="69" t="str">
        <x:v>Home</x:v>
      </x:c>
      <x:c r="M1069" s="69" t="str">
        <x:v>Pick up the smallest item and place it in the bowl.</x:v>
      </x:c>
      <x:c r="N1069" s="69" t="str">
        <x:v>green block, crushed Pepsi can</x:v>
      </x:c>
      <x:c r="O1069" s="69" t="str">
        <x:v>green block</x:v>
      </x:c>
      <x:c r="P1069" s="70" t="str">
        <x:v>Explicitly grounds smallest/largest in a trained object-role combination.</x:v>
      </x:c>
    </x:row>
    <x:row r="1070" ht="58" customHeight="1">
      <x:c r="A1070" s="100" t="n">
        <x:v>1068</x:v>
      </x:c>
      <x:c r="B1070" s="69" t="str">
        <x:v>Size Recognition</x:v>
      </x:c>
      <x:c r="C1070" s="69" t="str">
        <x:v>Put the smallest object in the bowl.</x:v>
      </x:c>
      <x:c r="D1070" s="69" t="str">
        <x:v>Explicit size grounding</x:v>
      </x:c>
      <x:c r="E1070" s="69" t="str">
        <x:v>smallest</x:v>
      </x:c>
      <x:c r="F1070" s="69" t="str">
        <x:v>size_explicit_smallest_green_block</x:v>
      </x:c>
      <x:c r="G1070" s="69" t="str">
        <x:v>largest green block; smallest juggling ball</x:v>
      </x:c>
      <x:c r="H1070" s="69" t="str">
        <x:v>No</x:v>
      </x:c>
      <x:c r="I1070" s="69" t="str"/>
      <x:c r="J1070" s="69" t="str">
        <x:v>green block, crushed Pepsi can</x:v>
      </x:c>
      <x:c r="K1070" s="69" t="str">
        <x:v>green block</x:v>
      </x:c>
      <x:c r="L1070" s="69" t="str">
        <x:v>Home</x:v>
      </x:c>
      <x:c r="M1070" s="69" t="str">
        <x:v>Put the smallest object in the bowl.</x:v>
      </x:c>
      <x:c r="N1070" s="69" t="str">
        <x:v>green block, crushed Pepsi can</x:v>
      </x:c>
      <x:c r="O1070" s="69" t="str">
        <x:v>green block</x:v>
      </x:c>
      <x:c r="P1070" s="70" t="str">
        <x:v>Explicitly grounds smallest/largest in a trained object-role combination.</x:v>
      </x:c>
    </x:row>
    <x:row r="1071" ht="58" customHeight="1">
      <x:c r="A1071" s="100" t="n">
        <x:v>1069</x:v>
      </x:c>
      <x:c r="B1071" s="69" t="str">
        <x:v>Size Recognition</x:v>
      </x:c>
      <x:c r="C1071" s="69" t="str">
        <x:v>Put the smallest object in the bowl.</x:v>
      </x:c>
      <x:c r="D1071" s="69" t="str">
        <x:v>Explicit size grounding</x:v>
      </x:c>
      <x:c r="E1071" s="69" t="str">
        <x:v>smallest</x:v>
      </x:c>
      <x:c r="F1071" s="69" t="str">
        <x:v>size_explicit_smallest_green_block</x:v>
      </x:c>
      <x:c r="G1071" s="69" t="str">
        <x:v>largest green block; smallest juggling ball</x:v>
      </x:c>
      <x:c r="H1071" s="69" t="str">
        <x:v>No</x:v>
      </x:c>
      <x:c r="I1071" s="69" t="str"/>
      <x:c r="J1071" s="69" t="str">
        <x:v>green block, crushed Pepsi can</x:v>
      </x:c>
      <x:c r="K1071" s="69" t="str">
        <x:v>green block</x:v>
      </x:c>
      <x:c r="L1071" s="69" t="str">
        <x:v>Home</x:v>
      </x:c>
      <x:c r="M1071" s="69" t="str">
        <x:v>Put the smallest object in the bowl.</x:v>
      </x:c>
      <x:c r="N1071" s="69" t="str">
        <x:v>green block, crushed Pepsi can</x:v>
      </x:c>
      <x:c r="O1071" s="69" t="str">
        <x:v>green block</x:v>
      </x:c>
      <x:c r="P1071" s="70" t="str">
        <x:v>Explicitly grounds smallest/largest in a trained object-role combination.</x:v>
      </x:c>
    </x:row>
    <x:row r="1072" ht="58" customHeight="1">
      <x:c r="A1072" s="100" t="n">
        <x:v>1070</x:v>
      </x:c>
      <x:c r="B1072" s="69" t="str">
        <x:v>Size Recognition</x:v>
      </x:c>
      <x:c r="C1072" s="69" t="str">
        <x:v>Move the object that is smallest into the bowl.</x:v>
      </x:c>
      <x:c r="D1072" s="69" t="str">
        <x:v>Explicit size grounding</x:v>
      </x:c>
      <x:c r="E1072" s="69" t="str">
        <x:v>smallest</x:v>
      </x:c>
      <x:c r="F1072" s="69" t="str">
        <x:v>size_explicit_smallest_green_block</x:v>
      </x:c>
      <x:c r="G1072" s="69" t="str">
        <x:v>largest green block; smallest juggling ball</x:v>
      </x:c>
      <x:c r="H1072" s="69" t="str">
        <x:v>No</x:v>
      </x:c>
      <x:c r="I1072" s="69" t="str"/>
      <x:c r="J1072" s="69" t="str">
        <x:v>green block, crushed Pepsi can</x:v>
      </x:c>
      <x:c r="K1072" s="69" t="str">
        <x:v>green block</x:v>
      </x:c>
      <x:c r="L1072" s="69" t="str">
        <x:v>Home</x:v>
      </x:c>
      <x:c r="M1072" s="69" t="str">
        <x:v>Move the object that is smallest into the bowl.</x:v>
      </x:c>
      <x:c r="N1072" s="69" t="str">
        <x:v>green block, crushed Pepsi can</x:v>
      </x:c>
      <x:c r="O1072" s="69" t="str">
        <x:v>green block</x:v>
      </x:c>
      <x:c r="P1072" s="70" t="str">
        <x:v>Explicitly grounds smallest/largest in a trained object-role combination.</x:v>
      </x:c>
    </x:row>
    <x:row r="1073" ht="58" customHeight="1">
      <x:c r="A1073" s="100" t="n">
        <x:v>1071</x:v>
      </x:c>
      <x:c r="B1073" s="69" t="str">
        <x:v>Size Recognition</x:v>
      </x:c>
      <x:c r="C1073" s="69" t="str">
        <x:v>Move the object that is smallest into the bowl.</x:v>
      </x:c>
      <x:c r="D1073" s="69" t="str">
        <x:v>Explicit size grounding</x:v>
      </x:c>
      <x:c r="E1073" s="69" t="str">
        <x:v>smallest</x:v>
      </x:c>
      <x:c r="F1073" s="69" t="str">
        <x:v>size_explicit_smallest_green_block</x:v>
      </x:c>
      <x:c r="G1073" s="69" t="str">
        <x:v>largest green block; smallest juggling ball</x:v>
      </x:c>
      <x:c r="H1073" s="69" t="str">
        <x:v>No</x:v>
      </x:c>
      <x:c r="I1073" s="69" t="str"/>
      <x:c r="J1073" s="69" t="str">
        <x:v>green block, crushed Pepsi can</x:v>
      </x:c>
      <x:c r="K1073" s="69" t="str">
        <x:v>green block</x:v>
      </x:c>
      <x:c r="L1073" s="69" t="str">
        <x:v>Home</x:v>
      </x:c>
      <x:c r="M1073" s="69" t="str">
        <x:v>Move the object that is smallest into the bowl.</x:v>
      </x:c>
      <x:c r="N1073" s="69" t="str">
        <x:v>green block, crushed Pepsi can</x:v>
      </x:c>
      <x:c r="O1073" s="69" t="str">
        <x:v>green block</x:v>
      </x:c>
      <x:c r="P1073" s="70" t="str">
        <x:v>Explicitly grounds smallest/largest in a trained object-role combination.</x:v>
      </x:c>
    </x:row>
    <x:row r="1074" ht="58" customHeight="1">
      <x:c r="A1074" s="100" t="n">
        <x:v>1072</x:v>
      </x:c>
      <x:c r="B1074" s="69" t="str">
        <x:v>Size Recognition</x:v>
      </x:c>
      <x:c r="C1074" s="69" t="str">
        <x:v>Pick up the smallest item and place it in the bowl.</x:v>
      </x:c>
      <x:c r="D1074" s="69" t="str">
        <x:v>Explicit size grounding</x:v>
      </x:c>
      <x:c r="E1074" s="69" t="str">
        <x:v>smallest</x:v>
      </x:c>
      <x:c r="F1074" s="69" t="str">
        <x:v>size_explicit_smallest_green_block</x:v>
      </x:c>
      <x:c r="G1074" s="69" t="str">
        <x:v>largest green block; smallest juggling ball</x:v>
      </x:c>
      <x:c r="H1074" s="69" t="str">
        <x:v>No</x:v>
      </x:c>
      <x:c r="I1074" s="69" t="str"/>
      <x:c r="J1074" s="69" t="str">
        <x:v>green block, crushed Pepsi can</x:v>
      </x:c>
      <x:c r="K1074" s="69" t="str">
        <x:v>green block</x:v>
      </x:c>
      <x:c r="L1074" s="69" t="str">
        <x:v>Recovery</x:v>
      </x:c>
      <x:c r="M1074" s="69" t="str">
        <x:v>Pick up the smallest item and place it in the bowl.</x:v>
      </x:c>
      <x:c r="N1074" s="69" t="str">
        <x:v>green block, crushed Pepsi can</x:v>
      </x:c>
      <x:c r="O1074" s="69" t="str">
        <x:v>green block</x:v>
      </x:c>
      <x:c r="P1074" s="70" t="str">
        <x:v>Explicitly grounds smallest/largest in a trained object-role combination.</x:v>
      </x:c>
    </x:row>
    <x:row r="1075" ht="58" customHeight="1">
      <x:c r="A1075" s="100" t="n">
        <x:v>1073</x:v>
      </x:c>
      <x:c r="B1075" s="69" t="str">
        <x:v>Size Recognition</x:v>
      </x:c>
      <x:c r="C1075" s="69" t="str">
        <x:v>Move the object that is smallest into the bowl.</x:v>
      </x:c>
      <x:c r="D1075" s="69" t="str">
        <x:v>Explicit size grounding</x:v>
      </x:c>
      <x:c r="E1075" s="69" t="str">
        <x:v>smallest</x:v>
      </x:c>
      <x:c r="F1075" s="69" t="str">
        <x:v>size_explicit_smallest_green_block</x:v>
      </x:c>
      <x:c r="G1075" s="69" t="str">
        <x:v>largest green block; smallest juggling ball</x:v>
      </x:c>
      <x:c r="H1075" s="69" t="str">
        <x:v>No</x:v>
      </x:c>
      <x:c r="I1075" s="69" t="str"/>
      <x:c r="J1075" s="69" t="str">
        <x:v>green block, crushed Pepsi can</x:v>
      </x:c>
      <x:c r="K1075" s="69" t="str">
        <x:v>green block</x:v>
      </x:c>
      <x:c r="L1075" s="69" t="str">
        <x:v>Recovery</x:v>
      </x:c>
      <x:c r="M1075" s="69" t="str">
        <x:v>Move the object that is smallest into the bowl.</x:v>
      </x:c>
      <x:c r="N1075" s="69" t="str">
        <x:v>green block, crushed Pepsi can</x:v>
      </x:c>
      <x:c r="O1075" s="69" t="str">
        <x:v>green block</x:v>
      </x:c>
      <x:c r="P1075" s="70" t="str">
        <x:v>Explicitly grounds smallest/largest in a trained object-role combination.</x:v>
      </x:c>
    </x:row>
    <x:row r="1076" ht="58" customHeight="1">
      <x:c r="A1076" s="100" t="n">
        <x:v>1074</x:v>
      </x:c>
      <x:c r="B1076" s="69" t="str">
        <x:v>Size Recognition</x:v>
      </x:c>
      <x:c r="C1076" s="69" t="str">
        <x:v>Put the smallest object in the bowl.</x:v>
      </x:c>
      <x:c r="D1076" s="69" t="str">
        <x:v>Explicit size grounding</x:v>
      </x:c>
      <x:c r="E1076" s="69" t="str">
        <x:v>smallest</x:v>
      </x:c>
      <x:c r="F1076" s="69" t="str">
        <x:v>size_explicit_smallest_green_block</x:v>
      </x:c>
      <x:c r="G1076" s="69" t="str">
        <x:v>largest green block; smallest juggling ball</x:v>
      </x:c>
      <x:c r="H1076" s="69" t="str">
        <x:v>No</x:v>
      </x:c>
      <x:c r="I1076" s="69" t="str"/>
      <x:c r="J1076" s="69" t="str">
        <x:v>green block, crushed Pepsi can</x:v>
      </x:c>
      <x:c r="K1076" s="69" t="str">
        <x:v>green block</x:v>
      </x:c>
      <x:c r="L1076" s="69" t="str">
        <x:v>Recovery</x:v>
      </x:c>
      <x:c r="M1076" s="69" t="str">
        <x:v>Put the smallest object in the bowl.</x:v>
      </x:c>
      <x:c r="N1076" s="69" t="str">
        <x:v>green block, crushed Pepsi can</x:v>
      </x:c>
      <x:c r="O1076" s="69" t="str">
        <x:v>green block</x:v>
      </x:c>
      <x:c r="P1076" s="70" t="str">
        <x:v>Explicitly grounds smallest/largest in a trained object-role combination.</x:v>
      </x:c>
    </x:row>
    <x:row r="1077" ht="58" customHeight="1">
      <x:c r="A1077" s="100" t="n">
        <x:v>1075</x:v>
      </x:c>
      <x:c r="B1077" s="69" t="str">
        <x:v>Size Recognition</x:v>
      </x:c>
      <x:c r="C1077" s="69" t="str">
        <x:v>Put the green block in the bowl.</x:v>
      </x:c>
      <x:c r="D1077" s="69" t="str">
        <x:v>Direct-object size control</x:v>
      </x:c>
      <x:c r="E1077" s="69" t="str">
        <x:v>direct object identity</x:v>
      </x:c>
      <x:c r="F1077" s="69" t="str">
        <x:v>size_direct_green_block</x:v>
      </x:c>
      <x:c r="G1077" s="69" t="str">
        <x:v>largest green block; smallest juggling ball</x:v>
      </x:c>
      <x:c r="H1077" s="69" t="str">
        <x:v>No</x:v>
      </x:c>
      <x:c r="I1077" s="69" t="str"/>
      <x:c r="J1077" s="69" t="str">
        <x:v>red pencil sharpener, green block</x:v>
      </x:c>
      <x:c r="K1077" s="69" t="str">
        <x:v>green block</x:v>
      </x:c>
      <x:c r="L1077" s="69" t="str">
        <x:v>Home</x:v>
      </x:c>
      <x:c r="M1077" s="69" t="str">
        <x:v>Pick up the green block and place it in the bowl.</x:v>
      </x:c>
      <x:c r="N1077" s="69" t="str">
        <x:v>red pencil sharpener, green block</x:v>
      </x:c>
      <x:c r="O1077" s="69" t="str">
        <x:v>green block</x:v>
      </x:c>
      <x:c r="P1077" s="70" t="str">
        <x:v>Balances direct-name controls across all four size-task identities without changing the recorded trajectory.</x:v>
      </x:c>
    </x:row>
    <x:row r="1078" ht="58" customHeight="1">
      <x:c r="A1078" s="100" t="n">
        <x:v>1076</x:v>
      </x:c>
      <x:c r="B1078" s="69" t="str">
        <x:v>Size Recognition</x:v>
      </x:c>
      <x:c r="C1078" s="69" t="str">
        <x:v>Pick up the green block and place it in the bowl.</x:v>
      </x:c>
      <x:c r="D1078" s="69" t="str">
        <x:v>Direct-object size control</x:v>
      </x:c>
      <x:c r="E1078" s="69" t="str">
        <x:v>direct object identity</x:v>
      </x:c>
      <x:c r="F1078" s="69" t="str">
        <x:v>size_direct_green_block</x:v>
      </x:c>
      <x:c r="G1078" s="69" t="str">
        <x:v>largest green block; smallest juggling ball</x:v>
      </x:c>
      <x:c r="H1078" s="69" t="str">
        <x:v>No</x:v>
      </x:c>
      <x:c r="I1078" s="69" t="str"/>
      <x:c r="J1078" s="69" t="str">
        <x:v>red pencil sharpener, green block</x:v>
      </x:c>
      <x:c r="K1078" s="69" t="str">
        <x:v>green block</x:v>
      </x:c>
      <x:c r="L1078" s="69" t="str">
        <x:v>Home</x:v>
      </x:c>
      <x:c r="M1078" s="69" t="str">
        <x:v>Move the green block into the bowl.</x:v>
      </x:c>
      <x:c r="N1078" s="69" t="str">
        <x:v>red pencil sharpener, green block</x:v>
      </x:c>
      <x:c r="O1078" s="69" t="str">
        <x:v>green block</x:v>
      </x:c>
      <x:c r="P1078" s="70" t="str">
        <x:v>Balances direct-name controls across all four size-task identities without changing the recorded trajectory.</x:v>
      </x:c>
    </x:row>
    <x:row r="1079" ht="58" customHeight="1">
      <x:c r="A1079" s="100" t="n">
        <x:v>1077</x:v>
      </x:c>
      <x:c r="B1079" s="69" t="str">
        <x:v>Size Recognition</x:v>
      </x:c>
      <x:c r="C1079" s="69" t="str">
        <x:v>Move the green block into the bowl.</x:v>
      </x:c>
      <x:c r="D1079" s="69" t="str">
        <x:v>Direct-object size control</x:v>
      </x:c>
      <x:c r="E1079" s="69" t="str">
        <x:v>direct object identity</x:v>
      </x:c>
      <x:c r="F1079" s="69" t="str">
        <x:v>size_direct_green_block</x:v>
      </x:c>
      <x:c r="G1079" s="69" t="str">
        <x:v>largest green block; smallest juggling ball</x:v>
      </x:c>
      <x:c r="H1079" s="69" t="str">
        <x:v>No</x:v>
      </x:c>
      <x:c r="I1079" s="69" t="str"/>
      <x:c r="J1079" s="69" t="str">
        <x:v>red pencil sharpener, green block</x:v>
      </x:c>
      <x:c r="K1079" s="69" t="str">
        <x:v>green block</x:v>
      </x:c>
      <x:c r="L1079" s="69" t="str">
        <x:v>Home</x:v>
      </x:c>
      <x:c r="M1079" s="69" t="str">
        <x:v>Put the green block in the bowl.</x:v>
      </x:c>
      <x:c r="N1079" s="69" t="str">
        <x:v>red pencil sharpener, green block</x:v>
      </x:c>
      <x:c r="O1079" s="69" t="str">
        <x:v>green block</x:v>
      </x:c>
      <x:c r="P1079" s="70" t="str">
        <x:v>Balances direct-name controls across all four size-task identities without changing the recorded trajectory.</x:v>
      </x:c>
    </x:row>
    <x:row r="1080" ht="58" customHeight="1">
      <x:c r="A1080" s="100" t="n">
        <x:v>1078</x:v>
      </x:c>
      <x:c r="B1080" s="69" t="str">
        <x:v>Size Recognition</x:v>
      </x:c>
      <x:c r="C1080" s="69" t="str">
        <x:v>Put the green block in the bowl.</x:v>
      </x:c>
      <x:c r="D1080" s="69" t="str">
        <x:v>Direct-object size control</x:v>
      </x:c>
      <x:c r="E1080" s="69" t="str">
        <x:v>direct object identity</x:v>
      </x:c>
      <x:c r="F1080" s="69" t="str">
        <x:v>size_direct_green_block</x:v>
      </x:c>
      <x:c r="G1080" s="69" t="str">
        <x:v>largest green block; smallest juggling ball</x:v>
      </x:c>
      <x:c r="H1080" s="69" t="str">
        <x:v>No</x:v>
      </x:c>
      <x:c r="I1080" s="69" t="str"/>
      <x:c r="J1080" s="69" t="str">
        <x:v>red pencil sharpener, green block</x:v>
      </x:c>
      <x:c r="K1080" s="69" t="str">
        <x:v>green block</x:v>
      </x:c>
      <x:c r="L1080" s="69" t="str">
        <x:v>Home</x:v>
      </x:c>
      <x:c r="M1080" s="69" t="str">
        <x:v>Pick up the green block and place it in the bowl.</x:v>
      </x:c>
      <x:c r="N1080" s="69" t="str">
        <x:v>red pencil sharpener, green block</x:v>
      </x:c>
      <x:c r="O1080" s="69" t="str">
        <x:v>green block</x:v>
      </x:c>
      <x:c r="P1080" s="70" t="str">
        <x:v>Balances direct-name controls across all four size-task identities without changing the recorded trajectory.</x:v>
      </x:c>
    </x:row>
    <x:row r="1081" ht="58" customHeight="1">
      <x:c r="A1081" s="100" t="n">
        <x:v>1079</x:v>
      </x:c>
      <x:c r="B1081" s="69" t="str">
        <x:v>Size Recognition</x:v>
      </x:c>
      <x:c r="C1081" s="69" t="str">
        <x:v>Pick up the green block and place it in the bowl.</x:v>
      </x:c>
      <x:c r="D1081" s="69" t="str">
        <x:v>Direct-object size control</x:v>
      </x:c>
      <x:c r="E1081" s="69" t="str">
        <x:v>direct object identity</x:v>
      </x:c>
      <x:c r="F1081" s="69" t="str">
        <x:v>size_direct_green_block</x:v>
      </x:c>
      <x:c r="G1081" s="69" t="str">
        <x:v>largest green block; smallest juggling ball</x:v>
      </x:c>
      <x:c r="H1081" s="69" t="str">
        <x:v>No</x:v>
      </x:c>
      <x:c r="I1081" s="69" t="str"/>
      <x:c r="J1081" s="69" t="str">
        <x:v>red pencil sharpener, green block</x:v>
      </x:c>
      <x:c r="K1081" s="69" t="str">
        <x:v>green block</x:v>
      </x:c>
      <x:c r="L1081" s="69" t="str">
        <x:v>Home</x:v>
      </x:c>
      <x:c r="M1081" s="69" t="str">
        <x:v>Move the green block into the bowl.</x:v>
      </x:c>
      <x:c r="N1081" s="69" t="str">
        <x:v>red pencil sharpener, green block</x:v>
      </x:c>
      <x:c r="O1081" s="69" t="str">
        <x:v>green block</x:v>
      </x:c>
      <x:c r="P1081" s="70" t="str">
        <x:v>Balances direct-name controls across all four size-task identities without changing the recorded trajectory.</x:v>
      </x:c>
    </x:row>
    <x:row r="1082" ht="58" customHeight="1">
      <x:c r="A1082" s="100" t="n">
        <x:v>1080</x:v>
      </x:c>
      <x:c r="B1082" s="69" t="str">
        <x:v>Size Recognition</x:v>
      </x:c>
      <x:c r="C1082" s="69" t="str">
        <x:v>Move the green block into the bowl.</x:v>
      </x:c>
      <x:c r="D1082" s="69" t="str">
        <x:v>Masked size-object composition</x:v>
      </x:c>
      <x:c r="E1082" s="69" t="str">
        <x:v>direct object identity; held-out size-role physical exposure</x:v>
      </x:c>
      <x:c r="F1082" s="69" t="str">
        <x:v>size_masked_green_block</x:v>
      </x:c>
      <x:c r="G1082" s="69" t="str">
        <x:v>largest green block; smallest juggling ball</x:v>
      </x:c>
      <x:c r="H1082" s="69" t="str">
        <x:v>No</x:v>
      </x:c>
      <x:c r="I1082" s="69" t="str"/>
      <x:c r="J1082" s="69" t="str">
        <x:v>red pencil sharpener, green block</x:v>
      </x:c>
      <x:c r="K1082" s="69" t="str">
        <x:v>green block</x:v>
      </x:c>
      <x:c r="L1082" s="69" t="str">
        <x:v>Home</x:v>
      </x:c>
      <x:c r="M1082" s="69" t="str">
        <x:v>Move the green block into the bowl.</x:v>
      </x:c>
      <x:c r="N1082" s="69" t="str">
        <x:v>red pencil sharpener, green block</x:v>
      </x:c>
      <x:c r="O1082" s="69" t="str">
        <x:v>green block</x:v>
      </x:c>
      <x:c r="P1082" s="70" t="str">
        <x:v>Keeps largest-green and smallest-juggling trajectories under direct-name prompts.</x:v>
      </x:c>
    </x:row>
    <x:row r="1083" ht="58" customHeight="1">
      <x:c r="A1083" s="100" t="n">
        <x:v>1081</x:v>
      </x:c>
      <x:c r="B1083" s="69" t="str">
        <x:v>Size Recognition</x:v>
      </x:c>
      <x:c r="C1083" s="69" t="str">
        <x:v>Put the green block in the bowl.</x:v>
      </x:c>
      <x:c r="D1083" s="69" t="str">
        <x:v>Masked size-object composition</x:v>
      </x:c>
      <x:c r="E1083" s="69" t="str">
        <x:v>direct object identity; held-out size-role physical exposure</x:v>
      </x:c>
      <x:c r="F1083" s="69" t="str">
        <x:v>size_masked_green_block</x:v>
      </x:c>
      <x:c r="G1083" s="69" t="str">
        <x:v>largest green block; smallest juggling ball</x:v>
      </x:c>
      <x:c r="H1083" s="69" t="str">
        <x:v>No</x:v>
      </x:c>
      <x:c r="I1083" s="69" t="str"/>
      <x:c r="J1083" s="69" t="str">
        <x:v>red pencil sharpener, green block</x:v>
      </x:c>
      <x:c r="K1083" s="69" t="str">
        <x:v>green block</x:v>
      </x:c>
      <x:c r="L1083" s="69" t="str">
        <x:v>Home</x:v>
      </x:c>
      <x:c r="M1083" s="69" t="str">
        <x:v>Put the green block in the bowl.</x:v>
      </x:c>
      <x:c r="N1083" s="69" t="str">
        <x:v>red pencil sharpener, green block</x:v>
      </x:c>
      <x:c r="O1083" s="69" t="str">
        <x:v>green block</x:v>
      </x:c>
      <x:c r="P1083" s="70" t="str">
        <x:v>Keeps largest-green and smallest-juggling trajectories under direct-name prompts.</x:v>
      </x:c>
    </x:row>
    <x:row r="1084" ht="58" customHeight="1">
      <x:c r="A1084" s="100" t="n">
        <x:v>1082</x:v>
      </x:c>
      <x:c r="B1084" s="69" t="str">
        <x:v>Size Recognition</x:v>
      </x:c>
      <x:c r="C1084" s="69" t="str">
        <x:v>Move the green block into the bowl.</x:v>
      </x:c>
      <x:c r="D1084" s="69" t="str">
        <x:v>Masked size-object composition</x:v>
      </x:c>
      <x:c r="E1084" s="69" t="str">
        <x:v>direct object identity; held-out size-role physical exposure</x:v>
      </x:c>
      <x:c r="F1084" s="69" t="str">
        <x:v>size_masked_green_block</x:v>
      </x:c>
      <x:c r="G1084" s="69" t="str">
        <x:v>largest green block; smallest juggling ball</x:v>
      </x:c>
      <x:c r="H1084" s="69" t="str">
        <x:v>No</x:v>
      </x:c>
      <x:c r="I1084" s="69" t="str"/>
      <x:c r="J1084" s="69" t="str">
        <x:v>red pencil sharpener, green block</x:v>
      </x:c>
      <x:c r="K1084" s="69" t="str">
        <x:v>green block</x:v>
      </x:c>
      <x:c r="L1084" s="69" t="str">
        <x:v>Home</x:v>
      </x:c>
      <x:c r="M1084" s="69" t="str">
        <x:v>Move the green block into the bowl.</x:v>
      </x:c>
      <x:c r="N1084" s="69" t="str">
        <x:v>red pencil sharpener, green block</x:v>
      </x:c>
      <x:c r="O1084" s="69" t="str">
        <x:v>green block</x:v>
      </x:c>
      <x:c r="P1084" s="70" t="str">
        <x:v>Keeps largest-green and smallest-juggling trajectories under direct-name prompts.</x:v>
      </x:c>
    </x:row>
    <x:row r="1085" ht="58" customHeight="1">
      <x:c r="A1085" s="100" t="n">
        <x:v>1083</x:v>
      </x:c>
      <x:c r="B1085" s="69" t="str">
        <x:v>Size Recognition</x:v>
      </x:c>
      <x:c r="C1085" s="69" t="str">
        <x:v>Move the green block into the bowl.</x:v>
      </x:c>
      <x:c r="D1085" s="69" t="str">
        <x:v>Masked size-object composition</x:v>
      </x:c>
      <x:c r="E1085" s="69" t="str">
        <x:v>direct object identity; held-out size-role physical exposure</x:v>
      </x:c>
      <x:c r="F1085" s="69" t="str">
        <x:v>size_masked_green_block</x:v>
      </x:c>
      <x:c r="G1085" s="69" t="str">
        <x:v>largest green block; smallest juggling ball</x:v>
      </x:c>
      <x:c r="H1085" s="69" t="str">
        <x:v>No</x:v>
      </x:c>
      <x:c r="I1085" s="69" t="str"/>
      <x:c r="J1085" s="69" t="str">
        <x:v>red pencil sharpener, green block</x:v>
      </x:c>
      <x:c r="K1085" s="69" t="str">
        <x:v>green block</x:v>
      </x:c>
      <x:c r="L1085" s="69" t="str">
        <x:v>Home</x:v>
      </x:c>
      <x:c r="M1085" s="69" t="str">
        <x:v>Move the green block into the bowl.</x:v>
      </x:c>
      <x:c r="N1085" s="69" t="str">
        <x:v>red pencil sharpener, green block</x:v>
      </x:c>
      <x:c r="O1085" s="69" t="str">
        <x:v>green block</x:v>
      </x:c>
      <x:c r="P1085" s="70" t="str">
        <x:v>Keeps largest-green and smallest-juggling trajectories under direct-name prompts.</x:v>
      </x:c>
    </x:row>
    <x:row r="1086" ht="58" customHeight="1">
      <x:c r="A1086" s="100" t="n">
        <x:v>1084</x:v>
      </x:c>
      <x:c r="B1086" s="69" t="str">
        <x:v>Size Recognition</x:v>
      </x:c>
      <x:c r="C1086" s="69" t="str">
        <x:v>Pick up the green block and place it in the bowl.</x:v>
      </x:c>
      <x:c r="D1086" s="69" t="str">
        <x:v>Masked size-object composition</x:v>
      </x:c>
      <x:c r="E1086" s="69" t="str">
        <x:v>direct object identity; held-out size-role physical exposure</x:v>
      </x:c>
      <x:c r="F1086" s="69" t="str">
        <x:v>size_masked_green_block</x:v>
      </x:c>
      <x:c r="G1086" s="69" t="str">
        <x:v>largest green block; smallest juggling ball</x:v>
      </x:c>
      <x:c r="H1086" s="69" t="str">
        <x:v>No</x:v>
      </x:c>
      <x:c r="I1086" s="69" t="str"/>
      <x:c r="J1086" s="69" t="str">
        <x:v>red pencil sharpener, green block</x:v>
      </x:c>
      <x:c r="K1086" s="69" t="str">
        <x:v>green block</x:v>
      </x:c>
      <x:c r="L1086" s="69" t="str">
        <x:v>Home</x:v>
      </x:c>
      <x:c r="M1086" s="69" t="str">
        <x:v>Pick up the green block and place it in the bowl.</x:v>
      </x:c>
      <x:c r="N1086" s="69" t="str">
        <x:v>red pencil sharpener, green block</x:v>
      </x:c>
      <x:c r="O1086" s="69" t="str">
        <x:v>green block</x:v>
      </x:c>
      <x:c r="P1086" s="70" t="str">
        <x:v>Keeps largest-green and smallest-juggling trajectories under direct-name prompts.</x:v>
      </x:c>
    </x:row>
    <x:row r="1087" ht="58" customHeight="1">
      <x:c r="A1087" s="100" t="n">
        <x:v>1085</x:v>
      </x:c>
      <x:c r="B1087" s="69" t="str">
        <x:v>Size Recognition</x:v>
      </x:c>
      <x:c r="C1087" s="69" t="str">
        <x:v>Move the green block into the bowl.</x:v>
      </x:c>
      <x:c r="D1087" s="69" t="str">
        <x:v>Masked size-object composition</x:v>
      </x:c>
      <x:c r="E1087" s="69" t="str">
        <x:v>direct object identity; held-out size-role physical exposure</x:v>
      </x:c>
      <x:c r="F1087" s="69" t="str">
        <x:v>size_masked_green_block</x:v>
      </x:c>
      <x:c r="G1087" s="69" t="str">
        <x:v>largest green block; smallest juggling ball</x:v>
      </x:c>
      <x:c r="H1087" s="69" t="str">
        <x:v>No</x:v>
      </x:c>
      <x:c r="I1087" s="69" t="str"/>
      <x:c r="J1087" s="69" t="str">
        <x:v>red pencil sharpener, green block</x:v>
      </x:c>
      <x:c r="K1087" s="69" t="str">
        <x:v>green block</x:v>
      </x:c>
      <x:c r="L1087" s="69" t="str">
        <x:v>Home</x:v>
      </x:c>
      <x:c r="M1087" s="69" t="str">
        <x:v>Move the green block into the bowl.</x:v>
      </x:c>
      <x:c r="N1087" s="69" t="str">
        <x:v>red pencil sharpener, green block</x:v>
      </x:c>
      <x:c r="O1087" s="69" t="str">
        <x:v>green block</x:v>
      </x:c>
      <x:c r="P1087" s="70" t="str">
        <x:v>Keeps largest-green and smallest-juggling trajectories under direct-name prompts.</x:v>
      </x:c>
    </x:row>
    <x:row r="1088" ht="58" customHeight="1">
      <x:c r="A1088" s="100" t="n">
        <x:v>1086</x:v>
      </x:c>
      <x:c r="B1088" s="69" t="str">
        <x:v>Size Recognition</x:v>
      </x:c>
      <x:c r="C1088" s="69" t="str">
        <x:v>Move the green block into the bowl.</x:v>
      </x:c>
      <x:c r="D1088" s="69" t="str">
        <x:v>Masked size-object composition</x:v>
      </x:c>
      <x:c r="E1088" s="69" t="str">
        <x:v>direct object identity; held-out size-role physical exposure</x:v>
      </x:c>
      <x:c r="F1088" s="69" t="str">
        <x:v>size_masked_green_block</x:v>
      </x:c>
      <x:c r="G1088" s="69" t="str">
        <x:v>largest green block; smallest juggling ball</x:v>
      </x:c>
      <x:c r="H1088" s="69" t="str">
        <x:v>No</x:v>
      </x:c>
      <x:c r="I1088" s="69" t="str"/>
      <x:c r="J1088" s="69" t="str">
        <x:v>red pencil sharpener, green block</x:v>
      </x:c>
      <x:c r="K1088" s="69" t="str">
        <x:v>green block</x:v>
      </x:c>
      <x:c r="L1088" s="69" t="str">
        <x:v>Home</x:v>
      </x:c>
      <x:c r="M1088" s="69" t="str">
        <x:v>Move the green block into the bowl.</x:v>
      </x:c>
      <x:c r="N1088" s="69" t="str">
        <x:v>red pencil sharpener, green block</x:v>
      </x:c>
      <x:c r="O1088" s="69" t="str">
        <x:v>green block</x:v>
      </x:c>
      <x:c r="P1088" s="70" t="str">
        <x:v>Keeps largest-green and smallest-juggling trajectories under direct-name prompts.</x:v>
      </x:c>
    </x:row>
    <x:row r="1089" ht="58" customHeight="1">
      <x:c r="A1089" s="100" t="n">
        <x:v>1087</x:v>
      </x:c>
      <x:c r="B1089" s="69" t="str">
        <x:v>Size Recognition</x:v>
      </x:c>
      <x:c r="C1089" s="69" t="str">
        <x:v>Put the green block in the bowl.</x:v>
      </x:c>
      <x:c r="D1089" s="69" t="str">
        <x:v>Masked size-object composition</x:v>
      </x:c>
      <x:c r="E1089" s="69" t="str">
        <x:v>direct object identity; held-out size-role physical exposure</x:v>
      </x:c>
      <x:c r="F1089" s="69" t="str">
        <x:v>size_masked_green_block</x:v>
      </x:c>
      <x:c r="G1089" s="69" t="str">
        <x:v>largest green block; smallest juggling ball</x:v>
      </x:c>
      <x:c r="H1089" s="69" t="str">
        <x:v>No</x:v>
      </x:c>
      <x:c r="I1089" s="69" t="str"/>
      <x:c r="J1089" s="69" t="str">
        <x:v>red pencil sharpener, green block</x:v>
      </x:c>
      <x:c r="K1089" s="69" t="str">
        <x:v>green block</x:v>
      </x:c>
      <x:c r="L1089" s="69" t="str">
        <x:v>Home</x:v>
      </x:c>
      <x:c r="M1089" s="69" t="str">
        <x:v>Put the green block in the bowl.</x:v>
      </x:c>
      <x:c r="N1089" s="69" t="str">
        <x:v>red pencil sharpener, green block</x:v>
      </x:c>
      <x:c r="O1089" s="69" t="str">
        <x:v>green block</x:v>
      </x:c>
      <x:c r="P1089" s="70" t="str">
        <x:v>Keeps largest-green and smallest-juggling trajectories under direct-name prompts.</x:v>
      </x:c>
    </x:row>
    <x:row r="1090" ht="58" customHeight="1">
      <x:c r="A1090" s="100" t="n">
        <x:v>1088</x:v>
      </x:c>
      <x:c r="B1090" s="69" t="str">
        <x:v>Size Recognition</x:v>
      </x:c>
      <x:c r="C1090" s="69" t="str">
        <x:v>Pick up the green block and place it in the bowl.</x:v>
      </x:c>
      <x:c r="D1090" s="69" t="str">
        <x:v>Masked size-object composition</x:v>
      </x:c>
      <x:c r="E1090" s="69" t="str">
        <x:v>direct object identity; held-out size-role physical exposure</x:v>
      </x:c>
      <x:c r="F1090" s="69" t="str">
        <x:v>size_masked_green_block</x:v>
      </x:c>
      <x:c r="G1090" s="69" t="str">
        <x:v>largest green block; smallest juggling ball</x:v>
      </x:c>
      <x:c r="H1090" s="69" t="str">
        <x:v>No</x:v>
      </x:c>
      <x:c r="I1090" s="69" t="str"/>
      <x:c r="J1090" s="69" t="str">
        <x:v>red pencil sharpener, green block</x:v>
      </x:c>
      <x:c r="K1090" s="69" t="str">
        <x:v>green block</x:v>
      </x:c>
      <x:c r="L1090" s="69" t="str">
        <x:v>Home</x:v>
      </x:c>
      <x:c r="M1090" s="69" t="str">
        <x:v>Pick up the green block and place it in the bowl.</x:v>
      </x:c>
      <x:c r="N1090" s="69" t="str">
        <x:v>red pencil sharpener, green block</x:v>
      </x:c>
      <x:c r="O1090" s="69" t="str">
        <x:v>green block</x:v>
      </x:c>
      <x:c r="P1090" s="70" t="str">
        <x:v>Keeps largest-green and smallest-juggling trajectories under direct-name prompts.</x:v>
      </x:c>
    </x:row>
    <x:row r="1091" ht="58" customHeight="1">
      <x:c r="A1091" s="100" t="n">
        <x:v>1089</x:v>
      </x:c>
      <x:c r="B1091" s="69" t="str">
        <x:v>Size Recognition</x:v>
      </x:c>
      <x:c r="C1091" s="69" t="str">
        <x:v>Put the green block in the bowl.</x:v>
      </x:c>
      <x:c r="D1091" s="69" t="str">
        <x:v>Masked size-object composition</x:v>
      </x:c>
      <x:c r="E1091" s="69" t="str">
        <x:v>direct object identity; held-out size-role physical exposure</x:v>
      </x:c>
      <x:c r="F1091" s="69" t="str">
        <x:v>size_masked_green_block</x:v>
      </x:c>
      <x:c r="G1091" s="69" t="str">
        <x:v>largest green block; smallest juggling ball</x:v>
      </x:c>
      <x:c r="H1091" s="69" t="str">
        <x:v>No</x:v>
      </x:c>
      <x:c r="I1091" s="69" t="str"/>
      <x:c r="J1091" s="69" t="str">
        <x:v>red pencil sharpener, green block</x:v>
      </x:c>
      <x:c r="K1091" s="69" t="str">
        <x:v>green block</x:v>
      </x:c>
      <x:c r="L1091" s="69" t="str">
        <x:v>Home</x:v>
      </x:c>
      <x:c r="M1091" s="69" t="str">
        <x:v>Put the green block in the bowl.</x:v>
      </x:c>
      <x:c r="N1091" s="69" t="str">
        <x:v>red pencil sharpener, green block</x:v>
      </x:c>
      <x:c r="O1091" s="69" t="str">
        <x:v>green block</x:v>
      </x:c>
      <x:c r="P1091" s="70" t="str">
        <x:v>Keeps largest-green and smallest-juggling trajectories under direct-name prompts.</x:v>
      </x:c>
    </x:row>
    <x:row r="1092" ht="58" customHeight="1">
      <x:c r="A1092" s="100" t="n">
        <x:v>1090</x:v>
      </x:c>
      <x:c r="B1092" s="69" t="str">
        <x:v>Size Recognition</x:v>
      </x:c>
      <x:c r="C1092" s="69" t="str">
        <x:v>Put the green block in the bowl.</x:v>
      </x:c>
      <x:c r="D1092" s="69" t="str">
        <x:v>Masked size-object composition</x:v>
      </x:c>
      <x:c r="E1092" s="69" t="str">
        <x:v>direct object identity; held-out size-role physical exposure</x:v>
      </x:c>
      <x:c r="F1092" s="69" t="str">
        <x:v>size_masked_green_block</x:v>
      </x:c>
      <x:c r="G1092" s="69" t="str">
        <x:v>largest green block; smallest juggling ball</x:v>
      </x:c>
      <x:c r="H1092" s="69" t="str">
        <x:v>No</x:v>
      </x:c>
      <x:c r="I1092" s="69" t="str"/>
      <x:c r="J1092" s="69" t="str">
        <x:v>red pencil sharpener, green block</x:v>
      </x:c>
      <x:c r="K1092" s="69" t="str">
        <x:v>green block</x:v>
      </x:c>
      <x:c r="L1092" s="69" t="str">
        <x:v>Home</x:v>
      </x:c>
      <x:c r="M1092" s="69" t="str">
        <x:v>Put the green block in the bowl.</x:v>
      </x:c>
      <x:c r="N1092" s="69" t="str">
        <x:v>red pencil sharpener, green block</x:v>
      </x:c>
      <x:c r="O1092" s="69" t="str">
        <x:v>green block</x:v>
      </x:c>
      <x:c r="P1092" s="70" t="str">
        <x:v>Keeps largest-green and smallest-juggling trajectories under direct-name prompts.</x:v>
      </x:c>
    </x:row>
    <x:row r="1093" ht="58" customHeight="1">
      <x:c r="A1093" s="100" t="n">
        <x:v>1091</x:v>
      </x:c>
      <x:c r="B1093" s="69" t="str">
        <x:v>Size Recognition</x:v>
      </x:c>
      <x:c r="C1093" s="69" t="str">
        <x:v>Put the green block in the bowl.</x:v>
      </x:c>
      <x:c r="D1093" s="69" t="str">
        <x:v>Masked size-object composition</x:v>
      </x:c>
      <x:c r="E1093" s="69" t="str">
        <x:v>direct object identity; held-out size-role physical exposure</x:v>
      </x:c>
      <x:c r="F1093" s="69" t="str">
        <x:v>size_masked_green_block</x:v>
      </x:c>
      <x:c r="G1093" s="69" t="str">
        <x:v>largest green block; smallest juggling ball</x:v>
      </x:c>
      <x:c r="H1093" s="69" t="str">
        <x:v>No</x:v>
      </x:c>
      <x:c r="I1093" s="69" t="str"/>
      <x:c r="J1093" s="69" t="str">
        <x:v>red pencil sharpener, green block</x:v>
      </x:c>
      <x:c r="K1093" s="69" t="str">
        <x:v>green block</x:v>
      </x:c>
      <x:c r="L1093" s="69" t="str">
        <x:v>Home</x:v>
      </x:c>
      <x:c r="M1093" s="69" t="str">
        <x:v>Put the green block in the bowl.</x:v>
      </x:c>
      <x:c r="N1093" s="69" t="str">
        <x:v>red pencil sharpener, green block</x:v>
      </x:c>
      <x:c r="O1093" s="69" t="str">
        <x:v>green block</x:v>
      </x:c>
      <x:c r="P1093" s="70" t="str">
        <x:v>Keeps largest-green and smallest-juggling trajectories under direct-name prompts.</x:v>
      </x:c>
    </x:row>
    <x:row r="1094" ht="58" customHeight="1">
      <x:c r="A1094" s="100" t="n">
        <x:v>1092</x:v>
      </x:c>
      <x:c r="B1094" s="69" t="str">
        <x:v>Size Recognition</x:v>
      </x:c>
      <x:c r="C1094" s="69" t="str">
        <x:v>Put the green block in the bowl.</x:v>
      </x:c>
      <x:c r="D1094" s="69" t="str">
        <x:v>Masked size-object composition</x:v>
      </x:c>
      <x:c r="E1094" s="69" t="str">
        <x:v>direct object identity; held-out size-role physical exposure</x:v>
      </x:c>
      <x:c r="F1094" s="69" t="str">
        <x:v>size_masked_green_block</x:v>
      </x:c>
      <x:c r="G1094" s="69" t="str">
        <x:v>largest green block; smallest juggling ball</x:v>
      </x:c>
      <x:c r="H1094" s="69" t="str">
        <x:v>No</x:v>
      </x:c>
      <x:c r="I1094" s="69" t="str"/>
      <x:c r="J1094" s="69" t="str">
        <x:v>red pencil sharpener, green block</x:v>
      </x:c>
      <x:c r="K1094" s="69" t="str">
        <x:v>green block</x:v>
      </x:c>
      <x:c r="L1094" s="69" t="str">
        <x:v>Home</x:v>
      </x:c>
      <x:c r="M1094" s="69" t="str">
        <x:v>Put the green block in the bowl.</x:v>
      </x:c>
      <x:c r="N1094" s="69" t="str">
        <x:v>red pencil sharpener, green block</x:v>
      </x:c>
      <x:c r="O1094" s="69" t="str">
        <x:v>green block</x:v>
      </x:c>
      <x:c r="P1094" s="70" t="str">
        <x:v>Keeps largest-green and smallest-juggling trajectories under direct-name prompts.</x:v>
      </x:c>
    </x:row>
    <x:row r="1095" ht="58" customHeight="1">
      <x:c r="A1095" s="100" t="n">
        <x:v>1093</x:v>
      </x:c>
      <x:c r="B1095" s="69" t="str">
        <x:v>Size Recognition</x:v>
      </x:c>
      <x:c r="C1095" s="69" t="str">
        <x:v>Pick up the green block and place it in the bowl.</x:v>
      </x:c>
      <x:c r="D1095" s="69" t="str">
        <x:v>Masked size-object composition</x:v>
      </x:c>
      <x:c r="E1095" s="69" t="str">
        <x:v>direct object identity; held-out size-role physical exposure</x:v>
      </x:c>
      <x:c r="F1095" s="69" t="str">
        <x:v>size_masked_green_block</x:v>
      </x:c>
      <x:c r="G1095" s="69" t="str">
        <x:v>largest green block; smallest juggling ball</x:v>
      </x:c>
      <x:c r="H1095" s="69" t="str">
        <x:v>No</x:v>
      </x:c>
      <x:c r="I1095" s="69" t="str"/>
      <x:c r="J1095" s="69" t="str">
        <x:v>red pencil sharpener, green block</x:v>
      </x:c>
      <x:c r="K1095" s="69" t="str">
        <x:v>green block</x:v>
      </x:c>
      <x:c r="L1095" s="69" t="str">
        <x:v>Home</x:v>
      </x:c>
      <x:c r="M1095" s="69" t="str">
        <x:v>Pick up the green block and place it in the bowl.</x:v>
      </x:c>
      <x:c r="N1095" s="69" t="str">
        <x:v>red pencil sharpener, green block</x:v>
      </x:c>
      <x:c r="O1095" s="69" t="str">
        <x:v>green block</x:v>
      </x:c>
      <x:c r="P1095" s="70" t="str">
        <x:v>Keeps largest-green and smallest-juggling trajectories under direct-name prompts.</x:v>
      </x:c>
    </x:row>
    <x:row r="1096" ht="58" customHeight="1">
      <x:c r="A1096" s="100" t="n">
        <x:v>1094</x:v>
      </x:c>
      <x:c r="B1096" s="69" t="str">
        <x:v>Size Recognition</x:v>
      </x:c>
      <x:c r="C1096" s="69" t="str">
        <x:v>Put the green block in the bowl.</x:v>
      </x:c>
      <x:c r="D1096" s="69" t="str">
        <x:v>Masked size-object composition</x:v>
      </x:c>
      <x:c r="E1096" s="69" t="str">
        <x:v>direct object identity; held-out size-role physical exposure</x:v>
      </x:c>
      <x:c r="F1096" s="69" t="str">
        <x:v>size_masked_green_block</x:v>
      </x:c>
      <x:c r="G1096" s="69" t="str">
        <x:v>largest green block; smallest juggling ball</x:v>
      </x:c>
      <x:c r="H1096" s="69" t="str">
        <x:v>No</x:v>
      </x:c>
      <x:c r="I1096" s="69" t="str"/>
      <x:c r="J1096" s="69" t="str">
        <x:v>red pencil sharpener, green block</x:v>
      </x:c>
      <x:c r="K1096" s="69" t="str">
        <x:v>green block</x:v>
      </x:c>
      <x:c r="L1096" s="69" t="str">
        <x:v>Home</x:v>
      </x:c>
      <x:c r="M1096" s="69" t="str">
        <x:v>Put the green block in the bowl.</x:v>
      </x:c>
      <x:c r="N1096" s="69" t="str">
        <x:v>red pencil sharpener, green block</x:v>
      </x:c>
      <x:c r="O1096" s="69" t="str">
        <x:v>green block</x:v>
      </x:c>
      <x:c r="P1096" s="70" t="str">
        <x:v>Keeps largest-green and smallest-juggling trajectories under direct-name prompts.</x:v>
      </x:c>
    </x:row>
    <x:row r="1097" ht="58" customHeight="1">
      <x:c r="A1097" s="100" t="n">
        <x:v>1095</x:v>
      </x:c>
      <x:c r="B1097" s="69" t="str">
        <x:v>Size Recognition</x:v>
      </x:c>
      <x:c r="C1097" s="69" t="str">
        <x:v>Put the green block in the bowl.</x:v>
      </x:c>
      <x:c r="D1097" s="69" t="str">
        <x:v>Masked size-object composition</x:v>
      </x:c>
      <x:c r="E1097" s="69" t="str">
        <x:v>direct object identity; held-out size-role physical exposure</x:v>
      </x:c>
      <x:c r="F1097" s="69" t="str">
        <x:v>size_masked_green_block</x:v>
      </x:c>
      <x:c r="G1097" s="69" t="str">
        <x:v>largest green block; smallest juggling ball</x:v>
      </x:c>
      <x:c r="H1097" s="69" t="str">
        <x:v>No</x:v>
      </x:c>
      <x:c r="I1097" s="69" t="str"/>
      <x:c r="J1097" s="69" t="str">
        <x:v>red pencil sharpener, green block</x:v>
      </x:c>
      <x:c r="K1097" s="69" t="str">
        <x:v>green block</x:v>
      </x:c>
      <x:c r="L1097" s="69" t="str">
        <x:v>Recovery</x:v>
      </x:c>
      <x:c r="M1097" s="69" t="str">
        <x:v>Put the green block in the bowl.</x:v>
      </x:c>
      <x:c r="N1097" s="69" t="str">
        <x:v>red pencil sharpener, green block</x:v>
      </x:c>
      <x:c r="O1097" s="69" t="str">
        <x:v>green block</x:v>
      </x:c>
      <x:c r="P1097" s="70" t="str">
        <x:v>Keeps largest-green and smallest-juggling trajectories under direct-name prompts.</x:v>
      </x:c>
    </x:row>
    <x:row r="1098" ht="58" customHeight="1">
      <x:c r="A1098" s="100" t="n">
        <x:v>1096</x:v>
      </x:c>
      <x:c r="B1098" s="69" t="str">
        <x:v>Size Recognition</x:v>
      </x:c>
      <x:c r="C1098" s="69" t="str">
        <x:v>Pick up the green block and place it in the bowl.</x:v>
      </x:c>
      <x:c r="D1098" s="69" t="str">
        <x:v>Masked size-object composition</x:v>
      </x:c>
      <x:c r="E1098" s="69" t="str">
        <x:v>direct object identity; held-out size-role physical exposure</x:v>
      </x:c>
      <x:c r="F1098" s="69" t="str">
        <x:v>size_masked_green_block</x:v>
      </x:c>
      <x:c r="G1098" s="69" t="str">
        <x:v>largest green block; smallest juggling ball</x:v>
      </x:c>
      <x:c r="H1098" s="69" t="str">
        <x:v>No</x:v>
      </x:c>
      <x:c r="I1098" s="69" t="str"/>
      <x:c r="J1098" s="69" t="str">
        <x:v>red pencil sharpener, green block</x:v>
      </x:c>
      <x:c r="K1098" s="69" t="str">
        <x:v>green block</x:v>
      </x:c>
      <x:c r="L1098" s="69" t="str">
        <x:v>Recovery</x:v>
      </x:c>
      <x:c r="M1098" s="69" t="str">
        <x:v>Pick up the green block and place it in the bowl.</x:v>
      </x:c>
      <x:c r="N1098" s="69" t="str">
        <x:v>red pencil sharpener, green block</x:v>
      </x:c>
      <x:c r="O1098" s="69" t="str">
        <x:v>green block</x:v>
      </x:c>
      <x:c r="P1098" s="70" t="str">
        <x:v>Keeps largest-green and smallest-juggling trajectories under direct-name prompts.</x:v>
      </x:c>
    </x:row>
    <x:row r="1099" ht="58" customHeight="1">
      <x:c r="A1099" s="100" t="n">
        <x:v>1097</x:v>
      </x:c>
      <x:c r="B1099" s="69" t="str">
        <x:v>Size Recognition</x:v>
      </x:c>
      <x:c r="C1099" s="69" t="str">
        <x:v>Move the green block into the bowl.</x:v>
      </x:c>
      <x:c r="D1099" s="69" t="str">
        <x:v>Masked size-object composition</x:v>
      </x:c>
      <x:c r="E1099" s="69" t="str">
        <x:v>direct object identity; held-out size-role physical exposure</x:v>
      </x:c>
      <x:c r="F1099" s="69" t="str">
        <x:v>size_masked_green_block</x:v>
      </x:c>
      <x:c r="G1099" s="69" t="str">
        <x:v>largest green block; smallest juggling ball</x:v>
      </x:c>
      <x:c r="H1099" s="69" t="str">
        <x:v>No</x:v>
      </x:c>
      <x:c r="I1099" s="69" t="str"/>
      <x:c r="J1099" s="69" t="str">
        <x:v>red pencil sharpener, green block</x:v>
      </x:c>
      <x:c r="K1099" s="69" t="str">
        <x:v>green block</x:v>
      </x:c>
      <x:c r="L1099" s="69" t="str">
        <x:v>Recovery</x:v>
      </x:c>
      <x:c r="M1099" s="69" t="str">
        <x:v>Move the green block into the bowl.</x:v>
      </x:c>
      <x:c r="N1099" s="69" t="str">
        <x:v>red pencil sharpener, green block</x:v>
      </x:c>
      <x:c r="O1099" s="69" t="str">
        <x:v>green block</x:v>
      </x:c>
      <x:c r="P1099" s="70" t="str">
        <x:v>Keeps largest-green and smallest-juggling trajectories under direct-name prompts.</x:v>
      </x:c>
    </x:row>
    <x:row r="1100" ht="58" customHeight="1">
      <x:c r="A1100" s="100" t="n">
        <x:v>1098</x:v>
      </x:c>
      <x:c r="B1100" s="69" t="str">
        <x:v>Size Recognition</x:v>
      </x:c>
      <x:c r="C1100" s="69" t="str">
        <x:v>Pick up the green block and place it in the bowl.</x:v>
      </x:c>
      <x:c r="D1100" s="69" t="str">
        <x:v>Masked size-object composition</x:v>
      </x:c>
      <x:c r="E1100" s="69" t="str">
        <x:v>direct object identity; held-out size-role physical exposure</x:v>
      </x:c>
      <x:c r="F1100" s="69" t="str">
        <x:v>size_masked_green_block</x:v>
      </x:c>
      <x:c r="G1100" s="69" t="str">
        <x:v>largest green block; smallest juggling ball</x:v>
      </x:c>
      <x:c r="H1100" s="69" t="str">
        <x:v>No</x:v>
      </x:c>
      <x:c r="I1100" s="69" t="str"/>
      <x:c r="J1100" s="69" t="str">
        <x:v>red pencil sharpener, green block</x:v>
      </x:c>
      <x:c r="K1100" s="69" t="str">
        <x:v>green block</x:v>
      </x:c>
      <x:c r="L1100" s="69" t="str">
        <x:v>Recovery</x:v>
      </x:c>
      <x:c r="M1100" s="69" t="str">
        <x:v>Pick up the green block and place it in the bowl.</x:v>
      </x:c>
      <x:c r="N1100" s="69" t="str">
        <x:v>red pencil sharpener, green block</x:v>
      </x:c>
      <x:c r="O1100" s="69" t="str">
        <x:v>green block</x:v>
      </x:c>
      <x:c r="P1100" s="70" t="str">
        <x:v>Keeps largest-green and smallest-juggling trajectories under direct-name prompts.</x:v>
      </x:c>
    </x:row>
    <x:row r="1101" ht="58" customHeight="1">
      <x:c r="A1101" s="100" t="n">
        <x:v>1099</x:v>
      </x:c>
      <x:c r="B1101" s="69" t="str">
        <x:v>Size Recognition</x:v>
      </x:c>
      <x:c r="C1101" s="69" t="str">
        <x:v>Pick up the green block and place it in the bowl.</x:v>
      </x:c>
      <x:c r="D1101" s="69" t="str">
        <x:v>Masked size-object composition</x:v>
      </x:c>
      <x:c r="E1101" s="69" t="str">
        <x:v>direct object identity; held-out size-role physical exposure</x:v>
      </x:c>
      <x:c r="F1101" s="69" t="str">
        <x:v>size_masked_green_block</x:v>
      </x:c>
      <x:c r="G1101" s="69" t="str">
        <x:v>largest green block; smallest juggling ball</x:v>
      </x:c>
      <x:c r="H1101" s="69" t="str">
        <x:v>No</x:v>
      </x:c>
      <x:c r="I1101" s="69" t="str"/>
      <x:c r="J1101" s="69" t="str">
        <x:v>red pencil sharpener, green block</x:v>
      </x:c>
      <x:c r="K1101" s="69" t="str">
        <x:v>green block</x:v>
      </x:c>
      <x:c r="L1101" s="69" t="str">
        <x:v>Recovery</x:v>
      </x:c>
      <x:c r="M1101" s="69" t="str">
        <x:v>Pick up the green block and place it in the bowl.</x:v>
      </x:c>
      <x:c r="N1101" s="69" t="str">
        <x:v>red pencil sharpener, green block</x:v>
      </x:c>
      <x:c r="O1101" s="69" t="str">
        <x:v>green block</x:v>
      </x:c>
      <x:c r="P1101" s="70" t="str">
        <x:v>Keeps largest-green and smallest-juggling trajectories under direct-name prompts.</x:v>
      </x:c>
    </x:row>
    <x:row r="1102" ht="58" customHeight="1">
      <x:c r="A1102" s="100" t="n">
        <x:v>1100</x:v>
      </x:c>
      <x:c r="B1102" s="69" t="str">
        <x:v>Size Recognition</x:v>
      </x:c>
      <x:c r="C1102" s="69" t="str">
        <x:v>Pick up the juggling ball and place it in the bowl.</x:v>
      </x:c>
      <x:c r="D1102" s="69" t="str">
        <x:v>Direct-object size control</x:v>
      </x:c>
      <x:c r="E1102" s="69" t="str">
        <x:v>direct object identity</x:v>
      </x:c>
      <x:c r="F1102" s="69" t="str">
        <x:v>size_direct_juggling_ball</x:v>
      </x:c>
      <x:c r="G1102" s="69" t="str">
        <x:v>largest green block; smallest juggling ball</x:v>
      </x:c>
      <x:c r="H1102" s="69" t="str">
        <x:v>No</x:v>
      </x:c>
      <x:c r="I1102" s="69" t="str"/>
      <x:c r="J1102" s="69" t="str">
        <x:v>juggling ball, crushed Pepsi can</x:v>
      </x:c>
      <x:c r="K1102" s="69" t="str">
        <x:v>juggling ball</x:v>
      </x:c>
      <x:c r="L1102" s="69" t="str">
        <x:v>Home</x:v>
      </x:c>
      <x:c r="M1102" s="69" t="str">
        <x:v>Put the juggling ball in the bowl.</x:v>
      </x:c>
      <x:c r="N1102" s="69" t="str">
        <x:v>juggling ball, crushed Pepsi can</x:v>
      </x:c>
      <x:c r="O1102" s="69" t="str">
        <x:v>juggling ball</x:v>
      </x:c>
      <x:c r="P1102" s="70" t="str">
        <x:v>Balances direct-name controls across all four size-task identities without changing the recorded trajectory.</x:v>
      </x:c>
    </x:row>
    <x:row r="1103" ht="58" customHeight="1">
      <x:c r="A1103" s="100" t="n">
        <x:v>1101</x:v>
      </x:c>
      <x:c r="B1103" s="69" t="str">
        <x:v>Size Recognition</x:v>
      </x:c>
      <x:c r="C1103" s="69" t="str">
        <x:v>Move the juggling ball into the bowl.</x:v>
      </x:c>
      <x:c r="D1103" s="69" t="str">
        <x:v>Direct-object size control</x:v>
      </x:c>
      <x:c r="E1103" s="69" t="str">
        <x:v>direct object identity</x:v>
      </x:c>
      <x:c r="F1103" s="69" t="str">
        <x:v>size_direct_juggling_ball</x:v>
      </x:c>
      <x:c r="G1103" s="69" t="str">
        <x:v>largest green block; smallest juggling ball</x:v>
      </x:c>
      <x:c r="H1103" s="69" t="str">
        <x:v>No</x:v>
      </x:c>
      <x:c r="I1103" s="69" t="str"/>
      <x:c r="J1103" s="69" t="str">
        <x:v>juggling ball, crushed Pepsi can</x:v>
      </x:c>
      <x:c r="K1103" s="69" t="str">
        <x:v>juggling ball</x:v>
      </x:c>
      <x:c r="L1103" s="69" t="str">
        <x:v>Home</x:v>
      </x:c>
      <x:c r="M1103" s="69" t="str">
        <x:v>Move the juggling ball into the bowl.</x:v>
      </x:c>
      <x:c r="N1103" s="69" t="str">
        <x:v>juggling ball, crushed Pepsi can</x:v>
      </x:c>
      <x:c r="O1103" s="69" t="str">
        <x:v>juggling ball</x:v>
      </x:c>
      <x:c r="P1103" s="70" t="str">
        <x:v>Balances direct-name controls across all four size-task identities without changing the recorded trajectory.</x:v>
      </x:c>
    </x:row>
    <x:row r="1104" ht="58" customHeight="1">
      <x:c r="A1104" s="100" t="n">
        <x:v>1102</x:v>
      </x:c>
      <x:c r="B1104" s="69" t="str">
        <x:v>Size Recognition</x:v>
      </x:c>
      <x:c r="C1104" s="69" t="str">
        <x:v>Put the juggling ball in the bowl.</x:v>
      </x:c>
      <x:c r="D1104" s="69" t="str">
        <x:v>Direct-object size control</x:v>
      </x:c>
      <x:c r="E1104" s="69" t="str">
        <x:v>direct object identity</x:v>
      </x:c>
      <x:c r="F1104" s="69" t="str">
        <x:v>size_direct_juggling_ball</x:v>
      </x:c>
      <x:c r="G1104" s="69" t="str">
        <x:v>largest green block; smallest juggling ball</x:v>
      </x:c>
      <x:c r="H1104" s="69" t="str">
        <x:v>No</x:v>
      </x:c>
      <x:c r="I1104" s="69" t="str"/>
      <x:c r="J1104" s="69" t="str">
        <x:v>juggling ball, crushed Pepsi can</x:v>
      </x:c>
      <x:c r="K1104" s="69" t="str">
        <x:v>juggling ball</x:v>
      </x:c>
      <x:c r="L1104" s="69" t="str">
        <x:v>Home</x:v>
      </x:c>
      <x:c r="M1104" s="69" t="str">
        <x:v>Move the juggling ball into the bowl.</x:v>
      </x:c>
      <x:c r="N1104" s="69" t="str">
        <x:v>juggling ball, crushed Pepsi can</x:v>
      </x:c>
      <x:c r="O1104" s="69" t="str">
        <x:v>juggling ball</x:v>
      </x:c>
      <x:c r="P1104" s="70" t="str">
        <x:v>Balances direct-name controls across all four size-task identities without changing the recorded trajectory.</x:v>
      </x:c>
    </x:row>
    <x:row r="1105" ht="58" customHeight="1">
      <x:c r="A1105" s="100" t="n">
        <x:v>1103</x:v>
      </x:c>
      <x:c r="B1105" s="69" t="str">
        <x:v>Size Recognition</x:v>
      </x:c>
      <x:c r="C1105" s="69" t="str">
        <x:v>Pick up the juggling ball and place it in the bowl.</x:v>
      </x:c>
      <x:c r="D1105" s="69" t="str">
        <x:v>Direct-object size control</x:v>
      </x:c>
      <x:c r="E1105" s="69" t="str">
        <x:v>direct object identity</x:v>
      </x:c>
      <x:c r="F1105" s="69" t="str">
        <x:v>size_direct_juggling_ball</x:v>
      </x:c>
      <x:c r="G1105" s="69" t="str">
        <x:v>largest green block; smallest juggling ball</x:v>
      </x:c>
      <x:c r="H1105" s="69" t="str">
        <x:v>No</x:v>
      </x:c>
      <x:c r="I1105" s="69" t="str"/>
      <x:c r="J1105" s="69" t="str">
        <x:v>juggling ball, crushed Pepsi can</x:v>
      </x:c>
      <x:c r="K1105" s="69" t="str">
        <x:v>juggling ball</x:v>
      </x:c>
      <x:c r="L1105" s="69" t="str">
        <x:v>Home</x:v>
      </x:c>
      <x:c r="M1105" s="69" t="str">
        <x:v>Put the juggling ball in the bowl.</x:v>
      </x:c>
      <x:c r="N1105" s="69" t="str">
        <x:v>juggling ball, crushed Pepsi can</x:v>
      </x:c>
      <x:c r="O1105" s="69" t="str">
        <x:v>juggling ball</x:v>
      </x:c>
      <x:c r="P1105" s="70" t="str">
        <x:v>Balances direct-name controls across all four size-task identities without changing the recorded trajectory.</x:v>
      </x:c>
    </x:row>
    <x:row r="1106" ht="58" customHeight="1">
      <x:c r="A1106" s="100" t="n">
        <x:v>1104</x:v>
      </x:c>
      <x:c r="B1106" s="69" t="str">
        <x:v>Size Recognition</x:v>
      </x:c>
      <x:c r="C1106" s="69" t="str">
        <x:v>Move the juggling ball into the bowl.</x:v>
      </x:c>
      <x:c r="D1106" s="69" t="str">
        <x:v>Direct-object size control</x:v>
      </x:c>
      <x:c r="E1106" s="69" t="str">
        <x:v>direct object identity</x:v>
      </x:c>
      <x:c r="F1106" s="69" t="str">
        <x:v>size_direct_juggling_ball</x:v>
      </x:c>
      <x:c r="G1106" s="69" t="str">
        <x:v>largest green block; smallest juggling ball</x:v>
      </x:c>
      <x:c r="H1106" s="69" t="str">
        <x:v>No</x:v>
      </x:c>
      <x:c r="I1106" s="69" t="str"/>
      <x:c r="J1106" s="69" t="str">
        <x:v>juggling ball, crushed Pepsi can</x:v>
      </x:c>
      <x:c r="K1106" s="69" t="str">
        <x:v>juggling ball</x:v>
      </x:c>
      <x:c r="L1106" s="69" t="str">
        <x:v>Home</x:v>
      </x:c>
      <x:c r="M1106" s="69" t="str">
        <x:v>Pick up the juggling ball and place it in the bowl.</x:v>
      </x:c>
      <x:c r="N1106" s="69" t="str">
        <x:v>juggling ball, crushed Pepsi can</x:v>
      </x:c>
      <x:c r="O1106" s="69" t="str">
        <x:v>juggling ball</x:v>
      </x:c>
      <x:c r="P1106" s="70" t="str">
        <x:v>Balances direct-name controls across all four size-task identities without changing the recorded trajectory.</x:v>
      </x:c>
    </x:row>
    <x:row r="1107" ht="58" customHeight="1">
      <x:c r="A1107" s="100" t="n">
        <x:v>1105</x:v>
      </x:c>
      <x:c r="B1107" s="69" t="str">
        <x:v>Size Recognition</x:v>
      </x:c>
      <x:c r="C1107" s="69" t="str">
        <x:v>Move the juggling ball into the bowl.</x:v>
      </x:c>
      <x:c r="D1107" s="69" t="str">
        <x:v>Masked size-object composition</x:v>
      </x:c>
      <x:c r="E1107" s="69" t="str">
        <x:v>direct object identity; held-out size-role physical exposure</x:v>
      </x:c>
      <x:c r="F1107" s="69" t="str">
        <x:v>size_masked_juggling_ball</x:v>
      </x:c>
      <x:c r="G1107" s="69" t="str">
        <x:v>largest green block; smallest juggling ball</x:v>
      </x:c>
      <x:c r="H1107" s="69" t="str">
        <x:v>No</x:v>
      </x:c>
      <x:c r="I1107" s="69" t="str"/>
      <x:c r="J1107" s="69" t="str">
        <x:v>juggling ball, crushed Pepsi can</x:v>
      </x:c>
      <x:c r="K1107" s="69" t="str">
        <x:v>juggling ball</x:v>
      </x:c>
      <x:c r="L1107" s="69" t="str">
        <x:v>Home</x:v>
      </x:c>
      <x:c r="M1107" s="69" t="str">
        <x:v>Move the juggling ball into the bowl.</x:v>
      </x:c>
      <x:c r="N1107" s="69" t="str">
        <x:v>juggling ball, crushed Pepsi can</x:v>
      </x:c>
      <x:c r="O1107" s="69" t="str">
        <x:v>juggling ball</x:v>
      </x:c>
      <x:c r="P1107" s="70" t="str">
        <x:v>Keeps largest-green and smallest-juggling trajectories under direct-name prompts.</x:v>
      </x:c>
    </x:row>
    <x:row r="1108" ht="58" customHeight="1">
      <x:c r="A1108" s="100" t="n">
        <x:v>1106</x:v>
      </x:c>
      <x:c r="B1108" s="69" t="str">
        <x:v>Size Recognition</x:v>
      </x:c>
      <x:c r="C1108" s="69" t="str">
        <x:v>Put the juggling ball in the bowl.</x:v>
      </x:c>
      <x:c r="D1108" s="69" t="str">
        <x:v>Masked size-object composition</x:v>
      </x:c>
      <x:c r="E1108" s="69" t="str">
        <x:v>direct object identity; held-out size-role physical exposure</x:v>
      </x:c>
      <x:c r="F1108" s="69" t="str">
        <x:v>size_masked_juggling_ball</x:v>
      </x:c>
      <x:c r="G1108" s="69" t="str">
        <x:v>largest green block; smallest juggling ball</x:v>
      </x:c>
      <x:c r="H1108" s="69" t="str">
        <x:v>No</x:v>
      </x:c>
      <x:c r="I1108" s="69" t="str"/>
      <x:c r="J1108" s="69" t="str">
        <x:v>juggling ball, crushed Pepsi can</x:v>
      </x:c>
      <x:c r="K1108" s="69" t="str">
        <x:v>juggling ball</x:v>
      </x:c>
      <x:c r="L1108" s="69" t="str">
        <x:v>Home</x:v>
      </x:c>
      <x:c r="M1108" s="69" t="str">
        <x:v>Put the juggling ball in the bowl.</x:v>
      </x:c>
      <x:c r="N1108" s="69" t="str">
        <x:v>juggling ball, crushed Pepsi can</x:v>
      </x:c>
      <x:c r="O1108" s="69" t="str">
        <x:v>juggling ball</x:v>
      </x:c>
      <x:c r="P1108" s="70" t="str">
        <x:v>Keeps largest-green and smallest-juggling trajectories under direct-name prompts.</x:v>
      </x:c>
    </x:row>
    <x:row r="1109" ht="58" customHeight="1">
      <x:c r="A1109" s="100" t="n">
        <x:v>1107</x:v>
      </x:c>
      <x:c r="B1109" s="69" t="str">
        <x:v>Size Recognition</x:v>
      </x:c>
      <x:c r="C1109" s="69" t="str">
        <x:v>Pick up the juggling ball and place it in the bowl.</x:v>
      </x:c>
      <x:c r="D1109" s="69" t="str">
        <x:v>Masked size-object composition</x:v>
      </x:c>
      <x:c r="E1109" s="69" t="str">
        <x:v>direct object identity; held-out size-role physical exposure</x:v>
      </x:c>
      <x:c r="F1109" s="69" t="str">
        <x:v>size_masked_juggling_ball</x:v>
      </x:c>
      <x:c r="G1109" s="69" t="str">
        <x:v>largest green block; smallest juggling ball</x:v>
      </x:c>
      <x:c r="H1109" s="69" t="str">
        <x:v>No</x:v>
      </x:c>
      <x:c r="I1109" s="69" t="str"/>
      <x:c r="J1109" s="69" t="str">
        <x:v>juggling ball, crushed Pepsi can</x:v>
      </x:c>
      <x:c r="K1109" s="69" t="str">
        <x:v>juggling ball</x:v>
      </x:c>
      <x:c r="L1109" s="69" t="str">
        <x:v>Home</x:v>
      </x:c>
      <x:c r="M1109" s="69" t="str">
        <x:v>Pick up the juggling ball and place it in the bowl.</x:v>
      </x:c>
      <x:c r="N1109" s="69" t="str">
        <x:v>juggling ball, crushed Pepsi can</x:v>
      </x:c>
      <x:c r="O1109" s="69" t="str">
        <x:v>juggling ball</x:v>
      </x:c>
      <x:c r="P1109" s="70" t="str">
        <x:v>Keeps largest-green and smallest-juggling trajectories under direct-name prompts.</x:v>
      </x:c>
    </x:row>
    <x:row r="1110" ht="58" customHeight="1">
      <x:c r="A1110" s="100" t="n">
        <x:v>1108</x:v>
      </x:c>
      <x:c r="B1110" s="69" t="str">
        <x:v>Size Recognition</x:v>
      </x:c>
      <x:c r="C1110" s="69" t="str">
        <x:v>Pick up the juggling ball and place it in the bowl.</x:v>
      </x:c>
      <x:c r="D1110" s="69" t="str">
        <x:v>Masked size-object composition</x:v>
      </x:c>
      <x:c r="E1110" s="69" t="str">
        <x:v>direct object identity; held-out size-role physical exposure</x:v>
      </x:c>
      <x:c r="F1110" s="69" t="str">
        <x:v>size_masked_juggling_ball</x:v>
      </x:c>
      <x:c r="G1110" s="69" t="str">
        <x:v>largest green block; smallest juggling ball</x:v>
      </x:c>
      <x:c r="H1110" s="69" t="str">
        <x:v>No</x:v>
      </x:c>
      <x:c r="I1110" s="69" t="str"/>
      <x:c r="J1110" s="69" t="str">
        <x:v>juggling ball, crushed Pepsi can</x:v>
      </x:c>
      <x:c r="K1110" s="69" t="str">
        <x:v>juggling ball</x:v>
      </x:c>
      <x:c r="L1110" s="69" t="str">
        <x:v>Home</x:v>
      </x:c>
      <x:c r="M1110" s="69" t="str">
        <x:v>Pick up the juggling ball and place it in the bowl.</x:v>
      </x:c>
      <x:c r="N1110" s="69" t="str">
        <x:v>juggling ball, crushed Pepsi can</x:v>
      </x:c>
      <x:c r="O1110" s="69" t="str">
        <x:v>juggling ball</x:v>
      </x:c>
      <x:c r="P1110" s="70" t="str">
        <x:v>Keeps largest-green and smallest-juggling trajectories under direct-name prompts.</x:v>
      </x:c>
    </x:row>
    <x:row r="1111" ht="58" customHeight="1">
      <x:c r="A1111" s="100" t="n">
        <x:v>1109</x:v>
      </x:c>
      <x:c r="B1111" s="69" t="str">
        <x:v>Size Recognition</x:v>
      </x:c>
      <x:c r="C1111" s="69" t="str">
        <x:v>Pick up the juggling ball and place it in the bowl.</x:v>
      </x:c>
      <x:c r="D1111" s="69" t="str">
        <x:v>Masked size-object composition</x:v>
      </x:c>
      <x:c r="E1111" s="69" t="str">
        <x:v>direct object identity; held-out size-role physical exposure</x:v>
      </x:c>
      <x:c r="F1111" s="69" t="str">
        <x:v>size_masked_juggling_ball</x:v>
      </x:c>
      <x:c r="G1111" s="69" t="str">
        <x:v>largest green block; smallest juggling ball</x:v>
      </x:c>
      <x:c r="H1111" s="69" t="str">
        <x:v>No</x:v>
      </x:c>
      <x:c r="I1111" s="69" t="str"/>
      <x:c r="J1111" s="69" t="str">
        <x:v>juggling ball, crushed Pepsi can</x:v>
      </x:c>
      <x:c r="K1111" s="69" t="str">
        <x:v>juggling ball</x:v>
      </x:c>
      <x:c r="L1111" s="69" t="str">
        <x:v>Home</x:v>
      </x:c>
      <x:c r="M1111" s="69" t="str">
        <x:v>Pick up the juggling ball and place it in the bowl.</x:v>
      </x:c>
      <x:c r="N1111" s="69" t="str">
        <x:v>juggling ball, crushed Pepsi can</x:v>
      </x:c>
      <x:c r="O1111" s="69" t="str">
        <x:v>juggling ball</x:v>
      </x:c>
      <x:c r="P1111" s="70" t="str">
        <x:v>Keeps largest-green and smallest-juggling trajectories under direct-name prompts.</x:v>
      </x:c>
    </x:row>
    <x:row r="1112" ht="58" customHeight="1">
      <x:c r="A1112" s="100" t="n">
        <x:v>1110</x:v>
      </x:c>
      <x:c r="B1112" s="69" t="str">
        <x:v>Size Recognition</x:v>
      </x:c>
      <x:c r="C1112" s="69" t="str">
        <x:v>Move the juggling ball into the bowl.</x:v>
      </x:c>
      <x:c r="D1112" s="69" t="str">
        <x:v>Masked size-object composition</x:v>
      </x:c>
      <x:c r="E1112" s="69" t="str">
        <x:v>direct object identity; held-out size-role physical exposure</x:v>
      </x:c>
      <x:c r="F1112" s="69" t="str">
        <x:v>size_masked_juggling_ball</x:v>
      </x:c>
      <x:c r="G1112" s="69" t="str">
        <x:v>largest green block; smallest juggling ball</x:v>
      </x:c>
      <x:c r="H1112" s="69" t="str">
        <x:v>No</x:v>
      </x:c>
      <x:c r="I1112" s="69" t="str"/>
      <x:c r="J1112" s="69" t="str">
        <x:v>juggling ball, crushed Pepsi can</x:v>
      </x:c>
      <x:c r="K1112" s="69" t="str">
        <x:v>juggling ball</x:v>
      </x:c>
      <x:c r="L1112" s="69" t="str">
        <x:v>Home</x:v>
      </x:c>
      <x:c r="M1112" s="69" t="str">
        <x:v>Move the juggling ball into the bowl.</x:v>
      </x:c>
      <x:c r="N1112" s="69" t="str">
        <x:v>juggling ball, crushed Pepsi can</x:v>
      </x:c>
      <x:c r="O1112" s="69" t="str">
        <x:v>juggling ball</x:v>
      </x:c>
      <x:c r="P1112" s="70" t="str">
        <x:v>Keeps largest-green and smallest-juggling trajectories under direct-name prompts.</x:v>
      </x:c>
    </x:row>
    <x:row r="1113" ht="58" customHeight="1">
      <x:c r="A1113" s="100" t="n">
        <x:v>1111</x:v>
      </x:c>
      <x:c r="B1113" s="69" t="str">
        <x:v>Size Recognition</x:v>
      </x:c>
      <x:c r="C1113" s="69" t="str">
        <x:v>Put the juggling ball in the bowl.</x:v>
      </x:c>
      <x:c r="D1113" s="69" t="str">
        <x:v>Masked size-object composition</x:v>
      </x:c>
      <x:c r="E1113" s="69" t="str">
        <x:v>direct object identity; held-out size-role physical exposure</x:v>
      </x:c>
      <x:c r="F1113" s="69" t="str">
        <x:v>size_masked_juggling_ball</x:v>
      </x:c>
      <x:c r="G1113" s="69" t="str">
        <x:v>largest green block; smallest juggling ball</x:v>
      </x:c>
      <x:c r="H1113" s="69" t="str">
        <x:v>No</x:v>
      </x:c>
      <x:c r="I1113" s="69" t="str"/>
      <x:c r="J1113" s="69" t="str">
        <x:v>juggling ball, crushed Pepsi can</x:v>
      </x:c>
      <x:c r="K1113" s="69" t="str">
        <x:v>juggling ball</x:v>
      </x:c>
      <x:c r="L1113" s="69" t="str">
        <x:v>Home</x:v>
      </x:c>
      <x:c r="M1113" s="69" t="str">
        <x:v>Put the juggling ball in the bowl.</x:v>
      </x:c>
      <x:c r="N1113" s="69" t="str">
        <x:v>juggling ball, crushed Pepsi can</x:v>
      </x:c>
      <x:c r="O1113" s="69" t="str">
        <x:v>juggling ball</x:v>
      </x:c>
      <x:c r="P1113" s="70" t="str">
        <x:v>Keeps largest-green and smallest-juggling trajectories under direct-name prompts.</x:v>
      </x:c>
    </x:row>
    <x:row r="1114" ht="58" customHeight="1">
      <x:c r="A1114" s="100" t="n">
        <x:v>1112</x:v>
      </x:c>
      <x:c r="B1114" s="69" t="str">
        <x:v>Size Recognition</x:v>
      </x:c>
      <x:c r="C1114" s="69" t="str">
        <x:v>Pick up the juggling ball and place it in the bowl.</x:v>
      </x:c>
      <x:c r="D1114" s="69" t="str">
        <x:v>Masked size-object composition</x:v>
      </x:c>
      <x:c r="E1114" s="69" t="str">
        <x:v>direct object identity; held-out size-role physical exposure</x:v>
      </x:c>
      <x:c r="F1114" s="69" t="str">
        <x:v>size_masked_juggling_ball</x:v>
      </x:c>
      <x:c r="G1114" s="69" t="str">
        <x:v>largest green block; smallest juggling ball</x:v>
      </x:c>
      <x:c r="H1114" s="69" t="str">
        <x:v>No</x:v>
      </x:c>
      <x:c r="I1114" s="69" t="str"/>
      <x:c r="J1114" s="69" t="str">
        <x:v>juggling ball, crushed Pepsi can</x:v>
      </x:c>
      <x:c r="K1114" s="69" t="str">
        <x:v>juggling ball</x:v>
      </x:c>
      <x:c r="L1114" s="69" t="str">
        <x:v>Home</x:v>
      </x:c>
      <x:c r="M1114" s="69" t="str">
        <x:v>Pick up the juggling ball and place it in the bowl.</x:v>
      </x:c>
      <x:c r="N1114" s="69" t="str">
        <x:v>juggling ball, crushed Pepsi can</x:v>
      </x:c>
      <x:c r="O1114" s="69" t="str">
        <x:v>juggling ball</x:v>
      </x:c>
      <x:c r="P1114" s="70" t="str">
        <x:v>Keeps largest-green and smallest-juggling trajectories under direct-name prompts.</x:v>
      </x:c>
    </x:row>
    <x:row r="1115" ht="58" customHeight="1">
      <x:c r="A1115" s="100" t="n">
        <x:v>1113</x:v>
      </x:c>
      <x:c r="B1115" s="69" t="str">
        <x:v>Size Recognition</x:v>
      </x:c>
      <x:c r="C1115" s="69" t="str">
        <x:v>Move the juggling ball into the bowl.</x:v>
      </x:c>
      <x:c r="D1115" s="69" t="str">
        <x:v>Masked size-object composition</x:v>
      </x:c>
      <x:c r="E1115" s="69" t="str">
        <x:v>direct object identity; held-out size-role physical exposure</x:v>
      </x:c>
      <x:c r="F1115" s="69" t="str">
        <x:v>size_masked_juggling_ball</x:v>
      </x:c>
      <x:c r="G1115" s="69" t="str">
        <x:v>largest green block; smallest juggling ball</x:v>
      </x:c>
      <x:c r="H1115" s="69" t="str">
        <x:v>No</x:v>
      </x:c>
      <x:c r="I1115" s="69" t="str"/>
      <x:c r="J1115" s="69" t="str">
        <x:v>juggling ball, crushed Pepsi can</x:v>
      </x:c>
      <x:c r="K1115" s="69" t="str">
        <x:v>juggling ball</x:v>
      </x:c>
      <x:c r="L1115" s="69" t="str">
        <x:v>Home</x:v>
      </x:c>
      <x:c r="M1115" s="69" t="str">
        <x:v>Move the juggling ball into the bowl.</x:v>
      </x:c>
      <x:c r="N1115" s="69" t="str">
        <x:v>juggling ball, crushed Pepsi can</x:v>
      </x:c>
      <x:c r="O1115" s="69" t="str">
        <x:v>juggling ball</x:v>
      </x:c>
      <x:c r="P1115" s="70" t="str">
        <x:v>Keeps largest-green and smallest-juggling trajectories under direct-name prompts.</x:v>
      </x:c>
    </x:row>
    <x:row r="1116" ht="58" customHeight="1">
      <x:c r="A1116" s="100" t="n">
        <x:v>1114</x:v>
      </x:c>
      <x:c r="B1116" s="69" t="str">
        <x:v>Size Recognition</x:v>
      </x:c>
      <x:c r="C1116" s="69" t="str">
        <x:v>Put the juggling ball in the bowl.</x:v>
      </x:c>
      <x:c r="D1116" s="69" t="str">
        <x:v>Masked size-object composition</x:v>
      </x:c>
      <x:c r="E1116" s="69" t="str">
        <x:v>direct object identity; held-out size-role physical exposure</x:v>
      </x:c>
      <x:c r="F1116" s="69" t="str">
        <x:v>size_masked_juggling_ball</x:v>
      </x:c>
      <x:c r="G1116" s="69" t="str">
        <x:v>largest green block; smallest juggling ball</x:v>
      </x:c>
      <x:c r="H1116" s="69" t="str">
        <x:v>No</x:v>
      </x:c>
      <x:c r="I1116" s="69" t="str"/>
      <x:c r="J1116" s="69" t="str">
        <x:v>juggling ball, crushed Pepsi can</x:v>
      </x:c>
      <x:c r="K1116" s="69" t="str">
        <x:v>juggling ball</x:v>
      </x:c>
      <x:c r="L1116" s="69" t="str">
        <x:v>Home</x:v>
      </x:c>
      <x:c r="M1116" s="69" t="str">
        <x:v>Put the juggling ball in the bowl.</x:v>
      </x:c>
      <x:c r="N1116" s="69" t="str">
        <x:v>juggling ball, crushed Pepsi can</x:v>
      </x:c>
      <x:c r="O1116" s="69" t="str">
        <x:v>juggling ball</x:v>
      </x:c>
      <x:c r="P1116" s="70" t="str">
        <x:v>Keeps largest-green and smallest-juggling trajectories under direct-name prompts.</x:v>
      </x:c>
    </x:row>
    <x:row r="1117" ht="58" customHeight="1">
      <x:c r="A1117" s="100" t="n">
        <x:v>1115</x:v>
      </x:c>
      <x:c r="B1117" s="69" t="str">
        <x:v>Size Recognition</x:v>
      </x:c>
      <x:c r="C1117" s="69" t="str">
        <x:v>Move the juggling ball into the bowl.</x:v>
      </x:c>
      <x:c r="D1117" s="69" t="str">
        <x:v>Masked size-object composition</x:v>
      </x:c>
      <x:c r="E1117" s="69" t="str">
        <x:v>direct object identity; held-out size-role physical exposure</x:v>
      </x:c>
      <x:c r="F1117" s="69" t="str">
        <x:v>size_masked_juggling_ball</x:v>
      </x:c>
      <x:c r="G1117" s="69" t="str">
        <x:v>largest green block; smallest juggling ball</x:v>
      </x:c>
      <x:c r="H1117" s="69" t="str">
        <x:v>No</x:v>
      </x:c>
      <x:c r="I1117" s="69" t="str"/>
      <x:c r="J1117" s="69" t="str">
        <x:v>juggling ball, crushed Pepsi can</x:v>
      </x:c>
      <x:c r="K1117" s="69" t="str">
        <x:v>juggling ball</x:v>
      </x:c>
      <x:c r="L1117" s="69" t="str">
        <x:v>Home</x:v>
      </x:c>
      <x:c r="M1117" s="69" t="str">
        <x:v>Move the juggling ball into the bowl.</x:v>
      </x:c>
      <x:c r="N1117" s="69" t="str">
        <x:v>juggling ball, crushed Pepsi can</x:v>
      </x:c>
      <x:c r="O1117" s="69" t="str">
        <x:v>juggling ball</x:v>
      </x:c>
      <x:c r="P1117" s="70" t="str">
        <x:v>Keeps largest-green and smallest-juggling trajectories under direct-name prompts.</x:v>
      </x:c>
    </x:row>
    <x:row r="1118" ht="58" customHeight="1">
      <x:c r="A1118" s="100" t="n">
        <x:v>1116</x:v>
      </x:c>
      <x:c r="B1118" s="69" t="str">
        <x:v>Size Recognition</x:v>
      </x:c>
      <x:c r="C1118" s="69" t="str">
        <x:v>Pick up the juggling ball and place it in the bowl.</x:v>
      </x:c>
      <x:c r="D1118" s="69" t="str">
        <x:v>Masked size-object composition</x:v>
      </x:c>
      <x:c r="E1118" s="69" t="str">
        <x:v>direct object identity; held-out size-role physical exposure</x:v>
      </x:c>
      <x:c r="F1118" s="69" t="str">
        <x:v>size_masked_juggling_ball</x:v>
      </x:c>
      <x:c r="G1118" s="69" t="str">
        <x:v>largest green block; smallest juggling ball</x:v>
      </x:c>
      <x:c r="H1118" s="69" t="str">
        <x:v>No</x:v>
      </x:c>
      <x:c r="I1118" s="69" t="str"/>
      <x:c r="J1118" s="69" t="str">
        <x:v>juggling ball, crushed Pepsi can</x:v>
      </x:c>
      <x:c r="K1118" s="69" t="str">
        <x:v>juggling ball</x:v>
      </x:c>
      <x:c r="L1118" s="69" t="str">
        <x:v>Home</x:v>
      </x:c>
      <x:c r="M1118" s="69" t="str">
        <x:v>Pick up the juggling ball and place it in the bowl.</x:v>
      </x:c>
      <x:c r="N1118" s="69" t="str">
        <x:v>juggling ball, crushed Pepsi can</x:v>
      </x:c>
      <x:c r="O1118" s="69" t="str">
        <x:v>juggling ball</x:v>
      </x:c>
      <x:c r="P1118" s="70" t="str">
        <x:v>Keeps largest-green and smallest-juggling trajectories under direct-name prompts.</x:v>
      </x:c>
    </x:row>
    <x:row r="1119" ht="58" customHeight="1">
      <x:c r="A1119" s="100" t="n">
        <x:v>1117</x:v>
      </x:c>
      <x:c r="B1119" s="69" t="str">
        <x:v>Size Recognition</x:v>
      </x:c>
      <x:c r="C1119" s="69" t="str">
        <x:v>Put the juggling ball in the bowl.</x:v>
      </x:c>
      <x:c r="D1119" s="69" t="str">
        <x:v>Masked size-object composition</x:v>
      </x:c>
      <x:c r="E1119" s="69" t="str">
        <x:v>direct object identity; held-out size-role physical exposure</x:v>
      </x:c>
      <x:c r="F1119" s="69" t="str">
        <x:v>size_masked_juggling_ball</x:v>
      </x:c>
      <x:c r="G1119" s="69" t="str">
        <x:v>largest green block; smallest juggling ball</x:v>
      </x:c>
      <x:c r="H1119" s="69" t="str">
        <x:v>No</x:v>
      </x:c>
      <x:c r="I1119" s="69" t="str"/>
      <x:c r="J1119" s="69" t="str">
        <x:v>juggling ball, crushed Pepsi can</x:v>
      </x:c>
      <x:c r="K1119" s="69" t="str">
        <x:v>juggling ball</x:v>
      </x:c>
      <x:c r="L1119" s="69" t="str">
        <x:v>Home</x:v>
      </x:c>
      <x:c r="M1119" s="69" t="str">
        <x:v>Put the juggling ball in the bowl.</x:v>
      </x:c>
      <x:c r="N1119" s="69" t="str">
        <x:v>juggling ball, crushed Pepsi can</x:v>
      </x:c>
      <x:c r="O1119" s="69" t="str">
        <x:v>juggling ball</x:v>
      </x:c>
      <x:c r="P1119" s="70" t="str">
        <x:v>Keeps largest-green and smallest-juggling trajectories under direct-name prompts.</x:v>
      </x:c>
    </x:row>
    <x:row r="1120" ht="58" customHeight="1">
      <x:c r="A1120" s="100" t="n">
        <x:v>1118</x:v>
      </x:c>
      <x:c r="B1120" s="69" t="str">
        <x:v>Size Recognition</x:v>
      </x:c>
      <x:c r="C1120" s="69" t="str">
        <x:v>Move the juggling ball into the bowl.</x:v>
      </x:c>
      <x:c r="D1120" s="69" t="str">
        <x:v>Masked size-object composition</x:v>
      </x:c>
      <x:c r="E1120" s="69" t="str">
        <x:v>direct object identity; held-out size-role physical exposure</x:v>
      </x:c>
      <x:c r="F1120" s="69" t="str">
        <x:v>size_masked_juggling_ball</x:v>
      </x:c>
      <x:c r="G1120" s="69" t="str">
        <x:v>largest green block; smallest juggling ball</x:v>
      </x:c>
      <x:c r="H1120" s="69" t="str">
        <x:v>No</x:v>
      </x:c>
      <x:c r="I1120" s="69" t="str"/>
      <x:c r="J1120" s="69" t="str">
        <x:v>juggling ball, crushed Pepsi can</x:v>
      </x:c>
      <x:c r="K1120" s="69" t="str">
        <x:v>juggling ball</x:v>
      </x:c>
      <x:c r="L1120" s="69" t="str">
        <x:v>Home</x:v>
      </x:c>
      <x:c r="M1120" s="69" t="str">
        <x:v>Move the juggling ball into the bowl.</x:v>
      </x:c>
      <x:c r="N1120" s="69" t="str">
        <x:v>juggling ball, crushed Pepsi can</x:v>
      </x:c>
      <x:c r="O1120" s="69" t="str">
        <x:v>juggling ball</x:v>
      </x:c>
      <x:c r="P1120" s="70" t="str">
        <x:v>Keeps largest-green and smallest-juggling trajectories under direct-name prompts.</x:v>
      </x:c>
    </x:row>
    <x:row r="1121" ht="58" customHeight="1">
      <x:c r="A1121" s="100" t="n">
        <x:v>1119</x:v>
      </x:c>
      <x:c r="B1121" s="69" t="str">
        <x:v>Size Recognition</x:v>
      </x:c>
      <x:c r="C1121" s="69" t="str">
        <x:v>Put the juggling ball in the bowl.</x:v>
      </x:c>
      <x:c r="D1121" s="69" t="str">
        <x:v>Masked size-object composition</x:v>
      </x:c>
      <x:c r="E1121" s="69" t="str">
        <x:v>direct object identity; held-out size-role physical exposure</x:v>
      </x:c>
      <x:c r="F1121" s="69" t="str">
        <x:v>size_masked_juggling_ball</x:v>
      </x:c>
      <x:c r="G1121" s="69" t="str">
        <x:v>largest green block; smallest juggling ball</x:v>
      </x:c>
      <x:c r="H1121" s="69" t="str">
        <x:v>No</x:v>
      </x:c>
      <x:c r="I1121" s="69" t="str"/>
      <x:c r="J1121" s="69" t="str">
        <x:v>juggling ball, crushed Pepsi can</x:v>
      </x:c>
      <x:c r="K1121" s="69" t="str">
        <x:v>juggling ball</x:v>
      </x:c>
      <x:c r="L1121" s="69" t="str">
        <x:v>Home</x:v>
      </x:c>
      <x:c r="M1121" s="69" t="str">
        <x:v>Put the juggling ball in the bowl.</x:v>
      </x:c>
      <x:c r="N1121" s="69" t="str">
        <x:v>juggling ball, crushed Pepsi can</x:v>
      </x:c>
      <x:c r="O1121" s="69" t="str">
        <x:v>juggling ball</x:v>
      </x:c>
      <x:c r="P1121" s="70" t="str">
        <x:v>Keeps largest-green and smallest-juggling trajectories under direct-name prompts.</x:v>
      </x:c>
    </x:row>
    <x:row r="1122" ht="58" customHeight="1">
      <x:c r="A1122" s="100" t="n">
        <x:v>1120</x:v>
      </x:c>
      <x:c r="B1122" s="69" t="str">
        <x:v>Size Recognition</x:v>
      </x:c>
      <x:c r="C1122" s="69" t="str">
        <x:v>Move the juggling ball into the bowl.</x:v>
      </x:c>
      <x:c r="D1122" s="69" t="str">
        <x:v>Masked size-object composition</x:v>
      </x:c>
      <x:c r="E1122" s="69" t="str">
        <x:v>direct object identity; held-out size-role physical exposure</x:v>
      </x:c>
      <x:c r="F1122" s="69" t="str">
        <x:v>size_masked_juggling_ball</x:v>
      </x:c>
      <x:c r="G1122" s="69" t="str">
        <x:v>largest green block; smallest juggling ball</x:v>
      </x:c>
      <x:c r="H1122" s="69" t="str">
        <x:v>No</x:v>
      </x:c>
      <x:c r="I1122" s="69" t="str"/>
      <x:c r="J1122" s="69" t="str">
        <x:v>juggling ball, crushed Pepsi can</x:v>
      </x:c>
      <x:c r="K1122" s="69" t="str">
        <x:v>juggling ball</x:v>
      </x:c>
      <x:c r="L1122" s="69" t="str">
        <x:v>Recovery</x:v>
      </x:c>
      <x:c r="M1122" s="69" t="str">
        <x:v>Move the juggling ball into the bowl.</x:v>
      </x:c>
      <x:c r="N1122" s="69" t="str">
        <x:v>juggling ball, crushed Pepsi can</x:v>
      </x:c>
      <x:c r="O1122" s="69" t="str">
        <x:v>juggling ball</x:v>
      </x:c>
      <x:c r="P1122" s="70" t="str">
        <x:v>Keeps largest-green and smallest-juggling trajectories under direct-name prompts.</x:v>
      </x:c>
    </x:row>
    <x:row r="1123" ht="58" customHeight="1">
      <x:c r="A1123" s="100" t="n">
        <x:v>1121</x:v>
      </x:c>
      <x:c r="B1123" s="69" t="str">
        <x:v>Size Recognition</x:v>
      </x:c>
      <x:c r="C1123" s="69" t="str">
        <x:v>Put the juggling ball in the bowl.</x:v>
      </x:c>
      <x:c r="D1123" s="69" t="str">
        <x:v>Masked size-object composition</x:v>
      </x:c>
      <x:c r="E1123" s="69" t="str">
        <x:v>direct object identity; held-out size-role physical exposure</x:v>
      </x:c>
      <x:c r="F1123" s="69" t="str">
        <x:v>size_masked_juggling_ball</x:v>
      </x:c>
      <x:c r="G1123" s="69" t="str">
        <x:v>largest green block; smallest juggling ball</x:v>
      </x:c>
      <x:c r="H1123" s="69" t="str">
        <x:v>No</x:v>
      </x:c>
      <x:c r="I1123" s="69" t="str"/>
      <x:c r="J1123" s="69" t="str">
        <x:v>juggling ball, crushed Pepsi can</x:v>
      </x:c>
      <x:c r="K1123" s="69" t="str">
        <x:v>juggling ball</x:v>
      </x:c>
      <x:c r="L1123" s="69" t="str">
        <x:v>Recovery</x:v>
      </x:c>
      <x:c r="M1123" s="69" t="str">
        <x:v>Put the juggling ball in the bowl.</x:v>
      </x:c>
      <x:c r="N1123" s="69" t="str">
        <x:v>juggling ball, crushed Pepsi can</x:v>
      </x:c>
      <x:c r="O1123" s="69" t="str">
        <x:v>juggling ball</x:v>
      </x:c>
      <x:c r="P1123" s="70" t="str">
        <x:v>Keeps largest-green and smallest-juggling trajectories under direct-name prompts.</x:v>
      </x:c>
    </x:row>
    <x:row r="1124" ht="58" customHeight="1">
      <x:c r="A1124" s="100" t="n">
        <x:v>1122</x:v>
      </x:c>
      <x:c r="B1124" s="69" t="str">
        <x:v>Size Recognition</x:v>
      </x:c>
      <x:c r="C1124" s="69" t="str">
        <x:v>Put the juggling ball in the bowl.</x:v>
      </x:c>
      <x:c r="D1124" s="69" t="str">
        <x:v>Masked size-object composition</x:v>
      </x:c>
      <x:c r="E1124" s="69" t="str">
        <x:v>direct object identity; held-out size-role physical exposure</x:v>
      </x:c>
      <x:c r="F1124" s="69" t="str">
        <x:v>size_masked_juggling_ball</x:v>
      </x:c>
      <x:c r="G1124" s="69" t="str">
        <x:v>largest green block; smallest juggling ball</x:v>
      </x:c>
      <x:c r="H1124" s="69" t="str">
        <x:v>No</x:v>
      </x:c>
      <x:c r="I1124" s="69" t="str"/>
      <x:c r="J1124" s="69" t="str">
        <x:v>juggling ball, crushed Pepsi can</x:v>
      </x:c>
      <x:c r="K1124" s="69" t="str">
        <x:v>juggling ball</x:v>
      </x:c>
      <x:c r="L1124" s="69" t="str">
        <x:v>Recovery</x:v>
      </x:c>
      <x:c r="M1124" s="69" t="str">
        <x:v>Put the juggling ball in the bowl.</x:v>
      </x:c>
      <x:c r="N1124" s="69" t="str">
        <x:v>juggling ball, crushed Pepsi can</x:v>
      </x:c>
      <x:c r="O1124" s="69" t="str">
        <x:v>juggling ball</x:v>
      </x:c>
      <x:c r="P1124" s="70" t="str">
        <x:v>Keeps largest-green and smallest-juggling trajectories under direct-name prompts.</x:v>
      </x:c>
    </x:row>
    <x:row r="1125" ht="58" customHeight="1">
      <x:c r="A1125" s="100" t="n">
        <x:v>1123</x:v>
      </x:c>
      <x:c r="B1125" s="69" t="str">
        <x:v>Size Recognition</x:v>
      </x:c>
      <x:c r="C1125" s="69" t="str">
        <x:v>Pick up the juggling ball and place it in the bowl.</x:v>
      </x:c>
      <x:c r="D1125" s="69" t="str">
        <x:v>Masked size-object composition</x:v>
      </x:c>
      <x:c r="E1125" s="69" t="str">
        <x:v>direct object identity; held-out size-role physical exposure</x:v>
      </x:c>
      <x:c r="F1125" s="69" t="str">
        <x:v>size_masked_juggling_ball</x:v>
      </x:c>
      <x:c r="G1125" s="69" t="str">
        <x:v>largest green block; smallest juggling ball</x:v>
      </x:c>
      <x:c r="H1125" s="69" t="str">
        <x:v>No</x:v>
      </x:c>
      <x:c r="I1125" s="69" t="str"/>
      <x:c r="J1125" s="69" t="str">
        <x:v>juggling ball, crushed Pepsi can</x:v>
      </x:c>
      <x:c r="K1125" s="69" t="str">
        <x:v>juggling ball</x:v>
      </x:c>
      <x:c r="L1125" s="69" t="str">
        <x:v>Recovery</x:v>
      </x:c>
      <x:c r="M1125" s="69" t="str">
        <x:v>Pick up the juggling ball and place it in the bowl.</x:v>
      </x:c>
      <x:c r="N1125" s="69" t="str">
        <x:v>juggling ball, crushed Pepsi can</x:v>
      </x:c>
      <x:c r="O1125" s="69" t="str">
        <x:v>juggling ball</x:v>
      </x:c>
      <x:c r="P1125" s="70" t="str">
        <x:v>Keeps largest-green and smallest-juggling trajectories under direct-name prompts.</x:v>
      </x:c>
    </x:row>
    <x:row r="1126" ht="58" customHeight="1">
      <x:c r="A1126" s="100" t="n">
        <x:v>1124</x:v>
      </x:c>
      <x:c r="B1126" s="69" t="str">
        <x:v>Size Recognition</x:v>
      </x:c>
      <x:c r="C1126" s="69" t="str">
        <x:v>Pick up the juggling ball and place it in the bowl.</x:v>
      </x:c>
      <x:c r="D1126" s="69" t="str">
        <x:v>Masked size-object composition</x:v>
      </x:c>
      <x:c r="E1126" s="69" t="str">
        <x:v>direct object identity; held-out size-role physical exposure</x:v>
      </x:c>
      <x:c r="F1126" s="69" t="str">
        <x:v>size_masked_juggling_ball</x:v>
      </x:c>
      <x:c r="G1126" s="69" t="str">
        <x:v>largest green block; smallest juggling ball</x:v>
      </x:c>
      <x:c r="H1126" s="69" t="str">
        <x:v>No</x:v>
      </x:c>
      <x:c r="I1126" s="69" t="str"/>
      <x:c r="J1126" s="69" t="str">
        <x:v>juggling ball, crushed Pepsi can</x:v>
      </x:c>
      <x:c r="K1126" s="69" t="str">
        <x:v>juggling ball</x:v>
      </x:c>
      <x:c r="L1126" s="69" t="str">
        <x:v>Recovery</x:v>
      </x:c>
      <x:c r="M1126" s="69" t="str">
        <x:v>Pick up the juggling ball and place it in the bowl.</x:v>
      </x:c>
      <x:c r="N1126" s="69" t="str">
        <x:v>juggling ball, crushed Pepsi can</x:v>
      </x:c>
      <x:c r="O1126" s="69" t="str">
        <x:v>juggling ball</x:v>
      </x:c>
      <x:c r="P1126" s="70" t="str">
        <x:v>Keeps largest-green and smallest-juggling trajectories under direct-name prompts.</x:v>
      </x:c>
    </x:row>
    <x:row r="1127" ht="58" customHeight="1">
      <x:c r="A1127" s="100" t="n">
        <x:v>1125</x:v>
      </x:c>
      <x:c r="B1127" s="69" t="str">
        <x:v>Size Recognition</x:v>
      </x:c>
      <x:c r="C1127" s="69" t="str">
        <x:v>Put the largest object in the bowl.</x:v>
      </x:c>
      <x:c r="D1127" s="69" t="str">
        <x:v>Explicit size grounding</x:v>
      </x:c>
      <x:c r="E1127" s="69" t="str">
        <x:v>largest</x:v>
      </x:c>
      <x:c r="F1127" s="69" t="str">
        <x:v>size_explicit_largest_juggling_ball</x:v>
      </x:c>
      <x:c r="G1127" s="69" t="str">
        <x:v>largest green block; smallest juggling ball</x:v>
      </x:c>
      <x:c r="H1127" s="69" t="str">
        <x:v>No</x:v>
      </x:c>
      <x:c r="I1127" s="69" t="str"/>
      <x:c r="J1127" s="69" t="str">
        <x:v>red pencil sharpener, green block, juggling ball</x:v>
      </x:c>
      <x:c r="K1127" s="69" t="str">
        <x:v>juggling ball</x:v>
      </x:c>
      <x:c r="L1127" s="69" t="str">
        <x:v>Home</x:v>
      </x:c>
      <x:c r="M1127" s="69" t="str">
        <x:v>Put the largest object in the bowl.</x:v>
      </x:c>
      <x:c r="N1127" s="69" t="str">
        <x:v>red pencil sharpener, green block, juggling ball</x:v>
      </x:c>
      <x:c r="O1127" s="69" t="str">
        <x:v>juggling ball</x:v>
      </x:c>
      <x:c r="P1127" s="70" t="str">
        <x:v>Explicitly grounds smallest/largest in a trained object-role combination.</x:v>
      </x:c>
    </x:row>
    <x:row r="1128" ht="58" customHeight="1">
      <x:c r="A1128" s="100" t="n">
        <x:v>1126</x:v>
      </x:c>
      <x:c r="B1128" s="69" t="str">
        <x:v>Size Recognition</x:v>
      </x:c>
      <x:c r="C1128" s="69" t="str">
        <x:v>Pick up the largest item and place it in the bowl.</x:v>
      </x:c>
      <x:c r="D1128" s="69" t="str">
        <x:v>Explicit size grounding</x:v>
      </x:c>
      <x:c r="E1128" s="69" t="str">
        <x:v>largest</x:v>
      </x:c>
      <x:c r="F1128" s="69" t="str">
        <x:v>size_explicit_largest_juggling_ball</x:v>
      </x:c>
      <x:c r="G1128" s="69" t="str">
        <x:v>largest green block; smallest juggling ball</x:v>
      </x:c>
      <x:c r="H1128" s="69" t="str">
        <x:v>No</x:v>
      </x:c>
      <x:c r="I1128" s="69" t="str"/>
      <x:c r="J1128" s="69" t="str">
        <x:v>red pencil sharpener, green block, juggling ball</x:v>
      </x:c>
      <x:c r="K1128" s="69" t="str">
        <x:v>juggling ball</x:v>
      </x:c>
      <x:c r="L1128" s="69" t="str">
        <x:v>Home</x:v>
      </x:c>
      <x:c r="M1128" s="69" t="str">
        <x:v>Pick up the largest item and place it in the bowl.</x:v>
      </x:c>
      <x:c r="N1128" s="69" t="str">
        <x:v>red pencil sharpener, green block, juggling ball</x:v>
      </x:c>
      <x:c r="O1128" s="69" t="str">
        <x:v>juggling ball</x:v>
      </x:c>
      <x:c r="P1128" s="70" t="str">
        <x:v>Explicitly grounds smallest/largest in a trained object-role combination.</x:v>
      </x:c>
    </x:row>
    <x:row r="1129" ht="58" customHeight="1">
      <x:c r="A1129" s="100" t="n">
        <x:v>1127</x:v>
      </x:c>
      <x:c r="B1129" s="69" t="str">
        <x:v>Size Recognition</x:v>
      </x:c>
      <x:c r="C1129" s="69" t="str">
        <x:v>Pick up the largest item and place it in the bowl.</x:v>
      </x:c>
      <x:c r="D1129" s="69" t="str">
        <x:v>Explicit size grounding</x:v>
      </x:c>
      <x:c r="E1129" s="69" t="str">
        <x:v>largest</x:v>
      </x:c>
      <x:c r="F1129" s="69" t="str">
        <x:v>size_explicit_largest_juggling_ball</x:v>
      </x:c>
      <x:c r="G1129" s="69" t="str">
        <x:v>largest green block; smallest juggling ball</x:v>
      </x:c>
      <x:c r="H1129" s="69" t="str">
        <x:v>No</x:v>
      </x:c>
      <x:c r="I1129" s="69" t="str"/>
      <x:c r="J1129" s="69" t="str">
        <x:v>red pencil sharpener, green block, juggling ball</x:v>
      </x:c>
      <x:c r="K1129" s="69" t="str">
        <x:v>juggling ball</x:v>
      </x:c>
      <x:c r="L1129" s="69" t="str">
        <x:v>Home</x:v>
      </x:c>
      <x:c r="M1129" s="69" t="str">
        <x:v>Pick up the largest item and place it in the bowl.</x:v>
      </x:c>
      <x:c r="N1129" s="69" t="str">
        <x:v>red pencil sharpener, green block, juggling ball</x:v>
      </x:c>
      <x:c r="O1129" s="69" t="str">
        <x:v>juggling ball</x:v>
      </x:c>
      <x:c r="P1129" s="70" t="str">
        <x:v>Explicitly grounds smallest/largest in a trained object-role combination.</x:v>
      </x:c>
    </x:row>
    <x:row r="1130" ht="58" customHeight="1">
      <x:c r="A1130" s="100" t="n">
        <x:v>1128</x:v>
      </x:c>
      <x:c r="B1130" s="69" t="str">
        <x:v>Size Recognition</x:v>
      </x:c>
      <x:c r="C1130" s="69" t="str">
        <x:v>Pick up the largest item and place it in the bowl.</x:v>
      </x:c>
      <x:c r="D1130" s="69" t="str">
        <x:v>Explicit size grounding</x:v>
      </x:c>
      <x:c r="E1130" s="69" t="str">
        <x:v>largest</x:v>
      </x:c>
      <x:c r="F1130" s="69" t="str">
        <x:v>size_explicit_largest_juggling_ball</x:v>
      </x:c>
      <x:c r="G1130" s="69" t="str">
        <x:v>largest green block; smallest juggling ball</x:v>
      </x:c>
      <x:c r="H1130" s="69" t="str">
        <x:v>No</x:v>
      </x:c>
      <x:c r="I1130" s="69" t="str"/>
      <x:c r="J1130" s="69" t="str">
        <x:v>red pencil sharpener, green block, juggling ball</x:v>
      </x:c>
      <x:c r="K1130" s="69" t="str">
        <x:v>juggling ball</x:v>
      </x:c>
      <x:c r="L1130" s="69" t="str">
        <x:v>Home</x:v>
      </x:c>
      <x:c r="M1130" s="69" t="str">
        <x:v>Pick up the largest item and place it in the bowl.</x:v>
      </x:c>
      <x:c r="N1130" s="69" t="str">
        <x:v>red pencil sharpener, green block, juggling ball</x:v>
      </x:c>
      <x:c r="O1130" s="69" t="str">
        <x:v>juggling ball</x:v>
      </x:c>
      <x:c r="P1130" s="70" t="str">
        <x:v>Explicitly grounds smallest/largest in a trained object-role combination.</x:v>
      </x:c>
    </x:row>
    <x:row r="1131" ht="58" customHeight="1">
      <x:c r="A1131" s="100" t="n">
        <x:v>1129</x:v>
      </x:c>
      <x:c r="B1131" s="69" t="str">
        <x:v>Size Recognition</x:v>
      </x:c>
      <x:c r="C1131" s="69" t="str">
        <x:v>Put the largest object in the bowl.</x:v>
      </x:c>
      <x:c r="D1131" s="69" t="str">
        <x:v>Explicit size grounding</x:v>
      </x:c>
      <x:c r="E1131" s="69" t="str">
        <x:v>largest</x:v>
      </x:c>
      <x:c r="F1131" s="69" t="str">
        <x:v>size_explicit_largest_juggling_ball</x:v>
      </x:c>
      <x:c r="G1131" s="69" t="str">
        <x:v>largest green block; smallest juggling ball</x:v>
      </x:c>
      <x:c r="H1131" s="69" t="str">
        <x:v>No</x:v>
      </x:c>
      <x:c r="I1131" s="69" t="str"/>
      <x:c r="J1131" s="69" t="str">
        <x:v>red pencil sharpener, green block, juggling ball</x:v>
      </x:c>
      <x:c r="K1131" s="69" t="str">
        <x:v>juggling ball</x:v>
      </x:c>
      <x:c r="L1131" s="69" t="str">
        <x:v>Home</x:v>
      </x:c>
      <x:c r="M1131" s="69" t="str">
        <x:v>Put the largest object in the bowl.</x:v>
      </x:c>
      <x:c r="N1131" s="69" t="str">
        <x:v>red pencil sharpener, green block, juggling ball</x:v>
      </x:c>
      <x:c r="O1131" s="69" t="str">
        <x:v>juggling ball</x:v>
      </x:c>
      <x:c r="P1131" s="70" t="str">
        <x:v>Explicitly grounds smallest/largest in a trained object-role combination.</x:v>
      </x:c>
    </x:row>
    <x:row r="1132" ht="58" customHeight="1">
      <x:c r="A1132" s="100" t="n">
        <x:v>1130</x:v>
      </x:c>
      <x:c r="B1132" s="69" t="str">
        <x:v>Size Recognition</x:v>
      </x:c>
      <x:c r="C1132" s="69" t="str">
        <x:v>Move the object that is largest into the bowl.</x:v>
      </x:c>
      <x:c r="D1132" s="69" t="str">
        <x:v>Explicit size grounding</x:v>
      </x:c>
      <x:c r="E1132" s="69" t="str">
        <x:v>largest</x:v>
      </x:c>
      <x:c r="F1132" s="69" t="str">
        <x:v>size_explicit_largest_juggling_ball</x:v>
      </x:c>
      <x:c r="G1132" s="69" t="str">
        <x:v>largest green block; smallest juggling ball</x:v>
      </x:c>
      <x:c r="H1132" s="69" t="str">
        <x:v>No</x:v>
      </x:c>
      <x:c r="I1132" s="69" t="str"/>
      <x:c r="J1132" s="69" t="str">
        <x:v>red pencil sharpener, green block, juggling ball</x:v>
      </x:c>
      <x:c r="K1132" s="69" t="str">
        <x:v>juggling ball</x:v>
      </x:c>
      <x:c r="L1132" s="69" t="str">
        <x:v>Home</x:v>
      </x:c>
      <x:c r="M1132" s="69" t="str">
        <x:v>Move the object that is largest into the bowl.</x:v>
      </x:c>
      <x:c r="N1132" s="69" t="str">
        <x:v>red pencil sharpener, green block, juggling ball</x:v>
      </x:c>
      <x:c r="O1132" s="69" t="str">
        <x:v>juggling ball</x:v>
      </x:c>
      <x:c r="P1132" s="70" t="str">
        <x:v>Explicitly grounds smallest/largest in a trained object-role combination.</x:v>
      </x:c>
    </x:row>
    <x:row r="1133" ht="58" customHeight="1">
      <x:c r="A1133" s="100" t="n">
        <x:v>1131</x:v>
      </x:c>
      <x:c r="B1133" s="69" t="str">
        <x:v>Size Recognition</x:v>
      </x:c>
      <x:c r="C1133" s="69" t="str">
        <x:v>Pick up the largest item and place it in the bowl.</x:v>
      </x:c>
      <x:c r="D1133" s="69" t="str">
        <x:v>Explicit size grounding</x:v>
      </x:c>
      <x:c r="E1133" s="69" t="str">
        <x:v>largest</x:v>
      </x:c>
      <x:c r="F1133" s="69" t="str">
        <x:v>size_explicit_largest_juggling_ball</x:v>
      </x:c>
      <x:c r="G1133" s="69" t="str">
        <x:v>largest green block; smallest juggling ball</x:v>
      </x:c>
      <x:c r="H1133" s="69" t="str">
        <x:v>No</x:v>
      </x:c>
      <x:c r="I1133" s="69" t="str"/>
      <x:c r="J1133" s="69" t="str">
        <x:v>red pencil sharpener, green block, juggling ball</x:v>
      </x:c>
      <x:c r="K1133" s="69" t="str">
        <x:v>juggling ball</x:v>
      </x:c>
      <x:c r="L1133" s="69" t="str">
        <x:v>Home</x:v>
      </x:c>
      <x:c r="M1133" s="69" t="str">
        <x:v>Pick up the largest item and place it in the bowl.</x:v>
      </x:c>
      <x:c r="N1133" s="69" t="str">
        <x:v>red pencil sharpener, green block, juggling ball</x:v>
      </x:c>
      <x:c r="O1133" s="69" t="str">
        <x:v>juggling ball</x:v>
      </x:c>
      <x:c r="P1133" s="70" t="str">
        <x:v>Explicitly grounds smallest/largest in a trained object-role combination.</x:v>
      </x:c>
    </x:row>
    <x:row r="1134" ht="58" customHeight="1">
      <x:c r="A1134" s="100" t="n">
        <x:v>1132</x:v>
      </x:c>
      <x:c r="B1134" s="69" t="str">
        <x:v>Size Recognition</x:v>
      </x:c>
      <x:c r="C1134" s="69" t="str">
        <x:v>Move the object that is largest into the bowl.</x:v>
      </x:c>
      <x:c r="D1134" s="69" t="str">
        <x:v>Explicit size grounding</x:v>
      </x:c>
      <x:c r="E1134" s="69" t="str">
        <x:v>largest</x:v>
      </x:c>
      <x:c r="F1134" s="69" t="str">
        <x:v>size_explicit_largest_juggling_ball</x:v>
      </x:c>
      <x:c r="G1134" s="69" t="str">
        <x:v>largest green block; smallest juggling ball</x:v>
      </x:c>
      <x:c r="H1134" s="69" t="str">
        <x:v>No</x:v>
      </x:c>
      <x:c r="I1134" s="69" t="str"/>
      <x:c r="J1134" s="69" t="str">
        <x:v>red pencil sharpener, green block, juggling ball</x:v>
      </x:c>
      <x:c r="K1134" s="69" t="str">
        <x:v>juggling ball</x:v>
      </x:c>
      <x:c r="L1134" s="69" t="str">
        <x:v>Home</x:v>
      </x:c>
      <x:c r="M1134" s="69" t="str">
        <x:v>Move the object that is largest into the bowl.</x:v>
      </x:c>
      <x:c r="N1134" s="69" t="str">
        <x:v>red pencil sharpener, green block, juggling ball</x:v>
      </x:c>
      <x:c r="O1134" s="69" t="str">
        <x:v>juggling ball</x:v>
      </x:c>
      <x:c r="P1134" s="70" t="str">
        <x:v>Explicitly grounds smallest/largest in a trained object-role combination.</x:v>
      </x:c>
    </x:row>
    <x:row r="1135" ht="58" customHeight="1">
      <x:c r="A1135" s="100" t="n">
        <x:v>1133</x:v>
      </x:c>
      <x:c r="B1135" s="69" t="str">
        <x:v>Size Recognition</x:v>
      </x:c>
      <x:c r="C1135" s="69" t="str">
        <x:v>Put the largest object in the bowl.</x:v>
      </x:c>
      <x:c r="D1135" s="69" t="str">
        <x:v>Explicit size grounding</x:v>
      </x:c>
      <x:c r="E1135" s="69" t="str">
        <x:v>largest</x:v>
      </x:c>
      <x:c r="F1135" s="69" t="str">
        <x:v>size_explicit_largest_juggling_ball</x:v>
      </x:c>
      <x:c r="G1135" s="69" t="str">
        <x:v>largest green block; smallest juggling ball</x:v>
      </x:c>
      <x:c r="H1135" s="69" t="str">
        <x:v>No</x:v>
      </x:c>
      <x:c r="I1135" s="69" t="str"/>
      <x:c r="J1135" s="69" t="str">
        <x:v>red pencil sharpener, green block, juggling ball</x:v>
      </x:c>
      <x:c r="K1135" s="69" t="str">
        <x:v>juggling ball</x:v>
      </x:c>
      <x:c r="L1135" s="69" t="str">
        <x:v>Recovery</x:v>
      </x:c>
      <x:c r="M1135" s="69" t="str">
        <x:v>Put the largest object in the bowl.</x:v>
      </x:c>
      <x:c r="N1135" s="69" t="str">
        <x:v>red pencil sharpener, green block, juggling ball</x:v>
      </x:c>
      <x:c r="O1135" s="69" t="str">
        <x:v>juggling ball</x:v>
      </x:c>
      <x:c r="P1135" s="70" t="str">
        <x:v>Explicitly grounds smallest/largest in a trained object-role combination.</x:v>
      </x:c>
    </x:row>
    <x:row r="1136" ht="58" customHeight="1">
      <x:c r="A1136" s="100" t="n">
        <x:v>1134</x:v>
      </x:c>
      <x:c r="B1136" s="69" t="str">
        <x:v>Size Recognition</x:v>
      </x:c>
      <x:c r="C1136" s="69" t="str">
        <x:v>Pick up the largest item and place it in the bowl.</x:v>
      </x:c>
      <x:c r="D1136" s="69" t="str">
        <x:v>Explicit size grounding</x:v>
      </x:c>
      <x:c r="E1136" s="69" t="str">
        <x:v>largest</x:v>
      </x:c>
      <x:c r="F1136" s="69" t="str">
        <x:v>size_explicit_largest_juggling_ball</x:v>
      </x:c>
      <x:c r="G1136" s="69" t="str">
        <x:v>largest green block; smallest juggling ball</x:v>
      </x:c>
      <x:c r="H1136" s="69" t="str">
        <x:v>No</x:v>
      </x:c>
      <x:c r="I1136" s="69" t="str"/>
      <x:c r="J1136" s="69" t="str">
        <x:v>red pencil sharpener, green block, juggling ball</x:v>
      </x:c>
      <x:c r="K1136" s="69" t="str">
        <x:v>juggling ball</x:v>
      </x:c>
      <x:c r="L1136" s="69" t="str">
        <x:v>Recovery</x:v>
      </x:c>
      <x:c r="M1136" s="69" t="str">
        <x:v>Pick up the largest item and place it in the bowl.</x:v>
      </x:c>
      <x:c r="N1136" s="69" t="str">
        <x:v>red pencil sharpener, green block, juggling ball</x:v>
      </x:c>
      <x:c r="O1136" s="69" t="str">
        <x:v>juggling ball</x:v>
      </x:c>
      <x:c r="P1136" s="70" t="str">
        <x:v>Explicitly grounds smallest/largest in a trained object-role combination.</x:v>
      </x:c>
    </x:row>
    <x:row r="1137" ht="58" customHeight="1">
      <x:c r="A1137" s="100" t="n">
        <x:v>1135</x:v>
      </x:c>
      <x:c r="B1137" s="69" t="str">
        <x:v>Size Recognition</x:v>
      </x:c>
      <x:c r="C1137" s="69" t="str">
        <x:v>Put the largest object in the bowl.</x:v>
      </x:c>
      <x:c r="D1137" s="69" t="str">
        <x:v>Explicit size grounding</x:v>
      </x:c>
      <x:c r="E1137" s="69" t="str">
        <x:v>largest</x:v>
      </x:c>
      <x:c r="F1137" s="69" t="str">
        <x:v>size_explicit_largest_juggling_ball</x:v>
      </x:c>
      <x:c r="G1137" s="69" t="str">
        <x:v>largest green block; smallest juggling ball</x:v>
      </x:c>
      <x:c r="H1137" s="69" t="str">
        <x:v>No</x:v>
      </x:c>
      <x:c r="I1137" s="69" t="str"/>
      <x:c r="J1137" s="69" t="str">
        <x:v>red pencil sharpener, juggling ball</x:v>
      </x:c>
      <x:c r="K1137" s="69" t="str">
        <x:v>juggling ball</x:v>
      </x:c>
      <x:c r="L1137" s="69" t="str">
        <x:v>Home</x:v>
      </x:c>
      <x:c r="M1137" s="69" t="str">
        <x:v>Put the largest object in the bowl.</x:v>
      </x:c>
      <x:c r="N1137" s="69" t="str">
        <x:v>red pencil sharpener, juggling ball</x:v>
      </x:c>
      <x:c r="O1137" s="69" t="str">
        <x:v>juggling ball</x:v>
      </x:c>
      <x:c r="P1137" s="70" t="str">
        <x:v>Explicitly grounds smallest/largest in a trained object-role combination.</x:v>
      </x:c>
    </x:row>
    <x:row r="1138" ht="58" customHeight="1">
      <x:c r="A1138" s="100" t="n">
        <x:v>1136</x:v>
      </x:c>
      <x:c r="B1138" s="69" t="str">
        <x:v>Size Recognition</x:v>
      </x:c>
      <x:c r="C1138" s="69" t="str">
        <x:v>Put the largest object in the bowl.</x:v>
      </x:c>
      <x:c r="D1138" s="69" t="str">
        <x:v>Explicit size grounding</x:v>
      </x:c>
      <x:c r="E1138" s="69" t="str">
        <x:v>largest</x:v>
      </x:c>
      <x:c r="F1138" s="69" t="str">
        <x:v>size_explicit_largest_juggling_ball</x:v>
      </x:c>
      <x:c r="G1138" s="69" t="str">
        <x:v>largest green block; smallest juggling ball</x:v>
      </x:c>
      <x:c r="H1138" s="69" t="str">
        <x:v>No</x:v>
      </x:c>
      <x:c r="I1138" s="69" t="str"/>
      <x:c r="J1138" s="69" t="str">
        <x:v>red pencil sharpener, juggling ball</x:v>
      </x:c>
      <x:c r="K1138" s="69" t="str">
        <x:v>juggling ball</x:v>
      </x:c>
      <x:c r="L1138" s="69" t="str">
        <x:v>Home</x:v>
      </x:c>
      <x:c r="M1138" s="69" t="str">
        <x:v>Put the largest object in the bowl.</x:v>
      </x:c>
      <x:c r="N1138" s="69" t="str">
        <x:v>red pencil sharpener, juggling ball</x:v>
      </x:c>
      <x:c r="O1138" s="69" t="str">
        <x:v>juggling ball</x:v>
      </x:c>
      <x:c r="P1138" s="70" t="str">
        <x:v>Explicitly grounds smallest/largest in a trained object-role combination.</x:v>
      </x:c>
    </x:row>
    <x:row r="1139" ht="58" customHeight="1">
      <x:c r="A1139" s="100" t="n">
        <x:v>1137</x:v>
      </x:c>
      <x:c r="B1139" s="69" t="str">
        <x:v>Size Recognition</x:v>
      </x:c>
      <x:c r="C1139" s="69" t="str">
        <x:v>Put the largest object in the bowl.</x:v>
      </x:c>
      <x:c r="D1139" s="69" t="str">
        <x:v>Explicit size grounding</x:v>
      </x:c>
      <x:c r="E1139" s="69" t="str">
        <x:v>largest</x:v>
      </x:c>
      <x:c r="F1139" s="69" t="str">
        <x:v>size_explicit_largest_juggling_ball</x:v>
      </x:c>
      <x:c r="G1139" s="69" t="str">
        <x:v>largest green block; smallest juggling ball</x:v>
      </x:c>
      <x:c r="H1139" s="69" t="str">
        <x:v>No</x:v>
      </x:c>
      <x:c r="I1139" s="69" t="str"/>
      <x:c r="J1139" s="69" t="str">
        <x:v>red pencil sharpener, juggling ball</x:v>
      </x:c>
      <x:c r="K1139" s="69" t="str">
        <x:v>juggling ball</x:v>
      </x:c>
      <x:c r="L1139" s="69" t="str">
        <x:v>Home</x:v>
      </x:c>
      <x:c r="M1139" s="69" t="str">
        <x:v>Put the largest object in the bowl.</x:v>
      </x:c>
      <x:c r="N1139" s="69" t="str">
        <x:v>red pencil sharpener, juggling ball</x:v>
      </x:c>
      <x:c r="O1139" s="69" t="str">
        <x:v>juggling ball</x:v>
      </x:c>
      <x:c r="P1139" s="70" t="str">
        <x:v>Explicitly grounds smallest/largest in a trained object-role combination.</x:v>
      </x:c>
    </x:row>
    <x:row r="1140" ht="58" customHeight="1">
      <x:c r="A1140" s="100" t="n">
        <x:v>1138</x:v>
      </x:c>
      <x:c r="B1140" s="69" t="str">
        <x:v>Size Recognition</x:v>
      </x:c>
      <x:c r="C1140" s="69" t="str">
        <x:v>Put the largest object in the bowl.</x:v>
      </x:c>
      <x:c r="D1140" s="69" t="str">
        <x:v>Explicit size grounding</x:v>
      </x:c>
      <x:c r="E1140" s="69" t="str">
        <x:v>largest</x:v>
      </x:c>
      <x:c r="F1140" s="69" t="str">
        <x:v>size_explicit_largest_juggling_ball</x:v>
      </x:c>
      <x:c r="G1140" s="69" t="str">
        <x:v>largest green block; smallest juggling ball</x:v>
      </x:c>
      <x:c r="H1140" s="69" t="str">
        <x:v>No</x:v>
      </x:c>
      <x:c r="I1140" s="69" t="str"/>
      <x:c r="J1140" s="69" t="str">
        <x:v>red pencil sharpener, juggling ball</x:v>
      </x:c>
      <x:c r="K1140" s="69" t="str">
        <x:v>juggling ball</x:v>
      </x:c>
      <x:c r="L1140" s="69" t="str">
        <x:v>Home</x:v>
      </x:c>
      <x:c r="M1140" s="69" t="str">
        <x:v>Put the largest object in the bowl.</x:v>
      </x:c>
      <x:c r="N1140" s="69" t="str">
        <x:v>red pencil sharpener, juggling ball</x:v>
      </x:c>
      <x:c r="O1140" s="69" t="str">
        <x:v>juggling ball</x:v>
      </x:c>
      <x:c r="P1140" s="70" t="str">
        <x:v>Explicitly grounds smallest/largest in a trained object-role combination.</x:v>
      </x:c>
    </x:row>
    <x:row r="1141" ht="58" customHeight="1">
      <x:c r="A1141" s="100" t="n">
        <x:v>1139</x:v>
      </x:c>
      <x:c r="B1141" s="69" t="str">
        <x:v>Size Recognition</x:v>
      </x:c>
      <x:c r="C1141" s="69" t="str">
        <x:v>Put the largest object in the bowl.</x:v>
      </x:c>
      <x:c r="D1141" s="69" t="str">
        <x:v>Explicit size grounding</x:v>
      </x:c>
      <x:c r="E1141" s="69" t="str">
        <x:v>largest</x:v>
      </x:c>
      <x:c r="F1141" s="69" t="str">
        <x:v>size_explicit_largest_juggling_ball</x:v>
      </x:c>
      <x:c r="G1141" s="69" t="str">
        <x:v>largest green block; smallest juggling ball</x:v>
      </x:c>
      <x:c r="H1141" s="69" t="str">
        <x:v>No</x:v>
      </x:c>
      <x:c r="I1141" s="69" t="str"/>
      <x:c r="J1141" s="69" t="str">
        <x:v>red pencil sharpener, juggling ball</x:v>
      </x:c>
      <x:c r="K1141" s="69" t="str">
        <x:v>juggling ball</x:v>
      </x:c>
      <x:c r="L1141" s="69" t="str">
        <x:v>Home</x:v>
      </x:c>
      <x:c r="M1141" s="69" t="str">
        <x:v>Put the largest object in the bowl.</x:v>
      </x:c>
      <x:c r="N1141" s="69" t="str">
        <x:v>red pencil sharpener, juggling ball</x:v>
      </x:c>
      <x:c r="O1141" s="69" t="str">
        <x:v>juggling ball</x:v>
      </x:c>
      <x:c r="P1141" s="70" t="str">
        <x:v>Explicitly grounds smallest/largest in a trained object-role combination.</x:v>
      </x:c>
    </x:row>
    <x:row r="1142" ht="58" customHeight="1">
      <x:c r="A1142" s="100" t="n">
        <x:v>1140</x:v>
      </x:c>
      <x:c r="B1142" s="69" t="str">
        <x:v>Size Recognition</x:v>
      </x:c>
      <x:c r="C1142" s="69" t="str">
        <x:v>Put the largest object in the bowl.</x:v>
      </x:c>
      <x:c r="D1142" s="69" t="str">
        <x:v>Explicit size grounding</x:v>
      </x:c>
      <x:c r="E1142" s="69" t="str">
        <x:v>largest</x:v>
      </x:c>
      <x:c r="F1142" s="69" t="str">
        <x:v>size_explicit_largest_juggling_ball</x:v>
      </x:c>
      <x:c r="G1142" s="69" t="str">
        <x:v>largest green block; smallest juggling ball</x:v>
      </x:c>
      <x:c r="H1142" s="69" t="str">
        <x:v>No</x:v>
      </x:c>
      <x:c r="I1142" s="69" t="str"/>
      <x:c r="J1142" s="69" t="str">
        <x:v>red pencil sharpener, juggling ball</x:v>
      </x:c>
      <x:c r="K1142" s="69" t="str">
        <x:v>juggling ball</x:v>
      </x:c>
      <x:c r="L1142" s="69" t="str">
        <x:v>Home</x:v>
      </x:c>
      <x:c r="M1142" s="69" t="str">
        <x:v>Put the largest object in the bowl.</x:v>
      </x:c>
      <x:c r="N1142" s="69" t="str">
        <x:v>red pencil sharpener, juggling ball</x:v>
      </x:c>
      <x:c r="O1142" s="69" t="str">
        <x:v>juggling ball</x:v>
      </x:c>
      <x:c r="P1142" s="70" t="str">
        <x:v>Explicitly grounds smallest/largest in a trained object-role combination.</x:v>
      </x:c>
    </x:row>
    <x:row r="1143" ht="58" customHeight="1">
      <x:c r="A1143" s="100" t="n">
        <x:v>1141</x:v>
      </x:c>
      <x:c r="B1143" s="69" t="str">
        <x:v>Size Recognition</x:v>
      </x:c>
      <x:c r="C1143" s="69" t="str">
        <x:v>Pick up the largest item and place it in the bowl.</x:v>
      </x:c>
      <x:c r="D1143" s="69" t="str">
        <x:v>Explicit size grounding</x:v>
      </x:c>
      <x:c r="E1143" s="69" t="str">
        <x:v>largest</x:v>
      </x:c>
      <x:c r="F1143" s="69" t="str">
        <x:v>size_explicit_largest_juggling_ball</x:v>
      </x:c>
      <x:c r="G1143" s="69" t="str">
        <x:v>largest green block; smallest juggling ball</x:v>
      </x:c>
      <x:c r="H1143" s="69" t="str">
        <x:v>No</x:v>
      </x:c>
      <x:c r="I1143" s="69" t="str"/>
      <x:c r="J1143" s="69" t="str">
        <x:v>red pencil sharpener, juggling ball</x:v>
      </x:c>
      <x:c r="K1143" s="69" t="str">
        <x:v>juggling ball</x:v>
      </x:c>
      <x:c r="L1143" s="69" t="str">
        <x:v>Home</x:v>
      </x:c>
      <x:c r="M1143" s="69" t="str">
        <x:v>Pick up the largest item and place it in the bowl.</x:v>
      </x:c>
      <x:c r="N1143" s="69" t="str">
        <x:v>red pencil sharpener, juggling ball</x:v>
      </x:c>
      <x:c r="O1143" s="69" t="str">
        <x:v>juggling ball</x:v>
      </x:c>
      <x:c r="P1143" s="70" t="str">
        <x:v>Explicitly grounds smallest/largest in a trained object-role combination.</x:v>
      </x:c>
    </x:row>
    <x:row r="1144" ht="58" customHeight="1">
      <x:c r="A1144" s="100" t="n">
        <x:v>1142</x:v>
      </x:c>
      <x:c r="B1144" s="69" t="str">
        <x:v>Size Recognition</x:v>
      </x:c>
      <x:c r="C1144" s="69" t="str">
        <x:v>Move the object that is largest into the bowl.</x:v>
      </x:c>
      <x:c r="D1144" s="69" t="str">
        <x:v>Explicit size grounding</x:v>
      </x:c>
      <x:c r="E1144" s="69" t="str">
        <x:v>largest</x:v>
      </x:c>
      <x:c r="F1144" s="69" t="str">
        <x:v>size_explicit_largest_juggling_ball</x:v>
      </x:c>
      <x:c r="G1144" s="69" t="str">
        <x:v>largest green block; smallest juggling ball</x:v>
      </x:c>
      <x:c r="H1144" s="69" t="str">
        <x:v>No</x:v>
      </x:c>
      <x:c r="I1144" s="69" t="str"/>
      <x:c r="J1144" s="69" t="str">
        <x:v>red pencil sharpener, juggling ball</x:v>
      </x:c>
      <x:c r="K1144" s="69" t="str">
        <x:v>juggling ball</x:v>
      </x:c>
      <x:c r="L1144" s="69" t="str">
        <x:v>Home</x:v>
      </x:c>
      <x:c r="M1144" s="69" t="str">
        <x:v>Move the object that is largest into the bowl.</x:v>
      </x:c>
      <x:c r="N1144" s="69" t="str">
        <x:v>red pencil sharpener, juggling ball</x:v>
      </x:c>
      <x:c r="O1144" s="69" t="str">
        <x:v>juggling ball</x:v>
      </x:c>
      <x:c r="P1144" s="70" t="str">
        <x:v>Explicitly grounds smallest/largest in a trained object-role combination.</x:v>
      </x:c>
    </x:row>
    <x:row r="1145" ht="58" customHeight="1">
      <x:c r="A1145" s="100" t="n">
        <x:v>1143</x:v>
      </x:c>
      <x:c r="B1145" s="69" t="str">
        <x:v>Size Recognition</x:v>
      </x:c>
      <x:c r="C1145" s="69" t="str">
        <x:v>Put the largest object in the bowl.</x:v>
      </x:c>
      <x:c r="D1145" s="69" t="str">
        <x:v>Explicit size grounding</x:v>
      </x:c>
      <x:c r="E1145" s="69" t="str">
        <x:v>largest</x:v>
      </x:c>
      <x:c r="F1145" s="69" t="str">
        <x:v>size_explicit_largest_juggling_ball</x:v>
      </x:c>
      <x:c r="G1145" s="69" t="str">
        <x:v>largest green block; smallest juggling ball</x:v>
      </x:c>
      <x:c r="H1145" s="69" t="str">
        <x:v>No</x:v>
      </x:c>
      <x:c r="I1145" s="69" t="str"/>
      <x:c r="J1145" s="69" t="str">
        <x:v>red pencil sharpener, juggling ball</x:v>
      </x:c>
      <x:c r="K1145" s="69" t="str">
        <x:v>juggling ball</x:v>
      </x:c>
      <x:c r="L1145" s="69" t="str">
        <x:v>Home</x:v>
      </x:c>
      <x:c r="M1145" s="69" t="str">
        <x:v>Put the largest object in the bowl.</x:v>
      </x:c>
      <x:c r="N1145" s="69" t="str">
        <x:v>red pencil sharpener, juggling ball</x:v>
      </x:c>
      <x:c r="O1145" s="69" t="str">
        <x:v>juggling ball</x:v>
      </x:c>
      <x:c r="P1145" s="70" t="str">
        <x:v>Explicitly grounds smallest/largest in a trained object-role combination.</x:v>
      </x:c>
    </x:row>
    <x:row r="1146" ht="58" customHeight="1">
      <x:c r="A1146" s="100" t="n">
        <x:v>1144</x:v>
      </x:c>
      <x:c r="B1146" s="69" t="str">
        <x:v>Size Recognition</x:v>
      </x:c>
      <x:c r="C1146" s="69" t="str">
        <x:v>Move the object that is largest into the bowl.</x:v>
      </x:c>
      <x:c r="D1146" s="69" t="str">
        <x:v>Explicit size grounding</x:v>
      </x:c>
      <x:c r="E1146" s="69" t="str">
        <x:v>largest</x:v>
      </x:c>
      <x:c r="F1146" s="69" t="str">
        <x:v>size_explicit_largest_juggling_ball</x:v>
      </x:c>
      <x:c r="G1146" s="69" t="str">
        <x:v>largest green block; smallest juggling ball</x:v>
      </x:c>
      <x:c r="H1146" s="69" t="str">
        <x:v>No</x:v>
      </x:c>
      <x:c r="I1146" s="69" t="str"/>
      <x:c r="J1146" s="69" t="str">
        <x:v>red pencil sharpener, juggling ball</x:v>
      </x:c>
      <x:c r="K1146" s="69" t="str">
        <x:v>juggling ball</x:v>
      </x:c>
      <x:c r="L1146" s="69" t="str">
        <x:v>Home</x:v>
      </x:c>
      <x:c r="M1146" s="69" t="str">
        <x:v>Move the object that is largest into the bowl.</x:v>
      </x:c>
      <x:c r="N1146" s="69" t="str">
        <x:v>red pencil sharpener, juggling ball</x:v>
      </x:c>
      <x:c r="O1146" s="69" t="str">
        <x:v>juggling ball</x:v>
      </x:c>
      <x:c r="P1146" s="70" t="str">
        <x:v>Explicitly grounds smallest/largest in a trained object-role combination.</x:v>
      </x:c>
    </x:row>
    <x:row r="1147" ht="58" customHeight="1">
      <x:c r="A1147" s="100" t="n">
        <x:v>1145</x:v>
      </x:c>
      <x:c r="B1147" s="69" t="str">
        <x:v>Size Recognition</x:v>
      </x:c>
      <x:c r="C1147" s="69" t="str">
        <x:v>Move the object that is largest into the bowl.</x:v>
      </x:c>
      <x:c r="D1147" s="69" t="str">
        <x:v>Explicit size grounding</x:v>
      </x:c>
      <x:c r="E1147" s="69" t="str">
        <x:v>largest</x:v>
      </x:c>
      <x:c r="F1147" s="69" t="str">
        <x:v>size_explicit_largest_juggling_ball</x:v>
      </x:c>
      <x:c r="G1147" s="69" t="str">
        <x:v>largest green block; smallest juggling ball</x:v>
      </x:c>
      <x:c r="H1147" s="69" t="str">
        <x:v>No</x:v>
      </x:c>
      <x:c r="I1147" s="69" t="str"/>
      <x:c r="J1147" s="69" t="str">
        <x:v>red pencil sharpener, juggling ball</x:v>
      </x:c>
      <x:c r="K1147" s="69" t="str">
        <x:v>juggling ball</x:v>
      </x:c>
      <x:c r="L1147" s="69" t="str">
        <x:v>Home</x:v>
      </x:c>
      <x:c r="M1147" s="69" t="str">
        <x:v>Move the object that is largest into the bowl.</x:v>
      </x:c>
      <x:c r="N1147" s="69" t="str">
        <x:v>red pencil sharpener, juggling ball</x:v>
      </x:c>
      <x:c r="O1147" s="69" t="str">
        <x:v>juggling ball</x:v>
      </x:c>
      <x:c r="P1147" s="70" t="str">
        <x:v>Explicitly grounds smallest/largest in a trained object-role combination.</x:v>
      </x:c>
    </x:row>
    <x:row r="1148" ht="58" customHeight="1">
      <x:c r="A1148" s="100" t="n">
        <x:v>1146</x:v>
      </x:c>
      <x:c r="B1148" s="69" t="str">
        <x:v>Size Recognition</x:v>
      </x:c>
      <x:c r="C1148" s="69" t="str">
        <x:v>Move the object that is largest into the bowl.</x:v>
      </x:c>
      <x:c r="D1148" s="69" t="str">
        <x:v>Explicit size grounding</x:v>
      </x:c>
      <x:c r="E1148" s="69" t="str">
        <x:v>largest</x:v>
      </x:c>
      <x:c r="F1148" s="69" t="str">
        <x:v>size_explicit_largest_juggling_ball</x:v>
      </x:c>
      <x:c r="G1148" s="69" t="str">
        <x:v>largest green block; smallest juggling ball</x:v>
      </x:c>
      <x:c r="H1148" s="69" t="str">
        <x:v>No</x:v>
      </x:c>
      <x:c r="I1148" s="69" t="str"/>
      <x:c r="J1148" s="69" t="str">
        <x:v>red pencil sharpener, juggling ball</x:v>
      </x:c>
      <x:c r="K1148" s="69" t="str">
        <x:v>juggling ball</x:v>
      </x:c>
      <x:c r="L1148" s="69" t="str">
        <x:v>Home</x:v>
      </x:c>
      <x:c r="M1148" s="69" t="str">
        <x:v>Move the object that is largest into the bowl.</x:v>
      </x:c>
      <x:c r="N1148" s="69" t="str">
        <x:v>red pencil sharpener, juggling ball</x:v>
      </x:c>
      <x:c r="O1148" s="69" t="str">
        <x:v>juggling ball</x:v>
      </x:c>
      <x:c r="P1148" s="70" t="str">
        <x:v>Explicitly grounds smallest/largest in a trained object-role combination.</x:v>
      </x:c>
    </x:row>
    <x:row r="1149" ht="58" customHeight="1">
      <x:c r="A1149" s="100" t="n">
        <x:v>1147</x:v>
      </x:c>
      <x:c r="B1149" s="69" t="str">
        <x:v>Size Recognition</x:v>
      </x:c>
      <x:c r="C1149" s="69" t="str">
        <x:v>Put the largest object in the bowl.</x:v>
      </x:c>
      <x:c r="D1149" s="69" t="str">
        <x:v>Explicit size grounding</x:v>
      </x:c>
      <x:c r="E1149" s="69" t="str">
        <x:v>largest</x:v>
      </x:c>
      <x:c r="F1149" s="69" t="str">
        <x:v>size_explicit_largest_juggling_ball</x:v>
      </x:c>
      <x:c r="G1149" s="69" t="str">
        <x:v>largest green block; smallest juggling ball</x:v>
      </x:c>
      <x:c r="H1149" s="69" t="str">
        <x:v>No</x:v>
      </x:c>
      <x:c r="I1149" s="69" t="str"/>
      <x:c r="J1149" s="69" t="str">
        <x:v>red pencil sharpener, juggling ball</x:v>
      </x:c>
      <x:c r="K1149" s="69" t="str">
        <x:v>juggling ball</x:v>
      </x:c>
      <x:c r="L1149" s="69" t="str">
        <x:v>Recovery</x:v>
      </x:c>
      <x:c r="M1149" s="69" t="str">
        <x:v>Put the largest object in the bowl.</x:v>
      </x:c>
      <x:c r="N1149" s="69" t="str">
        <x:v>red pencil sharpener, juggling ball</x:v>
      </x:c>
      <x:c r="O1149" s="69" t="str">
        <x:v>juggling ball</x:v>
      </x:c>
      <x:c r="P1149" s="70" t="str">
        <x:v>Explicitly grounds smallest/largest in a trained object-role combination.</x:v>
      </x:c>
    </x:row>
    <x:row r="1150" ht="58" customHeight="1">
      <x:c r="A1150" s="100" t="n">
        <x:v>1148</x:v>
      </x:c>
      <x:c r="B1150" s="69" t="str">
        <x:v>Size Recognition</x:v>
      </x:c>
      <x:c r="C1150" s="69" t="str">
        <x:v>Put the largest object in the bowl.</x:v>
      </x:c>
      <x:c r="D1150" s="69" t="str">
        <x:v>Explicit size grounding</x:v>
      </x:c>
      <x:c r="E1150" s="69" t="str">
        <x:v>largest</x:v>
      </x:c>
      <x:c r="F1150" s="69" t="str">
        <x:v>size_explicit_largest_juggling_ball</x:v>
      </x:c>
      <x:c r="G1150" s="69" t="str">
        <x:v>largest green block; smallest juggling ball</x:v>
      </x:c>
      <x:c r="H1150" s="69" t="str">
        <x:v>No</x:v>
      </x:c>
      <x:c r="I1150" s="69" t="str"/>
      <x:c r="J1150" s="69" t="str">
        <x:v>red pencil sharpener, juggling ball</x:v>
      </x:c>
      <x:c r="K1150" s="69" t="str">
        <x:v>juggling ball</x:v>
      </x:c>
      <x:c r="L1150" s="69" t="str">
        <x:v>Recovery</x:v>
      </x:c>
      <x:c r="M1150" s="69" t="str">
        <x:v>Put the largest object in the bowl.</x:v>
      </x:c>
      <x:c r="N1150" s="69" t="str">
        <x:v>red pencil sharpener, juggling ball</x:v>
      </x:c>
      <x:c r="O1150" s="69" t="str">
        <x:v>juggling ball</x:v>
      </x:c>
      <x:c r="P1150" s="70" t="str">
        <x:v>Explicitly grounds smallest/largest in a trained object-role combination.</x:v>
      </x:c>
    </x:row>
    <x:row r="1151" ht="58" customHeight="1">
      <x:c r="A1151" s="100" t="n">
        <x:v>1149</x:v>
      </x:c>
      <x:c r="B1151" s="69" t="str">
        <x:v>Size Recognition</x:v>
      </x:c>
      <x:c r="C1151" s="69" t="str">
        <x:v>Pick up the largest item and place it in the bowl.</x:v>
      </x:c>
      <x:c r="D1151" s="69" t="str">
        <x:v>Explicit size grounding</x:v>
      </x:c>
      <x:c r="E1151" s="69" t="str">
        <x:v>largest</x:v>
      </x:c>
      <x:c r="F1151" s="69" t="str">
        <x:v>size_explicit_largest_juggling_ball</x:v>
      </x:c>
      <x:c r="G1151" s="69" t="str">
        <x:v>largest green block; smallest juggling ball</x:v>
      </x:c>
      <x:c r="H1151" s="69" t="str">
        <x:v>No</x:v>
      </x:c>
      <x:c r="I1151" s="69" t="str"/>
      <x:c r="J1151" s="69" t="str">
        <x:v>red pencil sharpener, juggling ball</x:v>
      </x:c>
      <x:c r="K1151" s="69" t="str">
        <x:v>juggling ball</x:v>
      </x:c>
      <x:c r="L1151" s="69" t="str">
        <x:v>Recovery</x:v>
      </x:c>
      <x:c r="M1151" s="69" t="str">
        <x:v>Pick up the largest item and place it in the bowl.</x:v>
      </x:c>
      <x:c r="N1151" s="69" t="str">
        <x:v>red pencil sharpener, juggling ball</x:v>
      </x:c>
      <x:c r="O1151" s="69" t="str">
        <x:v>juggling ball</x:v>
      </x:c>
      <x:c r="P1151" s="70" t="str">
        <x:v>Explicitly grounds smallest/largest in a trained object-role combination.</x:v>
      </x:c>
    </x:row>
    <x:row r="1152" ht="58" customHeight="1">
      <x:c r="A1152" s="100" t="n">
        <x:v>1150</x:v>
      </x:c>
      <x:c r="B1152" s="69" t="str">
        <x:v>Size Recognition</x:v>
      </x:c>
      <x:c r="C1152" s="69" t="str">
        <x:v>Put the crushed Pepsi can in the bowl.</x:v>
      </x:c>
      <x:c r="D1152" s="69" t="str">
        <x:v>Direct-object size control</x:v>
      </x:c>
      <x:c r="E1152" s="69" t="str">
        <x:v>direct object identity</x:v>
      </x:c>
      <x:c r="F1152" s="69" t="str">
        <x:v>size_direct_crushed_Pepsi_can</x:v>
      </x:c>
      <x:c r="G1152" s="69" t="str">
        <x:v>largest green block; smallest juggling ball</x:v>
      </x:c>
      <x:c r="H1152" s="69" t="str">
        <x:v>No</x:v>
      </x:c>
      <x:c r="I1152" s="69" t="str"/>
      <x:c r="J1152" s="69" t="str">
        <x:v>red pencil sharpener, green block, juggling ball, crushed Pepsi can</x:v>
      </x:c>
      <x:c r="K1152" s="69" t="str">
        <x:v>crushed Pepsi can</x:v>
      </x:c>
      <x:c r="L1152" s="69" t="str">
        <x:v>Home</x:v>
      </x:c>
      <x:c r="M1152" s="69" t="str">
        <x:v>Pick up the largest item and place it in the bowl.</x:v>
      </x:c>
      <x:c r="N1152" s="69" t="str">
        <x:v>red pencil sharpener, green block, juggling ball, crushed Pepsi can</x:v>
      </x:c>
      <x:c r="O1152" s="69" t="str">
        <x:v>crushed Pepsi can</x:v>
      </x:c>
      <x:c r="P1152" s="70" t="str">
        <x:v>Balances direct-name controls across all four size-task identities without changing the recorded trajectory.</x:v>
      </x:c>
    </x:row>
    <x:row r="1153" ht="58" customHeight="1">
      <x:c r="A1153" s="100" t="n">
        <x:v>1151</x:v>
      </x:c>
      <x:c r="B1153" s="69" t="str">
        <x:v>Size Recognition</x:v>
      </x:c>
      <x:c r="C1153" s="69" t="str">
        <x:v>Pick up the crushed Pepsi can and place it in the bowl.</x:v>
      </x:c>
      <x:c r="D1153" s="69" t="str">
        <x:v>Direct-object size control</x:v>
      </x:c>
      <x:c r="E1153" s="69" t="str">
        <x:v>direct object identity</x:v>
      </x:c>
      <x:c r="F1153" s="69" t="str">
        <x:v>size_direct_crushed_Pepsi_can</x:v>
      </x:c>
      <x:c r="G1153" s="69" t="str">
        <x:v>largest green block; smallest juggling ball</x:v>
      </x:c>
      <x:c r="H1153" s="69" t="str">
        <x:v>No</x:v>
      </x:c>
      <x:c r="I1153" s="69" t="str"/>
      <x:c r="J1153" s="69" t="str">
        <x:v>red pencil sharpener, green block, juggling ball, crushed Pepsi can</x:v>
      </x:c>
      <x:c r="K1153" s="69" t="str">
        <x:v>crushed Pepsi can</x:v>
      </x:c>
      <x:c r="L1153" s="69" t="str">
        <x:v>Home</x:v>
      </x:c>
      <x:c r="M1153" s="69" t="str">
        <x:v>Pick up the largest item and place it in the bowl.</x:v>
      </x:c>
      <x:c r="N1153" s="69" t="str">
        <x:v>red pencil sharpener, green block, juggling ball, crushed Pepsi can</x:v>
      </x:c>
      <x:c r="O1153" s="69" t="str">
        <x:v>crushed Pepsi can</x:v>
      </x:c>
      <x:c r="P1153" s="70" t="str">
        <x:v>Balances direct-name controls across all four size-task identities without changing the recorded trajectory.</x:v>
      </x:c>
    </x:row>
    <x:row r="1154" ht="58" customHeight="1">
      <x:c r="A1154" s="100" t="n">
        <x:v>1152</x:v>
      </x:c>
      <x:c r="B1154" s="69" t="str">
        <x:v>Size Recognition</x:v>
      </x:c>
      <x:c r="C1154" s="69" t="str">
        <x:v>Move the crushed Pepsi can into the bowl.</x:v>
      </x:c>
      <x:c r="D1154" s="69" t="str">
        <x:v>Direct-object size control</x:v>
      </x:c>
      <x:c r="E1154" s="69" t="str">
        <x:v>direct object identity</x:v>
      </x:c>
      <x:c r="F1154" s="69" t="str">
        <x:v>size_direct_crushed_Pepsi_can</x:v>
      </x:c>
      <x:c r="G1154" s="69" t="str">
        <x:v>largest green block; smallest juggling ball</x:v>
      </x:c>
      <x:c r="H1154" s="69" t="str">
        <x:v>No</x:v>
      </x:c>
      <x:c r="I1154" s="69" t="str"/>
      <x:c r="J1154" s="69" t="str">
        <x:v>red pencil sharpener, green block, juggling ball, crushed Pepsi can</x:v>
      </x:c>
      <x:c r="K1154" s="69" t="str">
        <x:v>crushed Pepsi can</x:v>
      </x:c>
      <x:c r="L1154" s="69" t="str">
        <x:v>Home</x:v>
      </x:c>
      <x:c r="M1154" s="69" t="str">
        <x:v>Move the object that is largest into the bowl.</x:v>
      </x:c>
      <x:c r="N1154" s="69" t="str">
        <x:v>red pencil sharpener, green block, juggling ball, crushed Pepsi can</x:v>
      </x:c>
      <x:c r="O1154" s="69" t="str">
        <x:v>crushed Pepsi can</x:v>
      </x:c>
      <x:c r="P1154" s="70" t="str">
        <x:v>Balances direct-name controls across all four size-task identities without changing the recorded trajectory.</x:v>
      </x:c>
    </x:row>
    <x:row r="1155" ht="58" customHeight="1">
      <x:c r="A1155" s="100" t="n">
        <x:v>1153</x:v>
      </x:c>
      <x:c r="B1155" s="69" t="str">
        <x:v>Size Recognition</x:v>
      </x:c>
      <x:c r="C1155" s="69" t="str">
        <x:v>Put the crushed Pepsi can in the bowl.</x:v>
      </x:c>
      <x:c r="D1155" s="69" t="str">
        <x:v>Direct-object size control</x:v>
      </x:c>
      <x:c r="E1155" s="69" t="str">
        <x:v>direct object identity</x:v>
      </x:c>
      <x:c r="F1155" s="69" t="str">
        <x:v>size_direct_crushed_Pepsi_can</x:v>
      </x:c>
      <x:c r="G1155" s="69" t="str">
        <x:v>largest green block; smallest juggling ball</x:v>
      </x:c>
      <x:c r="H1155" s="69" t="str">
        <x:v>No</x:v>
      </x:c>
      <x:c r="I1155" s="69" t="str"/>
      <x:c r="J1155" s="69" t="str">
        <x:v>red pencil sharpener, green block, juggling ball, crushed Pepsi can</x:v>
      </x:c>
      <x:c r="K1155" s="69" t="str">
        <x:v>crushed Pepsi can</x:v>
      </x:c>
      <x:c r="L1155" s="69" t="str">
        <x:v>Home</x:v>
      </x:c>
      <x:c r="M1155" s="69" t="str">
        <x:v>Move the object that is largest into the bowl.</x:v>
      </x:c>
      <x:c r="N1155" s="69" t="str">
        <x:v>red pencil sharpener, green block, juggling ball, crushed Pepsi can</x:v>
      </x:c>
      <x:c r="O1155" s="69" t="str">
        <x:v>crushed Pepsi can</x:v>
      </x:c>
      <x:c r="P1155" s="70" t="str">
        <x:v>Balances direct-name controls across all four size-task identities without changing the recorded trajectory.</x:v>
      </x:c>
    </x:row>
    <x:row r="1156" ht="58" customHeight="1">
      <x:c r="A1156" s="100" t="n">
        <x:v>1154</x:v>
      </x:c>
      <x:c r="B1156" s="69" t="str">
        <x:v>Size Recognition</x:v>
      </x:c>
      <x:c r="C1156" s="69" t="str">
        <x:v>Pick up the crushed Pepsi can and place it in the bowl.</x:v>
      </x:c>
      <x:c r="D1156" s="69" t="str">
        <x:v>Direct-object size control</x:v>
      </x:c>
      <x:c r="E1156" s="69" t="str">
        <x:v>direct object identity</x:v>
      </x:c>
      <x:c r="F1156" s="69" t="str">
        <x:v>size_direct_crushed_Pepsi_can</x:v>
      </x:c>
      <x:c r="G1156" s="69" t="str">
        <x:v>largest green block; smallest juggling ball</x:v>
      </x:c>
      <x:c r="H1156" s="69" t="str">
        <x:v>No</x:v>
      </x:c>
      <x:c r="I1156" s="69" t="str"/>
      <x:c r="J1156" s="69" t="str">
        <x:v>red pencil sharpener, green block, juggling ball, crushed Pepsi can</x:v>
      </x:c>
      <x:c r="K1156" s="69" t="str">
        <x:v>crushed Pepsi can</x:v>
      </x:c>
      <x:c r="L1156" s="69" t="str">
        <x:v>Home</x:v>
      </x:c>
      <x:c r="M1156" s="69" t="str">
        <x:v>Move the object that is largest into the bowl.</x:v>
      </x:c>
      <x:c r="N1156" s="69" t="str">
        <x:v>red pencil sharpener, green block, juggling ball, crushed Pepsi can</x:v>
      </x:c>
      <x:c r="O1156" s="69" t="str">
        <x:v>crushed Pepsi can</x:v>
      </x:c>
      <x:c r="P1156" s="70" t="str">
        <x:v>Balances direct-name controls across all four size-task identities without changing the recorded trajectory.</x:v>
      </x:c>
    </x:row>
    <x:row r="1157" ht="58" customHeight="1">
      <x:c r="A1157" s="100" t="n">
        <x:v>1155</x:v>
      </x:c>
      <x:c r="B1157" s="69" t="str">
        <x:v>Size Recognition</x:v>
      </x:c>
      <x:c r="C1157" s="69" t="str">
        <x:v>Pick up the largest item and place it in the bowl.</x:v>
      </x:c>
      <x:c r="D1157" s="69" t="str">
        <x:v>Explicit size grounding</x:v>
      </x:c>
      <x:c r="E1157" s="69" t="str">
        <x:v>largest</x:v>
      </x:c>
      <x:c r="F1157" s="69" t="str">
        <x:v>size_explicit_largest_crushed_Pepsi_can</x:v>
      </x:c>
      <x:c r="G1157" s="69" t="str">
        <x:v>largest green block; smallest juggling ball</x:v>
      </x:c>
      <x:c r="H1157" s="69" t="str">
        <x:v>No</x:v>
      </x:c>
      <x:c r="I1157" s="69" t="str"/>
      <x:c r="J1157" s="69" t="str">
        <x:v>red pencil sharpener, green block, juggling ball, crushed Pepsi can</x:v>
      </x:c>
      <x:c r="K1157" s="69" t="str">
        <x:v>crushed Pepsi can</x:v>
      </x:c>
      <x:c r="L1157" s="69" t="str">
        <x:v>Home</x:v>
      </x:c>
      <x:c r="M1157" s="69" t="str">
        <x:v>Pick up the largest item and place it in the bowl.</x:v>
      </x:c>
      <x:c r="N1157" s="69" t="str">
        <x:v>red pencil sharpener, green block, juggling ball, crushed Pepsi can</x:v>
      </x:c>
      <x:c r="O1157" s="69" t="str">
        <x:v>crushed Pepsi can</x:v>
      </x:c>
      <x:c r="P1157" s="70" t="str">
        <x:v>Explicitly grounds smallest/largest in a trained object-role combination.</x:v>
      </x:c>
    </x:row>
    <x:row r="1158" ht="58" customHeight="1">
      <x:c r="A1158" s="100" t="n">
        <x:v>1156</x:v>
      </x:c>
      <x:c r="B1158" s="69" t="str">
        <x:v>Size Recognition</x:v>
      </x:c>
      <x:c r="C1158" s="69" t="str">
        <x:v>Move the object that is largest into the bowl.</x:v>
      </x:c>
      <x:c r="D1158" s="69" t="str">
        <x:v>Explicit size grounding</x:v>
      </x:c>
      <x:c r="E1158" s="69" t="str">
        <x:v>largest</x:v>
      </x:c>
      <x:c r="F1158" s="69" t="str">
        <x:v>size_explicit_largest_crushed_Pepsi_can</x:v>
      </x:c>
      <x:c r="G1158" s="69" t="str">
        <x:v>largest green block; smallest juggling ball</x:v>
      </x:c>
      <x:c r="H1158" s="69" t="str">
        <x:v>No</x:v>
      </x:c>
      <x:c r="I1158" s="69" t="str"/>
      <x:c r="J1158" s="69" t="str">
        <x:v>red pencil sharpener, green block, juggling ball, crushed Pepsi can</x:v>
      </x:c>
      <x:c r="K1158" s="69" t="str">
        <x:v>crushed Pepsi can</x:v>
      </x:c>
      <x:c r="L1158" s="69" t="str">
        <x:v>Home</x:v>
      </x:c>
      <x:c r="M1158" s="69" t="str">
        <x:v>Move the object that is largest into the bowl.</x:v>
      </x:c>
      <x:c r="N1158" s="69" t="str">
        <x:v>red pencil sharpener, green block, juggling ball, crushed Pepsi can</x:v>
      </x:c>
      <x:c r="O1158" s="69" t="str">
        <x:v>crushed Pepsi can</x:v>
      </x:c>
      <x:c r="P1158" s="70" t="str">
        <x:v>Explicitly grounds smallest/largest in a trained object-role combination.</x:v>
      </x:c>
    </x:row>
    <x:row r="1159" ht="58" customHeight="1">
      <x:c r="A1159" s="100" t="n">
        <x:v>1157</x:v>
      </x:c>
      <x:c r="B1159" s="69" t="str">
        <x:v>Size Recognition</x:v>
      </x:c>
      <x:c r="C1159" s="69" t="str">
        <x:v>Put the largest object in the bowl.</x:v>
      </x:c>
      <x:c r="D1159" s="69" t="str">
        <x:v>Explicit size grounding</x:v>
      </x:c>
      <x:c r="E1159" s="69" t="str">
        <x:v>largest</x:v>
      </x:c>
      <x:c r="F1159" s="69" t="str">
        <x:v>size_explicit_largest_crushed_Pepsi_can</x:v>
      </x:c>
      <x:c r="G1159" s="69" t="str">
        <x:v>largest green block; smallest juggling ball</x:v>
      </x:c>
      <x:c r="H1159" s="69" t="str">
        <x:v>No</x:v>
      </x:c>
      <x:c r="I1159" s="69" t="str"/>
      <x:c r="J1159" s="69" t="str">
        <x:v>red pencil sharpener, green block, juggling ball, crushed Pepsi can</x:v>
      </x:c>
      <x:c r="K1159" s="69" t="str">
        <x:v>crushed Pepsi can</x:v>
      </x:c>
      <x:c r="L1159" s="69" t="str">
        <x:v>Home</x:v>
      </x:c>
      <x:c r="M1159" s="69" t="str">
        <x:v>Put the largest object in the bowl.</x:v>
      </x:c>
      <x:c r="N1159" s="69" t="str">
        <x:v>red pencil sharpener, green block, juggling ball, crushed Pepsi can</x:v>
      </x:c>
      <x:c r="O1159" s="69" t="str">
        <x:v>crushed Pepsi can</x:v>
      </x:c>
      <x:c r="P1159" s="70" t="str">
        <x:v>Explicitly grounds smallest/largest in a trained object-role combination.</x:v>
      </x:c>
    </x:row>
    <x:row r="1160" ht="58" customHeight="1">
      <x:c r="A1160" s="100" t="n">
        <x:v>1158</x:v>
      </x:c>
      <x:c r="B1160" s="69" t="str">
        <x:v>Size Recognition</x:v>
      </x:c>
      <x:c r="C1160" s="69" t="str">
        <x:v>Put the largest object in the bowl.</x:v>
      </x:c>
      <x:c r="D1160" s="69" t="str">
        <x:v>Explicit size grounding</x:v>
      </x:c>
      <x:c r="E1160" s="69" t="str">
        <x:v>largest</x:v>
      </x:c>
      <x:c r="F1160" s="69" t="str">
        <x:v>size_explicit_largest_crushed_Pepsi_can</x:v>
      </x:c>
      <x:c r="G1160" s="69" t="str">
        <x:v>largest green block; smallest juggling ball</x:v>
      </x:c>
      <x:c r="H1160" s="69" t="str">
        <x:v>No</x:v>
      </x:c>
      <x:c r="I1160" s="69" t="str"/>
      <x:c r="J1160" s="69" t="str">
        <x:v>red pencil sharpener, green block, juggling ball, crushed Pepsi can</x:v>
      </x:c>
      <x:c r="K1160" s="69" t="str">
        <x:v>crushed Pepsi can</x:v>
      </x:c>
      <x:c r="L1160" s="69" t="str">
        <x:v>Home</x:v>
      </x:c>
      <x:c r="M1160" s="69" t="str">
        <x:v>Put the largest object in the bowl.</x:v>
      </x:c>
      <x:c r="N1160" s="69" t="str">
        <x:v>red pencil sharpener, green block, juggling ball, crushed Pepsi can</x:v>
      </x:c>
      <x:c r="O1160" s="69" t="str">
        <x:v>crushed Pepsi can</x:v>
      </x:c>
      <x:c r="P1160" s="70" t="str">
        <x:v>Explicitly grounds smallest/largest in a trained object-role combination.</x:v>
      </x:c>
    </x:row>
    <x:row r="1161" ht="58" customHeight="1">
      <x:c r="A1161" s="100" t="n">
        <x:v>1159</x:v>
      </x:c>
      <x:c r="B1161" s="69" t="str">
        <x:v>Size Recognition</x:v>
      </x:c>
      <x:c r="C1161" s="69" t="str">
        <x:v>Move the object that is largest into the bowl.</x:v>
      </x:c>
      <x:c r="D1161" s="69" t="str">
        <x:v>Explicit size grounding</x:v>
      </x:c>
      <x:c r="E1161" s="69" t="str">
        <x:v>largest</x:v>
      </x:c>
      <x:c r="F1161" s="69" t="str">
        <x:v>size_explicit_largest_crushed_Pepsi_can</x:v>
      </x:c>
      <x:c r="G1161" s="69" t="str">
        <x:v>largest green block; smallest juggling ball</x:v>
      </x:c>
      <x:c r="H1161" s="69" t="str">
        <x:v>No</x:v>
      </x:c>
      <x:c r="I1161" s="69" t="str"/>
      <x:c r="J1161" s="69" t="str">
        <x:v>red pencil sharpener, green block, juggling ball, crushed Pepsi can</x:v>
      </x:c>
      <x:c r="K1161" s="69" t="str">
        <x:v>crushed Pepsi can</x:v>
      </x:c>
      <x:c r="L1161" s="69" t="str">
        <x:v>Home</x:v>
      </x:c>
      <x:c r="M1161" s="69" t="str">
        <x:v>Move the object that is largest into the bowl.</x:v>
      </x:c>
      <x:c r="N1161" s="69" t="str">
        <x:v>red pencil sharpener, green block, juggling ball, crushed Pepsi can</x:v>
      </x:c>
      <x:c r="O1161" s="69" t="str">
        <x:v>crushed Pepsi can</x:v>
      </x:c>
      <x:c r="P1161" s="70" t="str">
        <x:v>Explicitly grounds smallest/largest in a trained object-role combination.</x:v>
      </x:c>
    </x:row>
    <x:row r="1162" ht="58" customHeight="1">
      <x:c r="A1162" s="100" t="n">
        <x:v>1160</x:v>
      </x:c>
      <x:c r="B1162" s="69" t="str">
        <x:v>Size Recognition</x:v>
      </x:c>
      <x:c r="C1162" s="69" t="str">
        <x:v>Move the object that is largest into the bowl.</x:v>
      </x:c>
      <x:c r="D1162" s="69" t="str">
        <x:v>Explicit size grounding</x:v>
      </x:c>
      <x:c r="E1162" s="69" t="str">
        <x:v>largest</x:v>
      </x:c>
      <x:c r="F1162" s="69" t="str">
        <x:v>size_explicit_largest_crushed_Pepsi_can</x:v>
      </x:c>
      <x:c r="G1162" s="69" t="str">
        <x:v>largest green block; smallest juggling ball</x:v>
      </x:c>
      <x:c r="H1162" s="69" t="str">
        <x:v>No</x:v>
      </x:c>
      <x:c r="I1162" s="69" t="str"/>
      <x:c r="J1162" s="69" t="str">
        <x:v>red pencil sharpener, green block, juggling ball, crushed Pepsi can</x:v>
      </x:c>
      <x:c r="K1162" s="69" t="str">
        <x:v>crushed Pepsi can</x:v>
      </x:c>
      <x:c r="L1162" s="69" t="str">
        <x:v>Home</x:v>
      </x:c>
      <x:c r="M1162" s="69" t="str">
        <x:v>Move the object that is largest into the bowl.</x:v>
      </x:c>
      <x:c r="N1162" s="69" t="str">
        <x:v>red pencil sharpener, green block, juggling ball, crushed Pepsi can</x:v>
      </x:c>
      <x:c r="O1162" s="69" t="str">
        <x:v>crushed Pepsi can</x:v>
      </x:c>
      <x:c r="P1162" s="70" t="str">
        <x:v>Explicitly grounds smallest/largest in a trained object-role combination.</x:v>
      </x:c>
    </x:row>
    <x:row r="1163" ht="58" customHeight="1">
      <x:c r="A1163" s="100" t="n">
        <x:v>1161</x:v>
      </x:c>
      <x:c r="B1163" s="69" t="str">
        <x:v>Size Recognition</x:v>
      </x:c>
      <x:c r="C1163" s="69" t="str">
        <x:v>Pick up the largest item and place it in the bowl.</x:v>
      </x:c>
      <x:c r="D1163" s="69" t="str">
        <x:v>Explicit size grounding</x:v>
      </x:c>
      <x:c r="E1163" s="69" t="str">
        <x:v>largest</x:v>
      </x:c>
      <x:c r="F1163" s="69" t="str">
        <x:v>size_explicit_largest_crushed_Pepsi_can</x:v>
      </x:c>
      <x:c r="G1163" s="69" t="str">
        <x:v>largest green block; smallest juggling ball</x:v>
      </x:c>
      <x:c r="H1163" s="69" t="str">
        <x:v>No</x:v>
      </x:c>
      <x:c r="I1163" s="69" t="str"/>
      <x:c r="J1163" s="69" t="str">
        <x:v>red pencil sharpener, green block, juggling ball, crushed Pepsi can</x:v>
      </x:c>
      <x:c r="K1163" s="69" t="str">
        <x:v>crushed Pepsi can</x:v>
      </x:c>
      <x:c r="L1163" s="69" t="str">
        <x:v>Home</x:v>
      </x:c>
      <x:c r="M1163" s="69" t="str">
        <x:v>Pick up the largest item and place it in the bowl.</x:v>
      </x:c>
      <x:c r="N1163" s="69" t="str">
        <x:v>red pencil sharpener, green block, juggling ball, crushed Pepsi can</x:v>
      </x:c>
      <x:c r="O1163" s="69" t="str">
        <x:v>crushed Pepsi can</x:v>
      </x:c>
      <x:c r="P1163" s="70" t="str">
        <x:v>Explicitly grounds smallest/largest in a trained object-role combination.</x:v>
      </x:c>
    </x:row>
    <x:row r="1164" ht="58" customHeight="1">
      <x:c r="A1164" s="100" t="n">
        <x:v>1162</x:v>
      </x:c>
      <x:c r="B1164" s="69" t="str">
        <x:v>Size Recognition</x:v>
      </x:c>
      <x:c r="C1164" s="69" t="str">
        <x:v>Pick up the largest item and place it in the bowl.</x:v>
      </x:c>
      <x:c r="D1164" s="69" t="str">
        <x:v>Explicit size grounding</x:v>
      </x:c>
      <x:c r="E1164" s="69" t="str">
        <x:v>largest</x:v>
      </x:c>
      <x:c r="F1164" s="69" t="str">
        <x:v>size_explicit_largest_crushed_Pepsi_can</x:v>
      </x:c>
      <x:c r="G1164" s="69" t="str">
        <x:v>largest green block; smallest juggling ball</x:v>
      </x:c>
      <x:c r="H1164" s="69" t="str">
        <x:v>No</x:v>
      </x:c>
      <x:c r="I1164" s="69" t="str"/>
      <x:c r="J1164" s="69" t="str">
        <x:v>red pencil sharpener, green block, juggling ball, crushed Pepsi can</x:v>
      </x:c>
      <x:c r="K1164" s="69" t="str">
        <x:v>crushed Pepsi can</x:v>
      </x:c>
      <x:c r="L1164" s="69" t="str">
        <x:v>Recovery</x:v>
      </x:c>
      <x:c r="M1164" s="69" t="str">
        <x:v>Pick up the largest item and place it in the bowl.</x:v>
      </x:c>
      <x:c r="N1164" s="69" t="str">
        <x:v>red pencil sharpener, green block, juggling ball, crushed Pepsi can</x:v>
      </x:c>
      <x:c r="O1164" s="69" t="str">
        <x:v>crushed Pepsi can</x:v>
      </x:c>
      <x:c r="P1164" s="70" t="str">
        <x:v>Explicitly grounds smallest/largest in a trained object-role combination.</x:v>
      </x:c>
    </x:row>
    <x:row r="1165" ht="58" customHeight="1">
      <x:c r="A1165" s="100" t="n">
        <x:v>1163</x:v>
      </x:c>
      <x:c r="B1165" s="69" t="str">
        <x:v>Size Recognition</x:v>
      </x:c>
      <x:c r="C1165" s="69" t="str">
        <x:v>Move the object that is largest into the bowl.</x:v>
      </x:c>
      <x:c r="D1165" s="69" t="str">
        <x:v>Explicit size grounding</x:v>
      </x:c>
      <x:c r="E1165" s="69" t="str">
        <x:v>largest</x:v>
      </x:c>
      <x:c r="F1165" s="69" t="str">
        <x:v>size_explicit_largest_crushed_Pepsi_can</x:v>
      </x:c>
      <x:c r="G1165" s="69" t="str">
        <x:v>largest green block; smallest juggling ball</x:v>
      </x:c>
      <x:c r="H1165" s="69" t="str">
        <x:v>No</x:v>
      </x:c>
      <x:c r="I1165" s="69" t="str"/>
      <x:c r="J1165" s="69" t="str">
        <x:v>red pencil sharpener, green block, juggling ball, crushed Pepsi can</x:v>
      </x:c>
      <x:c r="K1165" s="69" t="str">
        <x:v>crushed Pepsi can</x:v>
      </x:c>
      <x:c r="L1165" s="69" t="str">
        <x:v>Recovery</x:v>
      </x:c>
      <x:c r="M1165" s="69" t="str">
        <x:v>Move the object that is largest into the bowl.</x:v>
      </x:c>
      <x:c r="N1165" s="69" t="str">
        <x:v>red pencil sharpener, green block, juggling ball, crushed Pepsi can</x:v>
      </x:c>
      <x:c r="O1165" s="69" t="str">
        <x:v>crushed Pepsi can</x:v>
      </x:c>
      <x:c r="P1165" s="70" t="str">
        <x:v>Explicitly grounds smallest/largest in a trained object-role combination.</x:v>
      </x:c>
    </x:row>
    <x:row r="1166" ht="58" customHeight="1">
      <x:c r="A1166" s="100" t="n">
        <x:v>1164</x:v>
      </x:c>
      <x:c r="B1166" s="69" t="str">
        <x:v>Size Recognition</x:v>
      </x:c>
      <x:c r="C1166" s="69" t="str">
        <x:v>Pick up the largest item and place it in the bowl.</x:v>
      </x:c>
      <x:c r="D1166" s="69" t="str">
        <x:v>Explicit size grounding</x:v>
      </x:c>
      <x:c r="E1166" s="69" t="str">
        <x:v>largest</x:v>
      </x:c>
      <x:c r="F1166" s="69" t="str">
        <x:v>size_explicit_largest_crushed_Pepsi_can</x:v>
      </x:c>
      <x:c r="G1166" s="69" t="str">
        <x:v>largest green block; smallest juggling ball</x:v>
      </x:c>
      <x:c r="H1166" s="69" t="str">
        <x:v>No</x:v>
      </x:c>
      <x:c r="I1166" s="69" t="str"/>
      <x:c r="J1166" s="69" t="str">
        <x:v>red pencil sharpener, green block, juggling ball, crushed Pepsi can</x:v>
      </x:c>
      <x:c r="K1166" s="69" t="str">
        <x:v>crushed Pepsi can</x:v>
      </x:c>
      <x:c r="L1166" s="69" t="str">
        <x:v>Recovery</x:v>
      </x:c>
      <x:c r="M1166" s="69" t="str">
        <x:v>Pick up the largest item and place it in the bowl.</x:v>
      </x:c>
      <x:c r="N1166" s="69" t="str">
        <x:v>red pencil sharpener, green block, juggling ball, crushed Pepsi can</x:v>
      </x:c>
      <x:c r="O1166" s="69" t="str">
        <x:v>crushed Pepsi can</x:v>
      </x:c>
      <x:c r="P1166" s="70" t="str">
        <x:v>Explicitly grounds smallest/largest in a trained object-role combination.</x:v>
      </x:c>
    </x:row>
    <x:row r="1167" ht="58" customHeight="1">
      <x:c r="A1167" s="100" t="n">
        <x:v>1165</x:v>
      </x:c>
      <x:c r="B1167" s="69" t="str">
        <x:v>Size Recognition</x:v>
      </x:c>
      <x:c r="C1167" s="69" t="str">
        <x:v>Pick up the largest item and place it in the bowl.</x:v>
      </x:c>
      <x:c r="D1167" s="69" t="str">
        <x:v>Explicit size grounding</x:v>
      </x:c>
      <x:c r="E1167" s="69" t="str">
        <x:v>largest</x:v>
      </x:c>
      <x:c r="F1167" s="69" t="str">
        <x:v>size_explicit_largest_crushed_Pepsi_can</x:v>
      </x:c>
      <x:c r="G1167" s="69" t="str">
        <x:v>largest green block; smallest juggling ball</x:v>
      </x:c>
      <x:c r="H1167" s="69" t="str">
        <x:v>No</x:v>
      </x:c>
      <x:c r="I1167" s="69" t="str"/>
      <x:c r="J1167" s="69" t="str">
        <x:v>red pencil sharpener, juggling ball, crushed Pepsi can</x:v>
      </x:c>
      <x:c r="K1167" s="69" t="str">
        <x:v>crushed Pepsi can</x:v>
      </x:c>
      <x:c r="L1167" s="69" t="str">
        <x:v>Home</x:v>
      </x:c>
      <x:c r="M1167" s="69" t="str">
        <x:v>Pick up the largest item and place it in the bowl.</x:v>
      </x:c>
      <x:c r="N1167" s="69" t="str">
        <x:v>red pencil sharpener, juggling ball, crushed Pepsi can</x:v>
      </x:c>
      <x:c r="O1167" s="69" t="str">
        <x:v>crushed Pepsi can</x:v>
      </x:c>
      <x:c r="P1167" s="70" t="str">
        <x:v>Explicitly grounds smallest/largest in a trained object-role combination.</x:v>
      </x:c>
    </x:row>
    <x:row r="1168" ht="58" customHeight="1">
      <x:c r="A1168" s="100" t="n">
        <x:v>1166</x:v>
      </x:c>
      <x:c r="B1168" s="69" t="str">
        <x:v>Size Recognition</x:v>
      </x:c>
      <x:c r="C1168" s="69" t="str">
        <x:v>Pick up the largest item and place it in the bowl.</x:v>
      </x:c>
      <x:c r="D1168" s="69" t="str">
        <x:v>Explicit size grounding</x:v>
      </x:c>
      <x:c r="E1168" s="69" t="str">
        <x:v>largest</x:v>
      </x:c>
      <x:c r="F1168" s="69" t="str">
        <x:v>size_explicit_largest_crushed_Pepsi_can</x:v>
      </x:c>
      <x:c r="G1168" s="69" t="str">
        <x:v>largest green block; smallest juggling ball</x:v>
      </x:c>
      <x:c r="H1168" s="69" t="str">
        <x:v>No</x:v>
      </x:c>
      <x:c r="I1168" s="69" t="str"/>
      <x:c r="J1168" s="69" t="str">
        <x:v>red pencil sharpener, juggling ball, crushed Pepsi can</x:v>
      </x:c>
      <x:c r="K1168" s="69" t="str">
        <x:v>crushed Pepsi can</x:v>
      </x:c>
      <x:c r="L1168" s="69" t="str">
        <x:v>Home</x:v>
      </x:c>
      <x:c r="M1168" s="69" t="str">
        <x:v>Pick up the largest item and place it in the bowl.</x:v>
      </x:c>
      <x:c r="N1168" s="69" t="str">
        <x:v>red pencil sharpener, juggling ball, crushed Pepsi can</x:v>
      </x:c>
      <x:c r="O1168" s="69" t="str">
        <x:v>crushed Pepsi can</x:v>
      </x:c>
      <x:c r="P1168" s="70" t="str">
        <x:v>Explicitly grounds smallest/largest in a trained object-role combination.</x:v>
      </x:c>
    </x:row>
    <x:row r="1169" ht="58" customHeight="1">
      <x:c r="A1169" s="100" t="n">
        <x:v>1167</x:v>
      </x:c>
      <x:c r="B1169" s="69" t="str">
        <x:v>Size Recognition</x:v>
      </x:c>
      <x:c r="C1169" s="69" t="str">
        <x:v>Put the largest object in the bowl.</x:v>
      </x:c>
      <x:c r="D1169" s="69" t="str">
        <x:v>Explicit size grounding</x:v>
      </x:c>
      <x:c r="E1169" s="69" t="str">
        <x:v>largest</x:v>
      </x:c>
      <x:c r="F1169" s="69" t="str">
        <x:v>size_explicit_largest_crushed_Pepsi_can</x:v>
      </x:c>
      <x:c r="G1169" s="69" t="str">
        <x:v>largest green block; smallest juggling ball</x:v>
      </x:c>
      <x:c r="H1169" s="69" t="str">
        <x:v>No</x:v>
      </x:c>
      <x:c r="I1169" s="69" t="str"/>
      <x:c r="J1169" s="69" t="str">
        <x:v>red pencil sharpener, juggling ball, crushed Pepsi can</x:v>
      </x:c>
      <x:c r="K1169" s="69" t="str">
        <x:v>crushed Pepsi can</x:v>
      </x:c>
      <x:c r="L1169" s="69" t="str">
        <x:v>Home</x:v>
      </x:c>
      <x:c r="M1169" s="69" t="str">
        <x:v>Put the largest object in the bowl.</x:v>
      </x:c>
      <x:c r="N1169" s="69" t="str">
        <x:v>red pencil sharpener, juggling ball, crushed Pepsi can</x:v>
      </x:c>
      <x:c r="O1169" s="69" t="str">
        <x:v>crushed Pepsi can</x:v>
      </x:c>
      <x:c r="P1169" s="70" t="str">
        <x:v>Explicitly grounds smallest/largest in a trained object-role combination.</x:v>
      </x:c>
    </x:row>
    <x:row r="1170" ht="58" customHeight="1">
      <x:c r="A1170" s="100" t="n">
        <x:v>1168</x:v>
      </x:c>
      <x:c r="B1170" s="69" t="str">
        <x:v>Size Recognition</x:v>
      </x:c>
      <x:c r="C1170" s="69" t="str">
        <x:v>Put the largest object in the bowl.</x:v>
      </x:c>
      <x:c r="D1170" s="69" t="str">
        <x:v>Explicit size grounding</x:v>
      </x:c>
      <x:c r="E1170" s="69" t="str">
        <x:v>largest</x:v>
      </x:c>
      <x:c r="F1170" s="69" t="str">
        <x:v>size_explicit_largest_crushed_Pepsi_can</x:v>
      </x:c>
      <x:c r="G1170" s="69" t="str">
        <x:v>largest green block; smallest juggling ball</x:v>
      </x:c>
      <x:c r="H1170" s="69" t="str">
        <x:v>No</x:v>
      </x:c>
      <x:c r="I1170" s="69" t="str"/>
      <x:c r="J1170" s="69" t="str">
        <x:v>red pencil sharpener, juggling ball, crushed Pepsi can</x:v>
      </x:c>
      <x:c r="K1170" s="69" t="str">
        <x:v>crushed Pepsi can</x:v>
      </x:c>
      <x:c r="L1170" s="69" t="str">
        <x:v>Home</x:v>
      </x:c>
      <x:c r="M1170" s="69" t="str">
        <x:v>Put the largest object in the bowl.</x:v>
      </x:c>
      <x:c r="N1170" s="69" t="str">
        <x:v>red pencil sharpener, juggling ball, crushed Pepsi can</x:v>
      </x:c>
      <x:c r="O1170" s="69" t="str">
        <x:v>crushed Pepsi can</x:v>
      </x:c>
      <x:c r="P1170" s="70" t="str">
        <x:v>Explicitly grounds smallest/largest in a trained object-role combination.</x:v>
      </x:c>
    </x:row>
    <x:row r="1171" ht="58" customHeight="1">
      <x:c r="A1171" s="100" t="n">
        <x:v>1169</x:v>
      </x:c>
      <x:c r="B1171" s="69" t="str">
        <x:v>Size Recognition</x:v>
      </x:c>
      <x:c r="C1171" s="69" t="str">
        <x:v>Pick up the largest item and place it in the bowl.</x:v>
      </x:c>
      <x:c r="D1171" s="69" t="str">
        <x:v>Explicit size grounding</x:v>
      </x:c>
      <x:c r="E1171" s="69" t="str">
        <x:v>largest</x:v>
      </x:c>
      <x:c r="F1171" s="69" t="str">
        <x:v>size_explicit_largest_crushed_Pepsi_can</x:v>
      </x:c>
      <x:c r="G1171" s="69" t="str">
        <x:v>largest green block; smallest juggling ball</x:v>
      </x:c>
      <x:c r="H1171" s="69" t="str">
        <x:v>No</x:v>
      </x:c>
      <x:c r="I1171" s="69" t="str"/>
      <x:c r="J1171" s="69" t="str">
        <x:v>red pencil sharpener, juggling ball, crushed Pepsi can</x:v>
      </x:c>
      <x:c r="K1171" s="69" t="str">
        <x:v>crushed Pepsi can</x:v>
      </x:c>
      <x:c r="L1171" s="69" t="str">
        <x:v>Home</x:v>
      </x:c>
      <x:c r="M1171" s="69" t="str">
        <x:v>Pick up the largest item and place it in the bowl.</x:v>
      </x:c>
      <x:c r="N1171" s="69" t="str">
        <x:v>red pencil sharpener, juggling ball, crushed Pepsi can</x:v>
      </x:c>
      <x:c r="O1171" s="69" t="str">
        <x:v>crushed Pepsi can</x:v>
      </x:c>
      <x:c r="P1171" s="70" t="str">
        <x:v>Explicitly grounds smallest/largest in a trained object-role combination.</x:v>
      </x:c>
    </x:row>
    <x:row r="1172" ht="58" customHeight="1">
      <x:c r="A1172" s="100" t="n">
        <x:v>1170</x:v>
      </x:c>
      <x:c r="B1172" s="69" t="str">
        <x:v>Size Recognition</x:v>
      </x:c>
      <x:c r="C1172" s="69" t="str">
        <x:v>Put the largest object in the bowl.</x:v>
      </x:c>
      <x:c r="D1172" s="69" t="str">
        <x:v>Explicit size grounding</x:v>
      </x:c>
      <x:c r="E1172" s="69" t="str">
        <x:v>largest</x:v>
      </x:c>
      <x:c r="F1172" s="69" t="str">
        <x:v>size_explicit_largest_crushed_Pepsi_can</x:v>
      </x:c>
      <x:c r="G1172" s="69" t="str">
        <x:v>largest green block; smallest juggling ball</x:v>
      </x:c>
      <x:c r="H1172" s="69" t="str">
        <x:v>No</x:v>
      </x:c>
      <x:c r="I1172" s="69" t="str"/>
      <x:c r="J1172" s="69" t="str">
        <x:v>red pencil sharpener, juggling ball, crushed Pepsi can</x:v>
      </x:c>
      <x:c r="K1172" s="69" t="str">
        <x:v>crushed Pepsi can</x:v>
      </x:c>
      <x:c r="L1172" s="69" t="str">
        <x:v>Home</x:v>
      </x:c>
      <x:c r="M1172" s="69" t="str">
        <x:v>Put the largest object in the bowl.</x:v>
      </x:c>
      <x:c r="N1172" s="69" t="str">
        <x:v>red pencil sharpener, juggling ball, crushed Pepsi can</x:v>
      </x:c>
      <x:c r="O1172" s="69" t="str">
        <x:v>crushed Pepsi can</x:v>
      </x:c>
      <x:c r="P1172" s="70" t="str">
        <x:v>Explicitly grounds smallest/largest in a trained object-role combination.</x:v>
      </x:c>
    </x:row>
    <x:row r="1173" ht="58" customHeight="1">
      <x:c r="A1173" s="100" t="n">
        <x:v>1171</x:v>
      </x:c>
      <x:c r="B1173" s="69" t="str">
        <x:v>Size Recognition</x:v>
      </x:c>
      <x:c r="C1173" s="69" t="str">
        <x:v>Put the largest object in the bowl.</x:v>
      </x:c>
      <x:c r="D1173" s="69" t="str">
        <x:v>Explicit size grounding</x:v>
      </x:c>
      <x:c r="E1173" s="69" t="str">
        <x:v>largest</x:v>
      </x:c>
      <x:c r="F1173" s="69" t="str">
        <x:v>size_explicit_largest_crushed_Pepsi_can</x:v>
      </x:c>
      <x:c r="G1173" s="69" t="str">
        <x:v>largest green block; smallest juggling ball</x:v>
      </x:c>
      <x:c r="H1173" s="69" t="str">
        <x:v>No</x:v>
      </x:c>
      <x:c r="I1173" s="69" t="str"/>
      <x:c r="J1173" s="69" t="str">
        <x:v>red pencil sharpener, juggling ball, crushed Pepsi can</x:v>
      </x:c>
      <x:c r="K1173" s="69" t="str">
        <x:v>crushed Pepsi can</x:v>
      </x:c>
      <x:c r="L1173" s="69" t="str">
        <x:v>Home</x:v>
      </x:c>
      <x:c r="M1173" s="69" t="str">
        <x:v>Put the largest object in the bowl.</x:v>
      </x:c>
      <x:c r="N1173" s="69" t="str">
        <x:v>red pencil sharpener, juggling ball, crushed Pepsi can</x:v>
      </x:c>
      <x:c r="O1173" s="69" t="str">
        <x:v>crushed Pepsi can</x:v>
      </x:c>
      <x:c r="P1173" s="70" t="str">
        <x:v>Explicitly grounds smallest/largest in a trained object-role combination.</x:v>
      </x:c>
    </x:row>
    <x:row r="1174" ht="58" customHeight="1">
      <x:c r="A1174" s="100" t="n">
        <x:v>1172</x:v>
      </x:c>
      <x:c r="B1174" s="69" t="str">
        <x:v>Size Recognition</x:v>
      </x:c>
      <x:c r="C1174" s="69" t="str">
        <x:v>Pick up the largest item and place it in the bowl.</x:v>
      </x:c>
      <x:c r="D1174" s="69" t="str">
        <x:v>Explicit size grounding</x:v>
      </x:c>
      <x:c r="E1174" s="69" t="str">
        <x:v>largest</x:v>
      </x:c>
      <x:c r="F1174" s="69" t="str">
        <x:v>size_explicit_largest_crushed_Pepsi_can</x:v>
      </x:c>
      <x:c r="G1174" s="69" t="str">
        <x:v>largest green block; smallest juggling ball</x:v>
      </x:c>
      <x:c r="H1174" s="69" t="str">
        <x:v>No</x:v>
      </x:c>
      <x:c r="I1174" s="69" t="str"/>
      <x:c r="J1174" s="69" t="str">
        <x:v>red pencil sharpener, juggling ball, crushed Pepsi can</x:v>
      </x:c>
      <x:c r="K1174" s="69" t="str">
        <x:v>crushed Pepsi can</x:v>
      </x:c>
      <x:c r="L1174" s="69" t="str">
        <x:v>Home</x:v>
      </x:c>
      <x:c r="M1174" s="69" t="str">
        <x:v>Pick up the largest item and place it in the bowl.</x:v>
      </x:c>
      <x:c r="N1174" s="69" t="str">
        <x:v>red pencil sharpener, juggling ball, crushed Pepsi can</x:v>
      </x:c>
      <x:c r="O1174" s="69" t="str">
        <x:v>crushed Pepsi can</x:v>
      </x:c>
      <x:c r="P1174" s="70" t="str">
        <x:v>Explicitly grounds smallest/largest in a trained object-role combination.</x:v>
      </x:c>
    </x:row>
    <x:row r="1175" ht="58" customHeight="1">
      <x:c r="A1175" s="100" t="n">
        <x:v>1173</x:v>
      </x:c>
      <x:c r="B1175" s="69" t="str">
        <x:v>Size Recognition</x:v>
      </x:c>
      <x:c r="C1175" s="69" t="str">
        <x:v>Move the object that is largest into the bowl.</x:v>
      </x:c>
      <x:c r="D1175" s="69" t="str">
        <x:v>Explicit size grounding</x:v>
      </x:c>
      <x:c r="E1175" s="69" t="str">
        <x:v>largest</x:v>
      </x:c>
      <x:c r="F1175" s="69" t="str">
        <x:v>size_explicit_largest_crushed_Pepsi_can</x:v>
      </x:c>
      <x:c r="G1175" s="69" t="str">
        <x:v>largest green block; smallest juggling ball</x:v>
      </x:c>
      <x:c r="H1175" s="69" t="str">
        <x:v>No</x:v>
      </x:c>
      <x:c r="I1175" s="69" t="str"/>
      <x:c r="J1175" s="69" t="str">
        <x:v>red pencil sharpener, juggling ball, crushed Pepsi can</x:v>
      </x:c>
      <x:c r="K1175" s="69" t="str">
        <x:v>crushed Pepsi can</x:v>
      </x:c>
      <x:c r="L1175" s="69" t="str">
        <x:v>Home</x:v>
      </x:c>
      <x:c r="M1175" s="69" t="str">
        <x:v>Move the object that is largest into the bowl.</x:v>
      </x:c>
      <x:c r="N1175" s="69" t="str">
        <x:v>red pencil sharpener, juggling ball, crushed Pepsi can</x:v>
      </x:c>
      <x:c r="O1175" s="69" t="str">
        <x:v>crushed Pepsi can</x:v>
      </x:c>
      <x:c r="P1175" s="70" t="str">
        <x:v>Explicitly grounds smallest/largest in a trained object-role combination.</x:v>
      </x:c>
    </x:row>
    <x:row r="1176" ht="58" customHeight="1">
      <x:c r="A1176" s="100" t="n">
        <x:v>1174</x:v>
      </x:c>
      <x:c r="B1176" s="69" t="str">
        <x:v>Size Recognition</x:v>
      </x:c>
      <x:c r="C1176" s="69" t="str">
        <x:v>Move the object that is largest into the bowl.</x:v>
      </x:c>
      <x:c r="D1176" s="69" t="str">
        <x:v>Explicit size grounding</x:v>
      </x:c>
      <x:c r="E1176" s="69" t="str">
        <x:v>largest</x:v>
      </x:c>
      <x:c r="F1176" s="69" t="str">
        <x:v>size_explicit_largest_crushed_Pepsi_can</x:v>
      </x:c>
      <x:c r="G1176" s="69" t="str">
        <x:v>largest green block; smallest juggling ball</x:v>
      </x:c>
      <x:c r="H1176" s="69" t="str">
        <x:v>No</x:v>
      </x:c>
      <x:c r="I1176" s="69" t="str"/>
      <x:c r="J1176" s="69" t="str">
        <x:v>red pencil sharpener, juggling ball, crushed Pepsi can</x:v>
      </x:c>
      <x:c r="K1176" s="69" t="str">
        <x:v>crushed Pepsi can</x:v>
      </x:c>
      <x:c r="L1176" s="69" t="str">
        <x:v>Home</x:v>
      </x:c>
      <x:c r="M1176" s="69" t="str">
        <x:v>Move the object that is largest into the bowl.</x:v>
      </x:c>
      <x:c r="N1176" s="69" t="str">
        <x:v>red pencil sharpener, juggling ball, crushed Pepsi can</x:v>
      </x:c>
      <x:c r="O1176" s="69" t="str">
        <x:v>crushed Pepsi can</x:v>
      </x:c>
      <x:c r="P1176" s="70" t="str">
        <x:v>Explicitly grounds smallest/largest in a trained object-role combination.</x:v>
      </x:c>
    </x:row>
    <x:row r="1177" ht="58" customHeight="1">
      <x:c r="A1177" s="100" t="n">
        <x:v>1175</x:v>
      </x:c>
      <x:c r="B1177" s="69" t="str">
        <x:v>Size Recognition</x:v>
      </x:c>
      <x:c r="C1177" s="69" t="str">
        <x:v>Put the largest object in the bowl.</x:v>
      </x:c>
      <x:c r="D1177" s="69" t="str">
        <x:v>Explicit size grounding</x:v>
      </x:c>
      <x:c r="E1177" s="69" t="str">
        <x:v>largest</x:v>
      </x:c>
      <x:c r="F1177" s="69" t="str">
        <x:v>size_explicit_largest_crushed_Pepsi_can</x:v>
      </x:c>
      <x:c r="G1177" s="69" t="str">
        <x:v>largest green block; smallest juggling ball</x:v>
      </x:c>
      <x:c r="H1177" s="69" t="str">
        <x:v>No</x:v>
      </x:c>
      <x:c r="I1177" s="69" t="str"/>
      <x:c r="J1177" s="69" t="str">
        <x:v>red pencil sharpener, juggling ball, crushed Pepsi can</x:v>
      </x:c>
      <x:c r="K1177" s="69" t="str">
        <x:v>crushed Pepsi can</x:v>
      </x:c>
      <x:c r="L1177" s="69" t="str">
        <x:v>Home</x:v>
      </x:c>
      <x:c r="M1177" s="69" t="str">
        <x:v>Put the largest object in the bowl.</x:v>
      </x:c>
      <x:c r="N1177" s="69" t="str">
        <x:v>red pencil sharpener, juggling ball, crushed Pepsi can</x:v>
      </x:c>
      <x:c r="O1177" s="69" t="str">
        <x:v>crushed Pepsi can</x:v>
      </x:c>
      <x:c r="P1177" s="70" t="str">
        <x:v>Explicitly grounds smallest/largest in a trained object-role combination.</x:v>
      </x:c>
    </x:row>
    <x:row r="1178" ht="58" customHeight="1">
      <x:c r="A1178" s="100" t="n">
        <x:v>1176</x:v>
      </x:c>
      <x:c r="B1178" s="69" t="str">
        <x:v>Size Recognition</x:v>
      </x:c>
      <x:c r="C1178" s="69" t="str">
        <x:v>Pick up the largest item and place it in the bowl.</x:v>
      </x:c>
      <x:c r="D1178" s="69" t="str">
        <x:v>Explicit size grounding</x:v>
      </x:c>
      <x:c r="E1178" s="69" t="str">
        <x:v>largest</x:v>
      </x:c>
      <x:c r="F1178" s="69" t="str">
        <x:v>size_explicit_largest_crushed_Pepsi_can</x:v>
      </x:c>
      <x:c r="G1178" s="69" t="str">
        <x:v>largest green block; smallest juggling ball</x:v>
      </x:c>
      <x:c r="H1178" s="69" t="str">
        <x:v>No</x:v>
      </x:c>
      <x:c r="I1178" s="69" t="str"/>
      <x:c r="J1178" s="69" t="str">
        <x:v>red pencil sharpener, juggling ball, crushed Pepsi can</x:v>
      </x:c>
      <x:c r="K1178" s="69" t="str">
        <x:v>crushed Pepsi can</x:v>
      </x:c>
      <x:c r="L1178" s="69" t="str">
        <x:v>Home</x:v>
      </x:c>
      <x:c r="M1178" s="69" t="str">
        <x:v>Pick up the largest item and place it in the bowl.</x:v>
      </x:c>
      <x:c r="N1178" s="69" t="str">
        <x:v>red pencil sharpener, juggling ball, crushed Pepsi can</x:v>
      </x:c>
      <x:c r="O1178" s="69" t="str">
        <x:v>crushed Pepsi can</x:v>
      </x:c>
      <x:c r="P1178" s="70" t="str">
        <x:v>Explicitly grounds smallest/largest in a trained object-role combination.</x:v>
      </x:c>
    </x:row>
    <x:row r="1179" ht="58" customHeight="1">
      <x:c r="A1179" s="100" t="n">
        <x:v>1177</x:v>
      </x:c>
      <x:c r="B1179" s="69" t="str">
        <x:v>Size Recognition</x:v>
      </x:c>
      <x:c r="C1179" s="69" t="str">
        <x:v>Put the largest object in the bowl.</x:v>
      </x:c>
      <x:c r="D1179" s="69" t="str">
        <x:v>Explicit size grounding</x:v>
      </x:c>
      <x:c r="E1179" s="69" t="str">
        <x:v>largest</x:v>
      </x:c>
      <x:c r="F1179" s="69" t="str">
        <x:v>size_explicit_largest_crushed_Pepsi_can</x:v>
      </x:c>
      <x:c r="G1179" s="69" t="str">
        <x:v>largest green block; smallest juggling ball</x:v>
      </x:c>
      <x:c r="H1179" s="69" t="str">
        <x:v>No</x:v>
      </x:c>
      <x:c r="I1179" s="69" t="str"/>
      <x:c r="J1179" s="69" t="str">
        <x:v>red pencil sharpener, juggling ball, crushed Pepsi can</x:v>
      </x:c>
      <x:c r="K1179" s="69" t="str">
        <x:v>crushed Pepsi can</x:v>
      </x:c>
      <x:c r="L1179" s="69" t="str">
        <x:v>Recovery</x:v>
      </x:c>
      <x:c r="M1179" s="69" t="str">
        <x:v>Put the largest object in the bowl.</x:v>
      </x:c>
      <x:c r="N1179" s="69" t="str">
        <x:v>red pencil sharpener, juggling ball, crushed Pepsi can</x:v>
      </x:c>
      <x:c r="O1179" s="69" t="str">
        <x:v>crushed Pepsi can</x:v>
      </x:c>
      <x:c r="P1179" s="70" t="str">
        <x:v>Explicitly grounds smallest/largest in a trained object-role combination.</x:v>
      </x:c>
    </x:row>
    <x:row r="1180" ht="58" customHeight="1">
      <x:c r="A1180" s="100" t="n">
        <x:v>1178</x:v>
      </x:c>
      <x:c r="B1180" s="69" t="str">
        <x:v>Size Recognition</x:v>
      </x:c>
      <x:c r="C1180" s="69" t="str">
        <x:v>Pick up the largest item and place it in the bowl.</x:v>
      </x:c>
      <x:c r="D1180" s="69" t="str">
        <x:v>Explicit size grounding</x:v>
      </x:c>
      <x:c r="E1180" s="69" t="str">
        <x:v>largest</x:v>
      </x:c>
      <x:c r="F1180" s="69" t="str">
        <x:v>size_explicit_largest_crushed_Pepsi_can</x:v>
      </x:c>
      <x:c r="G1180" s="69" t="str">
        <x:v>largest green block; smallest juggling ball</x:v>
      </x:c>
      <x:c r="H1180" s="69" t="str">
        <x:v>No</x:v>
      </x:c>
      <x:c r="I1180" s="69" t="str"/>
      <x:c r="J1180" s="69" t="str">
        <x:v>red pencil sharpener, juggling ball, crushed Pepsi can</x:v>
      </x:c>
      <x:c r="K1180" s="69" t="str">
        <x:v>crushed Pepsi can</x:v>
      </x:c>
      <x:c r="L1180" s="69" t="str">
        <x:v>Recovery</x:v>
      </x:c>
      <x:c r="M1180" s="69" t="str">
        <x:v>Pick up the largest item and place it in the bowl.</x:v>
      </x:c>
      <x:c r="N1180" s="69" t="str">
        <x:v>red pencil sharpener, juggling ball, crushed Pepsi can</x:v>
      </x:c>
      <x:c r="O1180" s="69" t="str">
        <x:v>crushed Pepsi can</x:v>
      </x:c>
      <x:c r="P1180" s="70" t="str">
        <x:v>Explicitly grounds smallest/largest in a trained object-role combination.</x:v>
      </x:c>
    </x:row>
    <x:row r="1181" ht="58" customHeight="1">
      <x:c r="A1181" s="100" t="n">
        <x:v>1179</x:v>
      </x:c>
      <x:c r="B1181" s="69" t="str">
        <x:v>Size Recognition</x:v>
      </x:c>
      <x:c r="C1181" s="69" t="str">
        <x:v>Pick up the largest item and place it in the bowl.</x:v>
      </x:c>
      <x:c r="D1181" s="69" t="str">
        <x:v>Explicit size grounding</x:v>
      </x:c>
      <x:c r="E1181" s="69" t="str">
        <x:v>largest</x:v>
      </x:c>
      <x:c r="F1181" s="69" t="str">
        <x:v>size_explicit_largest_crushed_Pepsi_can</x:v>
      </x:c>
      <x:c r="G1181" s="69" t="str">
        <x:v>largest green block; smallest juggling ball</x:v>
      </x:c>
      <x:c r="H1181" s="69" t="str">
        <x:v>No</x:v>
      </x:c>
      <x:c r="I1181" s="69" t="str"/>
      <x:c r="J1181" s="69" t="str">
        <x:v>red pencil sharpener, juggling ball, crushed Pepsi can</x:v>
      </x:c>
      <x:c r="K1181" s="69" t="str">
        <x:v>crushed Pepsi can</x:v>
      </x:c>
      <x:c r="L1181" s="69" t="str">
        <x:v>Recovery</x:v>
      </x:c>
      <x:c r="M1181" s="69" t="str">
        <x:v>Pick up the largest item and place it in the bowl.</x:v>
      </x:c>
      <x:c r="N1181" s="69" t="str">
        <x:v>red pencil sharpener, juggling ball, crushed Pepsi can</x:v>
      </x:c>
      <x:c r="O1181" s="69" t="str">
        <x:v>crushed Pepsi can</x:v>
      </x:c>
      <x:c r="P1181" s="70" t="str">
        <x:v>Explicitly grounds smallest/largest in a trained object-role combination.</x:v>
      </x:c>
    </x:row>
    <x:row r="1182" ht="58" customHeight="1">
      <x:c r="A1182" s="100" t="n">
        <x:v>1180</x:v>
      </x:c>
      <x:c r="B1182" s="69" t="str">
        <x:v>Size Recognition</x:v>
      </x:c>
      <x:c r="C1182" s="69" t="str">
        <x:v>Move the object that is largest into the bowl.</x:v>
      </x:c>
      <x:c r="D1182" s="69" t="str">
        <x:v>Explicit size grounding</x:v>
      </x:c>
      <x:c r="E1182" s="69" t="str">
        <x:v>largest</x:v>
      </x:c>
      <x:c r="F1182" s="69" t="str">
        <x:v>size_explicit_largest_crushed_Pepsi_can</x:v>
      </x:c>
      <x:c r="G1182" s="69" t="str">
        <x:v>largest green block; smallest juggling ball</x:v>
      </x:c>
      <x:c r="H1182" s="69" t="str">
        <x:v>No</x:v>
      </x:c>
      <x:c r="I1182" s="69" t="str"/>
      <x:c r="J1182" s="69" t="str">
        <x:v>green block, crushed Pepsi can</x:v>
      </x:c>
      <x:c r="K1182" s="69" t="str">
        <x:v>crushed Pepsi can</x:v>
      </x:c>
      <x:c r="L1182" s="69" t="str">
        <x:v>Home</x:v>
      </x:c>
      <x:c r="M1182" s="69" t="str">
        <x:v>Move the object that is largest into the bowl.</x:v>
      </x:c>
      <x:c r="N1182" s="69" t="str">
        <x:v>green block, crushed Pepsi can</x:v>
      </x:c>
      <x:c r="O1182" s="69" t="str">
        <x:v>crushed Pepsi can</x:v>
      </x:c>
      <x:c r="P1182" s="70" t="str">
        <x:v>Explicitly grounds smallest/largest in a trained object-role combination.</x:v>
      </x:c>
    </x:row>
    <x:row r="1183" ht="58" customHeight="1">
      <x:c r="A1183" s="100" t="n">
        <x:v>1181</x:v>
      </x:c>
      <x:c r="B1183" s="69" t="str">
        <x:v>Size Recognition</x:v>
      </x:c>
      <x:c r="C1183" s="69" t="str">
        <x:v>Move the object that is largest into the bowl.</x:v>
      </x:c>
      <x:c r="D1183" s="69" t="str">
        <x:v>Explicit size grounding</x:v>
      </x:c>
      <x:c r="E1183" s="69" t="str">
        <x:v>largest</x:v>
      </x:c>
      <x:c r="F1183" s="69" t="str">
        <x:v>size_explicit_largest_crushed_Pepsi_can</x:v>
      </x:c>
      <x:c r="G1183" s="69" t="str">
        <x:v>largest green block; smallest juggling ball</x:v>
      </x:c>
      <x:c r="H1183" s="69" t="str">
        <x:v>No</x:v>
      </x:c>
      <x:c r="I1183" s="69" t="str"/>
      <x:c r="J1183" s="69" t="str">
        <x:v>green block, crushed Pepsi can</x:v>
      </x:c>
      <x:c r="K1183" s="69" t="str">
        <x:v>crushed Pepsi can</x:v>
      </x:c>
      <x:c r="L1183" s="69" t="str">
        <x:v>Home</x:v>
      </x:c>
      <x:c r="M1183" s="69" t="str">
        <x:v>Move the object that is largest into the bowl.</x:v>
      </x:c>
      <x:c r="N1183" s="69" t="str">
        <x:v>green block, crushed Pepsi can</x:v>
      </x:c>
      <x:c r="O1183" s="69" t="str">
        <x:v>crushed Pepsi can</x:v>
      </x:c>
      <x:c r="P1183" s="70" t="str">
        <x:v>Explicitly grounds smallest/largest in a trained object-role combination.</x:v>
      </x:c>
    </x:row>
    <x:row r="1184" ht="58" customHeight="1">
      <x:c r="A1184" s="100" t="n">
        <x:v>1182</x:v>
      </x:c>
      <x:c r="B1184" s="69" t="str">
        <x:v>Size Recognition</x:v>
      </x:c>
      <x:c r="C1184" s="69" t="str">
        <x:v>Move the object that is largest into the bowl.</x:v>
      </x:c>
      <x:c r="D1184" s="69" t="str">
        <x:v>Explicit size grounding</x:v>
      </x:c>
      <x:c r="E1184" s="69" t="str">
        <x:v>largest</x:v>
      </x:c>
      <x:c r="F1184" s="69" t="str">
        <x:v>size_explicit_largest_crushed_Pepsi_can</x:v>
      </x:c>
      <x:c r="G1184" s="69" t="str">
        <x:v>largest green block; smallest juggling ball</x:v>
      </x:c>
      <x:c r="H1184" s="69" t="str">
        <x:v>No</x:v>
      </x:c>
      <x:c r="I1184" s="69" t="str"/>
      <x:c r="J1184" s="69" t="str">
        <x:v>green block, crushed Pepsi can</x:v>
      </x:c>
      <x:c r="K1184" s="69" t="str">
        <x:v>crushed Pepsi can</x:v>
      </x:c>
      <x:c r="L1184" s="69" t="str">
        <x:v>Home</x:v>
      </x:c>
      <x:c r="M1184" s="69" t="str">
        <x:v>Move the object that is largest into the bowl.</x:v>
      </x:c>
      <x:c r="N1184" s="69" t="str">
        <x:v>green block, crushed Pepsi can</x:v>
      </x:c>
      <x:c r="O1184" s="69" t="str">
        <x:v>crushed Pepsi can</x:v>
      </x:c>
      <x:c r="P1184" s="70" t="str">
        <x:v>Explicitly grounds smallest/largest in a trained object-role combination.</x:v>
      </x:c>
    </x:row>
    <x:row r="1185" ht="58" customHeight="1">
      <x:c r="A1185" s="100" t="n">
        <x:v>1183</x:v>
      </x:c>
      <x:c r="B1185" s="69" t="str">
        <x:v>Size Recognition</x:v>
      </x:c>
      <x:c r="C1185" s="69" t="str">
        <x:v>Put the largest object in the bowl.</x:v>
      </x:c>
      <x:c r="D1185" s="69" t="str">
        <x:v>Explicit size grounding</x:v>
      </x:c>
      <x:c r="E1185" s="69" t="str">
        <x:v>largest</x:v>
      </x:c>
      <x:c r="F1185" s="69" t="str">
        <x:v>size_explicit_largest_crushed_Pepsi_can</x:v>
      </x:c>
      <x:c r="G1185" s="69" t="str">
        <x:v>largest green block; smallest juggling ball</x:v>
      </x:c>
      <x:c r="H1185" s="69" t="str">
        <x:v>No</x:v>
      </x:c>
      <x:c r="I1185" s="69" t="str"/>
      <x:c r="J1185" s="69" t="str">
        <x:v>green block, crushed Pepsi can</x:v>
      </x:c>
      <x:c r="K1185" s="69" t="str">
        <x:v>crushed Pepsi can</x:v>
      </x:c>
      <x:c r="L1185" s="69" t="str">
        <x:v>Home</x:v>
      </x:c>
      <x:c r="M1185" s="69" t="str">
        <x:v>Put the largest object in the bowl.</x:v>
      </x:c>
      <x:c r="N1185" s="69" t="str">
        <x:v>green block, crushed Pepsi can</x:v>
      </x:c>
      <x:c r="O1185" s="69" t="str">
        <x:v>crushed Pepsi can</x:v>
      </x:c>
      <x:c r="P1185" s="70" t="str">
        <x:v>Explicitly grounds smallest/largest in a trained object-role combination.</x:v>
      </x:c>
    </x:row>
    <x:row r="1186" ht="58" customHeight="1">
      <x:c r="A1186" s="100" t="n">
        <x:v>1184</x:v>
      </x:c>
      <x:c r="B1186" s="69" t="str">
        <x:v>Size Recognition</x:v>
      </x:c>
      <x:c r="C1186" s="69" t="str">
        <x:v>Put the largest object in the bowl.</x:v>
      </x:c>
      <x:c r="D1186" s="69" t="str">
        <x:v>Explicit size grounding</x:v>
      </x:c>
      <x:c r="E1186" s="69" t="str">
        <x:v>largest</x:v>
      </x:c>
      <x:c r="F1186" s="69" t="str">
        <x:v>size_explicit_largest_crushed_Pepsi_can</x:v>
      </x:c>
      <x:c r="G1186" s="69" t="str">
        <x:v>largest green block; smallest juggling ball</x:v>
      </x:c>
      <x:c r="H1186" s="69" t="str">
        <x:v>No</x:v>
      </x:c>
      <x:c r="I1186" s="69" t="str"/>
      <x:c r="J1186" s="69" t="str">
        <x:v>green block, crushed Pepsi can</x:v>
      </x:c>
      <x:c r="K1186" s="69" t="str">
        <x:v>crushed Pepsi can</x:v>
      </x:c>
      <x:c r="L1186" s="69" t="str">
        <x:v>Home</x:v>
      </x:c>
      <x:c r="M1186" s="69" t="str">
        <x:v>Put the largest object in the bowl.</x:v>
      </x:c>
      <x:c r="N1186" s="69" t="str">
        <x:v>green block, crushed Pepsi can</x:v>
      </x:c>
      <x:c r="O1186" s="69" t="str">
        <x:v>crushed Pepsi can</x:v>
      </x:c>
      <x:c r="P1186" s="70" t="str">
        <x:v>Explicitly grounds smallest/largest in a trained object-role combination.</x:v>
      </x:c>
    </x:row>
    <x:row r="1187" ht="58" customHeight="1">
      <x:c r="A1187" s="100" t="n">
        <x:v>1185</x:v>
      </x:c>
      <x:c r="B1187" s="69" t="str">
        <x:v>Size Recognition</x:v>
      </x:c>
      <x:c r="C1187" s="69" t="str">
        <x:v>Put the largest object in the bowl.</x:v>
      </x:c>
      <x:c r="D1187" s="69" t="str">
        <x:v>Explicit size grounding</x:v>
      </x:c>
      <x:c r="E1187" s="69" t="str">
        <x:v>largest</x:v>
      </x:c>
      <x:c r="F1187" s="69" t="str">
        <x:v>size_explicit_largest_crushed_Pepsi_can</x:v>
      </x:c>
      <x:c r="G1187" s="69" t="str">
        <x:v>largest green block; smallest juggling ball</x:v>
      </x:c>
      <x:c r="H1187" s="69" t="str">
        <x:v>No</x:v>
      </x:c>
      <x:c r="I1187" s="69" t="str"/>
      <x:c r="J1187" s="69" t="str">
        <x:v>green block, crushed Pepsi can</x:v>
      </x:c>
      <x:c r="K1187" s="69" t="str">
        <x:v>crushed Pepsi can</x:v>
      </x:c>
      <x:c r="L1187" s="69" t="str">
        <x:v>Home</x:v>
      </x:c>
      <x:c r="M1187" s="69" t="str">
        <x:v>Put the largest object in the bowl.</x:v>
      </x:c>
      <x:c r="N1187" s="69" t="str">
        <x:v>green block, crushed Pepsi can</x:v>
      </x:c>
      <x:c r="O1187" s="69" t="str">
        <x:v>crushed Pepsi can</x:v>
      </x:c>
      <x:c r="P1187" s="70" t="str">
        <x:v>Explicitly grounds smallest/largest in a trained object-role combination.</x:v>
      </x:c>
    </x:row>
    <x:row r="1188" ht="58" customHeight="1">
      <x:c r="A1188" s="100" t="n">
        <x:v>1186</x:v>
      </x:c>
      <x:c r="B1188" s="69" t="str">
        <x:v>Size Recognition</x:v>
      </x:c>
      <x:c r="C1188" s="69" t="str">
        <x:v>Pick up the largest item and place it in the bowl.</x:v>
      </x:c>
      <x:c r="D1188" s="69" t="str">
        <x:v>Explicit size grounding</x:v>
      </x:c>
      <x:c r="E1188" s="69" t="str">
        <x:v>largest</x:v>
      </x:c>
      <x:c r="F1188" s="69" t="str">
        <x:v>size_explicit_largest_crushed_Pepsi_can</x:v>
      </x:c>
      <x:c r="G1188" s="69" t="str">
        <x:v>largest green block; smallest juggling ball</x:v>
      </x:c>
      <x:c r="H1188" s="69" t="str">
        <x:v>No</x:v>
      </x:c>
      <x:c r="I1188" s="69" t="str"/>
      <x:c r="J1188" s="69" t="str">
        <x:v>green block, crushed Pepsi can</x:v>
      </x:c>
      <x:c r="K1188" s="69" t="str">
        <x:v>crushed Pepsi can</x:v>
      </x:c>
      <x:c r="L1188" s="69" t="str">
        <x:v>Home</x:v>
      </x:c>
      <x:c r="M1188" s="69" t="str">
        <x:v>Pick up the largest item and place it in the bowl.</x:v>
      </x:c>
      <x:c r="N1188" s="69" t="str">
        <x:v>green block, crushed Pepsi can</x:v>
      </x:c>
      <x:c r="O1188" s="69" t="str">
        <x:v>crushed Pepsi can</x:v>
      </x:c>
      <x:c r="P1188" s="70" t="str">
        <x:v>Explicitly grounds smallest/largest in a trained object-role combination.</x:v>
      </x:c>
    </x:row>
    <x:row r="1189" ht="58" customHeight="1">
      <x:c r="A1189" s="100" t="n">
        <x:v>1187</x:v>
      </x:c>
      <x:c r="B1189" s="69" t="str">
        <x:v>Size Recognition</x:v>
      </x:c>
      <x:c r="C1189" s="69" t="str">
        <x:v>Pick up the largest item and place it in the bowl.</x:v>
      </x:c>
      <x:c r="D1189" s="69" t="str">
        <x:v>Explicit size grounding</x:v>
      </x:c>
      <x:c r="E1189" s="69" t="str">
        <x:v>largest</x:v>
      </x:c>
      <x:c r="F1189" s="69" t="str">
        <x:v>size_explicit_largest_crushed_Pepsi_can</x:v>
      </x:c>
      <x:c r="G1189" s="69" t="str">
        <x:v>largest green block; smallest juggling ball</x:v>
      </x:c>
      <x:c r="H1189" s="69" t="str">
        <x:v>No</x:v>
      </x:c>
      <x:c r="I1189" s="69" t="str"/>
      <x:c r="J1189" s="69" t="str">
        <x:v>green block, crushed Pepsi can</x:v>
      </x:c>
      <x:c r="K1189" s="69" t="str">
        <x:v>crushed Pepsi can</x:v>
      </x:c>
      <x:c r="L1189" s="69" t="str">
        <x:v>Home</x:v>
      </x:c>
      <x:c r="M1189" s="69" t="str">
        <x:v>Pick up the largest item and place it in the bowl.</x:v>
      </x:c>
      <x:c r="N1189" s="69" t="str">
        <x:v>green block, crushed Pepsi can</x:v>
      </x:c>
      <x:c r="O1189" s="69" t="str">
        <x:v>crushed Pepsi can</x:v>
      </x:c>
      <x:c r="P1189" s="70" t="str">
        <x:v>Explicitly grounds smallest/largest in a trained object-role combination.</x:v>
      </x:c>
    </x:row>
    <x:row r="1190" ht="58" customHeight="1">
      <x:c r="A1190" s="100" t="n">
        <x:v>1188</x:v>
      </x:c>
      <x:c r="B1190" s="69" t="str">
        <x:v>Size Recognition</x:v>
      </x:c>
      <x:c r="C1190" s="69" t="str">
        <x:v>Move the object that is largest into the bowl.</x:v>
      </x:c>
      <x:c r="D1190" s="69" t="str">
        <x:v>Explicit size grounding</x:v>
      </x:c>
      <x:c r="E1190" s="69" t="str">
        <x:v>largest</x:v>
      </x:c>
      <x:c r="F1190" s="69" t="str">
        <x:v>size_explicit_largest_crushed_Pepsi_can</x:v>
      </x:c>
      <x:c r="G1190" s="69" t="str">
        <x:v>largest green block; smallest juggling ball</x:v>
      </x:c>
      <x:c r="H1190" s="69" t="str">
        <x:v>No</x:v>
      </x:c>
      <x:c r="I1190" s="69" t="str"/>
      <x:c r="J1190" s="69" t="str">
        <x:v>green block, crushed Pepsi can</x:v>
      </x:c>
      <x:c r="K1190" s="69" t="str">
        <x:v>crushed Pepsi can</x:v>
      </x:c>
      <x:c r="L1190" s="69" t="str">
        <x:v>Home</x:v>
      </x:c>
      <x:c r="M1190" s="69" t="str">
        <x:v>Move the object that is largest into the bowl.</x:v>
      </x:c>
      <x:c r="N1190" s="69" t="str">
        <x:v>green block, crushed Pepsi can</x:v>
      </x:c>
      <x:c r="O1190" s="69" t="str">
        <x:v>crushed Pepsi can</x:v>
      </x:c>
      <x:c r="P1190" s="70" t="str">
        <x:v>Explicitly grounds smallest/largest in a trained object-role combination.</x:v>
      </x:c>
    </x:row>
    <x:row r="1191" ht="58" customHeight="1">
      <x:c r="A1191" s="100" t="n">
        <x:v>1189</x:v>
      </x:c>
      <x:c r="B1191" s="69" t="str">
        <x:v>Size Recognition</x:v>
      </x:c>
      <x:c r="C1191" s="69" t="str">
        <x:v>Put the largest object in the bowl.</x:v>
      </x:c>
      <x:c r="D1191" s="69" t="str">
        <x:v>Explicit size grounding</x:v>
      </x:c>
      <x:c r="E1191" s="69" t="str">
        <x:v>largest</x:v>
      </x:c>
      <x:c r="F1191" s="69" t="str">
        <x:v>size_explicit_largest_crushed_Pepsi_can</x:v>
      </x:c>
      <x:c r="G1191" s="69" t="str">
        <x:v>largest green block; smallest juggling ball</x:v>
      </x:c>
      <x:c r="H1191" s="69" t="str">
        <x:v>No</x:v>
      </x:c>
      <x:c r="I1191" s="69" t="str"/>
      <x:c r="J1191" s="69" t="str">
        <x:v>green block, crushed Pepsi can</x:v>
      </x:c>
      <x:c r="K1191" s="69" t="str">
        <x:v>crushed Pepsi can</x:v>
      </x:c>
      <x:c r="L1191" s="69" t="str">
        <x:v>Home</x:v>
      </x:c>
      <x:c r="M1191" s="69" t="str">
        <x:v>Put the largest object in the bowl.</x:v>
      </x:c>
      <x:c r="N1191" s="69" t="str">
        <x:v>green block, crushed Pepsi can</x:v>
      </x:c>
      <x:c r="O1191" s="69" t="str">
        <x:v>crushed Pepsi can</x:v>
      </x:c>
      <x:c r="P1191" s="70" t="str">
        <x:v>Explicitly grounds smallest/largest in a trained object-role combination.</x:v>
      </x:c>
    </x:row>
    <x:row r="1192" ht="58" customHeight="1">
      <x:c r="A1192" s="100" t="n">
        <x:v>1190</x:v>
      </x:c>
      <x:c r="B1192" s="69" t="str">
        <x:v>Size Recognition</x:v>
      </x:c>
      <x:c r="C1192" s="69" t="str">
        <x:v>Pick up the largest item and place it in the bowl.</x:v>
      </x:c>
      <x:c r="D1192" s="69" t="str">
        <x:v>Explicit size grounding</x:v>
      </x:c>
      <x:c r="E1192" s="69" t="str">
        <x:v>largest</x:v>
      </x:c>
      <x:c r="F1192" s="69" t="str">
        <x:v>size_explicit_largest_crushed_Pepsi_can</x:v>
      </x:c>
      <x:c r="G1192" s="69" t="str">
        <x:v>largest green block; smallest juggling ball</x:v>
      </x:c>
      <x:c r="H1192" s="69" t="str">
        <x:v>No</x:v>
      </x:c>
      <x:c r="I1192" s="69" t="str"/>
      <x:c r="J1192" s="69" t="str">
        <x:v>green block, crushed Pepsi can</x:v>
      </x:c>
      <x:c r="K1192" s="69" t="str">
        <x:v>crushed Pepsi can</x:v>
      </x:c>
      <x:c r="L1192" s="69" t="str">
        <x:v>Home</x:v>
      </x:c>
      <x:c r="M1192" s="69" t="str">
        <x:v>Pick up the largest item and place it in the bowl.</x:v>
      </x:c>
      <x:c r="N1192" s="69" t="str">
        <x:v>green block, crushed Pepsi can</x:v>
      </x:c>
      <x:c r="O1192" s="69" t="str">
        <x:v>crushed Pepsi can</x:v>
      </x:c>
      <x:c r="P1192" s="70" t="str">
        <x:v>Explicitly grounds smallest/largest in a trained object-role combination.</x:v>
      </x:c>
    </x:row>
    <x:row r="1193" ht="58" customHeight="1">
      <x:c r="A1193" s="100" t="n">
        <x:v>1191</x:v>
      </x:c>
      <x:c r="B1193" s="69" t="str">
        <x:v>Size Recognition</x:v>
      </x:c>
      <x:c r="C1193" s="69" t="str">
        <x:v>Pick up the largest item and place it in the bowl.</x:v>
      </x:c>
      <x:c r="D1193" s="69" t="str">
        <x:v>Explicit size grounding</x:v>
      </x:c>
      <x:c r="E1193" s="69" t="str">
        <x:v>largest</x:v>
      </x:c>
      <x:c r="F1193" s="69" t="str">
        <x:v>size_explicit_largest_crushed_Pepsi_can</x:v>
      </x:c>
      <x:c r="G1193" s="69" t="str">
        <x:v>largest green block; smallest juggling ball</x:v>
      </x:c>
      <x:c r="H1193" s="69" t="str">
        <x:v>No</x:v>
      </x:c>
      <x:c r="I1193" s="69" t="str"/>
      <x:c r="J1193" s="69" t="str">
        <x:v>green block, crushed Pepsi can</x:v>
      </x:c>
      <x:c r="K1193" s="69" t="str">
        <x:v>crushed Pepsi can</x:v>
      </x:c>
      <x:c r="L1193" s="69" t="str">
        <x:v>Home</x:v>
      </x:c>
      <x:c r="M1193" s="69" t="str">
        <x:v>Pick up the largest item and place it in the bowl.</x:v>
      </x:c>
      <x:c r="N1193" s="69" t="str">
        <x:v>green block, crushed Pepsi can</x:v>
      </x:c>
      <x:c r="O1193" s="69" t="str">
        <x:v>crushed Pepsi can</x:v>
      </x:c>
      <x:c r="P1193" s="70" t="str">
        <x:v>Explicitly grounds smallest/largest in a trained object-role combination.</x:v>
      </x:c>
    </x:row>
    <x:row r="1194" ht="58" customHeight="1">
      <x:c r="A1194" s="100" t="n">
        <x:v>1192</x:v>
      </x:c>
      <x:c r="B1194" s="69" t="str">
        <x:v>Size Recognition</x:v>
      </x:c>
      <x:c r="C1194" s="69" t="str">
        <x:v>Move the object that is largest into the bowl.</x:v>
      </x:c>
      <x:c r="D1194" s="69" t="str">
        <x:v>Explicit size grounding</x:v>
      </x:c>
      <x:c r="E1194" s="69" t="str">
        <x:v>largest</x:v>
      </x:c>
      <x:c r="F1194" s="69" t="str">
        <x:v>size_explicit_largest_crushed_Pepsi_can</x:v>
      </x:c>
      <x:c r="G1194" s="69" t="str">
        <x:v>largest green block; smallest juggling ball</x:v>
      </x:c>
      <x:c r="H1194" s="69" t="str">
        <x:v>No</x:v>
      </x:c>
      <x:c r="I1194" s="69" t="str"/>
      <x:c r="J1194" s="69" t="str">
        <x:v>green block, crushed Pepsi can</x:v>
      </x:c>
      <x:c r="K1194" s="69" t="str">
        <x:v>crushed Pepsi can</x:v>
      </x:c>
      <x:c r="L1194" s="69" t="str">
        <x:v>Home</x:v>
      </x:c>
      <x:c r="M1194" s="69" t="str">
        <x:v>Move the object that is largest into the bowl.</x:v>
      </x:c>
      <x:c r="N1194" s="69" t="str">
        <x:v>green block, crushed Pepsi can</x:v>
      </x:c>
      <x:c r="O1194" s="69" t="str">
        <x:v>crushed Pepsi can</x:v>
      </x:c>
      <x:c r="P1194" s="70" t="str">
        <x:v>Explicitly grounds smallest/largest in a trained object-role combination.</x:v>
      </x:c>
    </x:row>
    <x:row r="1195" ht="58" customHeight="1">
      <x:c r="A1195" s="100" t="n">
        <x:v>1193</x:v>
      </x:c>
      <x:c r="B1195" s="69" t="str">
        <x:v>Size Recognition</x:v>
      </x:c>
      <x:c r="C1195" s="69" t="str">
        <x:v>Pick up the largest item and place it in the bowl.</x:v>
      </x:c>
      <x:c r="D1195" s="69" t="str">
        <x:v>Explicit size grounding</x:v>
      </x:c>
      <x:c r="E1195" s="69" t="str">
        <x:v>largest</x:v>
      </x:c>
      <x:c r="F1195" s="69" t="str">
        <x:v>size_explicit_largest_crushed_Pepsi_can</x:v>
      </x:c>
      <x:c r="G1195" s="69" t="str">
        <x:v>largest green block; smallest juggling ball</x:v>
      </x:c>
      <x:c r="H1195" s="69" t="str">
        <x:v>No</x:v>
      </x:c>
      <x:c r="I1195" s="69" t="str"/>
      <x:c r="J1195" s="69" t="str">
        <x:v>green block, crushed Pepsi can</x:v>
      </x:c>
      <x:c r="K1195" s="69" t="str">
        <x:v>crushed Pepsi can</x:v>
      </x:c>
      <x:c r="L1195" s="69" t="str">
        <x:v>Home</x:v>
      </x:c>
      <x:c r="M1195" s="69" t="str">
        <x:v>Pick up the largest item and place it in the bowl.</x:v>
      </x:c>
      <x:c r="N1195" s="69" t="str">
        <x:v>green block, crushed Pepsi can</x:v>
      </x:c>
      <x:c r="O1195" s="69" t="str">
        <x:v>crushed Pepsi can</x:v>
      </x:c>
      <x:c r="P1195" s="70" t="str">
        <x:v>Explicitly grounds smallest/largest in a trained object-role combination.</x:v>
      </x:c>
    </x:row>
    <x:row r="1196" ht="58" customHeight="1">
      <x:c r="A1196" s="100" t="n">
        <x:v>1194</x:v>
      </x:c>
      <x:c r="B1196" s="69" t="str">
        <x:v>Size Recognition</x:v>
      </x:c>
      <x:c r="C1196" s="69" t="str">
        <x:v>Move the object that is largest into the bowl.</x:v>
      </x:c>
      <x:c r="D1196" s="69" t="str">
        <x:v>Explicit size grounding</x:v>
      </x:c>
      <x:c r="E1196" s="69" t="str">
        <x:v>largest</x:v>
      </x:c>
      <x:c r="F1196" s="69" t="str">
        <x:v>size_explicit_largest_crushed_Pepsi_can</x:v>
      </x:c>
      <x:c r="G1196" s="69" t="str">
        <x:v>largest green block; smallest juggling ball</x:v>
      </x:c>
      <x:c r="H1196" s="69" t="str">
        <x:v>No</x:v>
      </x:c>
      <x:c r="I1196" s="69" t="str"/>
      <x:c r="J1196" s="69" t="str">
        <x:v>green block, crushed Pepsi can</x:v>
      </x:c>
      <x:c r="K1196" s="69" t="str">
        <x:v>crushed Pepsi can</x:v>
      </x:c>
      <x:c r="L1196" s="69" t="str">
        <x:v>Home</x:v>
      </x:c>
      <x:c r="M1196" s="69" t="str">
        <x:v>Move the object that is largest into the bowl.</x:v>
      </x:c>
      <x:c r="N1196" s="69" t="str">
        <x:v>green block, crushed Pepsi can</x:v>
      </x:c>
      <x:c r="O1196" s="69" t="str">
        <x:v>crushed Pepsi can</x:v>
      </x:c>
      <x:c r="P1196" s="70" t="str">
        <x:v>Explicitly grounds smallest/largest in a trained object-role combination.</x:v>
      </x:c>
    </x:row>
    <x:row r="1197" ht="58" customHeight="1">
      <x:c r="A1197" s="100" t="n">
        <x:v>1195</x:v>
      </x:c>
      <x:c r="B1197" s="69" t="str">
        <x:v>Size Recognition</x:v>
      </x:c>
      <x:c r="C1197" s="69" t="str">
        <x:v>Move the object that is largest into the bowl.</x:v>
      </x:c>
      <x:c r="D1197" s="69" t="str">
        <x:v>Explicit size grounding</x:v>
      </x:c>
      <x:c r="E1197" s="69" t="str">
        <x:v>largest</x:v>
      </x:c>
      <x:c r="F1197" s="69" t="str">
        <x:v>size_explicit_largest_crushed_Pepsi_can</x:v>
      </x:c>
      <x:c r="G1197" s="69" t="str">
        <x:v>largest green block; smallest juggling ball</x:v>
      </x:c>
      <x:c r="H1197" s="69" t="str">
        <x:v>No</x:v>
      </x:c>
      <x:c r="I1197" s="69" t="str"/>
      <x:c r="J1197" s="69" t="str">
        <x:v>green block, crushed Pepsi can</x:v>
      </x:c>
      <x:c r="K1197" s="69" t="str">
        <x:v>crushed Pepsi can</x:v>
      </x:c>
      <x:c r="L1197" s="69" t="str">
        <x:v>Home</x:v>
      </x:c>
      <x:c r="M1197" s="69" t="str">
        <x:v>Move the object that is largest into the bowl.</x:v>
      </x:c>
      <x:c r="N1197" s="69" t="str">
        <x:v>green block, crushed Pepsi can</x:v>
      </x:c>
      <x:c r="O1197" s="69" t="str">
        <x:v>crushed Pepsi can</x:v>
      </x:c>
      <x:c r="P1197" s="70" t="str">
        <x:v>Explicitly grounds smallest/largest in a trained object-role combination.</x:v>
      </x:c>
    </x:row>
    <x:row r="1198" ht="58" customHeight="1">
      <x:c r="A1198" s="100" t="n">
        <x:v>1196</x:v>
      </x:c>
      <x:c r="B1198" s="69" t="str">
        <x:v>Size Recognition</x:v>
      </x:c>
      <x:c r="C1198" s="69" t="str">
        <x:v>Move the object that is largest into the bowl.</x:v>
      </x:c>
      <x:c r="D1198" s="69" t="str">
        <x:v>Explicit size grounding</x:v>
      </x:c>
      <x:c r="E1198" s="69" t="str">
        <x:v>largest</x:v>
      </x:c>
      <x:c r="F1198" s="69" t="str">
        <x:v>size_explicit_largest_crushed_Pepsi_can</x:v>
      </x:c>
      <x:c r="G1198" s="69" t="str">
        <x:v>largest green block; smallest juggling ball</x:v>
      </x:c>
      <x:c r="H1198" s="69" t="str">
        <x:v>No</x:v>
      </x:c>
      <x:c r="I1198" s="69" t="str"/>
      <x:c r="J1198" s="69" t="str">
        <x:v>green block, crushed Pepsi can</x:v>
      </x:c>
      <x:c r="K1198" s="69" t="str">
        <x:v>crushed Pepsi can</x:v>
      </x:c>
      <x:c r="L1198" s="69" t="str">
        <x:v>Recovery</x:v>
      </x:c>
      <x:c r="M1198" s="69" t="str">
        <x:v>Move the object that is largest into the bowl.</x:v>
      </x:c>
      <x:c r="N1198" s="69" t="str">
        <x:v>green block, crushed Pepsi can</x:v>
      </x:c>
      <x:c r="O1198" s="69" t="str">
        <x:v>crushed Pepsi can</x:v>
      </x:c>
      <x:c r="P1198" s="70" t="str">
        <x:v>Explicitly grounds smallest/largest in a trained object-role combination.</x:v>
      </x:c>
    </x:row>
    <x:row r="1199" ht="58" customHeight="1">
      <x:c r="A1199" s="100" t="n">
        <x:v>1197</x:v>
      </x:c>
      <x:c r="B1199" s="69" t="str">
        <x:v>Size Recognition</x:v>
      </x:c>
      <x:c r="C1199" s="69" t="str">
        <x:v>Move the object that is largest into the bowl.</x:v>
      </x:c>
      <x:c r="D1199" s="69" t="str">
        <x:v>Explicit size grounding</x:v>
      </x:c>
      <x:c r="E1199" s="69" t="str">
        <x:v>largest</x:v>
      </x:c>
      <x:c r="F1199" s="69" t="str">
        <x:v>size_explicit_largest_crushed_Pepsi_can</x:v>
      </x:c>
      <x:c r="G1199" s="69" t="str">
        <x:v>largest green block; smallest juggling ball</x:v>
      </x:c>
      <x:c r="H1199" s="69" t="str">
        <x:v>No</x:v>
      </x:c>
      <x:c r="I1199" s="69" t="str"/>
      <x:c r="J1199" s="69" t="str">
        <x:v>green block, crushed Pepsi can</x:v>
      </x:c>
      <x:c r="K1199" s="69" t="str">
        <x:v>crushed Pepsi can</x:v>
      </x:c>
      <x:c r="L1199" s="69" t="str">
        <x:v>Recovery</x:v>
      </x:c>
      <x:c r="M1199" s="69" t="str">
        <x:v>Move the object that is largest into the bowl.</x:v>
      </x:c>
      <x:c r="N1199" s="69" t="str">
        <x:v>green block, crushed Pepsi can</x:v>
      </x:c>
      <x:c r="O1199" s="69" t="str">
        <x:v>crushed Pepsi can</x:v>
      </x:c>
      <x:c r="P1199" s="70" t="str">
        <x:v>Explicitly grounds smallest/largest in a trained object-role combination.</x:v>
      </x:c>
    </x:row>
    <x:row r="1200" ht="58" customHeight="1">
      <x:c r="A1200" s="100" t="n">
        <x:v>1198</x:v>
      </x:c>
      <x:c r="B1200" s="69" t="str">
        <x:v>Size Recognition</x:v>
      </x:c>
      <x:c r="C1200" s="69" t="str">
        <x:v>Move the object that is largest into the bowl.</x:v>
      </x:c>
      <x:c r="D1200" s="69" t="str">
        <x:v>Explicit size grounding</x:v>
      </x:c>
      <x:c r="E1200" s="69" t="str">
        <x:v>largest</x:v>
      </x:c>
      <x:c r="F1200" s="69" t="str">
        <x:v>size_explicit_largest_crushed_Pepsi_can</x:v>
      </x:c>
      <x:c r="G1200" s="69" t="str">
        <x:v>largest green block; smallest juggling ball</x:v>
      </x:c>
      <x:c r="H1200" s="69" t="str">
        <x:v>No</x:v>
      </x:c>
      <x:c r="I1200" s="69" t="str"/>
      <x:c r="J1200" s="69" t="str">
        <x:v>green block, crushed Pepsi can</x:v>
      </x:c>
      <x:c r="K1200" s="69" t="str">
        <x:v>crushed Pepsi can</x:v>
      </x:c>
      <x:c r="L1200" s="69" t="str">
        <x:v>Recovery</x:v>
      </x:c>
      <x:c r="M1200" s="69" t="str">
        <x:v>Move the object that is largest into the bowl.</x:v>
      </x:c>
      <x:c r="N1200" s="69" t="str">
        <x:v>green block, crushed Pepsi can</x:v>
      </x:c>
      <x:c r="O1200" s="69" t="str">
        <x:v>crushed Pepsi can</x:v>
      </x:c>
      <x:c r="P1200" s="70" t="str">
        <x:v>Explicitly grounds smallest/largest in a trained object-role combination.</x:v>
      </x:c>
    </x:row>
    <x:row r="1201" ht="58" customHeight="1">
      <x:c r="A1201" s="101" t="n">
        <x:v>1199</x:v>
      </x:c>
      <x:c r="B1201" s="72" t="str">
        <x:v>Size Recognition</x:v>
      </x:c>
      <x:c r="C1201" s="72" t="str">
        <x:v>Put the largest object in the bowl.</x:v>
      </x:c>
      <x:c r="D1201" s="72" t="str">
        <x:v>Explicit size grounding</x:v>
      </x:c>
      <x:c r="E1201" s="72" t="str">
        <x:v>largest</x:v>
      </x:c>
      <x:c r="F1201" s="72" t="str">
        <x:v>size_explicit_largest_crushed_Pepsi_can</x:v>
      </x:c>
      <x:c r="G1201" s="72" t="str">
        <x:v>largest green block; smallest juggling ball</x:v>
      </x:c>
      <x:c r="H1201" s="72" t="str">
        <x:v>No</x:v>
      </x:c>
      <x:c r="I1201" s="72" t="str"/>
      <x:c r="J1201" s="72" t="str">
        <x:v>green block, crushed Pepsi can</x:v>
      </x:c>
      <x:c r="K1201" s="72" t="str">
        <x:v>crushed Pepsi can</x:v>
      </x:c>
      <x:c r="L1201" s="72" t="str">
        <x:v>Recovery</x:v>
      </x:c>
      <x:c r="M1201" s="72" t="str">
        <x:v>Put the largest object in the bowl.</x:v>
      </x:c>
      <x:c r="N1201" s="72" t="str">
        <x:v>green block, crushed Pepsi can</x:v>
      </x:c>
      <x:c r="O1201" s="72" t="str">
        <x:v>crushed Pepsi can</x:v>
      </x:c>
      <x:c r="P1201" s="73" t="str">
        <x:v>Explicitly grounds smallest/largest in a trained object-role combination.</x:v>
      </x:c>
    </x:row>
  </x:sheetData>
  <x:conditionalFormatting sqref="H2:H1201">
    <x:cfRule type="cellIs" dxfId="0" priority="1">
      <x:formula>"Yes"</x:formula>
    </x:cfRule>
    <x:cfRule type="cellIs" dxfId="1" priority="2">
      <x:formula>"No"</x:formula>
    </x:cfRule>
  </x:conditionalFormatting>
  <x:pageMargins left="0.7" right="0.7" top="0.75" bottom="0.75" header="0.3" footer="0.3"/>
  <x:tableParts count="1">
    <x:tablePart xmlns:r="http://schemas.openxmlformats.org/officeDocument/2006/relationships" r:id="R2d41edb67ce54a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5" hidden="0" customWidth="1"/>
    <x:col min="4" max="4" width="24" hidden="0" customWidth="1"/>
    <x:col min="5" max="5" width="44" hidden="0" customWidth="1"/>
    <x:col min="6" max="6" width="72" hidden="0" customWidth="1"/>
    <x:col min="7" max="7" width="28" hidden="0" customWidth="1"/>
    <x:col min="8" max="8" width="12" hidden="0" customWidth="1"/>
    <x:col min="9" max="9" width="30" hidden="0" customWidth="1"/>
    <x:col min="10" max="10" width="42" hidden="0" customWidth="1"/>
  </x:cols>
  <x:sheetData>
    <x:row r="1">
      <x:c r="A1" s="64" t="str">
        <x:v>Status</x:v>
      </x:c>
      <x:c r="B1" s="64" t="str">
        <x:v>Recording Episode</x:v>
      </x:c>
      <x:c r="C1" s="64" t="str">
        <x:v>Dataset Episode</x:v>
      </x:c>
      <x:c r="D1" s="64" t="str">
        <x:v>Task</x:v>
      </x:c>
      <x:c r="E1" s="64" t="str">
        <x:v>Prompt</x:v>
      </x:c>
      <x:c r="F1" s="64" t="str">
        <x:v>Scene Setup</x:v>
      </x:c>
      <x:c r="G1" s="64" t="str">
        <x:v>Target</x:v>
      </x:c>
      <x:c r="H1" s="64" t="str">
        <x:v>Start</x:v>
      </x:c>
      <x:c r="I1" s="64" t="str">
        <x:v>Reason</x:v>
      </x:c>
      <x:c r="J1" s="64" t="str">
        <x:v>Original Episode Prompt</x:v>
      </x:c>
    </x:row>
    <x:row r="2" ht="64" customHeight="1">
      <x:c r="A2" s="65" t="str">
        <x:v>Not collected</x:v>
      </x:c>
      <x:c r="B2" s="66" t="n">
        <x:v>0</x:v>
      </x:c>
      <x:c r="C2" s="66" t="n">
        <x:v>415</x:v>
      </x:c>
      <x:c r="D2" s="66" t="str">
        <x:v>Referential Disambiguation</x:v>
      </x:c>
      <x:c r="E2" s="66" t="str">
        <x:v>Pick up the crushed soda can furthest from the yellow pen and place it in the bowl.</x:v>
      </x:c>
      <x:c r="F2" s="66" t="str">
        <x:v>P1 yellow pen at table centre [REFERENCE]; P2 crushed Coke can with 6 cm edge gap to the left of P1 [CLOSE CANDIDATE]; P3 crushed Pepsi can with 20 cm edge gap to the right of P1 [FAR TARGET]</x:v>
      </x:c>
      <x:c r="G2" s="66" t="str">
        <x:v>crushed Pepsi can</x:v>
      </x:c>
      <x:c r="H2" s="66" t="str">
        <x:v>Home</x:v>
      </x:c>
      <x:c r="I2" s="66" t="str">
        <x:v>recollect referential scene</x:v>
      </x:c>
      <x:c r="J2" s="67" t="str">
        <x:v>Move the crushed Pepsi can into the bowl.</x:v>
      </x:c>
    </x:row>
    <x:row r="3" ht="64" customHeight="1">
      <x:c r="A3" s="68" t="str">
        <x:v>Not collected</x:v>
      </x:c>
      <x:c r="B3" s="69" t="n">
        <x:v>1</x:v>
      </x:c>
      <x:c r="C3" s="69" t="n">
        <x:v>416</x:v>
      </x:c>
      <x:c r="D3" s="69" t="str">
        <x:v>Referential Disambiguation</x:v>
      </x:c>
      <x:c r="E3" s="69" t="str">
        <x:v>Move the crushed soda can furthest from the airplane toy without propellers into the bowl.</x:v>
      </x:c>
      <x:c r="F3" s="69" t="str">
        <x:v>P1 airplane toy without propellers at table centre [REFERENCE]; P2 crushed Pepsi can with 6 cm edge gap to the right of P1 [CLOSE CANDIDATE]; P3 crushed Coke can with 20 cm edge gap to the left of P1 [FAR TARGET]; P4 pink marker 14 cm from P1 [DISTRACTOR]</x:v>
      </x:c>
      <x:c r="G3" s="69" t="str">
        <x:v>crushed Coke can</x:v>
      </x:c>
      <x:c r="H3" s="69" t="str">
        <x:v>Home</x:v>
      </x:c>
      <x:c r="I3" s="69" t="str">
        <x:v>recollect referential scene</x:v>
      </x:c>
      <x:c r="J3" s="70" t="str">
        <x:v>Put the crushed Coke can in the bowl.</x:v>
      </x:c>
    </x:row>
    <x:row r="4" ht="64" customHeight="1">
      <x:c r="A4" s="68" t="str">
        <x:v>Not collected</x:v>
      </x:c>
      <x:c r="B4" s="69" t="n">
        <x:v>2</x:v>
      </x:c>
      <x:c r="C4" s="69" t="n">
        <x:v>417</x:v>
      </x:c>
      <x:c r="D4" s="69" t="str">
        <x:v>Referential Disambiguation</x:v>
      </x:c>
      <x:c r="E4" s="69" t="str">
        <x:v>Put the crushed soda can furthest from the yellow pen in the bowl.</x:v>
      </x:c>
      <x:c r="F4" s="69" t="str">
        <x:v>P1 yellow pen at table centre [REFERENCE]; P2 crushed Coke can with 6 cm edge gap in front of P1 [CLOSE CANDIDATE]; P3 crushed Pepsi can with 20 cm edge gap behind P1 [FAR TARGET]</x:v>
      </x:c>
      <x:c r="G4" s="69" t="str">
        <x:v>crushed Pepsi can</x:v>
      </x:c>
      <x:c r="H4" s="69" t="str">
        <x:v>Home</x:v>
      </x:c>
      <x:c r="I4" s="69" t="str">
        <x:v>recollect referential scene</x:v>
      </x:c>
      <x:c r="J4" s="70" t="str">
        <x:v>Pick up the crushed Pepsi can and place it in the bowl.</x:v>
      </x:c>
    </x:row>
    <x:row r="5" ht="64" customHeight="1">
      <x:c r="A5" s="68" t="str">
        <x:v>Not collected</x:v>
      </x:c>
      <x:c r="B5" s="69" t="n">
        <x:v>3</x:v>
      </x:c>
      <x:c r="C5" s="69" t="n">
        <x:v>418</x:v>
      </x:c>
      <x:c r="D5" s="69" t="str">
        <x:v>Referential Disambiguation</x:v>
      </x:c>
      <x:c r="E5" s="69" t="str">
        <x:v>Pick up the crushed soda can furthest from the airplane toy without propellers and place it in the bowl.</x:v>
      </x:c>
      <x:c r="F5" s="69" t="str">
        <x:v>P1 airplane toy without propellers at table centre [REFERENCE]; P2 crushed Pepsi can with 6 cm edge gap behind P1 [CLOSE CANDIDATE]; P3 crushed Coke can with 20 cm edge gap in front of P1 [FAR TARGET]; P4 juggling ball 14 cm from P1 [DISTRACTOR]</x:v>
      </x:c>
      <x:c r="G5" s="69" t="str">
        <x:v>crushed Coke can</x:v>
      </x:c>
      <x:c r="H5" s="69" t="str">
        <x:v>Recovery</x:v>
      </x:c>
      <x:c r="I5" s="69" t="str">
        <x:v>recollect referential scene</x:v>
      </x:c>
      <x:c r="J5" s="70" t="str">
        <x:v>Put the crushed Coke can in the bowl.</x:v>
      </x:c>
    </x:row>
    <x:row r="6" ht="64" customHeight="1">
      <x:c r="A6" s="68" t="str">
        <x:v>Not collected</x:v>
      </x:c>
      <x:c r="B6" s="69" t="n">
        <x:v>4</x:v>
      </x:c>
      <x:c r="C6" s="69" t="n">
        <x:v>419</x:v>
      </x:c>
      <x:c r="D6" s="69" t="str">
        <x:v>Referential Disambiguation</x:v>
      </x:c>
      <x:c r="E6" s="69" t="str">
        <x:v>Move the crushed soda can furthest from the yellow pen into the bowl.</x:v>
      </x:c>
      <x:c r="F6" s="69" t="str">
        <x:v>P1 yellow pen at table centre [REFERENCE]; P2 crushed Coke can with 6 cm edge gap to the left of P1 [CLOSE CANDIDATE]; P3 crushed Pepsi can with 20 cm edge gap to the right of P1 [FAR TARGET]</x:v>
      </x:c>
      <x:c r="G6" s="69" t="str">
        <x:v>crushed Pepsi can</x:v>
      </x:c>
      <x:c r="H6" s="69" t="str">
        <x:v>Home</x:v>
      </x:c>
      <x:c r="I6" s="69" t="str">
        <x:v>recollect referential scene</x:v>
      </x:c>
      <x:c r="J6" s="70" t="str">
        <x:v>Put the crushed Pepsi can in the bowl.</x:v>
      </x:c>
    </x:row>
    <x:row r="7" ht="64" customHeight="1">
      <x:c r="A7" s="68" t="str">
        <x:v>Not collected</x:v>
      </x:c>
      <x:c r="B7" s="69" t="n">
        <x:v>5</x:v>
      </x:c>
      <x:c r="C7" s="69" t="n">
        <x:v>420</x:v>
      </x:c>
      <x:c r="D7" s="69" t="str">
        <x:v>Referential Disambiguation</x:v>
      </x:c>
      <x:c r="E7" s="69" t="str">
        <x:v>Put the crushed soda can furthest from the airplane toy without propellers in the bowl.</x:v>
      </x:c>
      <x:c r="F7" s="69" t="str">
        <x:v>P1 airplane toy without propellers at table centre [REFERENCE]; P2 crushed Pepsi can with 6 cm edge gap to the right of P1 [CLOSE CANDIDATE]; P3 crushed Coke can with 20 cm edge gap to the left of P1 [FAR TARGET]; P4 pink marker 14 cm from P1 [DISTRACTOR]</x:v>
      </x:c>
      <x:c r="G7" s="69" t="str">
        <x:v>crushed Coke can</x:v>
      </x:c>
      <x:c r="H7" s="69" t="str">
        <x:v>Home</x:v>
      </x:c>
      <x:c r="I7" s="69" t="str">
        <x:v>recollect referential scene</x:v>
      </x:c>
      <x:c r="J7" s="70" t="str">
        <x:v>Move the crushed Coke can into the bowl.</x:v>
      </x:c>
    </x:row>
    <x:row r="8" ht="64" customHeight="1">
      <x:c r="A8" s="68" t="str">
        <x:v>Not collected</x:v>
      </x:c>
      <x:c r="B8" s="69" t="n">
        <x:v>6</x:v>
      </x:c>
      <x:c r="C8" s="69" t="n">
        <x:v>421</x:v>
      </x:c>
      <x:c r="D8" s="69" t="str">
        <x:v>Referential Disambiguation</x:v>
      </x:c>
      <x:c r="E8" s="69" t="str">
        <x:v>Pick up the crushed soda can furthest from the yellow pen and place it in the bowl.</x:v>
      </x:c>
      <x:c r="F8" s="69" t="str">
        <x:v>P1 yellow pen at table centre [REFERENCE]; P2 crushed Coke can with 6 cm edge gap in front of P1 [CLOSE CANDIDATE]; P3 crushed Pepsi can with 20 cm edge gap behind P1 [FAR TARGET]</x:v>
      </x:c>
      <x:c r="G8" s="69" t="str">
        <x:v>crushed Pepsi can</x:v>
      </x:c>
      <x:c r="H8" s="69" t="str">
        <x:v>Home</x:v>
      </x:c>
      <x:c r="I8" s="69" t="str">
        <x:v>recollect referential scene</x:v>
      </x:c>
      <x:c r="J8" s="70" t="str">
        <x:v>Put the crushed Pepsi can in the bowl.</x:v>
      </x:c>
    </x:row>
    <x:row r="9" ht="64" customHeight="1">
      <x:c r="A9" s="68" t="str">
        <x:v>Not collected</x:v>
      </x:c>
      <x:c r="B9" s="69" t="n">
        <x:v>7</x:v>
      </x:c>
      <x:c r="C9" s="69" t="n">
        <x:v>422</x:v>
      </x:c>
      <x:c r="D9" s="69" t="str">
        <x:v>Referential Disambiguation</x:v>
      </x:c>
      <x:c r="E9" s="69" t="str">
        <x:v>Move the crushed soda can furthest from the airplane toy without propellers into the bowl.</x:v>
      </x:c>
      <x:c r="F9" s="69" t="str">
        <x:v>P1 airplane toy without propellers at table centre [REFERENCE]; P2 crushed Pepsi can with 6 cm edge gap behind P1 [CLOSE CANDIDATE]; P3 crushed Coke can with 20 cm edge gap in front of P1 [FAR TARGET]; P4 juggling ball 14 cm from P1 [DISTRACTOR]</x:v>
      </x:c>
      <x:c r="G9" s="69" t="str">
        <x:v>crushed Coke can</x:v>
      </x:c>
      <x:c r="H9" s="69" t="str">
        <x:v>Home</x:v>
      </x:c>
      <x:c r="I9" s="69" t="str">
        <x:v>recollect referential scene</x:v>
      </x:c>
      <x:c r="J9" s="70" t="str">
        <x:v>Pick up the crushed Coke can and place it in the bowl.</x:v>
      </x:c>
    </x:row>
    <x:row r="10" ht="64" customHeight="1">
      <x:c r="A10" s="68" t="str">
        <x:v>Not collected</x:v>
      </x:c>
      <x:c r="B10" s="69" t="n">
        <x:v>8</x:v>
      </x:c>
      <x:c r="C10" s="69" t="n">
        <x:v>465</x:v>
      </x:c>
      <x:c r="D10" s="69" t="str">
        <x:v>Referential Disambiguation</x:v>
      </x:c>
      <x:c r="E10" s="69" t="str">
        <x:v>Pick up the pencil sharpener furthest from the green pen and place it in the bowl.</x:v>
      </x:c>
      <x:c r="F10" s="69" t="str">
        <x:v>P1 green pen at table centre [REFERENCE]; P2 green pencil sharpener with 6 cm edge gap to the left of P1 [CLOSE CANDIDATE]; P3 red pencil sharpener with 20 cm edge gap to the right of P1 [FAR TARGET]</x:v>
      </x:c>
      <x:c r="G10" s="69" t="str">
        <x:v>red pencil sharpener</x:v>
      </x:c>
      <x:c r="H10" s="69" t="str">
        <x:v>Home</x:v>
      </x:c>
      <x:c r="I10" s="69" t="str">
        <x:v>recollect referential scene</x:v>
      </x:c>
      <x:c r="J10" s="70" t="str">
        <x:v>Pick up the red pencil sharpener and place it in the bowl.</x:v>
      </x:c>
    </x:row>
    <x:row r="11" ht="64" customHeight="1">
      <x:c r="A11" s="68" t="str">
        <x:v>Not collected</x:v>
      </x:c>
      <x:c r="B11" s="69" t="n">
        <x:v>9</x:v>
      </x:c>
      <x:c r="C11" s="69" t="n">
        <x:v>466</x:v>
      </x:c>
      <x:c r="D11" s="69" t="str">
        <x:v>Referential Disambiguation</x:v>
      </x:c>
      <x:c r="E11" s="69" t="str">
        <x:v>Move the pencil sharpener furthest from the airplane toy with propellers into the bowl.</x:v>
      </x:c>
      <x:c r="F11" s="69" t="str">
        <x:v>P1 airplane toy with propellers at table centre [REFERENCE]; P2 red pencil sharpener with 6 cm edge gap to the right of P1 [CLOSE CANDIDATE]; P3 green pencil sharpener with 20 cm edge gap to the left of P1 [FAR TARGET]; P4 pink marker 14 cm from P1 [DISTRACTOR]</x:v>
      </x:c>
      <x:c r="G11" s="69" t="str">
        <x:v>green pencil sharpener</x:v>
      </x:c>
      <x:c r="H11" s="69" t="str">
        <x:v>Home</x:v>
      </x:c>
      <x:c r="I11" s="69" t="str">
        <x:v>recollect referential scene</x:v>
      </x:c>
      <x:c r="J11" s="70" t="str">
        <x:v>Move the green pencil sharpener into the bowl.</x:v>
      </x:c>
    </x:row>
    <x:row r="12" ht="64" customHeight="1">
      <x:c r="A12" s="68" t="str">
        <x:v>Not collected</x:v>
      </x:c>
      <x:c r="B12" s="69" t="n">
        <x:v>10</x:v>
      </x:c>
      <x:c r="C12" s="69" t="n">
        <x:v>467</x:v>
      </x:c>
      <x:c r="D12" s="69" t="str">
        <x:v>Referential Disambiguation</x:v>
      </x:c>
      <x:c r="E12" s="69" t="str">
        <x:v>Put the pencil sharpener furthest from the green pen in the bowl.</x:v>
      </x:c>
      <x:c r="F12" s="69" t="str">
        <x:v>P1 green pen at table centre [REFERENCE]; P2 green pencil sharpener with 6 cm edge gap in front of P1 [CLOSE CANDIDATE]; P3 red pencil sharpener with 20 cm edge gap behind P1 [FAR TARGET]</x:v>
      </x:c>
      <x:c r="G12" s="69" t="str">
        <x:v>red pencil sharpener</x:v>
      </x:c>
      <x:c r="H12" s="69" t="str">
        <x:v>Home</x:v>
      </x:c>
      <x:c r="I12" s="69" t="str">
        <x:v>recollect referential scene</x:v>
      </x:c>
      <x:c r="J12" s="70" t="str">
        <x:v>Move the red pencil sharpener into the bowl.</x:v>
      </x:c>
    </x:row>
    <x:row r="13" ht="64" customHeight="1">
      <x:c r="A13" s="68" t="str">
        <x:v>Not collected</x:v>
      </x:c>
      <x:c r="B13" s="69" t="n">
        <x:v>11</x:v>
      </x:c>
      <x:c r="C13" s="69" t="n">
        <x:v>468</x:v>
      </x:c>
      <x:c r="D13" s="69" t="str">
        <x:v>Referential Disambiguation</x:v>
      </x:c>
      <x:c r="E13" s="69" t="str">
        <x:v>Pick up the pencil sharpener furthest from the airplane toy with propellers and place it in the bowl.</x:v>
      </x:c>
      <x:c r="F13" s="69" t="str">
        <x:v>P1 airplane toy with propellers at table centre [REFERENCE]; P2 red pencil sharpener with 6 cm edge gap behind P1 [CLOSE CANDIDATE]; P3 green pencil sharpener with 20 cm edge gap in front of P1 [FAR TARGET]; P4 juggling ball 14 cm from P1 [DISTRACTOR]</x:v>
      </x:c>
      <x:c r="G13" s="69" t="str">
        <x:v>green pencil sharpener</x:v>
      </x:c>
      <x:c r="H13" s="69" t="str">
        <x:v>Recovery</x:v>
      </x:c>
      <x:c r="I13" s="69" t="str">
        <x:v>recollect referential scene</x:v>
      </x:c>
      <x:c r="J13" s="70" t="str">
        <x:v>Move the green pencil sharpener into the bowl.</x:v>
      </x:c>
    </x:row>
    <x:row r="14" ht="64" customHeight="1">
      <x:c r="A14" s="68" t="str">
        <x:v>Not collected</x:v>
      </x:c>
      <x:c r="B14" s="69" t="n">
        <x:v>12</x:v>
      </x:c>
      <x:c r="C14" s="69" t="n">
        <x:v>469</x:v>
      </x:c>
      <x:c r="D14" s="69" t="str">
        <x:v>Referential Disambiguation</x:v>
      </x:c>
      <x:c r="E14" s="69" t="str">
        <x:v>Move the pencil sharpener furthest from the green pen into the bowl.</x:v>
      </x:c>
      <x:c r="F14" s="69" t="str">
        <x:v>P1 green pen at table centre [REFERENCE]; P2 green pencil sharpener with 6 cm edge gap to the left of P1 [CLOSE CANDIDATE]; P3 red pencil sharpener with 20 cm edge gap to the right of P1 [FAR TARGET]</x:v>
      </x:c>
      <x:c r="G14" s="69" t="str">
        <x:v>red pencil sharpener</x:v>
      </x:c>
      <x:c r="H14" s="69" t="str">
        <x:v>Home</x:v>
      </x:c>
      <x:c r="I14" s="69" t="str">
        <x:v>recollect referential scene</x:v>
      </x:c>
      <x:c r="J14" s="70" t="str">
        <x:v>Put the red pencil sharpener in the bowl.</x:v>
      </x:c>
    </x:row>
    <x:row r="15" ht="64" customHeight="1">
      <x:c r="A15" s="68" t="str">
        <x:v>Not collected</x:v>
      </x:c>
      <x:c r="B15" s="69" t="n">
        <x:v>13</x:v>
      </x:c>
      <x:c r="C15" s="69" t="n">
        <x:v>470</x:v>
      </x:c>
      <x:c r="D15" s="69" t="str">
        <x:v>Referential Disambiguation</x:v>
      </x:c>
      <x:c r="E15" s="69" t="str">
        <x:v>Put the pencil sharpener furthest from the airplane toy with propellers in the bowl.</x:v>
      </x:c>
      <x:c r="F15" s="69" t="str">
        <x:v>P1 airplane toy with propellers at table centre [REFERENCE]; P2 red pencil sharpener with 6 cm edge gap to the right of P1 [CLOSE CANDIDATE]; P3 green pencil sharpener with 20 cm edge gap to the left of P1 [FAR TARGET]; P4 pink marker 14 cm from P1 [DISTRACTOR]</x:v>
      </x:c>
      <x:c r="G15" s="69" t="str">
        <x:v>green pencil sharpener</x:v>
      </x:c>
      <x:c r="H15" s="69" t="str">
        <x:v>Home</x:v>
      </x:c>
      <x:c r="I15" s="69" t="str">
        <x:v>recollect referential scene</x:v>
      </x:c>
      <x:c r="J15" s="70" t="str">
        <x:v>Pick up the green pencil sharpener and place it in the bowl.</x:v>
      </x:c>
    </x:row>
    <x:row r="16" ht="64" customHeight="1">
      <x:c r="A16" s="68" t="str">
        <x:v>Not collected</x:v>
      </x:c>
      <x:c r="B16" s="69" t="n">
        <x:v>14</x:v>
      </x:c>
      <x:c r="C16" s="69" t="n">
        <x:v>471</x:v>
      </x:c>
      <x:c r="D16" s="69" t="str">
        <x:v>Referential Disambiguation</x:v>
      </x:c>
      <x:c r="E16" s="69" t="str">
        <x:v>Pick up the pencil sharpener furthest from the green pen and place it in the bowl.</x:v>
      </x:c>
      <x:c r="F16" s="69" t="str">
        <x:v>P1 green pen at table centre [REFERENCE]; P2 green pencil sharpener with 6 cm edge gap in front of P1 [CLOSE CANDIDATE]; P3 red pencil sharpener with 20 cm edge gap behind P1 [FAR TARGET]</x:v>
      </x:c>
      <x:c r="G16" s="69" t="str">
        <x:v>red pencil sharpener</x:v>
      </x:c>
      <x:c r="H16" s="69" t="str">
        <x:v>Home</x:v>
      </x:c>
      <x:c r="I16" s="69" t="str">
        <x:v>recollect referential scene</x:v>
      </x:c>
      <x:c r="J16" s="70" t="str">
        <x:v>Put the red pencil sharpener in the bowl.</x:v>
      </x:c>
    </x:row>
    <x:row r="17" ht="64" customHeight="1">
      <x:c r="A17" s="68" t="str">
        <x:v>Not collected</x:v>
      </x:c>
      <x:c r="B17" s="69" t="n">
        <x:v>15</x:v>
      </x:c>
      <x:c r="C17" s="69" t="n">
        <x:v>472</x:v>
      </x:c>
      <x:c r="D17" s="69" t="str">
        <x:v>Referential Disambiguation</x:v>
      </x:c>
      <x:c r="E17" s="69" t="str">
        <x:v>Move the pencil sharpener furthest from the airplane toy with propellers into the bowl.</x:v>
      </x:c>
      <x:c r="F17" s="69" t="str">
        <x:v>P1 airplane toy with propellers at table centre [REFERENCE]; P2 red pencil sharpener with 6 cm edge gap behind P1 [CLOSE CANDIDATE]; P3 green pencil sharpener with 20 cm edge gap in front of P1 [FAR TARGET]; P4 juggling ball 14 cm from P1 [DISTRACTOR]</x:v>
      </x:c>
      <x:c r="G17" s="69" t="str">
        <x:v>green pencil sharpener</x:v>
      </x:c>
      <x:c r="H17" s="69" t="str">
        <x:v>Home</x:v>
      </x:c>
      <x:c r="I17" s="69" t="str">
        <x:v>recollect referential scene</x:v>
      </x:c>
      <x:c r="J17" s="70" t="str">
        <x:v>Put the green pencil sharpener in the bowl.</x:v>
      </x:c>
    </x:row>
    <x:row r="18" ht="64" customHeight="1">
      <x:c r="A18" s="68" t="str">
        <x:v>Not collected</x:v>
      </x:c>
      <x:c r="B18" s="69" t="n">
        <x:v>16</x:v>
      </x:c>
      <x:c r="C18" s="69" t="n">
        <x:v>515</x:v>
      </x:c>
      <x:c r="D18" s="69" t="str">
        <x:v>Referential Disambiguation</x:v>
      </x:c>
      <x:c r="E18" s="69" t="str">
        <x:v>Pick up the pen furthest from the red pencil sharpener and place it in the bowl.</x:v>
      </x:c>
      <x:c r="F18" s="69" t="str">
        <x:v>P1 red pencil sharpener at table centre [REFERENCE]; P2 green pen with 6 cm edge gap to the left of P1 [CLOSE CANDIDATE]; P3 yellow pen with 20 cm edge gap to the right of P1 [FAR TARGET]</x:v>
      </x:c>
      <x:c r="G18" s="69" t="str">
        <x:v>yellow pen</x:v>
      </x:c>
      <x:c r="H18" s="69" t="str">
        <x:v>Home</x:v>
      </x:c>
      <x:c r="I18" s="69" t="str">
        <x:v>recollect referential scene</x:v>
      </x:c>
      <x:c r="J18" s="70" t="str">
        <x:v>Move the yellow pen into the bowl.</x:v>
      </x:c>
    </x:row>
    <x:row r="19" ht="64" customHeight="1">
      <x:c r="A19" s="68" t="str">
        <x:v>Not collected</x:v>
      </x:c>
      <x:c r="B19" s="69" t="n">
        <x:v>17</x:v>
      </x:c>
      <x:c r="C19" s="69" t="n">
        <x:v>516</x:v>
      </x:c>
      <x:c r="D19" s="69" t="str">
        <x:v>Referential Disambiguation</x:v>
      </x:c>
      <x:c r="E19" s="69" t="str">
        <x:v>Move the pen furthest from the airplane toy without propellers into the bowl.</x:v>
      </x:c>
      <x:c r="F19" s="69" t="str">
        <x:v>P1 airplane toy without propellers at table centre [REFERENCE]; P2 yellow pen with 6 cm edge gap to the right of P1 [CLOSE CANDIDATE]; P3 green pen with 20 cm edge gap to the left of P1 [FAR TARGET]; P4 pink marker 14 cm from P1 [DISTRACTOR]</x:v>
      </x:c>
      <x:c r="G19" s="69" t="str">
        <x:v>green pen</x:v>
      </x:c>
      <x:c r="H19" s="69" t="str">
        <x:v>Home</x:v>
      </x:c>
      <x:c r="I19" s="69" t="str">
        <x:v>recollect referential scene</x:v>
      </x:c>
      <x:c r="J19" s="70" t="str">
        <x:v>Put the green pen in the bowl.</x:v>
      </x:c>
    </x:row>
    <x:row r="20" ht="64" customHeight="1">
      <x:c r="A20" s="68" t="str">
        <x:v>Not collected</x:v>
      </x:c>
      <x:c r="B20" s="69" t="n">
        <x:v>18</x:v>
      </x:c>
      <x:c r="C20" s="69" t="n">
        <x:v>517</x:v>
      </x:c>
      <x:c r="D20" s="69" t="str">
        <x:v>Referential Disambiguation</x:v>
      </x:c>
      <x:c r="E20" s="69" t="str">
        <x:v>Put the pen furthest from the red pencil sharpener in the bowl.</x:v>
      </x:c>
      <x:c r="F20" s="69" t="str">
        <x:v>P1 red pencil sharpener at table centre [REFERENCE]; P2 green pen with 6 cm edge gap in front of P1 [CLOSE CANDIDATE]; P3 yellow pen with 20 cm edge gap behind P1 [FAR TARGET]</x:v>
      </x:c>
      <x:c r="G20" s="69" t="str">
        <x:v>yellow pen</x:v>
      </x:c>
      <x:c r="H20" s="69" t="str">
        <x:v>Home</x:v>
      </x:c>
      <x:c r="I20" s="69" t="str">
        <x:v>recollect referential scene</x:v>
      </x:c>
      <x:c r="J20" s="70" t="str">
        <x:v>Put the yellow pen in the bowl.</x:v>
      </x:c>
    </x:row>
    <x:row r="21" ht="64" customHeight="1">
      <x:c r="A21" s="68" t="str">
        <x:v>Not collected</x:v>
      </x:c>
      <x:c r="B21" s="69" t="n">
        <x:v>19</x:v>
      </x:c>
      <x:c r="C21" s="69" t="n">
        <x:v>518</x:v>
      </x:c>
      <x:c r="D21" s="69" t="str">
        <x:v>Referential Disambiguation</x:v>
      </x:c>
      <x:c r="E21" s="69" t="str">
        <x:v>Pick up the pen furthest from the airplane toy without propellers and place it in the bowl.</x:v>
      </x:c>
      <x:c r="F21" s="69" t="str">
        <x:v>P1 airplane toy without propellers at table centre [REFERENCE]; P2 yellow pen with 6 cm edge gap behind P1 [CLOSE CANDIDATE]; P3 green pen with 20 cm edge gap in front of P1 [FAR TARGET]; P4 juggling ball 14 cm from P1 [DISTRACTOR]</x:v>
      </x:c>
      <x:c r="G21" s="69" t="str">
        <x:v>green pen</x:v>
      </x:c>
      <x:c r="H21" s="69" t="str">
        <x:v>Recovery</x:v>
      </x:c>
      <x:c r="I21" s="69" t="str">
        <x:v>recollect referential scene</x:v>
      </x:c>
      <x:c r="J21" s="70" t="str">
        <x:v>Pick up the green pen and place it in the bowl.</x:v>
      </x:c>
    </x:row>
    <x:row r="22" ht="64" customHeight="1">
      <x:c r="A22" s="68" t="str">
        <x:v>Not collected</x:v>
      </x:c>
      <x:c r="B22" s="69" t="n">
        <x:v>20</x:v>
      </x:c>
      <x:c r="C22" s="69" t="n">
        <x:v>519</x:v>
      </x:c>
      <x:c r="D22" s="69" t="str">
        <x:v>Referential Disambiguation</x:v>
      </x:c>
      <x:c r="E22" s="69" t="str">
        <x:v>Move the pen furthest from the red pencil sharpener into the bowl.</x:v>
      </x:c>
      <x:c r="F22" s="69" t="str">
        <x:v>P1 red pencil sharpener at table centre [REFERENCE]; P2 green pen with 6 cm edge gap to the left of P1 [CLOSE CANDIDATE]; P3 yellow pen with 20 cm edge gap to the right of P1 [FAR TARGET]</x:v>
      </x:c>
      <x:c r="G22" s="69" t="str">
        <x:v>yellow pen</x:v>
      </x:c>
      <x:c r="H22" s="69" t="str">
        <x:v>Home</x:v>
      </x:c>
      <x:c r="I22" s="69" t="str">
        <x:v>recollect referential scene</x:v>
      </x:c>
      <x:c r="J22" s="70" t="str">
        <x:v>Put the yellow pen in the bowl.</x:v>
      </x:c>
    </x:row>
    <x:row r="23" ht="64" customHeight="1">
      <x:c r="A23" s="68" t="str">
        <x:v>Not collected</x:v>
      </x:c>
      <x:c r="B23" s="69" t="n">
        <x:v>21</x:v>
      </x:c>
      <x:c r="C23" s="69" t="n">
        <x:v>520</x:v>
      </x:c>
      <x:c r="D23" s="69" t="str">
        <x:v>Referential Disambiguation</x:v>
      </x:c>
      <x:c r="E23" s="69" t="str">
        <x:v>Put the pen furthest from the airplane toy without propellers in the bowl.</x:v>
      </x:c>
      <x:c r="F23" s="69" t="str">
        <x:v>P1 airplane toy without propellers at table centre [REFERENCE]; P2 yellow pen with 6 cm edge gap to the right of P1 [CLOSE CANDIDATE]; P3 green pen with 20 cm edge gap to the left of P1 [FAR TARGET]; P4 pink marker 14 cm from P1 [DISTRACTOR]</x:v>
      </x:c>
      <x:c r="G23" s="69" t="str">
        <x:v>green pen</x:v>
      </x:c>
      <x:c r="H23" s="69" t="str">
        <x:v>Home</x:v>
      </x:c>
      <x:c r="I23" s="69" t="str">
        <x:v>recollect referential scene</x:v>
      </x:c>
      <x:c r="J23" s="70" t="str">
        <x:v>Put the green pen in the bowl.</x:v>
      </x:c>
    </x:row>
    <x:row r="24" ht="64" customHeight="1">
      <x:c r="A24" s="68" t="str">
        <x:v>Not collected</x:v>
      </x:c>
      <x:c r="B24" s="69" t="n">
        <x:v>22</x:v>
      </x:c>
      <x:c r="C24" s="69" t="n">
        <x:v>565</x:v>
      </x:c>
      <x:c r="D24" s="69" t="str">
        <x:v>Referential Disambiguation</x:v>
      </x:c>
      <x:c r="E24" s="69" t="str">
        <x:v>Pick up the airplane toy furthest from the green pen and place it in the bowl.</x:v>
      </x:c>
      <x:c r="F24" s="69" t="str">
        <x:v>P1 green pen at table centre [REFERENCE]; P2 airplane toy with propellers with 6 cm edge gap to the left of P1 [CLOSE CANDIDATE]; P3 airplane toy without propellers with 20 cm edge gap to the right of P1 [FAR TARGET]</x:v>
      </x:c>
      <x:c r="G24" s="69" t="str">
        <x:v>airplane toy without propellers</x:v>
      </x:c>
      <x:c r="H24" s="69" t="str">
        <x:v>Home</x:v>
      </x:c>
      <x:c r="I24" s="69" t="str">
        <x:v>recollect referential scene</x:v>
      </x:c>
      <x:c r="J24" s="70" t="str">
        <x:v>Pick up the airplane toy without propellers and place it in the bowl.</x:v>
      </x:c>
    </x:row>
    <x:row r="25" ht="64" customHeight="1">
      <x:c r="A25" s="68" t="str">
        <x:v>Not collected</x:v>
      </x:c>
      <x:c r="B25" s="69" t="n">
        <x:v>23</x:v>
      </x:c>
      <x:c r="C25" s="69" t="n">
        <x:v>566</x:v>
      </x:c>
      <x:c r="D25" s="69" t="str">
        <x:v>Referential Disambiguation</x:v>
      </x:c>
      <x:c r="E25" s="69" t="str">
        <x:v>Move the airplane toy furthest from the green pencil sharpener into the bowl.</x:v>
      </x:c>
      <x:c r="F25" s="69" t="str">
        <x:v>P1 green pencil sharpener at table centre [REFERENCE]; P2 airplane toy without propellers with 6 cm edge gap to the right of P1 [CLOSE CANDIDATE]; P3 airplane toy with propellers with 20 cm edge gap to the left of P1 [FAR TARGET]; P4 pink marker 14 cm from P1 [DISTRACTOR]</x:v>
      </x:c>
      <x:c r="G25" s="69" t="str">
        <x:v>airplane toy with propellers</x:v>
      </x:c>
      <x:c r="H25" s="69" t="str">
        <x:v>Home</x:v>
      </x:c>
      <x:c r="I25" s="69" t="str">
        <x:v>recollect referential scene</x:v>
      </x:c>
      <x:c r="J25" s="70" t="str">
        <x:v>Put the airplane toy with propellers in the bowl.</x:v>
      </x:c>
    </x:row>
    <x:row r="26" ht="64" customHeight="1">
      <x:c r="A26" s="68" t="str">
        <x:v>Not collected</x:v>
      </x:c>
      <x:c r="B26" s="69" t="n">
        <x:v>24</x:v>
      </x:c>
      <x:c r="C26" s="69" t="n">
        <x:v>567</x:v>
      </x:c>
      <x:c r="D26" s="69" t="str">
        <x:v>Referential Disambiguation</x:v>
      </x:c>
      <x:c r="E26" s="69" t="str">
        <x:v>Put the airplane toy furthest from the green pen in the bowl.</x:v>
      </x:c>
      <x:c r="F26" s="69" t="str">
        <x:v>P1 green pen at table centre [REFERENCE]; P2 airplane toy with propellers with 6 cm edge gap in front of P1 [CLOSE CANDIDATE]; P3 airplane toy without propellers with 20 cm edge gap behind P1 [FAR TARGET]</x:v>
      </x:c>
      <x:c r="G26" s="69" t="str">
        <x:v>airplane toy without propellers</x:v>
      </x:c>
      <x:c r="H26" s="69" t="str">
        <x:v>Home</x:v>
      </x:c>
      <x:c r="I26" s="69" t="str">
        <x:v>recollect referential scene</x:v>
      </x:c>
      <x:c r="J26" s="70" t="str">
        <x:v>Put the airplane toy without propellers in the bowl.</x:v>
      </x:c>
    </x:row>
    <x:row r="27" ht="64" customHeight="1">
      <x:c r="A27" s="68" t="str">
        <x:v>Not collected</x:v>
      </x:c>
      <x:c r="B27" s="69" t="n">
        <x:v>25</x:v>
      </x:c>
      <x:c r="C27" s="69" t="n">
        <x:v>568</x:v>
      </x:c>
      <x:c r="D27" s="69" t="str">
        <x:v>Referential Disambiguation</x:v>
      </x:c>
      <x:c r="E27" s="69" t="str">
        <x:v>Pick up the airplane toy furthest from the green pencil sharpener and place it in the bowl.</x:v>
      </x:c>
      <x:c r="F27" s="69" t="str">
        <x:v>P1 green pencil sharpener at table centre [REFERENCE]; P2 airplane toy without propellers with 6 cm edge gap behind P1 [CLOSE CANDIDATE]; P3 airplane toy with propellers with 20 cm edge gap in front of P1 [FAR TARGET]; P4 juggling ball 14 cm from P1 [DISTRACTOR]</x:v>
      </x:c>
      <x:c r="G27" s="69" t="str">
        <x:v>airplane toy with propellers</x:v>
      </x:c>
      <x:c r="H27" s="69" t="str">
        <x:v>Recovery</x:v>
      </x:c>
      <x:c r="I27" s="69" t="str">
        <x:v>recollect referential scene</x:v>
      </x:c>
      <x:c r="J27" s="70" t="str">
        <x:v>Move the airplane toy with propellers into the bowl.</x:v>
      </x:c>
    </x:row>
    <x:row r="28" ht="64" customHeight="1">
      <x:c r="A28" s="68" t="str">
        <x:v>Not collected</x:v>
      </x:c>
      <x:c r="B28" s="69" t="n">
        <x:v>26</x:v>
      </x:c>
      <x:c r="C28" s="69" t="n">
        <x:v>569</x:v>
      </x:c>
      <x:c r="D28" s="69" t="str">
        <x:v>Referential Disambiguation</x:v>
      </x:c>
      <x:c r="E28" s="69" t="str">
        <x:v>Move the airplane toy furthest from the green pen into the bowl.</x:v>
      </x:c>
      <x:c r="F28" s="69" t="str">
        <x:v>P1 green pen at table centre [REFERENCE]; P2 airplane toy with propellers with 6 cm edge gap to the left of P1 [CLOSE CANDIDATE]; P3 airplane toy without propellers with 20 cm edge gap to the right of P1 [FAR TARGET]</x:v>
      </x:c>
      <x:c r="G28" s="69" t="str">
        <x:v>airplane toy without propellers</x:v>
      </x:c>
      <x:c r="H28" s="69" t="str">
        <x:v>Home</x:v>
      </x:c>
      <x:c r="I28" s="69" t="str">
        <x:v>recollect referential scene</x:v>
      </x:c>
      <x:c r="J28" s="70" t="str">
        <x:v>Put the airplane toy without propellers in the bowl.</x:v>
      </x:c>
    </x:row>
    <x:row r="29" ht="64" customHeight="1">
      <x:c r="A29" s="68" t="str">
        <x:v>Not collected</x:v>
      </x:c>
      <x:c r="B29" s="69" t="n">
        <x:v>27</x:v>
      </x:c>
      <x:c r="C29" s="69" t="n">
        <x:v>570</x:v>
      </x:c>
      <x:c r="D29" s="69" t="str">
        <x:v>Referential Disambiguation</x:v>
      </x:c>
      <x:c r="E29" s="69" t="str">
        <x:v>Put the airplane toy furthest from the green pencil sharpener in the bowl.</x:v>
      </x:c>
      <x:c r="F29" s="69" t="str">
        <x:v>P1 green pencil sharpener at table centre [REFERENCE]; P2 airplane toy without propellers with 6 cm edge gap to the right of P1 [CLOSE CANDIDATE]; P3 airplane toy with propellers with 20 cm edge gap to the left of P1 [FAR TARGET]; P4 pink marker 14 cm from P1 [DISTRACTOR]</x:v>
      </x:c>
      <x:c r="G29" s="69" t="str">
        <x:v>airplane toy with propellers</x:v>
      </x:c>
      <x:c r="H29" s="69" t="str">
        <x:v>Home</x:v>
      </x:c>
      <x:c r="I29" s="69" t="str">
        <x:v>recollect referential scene</x:v>
      </x:c>
      <x:c r="J29" s="70" t="str">
        <x:v>Put the airplane toy with propellers in the bowl.</x:v>
      </x:c>
    </x:row>
    <x:row r="30" ht="64" customHeight="1">
      <x:c r="A30" s="68" t="str">
        <x:v>Not collected</x:v>
      </x:c>
      <x:c r="B30" s="69" t="n">
        <x:v>28</x:v>
      </x:c>
      <x:c r="C30" s="69" t="n">
        <x:v>571</x:v>
      </x:c>
      <x:c r="D30" s="69" t="str">
        <x:v>Referential Disambiguation</x:v>
      </x:c>
      <x:c r="E30" s="69" t="str">
        <x:v>Pick up the airplane toy furthest from the green pen and place it in the bowl.</x:v>
      </x:c>
      <x:c r="F30" s="69" t="str">
        <x:v>P1 green pen at table centre [REFERENCE]; P2 airplane toy with propellers with 6 cm edge gap in front of P1 [CLOSE CANDIDATE]; P3 airplane toy without propellers with 20 cm edge gap behind P1 [FAR TARGET]</x:v>
      </x:c>
      <x:c r="G30" s="69" t="str">
        <x:v>airplane toy without propellers</x:v>
      </x:c>
      <x:c r="H30" s="69" t="str">
        <x:v>Home</x:v>
      </x:c>
      <x:c r="I30" s="69" t="str">
        <x:v>recollect referential scene</x:v>
      </x:c>
      <x:c r="J30" s="70" t="str">
        <x:v>Move the airplane toy without propellers into the bowl.</x:v>
      </x:c>
    </x:row>
    <x:row r="31" ht="64" customHeight="1">
      <x:c r="A31" s="68" t="str">
        <x:v>Not collected</x:v>
      </x:c>
      <x:c r="B31" s="69" t="n">
        <x:v>29</x:v>
      </x:c>
      <x:c r="C31" s="69" t="n">
        <x:v>572</x:v>
      </x:c>
      <x:c r="D31" s="69" t="str">
        <x:v>Referential Disambiguation</x:v>
      </x:c>
      <x:c r="E31" s="69" t="str">
        <x:v>Move the airplane toy furthest from the green pencil sharpener into the bowl.</x:v>
      </x:c>
      <x:c r="F31" s="69" t="str">
        <x:v>P1 green pencil sharpener at table centre [REFERENCE]; P2 airplane toy without propellers with 6 cm edge gap behind P1 [CLOSE CANDIDATE]; P3 airplane toy with propellers with 20 cm edge gap in front of P1 [FAR TARGET]; P4 juggling ball 14 cm from P1 [DISTRACTOR]</x:v>
      </x:c>
      <x:c r="G31" s="69" t="str">
        <x:v>airplane toy with propellers</x:v>
      </x:c>
      <x:c r="H31" s="69" t="str">
        <x:v>Home</x:v>
      </x:c>
      <x:c r="I31" s="69" t="str">
        <x:v>recollect referential scene</x:v>
      </x:c>
      <x:c r="J31" s="70" t="str">
        <x:v>Move the airplane toy with propellers into the bowl.</x:v>
      </x:c>
    </x:row>
    <x:row r="32" ht="64" customHeight="1">
      <x:c r="A32" s="68" t="str">
        <x:v>Not collected</x:v>
      </x:c>
      <x:c r="B32" s="69" t="n">
        <x:v>30</x:v>
      </x:c>
      <x:c r="C32" s="69" t="n">
        <x:v>600</x:v>
      </x:c>
      <x:c r="D32" s="69" t="str">
        <x:v>Ordering/Sequencing</x:v>
      </x:c>
      <x:c r="E32" s="69" t="str">
        <x:v>Move the first from the left object into the bowl.</x:v>
      </x:c>
      <x:c r="F32" s="69" t="str">
        <x:v>Four collinear objects, camera-view left to right: L1 airplane toy with propellers; L2 blue tape ball; L3 green highlighter; L4 yellow pen. Use approximately 10 cm centre-to-centre spacing; target at L1.</x:v>
      </x:c>
      <x:c r="G32" s="69" t="str">
        <x:v>airplane toy with propellers</x:v>
      </x:c>
      <x:c r="H32" s="69" t="str">
        <x:v>Home</x:v>
      </x:c>
      <x:c r="I32" s="69" t="str">
        <x:v>replace ordering demonstration</x:v>
      </x:c>
      <x:c r="J32" s="70" t="str">
        <x:v>Pick up the object that is fourth from the right and place it in the bowl.</x:v>
      </x:c>
    </x:row>
    <x:row r="33" ht="64" customHeight="1">
      <x:c r="A33" s="68" t="str">
        <x:v>Not collected</x:v>
      </x:c>
      <x:c r="B33" s="69" t="n">
        <x:v>31</x:v>
      </x:c>
      <x:c r="C33" s="69" t="n">
        <x:v>601</x:v>
      </x:c>
      <x:c r="D33" s="69" t="str">
        <x:v>Ordering/Sequencing</x:v>
      </x:c>
      <x:c r="E33" s="69" t="str">
        <x:v>Put the object that is first from the left in the bowl.</x:v>
      </x:c>
      <x:c r="F33" s="69" t="str">
        <x:v>Four collinear objects, camera-view left to right: L1 blue tape ball; L2 airplane toy with propellers; L3 green highlighter; L4 yellow pen. Use approximately 10 cm centre-to-centre spacing; target at L1.</x:v>
      </x:c>
      <x:c r="G33" s="69" t="str">
        <x:v>blue tape ball</x:v>
      </x:c>
      <x:c r="H33" s="69" t="str">
        <x:v>Home</x:v>
      </x:c>
      <x:c r="I33" s="69" t="str">
        <x:v>replace ordering demonstration</x:v>
      </x:c>
      <x:c r="J33" s="70" t="str">
        <x:v>Put the first object from the left in the bowl.</x:v>
      </x:c>
    </x:row>
    <x:row r="34" ht="64" customHeight="1">
      <x:c r="A34" s="68" t="str">
        <x:v>Not collected</x:v>
      </x:c>
      <x:c r="B34" s="69" t="n">
        <x:v>32</x:v>
      </x:c>
      <x:c r="C34" s="69" t="n">
        <x:v>602</x:v>
      </x:c>
      <x:c r="D34" s="69" t="str">
        <x:v>Ordering/Sequencing</x:v>
      </x:c>
      <x:c r="E34" s="69" t="str">
        <x:v>Pick up the object that is first from the left and place it in the bowl.</x:v>
      </x:c>
      <x:c r="F34" s="69" t="str">
        <x:v>Four collinear objects, camera-view left to right: L1 green highlighter; L2 airplane toy with propellers; L3 blue tape ball; L4 yellow pen. Use approximately 10 cm centre-to-centre spacing; target at L1.</x:v>
      </x:c>
      <x:c r="G34" s="69" t="str">
        <x:v>green highlighter</x:v>
      </x:c>
      <x:c r="H34" s="69" t="str">
        <x:v>Home</x:v>
      </x:c>
      <x:c r="I34" s="69" t="str">
        <x:v>replace ordering demonstration</x:v>
      </x:c>
      <x:c r="J34" s="70" t="str">
        <x:v>Pick up the object that is fourth from the right and place it in the bowl.</x:v>
      </x:c>
    </x:row>
    <x:row r="35" ht="64" customHeight="1">
      <x:c r="A35" s="68" t="str">
        <x:v>Not collected</x:v>
      </x:c>
      <x:c r="B35" s="69" t="n">
        <x:v>33</x:v>
      </x:c>
      <x:c r="C35" s="69" t="n">
        <x:v>603</x:v>
      </x:c>
      <x:c r="D35" s="69" t="str">
        <x:v>Ordering/Sequencing</x:v>
      </x:c>
      <x:c r="E35" s="69" t="str">
        <x:v>Move the first from the left object into the bowl.</x:v>
      </x:c>
      <x:c r="F35" s="69" t="str">
        <x:v>Four collinear objects, camera-view left to right: L1 yellow pen; L2 airplane toy with propellers; L3 blue tape ball; L4 green highlighter. Use approximately 10 cm centre-to-centre spacing; target at L1.</x:v>
      </x:c>
      <x:c r="G35" s="69" t="str">
        <x:v>yellow pen</x:v>
      </x:c>
      <x:c r="H35" s="69" t="str">
        <x:v>Home</x:v>
      </x:c>
      <x:c r="I35" s="69" t="str">
        <x:v>replace ordering demonstration</x:v>
      </x:c>
      <x:c r="J35" s="70" t="str">
        <x:v>Move the first item counted from the left into the bowl.</x:v>
      </x:c>
    </x:row>
    <x:row r="36" ht="64" customHeight="1">
      <x:c r="A36" s="68" t="str">
        <x:v>Not collected</x:v>
      </x:c>
      <x:c r="B36" s="69" t="n">
        <x:v>34</x:v>
      </x:c>
      <x:c r="C36" s="69" t="n">
        <x:v>604</x:v>
      </x:c>
      <x:c r="D36" s="69" t="str">
        <x:v>Ordering/Sequencing</x:v>
      </x:c>
      <x:c r="E36" s="69" t="str">
        <x:v>Put the object that is first from the left in the bowl.</x:v>
      </x:c>
      <x:c r="F36" s="69" t="str">
        <x:v>Four collinear objects, camera-view left to right: L1 airplane toy with propellers; L2 green highlighter; L3 yellow pen; L4 blue tape ball. Use approximately 10 cm centre-to-centre spacing; target at L1.</x:v>
      </x:c>
      <x:c r="G36" s="69" t="str">
        <x:v>airplane toy with propellers</x:v>
      </x:c>
      <x:c r="H36" s="69" t="str">
        <x:v>Home</x:v>
      </x:c>
      <x:c r="I36" s="69" t="str">
        <x:v>replace ordering demonstration</x:v>
      </x:c>
      <x:c r="J36" s="70" t="str">
        <x:v>Put the third object from the right in the bowl.</x:v>
      </x:c>
    </x:row>
    <x:row r="37" ht="64" customHeight="1">
      <x:c r="A37" s="68" t="str">
        <x:v>Not collected</x:v>
      </x:c>
      <x:c r="B37" s="69" t="n">
        <x:v>35</x:v>
      </x:c>
      <x:c r="C37" s="69" t="n">
        <x:v>605</x:v>
      </x:c>
      <x:c r="D37" s="69" t="str">
        <x:v>Ordering/Sequencing</x:v>
      </x:c>
      <x:c r="E37" s="69" t="str">
        <x:v>Pick up the object that is first from the left and place it in the bowl.</x:v>
      </x:c>
      <x:c r="F37" s="69" t="str">
        <x:v>Four collinear objects, camera-view left to right: L1 blue tape ball; L2 green highlighter; L3 yellow pen; L4 airplane toy with propellers. Use approximately 10 cm centre-to-centre spacing; target at L1.</x:v>
      </x:c>
      <x:c r="G37" s="69" t="str">
        <x:v>blue tape ball</x:v>
      </x:c>
      <x:c r="H37" s="69" t="str">
        <x:v>Home</x:v>
      </x:c>
      <x:c r="I37" s="69" t="str">
        <x:v>replace ordering demonstration</x:v>
      </x:c>
      <x:c r="J37" s="70" t="str">
        <x:v>Put the third object from the right in the bowl.</x:v>
      </x:c>
    </x:row>
    <x:row r="38" ht="64" customHeight="1">
      <x:c r="A38" s="68" t="str">
        <x:v>Not collected</x:v>
      </x:c>
      <x:c r="B38" s="69" t="n">
        <x:v>36</x:v>
      </x:c>
      <x:c r="C38" s="69" t="n">
        <x:v>606</x:v>
      </x:c>
      <x:c r="D38" s="69" t="str">
        <x:v>Ordering/Sequencing</x:v>
      </x:c>
      <x:c r="E38" s="69" t="str">
        <x:v>Move the first from the left object into the bowl.</x:v>
      </x:c>
      <x:c r="F38" s="69" t="str">
        <x:v>Four collinear objects, camera-view left to right: L1 green highlighter; L2 blue tape ball; L3 yellow pen; L4 airplane toy with propellers. Use approximately 10 cm centre-to-centre spacing; target at L1.</x:v>
      </x:c>
      <x:c r="G38" s="69" t="str">
        <x:v>green highlighter</x:v>
      </x:c>
      <x:c r="H38" s="69" t="str">
        <x:v>Home</x:v>
      </x:c>
      <x:c r="I38" s="69" t="str">
        <x:v>replace ordering demonstration</x:v>
      </x:c>
      <x:c r="J38" s="70" t="str">
        <x:v>Pick up the object that is third from the right and place it in the bowl.</x:v>
      </x:c>
    </x:row>
    <x:row r="39" ht="64" customHeight="1">
      <x:c r="A39" s="68" t="str">
        <x:v>Not collected</x:v>
      </x:c>
      <x:c r="B39" s="69" t="n">
        <x:v>37</x:v>
      </x:c>
      <x:c r="C39" s="69" t="n">
        <x:v>607</x:v>
      </x:c>
      <x:c r="D39" s="69" t="str">
        <x:v>Ordering/Sequencing</x:v>
      </x:c>
      <x:c r="E39" s="69" t="str">
        <x:v>Put the object that is first from the left in the bowl.</x:v>
      </x:c>
      <x:c r="F39" s="69" t="str">
        <x:v>Four collinear objects, camera-view left to right: L1 yellow pen; L2 blue tape ball; L3 green highlighter; L4 airplane toy with propellers. Use approximately 10 cm centre-to-centre spacing; target at L1.</x:v>
      </x:c>
      <x:c r="G39" s="69" t="str">
        <x:v>yellow pen</x:v>
      </x:c>
      <x:c r="H39" s="69" t="str">
        <x:v>Home</x:v>
      </x:c>
      <x:c r="I39" s="69" t="str">
        <x:v>replace ordering demonstration</x:v>
      </x:c>
      <x:c r="J39" s="70" t="str">
        <x:v>Move the first item counted from the left into the bowl.</x:v>
      </x:c>
    </x:row>
    <x:row r="40" ht="64" customHeight="1">
      <x:c r="A40" s="68" t="str">
        <x:v>Not collected</x:v>
      </x:c>
      <x:c r="B40" s="69" t="n">
        <x:v>38</x:v>
      </x:c>
      <x:c r="C40" s="69" t="n">
        <x:v>608</x:v>
      </x:c>
      <x:c r="D40" s="69" t="str">
        <x:v>Ordering/Sequencing</x:v>
      </x:c>
      <x:c r="E40" s="69" t="str">
        <x:v>Pick up the object that is first from the left and place it in the bowl.</x:v>
      </x:c>
      <x:c r="F40" s="69" t="str">
        <x:v>Four collinear objects, camera-view left to right: L1 airplane toy with propellers; L2 yellow pen; L3 blue tape ball; L4 green highlighter. Use approximately 10 cm centre-to-centre spacing; target at L1.</x:v>
      </x:c>
      <x:c r="G40" s="69" t="str">
        <x:v>airplane toy with propellers</x:v>
      </x:c>
      <x:c r="H40" s="69" t="str">
        <x:v>Home</x:v>
      </x:c>
      <x:c r="I40" s="69" t="str">
        <x:v>replace ordering demonstration</x:v>
      </x:c>
      <x:c r="J40" s="70" t="str">
        <x:v>Move the second item counted from the right into the bowl.</x:v>
      </x:c>
    </x:row>
    <x:row r="41" ht="64" customHeight="1">
      <x:c r="A41" s="68" t="str">
        <x:v>Not collected</x:v>
      </x:c>
      <x:c r="B41" s="69" t="n">
        <x:v>39</x:v>
      </x:c>
      <x:c r="C41" s="69" t="n">
        <x:v>609</x:v>
      </x:c>
      <x:c r="D41" s="69" t="str">
        <x:v>Ordering/Sequencing</x:v>
      </x:c>
      <x:c r="E41" s="69" t="str">
        <x:v>Move the first from the left object into the bowl.</x:v>
      </x:c>
      <x:c r="F41" s="69" t="str">
        <x:v>Four collinear objects, camera-view left to right: L1 blue tape ball; L2 yellow pen; L3 airplane toy with propellers; L4 green highlighter. Use approximately 10 cm centre-to-centre spacing; target at L1.</x:v>
      </x:c>
      <x:c r="G41" s="69" t="str">
        <x:v>blue tape ball</x:v>
      </x:c>
      <x:c r="H41" s="69" t="str">
        <x:v>Home</x:v>
      </x:c>
      <x:c r="I41" s="69" t="str">
        <x:v>replace ordering demonstration</x:v>
      </x:c>
      <x:c r="J41" s="70" t="str">
        <x:v>Pick up the object that is second from the right and place it in the bowl.</x:v>
      </x:c>
    </x:row>
    <x:row r="42" ht="64" customHeight="1">
      <x:c r="A42" s="68" t="str">
        <x:v>Not collected</x:v>
      </x:c>
      <x:c r="B42" s="69" t="n">
        <x:v>40</x:v>
      </x:c>
      <x:c r="C42" s="69" t="n">
        <x:v>610</x:v>
      </x:c>
      <x:c r="D42" s="69" t="str">
        <x:v>Ordering/Sequencing</x:v>
      </x:c>
      <x:c r="E42" s="69" t="str">
        <x:v>Put the object that is first from the left in the bowl.</x:v>
      </x:c>
      <x:c r="F42" s="69" t="str">
        <x:v>Four collinear objects, camera-view left to right: L1 green highlighter; L2 yellow pen; L3 airplane toy with propellers; L4 blue tape ball. Use approximately 10 cm centre-to-centre spacing; target at L1.</x:v>
      </x:c>
      <x:c r="G42" s="69" t="str">
        <x:v>green highlighter</x:v>
      </x:c>
      <x:c r="H42" s="69" t="str">
        <x:v>Recovery</x:v>
      </x:c>
      <x:c r="I42" s="69" t="str">
        <x:v>replace ordering demonstration</x:v>
      </x:c>
      <x:c r="J42" s="70" t="str">
        <x:v>Pick up the object that is second from the right and place it in the bowl.</x:v>
      </x:c>
    </x:row>
    <x:row r="43" ht="64" customHeight="1">
      <x:c r="A43" s="68" t="str">
        <x:v>Not collected</x:v>
      </x:c>
      <x:c r="B43" s="69" t="n">
        <x:v>41</x:v>
      </x:c>
      <x:c r="C43" s="69" t="n">
        <x:v>611</x:v>
      </x:c>
      <x:c r="D43" s="69" t="str">
        <x:v>Ordering/Sequencing</x:v>
      </x:c>
      <x:c r="E43" s="69" t="str">
        <x:v>Pick up the object that is first from the left and place it in the bowl.</x:v>
      </x:c>
      <x:c r="F43" s="69" t="str">
        <x:v>Four collinear objects, camera-view left to right: L1 yellow pen; L2 green highlighter; L3 airplane toy with propellers; L4 blue tape ball. Use approximately 10 cm centre-to-centre spacing; target at L1.</x:v>
      </x:c>
      <x:c r="G43" s="69" t="str">
        <x:v>yellow pen</x:v>
      </x:c>
      <x:c r="H43" s="69" t="str">
        <x:v>Recovery</x:v>
      </x:c>
      <x:c r="I43" s="69" t="str">
        <x:v>replace ordering demonstration</x:v>
      </x:c>
      <x:c r="J43" s="70" t="str">
        <x:v>Pick up the object that is first from the left and place it in the bowl.</x:v>
      </x:c>
    </x:row>
    <x:row r="44" ht="64" customHeight="1">
      <x:c r="A44" s="68" t="str">
        <x:v>Not collected</x:v>
      </x:c>
      <x:c r="B44" s="69" t="n">
        <x:v>42</x:v>
      </x:c>
      <x:c r="C44" s="69" t="n">
        <x:v>612</x:v>
      </x:c>
      <x:c r="D44" s="69" t="str">
        <x:v>Ordering/Sequencing</x:v>
      </x:c>
      <x:c r="E44" s="69" t="str">
        <x:v>Move the first from the left object into the bowl.</x:v>
      </x:c>
      <x:c r="F44" s="69" t="str">
        <x:v>Four collinear objects, camera-view left to right: L1 airplane toy with propellers; L2 blue tape ball; L3 green highlighter; L4 yellow pen. Use approximately 10 cm centre-to-centre spacing; target at L1.</x:v>
      </x:c>
      <x:c r="G44" s="69" t="str">
        <x:v>airplane toy with propellers</x:v>
      </x:c>
      <x:c r="H44" s="69" t="str">
        <x:v>Recovery</x:v>
      </x:c>
      <x:c r="I44" s="69" t="str">
        <x:v>replace ordering demonstration</x:v>
      </x:c>
      <x:c r="J44" s="70" t="str">
        <x:v>Pick up the object that is second from the right and place it in the bowl.</x:v>
      </x:c>
    </x:row>
    <x:row r="45" ht="64" customHeight="1">
      <x:c r="A45" s="68" t="str">
        <x:v>Not collected</x:v>
      </x:c>
      <x:c r="B45" s="69" t="n">
        <x:v>43</x:v>
      </x:c>
      <x:c r="C45" s="69" t="n">
        <x:v>613</x:v>
      </x:c>
      <x:c r="D45" s="69" t="str">
        <x:v>Ordering/Sequencing</x:v>
      </x:c>
      <x:c r="E45" s="69" t="str">
        <x:v>Put the object that is first from the left in the bowl.</x:v>
      </x:c>
      <x:c r="F45" s="69" t="str">
        <x:v>Four collinear objects, camera-view left to right: L1 blue tape ball; L2 airplane toy with propellers; L3 green highlighter; L4 yellow pen. Use approximately 10 cm centre-to-centre spacing; target at L1.</x:v>
      </x:c>
      <x:c r="G45" s="69" t="str">
        <x:v>blue tape ball</x:v>
      </x:c>
      <x:c r="H45" s="69" t="str">
        <x:v>Home</x:v>
      </x:c>
      <x:c r="I45" s="69" t="str">
        <x:v>replace ordering demonstration</x:v>
      </x:c>
      <x:c r="J45" s="70" t="str">
        <x:v>Pick up the object that is second from the left and place it in the bowl.</x:v>
      </x:c>
    </x:row>
    <x:row r="46" ht="64" customHeight="1">
      <x:c r="A46" s="68" t="str">
        <x:v>Not collected</x:v>
      </x:c>
      <x:c r="B46" s="69" t="n">
        <x:v>44</x:v>
      </x:c>
      <x:c r="C46" s="69" t="n">
        <x:v>614</x:v>
      </x:c>
      <x:c r="D46" s="69" t="str">
        <x:v>Ordering/Sequencing</x:v>
      </x:c>
      <x:c r="E46" s="69" t="str">
        <x:v>Pick up the object that is first from the left and place it in the bowl.</x:v>
      </x:c>
      <x:c r="F46" s="69" t="str">
        <x:v>Four collinear objects, camera-view left to right: L1 green highlighter; L2 airplane toy with propellers; L3 blue tape ball; L4 yellow pen. Use approximately 10 cm centre-to-centre spacing; target at L1.</x:v>
      </x:c>
      <x:c r="G46" s="69" t="str">
        <x:v>green highlighter</x:v>
      </x:c>
      <x:c r="H46" s="69" t="str">
        <x:v>Home</x:v>
      </x:c>
      <x:c r="I46" s="69" t="str">
        <x:v>replace ordering demonstration</x:v>
      </x:c>
      <x:c r="J46" s="70" t="str">
        <x:v>Put the second object from the left in the bowl.</x:v>
      </x:c>
    </x:row>
    <x:row r="47" ht="64" customHeight="1">
      <x:c r="A47" s="68" t="str">
        <x:v>Not collected</x:v>
      </x:c>
      <x:c r="B47" s="69" t="n">
        <x:v>45</x:v>
      </x:c>
      <x:c r="C47" s="69" t="n">
        <x:v>615</x:v>
      </x:c>
      <x:c r="D47" s="69" t="str">
        <x:v>Ordering/Sequencing</x:v>
      </x:c>
      <x:c r="E47" s="69" t="str">
        <x:v>Move the first from the left object into the bowl.</x:v>
      </x:c>
      <x:c r="F47" s="69" t="str">
        <x:v>Four collinear objects, camera-view left to right: L1 yellow pen; L2 airplane toy with propellers; L3 blue tape ball; L4 green highlighter. Use approximately 10 cm centre-to-centre spacing; target at L1.</x:v>
      </x:c>
      <x:c r="G47" s="69" t="str">
        <x:v>yellow pen</x:v>
      </x:c>
      <x:c r="H47" s="69" t="str">
        <x:v>Home</x:v>
      </x:c>
      <x:c r="I47" s="69" t="str">
        <x:v>replace ordering demonstration</x:v>
      </x:c>
      <x:c r="J47" s="70" t="str">
        <x:v>Move the second item counted from the left into the bowl.</x:v>
      </x:c>
    </x:row>
    <x:row r="48" ht="64" customHeight="1">
      <x:c r="A48" s="68" t="str">
        <x:v>Not collected</x:v>
      </x:c>
      <x:c r="B48" s="69" t="n">
        <x:v>46</x:v>
      </x:c>
      <x:c r="C48" s="69" t="n">
        <x:v>616</x:v>
      </x:c>
      <x:c r="D48" s="69" t="str">
        <x:v>Ordering/Sequencing</x:v>
      </x:c>
      <x:c r="E48" s="69" t="str">
        <x:v>Put the object that is first from the left in the bowl.</x:v>
      </x:c>
      <x:c r="F48" s="69" t="str">
        <x:v>Four collinear objects, camera-view left to right: L1 airplane toy with propellers; L2 green highlighter; L3 yellow pen; L4 blue tape ball. Use approximately 10 cm centre-to-centre spacing; target at L1.</x:v>
      </x:c>
      <x:c r="G48" s="69" t="str">
        <x:v>airplane toy with propellers</x:v>
      </x:c>
      <x:c r="H48" s="69" t="str">
        <x:v>Home</x:v>
      </x:c>
      <x:c r="I48" s="69" t="str">
        <x:v>replace ordering demonstration</x:v>
      </x:c>
      <x:c r="J48" s="70" t="str">
        <x:v>Move the second item counted from the left into the bowl.</x:v>
      </x:c>
    </x:row>
    <x:row r="49" ht="64" customHeight="1">
      <x:c r="A49" s="68" t="str">
        <x:v>Not collected</x:v>
      </x:c>
      <x:c r="B49" s="69" t="n">
        <x:v>47</x:v>
      </x:c>
      <x:c r="C49" s="69" t="n">
        <x:v>617</x:v>
      </x:c>
      <x:c r="D49" s="69" t="str">
        <x:v>Ordering/Sequencing</x:v>
      </x:c>
      <x:c r="E49" s="69" t="str">
        <x:v>Pick up the object that is first from the left and place it in the bowl.</x:v>
      </x:c>
      <x:c r="F49" s="69" t="str">
        <x:v>Four collinear objects, camera-view left to right: L1 blue tape ball; L2 green highlighter; L3 yellow pen; L4 airplane toy with propellers. Use approximately 10 cm centre-to-centre spacing; target at L1.</x:v>
      </x:c>
      <x:c r="G49" s="69" t="str">
        <x:v>blue tape ball</x:v>
      </x:c>
      <x:c r="H49" s="69" t="str">
        <x:v>Home</x:v>
      </x:c>
      <x:c r="I49" s="69" t="str">
        <x:v>replace ordering demonstration</x:v>
      </x:c>
      <x:c r="J49" s="70" t="str">
        <x:v>Pick up the object that is third from the right and place it in the bowl.</x:v>
      </x:c>
    </x:row>
    <x:row r="50" ht="64" customHeight="1">
      <x:c r="A50" s="68" t="str">
        <x:v>Not collected</x:v>
      </x:c>
      <x:c r="B50" s="69" t="n">
        <x:v>48</x:v>
      </x:c>
      <x:c r="C50" s="69" t="n">
        <x:v>618</x:v>
      </x:c>
      <x:c r="D50" s="69" t="str">
        <x:v>Ordering/Sequencing</x:v>
      </x:c>
      <x:c r="E50" s="69" t="str">
        <x:v>Move the first from the left object into the bowl.</x:v>
      </x:c>
      <x:c r="F50" s="69" t="str">
        <x:v>Four collinear objects, camera-view left to right: L1 green highlighter; L2 blue tape ball; L3 yellow pen; L4 airplane toy with propellers. Use approximately 10 cm centre-to-centre spacing; target at L1.</x:v>
      </x:c>
      <x:c r="G50" s="69" t="str">
        <x:v>green highlighter</x:v>
      </x:c>
      <x:c r="H50" s="69" t="str">
        <x:v>Home</x:v>
      </x:c>
      <x:c r="I50" s="69" t="str">
        <x:v>replace ordering demonstration</x:v>
      </x:c>
      <x:c r="J50" s="70" t="str">
        <x:v>Pick up the object that is third from the right and place it in the bowl.</x:v>
      </x:c>
    </x:row>
    <x:row r="51" ht="64" customHeight="1">
      <x:c r="A51" s="68" t="str">
        <x:v>Not collected</x:v>
      </x:c>
      <x:c r="B51" s="69" t="n">
        <x:v>49</x:v>
      </x:c>
      <x:c r="C51" s="69" t="n">
        <x:v>619</x:v>
      </x:c>
      <x:c r="D51" s="69" t="str">
        <x:v>Ordering/Sequencing</x:v>
      </x:c>
      <x:c r="E51" s="69" t="str">
        <x:v>Put the object that is first from the left in the bowl.</x:v>
      </x:c>
      <x:c r="F51" s="69" t="str">
        <x:v>Four collinear objects, camera-view left to right: L1 yellow pen; L2 blue tape ball; L3 green highlighter; L4 airplane toy with propellers. Use approximately 10 cm centre-to-centre spacing; target at L1.</x:v>
      </x:c>
      <x:c r="G51" s="69" t="str">
        <x:v>yellow pen</x:v>
      </x:c>
      <x:c r="H51" s="69" t="str">
        <x:v>Home</x:v>
      </x:c>
      <x:c r="I51" s="69" t="str">
        <x:v>replace ordering demonstration</x:v>
      </x:c>
      <x:c r="J51" s="70" t="str">
        <x:v>Put the second object from the left in the bowl.</x:v>
      </x:c>
    </x:row>
    <x:row r="52" ht="64" customHeight="1">
      <x:c r="A52" s="68" t="str">
        <x:v>Not collected</x:v>
      </x:c>
      <x:c r="B52" s="69" t="n">
        <x:v>50</x:v>
      </x:c>
      <x:c r="C52" s="69" t="n">
        <x:v>620</x:v>
      </x:c>
      <x:c r="D52" s="69" t="str">
        <x:v>Ordering/Sequencing</x:v>
      </x:c>
      <x:c r="E52" s="69" t="str">
        <x:v>Pick up the object that is fourth from the right and place it in the bowl.</x:v>
      </x:c>
      <x:c r="F52" s="69" t="str">
        <x:v>Four collinear objects, camera-view left to right: L1 airplane toy with propellers; L2 yellow pen; L3 blue tape ball; L4 green highlighter. Use approximately 10 cm centre-to-centre spacing; target at L1.</x:v>
      </x:c>
      <x:c r="G52" s="69" t="str">
        <x:v>airplane toy with propellers</x:v>
      </x:c>
      <x:c r="H52" s="69" t="str">
        <x:v>Home</x:v>
      </x:c>
      <x:c r="I52" s="69" t="str">
        <x:v>replace ordering demonstration</x:v>
      </x:c>
      <x:c r="J52" s="70" t="str">
        <x:v>Put the second object from the left in the bowl.</x:v>
      </x:c>
    </x:row>
    <x:row r="53" ht="64" customHeight="1">
      <x:c r="A53" s="68" t="str">
        <x:v>Not collected</x:v>
      </x:c>
      <x:c r="B53" s="69" t="n">
        <x:v>51</x:v>
      </x:c>
      <x:c r="C53" s="69" t="n">
        <x:v>621</x:v>
      </x:c>
      <x:c r="D53" s="69" t="str">
        <x:v>Ordering/Sequencing</x:v>
      </x:c>
      <x:c r="E53" s="69" t="str">
        <x:v>Move the fourth from the right object into the bowl.</x:v>
      </x:c>
      <x:c r="F53" s="69" t="str">
        <x:v>Four collinear objects, camera-view left to right: L1 blue tape ball; L2 yellow pen; L3 airplane toy with propellers; L4 green highlighter. Use approximately 10 cm centre-to-centre spacing; target at L1.</x:v>
      </x:c>
      <x:c r="G53" s="69" t="str">
        <x:v>blue tape ball</x:v>
      </x:c>
      <x:c r="H53" s="69" t="str">
        <x:v>Home</x:v>
      </x:c>
      <x:c r="I53" s="69" t="str">
        <x:v>replace ordering demonstration</x:v>
      </x:c>
      <x:c r="J53" s="70" t="str">
        <x:v>Pick up the object that is second from the left and place it in the bowl.</x:v>
      </x:c>
    </x:row>
    <x:row r="54" ht="64" customHeight="1">
      <x:c r="A54" s="68" t="str">
        <x:v>Not collected</x:v>
      </x:c>
      <x:c r="B54" s="69" t="n">
        <x:v>52</x:v>
      </x:c>
      <x:c r="C54" s="69" t="n">
        <x:v>622</x:v>
      </x:c>
      <x:c r="D54" s="69" t="str">
        <x:v>Ordering/Sequencing</x:v>
      </x:c>
      <x:c r="E54" s="69" t="str">
        <x:v>Put the object that is fourth from the right in the bowl.</x:v>
      </x:c>
      <x:c r="F54" s="69" t="str">
        <x:v>Four collinear objects, camera-view left to right: L1 green highlighter; L2 yellow pen; L3 airplane toy with propellers; L4 blue tape ball. Use approximately 10 cm centre-to-centre spacing; target at L1.</x:v>
      </x:c>
      <x:c r="G54" s="69" t="str">
        <x:v>green highlighter</x:v>
      </x:c>
      <x:c r="H54" s="69" t="str">
        <x:v>Home</x:v>
      </x:c>
      <x:c r="I54" s="69" t="str">
        <x:v>replace ordering demonstration</x:v>
      </x:c>
      <x:c r="J54" s="70" t="str">
        <x:v>Pick up the object that is second from the left and place it in the bowl.</x:v>
      </x:c>
    </x:row>
    <x:row r="55" ht="64" customHeight="1">
      <x:c r="A55" s="68" t="str">
        <x:v>Not collected</x:v>
      </x:c>
      <x:c r="B55" s="69" t="n">
        <x:v>53</x:v>
      </x:c>
      <x:c r="C55" s="69" t="n">
        <x:v>623</x:v>
      </x:c>
      <x:c r="D55" s="69" t="str">
        <x:v>Ordering/Sequencing</x:v>
      </x:c>
      <x:c r="E55" s="69" t="str">
        <x:v>Pick up the object that is fourth from the right and place it in the bowl.</x:v>
      </x:c>
      <x:c r="F55" s="69" t="str">
        <x:v>Four collinear objects, camera-view left to right: L1 yellow pen; L2 green highlighter; L3 airplane toy with propellers; L4 blue tape ball. Use approximately 10 cm centre-to-centre spacing; target at L1.</x:v>
      </x:c>
      <x:c r="G55" s="69" t="str">
        <x:v>yellow pen</x:v>
      </x:c>
      <x:c r="H55" s="69" t="str">
        <x:v>Recovery</x:v>
      </x:c>
      <x:c r="I55" s="69" t="str">
        <x:v>replace ordering demonstration</x:v>
      </x:c>
      <x:c r="J55" s="70" t="str">
        <x:v>Move the second item counted from the left into the bowl.</x:v>
      </x:c>
    </x:row>
    <x:row r="56" ht="64" customHeight="1">
      <x:c r="A56" s="68" t="str">
        <x:v>Not collected</x:v>
      </x:c>
      <x:c r="B56" s="69" t="n">
        <x:v>54</x:v>
      </x:c>
      <x:c r="C56" s="69" t="n">
        <x:v>624</x:v>
      </x:c>
      <x:c r="D56" s="69" t="str">
        <x:v>Ordering/Sequencing</x:v>
      </x:c>
      <x:c r="E56" s="69" t="str">
        <x:v>Move the fourth from the right object into the bowl.</x:v>
      </x:c>
      <x:c r="F56" s="69" t="str">
        <x:v>Four collinear objects, camera-view left to right: L1 airplane toy with propellers; L2 blue tape ball; L3 green highlighter; L4 yellow pen. Use approximately 10 cm centre-to-centre spacing; target at L1.</x:v>
      </x:c>
      <x:c r="G56" s="69" t="str">
        <x:v>airplane toy with propellers</x:v>
      </x:c>
      <x:c r="H56" s="69" t="str">
        <x:v>Recovery</x:v>
      </x:c>
      <x:c r="I56" s="69" t="str">
        <x:v>replace ordering demonstration</x:v>
      </x:c>
      <x:c r="J56" s="70" t="str">
        <x:v>Move the second item counted from the left into the bowl.</x:v>
      </x:c>
    </x:row>
    <x:row r="57" ht="64" customHeight="1">
      <x:c r="A57" s="68" t="str">
        <x:v>Not collected</x:v>
      </x:c>
      <x:c r="B57" s="69" t="n">
        <x:v>55</x:v>
      </x:c>
      <x:c r="C57" s="69" t="n">
        <x:v>625</x:v>
      </x:c>
      <x:c r="D57" s="69" t="str">
        <x:v>Ordering/Sequencing</x:v>
      </x:c>
      <x:c r="E57" s="69" t="str">
        <x:v>Put the object that is fourth from the right in the bowl.</x:v>
      </x:c>
      <x:c r="F57" s="69" t="str">
        <x:v>Four collinear objects, camera-view left to right: L1 blue tape ball; L2 airplane toy with propellers; L3 green highlighter; L4 yellow pen. Use approximately 10 cm centre-to-centre spacing; target at L1.</x:v>
      </x:c>
      <x:c r="G57" s="69" t="str">
        <x:v>blue tape ball</x:v>
      </x:c>
      <x:c r="H57" s="69" t="str">
        <x:v>Home</x:v>
      </x:c>
      <x:c r="I57" s="69" t="str">
        <x:v>replace ordering demonstration</x:v>
      </x:c>
      <x:c r="J57" s="70" t="str">
        <x:v>Move the airplane toy with propellers into the bowl.</x:v>
      </x:c>
    </x:row>
    <x:row r="58" ht="64" customHeight="1">
      <x:c r="A58" s="68" t="str">
        <x:v>Not collected</x:v>
      </x:c>
      <x:c r="B58" s="69" t="n">
        <x:v>56</x:v>
      </x:c>
      <x:c r="C58" s="69" t="n">
        <x:v>626</x:v>
      </x:c>
      <x:c r="D58" s="69" t="str">
        <x:v>Ordering/Sequencing</x:v>
      </x:c>
      <x:c r="E58" s="69" t="str">
        <x:v>Pick up the object that is fourth from the right and place it in the bowl.</x:v>
      </x:c>
      <x:c r="F58" s="69" t="str">
        <x:v>Four collinear objects, camera-view left to right: L1 green highlighter; L2 airplane toy with propellers; L3 blue tape ball; L4 yellow pen. Use approximately 10 cm centre-to-centre spacing; target at L1.</x:v>
      </x:c>
      <x:c r="G58" s="69" t="str">
        <x:v>green highlighter</x:v>
      </x:c>
      <x:c r="H58" s="69" t="str">
        <x:v>Home</x:v>
      </x:c>
      <x:c r="I58" s="69" t="str">
        <x:v>replace ordering demonstration</x:v>
      </x:c>
      <x:c r="J58" s="70" t="str">
        <x:v>Put the airplane toy with propellers in the bowl.</x:v>
      </x:c>
    </x:row>
    <x:row r="59" ht="64" customHeight="1">
      <x:c r="A59" s="68" t="str">
        <x:v>Not collected</x:v>
      </x:c>
      <x:c r="B59" s="69" t="n">
        <x:v>57</x:v>
      </x:c>
      <x:c r="C59" s="69" t="n">
        <x:v>627</x:v>
      </x:c>
      <x:c r="D59" s="69" t="str">
        <x:v>Ordering/Sequencing</x:v>
      </x:c>
      <x:c r="E59" s="69" t="str">
        <x:v>Move the fourth from the right object into the bowl.</x:v>
      </x:c>
      <x:c r="F59" s="69" t="str">
        <x:v>Four collinear objects, camera-view left to right: L1 yellow pen; L2 airplane toy with propellers; L3 blue tape ball; L4 green highlighter. Use approximately 10 cm centre-to-centre spacing; target at L1.</x:v>
      </x:c>
      <x:c r="G59" s="69" t="str">
        <x:v>yellow pen</x:v>
      </x:c>
      <x:c r="H59" s="69" t="str">
        <x:v>Home</x:v>
      </x:c>
      <x:c r="I59" s="69" t="str">
        <x:v>replace ordering demonstration</x:v>
      </x:c>
      <x:c r="J59" s="70" t="str">
        <x:v>Pick up the airplane toy with propellers and place it in the bowl.</x:v>
      </x:c>
    </x:row>
    <x:row r="60" ht="64" customHeight="1">
      <x:c r="A60" s="68" t="str">
        <x:v>Not collected</x:v>
      </x:c>
      <x:c r="B60" s="69" t="n">
        <x:v>58</x:v>
      </x:c>
      <x:c r="C60" s="69" t="n">
        <x:v>628</x:v>
      </x:c>
      <x:c r="D60" s="69" t="str">
        <x:v>Ordering/Sequencing</x:v>
      </x:c>
      <x:c r="E60" s="69" t="str">
        <x:v>Put the object that is fourth from the right in the bowl.</x:v>
      </x:c>
      <x:c r="F60" s="69" t="str">
        <x:v>Four collinear objects, camera-view left to right: L1 airplane toy with propellers; L2 green highlighter; L3 yellow pen; L4 blue tape ball. Use approximately 10 cm centre-to-centre spacing; target at L1.</x:v>
      </x:c>
      <x:c r="G60" s="69" t="str">
        <x:v>airplane toy with propellers</x:v>
      </x:c>
      <x:c r="H60" s="69" t="str">
        <x:v>Home</x:v>
      </x:c>
      <x:c r="I60" s="69" t="str">
        <x:v>replace ordering demonstration</x:v>
      </x:c>
      <x:c r="J60" s="70" t="str">
        <x:v>Move the airplane toy with propellers into the bowl.</x:v>
      </x:c>
    </x:row>
    <x:row r="61" ht="64" customHeight="1">
      <x:c r="A61" s="68" t="str">
        <x:v>Not collected</x:v>
      </x:c>
      <x:c r="B61" s="69" t="n">
        <x:v>59</x:v>
      </x:c>
      <x:c r="C61" s="69" t="n">
        <x:v>629</x:v>
      </x:c>
      <x:c r="D61" s="69" t="str">
        <x:v>Ordering/Sequencing</x:v>
      </x:c>
      <x:c r="E61" s="69" t="str">
        <x:v>Pick up the object that is fourth from the right and place it in the bowl.</x:v>
      </x:c>
      <x:c r="F61" s="69" t="str">
        <x:v>Four collinear objects, camera-view left to right: L1 blue tape ball; L2 green highlighter; L3 yellow pen; L4 airplane toy with propellers. Use approximately 10 cm centre-to-centre spacing; target at L1.</x:v>
      </x:c>
      <x:c r="G61" s="69" t="str">
        <x:v>blue tape ball</x:v>
      </x:c>
      <x:c r="H61" s="69" t="str">
        <x:v>Home</x:v>
      </x:c>
      <x:c r="I61" s="69" t="str">
        <x:v>replace ordering demonstration</x:v>
      </x:c>
      <x:c r="J61" s="70" t="str">
        <x:v>Pick up the airplane toy with propellers and place it in the bowl.</x:v>
      </x:c>
    </x:row>
    <x:row r="62" ht="64" customHeight="1">
      <x:c r="A62" s="68" t="str">
        <x:v>Not collected</x:v>
      </x:c>
      <x:c r="B62" s="69" t="n">
        <x:v>60</x:v>
      </x:c>
      <x:c r="C62" s="69" t="n">
        <x:v>630</x:v>
      </x:c>
      <x:c r="D62" s="69" t="str">
        <x:v>Ordering/Sequencing</x:v>
      </x:c>
      <x:c r="E62" s="69" t="str">
        <x:v>Move the fourth from the right object into the bowl.</x:v>
      </x:c>
      <x:c r="F62" s="69" t="str">
        <x:v>Four collinear objects, camera-view left to right: L1 green highlighter; L2 blue tape ball; L3 yellow pen; L4 airplane toy with propellers. Use approximately 10 cm centre-to-centre spacing; target at L1.</x:v>
      </x:c>
      <x:c r="G62" s="69" t="str">
        <x:v>green highlighter</x:v>
      </x:c>
      <x:c r="H62" s="69" t="str">
        <x:v>Home</x:v>
      </x:c>
      <x:c r="I62" s="69" t="str">
        <x:v>replace ordering demonstration</x:v>
      </x:c>
      <x:c r="J62" s="70" t="str">
        <x:v>Move the airplane toy with propellers into the bowl.</x:v>
      </x:c>
    </x:row>
    <x:row r="63" ht="64" customHeight="1">
      <x:c r="A63" s="68" t="str">
        <x:v>Not collected</x:v>
      </x:c>
      <x:c r="B63" s="69" t="n">
        <x:v>61</x:v>
      </x:c>
      <x:c r="C63" s="69" t="n">
        <x:v>631</x:v>
      </x:c>
      <x:c r="D63" s="69" t="str">
        <x:v>Ordering/Sequencing</x:v>
      </x:c>
      <x:c r="E63" s="69" t="str">
        <x:v>Put the object that is fourth from the right in the bowl.</x:v>
      </x:c>
      <x:c r="F63" s="69" t="str">
        <x:v>Four collinear objects, camera-view left to right: L1 yellow pen; L2 blue tape ball; L3 green highlighter; L4 airplane toy with propellers. Use approximately 10 cm centre-to-centre spacing; target at L1.</x:v>
      </x:c>
      <x:c r="G63" s="69" t="str">
        <x:v>yellow pen</x:v>
      </x:c>
      <x:c r="H63" s="69" t="str">
        <x:v>Home</x:v>
      </x:c>
      <x:c r="I63" s="69" t="str">
        <x:v>replace ordering demonstration</x:v>
      </x:c>
      <x:c r="J63" s="70" t="str">
        <x:v>Put the airplane toy with propellers in the bowl.</x:v>
      </x:c>
    </x:row>
    <x:row r="64" ht="64" customHeight="1">
      <x:c r="A64" s="68" t="str">
        <x:v>Not collected</x:v>
      </x:c>
      <x:c r="B64" s="69" t="n">
        <x:v>62</x:v>
      </x:c>
      <x:c r="C64" s="69" t="n">
        <x:v>632</x:v>
      </x:c>
      <x:c r="D64" s="69" t="str">
        <x:v>Ordering/Sequencing</x:v>
      </x:c>
      <x:c r="E64" s="69" t="str">
        <x:v>Pick up the object that is fourth from the right and place it in the bowl.</x:v>
      </x:c>
      <x:c r="F64" s="69" t="str">
        <x:v>Four collinear objects, camera-view left to right: L1 airplane toy with propellers; L2 yellow pen; L3 blue tape ball; L4 green highlighter. Use approximately 10 cm centre-to-centre spacing; target at L1.</x:v>
      </x:c>
      <x:c r="G64" s="69" t="str">
        <x:v>airplane toy with propellers</x:v>
      </x:c>
      <x:c r="H64" s="69" t="str">
        <x:v>Home</x:v>
      </x:c>
      <x:c r="I64" s="69" t="str">
        <x:v>replace ordering demonstration</x:v>
      </x:c>
      <x:c r="J64" s="70" t="str">
        <x:v>Pick up the airplane toy with propellers and place it in the bowl.</x:v>
      </x:c>
    </x:row>
    <x:row r="65" ht="64" customHeight="1">
      <x:c r="A65" s="68" t="str">
        <x:v>Not collected</x:v>
      </x:c>
      <x:c r="B65" s="69" t="n">
        <x:v>63</x:v>
      </x:c>
      <x:c r="C65" s="69" t="n">
        <x:v>633</x:v>
      </x:c>
      <x:c r="D65" s="69" t="str">
        <x:v>Ordering/Sequencing</x:v>
      </x:c>
      <x:c r="E65" s="69" t="str">
        <x:v>Move the fourth from the right object into the bowl.</x:v>
      </x:c>
      <x:c r="F65" s="69" t="str">
        <x:v>Four collinear objects, camera-view left to right: L1 blue tape ball; L2 yellow pen; L3 airplane toy with propellers; L4 green highlighter. Use approximately 10 cm centre-to-centre spacing; target at L1.</x:v>
      </x:c>
      <x:c r="G65" s="69" t="str">
        <x:v>blue tape ball</x:v>
      </x:c>
      <x:c r="H65" s="69" t="str">
        <x:v>Home</x:v>
      </x:c>
      <x:c r="I65" s="69" t="str">
        <x:v>replace ordering demonstration</x:v>
      </x:c>
      <x:c r="J65" s="70" t="str">
        <x:v>Put the airplane toy with propellers in the bowl.</x:v>
      </x:c>
    </x:row>
    <x:row r="66" ht="64" customHeight="1">
      <x:c r="A66" s="68" t="str">
        <x:v>Not collected</x:v>
      </x:c>
      <x:c r="B66" s="69" t="n">
        <x:v>64</x:v>
      </x:c>
      <x:c r="C66" s="69" t="n">
        <x:v>634</x:v>
      </x:c>
      <x:c r="D66" s="69" t="str">
        <x:v>Ordering/Sequencing</x:v>
      </x:c>
      <x:c r="E66" s="69" t="str">
        <x:v>Put the object that is fourth from the right in the bowl.</x:v>
      </x:c>
      <x:c r="F66" s="69" t="str">
        <x:v>Four collinear objects, camera-view left to right: L1 green highlighter; L2 yellow pen; L3 airplane toy with propellers; L4 blue tape ball. Use approximately 10 cm centre-to-centre spacing; target at L1.</x:v>
      </x:c>
      <x:c r="G66" s="69" t="str">
        <x:v>green highlighter</x:v>
      </x:c>
      <x:c r="H66" s="69" t="str">
        <x:v>Home</x:v>
      </x:c>
      <x:c r="I66" s="69" t="str">
        <x:v>replace ordering demonstration</x:v>
      </x:c>
      <x:c r="J66" s="70" t="str">
        <x:v>Move the airplane toy with propellers into the bowl.</x:v>
      </x:c>
    </x:row>
    <x:row r="67" ht="64" customHeight="1">
      <x:c r="A67" s="68" t="str">
        <x:v>Not collected</x:v>
      </x:c>
      <x:c r="B67" s="69" t="n">
        <x:v>65</x:v>
      </x:c>
      <x:c r="C67" s="69" t="n">
        <x:v>635</x:v>
      </x:c>
      <x:c r="D67" s="69" t="str">
        <x:v>Ordering/Sequencing</x:v>
      </x:c>
      <x:c r="E67" s="69" t="str">
        <x:v>Pick up the object that is fourth from the right and place it in the bowl.</x:v>
      </x:c>
      <x:c r="F67" s="69" t="str">
        <x:v>Four collinear objects, camera-view left to right: L1 yellow pen; L2 green highlighter; L3 airplane toy with propellers; L4 blue tape ball. Use approximately 10 cm centre-to-centre spacing; target at L1.</x:v>
      </x:c>
      <x:c r="G67" s="69" t="str">
        <x:v>yellow pen</x:v>
      </x:c>
      <x:c r="H67" s="69" t="str">
        <x:v>Recovery</x:v>
      </x:c>
      <x:c r="I67" s="69" t="str">
        <x:v>replace ordering demonstration</x:v>
      </x:c>
      <x:c r="J67" s="70" t="str">
        <x:v>Put the airplane toy with propellers in the bowl.</x:v>
      </x:c>
    </x:row>
    <x:row r="68" ht="64" customHeight="1">
      <x:c r="A68" s="68" t="str">
        <x:v>Not collected</x:v>
      </x:c>
      <x:c r="B68" s="69" t="n">
        <x:v>66</x:v>
      </x:c>
      <x:c r="C68" s="69" t="n">
        <x:v>636</x:v>
      </x:c>
      <x:c r="D68" s="69" t="str">
        <x:v>Ordering/Sequencing</x:v>
      </x:c>
      <x:c r="E68" s="69" t="str">
        <x:v>Move the fourth from the right object into the bowl.</x:v>
      </x:c>
      <x:c r="F68" s="69" t="str">
        <x:v>Four collinear objects, camera-view left to right: L1 airplane toy with propellers; L2 blue tape ball; L3 green highlighter; L4 yellow pen. Use approximately 10 cm centre-to-centre spacing; target at L1.</x:v>
      </x:c>
      <x:c r="G68" s="69" t="str">
        <x:v>airplane toy with propellers</x:v>
      </x:c>
      <x:c r="H68" s="69" t="str">
        <x:v>Recovery</x:v>
      </x:c>
      <x:c r="I68" s="69" t="str">
        <x:v>replace ordering demonstration</x:v>
      </x:c>
      <x:c r="J68" s="70" t="str">
        <x:v>Pick up the airplane toy with propellers and place it in the bowl.</x:v>
      </x:c>
    </x:row>
    <x:row r="69" ht="64" customHeight="1">
      <x:c r="A69" s="68" t="str">
        <x:v>Not collected</x:v>
      </x:c>
      <x:c r="B69" s="69" t="n">
        <x:v>67</x:v>
      </x:c>
      <x:c r="C69" s="69" t="n">
        <x:v>637</x:v>
      </x:c>
      <x:c r="D69" s="69" t="str">
        <x:v>Ordering/Sequencing</x:v>
      </x:c>
      <x:c r="E69" s="69" t="str">
        <x:v>Put the object that is fourth from the right in the bowl.</x:v>
      </x:c>
      <x:c r="F69" s="69" t="str">
        <x:v>Four collinear objects, camera-view left to right: L1 blue tape ball; L2 airplane toy with propellers; L3 green highlighter; L4 yellow pen. Use approximately 10 cm centre-to-centre spacing; target at L1.</x:v>
      </x:c>
      <x:c r="G69" s="69" t="str">
        <x:v>blue tape ball</x:v>
      </x:c>
      <x:c r="H69" s="69" t="str">
        <x:v>Recovery</x:v>
      </x:c>
      <x:c r="I69" s="69" t="str">
        <x:v>replace ordering demonstration</x:v>
      </x:c>
      <x:c r="J69" s="70" t="str">
        <x:v>Move the airplane toy with propellers into the bowl.</x:v>
      </x:c>
    </x:row>
    <x:row r="70" ht="64" customHeight="1">
      <x:c r="A70" s="68" t="str">
        <x:v>Not collected</x:v>
      </x:c>
      <x:c r="B70" s="69" t="n">
        <x:v>68</x:v>
      </x:c>
      <x:c r="C70" s="69" t="n">
        <x:v>638</x:v>
      </x:c>
      <x:c r="D70" s="69" t="str">
        <x:v>Ordering/Sequencing</x:v>
      </x:c>
      <x:c r="E70" s="69" t="str">
        <x:v>Pick up the object that is fourth from the right and place it in the bowl.</x:v>
      </x:c>
      <x:c r="F70" s="69" t="str">
        <x:v>Four collinear objects, camera-view left to right: L1 green highlighter; L2 airplane toy with propellers; L3 blue tape ball; L4 yellow pen. Use approximately 10 cm centre-to-centre spacing; target at L1.</x:v>
      </x:c>
      <x:c r="G70" s="69" t="str">
        <x:v>green highlighter</x:v>
      </x:c>
      <x:c r="H70" s="69" t="str">
        <x:v>Home</x:v>
      </x:c>
      <x:c r="I70" s="69" t="str">
        <x:v>replace ordering demonstration</x:v>
      </x:c>
      <x:c r="J70" s="70" t="str">
        <x:v>Put the airplane toy with propellers in the bowl.</x:v>
      </x:c>
    </x:row>
    <x:row r="71" ht="64" customHeight="1">
      <x:c r="A71" s="68" t="str">
        <x:v>Not collected</x:v>
      </x:c>
      <x:c r="B71" s="69" t="n">
        <x:v>69</x:v>
      </x:c>
      <x:c r="C71" s="69" t="n">
        <x:v>639</x:v>
      </x:c>
      <x:c r="D71" s="69" t="str">
        <x:v>Ordering/Sequencing</x:v>
      </x:c>
      <x:c r="E71" s="69" t="str">
        <x:v>Move the fourth from the right object into the bowl.</x:v>
      </x:c>
      <x:c r="F71" s="69" t="str">
        <x:v>Four collinear objects, camera-view left to right: L1 yellow pen; L2 airplane toy with propellers; L3 blue tape ball; L4 green highlighter. Use approximately 10 cm centre-to-centre spacing; target at L1.</x:v>
      </x:c>
      <x:c r="G71" s="69" t="str">
        <x:v>yellow pen</x:v>
      </x:c>
      <x:c r="H71" s="69" t="str">
        <x:v>Home</x:v>
      </x:c>
      <x:c r="I71" s="69" t="str">
        <x:v>replace ordering demonstration</x:v>
      </x:c>
      <x:c r="J71" s="70" t="str">
        <x:v>Pick up the airplane toy with propellers and place it in the bowl.</x:v>
      </x:c>
    </x:row>
    <x:row r="72" ht="64" customHeight="1">
      <x:c r="A72" s="68" t="str">
        <x:v>Not collected</x:v>
      </x:c>
      <x:c r="B72" s="69" t="n">
        <x:v>70</x:v>
      </x:c>
      <x:c r="C72" s="69" t="n">
        <x:v>640</x:v>
      </x:c>
      <x:c r="D72" s="69" t="str">
        <x:v>Ordering/Sequencing</x:v>
      </x:c>
      <x:c r="E72" s="69" t="str">
        <x:v>Put the object that is second from the left in the bowl.</x:v>
      </x:c>
      <x:c r="F72" s="69" t="str">
        <x:v>Four collinear objects, camera-view left to right: L1 green highlighter; L2 airplane toy with propellers; L3 yellow pen; L4 blue tape ball. Use approximately 10 cm centre-to-centre spacing; target at L2.</x:v>
      </x:c>
      <x:c r="G72" s="69" t="str">
        <x:v>airplane toy with propellers</x:v>
      </x:c>
      <x:c r="H72" s="69" t="str">
        <x:v>Home</x:v>
      </x:c>
      <x:c r="I72" s="69" t="str">
        <x:v>replace ordering demonstration</x:v>
      </x:c>
      <x:c r="J72" s="70" t="str">
        <x:v>Move the airplane toy with propellers into the bowl.</x:v>
      </x:c>
    </x:row>
    <x:row r="73" ht="64" customHeight="1">
      <x:c r="A73" s="68" t="str">
        <x:v>Not collected</x:v>
      </x:c>
      <x:c r="B73" s="69" t="n">
        <x:v>71</x:v>
      </x:c>
      <x:c r="C73" s="69" t="n">
        <x:v>641</x:v>
      </x:c>
      <x:c r="D73" s="69" t="str">
        <x:v>Ordering/Sequencing</x:v>
      </x:c>
      <x:c r="E73" s="69" t="str">
        <x:v>Pick up the object that is second from the left and place it in the bowl.</x:v>
      </x:c>
      <x:c r="F73" s="69" t="str">
        <x:v>Four collinear objects, camera-view left to right: L1 green highlighter; L2 blue tape ball; L3 yellow pen; L4 airplane toy with propellers. Use approximately 10 cm centre-to-centre spacing; target at L2.</x:v>
      </x:c>
      <x:c r="G73" s="69" t="str">
        <x:v>blue tape ball</x:v>
      </x:c>
      <x:c r="H73" s="69" t="str">
        <x:v>Home</x:v>
      </x:c>
      <x:c r="I73" s="69" t="str">
        <x:v>replace ordering demonstration</x:v>
      </x:c>
      <x:c r="J73" s="70" t="str">
        <x:v>Put the airplane toy with propellers in the bowl.</x:v>
      </x:c>
    </x:row>
    <x:row r="74" ht="64" customHeight="1">
      <x:c r="A74" s="68" t="str">
        <x:v>Not collected</x:v>
      </x:c>
      <x:c r="B74" s="69" t="n">
        <x:v>72</x:v>
      </x:c>
      <x:c r="C74" s="69" t="n">
        <x:v>642</x:v>
      </x:c>
      <x:c r="D74" s="69" t="str">
        <x:v>Ordering/Sequencing</x:v>
      </x:c>
      <x:c r="E74" s="69" t="str">
        <x:v>Move the second from the left object into the bowl.</x:v>
      </x:c>
      <x:c r="F74" s="69" t="str">
        <x:v>Four collinear objects, camera-view left to right: L1 blue tape ball; L2 green highlighter; L3 yellow pen; L4 airplane toy with propellers. Use approximately 10 cm centre-to-centre spacing; target at L2.</x:v>
      </x:c>
      <x:c r="G74" s="69" t="str">
        <x:v>green highlighter</x:v>
      </x:c>
      <x:c r="H74" s="69" t="str">
        <x:v>Home</x:v>
      </x:c>
      <x:c r="I74" s="69" t="str">
        <x:v>replace ordering demonstration</x:v>
      </x:c>
      <x:c r="J74" s="70" t="str">
        <x:v>Pick up the airplane toy with propellers and place it in the bowl.</x:v>
      </x:c>
    </x:row>
    <x:row r="75" ht="64" customHeight="1">
      <x:c r="A75" s="68" t="str">
        <x:v>Not collected</x:v>
      </x:c>
      <x:c r="B75" s="69" t="n">
        <x:v>73</x:v>
      </x:c>
      <x:c r="C75" s="69" t="n">
        <x:v>643</x:v>
      </x:c>
      <x:c r="D75" s="69" t="str">
        <x:v>Ordering/Sequencing</x:v>
      </x:c>
      <x:c r="E75" s="69" t="str">
        <x:v>Put the object that is second from the left in the bowl.</x:v>
      </x:c>
      <x:c r="F75" s="69" t="str">
        <x:v>Four collinear objects, camera-view left to right: L1 blue tape ball; L2 yellow pen; L3 green highlighter; L4 airplane toy with propellers. Use approximately 10 cm centre-to-centre spacing; target at L2.</x:v>
      </x:c>
      <x:c r="G75" s="69" t="str">
        <x:v>yellow pen</x:v>
      </x:c>
      <x:c r="H75" s="69" t="str">
        <x:v>Home</x:v>
      </x:c>
      <x:c r="I75" s="69" t="str">
        <x:v>replace ordering demonstration</x:v>
      </x:c>
      <x:c r="J75" s="70" t="str">
        <x:v>Move the airplane toy with propellers into the bowl.</x:v>
      </x:c>
    </x:row>
    <x:row r="76" ht="64" customHeight="1">
      <x:c r="A76" s="68" t="str">
        <x:v>Not collected</x:v>
      </x:c>
      <x:c r="B76" s="69" t="n">
        <x:v>74</x:v>
      </x:c>
      <x:c r="C76" s="69" t="n">
        <x:v>644</x:v>
      </x:c>
      <x:c r="D76" s="69" t="str">
        <x:v>Ordering/Sequencing</x:v>
      </x:c>
      <x:c r="E76" s="69" t="str">
        <x:v>Pick up the object that is second from the left and place it in the bowl.</x:v>
      </x:c>
      <x:c r="F76" s="69" t="str">
        <x:v>Four collinear objects, camera-view left to right: L1 yellow pen; L2 airplane toy with propellers; L3 blue tape ball; L4 green highlighter. Use approximately 10 cm centre-to-centre spacing; target at L2.</x:v>
      </x:c>
      <x:c r="G76" s="69" t="str">
        <x:v>airplane toy with propellers</x:v>
      </x:c>
      <x:c r="H76" s="69" t="str">
        <x:v>Home</x:v>
      </x:c>
      <x:c r="I76" s="69" t="str">
        <x:v>replace ordering demonstration</x:v>
      </x:c>
      <x:c r="J76" s="70" t="str">
        <x:v>Put the airplane toy with propellers in the bowl.</x:v>
      </x:c>
    </x:row>
    <x:row r="77" ht="64" customHeight="1">
      <x:c r="A77" s="68" t="str">
        <x:v>Not collected</x:v>
      </x:c>
      <x:c r="B77" s="69" t="n">
        <x:v>75</x:v>
      </x:c>
      <x:c r="C77" s="69" t="n">
        <x:v>645</x:v>
      </x:c>
      <x:c r="D77" s="69" t="str">
        <x:v>Ordering/Sequencing</x:v>
      </x:c>
      <x:c r="E77" s="69" t="str">
        <x:v>Move the second from the left object into the bowl.</x:v>
      </x:c>
      <x:c r="F77" s="69" t="str">
        <x:v>Four collinear objects, camera-view left to right: L1 yellow pen; L2 blue tape ball; L3 airplane toy with propellers; L4 green highlighter. Use approximately 10 cm centre-to-centre spacing; target at L2.</x:v>
      </x:c>
      <x:c r="G77" s="69" t="str">
        <x:v>blue tape ball</x:v>
      </x:c>
      <x:c r="H77" s="69" t="str">
        <x:v>Home</x:v>
      </x:c>
      <x:c r="I77" s="69" t="str">
        <x:v>replace ordering demonstration</x:v>
      </x:c>
      <x:c r="J77" s="70" t="str">
        <x:v>Pick up the airplane toy with propellers and place it in the bowl.</x:v>
      </x:c>
    </x:row>
    <x:row r="78" ht="64" customHeight="1">
      <x:c r="A78" s="68" t="str">
        <x:v>Not collected</x:v>
      </x:c>
      <x:c r="B78" s="69" t="n">
        <x:v>76</x:v>
      </x:c>
      <x:c r="C78" s="69" t="n">
        <x:v>646</x:v>
      </x:c>
      <x:c r="D78" s="69" t="str">
        <x:v>Ordering/Sequencing</x:v>
      </x:c>
      <x:c r="E78" s="69" t="str">
        <x:v>Put the object that is second from the left in the bowl.</x:v>
      </x:c>
      <x:c r="F78" s="69" t="str">
        <x:v>Four collinear objects, camera-view left to right: L1 yellow pen; L2 green highlighter; L3 airplane toy with propellers; L4 blue tape ball. Use approximately 10 cm centre-to-centre spacing; target at L2.</x:v>
      </x:c>
      <x:c r="G78" s="69" t="str">
        <x:v>green highlighter</x:v>
      </x:c>
      <x:c r="H78" s="69" t="str">
        <x:v>Home</x:v>
      </x:c>
      <x:c r="I78" s="69" t="str">
        <x:v>replace ordering demonstration</x:v>
      </x:c>
      <x:c r="J78" s="70" t="str">
        <x:v>Move the airplane toy with propellers into the bowl.</x:v>
      </x:c>
    </x:row>
    <x:row r="79" ht="64" customHeight="1">
      <x:c r="A79" s="68" t="str">
        <x:v>Not collected</x:v>
      </x:c>
      <x:c r="B79" s="69" t="n">
        <x:v>77</x:v>
      </x:c>
      <x:c r="C79" s="69" t="n">
        <x:v>647</x:v>
      </x:c>
      <x:c r="D79" s="69" t="str">
        <x:v>Ordering/Sequencing</x:v>
      </x:c>
      <x:c r="E79" s="69" t="str">
        <x:v>Pick up the object that is second from the left and place it in the bowl.</x:v>
      </x:c>
      <x:c r="F79" s="69" t="str">
        <x:v>Four collinear objects, camera-view left to right: L1 green highlighter; L2 yellow pen; L3 airplane toy with propellers; L4 blue tape ball. Use approximately 10 cm centre-to-centre spacing; target at L2.</x:v>
      </x:c>
      <x:c r="G79" s="69" t="str">
        <x:v>yellow pen</x:v>
      </x:c>
      <x:c r="H79" s="69" t="str">
        <x:v>Home</x:v>
      </x:c>
      <x:c r="I79" s="69" t="str">
        <x:v>replace ordering demonstration</x:v>
      </x:c>
      <x:c r="J79" s="70" t="str">
        <x:v>Put the airplane toy with propellers in the bowl.</x:v>
      </x:c>
    </x:row>
    <x:row r="80" ht="64" customHeight="1">
      <x:c r="A80" s="68" t="str">
        <x:v>Not collected</x:v>
      </x:c>
      <x:c r="B80" s="69" t="n">
        <x:v>78</x:v>
      </x:c>
      <x:c r="C80" s="69" t="n">
        <x:v>648</x:v>
      </x:c>
      <x:c r="D80" s="69" t="str">
        <x:v>Ordering/Sequencing</x:v>
      </x:c>
      <x:c r="E80" s="69" t="str">
        <x:v>Move the second from the left object into the bowl.</x:v>
      </x:c>
      <x:c r="F80" s="69" t="str">
        <x:v>Four collinear objects, camera-view left to right: L1 blue tape ball; L2 airplane toy with propellers; L3 green highlighter; L4 yellow pen. Use approximately 10 cm centre-to-centre spacing; target at L2.</x:v>
      </x:c>
      <x:c r="G80" s="69" t="str">
        <x:v>airplane toy with propellers</x:v>
      </x:c>
      <x:c r="H80" s="69" t="str">
        <x:v>Recovery</x:v>
      </x:c>
      <x:c r="I80" s="69" t="str">
        <x:v>replace ordering demonstration</x:v>
      </x:c>
      <x:c r="J80" s="70" t="str">
        <x:v>Pick up the airplane toy with propellers and place it in the bowl.</x:v>
      </x:c>
    </x:row>
    <x:row r="81" ht="64" customHeight="1">
      <x:c r="A81" s="68" t="str">
        <x:v>Not collected</x:v>
      </x:c>
      <x:c r="B81" s="69" t="n">
        <x:v>79</x:v>
      </x:c>
      <x:c r="C81" s="69" t="n">
        <x:v>649</x:v>
      </x:c>
      <x:c r="D81" s="69" t="str">
        <x:v>Ordering/Sequencing</x:v>
      </x:c>
      <x:c r="E81" s="69" t="str">
        <x:v>Put the object that is second from the left in the bowl.</x:v>
      </x:c>
      <x:c r="F81" s="69" t="str">
        <x:v>Four collinear objects, camera-view left to right: L1 airplane toy with propellers; L2 blue tape ball; L3 green highlighter; L4 yellow pen. Use approximately 10 cm centre-to-centre spacing; target at L2.</x:v>
      </x:c>
      <x:c r="G81" s="69" t="str">
        <x:v>blue tape ball</x:v>
      </x:c>
      <x:c r="H81" s="69" t="str">
        <x:v>Recovery</x:v>
      </x:c>
      <x:c r="I81" s="69" t="str">
        <x:v>replace ordering demonstration</x:v>
      </x:c>
      <x:c r="J81" s="70" t="str">
        <x:v>Move the airplane toy with propellers into the bowl.</x:v>
      </x:c>
    </x:row>
    <x:row r="82" ht="64" customHeight="1">
      <x:c r="A82" s="68" t="str">
        <x:v>Not collected</x:v>
      </x:c>
      <x:c r="B82" s="69" t="n">
        <x:v>80</x:v>
      </x:c>
      <x:c r="C82" s="69" t="n">
        <x:v>650</x:v>
      </x:c>
      <x:c r="D82" s="69" t="str">
        <x:v>Ordering/Sequencing</x:v>
      </x:c>
      <x:c r="E82" s="69" t="str">
        <x:v>Pick up the object that is second from the left and place it in the bowl.</x:v>
      </x:c>
      <x:c r="F82" s="69" t="str">
        <x:v>Four collinear objects, camera-view left to right: L1 airplane toy with propellers; L2 green highlighter; L3 blue tape ball; L4 yellow pen. Use approximately 10 cm centre-to-centre spacing; target at L2.</x:v>
      </x:c>
      <x:c r="G82" s="69" t="str">
        <x:v>green highlighter</x:v>
      </x:c>
      <x:c r="H82" s="69" t="str">
        <x:v>Home</x:v>
      </x:c>
      <x:c r="I82" s="69" t="str">
        <x:v>replace ordering demonstration</x:v>
      </x:c>
      <x:c r="J82" s="70" t="str">
        <x:v>Move the fourth item counted from the right into the bowl.</x:v>
      </x:c>
    </x:row>
    <x:row r="83" ht="64" customHeight="1">
      <x:c r="A83" s="68" t="str">
        <x:v>Not collected</x:v>
      </x:c>
      <x:c r="B83" s="69" t="n">
        <x:v>81</x:v>
      </x:c>
      <x:c r="C83" s="69" t="n">
        <x:v>651</x:v>
      </x:c>
      <x:c r="D83" s="69" t="str">
        <x:v>Ordering/Sequencing</x:v>
      </x:c>
      <x:c r="E83" s="69" t="str">
        <x:v>Move the second from the left object into the bowl.</x:v>
      </x:c>
      <x:c r="F83" s="69" t="str">
        <x:v>Four collinear objects, camera-view left to right: L1 airplane toy with propellers; L2 yellow pen; L3 blue tape ball; L4 green highlighter. Use approximately 10 cm centre-to-centre spacing; target at L2.</x:v>
      </x:c>
      <x:c r="G83" s="69" t="str">
        <x:v>yellow pen</x:v>
      </x:c>
      <x:c r="H83" s="69" t="str">
        <x:v>Home</x:v>
      </x:c>
      <x:c r="I83" s="69" t="str">
        <x:v>replace ordering demonstration</x:v>
      </x:c>
      <x:c r="J83" s="70" t="str">
        <x:v>Pick up the object that is first from the left and place it in the bowl.</x:v>
      </x:c>
    </x:row>
    <x:row r="84" ht="64" customHeight="1">
      <x:c r="A84" s="68" t="str">
        <x:v>Not collected</x:v>
      </x:c>
      <x:c r="B84" s="69" t="n">
        <x:v>82</x:v>
      </x:c>
      <x:c r="C84" s="69" t="n">
        <x:v>652</x:v>
      </x:c>
      <x:c r="D84" s="69" t="str">
        <x:v>Ordering/Sequencing</x:v>
      </x:c>
      <x:c r="E84" s="69" t="str">
        <x:v>Put the object that is second from the left in the bowl.</x:v>
      </x:c>
      <x:c r="F84" s="69" t="str">
        <x:v>Four collinear objects, camera-view left to right: L1 green highlighter; L2 airplane toy with propellers; L3 yellow pen; L4 blue tape ball. Use approximately 10 cm centre-to-centre spacing; target at L2.</x:v>
      </x:c>
      <x:c r="G84" s="69" t="str">
        <x:v>airplane toy with propellers</x:v>
      </x:c>
      <x:c r="H84" s="69" t="str">
        <x:v>Home</x:v>
      </x:c>
      <x:c r="I84" s="69" t="str">
        <x:v>replace ordering demonstration</x:v>
      </x:c>
      <x:c r="J84" s="70" t="str">
        <x:v>Put the fourth object from the right in the bowl.</x:v>
      </x:c>
    </x:row>
    <x:row r="85" ht="64" customHeight="1">
      <x:c r="A85" s="68" t="str">
        <x:v>Not collected</x:v>
      </x:c>
      <x:c r="B85" s="69" t="n">
        <x:v>83</x:v>
      </x:c>
      <x:c r="C85" s="69" t="n">
        <x:v>653</x:v>
      </x:c>
      <x:c r="D85" s="69" t="str">
        <x:v>Ordering/Sequencing</x:v>
      </x:c>
      <x:c r="E85" s="69" t="str">
        <x:v>Pick up the object that is second from the left and place it in the bowl.</x:v>
      </x:c>
      <x:c r="F85" s="69" t="str">
        <x:v>Four collinear objects, camera-view left to right: L1 green highlighter; L2 blue tape ball; L3 yellow pen; L4 airplane toy with propellers. Use approximately 10 cm centre-to-centre spacing; target at L2.</x:v>
      </x:c>
      <x:c r="G85" s="69" t="str">
        <x:v>blue tape ball</x:v>
      </x:c>
      <x:c r="H85" s="69" t="str">
        <x:v>Home</x:v>
      </x:c>
      <x:c r="I85" s="69" t="str">
        <x:v>replace ordering demonstration</x:v>
      </x:c>
      <x:c r="J85" s="70" t="str">
        <x:v>Pick up the object that is first from the left and place it in the bowl.</x:v>
      </x:c>
    </x:row>
    <x:row r="86" ht="64" customHeight="1">
      <x:c r="A86" s="68" t="str">
        <x:v>Not collected</x:v>
      </x:c>
      <x:c r="B86" s="69" t="n">
        <x:v>84</x:v>
      </x:c>
      <x:c r="C86" s="69" t="n">
        <x:v>654</x:v>
      </x:c>
      <x:c r="D86" s="69" t="str">
        <x:v>Ordering/Sequencing</x:v>
      </x:c>
      <x:c r="E86" s="69" t="str">
        <x:v>Move the second from the left object into the bowl.</x:v>
      </x:c>
      <x:c r="F86" s="69" t="str">
        <x:v>Four collinear objects, camera-view left to right: L1 blue tape ball; L2 green highlighter; L3 yellow pen; L4 airplane toy with propellers. Use approximately 10 cm centre-to-centre spacing; target at L2.</x:v>
      </x:c>
      <x:c r="G86" s="69" t="str">
        <x:v>green highlighter</x:v>
      </x:c>
      <x:c r="H86" s="69" t="str">
        <x:v>Home</x:v>
      </x:c>
      <x:c r="I86" s="69" t="str">
        <x:v>replace ordering demonstration</x:v>
      </x:c>
      <x:c r="J86" s="70" t="str">
        <x:v>Put the third object from the right in the bowl.</x:v>
      </x:c>
    </x:row>
    <x:row r="87" ht="64" customHeight="1">
      <x:c r="A87" s="68" t="str">
        <x:v>Not collected</x:v>
      </x:c>
      <x:c r="B87" s="69" t="n">
        <x:v>85</x:v>
      </x:c>
      <x:c r="C87" s="69" t="n">
        <x:v>655</x:v>
      </x:c>
      <x:c r="D87" s="69" t="str">
        <x:v>Ordering/Sequencing</x:v>
      </x:c>
      <x:c r="E87" s="69" t="str">
        <x:v>Put the object that is second from the left in the bowl.</x:v>
      </x:c>
      <x:c r="F87" s="69" t="str">
        <x:v>Four collinear objects, camera-view left to right: L1 blue tape ball; L2 yellow pen; L3 green highlighter; L4 airplane toy with propellers. Use approximately 10 cm centre-to-centre spacing; target at L2.</x:v>
      </x:c>
      <x:c r="G87" s="69" t="str">
        <x:v>yellow pen</x:v>
      </x:c>
      <x:c r="H87" s="69" t="str">
        <x:v>Home</x:v>
      </x:c>
      <x:c r="I87" s="69" t="str">
        <x:v>replace ordering demonstration</x:v>
      </x:c>
      <x:c r="J87" s="70" t="str">
        <x:v>Pick up the object that is third from the right and place it in the bowl.</x:v>
      </x:c>
    </x:row>
    <x:row r="88" ht="64" customHeight="1">
      <x:c r="A88" s="68" t="str">
        <x:v>Not collected</x:v>
      </x:c>
      <x:c r="B88" s="69" t="n">
        <x:v>86</x:v>
      </x:c>
      <x:c r="C88" s="69" t="n">
        <x:v>656</x:v>
      </x:c>
      <x:c r="D88" s="69" t="str">
        <x:v>Ordering/Sequencing</x:v>
      </x:c>
      <x:c r="E88" s="69" t="str">
        <x:v>Pick up the object that is second from the left and place it in the bowl.</x:v>
      </x:c>
      <x:c r="F88" s="69" t="str">
        <x:v>Four collinear objects, camera-view left to right: L1 yellow pen; L2 airplane toy with propellers; L3 blue tape ball; L4 green highlighter. Use approximately 10 cm centre-to-centre spacing; target at L2.</x:v>
      </x:c>
      <x:c r="G88" s="69" t="str">
        <x:v>airplane toy with propellers</x:v>
      </x:c>
      <x:c r="H88" s="69" t="str">
        <x:v>Home</x:v>
      </x:c>
      <x:c r="I88" s="69" t="str">
        <x:v>replace ordering demonstration</x:v>
      </x:c>
      <x:c r="J88" s="70" t="str">
        <x:v>Pick up the object that is first from the left and place it in the bowl.</x:v>
      </x:c>
    </x:row>
    <x:row r="89" ht="64" customHeight="1">
      <x:c r="A89" s="68" t="str">
        <x:v>Not collected</x:v>
      </x:c>
      <x:c r="B89" s="69" t="n">
        <x:v>87</x:v>
      </x:c>
      <x:c r="C89" s="69" t="n">
        <x:v>657</x:v>
      </x:c>
      <x:c r="D89" s="69" t="str">
        <x:v>Ordering/Sequencing</x:v>
      </x:c>
      <x:c r="E89" s="69" t="str">
        <x:v>Move the second from the left object into the bowl.</x:v>
      </x:c>
      <x:c r="F89" s="69" t="str">
        <x:v>Four collinear objects, camera-view left to right: L1 yellow pen; L2 blue tape ball; L3 airplane toy with propellers; L4 green highlighter. Use approximately 10 cm centre-to-centre spacing; target at L2.</x:v>
      </x:c>
      <x:c r="G89" s="69" t="str">
        <x:v>blue tape ball</x:v>
      </x:c>
      <x:c r="H89" s="69" t="str">
        <x:v>Home</x:v>
      </x:c>
      <x:c r="I89" s="69" t="str">
        <x:v>replace ordering demonstration</x:v>
      </x:c>
      <x:c r="J89" s="70" t="str">
        <x:v>Put the third object from the right in the bowl.</x:v>
      </x:c>
    </x:row>
    <x:row r="90" ht="64" customHeight="1">
      <x:c r="A90" s="68" t="str">
        <x:v>Not collected</x:v>
      </x:c>
      <x:c r="B90" s="69" t="n">
        <x:v>88</x:v>
      </x:c>
      <x:c r="C90" s="69" t="n">
        <x:v>658</x:v>
      </x:c>
      <x:c r="D90" s="69" t="str">
        <x:v>Ordering/Sequencing</x:v>
      </x:c>
      <x:c r="E90" s="69" t="str">
        <x:v>Put the object that is second from the left in the bowl.</x:v>
      </x:c>
      <x:c r="F90" s="69" t="str">
        <x:v>Four collinear objects, camera-view left to right: L1 yellow pen; L2 green highlighter; L3 airplane toy with propellers; L4 blue tape ball. Use approximately 10 cm centre-to-centre spacing; target at L2.</x:v>
      </x:c>
      <x:c r="G90" s="69" t="str">
        <x:v>green highlighter</x:v>
      </x:c>
      <x:c r="H90" s="69" t="str">
        <x:v>Home</x:v>
      </x:c>
      <x:c r="I90" s="69" t="str">
        <x:v>replace ordering demonstration</x:v>
      </x:c>
      <x:c r="J90" s="70" t="str">
        <x:v>Put the second object from the right in the bowl.</x:v>
      </x:c>
    </x:row>
    <x:row r="91" ht="64" customHeight="1">
      <x:c r="A91" s="68" t="str">
        <x:v>Not collected</x:v>
      </x:c>
      <x:c r="B91" s="69" t="n">
        <x:v>89</x:v>
      </x:c>
      <x:c r="C91" s="69" t="n">
        <x:v>659</x:v>
      </x:c>
      <x:c r="D91" s="69" t="str">
        <x:v>Ordering/Sequencing</x:v>
      </x:c>
      <x:c r="E91" s="69" t="str">
        <x:v>Pick up the object that is second from the left and place it in the bowl.</x:v>
      </x:c>
      <x:c r="F91" s="69" t="str">
        <x:v>Four collinear objects, camera-view left to right: L1 green highlighter; L2 yellow pen; L3 airplane toy with propellers; L4 blue tape ball. Use approximately 10 cm centre-to-centre spacing; target at L2.</x:v>
      </x:c>
      <x:c r="G91" s="69" t="str">
        <x:v>yellow pen</x:v>
      </x:c>
      <x:c r="H91" s="69" t="str">
        <x:v>Home</x:v>
      </x:c>
      <x:c r="I91" s="69" t="str">
        <x:v>replace ordering demonstration</x:v>
      </x:c>
      <x:c r="J91" s="70" t="str">
        <x:v>Pick up the object that is second from the right and place it in the bowl.</x:v>
      </x:c>
    </x:row>
    <x:row r="92" ht="64" customHeight="1">
      <x:c r="A92" s="68" t="str">
        <x:v>Not collected</x:v>
      </x:c>
      <x:c r="B92" s="69" t="n">
        <x:v>90</x:v>
      </x:c>
      <x:c r="C92" s="69" t="n">
        <x:v>660</x:v>
      </x:c>
      <x:c r="D92" s="69" t="str">
        <x:v>Ordering/Sequencing</x:v>
      </x:c>
      <x:c r="E92" s="69" t="str">
        <x:v>Move the third from the right object into the bowl.</x:v>
      </x:c>
      <x:c r="F92" s="69" t="str">
        <x:v>Four collinear objects, camera-view left to right: L1 blue tape ball; L2 airplane toy with propellers; L3 green highlighter; L4 yellow pen. Use approximately 10 cm centre-to-centre spacing; target at L2.</x:v>
      </x:c>
      <x:c r="G92" s="69" t="str">
        <x:v>airplane toy with propellers</x:v>
      </x:c>
      <x:c r="H92" s="69" t="str">
        <x:v>Recovery</x:v>
      </x:c>
      <x:c r="I92" s="69" t="str">
        <x:v>replace ordering demonstration</x:v>
      </x:c>
      <x:c r="J92" s="70" t="str">
        <x:v>Put the second object from the right in the bowl.</x:v>
      </x:c>
    </x:row>
    <x:row r="93" ht="64" customHeight="1">
      <x:c r="A93" s="68" t="str">
        <x:v>Not collected</x:v>
      </x:c>
      <x:c r="B93" s="69" t="n">
        <x:v>91</x:v>
      </x:c>
      <x:c r="C93" s="69" t="n">
        <x:v>661</x:v>
      </x:c>
      <x:c r="D93" s="69" t="str">
        <x:v>Ordering/Sequencing</x:v>
      </x:c>
      <x:c r="E93" s="69" t="str">
        <x:v>Put the object that is third from the right in the bowl.</x:v>
      </x:c>
      <x:c r="F93" s="69" t="str">
        <x:v>Four collinear objects, camera-view left to right: L1 airplane toy with propellers; L2 blue tape ball; L3 green highlighter; L4 yellow pen. Use approximately 10 cm centre-to-centre spacing; target at L2.</x:v>
      </x:c>
      <x:c r="G93" s="69" t="str">
        <x:v>blue tape ball</x:v>
      </x:c>
      <x:c r="H93" s="69" t="str">
        <x:v>Recovery</x:v>
      </x:c>
      <x:c r="I93" s="69" t="str">
        <x:v>replace ordering demonstration</x:v>
      </x:c>
      <x:c r="J93" s="70" t="str">
        <x:v>Put the first object from the left in the bowl.</x:v>
      </x:c>
    </x:row>
    <x:row r="94" ht="64" customHeight="1">
      <x:c r="A94" s="68" t="str">
        <x:v>Not collected</x:v>
      </x:c>
      <x:c r="B94" s="69" t="n">
        <x:v>92</x:v>
      </x:c>
      <x:c r="C94" s="69" t="n">
        <x:v>662</x:v>
      </x:c>
      <x:c r="D94" s="69" t="str">
        <x:v>Ordering/Sequencing</x:v>
      </x:c>
      <x:c r="E94" s="69" t="str">
        <x:v>Pick up the object that is third from the right and place it in the bowl.</x:v>
      </x:c>
      <x:c r="F94" s="69" t="str">
        <x:v>Four collinear objects, camera-view left to right: L1 airplane toy with propellers; L2 green highlighter; L3 blue tape ball; L4 yellow pen. Use approximately 10 cm centre-to-centre spacing; target at L2.</x:v>
      </x:c>
      <x:c r="G94" s="69" t="str">
        <x:v>green highlighter</x:v>
      </x:c>
      <x:c r="H94" s="69" t="str">
        <x:v>Home</x:v>
      </x:c>
      <x:c r="I94" s="69" t="str">
        <x:v>replace ordering demonstration</x:v>
      </x:c>
      <x:c r="J94" s="70" t="str">
        <x:v>Pick up the object that is second from the left and place it in the bowl.</x:v>
      </x:c>
    </x:row>
    <x:row r="95" ht="64" customHeight="1">
      <x:c r="A95" s="68" t="str">
        <x:v>Not collected</x:v>
      </x:c>
      <x:c r="B95" s="69" t="n">
        <x:v>93</x:v>
      </x:c>
      <x:c r="C95" s="69" t="n">
        <x:v>663</x:v>
      </x:c>
      <x:c r="D95" s="69" t="str">
        <x:v>Ordering/Sequencing</x:v>
      </x:c>
      <x:c r="E95" s="69" t="str">
        <x:v>Move the third from the right object into the bowl.</x:v>
      </x:c>
      <x:c r="F95" s="69" t="str">
        <x:v>Four collinear objects, camera-view left to right: L1 airplane toy with propellers; L2 yellow pen; L3 blue tape ball; L4 green highlighter. Use approximately 10 cm centre-to-centre spacing; target at L2.</x:v>
      </x:c>
      <x:c r="G95" s="69" t="str">
        <x:v>yellow pen</x:v>
      </x:c>
      <x:c r="H95" s="69" t="str">
        <x:v>Home</x:v>
      </x:c>
      <x:c r="I95" s="69" t="str">
        <x:v>replace ordering demonstration</x:v>
      </x:c>
      <x:c r="J95" s="70" t="str">
        <x:v>Move the second item counted from the left into the bowl.</x:v>
      </x:c>
    </x:row>
    <x:row r="96" ht="64" customHeight="1">
      <x:c r="A96" s="68" t="str">
        <x:v>Not collected</x:v>
      </x:c>
      <x:c r="B96" s="69" t="n">
        <x:v>94</x:v>
      </x:c>
      <x:c r="C96" s="69" t="n">
        <x:v>664</x:v>
      </x:c>
      <x:c r="D96" s="69" t="str">
        <x:v>Ordering/Sequencing</x:v>
      </x:c>
      <x:c r="E96" s="69" t="str">
        <x:v>Put the object that is third from the right in the bowl.</x:v>
      </x:c>
      <x:c r="F96" s="69" t="str">
        <x:v>Four collinear objects, camera-view left to right: L1 green highlighter; L2 airplane toy with propellers; L3 yellow pen; L4 blue tape ball. Use approximately 10 cm centre-to-centre spacing; target at L2.</x:v>
      </x:c>
      <x:c r="G96" s="69" t="str">
        <x:v>airplane toy with propellers</x:v>
      </x:c>
      <x:c r="H96" s="69" t="str">
        <x:v>Home</x:v>
      </x:c>
      <x:c r="I96" s="69" t="str">
        <x:v>replace ordering demonstration</x:v>
      </x:c>
      <x:c r="J96" s="70" t="str">
        <x:v>Move the second item counted from the left into the bowl.</x:v>
      </x:c>
    </x:row>
    <x:row r="97" ht="64" customHeight="1">
      <x:c r="A97" s="68" t="str">
        <x:v>Not collected</x:v>
      </x:c>
      <x:c r="B97" s="69" t="n">
        <x:v>95</x:v>
      </x:c>
      <x:c r="C97" s="69" t="n">
        <x:v>665</x:v>
      </x:c>
      <x:c r="D97" s="69" t="str">
        <x:v>Ordering/Sequencing</x:v>
      </x:c>
      <x:c r="E97" s="69" t="str">
        <x:v>Pick up the object that is third from the right and place it in the bowl.</x:v>
      </x:c>
      <x:c r="F97" s="69" t="str">
        <x:v>Four collinear objects, camera-view left to right: L1 green highlighter; L2 blue tape ball; L3 yellow pen; L4 airplane toy with propellers. Use approximately 10 cm centre-to-centre spacing; target at L2.</x:v>
      </x:c>
      <x:c r="G97" s="69" t="str">
        <x:v>blue tape ball</x:v>
      </x:c>
      <x:c r="H97" s="69" t="str">
        <x:v>Home</x:v>
      </x:c>
      <x:c r="I97" s="69" t="str">
        <x:v>replace ordering demonstration</x:v>
      </x:c>
      <x:c r="J97" s="70" t="str">
        <x:v>Pick up the object that is second from the left and place it in the bowl.</x:v>
      </x:c>
    </x:row>
    <x:row r="98" ht="64" customHeight="1">
      <x:c r="A98" s="68" t="str">
        <x:v>Not collected</x:v>
      </x:c>
      <x:c r="B98" s="69" t="n">
        <x:v>96</x:v>
      </x:c>
      <x:c r="C98" s="69" t="n">
        <x:v>666</x:v>
      </x:c>
      <x:c r="D98" s="69" t="str">
        <x:v>Ordering/Sequencing</x:v>
      </x:c>
      <x:c r="E98" s="69" t="str">
        <x:v>Move the third from the right object into the bowl.</x:v>
      </x:c>
      <x:c r="F98" s="69" t="str">
        <x:v>Four collinear objects, camera-view left to right: L1 blue tape ball; L2 green highlighter; L3 yellow pen; L4 airplane toy with propellers. Use approximately 10 cm centre-to-centre spacing; target at L2.</x:v>
      </x:c>
      <x:c r="G98" s="69" t="str">
        <x:v>green highlighter</x:v>
      </x:c>
      <x:c r="H98" s="69" t="str">
        <x:v>Home</x:v>
      </x:c>
      <x:c r="I98" s="69" t="str">
        <x:v>replace ordering demonstration</x:v>
      </x:c>
      <x:c r="J98" s="70" t="str">
        <x:v>Pick up the object that is third from the right and place it in the bowl.</x:v>
      </x:c>
    </x:row>
    <x:row r="99" ht="64" customHeight="1">
      <x:c r="A99" s="68" t="str">
        <x:v>Not collected</x:v>
      </x:c>
      <x:c r="B99" s="69" t="n">
        <x:v>97</x:v>
      </x:c>
      <x:c r="C99" s="69" t="n">
        <x:v>667</x:v>
      </x:c>
      <x:c r="D99" s="69" t="str">
        <x:v>Ordering/Sequencing</x:v>
      </x:c>
      <x:c r="E99" s="69" t="str">
        <x:v>Put the object that is third from the right in the bowl.</x:v>
      </x:c>
      <x:c r="F99" s="69" t="str">
        <x:v>Four collinear objects, camera-view left to right: L1 blue tape ball; L2 yellow pen; L3 green highlighter; L4 airplane toy with propellers. Use approximately 10 cm centre-to-centre spacing; target at L2.</x:v>
      </x:c>
      <x:c r="G99" s="69" t="str">
        <x:v>yellow pen</x:v>
      </x:c>
      <x:c r="H99" s="69" t="str">
        <x:v>Home</x:v>
      </x:c>
      <x:c r="I99" s="69" t="str">
        <x:v>replace ordering demonstration</x:v>
      </x:c>
      <x:c r="J99" s="70" t="str">
        <x:v>Move the second item counted from the left into the bowl.</x:v>
      </x:c>
    </x:row>
    <x:row r="100" ht="64" customHeight="1">
      <x:c r="A100" s="68" t="str">
        <x:v>Not collected</x:v>
      </x:c>
      <x:c r="B100" s="69" t="n">
        <x:v>98</x:v>
      </x:c>
      <x:c r="C100" s="69" t="n">
        <x:v>668</x:v>
      </x:c>
      <x:c r="D100" s="69" t="str">
        <x:v>Ordering/Sequencing</x:v>
      </x:c>
      <x:c r="E100" s="69" t="str">
        <x:v>Pick up the object that is third from the right and place it in the bowl.</x:v>
      </x:c>
      <x:c r="F100" s="69" t="str">
        <x:v>Four collinear objects, camera-view left to right: L1 yellow pen; L2 airplane toy with propellers; L3 blue tape ball; L4 green highlighter. Use approximately 10 cm centre-to-centre spacing; target at L2.</x:v>
      </x:c>
      <x:c r="G100" s="69" t="str">
        <x:v>airplane toy with propellers</x:v>
      </x:c>
      <x:c r="H100" s="69" t="str">
        <x:v>Home</x:v>
      </x:c>
      <x:c r="I100" s="69" t="str">
        <x:v>replace ordering demonstration</x:v>
      </x:c>
      <x:c r="J100" s="70" t="str">
        <x:v>Put the second object from the left in the bowl.</x:v>
      </x:c>
    </x:row>
    <x:row r="101" ht="64" customHeight="1">
      <x:c r="A101" s="68" t="str">
        <x:v>Not collected</x:v>
      </x:c>
      <x:c r="B101" s="69" t="n">
        <x:v>99</x:v>
      </x:c>
      <x:c r="C101" s="69" t="n">
        <x:v>669</x:v>
      </x:c>
      <x:c r="D101" s="69" t="str">
        <x:v>Ordering/Sequencing</x:v>
      </x:c>
      <x:c r="E101" s="69" t="str">
        <x:v>Move the third from the right object into the bowl.</x:v>
      </x:c>
      <x:c r="F101" s="69" t="str">
        <x:v>Four collinear objects, camera-view left to right: L1 yellow pen; L2 blue tape ball; L3 airplane toy with propellers; L4 green highlighter. Use approximately 10 cm centre-to-centre spacing; target at L2.</x:v>
      </x:c>
      <x:c r="G101" s="69" t="str">
        <x:v>blue tape ball</x:v>
      </x:c>
      <x:c r="H101" s="69" t="str">
        <x:v>Home</x:v>
      </x:c>
      <x:c r="I101" s="69" t="str">
        <x:v>replace ordering demonstration</x:v>
      </x:c>
      <x:c r="J101" s="70" t="str">
        <x:v>Pick up the object that is second from the left and place it in the bowl.</x:v>
      </x:c>
    </x:row>
    <x:row r="102" ht="64" customHeight="1">
      <x:c r="A102" s="68" t="str">
        <x:v>Not collected</x:v>
      </x:c>
      <x:c r="B102" s="69" t="n">
        <x:v>100</x:v>
      </x:c>
      <x:c r="C102" s="69" t="n">
        <x:v>670</x:v>
      </x:c>
      <x:c r="D102" s="69" t="str">
        <x:v>Ordering/Sequencing</x:v>
      </x:c>
      <x:c r="E102" s="69" t="str">
        <x:v>Put the object that is third from the right in the bowl.</x:v>
      </x:c>
      <x:c r="F102" s="69" t="str">
        <x:v>Four collinear objects, camera-view left to right: L1 yellow pen; L2 green highlighter; L3 airplane toy with propellers; L4 blue tape ball. Use approximately 10 cm centre-to-centre spacing; target at L2.</x:v>
      </x:c>
      <x:c r="G102" s="69" t="str">
        <x:v>green highlighter</x:v>
      </x:c>
      <x:c r="H102" s="69" t="str">
        <x:v>Home</x:v>
      </x:c>
      <x:c r="I102" s="69" t="str">
        <x:v>replace ordering demonstration</x:v>
      </x:c>
      <x:c r="J102" s="70" t="str">
        <x:v>Move the second item counted from the left into the bowl.</x:v>
      </x:c>
    </x:row>
    <x:row r="103" ht="64" customHeight="1">
      <x:c r="A103" s="68" t="str">
        <x:v>Not collected</x:v>
      </x:c>
      <x:c r="B103" s="69" t="n">
        <x:v>101</x:v>
      </x:c>
      <x:c r="C103" s="69" t="n">
        <x:v>671</x:v>
      </x:c>
      <x:c r="D103" s="69" t="str">
        <x:v>Ordering/Sequencing</x:v>
      </x:c>
      <x:c r="E103" s="69" t="str">
        <x:v>Pick up the object that is third from the right and place it in the bowl.</x:v>
      </x:c>
      <x:c r="F103" s="69" t="str">
        <x:v>Four collinear objects, camera-view left to right: L1 green highlighter; L2 yellow pen; L3 airplane toy with propellers; L4 blue tape ball. Use approximately 10 cm centre-to-centre spacing; target at L2.</x:v>
      </x:c>
      <x:c r="G103" s="69" t="str">
        <x:v>yellow pen</x:v>
      </x:c>
      <x:c r="H103" s="69" t="str">
        <x:v>Home</x:v>
      </x:c>
      <x:c r="I103" s="69" t="str">
        <x:v>replace ordering demonstration</x:v>
      </x:c>
      <x:c r="J103" s="70" t="str">
        <x:v>Put the second object from the left in the bowl.</x:v>
      </x:c>
    </x:row>
    <x:row r="104" ht="64" customHeight="1">
      <x:c r="A104" s="68" t="str">
        <x:v>Not collected</x:v>
      </x:c>
      <x:c r="B104" s="69" t="n">
        <x:v>102</x:v>
      </x:c>
      <x:c r="C104" s="69" t="n">
        <x:v>672</x:v>
      </x:c>
      <x:c r="D104" s="69" t="str">
        <x:v>Ordering/Sequencing</x:v>
      </x:c>
      <x:c r="E104" s="69" t="str">
        <x:v>Move the third from the right object into the bowl.</x:v>
      </x:c>
      <x:c r="F104" s="69" t="str">
        <x:v>Four collinear objects, camera-view left to right: L1 blue tape ball; L2 airplane toy with propellers; L3 green highlighter; L4 yellow pen. Use approximately 10 cm centre-to-centre spacing; target at L2.</x:v>
      </x:c>
      <x:c r="G104" s="69" t="str">
        <x:v>airplane toy with propellers</x:v>
      </x:c>
      <x:c r="H104" s="69" t="str">
        <x:v>Recovery</x:v>
      </x:c>
      <x:c r="I104" s="69" t="str">
        <x:v>replace ordering demonstration</x:v>
      </x:c>
      <x:c r="J104" s="70" t="str">
        <x:v>Put the second object from the left in the bowl.</x:v>
      </x:c>
    </x:row>
    <x:row r="105" ht="64" customHeight="1">
      <x:c r="A105" s="68" t="str">
        <x:v>Not collected</x:v>
      </x:c>
      <x:c r="B105" s="69" t="n">
        <x:v>103</x:v>
      </x:c>
      <x:c r="C105" s="69" t="n">
        <x:v>673</x:v>
      </x:c>
      <x:c r="D105" s="69" t="str">
        <x:v>Ordering/Sequencing</x:v>
      </x:c>
      <x:c r="E105" s="69" t="str">
        <x:v>Put the object that is third from the right in the bowl.</x:v>
      </x:c>
      <x:c r="F105" s="69" t="str">
        <x:v>Four collinear objects, camera-view left to right: L1 airplane toy with propellers; L2 blue tape ball; L3 green highlighter; L4 yellow pen. Use approximately 10 cm centre-to-centre spacing; target at L2.</x:v>
      </x:c>
      <x:c r="G105" s="69" t="str">
        <x:v>blue tape ball</x:v>
      </x:c>
      <x:c r="H105" s="69" t="str">
        <x:v>Recovery</x:v>
      </x:c>
      <x:c r="I105" s="69" t="str">
        <x:v>replace ordering demonstration</x:v>
      </x:c>
      <x:c r="J105" s="70" t="str">
        <x:v>Pick up the object that is second from the left and place it in the bowl.</x:v>
      </x:c>
    </x:row>
    <x:row r="106" ht="64" customHeight="1">
      <x:c r="A106" s="68" t="str">
        <x:v>Not collected</x:v>
      </x:c>
      <x:c r="B106" s="69" t="n">
        <x:v>104</x:v>
      </x:c>
      <x:c r="C106" s="69" t="n">
        <x:v>674</x:v>
      </x:c>
      <x:c r="D106" s="69" t="str">
        <x:v>Ordering/Sequencing</x:v>
      </x:c>
      <x:c r="E106" s="69" t="str">
        <x:v>Pick up the object that is third from the right and place it in the bowl.</x:v>
      </x:c>
      <x:c r="F106" s="69" t="str">
        <x:v>Four collinear objects, camera-view left to right: L1 airplane toy with propellers; L2 green highlighter; L3 blue tape ball; L4 yellow pen. Use approximately 10 cm centre-to-centre spacing; target at L2.</x:v>
      </x:c>
      <x:c r="G106" s="69" t="str">
        <x:v>green highlighter</x:v>
      </x:c>
      <x:c r="H106" s="69" t="str">
        <x:v>Recovery</x:v>
      </x:c>
      <x:c r="I106" s="69" t="str">
        <x:v>replace ordering demonstration</x:v>
      </x:c>
      <x:c r="J106" s="70" t="str">
        <x:v>Move the third item counted from the right into the bowl.</x:v>
      </x:c>
    </x:row>
    <x:row r="107" ht="64" customHeight="1">
      <x:c r="A107" s="68" t="str">
        <x:v>Not collected</x:v>
      </x:c>
      <x:c r="B107" s="69" t="n">
        <x:v>105</x:v>
      </x:c>
      <x:c r="C107" s="69" t="n">
        <x:v>675</x:v>
      </x:c>
      <x:c r="D107" s="69" t="str">
        <x:v>Ordering/Sequencing</x:v>
      </x:c>
      <x:c r="E107" s="69" t="str">
        <x:v>Move the third from the right object into the bowl.</x:v>
      </x:c>
      <x:c r="F107" s="69" t="str">
        <x:v>Four collinear objects, camera-view left to right: L1 airplane toy with propellers; L2 yellow pen; L3 blue tape ball; L4 green highlighter. Use approximately 10 cm centre-to-centre spacing; target at L2.</x:v>
      </x:c>
      <x:c r="G107" s="69" t="str">
        <x:v>yellow pen</x:v>
      </x:c>
      <x:c r="H107" s="69" t="str">
        <x:v>Home</x:v>
      </x:c>
      <x:c r="I107" s="69" t="str">
        <x:v>replace ordering demonstration</x:v>
      </x:c>
      <x:c r="J107" s="70" t="str">
        <x:v>Pick up the blue tape ball and place it in the bowl.</x:v>
      </x:c>
    </x:row>
    <x:row r="108" ht="64" customHeight="1">
      <x:c r="A108" s="68" t="str">
        <x:v>Not collected</x:v>
      </x:c>
      <x:c r="B108" s="69" t="n">
        <x:v>106</x:v>
      </x:c>
      <x:c r="C108" s="69" t="n">
        <x:v>676</x:v>
      </x:c>
      <x:c r="D108" s="69" t="str">
        <x:v>Ordering/Sequencing</x:v>
      </x:c>
      <x:c r="E108" s="69" t="str">
        <x:v>Put the object that is third from the right in the bowl.</x:v>
      </x:c>
      <x:c r="F108" s="69" t="str">
        <x:v>Four collinear objects, camera-view left to right: L1 green highlighter; L2 airplane toy with propellers; L3 yellow pen; L4 blue tape ball. Use approximately 10 cm centre-to-centre spacing; target at L2.</x:v>
      </x:c>
      <x:c r="G108" s="69" t="str">
        <x:v>airplane toy with propellers</x:v>
      </x:c>
      <x:c r="H108" s="69" t="str">
        <x:v>Home</x:v>
      </x:c>
      <x:c r="I108" s="69" t="str">
        <x:v>replace ordering demonstration</x:v>
      </x:c>
      <x:c r="J108" s="70" t="str">
        <x:v>Move the blue tape ball into the bowl.</x:v>
      </x:c>
    </x:row>
    <x:row r="109" ht="64" customHeight="1">
      <x:c r="A109" s="68" t="str">
        <x:v>Not collected</x:v>
      </x:c>
      <x:c r="B109" s="69" t="n">
        <x:v>107</x:v>
      </x:c>
      <x:c r="C109" s="69" t="n">
        <x:v>677</x:v>
      </x:c>
      <x:c r="D109" s="69" t="str">
        <x:v>Ordering/Sequencing</x:v>
      </x:c>
      <x:c r="E109" s="69" t="str">
        <x:v>Pick up the object that is third from the right and place it in the bowl.</x:v>
      </x:c>
      <x:c r="F109" s="69" t="str">
        <x:v>Four collinear objects, camera-view left to right: L1 green highlighter; L2 blue tape ball; L3 yellow pen; L4 airplane toy with propellers. Use approximately 10 cm centre-to-centre spacing; target at L2.</x:v>
      </x:c>
      <x:c r="G109" s="69" t="str">
        <x:v>blue tape ball</x:v>
      </x:c>
      <x:c r="H109" s="69" t="str">
        <x:v>Home</x:v>
      </x:c>
      <x:c r="I109" s="69" t="str">
        <x:v>replace ordering demonstration</x:v>
      </x:c>
      <x:c r="J109" s="70" t="str">
        <x:v>Put the blue tape ball in the bowl.</x:v>
      </x:c>
    </x:row>
    <x:row r="110" ht="64" customHeight="1">
      <x:c r="A110" s="68" t="str">
        <x:v>Not collected</x:v>
      </x:c>
      <x:c r="B110" s="69" t="n">
        <x:v>108</x:v>
      </x:c>
      <x:c r="C110" s="69" t="n">
        <x:v>678</x:v>
      </x:c>
      <x:c r="D110" s="69" t="str">
        <x:v>Ordering/Sequencing</x:v>
      </x:c>
      <x:c r="E110" s="69" t="str">
        <x:v>Move the third from the right object into the bowl.</x:v>
      </x:c>
      <x:c r="F110" s="69" t="str">
        <x:v>Four collinear objects, camera-view left to right: L1 blue tape ball; L2 green highlighter; L3 yellow pen; L4 airplane toy with propellers. Use approximately 10 cm centre-to-centre spacing; target at L2.</x:v>
      </x:c>
      <x:c r="G110" s="69" t="str">
        <x:v>green highlighter</x:v>
      </x:c>
      <x:c r="H110" s="69" t="str">
        <x:v>Home</x:v>
      </x:c>
      <x:c r="I110" s="69" t="str">
        <x:v>replace ordering demonstration</x:v>
      </x:c>
      <x:c r="J110" s="70" t="str">
        <x:v>Pick up the blue tape ball and place it in the bowl.</x:v>
      </x:c>
    </x:row>
    <x:row r="111" ht="64" customHeight="1">
      <x:c r="A111" s="68" t="str">
        <x:v>Not collected</x:v>
      </x:c>
      <x:c r="B111" s="69" t="n">
        <x:v>109</x:v>
      </x:c>
      <x:c r="C111" s="69" t="n">
        <x:v>679</x:v>
      </x:c>
      <x:c r="D111" s="69" t="str">
        <x:v>Ordering/Sequencing</x:v>
      </x:c>
      <x:c r="E111" s="69" t="str">
        <x:v>Put the object that is third from the right in the bowl.</x:v>
      </x:c>
      <x:c r="F111" s="69" t="str">
        <x:v>Four collinear objects, camera-view left to right: L1 blue tape ball; L2 yellow pen; L3 green highlighter; L4 airplane toy with propellers. Use approximately 10 cm centre-to-centre spacing; target at L2.</x:v>
      </x:c>
      <x:c r="G111" s="69" t="str">
        <x:v>yellow pen</x:v>
      </x:c>
      <x:c r="H111" s="69" t="str">
        <x:v>Home</x:v>
      </x:c>
      <x:c r="I111" s="69" t="str">
        <x:v>replace ordering demonstration</x:v>
      </x:c>
      <x:c r="J111" s="70" t="str">
        <x:v>Pick up the blue tape ball and place it in the bowl.</x:v>
      </x:c>
    </x:row>
    <x:row r="112" ht="64" customHeight="1">
      <x:c r="A112" s="68" t="str">
        <x:v>Not collected</x:v>
      </x:c>
      <x:c r="B112" s="69" t="n">
        <x:v>110</x:v>
      </x:c>
      <x:c r="C112" s="69" t="n">
        <x:v>680</x:v>
      </x:c>
      <x:c r="D112" s="69" t="str">
        <x:v>Ordering/Sequencing</x:v>
      </x:c>
      <x:c r="E112" s="69" t="str">
        <x:v>Pick up the object that is second from the right and place it in the bowl.</x:v>
      </x:c>
      <x:c r="F112" s="69" t="str">
        <x:v>Four collinear objects, camera-view left to right: L1 yellow pen; L2 blue tape ball; L3 airplane toy with propellers; L4 green highlighter. Use approximately 10 cm centre-to-centre spacing; target at L3.</x:v>
      </x:c>
      <x:c r="G112" s="69" t="str">
        <x:v>airplane toy with propellers</x:v>
      </x:c>
      <x:c r="H112" s="69" t="str">
        <x:v>Home</x:v>
      </x:c>
      <x:c r="I112" s="69" t="str">
        <x:v>replace ordering demonstration</x:v>
      </x:c>
      <x:c r="J112" s="70" t="str">
        <x:v>Move the blue tape ball into the bowl.</x:v>
      </x:c>
    </x:row>
    <x:row r="113" ht="64" customHeight="1">
      <x:c r="A113" s="68" t="str">
        <x:v>Not collected</x:v>
      </x:c>
      <x:c r="B113" s="69" t="n">
        <x:v>111</x:v>
      </x:c>
      <x:c r="C113" s="69" t="n">
        <x:v>681</x:v>
      </x:c>
      <x:c r="D113" s="69" t="str">
        <x:v>Ordering/Sequencing</x:v>
      </x:c>
      <x:c r="E113" s="69" t="str">
        <x:v>Move the second from the right object into the bowl.</x:v>
      </x:c>
      <x:c r="F113" s="69" t="str">
        <x:v>Four collinear objects, camera-view left to right: L1 yellow pen; L2 airplane toy with propellers; L3 blue tape ball; L4 green highlighter. Use approximately 10 cm centre-to-centre spacing; target at L3.</x:v>
      </x:c>
      <x:c r="G113" s="69" t="str">
        <x:v>blue tape ball</x:v>
      </x:c>
      <x:c r="H113" s="69" t="str">
        <x:v>Home</x:v>
      </x:c>
      <x:c r="I113" s="69" t="str">
        <x:v>replace ordering demonstration</x:v>
      </x:c>
      <x:c r="J113" s="70" t="str">
        <x:v>Move the blue tape ball into the bowl.</x:v>
      </x:c>
    </x:row>
    <x:row r="114" ht="64" customHeight="1">
      <x:c r="A114" s="68" t="str">
        <x:v>Not collected</x:v>
      </x:c>
      <x:c r="B114" s="69" t="n">
        <x:v>112</x:v>
      </x:c>
      <x:c r="C114" s="69" t="n">
        <x:v>682</x:v>
      </x:c>
      <x:c r="D114" s="69" t="str">
        <x:v>Ordering/Sequencing</x:v>
      </x:c>
      <x:c r="E114" s="69" t="str">
        <x:v>Put the object that is second from the right in the bowl.</x:v>
      </x:c>
      <x:c r="F114" s="69" t="str">
        <x:v>Four collinear objects, camera-view left to right: L1 yellow pen; L2 airplane toy with propellers; L3 green highlighter; L4 blue tape ball. Use approximately 10 cm centre-to-centre spacing; target at L3.</x:v>
      </x:c>
      <x:c r="G114" s="69" t="str">
        <x:v>green highlighter</x:v>
      </x:c>
      <x:c r="H114" s="69" t="str">
        <x:v>Home</x:v>
      </x:c>
      <x:c r="I114" s="69" t="str">
        <x:v>replace ordering demonstration</x:v>
      </x:c>
      <x:c r="J114" s="70" t="str">
        <x:v>Pick up the blue tape ball and place it in the bowl.</x:v>
      </x:c>
    </x:row>
    <x:row r="115" ht="64" customHeight="1">
      <x:c r="A115" s="68" t="str">
        <x:v>Not collected</x:v>
      </x:c>
      <x:c r="B115" s="69" t="n">
        <x:v>113</x:v>
      </x:c>
      <x:c r="C115" s="69" t="n">
        <x:v>683</x:v>
      </x:c>
      <x:c r="D115" s="69" t="str">
        <x:v>Ordering/Sequencing</x:v>
      </x:c>
      <x:c r="E115" s="69" t="str">
        <x:v>Pick up the object that is second from the right and place it in the bowl.</x:v>
      </x:c>
      <x:c r="F115" s="69" t="str">
        <x:v>Four collinear objects, camera-view left to right: L1 green highlighter; L2 airplane toy with propellers; L3 yellow pen; L4 blue tape ball. Use approximately 10 cm centre-to-centre spacing; target at L3.</x:v>
      </x:c>
      <x:c r="G115" s="69" t="str">
        <x:v>yellow pen</x:v>
      </x:c>
      <x:c r="H115" s="69" t="str">
        <x:v>Home</x:v>
      </x:c>
      <x:c r="I115" s="69" t="str">
        <x:v>replace ordering demonstration</x:v>
      </x:c>
      <x:c r="J115" s="70" t="str">
        <x:v>Put the blue tape ball in the bowl.</x:v>
      </x:c>
    </x:row>
    <x:row r="116" ht="64" customHeight="1">
      <x:c r="A116" s="68" t="str">
        <x:v>Not collected</x:v>
      </x:c>
      <x:c r="B116" s="69" t="n">
        <x:v>114</x:v>
      </x:c>
      <x:c r="C116" s="69" t="n">
        <x:v>684</x:v>
      </x:c>
      <x:c r="D116" s="69" t="str">
        <x:v>Ordering/Sequencing</x:v>
      </x:c>
      <x:c r="E116" s="69" t="str">
        <x:v>Move the second from the right object into the bowl.</x:v>
      </x:c>
      <x:c r="F116" s="69" t="str">
        <x:v>Four collinear objects, camera-view left to right: L1 blue tape ball; L2 green highlighter; L3 airplane toy with propellers; L4 yellow pen. Use approximately 10 cm centre-to-centre spacing; target at L3.</x:v>
      </x:c>
      <x:c r="G116" s="69" t="str">
        <x:v>airplane toy with propellers</x:v>
      </x:c>
      <x:c r="H116" s="69" t="str">
        <x:v>Home</x:v>
      </x:c>
      <x:c r="I116" s="69" t="str">
        <x:v>replace ordering demonstration</x:v>
      </x:c>
      <x:c r="J116" s="70" t="str">
        <x:v>Put the blue tape ball in the bowl.</x:v>
      </x:c>
    </x:row>
    <x:row r="117" ht="64" customHeight="1">
      <x:c r="A117" s="68" t="str">
        <x:v>Not collected</x:v>
      </x:c>
      <x:c r="B117" s="69" t="n">
        <x:v>115</x:v>
      </x:c>
      <x:c r="C117" s="69" t="n">
        <x:v>685</x:v>
      </x:c>
      <x:c r="D117" s="69" t="str">
        <x:v>Ordering/Sequencing</x:v>
      </x:c>
      <x:c r="E117" s="69" t="str">
        <x:v>Put the object that is second from the right in the bowl.</x:v>
      </x:c>
      <x:c r="F117" s="69" t="str">
        <x:v>Four collinear objects, camera-view left to right: L1 airplane toy with propellers; L2 green highlighter; L3 blue tape ball; L4 yellow pen. Use approximately 10 cm centre-to-centre spacing; target at L3.</x:v>
      </x:c>
      <x:c r="G117" s="69" t="str">
        <x:v>blue tape ball</x:v>
      </x:c>
      <x:c r="H117" s="69" t="str">
        <x:v>Recovery</x:v>
      </x:c>
      <x:c r="I117" s="69" t="str">
        <x:v>replace ordering demonstration</x:v>
      </x:c>
      <x:c r="J117" s="70" t="str">
        <x:v>Move the blue tape ball into the bowl.</x:v>
      </x:c>
    </x:row>
    <x:row r="118" ht="64" customHeight="1">
      <x:c r="A118" s="68" t="str">
        <x:v>Not collected</x:v>
      </x:c>
      <x:c r="B118" s="69" t="n">
        <x:v>116</x:v>
      </x:c>
      <x:c r="C118" s="69" t="n">
        <x:v>686</x:v>
      </x:c>
      <x:c r="D118" s="69" t="str">
        <x:v>Ordering/Sequencing</x:v>
      </x:c>
      <x:c r="E118" s="69" t="str">
        <x:v>Pick up the object that is second from the right and place it in the bowl.</x:v>
      </x:c>
      <x:c r="F118" s="69" t="str">
        <x:v>Four collinear objects, camera-view left to right: L1 airplane toy with propellers; L2 blue tape ball; L3 green highlighter; L4 yellow pen. Use approximately 10 cm centre-to-centre spacing; target at L3.</x:v>
      </x:c>
      <x:c r="G118" s="69" t="str">
        <x:v>green highlighter</x:v>
      </x:c>
      <x:c r="H118" s="69" t="str">
        <x:v>Recovery</x:v>
      </x:c>
      <x:c r="I118" s="69" t="str">
        <x:v>replace ordering demonstration</x:v>
      </x:c>
      <x:c r="J118" s="70" t="str">
        <x:v>Put the blue tape ball in the bowl.</x:v>
      </x:c>
    </x:row>
    <x:row r="119" ht="64" customHeight="1">
      <x:c r="A119" s="68" t="str">
        <x:v>Not collected</x:v>
      </x:c>
      <x:c r="B119" s="69" t="n">
        <x:v>117</x:v>
      </x:c>
      <x:c r="C119" s="69" t="n">
        <x:v>687</x:v>
      </x:c>
      <x:c r="D119" s="69" t="str">
        <x:v>Ordering/Sequencing</x:v>
      </x:c>
      <x:c r="E119" s="69" t="str">
        <x:v>Move the second from the right object into the bowl.</x:v>
      </x:c>
      <x:c r="F119" s="69" t="str">
        <x:v>Four collinear objects, camera-view left to right: L1 airplane toy with propellers; L2 blue tape ball; L3 yellow pen; L4 green highlighter. Use approximately 10 cm centre-to-centre spacing; target at L3.</x:v>
      </x:c>
      <x:c r="G119" s="69" t="str">
        <x:v>yellow pen</x:v>
      </x:c>
      <x:c r="H119" s="69" t="str">
        <x:v>Home</x:v>
      </x:c>
      <x:c r="I119" s="69" t="str">
        <x:v>replace ordering demonstration</x:v>
      </x:c>
      <x:c r="J119" s="70" t="str">
        <x:v>Pick up the blue tape ball and place it in the bowl.</x:v>
      </x:c>
    </x:row>
    <x:row r="120" ht="64" customHeight="1">
      <x:c r="A120" s="68" t="str">
        <x:v>Not collected</x:v>
      </x:c>
      <x:c r="B120" s="69" t="n">
        <x:v>118</x:v>
      </x:c>
      <x:c r="C120" s="69" t="n">
        <x:v>688</x:v>
      </x:c>
      <x:c r="D120" s="69" t="str">
        <x:v>Ordering/Sequencing</x:v>
      </x:c>
      <x:c r="E120" s="69" t="str">
        <x:v>Put the object that is second from the right in the bowl.</x:v>
      </x:c>
      <x:c r="F120" s="69" t="str">
        <x:v>Four collinear objects, camera-view left to right: L1 green highlighter; L2 yellow pen; L3 airplane toy with propellers; L4 blue tape ball. Use approximately 10 cm centre-to-centre spacing; target at L3.</x:v>
      </x:c>
      <x:c r="G120" s="69" t="str">
        <x:v>airplane toy with propellers</x:v>
      </x:c>
      <x:c r="H120" s="69" t="str">
        <x:v>Home</x:v>
      </x:c>
      <x:c r="I120" s="69" t="str">
        <x:v>replace ordering demonstration</x:v>
      </x:c>
      <x:c r="J120" s="70" t="str">
        <x:v>Move the blue tape ball into the bowl.</x:v>
      </x:c>
    </x:row>
    <x:row r="121" ht="64" customHeight="1">
      <x:c r="A121" s="68" t="str">
        <x:v>Not collected</x:v>
      </x:c>
      <x:c r="B121" s="69" t="n">
        <x:v>119</x:v>
      </x:c>
      <x:c r="C121" s="69" t="n">
        <x:v>689</x:v>
      </x:c>
      <x:c r="D121" s="69" t="str">
        <x:v>Ordering/Sequencing</x:v>
      </x:c>
      <x:c r="E121" s="69" t="str">
        <x:v>Pick up the object that is second from the right and place it in the bowl.</x:v>
      </x:c>
      <x:c r="F121" s="69" t="str">
        <x:v>Four collinear objects, camera-view left to right: L1 green highlighter; L2 yellow pen; L3 blue tape ball; L4 airplane toy with propellers. Use approximately 10 cm centre-to-centre spacing; target at L3.</x:v>
      </x:c>
      <x:c r="G121" s="69" t="str">
        <x:v>blue tape ball</x:v>
      </x:c>
      <x:c r="H121" s="69" t="str">
        <x:v>Home</x:v>
      </x:c>
      <x:c r="I121" s="69" t="str">
        <x:v>replace ordering demonstration</x:v>
      </x:c>
      <x:c r="J121" s="70" t="str">
        <x:v>Put the blue tape ball in the bowl.</x:v>
      </x:c>
    </x:row>
    <x:row r="122" ht="64" customHeight="1">
      <x:c r="A122" s="68" t="str">
        <x:v>Not collected</x:v>
      </x:c>
      <x:c r="B122" s="69" t="n">
        <x:v>120</x:v>
      </x:c>
      <x:c r="C122" s="69" t="n">
        <x:v>690</x:v>
      </x:c>
      <x:c r="D122" s="69" t="str">
        <x:v>Ordering/Sequencing</x:v>
      </x:c>
      <x:c r="E122" s="69" t="str">
        <x:v>Move the second from the right object into the bowl.</x:v>
      </x:c>
      <x:c r="F122" s="69" t="str">
        <x:v>Four collinear objects, camera-view left to right: L1 blue tape ball; L2 yellow pen; L3 green highlighter; L4 airplane toy with propellers. Use approximately 10 cm centre-to-centre spacing; target at L3.</x:v>
      </x:c>
      <x:c r="G122" s="69" t="str">
        <x:v>green highlighter</x:v>
      </x:c>
      <x:c r="H122" s="69" t="str">
        <x:v>Home</x:v>
      </x:c>
      <x:c r="I122" s="69" t="str">
        <x:v>replace ordering demonstration</x:v>
      </x:c>
      <x:c r="J122" s="70" t="str">
        <x:v>Pick up the blue tape ball and place it in the bowl.</x:v>
      </x:c>
    </x:row>
    <x:row r="123" ht="64" customHeight="1">
      <x:c r="A123" s="68" t="str">
        <x:v>Not collected</x:v>
      </x:c>
      <x:c r="B123" s="69" t="n">
        <x:v>121</x:v>
      </x:c>
      <x:c r="C123" s="69" t="n">
        <x:v>691</x:v>
      </x:c>
      <x:c r="D123" s="69" t="str">
        <x:v>Ordering/Sequencing</x:v>
      </x:c>
      <x:c r="E123" s="69" t="str">
        <x:v>Put the object that is second from the right in the bowl.</x:v>
      </x:c>
      <x:c r="F123" s="69" t="str">
        <x:v>Four collinear objects, camera-view left to right: L1 blue tape ball; L2 green highlighter; L3 yellow pen; L4 airplane toy with propellers. Use approximately 10 cm centre-to-centre spacing; target at L3.</x:v>
      </x:c>
      <x:c r="G123" s="69" t="str">
        <x:v>yellow pen</x:v>
      </x:c>
      <x:c r="H123" s="69" t="str">
        <x:v>Home</x:v>
      </x:c>
      <x:c r="I123" s="69" t="str">
        <x:v>replace ordering demonstration</x:v>
      </x:c>
      <x:c r="J123" s="70" t="str">
        <x:v>Move the blue tape ball into the bowl.</x:v>
      </x:c>
    </x:row>
    <x:row r="124" ht="64" customHeight="1">
      <x:c r="A124" s="68" t="str">
        <x:v>Not collected</x:v>
      </x:c>
      <x:c r="B124" s="69" t="n">
        <x:v>122</x:v>
      </x:c>
      <x:c r="C124" s="69" t="n">
        <x:v>692</x:v>
      </x:c>
      <x:c r="D124" s="69" t="str">
        <x:v>Ordering/Sequencing</x:v>
      </x:c>
      <x:c r="E124" s="69" t="str">
        <x:v>Pick up the object that is second from the right and place it in the bowl.</x:v>
      </x:c>
      <x:c r="F124" s="69" t="str">
        <x:v>Four collinear objects, camera-view left to right: L1 yellow pen; L2 blue tape ball; L3 airplane toy with propellers; L4 green highlighter. Use approximately 10 cm centre-to-centre spacing; target at L3.</x:v>
      </x:c>
      <x:c r="G124" s="69" t="str">
        <x:v>airplane toy with propellers</x:v>
      </x:c>
      <x:c r="H124" s="69" t="str">
        <x:v>Home</x:v>
      </x:c>
      <x:c r="I124" s="69" t="str">
        <x:v>replace ordering demonstration</x:v>
      </x:c>
      <x:c r="J124" s="70" t="str">
        <x:v>Put the blue tape ball in the bowl.</x:v>
      </x:c>
    </x:row>
    <x:row r="125" ht="64" customHeight="1">
      <x:c r="A125" s="68" t="str">
        <x:v>Not collected</x:v>
      </x:c>
      <x:c r="B125" s="69" t="n">
        <x:v>123</x:v>
      </x:c>
      <x:c r="C125" s="69" t="n">
        <x:v>693</x:v>
      </x:c>
      <x:c r="D125" s="69" t="str">
        <x:v>Ordering/Sequencing</x:v>
      </x:c>
      <x:c r="E125" s="69" t="str">
        <x:v>Move the second from the right object into the bowl.</x:v>
      </x:c>
      <x:c r="F125" s="69" t="str">
        <x:v>Four collinear objects, camera-view left to right: L1 yellow pen; L2 airplane toy with propellers; L3 blue tape ball; L4 green highlighter. Use approximately 10 cm centre-to-centre spacing; target at L3.</x:v>
      </x:c>
      <x:c r="G125" s="69" t="str">
        <x:v>blue tape ball</x:v>
      </x:c>
      <x:c r="H125" s="69" t="str">
        <x:v>Home</x:v>
      </x:c>
      <x:c r="I125" s="69" t="str">
        <x:v>replace ordering demonstration</x:v>
      </x:c>
      <x:c r="J125" s="70" t="str">
        <x:v>Pick up the blue tape ball and place it in the bowl.</x:v>
      </x:c>
    </x:row>
    <x:row r="126" ht="64" customHeight="1">
      <x:c r="A126" s="68" t="str">
        <x:v>Not collected</x:v>
      </x:c>
      <x:c r="B126" s="69" t="n">
        <x:v>124</x:v>
      </x:c>
      <x:c r="C126" s="69" t="n">
        <x:v>694</x:v>
      </x:c>
      <x:c r="D126" s="69" t="str">
        <x:v>Ordering/Sequencing</x:v>
      </x:c>
      <x:c r="E126" s="69" t="str">
        <x:v>Put the object that is second from the right in the bowl.</x:v>
      </x:c>
      <x:c r="F126" s="69" t="str">
        <x:v>Four collinear objects, camera-view left to right: L1 yellow pen; L2 airplane toy with propellers; L3 green highlighter; L4 blue tape ball. Use approximately 10 cm centre-to-centre spacing; target at L3.</x:v>
      </x:c>
      <x:c r="G126" s="69" t="str">
        <x:v>green highlighter</x:v>
      </x:c>
      <x:c r="H126" s="69" t="str">
        <x:v>Home</x:v>
      </x:c>
      <x:c r="I126" s="69" t="str">
        <x:v>replace ordering demonstration</x:v>
      </x:c>
      <x:c r="J126" s="70" t="str">
        <x:v>Move the blue tape ball into the bowl.</x:v>
      </x:c>
    </x:row>
    <x:row r="127" ht="64" customHeight="1">
      <x:c r="A127" s="68" t="str">
        <x:v>Not collected</x:v>
      </x:c>
      <x:c r="B127" s="69" t="n">
        <x:v>125</x:v>
      </x:c>
      <x:c r="C127" s="69" t="n">
        <x:v>695</x:v>
      </x:c>
      <x:c r="D127" s="69" t="str">
        <x:v>Ordering/Sequencing</x:v>
      </x:c>
      <x:c r="E127" s="69" t="str">
        <x:v>Pick up the object that is second from the right and place it in the bowl.</x:v>
      </x:c>
      <x:c r="F127" s="69" t="str">
        <x:v>Four collinear objects, camera-view left to right: L1 green highlighter; L2 airplane toy with propellers; L3 yellow pen; L4 blue tape ball. Use approximately 10 cm centre-to-centre spacing; target at L3.</x:v>
      </x:c>
      <x:c r="G127" s="69" t="str">
        <x:v>yellow pen</x:v>
      </x:c>
      <x:c r="H127" s="69" t="str">
        <x:v>Home</x:v>
      </x:c>
      <x:c r="I127" s="69" t="str">
        <x:v>replace ordering demonstration</x:v>
      </x:c>
      <x:c r="J127" s="70" t="str">
        <x:v>Put the blue tape ball in the bowl.</x:v>
      </x:c>
    </x:row>
    <x:row r="128" ht="64" customHeight="1">
      <x:c r="A128" s="68" t="str">
        <x:v>Not collected</x:v>
      </x:c>
      <x:c r="B128" s="69" t="n">
        <x:v>126</x:v>
      </x:c>
      <x:c r="C128" s="69" t="n">
        <x:v>696</x:v>
      </x:c>
      <x:c r="D128" s="69" t="str">
        <x:v>Ordering/Sequencing</x:v>
      </x:c>
      <x:c r="E128" s="69" t="str">
        <x:v>Move the second from the right object into the bowl.</x:v>
      </x:c>
      <x:c r="F128" s="69" t="str">
        <x:v>Four collinear objects, camera-view left to right: L1 blue tape ball; L2 green highlighter; L3 airplane toy with propellers; L4 yellow pen. Use approximately 10 cm centre-to-centre spacing; target at L3.</x:v>
      </x:c>
      <x:c r="G128" s="69" t="str">
        <x:v>airplane toy with propellers</x:v>
      </x:c>
      <x:c r="H128" s="69" t="str">
        <x:v>Home</x:v>
      </x:c>
      <x:c r="I128" s="69" t="str">
        <x:v>replace ordering demonstration</x:v>
      </x:c>
      <x:c r="J128" s="70" t="str">
        <x:v>Pick up the blue tape ball and place it in the bowl.</x:v>
      </x:c>
    </x:row>
    <x:row r="129" ht="64" customHeight="1">
      <x:c r="A129" s="68" t="str">
        <x:v>Not collected</x:v>
      </x:c>
      <x:c r="B129" s="69" t="n">
        <x:v>127</x:v>
      </x:c>
      <x:c r="C129" s="69" t="n">
        <x:v>697</x:v>
      </x:c>
      <x:c r="D129" s="69" t="str">
        <x:v>Ordering/Sequencing</x:v>
      </x:c>
      <x:c r="E129" s="69" t="str">
        <x:v>Put the object that is second from the right in the bowl.</x:v>
      </x:c>
      <x:c r="F129" s="69" t="str">
        <x:v>Four collinear objects, camera-view left to right: L1 airplane toy with propellers; L2 green highlighter; L3 blue tape ball; L4 yellow pen. Use approximately 10 cm centre-to-centre spacing; target at L3.</x:v>
      </x:c>
      <x:c r="G129" s="69" t="str">
        <x:v>blue tape ball</x:v>
      </x:c>
      <x:c r="H129" s="69" t="str">
        <x:v>Recovery</x:v>
      </x:c>
      <x:c r="I129" s="69" t="str">
        <x:v>replace ordering demonstration</x:v>
      </x:c>
      <x:c r="J129" s="70" t="str">
        <x:v>Move the blue tape ball into the bowl.</x:v>
      </x:c>
    </x:row>
    <x:row r="130" ht="64" customHeight="1">
      <x:c r="A130" s="68" t="str">
        <x:v>Not collected</x:v>
      </x:c>
      <x:c r="B130" s="69" t="n">
        <x:v>128</x:v>
      </x:c>
      <x:c r="C130" s="69" t="n">
        <x:v>698</x:v>
      </x:c>
      <x:c r="D130" s="69" t="str">
        <x:v>Ordering/Sequencing</x:v>
      </x:c>
      <x:c r="E130" s="69" t="str">
        <x:v>Pick up the object that is second from the right and place it in the bowl.</x:v>
      </x:c>
      <x:c r="F130" s="69" t="str">
        <x:v>Four collinear objects, camera-view left to right: L1 airplane toy with propellers; L2 blue tape ball; L3 green highlighter; L4 yellow pen. Use approximately 10 cm centre-to-centre spacing; target at L3.</x:v>
      </x:c>
      <x:c r="G130" s="69" t="str">
        <x:v>green highlighter</x:v>
      </x:c>
      <x:c r="H130" s="69" t="str">
        <x:v>Recovery</x:v>
      </x:c>
      <x:c r="I130" s="69" t="str">
        <x:v>replace ordering demonstration</x:v>
      </x:c>
      <x:c r="J130" s="70" t="str">
        <x:v>Put the blue tape ball in the bowl.</x:v>
      </x:c>
    </x:row>
    <x:row r="131" ht="64" customHeight="1">
      <x:c r="A131" s="68" t="str">
        <x:v>Not collected</x:v>
      </x:c>
      <x:c r="B131" s="69" t="n">
        <x:v>129</x:v>
      </x:c>
      <x:c r="C131" s="69" t="n">
        <x:v>699</x:v>
      </x:c>
      <x:c r="D131" s="69" t="str">
        <x:v>Ordering/Sequencing</x:v>
      </x:c>
      <x:c r="E131" s="69" t="str">
        <x:v>Move the second from the right object into the bowl.</x:v>
      </x:c>
      <x:c r="F131" s="69" t="str">
        <x:v>Four collinear objects, camera-view left to right: L1 airplane toy with propellers; L2 blue tape ball; L3 yellow pen; L4 green highlighter. Use approximately 10 cm centre-to-centre spacing; target at L3.</x:v>
      </x:c>
      <x:c r="G131" s="69" t="str">
        <x:v>yellow pen</x:v>
      </x:c>
      <x:c r="H131" s="69" t="str">
        <x:v>Recovery</x:v>
      </x:c>
      <x:c r="I131" s="69" t="str">
        <x:v>replace ordering demonstration</x:v>
      </x:c>
      <x:c r="J131" s="70" t="str">
        <x:v>Pick up the blue tape ball and place it in the bowl.</x:v>
      </x:c>
    </x:row>
    <x:row r="132" ht="64" customHeight="1">
      <x:c r="A132" s="68" t="str">
        <x:v>Not collected</x:v>
      </x:c>
      <x:c r="B132" s="69" t="n">
        <x:v>130</x:v>
      </x:c>
      <x:c r="C132" s="69" t="n">
        <x:v>700</x:v>
      </x:c>
      <x:c r="D132" s="69" t="str">
        <x:v>Ordering/Sequencing</x:v>
      </x:c>
      <x:c r="E132" s="69" t="str">
        <x:v>Put the object that is second from the right in the bowl.</x:v>
      </x:c>
      <x:c r="F132" s="69" t="str">
        <x:v>Four collinear objects, camera-view left to right: L1 green highlighter; L2 yellow pen; L3 airplane toy with propellers; L4 blue tape ball. Use approximately 10 cm centre-to-centre spacing; target at L3.</x:v>
      </x:c>
      <x:c r="G132" s="69" t="str">
        <x:v>airplane toy with propellers</x:v>
      </x:c>
      <x:c r="H132" s="69" t="str">
        <x:v>Home</x:v>
      </x:c>
      <x:c r="I132" s="69" t="str">
        <x:v>replace ordering demonstration</x:v>
      </x:c>
      <x:c r="J132" s="70" t="str">
        <x:v>Put the first object from the left in the bowl.</x:v>
      </x:c>
    </x:row>
    <x:row r="133" ht="64" customHeight="1">
      <x:c r="A133" s="68" t="str">
        <x:v>Not collected</x:v>
      </x:c>
      <x:c r="B133" s="69" t="n">
        <x:v>131</x:v>
      </x:c>
      <x:c r="C133" s="69" t="n">
        <x:v>701</x:v>
      </x:c>
      <x:c r="D133" s="69" t="str">
        <x:v>Ordering/Sequencing</x:v>
      </x:c>
      <x:c r="E133" s="69" t="str">
        <x:v>Pick up the object that is second from the right and place it in the bowl.</x:v>
      </x:c>
      <x:c r="F133" s="69" t="str">
        <x:v>Four collinear objects, camera-view left to right: L1 green highlighter; L2 yellow pen; L3 blue tape ball; L4 airplane toy with propellers. Use approximately 10 cm centre-to-centre spacing; target at L3.</x:v>
      </x:c>
      <x:c r="G133" s="69" t="str">
        <x:v>blue tape ball</x:v>
      </x:c>
      <x:c r="H133" s="69" t="str">
        <x:v>Home</x:v>
      </x:c>
      <x:c r="I133" s="69" t="str">
        <x:v>replace ordering demonstration</x:v>
      </x:c>
      <x:c r="J133" s="70" t="str">
        <x:v>Pick up the object that is fourth from the right and place it in the bowl.</x:v>
      </x:c>
    </x:row>
    <x:row r="134" ht="64" customHeight="1">
      <x:c r="A134" s="68" t="str">
        <x:v>Not collected</x:v>
      </x:c>
      <x:c r="B134" s="69" t="n">
        <x:v>132</x:v>
      </x:c>
      <x:c r="C134" s="69" t="n">
        <x:v>702</x:v>
      </x:c>
      <x:c r="D134" s="69" t="str">
        <x:v>Ordering/Sequencing</x:v>
      </x:c>
      <x:c r="E134" s="69" t="str">
        <x:v>Move the second from the right object into the bowl.</x:v>
      </x:c>
      <x:c r="F134" s="69" t="str">
        <x:v>Four collinear objects, camera-view left to right: L1 blue tape ball; L2 yellow pen; L3 green highlighter; L4 airplane toy with propellers. Use approximately 10 cm centre-to-centre spacing; target at L3.</x:v>
      </x:c>
      <x:c r="G134" s="69" t="str">
        <x:v>green highlighter</x:v>
      </x:c>
      <x:c r="H134" s="69" t="str">
        <x:v>Home</x:v>
      </x:c>
      <x:c r="I134" s="69" t="str">
        <x:v>replace ordering demonstration</x:v>
      </x:c>
      <x:c r="J134" s="70" t="str">
        <x:v>Pick up the object that is first from the left and place it in the bowl.</x:v>
      </x:c>
    </x:row>
    <x:row r="135" ht="64" customHeight="1">
      <x:c r="A135" s="68" t="str">
        <x:v>Not collected</x:v>
      </x:c>
      <x:c r="B135" s="69" t="n">
        <x:v>133</x:v>
      </x:c>
      <x:c r="C135" s="69" t="n">
        <x:v>703</x:v>
      </x:c>
      <x:c r="D135" s="69" t="str">
        <x:v>Ordering/Sequencing</x:v>
      </x:c>
      <x:c r="E135" s="69" t="str">
        <x:v>Put the object that is second from the right in the bowl.</x:v>
      </x:c>
      <x:c r="F135" s="69" t="str">
        <x:v>Four collinear objects, camera-view left to right: L1 blue tape ball; L2 green highlighter; L3 yellow pen; L4 airplane toy with propellers. Use approximately 10 cm centre-to-centre spacing; target at L3.</x:v>
      </x:c>
      <x:c r="G135" s="69" t="str">
        <x:v>yellow pen</x:v>
      </x:c>
      <x:c r="H135" s="69" t="str">
        <x:v>Home</x:v>
      </x:c>
      <x:c r="I135" s="69" t="str">
        <x:v>replace ordering demonstration</x:v>
      </x:c>
      <x:c r="J135" s="70" t="str">
        <x:v>Put the fourth object from the right in the bowl.</x:v>
      </x:c>
    </x:row>
    <x:row r="136" ht="64" customHeight="1">
      <x:c r="A136" s="68" t="str">
        <x:v>Not collected</x:v>
      </x:c>
      <x:c r="B136" s="69" t="n">
        <x:v>134</x:v>
      </x:c>
      <x:c r="C136" s="69" t="n">
        <x:v>704</x:v>
      </x:c>
      <x:c r="D136" s="69" t="str">
        <x:v>Ordering/Sequencing</x:v>
      </x:c>
      <x:c r="E136" s="69" t="str">
        <x:v>Pick up the object that is second from the right and place it in the bowl.</x:v>
      </x:c>
      <x:c r="F136" s="69" t="str">
        <x:v>Four collinear objects, camera-view left to right: L1 yellow pen; L2 blue tape ball; L3 airplane toy with propellers; L4 green highlighter. Use approximately 10 cm centre-to-centre spacing; target at L3.</x:v>
      </x:c>
      <x:c r="G136" s="69" t="str">
        <x:v>airplane toy with propellers</x:v>
      </x:c>
      <x:c r="H136" s="69" t="str">
        <x:v>Home</x:v>
      </x:c>
      <x:c r="I136" s="69" t="str">
        <x:v>replace ordering demonstration</x:v>
      </x:c>
      <x:c r="J136" s="70" t="str">
        <x:v>Move the third item counted from the right into the bowl.</x:v>
      </x:c>
    </x:row>
    <x:row r="137" ht="64" customHeight="1">
      <x:c r="A137" s="68" t="str">
        <x:v>Not collected</x:v>
      </x:c>
      <x:c r="B137" s="69" t="n">
        <x:v>135</x:v>
      </x:c>
      <x:c r="C137" s="69" t="n">
        <x:v>705</x:v>
      </x:c>
      <x:c r="D137" s="69" t="str">
        <x:v>Ordering/Sequencing</x:v>
      </x:c>
      <x:c r="E137" s="69" t="str">
        <x:v>Move the second from the right object into the bowl.</x:v>
      </x:c>
      <x:c r="F137" s="69" t="str">
        <x:v>Four collinear objects, camera-view left to right: L1 yellow pen; L2 airplane toy with propellers; L3 blue tape ball; L4 green highlighter. Use approximately 10 cm centre-to-centre spacing; target at L3.</x:v>
      </x:c>
      <x:c r="G137" s="69" t="str">
        <x:v>blue tape ball</x:v>
      </x:c>
      <x:c r="H137" s="69" t="str">
        <x:v>Home</x:v>
      </x:c>
      <x:c r="I137" s="69" t="str">
        <x:v>replace ordering demonstration</x:v>
      </x:c>
      <x:c r="J137" s="70" t="str">
        <x:v>Move the third item counted from the right into the bowl.</x:v>
      </x:c>
    </x:row>
    <x:row r="138" ht="64" customHeight="1">
      <x:c r="A138" s="68" t="str">
        <x:v>Not collected</x:v>
      </x:c>
      <x:c r="B138" s="69" t="n">
        <x:v>136</x:v>
      </x:c>
      <x:c r="C138" s="69" t="n">
        <x:v>706</x:v>
      </x:c>
      <x:c r="D138" s="69" t="str">
        <x:v>Ordering/Sequencing</x:v>
      </x:c>
      <x:c r="E138" s="69" t="str">
        <x:v>Put the object that is second from the right in the bowl.</x:v>
      </x:c>
      <x:c r="F138" s="69" t="str">
        <x:v>Four collinear objects, camera-view left to right: L1 yellow pen; L2 airplane toy with propellers; L3 green highlighter; L4 blue tape ball. Use approximately 10 cm centre-to-centre spacing; target at L3.</x:v>
      </x:c>
      <x:c r="G138" s="69" t="str">
        <x:v>green highlighter</x:v>
      </x:c>
      <x:c r="H138" s="69" t="str">
        <x:v>Home</x:v>
      </x:c>
      <x:c r="I138" s="69" t="str">
        <x:v>replace ordering demonstration</x:v>
      </x:c>
      <x:c r="J138" s="70" t="str">
        <x:v>Put the first object from the left in the bowl.</x:v>
      </x:c>
    </x:row>
    <x:row r="139" ht="64" customHeight="1">
      <x:c r="A139" s="68" t="str">
        <x:v>Not collected</x:v>
      </x:c>
      <x:c r="B139" s="69" t="n">
        <x:v>137</x:v>
      </x:c>
      <x:c r="C139" s="69" t="n">
        <x:v>707</x:v>
      </x:c>
      <x:c r="D139" s="69" t="str">
        <x:v>Ordering/Sequencing</x:v>
      </x:c>
      <x:c r="E139" s="69" t="str">
        <x:v>Pick up the object that is second from the right and place it in the bowl.</x:v>
      </x:c>
      <x:c r="F139" s="69" t="str">
        <x:v>Four collinear objects, camera-view left to right: L1 green highlighter; L2 airplane toy with propellers; L3 yellow pen; L4 blue tape ball. Use approximately 10 cm centre-to-centre spacing; target at L3.</x:v>
      </x:c>
      <x:c r="G139" s="69" t="str">
        <x:v>yellow pen</x:v>
      </x:c>
      <x:c r="H139" s="69" t="str">
        <x:v>Home</x:v>
      </x:c>
      <x:c r="I139" s="69" t="str">
        <x:v>replace ordering demonstration</x:v>
      </x:c>
      <x:c r="J139" s="70" t="str">
        <x:v>Pick up the object that is third from the right and place it in the bowl.</x:v>
      </x:c>
    </x:row>
    <x:row r="140" ht="64" customHeight="1">
      <x:c r="A140" s="68" t="str">
        <x:v>Not collected</x:v>
      </x:c>
      <x:c r="B140" s="69" t="n">
        <x:v>138</x:v>
      </x:c>
      <x:c r="C140" s="69" t="n">
        <x:v>708</x:v>
      </x:c>
      <x:c r="D140" s="69" t="str">
        <x:v>Ordering/Sequencing</x:v>
      </x:c>
      <x:c r="E140" s="69" t="str">
        <x:v>Move the second from the right object into the bowl.</x:v>
      </x:c>
      <x:c r="F140" s="69" t="str">
        <x:v>Four collinear objects, camera-view left to right: L1 blue tape ball; L2 green highlighter; L3 airplane toy with propellers; L4 yellow pen. Use approximately 10 cm centre-to-centre spacing; target at L3.</x:v>
      </x:c>
      <x:c r="G140" s="69" t="str">
        <x:v>airplane toy with propellers</x:v>
      </x:c>
      <x:c r="H140" s="69" t="str">
        <x:v>Home</x:v>
      </x:c>
      <x:c r="I140" s="69" t="str">
        <x:v>replace ordering demonstration</x:v>
      </x:c>
      <x:c r="J140" s="70" t="str">
        <x:v>Move the second item counted from the right into the bowl.</x:v>
      </x:c>
    </x:row>
    <x:row r="141" ht="64" customHeight="1">
      <x:c r="A141" s="68" t="str">
        <x:v>Not collected</x:v>
      </x:c>
      <x:c r="B141" s="69" t="n">
        <x:v>139</x:v>
      </x:c>
      <x:c r="C141" s="69" t="n">
        <x:v>709</x:v>
      </x:c>
      <x:c r="D141" s="69" t="str">
        <x:v>Ordering/Sequencing</x:v>
      </x:c>
      <x:c r="E141" s="69" t="str">
        <x:v>Put the object that is second from the right in the bowl.</x:v>
      </x:c>
      <x:c r="F141" s="69" t="str">
        <x:v>Four collinear objects, camera-view left to right: L1 airplane toy with propellers; L2 green highlighter; L3 blue tape ball; L4 yellow pen. Use approximately 10 cm centre-to-centre spacing; target at L3.</x:v>
      </x:c>
      <x:c r="G141" s="69" t="str">
        <x:v>blue tape ball</x:v>
      </x:c>
      <x:c r="H141" s="69" t="str">
        <x:v>Home</x:v>
      </x:c>
      <x:c r="I141" s="69" t="str">
        <x:v>replace ordering demonstration</x:v>
      </x:c>
      <x:c r="J141" s="70" t="str">
        <x:v>Put the second object from the right in the bowl.</x:v>
      </x:c>
    </x:row>
    <x:row r="142" ht="64" customHeight="1">
      <x:c r="A142" s="68" t="str">
        <x:v>Not collected</x:v>
      </x:c>
      <x:c r="B142" s="69" t="n">
        <x:v>140</x:v>
      </x:c>
      <x:c r="C142" s="69" t="n">
        <x:v>710</x:v>
      </x:c>
      <x:c r="D142" s="69" t="str">
        <x:v>Ordering/Sequencing</x:v>
      </x:c>
      <x:c r="E142" s="69" t="str">
        <x:v>Pick up the object that is second from the right and place it in the bowl.</x:v>
      </x:c>
      <x:c r="F142" s="69" t="str">
        <x:v>Four collinear objects, camera-view left to right: L1 airplane toy with propellers; L2 blue tape ball; L3 green highlighter; L4 yellow pen. Use approximately 10 cm centre-to-centre spacing; target at L3.</x:v>
      </x:c>
      <x:c r="G142" s="69" t="str">
        <x:v>green highlighter</x:v>
      </x:c>
      <x:c r="H142" s="69" t="str">
        <x:v>Recovery</x:v>
      </x:c>
      <x:c r="I142" s="69" t="str">
        <x:v>replace ordering demonstration</x:v>
      </x:c>
      <x:c r="J142" s="70" t="str">
        <x:v>Put the second object from the right in the bowl.</x:v>
      </x:c>
    </x:row>
    <x:row r="143" ht="64" customHeight="1">
      <x:c r="A143" s="68" t="str">
        <x:v>Not collected</x:v>
      </x:c>
      <x:c r="B143" s="69" t="n">
        <x:v>141</x:v>
      </x:c>
      <x:c r="C143" s="69" t="n">
        <x:v>711</x:v>
      </x:c>
      <x:c r="D143" s="69" t="str">
        <x:v>Ordering/Sequencing</x:v>
      </x:c>
      <x:c r="E143" s="69" t="str">
        <x:v>Move the second from the right object into the bowl.</x:v>
      </x:c>
      <x:c r="F143" s="69" t="str">
        <x:v>Four collinear objects, camera-view left to right: L1 airplane toy with propellers; L2 blue tape ball; L3 yellow pen; L4 green highlighter. Use approximately 10 cm centre-to-centre spacing; target at L3.</x:v>
      </x:c>
      <x:c r="G143" s="69" t="str">
        <x:v>yellow pen</x:v>
      </x:c>
      <x:c r="H143" s="69" t="str">
        <x:v>Home</x:v>
      </x:c>
      <x:c r="I143" s="69" t="str">
        <x:v>replace ordering demonstration</x:v>
      </x:c>
      <x:c r="J143" s="70" t="str">
        <x:v>Put the second object from the right in the bowl.</x:v>
      </x:c>
    </x:row>
    <x:row r="144" ht="64" customHeight="1">
      <x:c r="A144" s="68" t="str">
        <x:v>Not collected</x:v>
      </x:c>
      <x:c r="B144" s="69" t="n">
        <x:v>142</x:v>
      </x:c>
      <x:c r="C144" s="69" t="n">
        <x:v>712</x:v>
      </x:c>
      <x:c r="D144" s="69" t="str">
        <x:v>Ordering/Sequencing</x:v>
      </x:c>
      <x:c r="E144" s="69" t="str">
        <x:v>Put the object that is second from the right in the bowl.</x:v>
      </x:c>
      <x:c r="F144" s="69" t="str">
        <x:v>Four collinear objects, camera-view left to right: L1 green highlighter; L2 yellow pen; L3 airplane toy with propellers; L4 blue tape ball. Use approximately 10 cm centre-to-centre spacing; target at L3.</x:v>
      </x:c>
      <x:c r="G144" s="69" t="str">
        <x:v>airplane toy with propellers</x:v>
      </x:c>
      <x:c r="H144" s="69" t="str">
        <x:v>Recovery</x:v>
      </x:c>
      <x:c r="I144" s="69" t="str">
        <x:v>replace ordering demonstration</x:v>
      </x:c>
      <x:c r="J144" s="70" t="str">
        <x:v>Move the first item counted from the left into the bowl.</x:v>
      </x:c>
    </x:row>
    <x:row r="145" ht="64" customHeight="1">
      <x:c r="A145" s="68" t="str">
        <x:v>Not collected</x:v>
      </x:c>
      <x:c r="B145" s="69" t="n">
        <x:v>143</x:v>
      </x:c>
      <x:c r="C145" s="69" t="n">
        <x:v>713</x:v>
      </x:c>
      <x:c r="D145" s="69" t="str">
        <x:v>Ordering/Sequencing</x:v>
      </x:c>
      <x:c r="E145" s="69" t="str">
        <x:v>Pick up the object that is second from the right and place it in the bowl.</x:v>
      </x:c>
      <x:c r="F145" s="69" t="str">
        <x:v>Four collinear objects, camera-view left to right: L1 green highlighter; L2 yellow pen; L3 blue tape ball; L4 airplane toy with propellers. Use approximately 10 cm centre-to-centre spacing; target at L3.</x:v>
      </x:c>
      <x:c r="G145" s="69" t="str">
        <x:v>blue tape ball</x:v>
      </x:c>
      <x:c r="H145" s="69" t="str">
        <x:v>Recovery</x:v>
      </x:c>
      <x:c r="I145" s="69" t="str">
        <x:v>replace ordering demonstration</x:v>
      </x:c>
      <x:c r="J145" s="70" t="str">
        <x:v>Put the second object from the left in the bowl.</x:v>
      </x:c>
    </x:row>
    <x:row r="146" ht="64" customHeight="1">
      <x:c r="A146" s="68" t="str">
        <x:v>Not collected</x:v>
      </x:c>
      <x:c r="B146" s="69" t="n">
        <x:v>144</x:v>
      </x:c>
      <x:c r="C146" s="69" t="n">
        <x:v>714</x:v>
      </x:c>
      <x:c r="D146" s="69" t="str">
        <x:v>Ordering/Sequencing</x:v>
      </x:c>
      <x:c r="E146" s="69" t="str">
        <x:v>Move the second from the right object into the bowl.</x:v>
      </x:c>
      <x:c r="F146" s="69" t="str">
        <x:v>Four collinear objects, camera-view left to right: L1 blue tape ball; L2 yellow pen; L3 green highlighter; L4 airplane toy with propellers. Use approximately 10 cm centre-to-centre spacing; target at L3.</x:v>
      </x:c>
      <x:c r="G146" s="69" t="str">
        <x:v>green highlighter</x:v>
      </x:c>
      <x:c r="H146" s="69" t="str">
        <x:v>Home</x:v>
      </x:c>
      <x:c r="I146" s="69" t="str">
        <x:v>replace ordering demonstration</x:v>
      </x:c>
      <x:c r="J146" s="70" t="str">
        <x:v>Put the second object from the left in the bowl.</x:v>
      </x:c>
    </x:row>
    <x:row r="147" ht="64" customHeight="1">
      <x:c r="A147" s="68" t="str">
        <x:v>Not collected</x:v>
      </x:c>
      <x:c r="B147" s="69" t="n">
        <x:v>145</x:v>
      </x:c>
      <x:c r="C147" s="69" t="n">
        <x:v>715</x:v>
      </x:c>
      <x:c r="D147" s="69" t="str">
        <x:v>Ordering/Sequencing</x:v>
      </x:c>
      <x:c r="E147" s="69" t="str">
        <x:v>Put the object that is second from the right in the bowl.</x:v>
      </x:c>
      <x:c r="F147" s="69" t="str">
        <x:v>Four collinear objects, camera-view left to right: L1 blue tape ball; L2 green highlighter; L3 yellow pen; L4 airplane toy with propellers. Use approximately 10 cm centre-to-centre spacing; target at L3.</x:v>
      </x:c>
      <x:c r="G147" s="69" t="str">
        <x:v>yellow pen</x:v>
      </x:c>
      <x:c r="H147" s="69" t="str">
        <x:v>Home</x:v>
      </x:c>
      <x:c r="I147" s="69" t="str">
        <x:v>replace ordering demonstration</x:v>
      </x:c>
      <x:c r="J147" s="70" t="str">
        <x:v>Move the second item counted from the left into the bowl.</x:v>
      </x:c>
    </x:row>
    <x:row r="148" ht="64" customHeight="1">
      <x:c r="A148" s="68" t="str">
        <x:v>Not collected</x:v>
      </x:c>
      <x:c r="B148" s="69" t="n">
        <x:v>146</x:v>
      </x:c>
      <x:c r="C148" s="69" t="n">
        <x:v>716</x:v>
      </x:c>
      <x:c r="D148" s="69" t="str">
        <x:v>Ordering/Sequencing</x:v>
      </x:c>
      <x:c r="E148" s="69" t="str">
        <x:v>Pick up the object that is second from the right and place it in the bowl.</x:v>
      </x:c>
      <x:c r="F148" s="69" t="str">
        <x:v>Four collinear objects, camera-view left to right: L1 yellow pen; L2 blue tape ball; L3 airplane toy with propellers; L4 green highlighter. Use approximately 10 cm centre-to-centre spacing; target at L3.</x:v>
      </x:c>
      <x:c r="G148" s="69" t="str">
        <x:v>airplane toy with propellers</x:v>
      </x:c>
      <x:c r="H148" s="69" t="str">
        <x:v>Home</x:v>
      </x:c>
      <x:c r="I148" s="69" t="str">
        <x:v>replace ordering demonstration</x:v>
      </x:c>
      <x:c r="J148" s="70" t="str">
        <x:v>Move the third item counted from the right into the bowl.</x:v>
      </x:c>
    </x:row>
    <x:row r="149" ht="64" customHeight="1">
      <x:c r="A149" s="68" t="str">
        <x:v>Not collected</x:v>
      </x:c>
      <x:c r="B149" s="69" t="n">
        <x:v>147</x:v>
      </x:c>
      <x:c r="C149" s="69" t="n">
        <x:v>717</x:v>
      </x:c>
      <x:c r="D149" s="69" t="str">
        <x:v>Ordering/Sequencing</x:v>
      </x:c>
      <x:c r="E149" s="69" t="str">
        <x:v>Move the second from the right object into the bowl.</x:v>
      </x:c>
      <x:c r="F149" s="69" t="str">
        <x:v>Four collinear objects, camera-view left to right: L1 yellow pen; L2 airplane toy with propellers; L3 blue tape ball; L4 green highlighter. Use approximately 10 cm centre-to-centre spacing; target at L3.</x:v>
      </x:c>
      <x:c r="G149" s="69" t="str">
        <x:v>blue tape ball</x:v>
      </x:c>
      <x:c r="H149" s="69" t="str">
        <x:v>Home</x:v>
      </x:c>
      <x:c r="I149" s="69" t="str">
        <x:v>replace ordering demonstration</x:v>
      </x:c>
      <x:c r="J149" s="70" t="str">
        <x:v>Pick up the object that is second from the left and place it in the bowl.</x:v>
      </x:c>
    </x:row>
    <x:row r="150" ht="64" customHeight="1">
      <x:c r="A150" s="68" t="str">
        <x:v>Not collected</x:v>
      </x:c>
      <x:c r="B150" s="69" t="n">
        <x:v>148</x:v>
      </x:c>
      <x:c r="C150" s="69" t="n">
        <x:v>718</x:v>
      </x:c>
      <x:c r="D150" s="69" t="str">
        <x:v>Ordering/Sequencing</x:v>
      </x:c>
      <x:c r="E150" s="69" t="str">
        <x:v>Put the object that is second from the right in the bowl.</x:v>
      </x:c>
      <x:c r="F150" s="69" t="str">
        <x:v>Four collinear objects, camera-view left to right: L1 yellow pen; L2 airplane toy with propellers; L3 green highlighter; L4 blue tape ball. Use approximately 10 cm centre-to-centre spacing; target at L3.</x:v>
      </x:c>
      <x:c r="G150" s="69" t="str">
        <x:v>green highlighter</x:v>
      </x:c>
      <x:c r="H150" s="69" t="str">
        <x:v>Home</x:v>
      </x:c>
      <x:c r="I150" s="69" t="str">
        <x:v>replace ordering demonstration</x:v>
      </x:c>
      <x:c r="J150" s="70" t="str">
        <x:v>Pick up the object that is third from the right and place it in the bowl.</x:v>
      </x:c>
    </x:row>
    <x:row r="151" ht="64" customHeight="1">
      <x:c r="A151" s="68" t="str">
        <x:v>Not collected</x:v>
      </x:c>
      <x:c r="B151" s="69" t="n">
        <x:v>149</x:v>
      </x:c>
      <x:c r="C151" s="69" t="n">
        <x:v>719</x:v>
      </x:c>
      <x:c r="D151" s="69" t="str">
        <x:v>Ordering/Sequencing</x:v>
      </x:c>
      <x:c r="E151" s="69" t="str">
        <x:v>Pick up the object that is second from the right and place it in the bowl.</x:v>
      </x:c>
      <x:c r="F151" s="69" t="str">
        <x:v>Four collinear objects, camera-view left to right: L1 green highlighter; L2 airplane toy with propellers; L3 yellow pen; L4 blue tape ball. Use approximately 10 cm centre-to-centre spacing; target at L3.</x:v>
      </x:c>
      <x:c r="G151" s="69" t="str">
        <x:v>yellow pen</x:v>
      </x:c>
      <x:c r="H151" s="69" t="str">
        <x:v>Home</x:v>
      </x:c>
      <x:c r="I151" s="69" t="str">
        <x:v>replace ordering demonstration</x:v>
      </x:c>
      <x:c r="J151" s="70" t="str">
        <x:v>Move the second item counted from the left into the bowl.</x:v>
      </x:c>
    </x:row>
    <x:row r="152" ht="64" customHeight="1">
      <x:c r="A152" s="68" t="str">
        <x:v>Not collected</x:v>
      </x:c>
      <x:c r="B152" s="69" t="n">
        <x:v>150</x:v>
      </x:c>
      <x:c r="C152" s="69" t="n">
        <x:v>720</x:v>
      </x:c>
      <x:c r="D152" s="69" t="str">
        <x:v>Ordering/Sequencing</x:v>
      </x:c>
      <x:c r="E152" s="69" t="str">
        <x:v>Move the fourth from the left object into the bowl.</x:v>
      </x:c>
      <x:c r="F152" s="69" t="str">
        <x:v>Four collinear objects, camera-view left to right: L1 blue tape ball; L2 green highlighter; L3 yellow pen; L4 airplane toy with propellers. Use approximately 10 cm centre-to-centre spacing; target at L4.</x:v>
      </x:c>
      <x:c r="G152" s="69" t="str">
        <x:v>airplane toy with propellers</x:v>
      </x:c>
      <x:c r="H152" s="69" t="str">
        <x:v>Home</x:v>
      </x:c>
      <x:c r="I152" s="69" t="str">
        <x:v>replace ordering demonstration</x:v>
      </x:c>
      <x:c r="J152" s="70" t="str">
        <x:v>Pick up the object that is second from the left and place it in the bowl.</x:v>
      </x:c>
    </x:row>
    <x:row r="153" ht="64" customHeight="1">
      <x:c r="A153" s="68" t="str">
        <x:v>Not collected</x:v>
      </x:c>
      <x:c r="B153" s="69" t="n">
        <x:v>151</x:v>
      </x:c>
      <x:c r="C153" s="69" t="n">
        <x:v>721</x:v>
      </x:c>
      <x:c r="D153" s="69" t="str">
        <x:v>Ordering/Sequencing</x:v>
      </x:c>
      <x:c r="E153" s="69" t="str">
        <x:v>Put the object that is fourth from the left in the bowl.</x:v>
      </x:c>
      <x:c r="F153" s="69" t="str">
        <x:v>Four collinear objects, camera-view left to right: L1 airplane toy with propellers; L2 green highlighter; L3 yellow pen; L4 blue tape ball. Use approximately 10 cm centre-to-centre spacing; target at L4.</x:v>
      </x:c>
      <x:c r="G153" s="69" t="str">
        <x:v>blue tape ball</x:v>
      </x:c>
      <x:c r="H153" s="69" t="str">
        <x:v>Home</x:v>
      </x:c>
      <x:c r="I153" s="69" t="str">
        <x:v>replace ordering demonstration</x:v>
      </x:c>
      <x:c r="J153" s="70" t="str">
        <x:v>Put the second object from the left in the bowl.</x:v>
      </x:c>
    </x:row>
    <x:row r="154" ht="64" customHeight="1">
      <x:c r="A154" s="68" t="str">
        <x:v>Not collected</x:v>
      </x:c>
      <x:c r="B154" s="69" t="n">
        <x:v>152</x:v>
      </x:c>
      <x:c r="C154" s="69" t="n">
        <x:v>722</x:v>
      </x:c>
      <x:c r="D154" s="69" t="str">
        <x:v>Ordering/Sequencing</x:v>
      </x:c>
      <x:c r="E154" s="69" t="str">
        <x:v>Pick up the object that is fourth from the left and place it in the bowl.</x:v>
      </x:c>
      <x:c r="F154" s="69" t="str">
        <x:v>Four collinear objects, camera-view left to right: L1 airplane toy with propellers; L2 blue tape ball; L3 yellow pen; L4 green highlighter. Use approximately 10 cm centre-to-centre spacing; target at L4.</x:v>
      </x:c>
      <x:c r="G154" s="69" t="str">
        <x:v>green highlighter</x:v>
      </x:c>
      <x:c r="H154" s="69" t="str">
        <x:v>Home</x:v>
      </x:c>
      <x:c r="I154" s="69" t="str">
        <x:v>replace ordering demonstration</x:v>
      </x:c>
      <x:c r="J154" s="70" t="str">
        <x:v>Move the second item counted from the left into the bowl.</x:v>
      </x:c>
    </x:row>
    <x:row r="155" ht="64" customHeight="1">
      <x:c r="A155" s="68" t="str">
        <x:v>Not collected</x:v>
      </x:c>
      <x:c r="B155" s="69" t="n">
        <x:v>153</x:v>
      </x:c>
      <x:c r="C155" s="69" t="n">
        <x:v>723</x:v>
      </x:c>
      <x:c r="D155" s="69" t="str">
        <x:v>Ordering/Sequencing</x:v>
      </x:c>
      <x:c r="E155" s="69" t="str">
        <x:v>Move the fourth from the left object into the bowl.</x:v>
      </x:c>
      <x:c r="F155" s="69" t="str">
        <x:v>Four collinear objects, camera-view left to right: L1 airplane toy with propellers; L2 blue tape ball; L3 green highlighter; L4 yellow pen. Use approximately 10 cm centre-to-centre spacing; target at L4.</x:v>
      </x:c>
      <x:c r="G155" s="69" t="str">
        <x:v>yellow pen</x:v>
      </x:c>
      <x:c r="H155" s="69" t="str">
        <x:v>Recovery</x:v>
      </x:c>
      <x:c r="I155" s="69" t="str">
        <x:v>replace ordering demonstration</x:v>
      </x:c>
      <x:c r="J155" s="70" t="str">
        <x:v>Put the second object from the left in the bowl.</x:v>
      </x:c>
    </x:row>
    <x:row r="156" ht="64" customHeight="1">
      <x:c r="A156" s="68" t="str">
        <x:v>Not collected</x:v>
      </x:c>
      <x:c r="B156" s="69" t="n">
        <x:v>154</x:v>
      </x:c>
      <x:c r="C156" s="69" t="n">
        <x:v>724</x:v>
      </x:c>
      <x:c r="D156" s="69" t="str">
        <x:v>Ordering/Sequencing</x:v>
      </x:c>
      <x:c r="E156" s="69" t="str">
        <x:v>Put the object that is fourth from the left in the bowl.</x:v>
      </x:c>
      <x:c r="F156" s="69" t="str">
        <x:v>Four collinear objects, camera-view left to right: L1 green highlighter; L2 yellow pen; L3 blue tape ball; L4 airplane toy with propellers. Use approximately 10 cm centre-to-centre spacing; target at L4.</x:v>
      </x:c>
      <x:c r="G156" s="69" t="str">
        <x:v>airplane toy with propellers</x:v>
      </x:c>
      <x:c r="H156" s="69" t="str">
        <x:v>Recovery</x:v>
      </x:c>
      <x:c r="I156" s="69" t="str">
        <x:v>replace ordering demonstration</x:v>
      </x:c>
      <x:c r="J156" s="70" t="str">
        <x:v>Put the second object from the left in the bowl.</x:v>
      </x:c>
    </x:row>
    <x:row r="157" ht="64" customHeight="1">
      <x:c r="A157" s="68" t="str">
        <x:v>Not collected</x:v>
      </x:c>
      <x:c r="B157" s="69" t="n">
        <x:v>155</x:v>
      </x:c>
      <x:c r="C157" s="69" t="n">
        <x:v>725</x:v>
      </x:c>
      <x:c r="D157" s="69" t="str">
        <x:v>Ordering/Sequencing</x:v>
      </x:c>
      <x:c r="E157" s="69" t="str">
        <x:v>Pick up the object that is fourth from the left and place it in the bowl.</x:v>
      </x:c>
      <x:c r="F157" s="69" t="str">
        <x:v>Four collinear objects, camera-view left to right: L1 green highlighter; L2 yellow pen; L3 airplane toy with propellers; L4 blue tape ball. Use approximately 10 cm centre-to-centre spacing; target at L4.</x:v>
      </x:c>
      <x:c r="G157" s="69" t="str">
        <x:v>blue tape ball</x:v>
      </x:c>
      <x:c r="H157" s="69" t="str">
        <x:v>Home</x:v>
      </x:c>
      <x:c r="I157" s="69" t="str">
        <x:v>replace ordering demonstration</x:v>
      </x:c>
      <x:c r="J157" s="70" t="str">
        <x:v>Put the green highlighter in the bowl.</x:v>
      </x:c>
    </x:row>
    <x:row r="158" ht="64" customHeight="1">
      <x:c r="A158" s="68" t="str">
        <x:v>Not collected</x:v>
      </x:c>
      <x:c r="B158" s="69" t="n">
        <x:v>156</x:v>
      </x:c>
      <x:c r="C158" s="69" t="n">
        <x:v>726</x:v>
      </x:c>
      <x:c r="D158" s="69" t="str">
        <x:v>Ordering/Sequencing</x:v>
      </x:c>
      <x:c r="E158" s="69" t="str">
        <x:v>Move the fourth from the left object into the bowl.</x:v>
      </x:c>
      <x:c r="F158" s="69" t="str">
        <x:v>Four collinear objects, camera-view left to right: L1 blue tape ball; L2 yellow pen; L3 airplane toy with propellers; L4 green highlighter. Use approximately 10 cm centre-to-centre spacing; target at L4.</x:v>
      </x:c>
      <x:c r="G158" s="69" t="str">
        <x:v>green highlighter</x:v>
      </x:c>
      <x:c r="H158" s="69" t="str">
        <x:v>Home</x:v>
      </x:c>
      <x:c r="I158" s="69" t="str">
        <x:v>replace ordering demonstration</x:v>
      </x:c>
      <x:c r="J158" s="70" t="str">
        <x:v>Pick up the green highlighter and place it in the bowl.</x:v>
      </x:c>
    </x:row>
    <x:row r="159" ht="64" customHeight="1">
      <x:c r="A159" s="68" t="str">
        <x:v>Not collected</x:v>
      </x:c>
      <x:c r="B159" s="69" t="n">
        <x:v>157</x:v>
      </x:c>
      <x:c r="C159" s="69" t="n">
        <x:v>727</x:v>
      </x:c>
      <x:c r="D159" s="69" t="str">
        <x:v>Ordering/Sequencing</x:v>
      </x:c>
      <x:c r="E159" s="69" t="str">
        <x:v>Put the object that is fourth from the left in the bowl.</x:v>
      </x:c>
      <x:c r="F159" s="69" t="str">
        <x:v>Four collinear objects, camera-view left to right: L1 blue tape ball; L2 green highlighter; L3 airplane toy with propellers; L4 yellow pen. Use approximately 10 cm centre-to-centre spacing; target at L4.</x:v>
      </x:c>
      <x:c r="G159" s="69" t="str">
        <x:v>yellow pen</x:v>
      </x:c>
      <x:c r="H159" s="69" t="str">
        <x:v>Home</x:v>
      </x:c>
      <x:c r="I159" s="69" t="str">
        <x:v>replace ordering demonstration</x:v>
      </x:c>
      <x:c r="J159" s="70" t="str">
        <x:v>Move the green highlighter into the bowl.</x:v>
      </x:c>
    </x:row>
    <x:row r="160" ht="64" customHeight="1">
      <x:c r="A160" s="68" t="str">
        <x:v>Not collected</x:v>
      </x:c>
      <x:c r="B160" s="69" t="n">
        <x:v>158</x:v>
      </x:c>
      <x:c r="C160" s="69" t="n">
        <x:v>728</x:v>
      </x:c>
      <x:c r="D160" s="69" t="str">
        <x:v>Ordering/Sequencing</x:v>
      </x:c>
      <x:c r="E160" s="69" t="str">
        <x:v>Pick up the object that is fourth from the left and place it in the bowl.</x:v>
      </x:c>
      <x:c r="F160" s="69" t="str">
        <x:v>Four collinear objects, camera-view left to right: L1 yellow pen; L2 blue tape ball; L3 green highlighter; L4 airplane toy with propellers. Use approximately 10 cm centre-to-centre spacing; target at L4.</x:v>
      </x:c>
      <x:c r="G160" s="69" t="str">
        <x:v>airplane toy with propellers</x:v>
      </x:c>
      <x:c r="H160" s="69" t="str">
        <x:v>Home</x:v>
      </x:c>
      <x:c r="I160" s="69" t="str">
        <x:v>replace ordering demonstration</x:v>
      </x:c>
      <x:c r="J160" s="70" t="str">
        <x:v>Put the green highlighter in the bowl.</x:v>
      </x:c>
    </x:row>
    <x:row r="161" ht="64" customHeight="1">
      <x:c r="A161" s="68" t="str">
        <x:v>Not collected</x:v>
      </x:c>
      <x:c r="B161" s="69" t="n">
        <x:v>159</x:v>
      </x:c>
      <x:c r="C161" s="69" t="n">
        <x:v>729</x:v>
      </x:c>
      <x:c r="D161" s="69" t="str">
        <x:v>Ordering/Sequencing</x:v>
      </x:c>
      <x:c r="E161" s="69" t="str">
        <x:v>Move the fourth from the left object into the bowl.</x:v>
      </x:c>
      <x:c r="F161" s="69" t="str">
        <x:v>Four collinear objects, camera-view left to right: L1 yellow pen; L2 airplane toy with propellers; L3 green highlighter; L4 blue tape ball. Use approximately 10 cm centre-to-centre spacing; target at L4.</x:v>
      </x:c>
      <x:c r="G161" s="69" t="str">
        <x:v>blue tape ball</x:v>
      </x:c>
      <x:c r="H161" s="69" t="str">
        <x:v>Home</x:v>
      </x:c>
      <x:c r="I161" s="69" t="str">
        <x:v>replace ordering demonstration</x:v>
      </x:c>
      <x:c r="J161" s="70" t="str">
        <x:v>Put the green highlighter in the bowl.</x:v>
      </x:c>
    </x:row>
    <x:row r="162" ht="64" customHeight="1">
      <x:c r="A162" s="68" t="str">
        <x:v>Not collected</x:v>
      </x:c>
      <x:c r="B162" s="69" t="n">
        <x:v>160</x:v>
      </x:c>
      <x:c r="C162" s="69" t="n">
        <x:v>730</x:v>
      </x:c>
      <x:c r="D162" s="69" t="str">
        <x:v>Ordering/Sequencing</x:v>
      </x:c>
      <x:c r="E162" s="69" t="str">
        <x:v>Put the object that is fourth from the left in the bowl.</x:v>
      </x:c>
      <x:c r="F162" s="69" t="str">
        <x:v>Four collinear objects, camera-view left to right: L1 yellow pen; L2 airplane toy with propellers; L3 blue tape ball; L4 green highlighter. Use approximately 10 cm centre-to-centre spacing; target at L4.</x:v>
      </x:c>
      <x:c r="G162" s="69" t="str">
        <x:v>green highlighter</x:v>
      </x:c>
      <x:c r="H162" s="69" t="str">
        <x:v>Home</x:v>
      </x:c>
      <x:c r="I162" s="69" t="str">
        <x:v>replace ordering demonstration</x:v>
      </x:c>
      <x:c r="J162" s="70" t="str">
        <x:v>Pick up the green highlighter and place it in the bowl.</x:v>
      </x:c>
    </x:row>
    <x:row r="163" ht="64" customHeight="1">
      <x:c r="A163" s="68" t="str">
        <x:v>Not collected</x:v>
      </x:c>
      <x:c r="B163" s="69" t="n">
        <x:v>161</x:v>
      </x:c>
      <x:c r="C163" s="69" t="n">
        <x:v>731</x:v>
      </x:c>
      <x:c r="D163" s="69" t="str">
        <x:v>Ordering/Sequencing</x:v>
      </x:c>
      <x:c r="E163" s="69" t="str">
        <x:v>Pick up the object that is fourth from the left and place it in the bowl.</x:v>
      </x:c>
      <x:c r="F163" s="69" t="str">
        <x:v>Four collinear objects, camera-view left to right: L1 green highlighter; L2 airplane toy with propellers; L3 blue tape ball; L4 yellow pen. Use approximately 10 cm centre-to-centre spacing; target at L4.</x:v>
      </x:c>
      <x:c r="G163" s="69" t="str">
        <x:v>yellow pen</x:v>
      </x:c>
      <x:c r="H163" s="69" t="str">
        <x:v>Home</x:v>
      </x:c>
      <x:c r="I163" s="69" t="str">
        <x:v>replace ordering demonstration</x:v>
      </x:c>
      <x:c r="J163" s="70" t="str">
        <x:v>Move the green highlighter into the bowl.</x:v>
      </x:c>
    </x:row>
    <x:row r="164" ht="64" customHeight="1">
      <x:c r="A164" s="68" t="str">
        <x:v>Not collected</x:v>
      </x:c>
      <x:c r="B164" s="69" t="n">
        <x:v>162</x:v>
      </x:c>
      <x:c r="C164" s="69" t="n">
        <x:v>732</x:v>
      </x:c>
      <x:c r="D164" s="69" t="str">
        <x:v>Ordering/Sequencing</x:v>
      </x:c>
      <x:c r="E164" s="69" t="str">
        <x:v>Move the fourth from the left object into the bowl.</x:v>
      </x:c>
      <x:c r="F164" s="69" t="str">
        <x:v>Four collinear objects, camera-view left to right: L1 blue tape ball; L2 green highlighter; L3 yellow pen; L4 airplane toy with propellers. Use approximately 10 cm centre-to-centre spacing; target at L4.</x:v>
      </x:c>
      <x:c r="G164" s="69" t="str">
        <x:v>airplane toy with propellers</x:v>
      </x:c>
      <x:c r="H164" s="69" t="str">
        <x:v>Home</x:v>
      </x:c>
      <x:c r="I164" s="69" t="str">
        <x:v>replace ordering demonstration</x:v>
      </x:c>
      <x:c r="J164" s="70" t="str">
        <x:v>Pick up the green highlighter and place it in the bowl.</x:v>
      </x:c>
    </x:row>
    <x:row r="165" ht="64" customHeight="1">
      <x:c r="A165" s="68" t="str">
        <x:v>Not collected</x:v>
      </x:c>
      <x:c r="B165" s="69" t="n">
        <x:v>163</x:v>
      </x:c>
      <x:c r="C165" s="69" t="n">
        <x:v>733</x:v>
      </x:c>
      <x:c r="D165" s="69" t="str">
        <x:v>Ordering/Sequencing</x:v>
      </x:c>
      <x:c r="E165" s="69" t="str">
        <x:v>Put the object that is fourth from the left in the bowl.</x:v>
      </x:c>
      <x:c r="F165" s="69" t="str">
        <x:v>Four collinear objects, camera-view left to right: L1 airplane toy with propellers; L2 green highlighter; L3 yellow pen; L4 blue tape ball. Use approximately 10 cm centre-to-centre spacing; target at L4.</x:v>
      </x:c>
      <x:c r="G165" s="69" t="str">
        <x:v>blue tape ball</x:v>
      </x:c>
      <x:c r="H165" s="69" t="str">
        <x:v>Home</x:v>
      </x:c>
      <x:c r="I165" s="69" t="str">
        <x:v>replace ordering demonstration</x:v>
      </x:c>
      <x:c r="J165" s="70" t="str">
        <x:v>Put the green highlighter in the bowl.</x:v>
      </x:c>
    </x:row>
    <x:row r="166" ht="64" customHeight="1">
      <x:c r="A166" s="68" t="str">
        <x:v>Not collected</x:v>
      </x:c>
      <x:c r="B166" s="69" t="n">
        <x:v>164</x:v>
      </x:c>
      <x:c r="C166" s="69" t="n">
        <x:v>734</x:v>
      </x:c>
      <x:c r="D166" s="69" t="str">
        <x:v>Ordering/Sequencing</x:v>
      </x:c>
      <x:c r="E166" s="69" t="str">
        <x:v>Pick up the object that is fourth from the left and place it in the bowl.</x:v>
      </x:c>
      <x:c r="F166" s="69" t="str">
        <x:v>Four collinear objects, camera-view left to right: L1 airplane toy with propellers; L2 blue tape ball; L3 yellow pen; L4 green highlighter. Use approximately 10 cm centre-to-centre spacing; target at L4.</x:v>
      </x:c>
      <x:c r="G166" s="69" t="str">
        <x:v>green highlighter</x:v>
      </x:c>
      <x:c r="H166" s="69" t="str">
        <x:v>Home</x:v>
      </x:c>
      <x:c r="I166" s="69" t="str">
        <x:v>replace ordering demonstration</x:v>
      </x:c>
      <x:c r="J166" s="70" t="str">
        <x:v>Move the green highlighter into the bowl.</x:v>
      </x:c>
    </x:row>
    <x:row r="167" ht="64" customHeight="1">
      <x:c r="A167" s="68" t="str">
        <x:v>Not collected</x:v>
      </x:c>
      <x:c r="B167" s="69" t="n">
        <x:v>165</x:v>
      </x:c>
      <x:c r="C167" s="69" t="n">
        <x:v>735</x:v>
      </x:c>
      <x:c r="D167" s="69" t="str">
        <x:v>Ordering/Sequencing</x:v>
      </x:c>
      <x:c r="E167" s="69" t="str">
        <x:v>Move the fourth from the left object into the bowl.</x:v>
      </x:c>
      <x:c r="F167" s="69" t="str">
        <x:v>Four collinear objects, camera-view left to right: L1 airplane toy with propellers; L2 blue tape ball; L3 green highlighter; L4 yellow pen. Use approximately 10 cm centre-to-centre spacing; target at L4.</x:v>
      </x:c>
      <x:c r="G167" s="69" t="str">
        <x:v>yellow pen</x:v>
      </x:c>
      <x:c r="H167" s="69" t="str">
        <x:v>Recovery</x:v>
      </x:c>
      <x:c r="I167" s="69" t="str">
        <x:v>replace ordering demonstration</x:v>
      </x:c>
      <x:c r="J167" s="70" t="str">
        <x:v>Pick up the green highlighter and place it in the bowl.</x:v>
      </x:c>
    </x:row>
    <x:row r="168" ht="64" customHeight="1">
      <x:c r="A168" s="68" t="str">
        <x:v>Not collected</x:v>
      </x:c>
      <x:c r="B168" s="69" t="n">
        <x:v>166</x:v>
      </x:c>
      <x:c r="C168" s="69" t="n">
        <x:v>736</x:v>
      </x:c>
      <x:c r="D168" s="69" t="str">
        <x:v>Ordering/Sequencing</x:v>
      </x:c>
      <x:c r="E168" s="69" t="str">
        <x:v>Put the object that is fourth from the left in the bowl.</x:v>
      </x:c>
      <x:c r="F168" s="69" t="str">
        <x:v>Four collinear objects, camera-view left to right: L1 green highlighter; L2 yellow pen; L3 blue tape ball; L4 airplane toy with propellers. Use approximately 10 cm centre-to-centre spacing; target at L4.</x:v>
      </x:c>
      <x:c r="G168" s="69" t="str">
        <x:v>airplane toy with propellers</x:v>
      </x:c>
      <x:c r="H168" s="69" t="str">
        <x:v>Recovery</x:v>
      </x:c>
      <x:c r="I168" s="69" t="str">
        <x:v>replace ordering demonstration</x:v>
      </x:c>
      <x:c r="J168" s="70" t="str">
        <x:v>Move the green highlighter into the bowl.</x:v>
      </x:c>
    </x:row>
    <x:row r="169" ht="64" customHeight="1">
      <x:c r="A169" s="68" t="str">
        <x:v>Not collected</x:v>
      </x:c>
      <x:c r="B169" s="69" t="n">
        <x:v>167</x:v>
      </x:c>
      <x:c r="C169" s="69" t="n">
        <x:v>737</x:v>
      </x:c>
      <x:c r="D169" s="69" t="str">
        <x:v>Ordering/Sequencing</x:v>
      </x:c>
      <x:c r="E169" s="69" t="str">
        <x:v>Pick up the object that is fourth from the left and place it in the bowl.</x:v>
      </x:c>
      <x:c r="F169" s="69" t="str">
        <x:v>Four collinear objects, camera-view left to right: L1 green highlighter; L2 yellow pen; L3 airplane toy with propellers; L4 blue tape ball. Use approximately 10 cm centre-to-centre spacing; target at L4.</x:v>
      </x:c>
      <x:c r="G169" s="69" t="str">
        <x:v>blue tape ball</x:v>
      </x:c>
      <x:c r="H169" s="69" t="str">
        <x:v>Recovery</x:v>
      </x:c>
      <x:c r="I169" s="69" t="str">
        <x:v>replace ordering demonstration</x:v>
      </x:c>
      <x:c r="J169" s="70" t="str">
        <x:v>Put the green highlighter in the bowl.</x:v>
      </x:c>
    </x:row>
    <x:row r="170" ht="64" customHeight="1">
      <x:c r="A170" s="68" t="str">
        <x:v>Not collected</x:v>
      </x:c>
      <x:c r="B170" s="69" t="n">
        <x:v>168</x:v>
      </x:c>
      <x:c r="C170" s="69" t="n">
        <x:v>738</x:v>
      </x:c>
      <x:c r="D170" s="69" t="str">
        <x:v>Ordering/Sequencing</x:v>
      </x:c>
      <x:c r="E170" s="69" t="str">
        <x:v>Move the fourth from the left object into the bowl.</x:v>
      </x:c>
      <x:c r="F170" s="69" t="str">
        <x:v>Four collinear objects, camera-view left to right: L1 blue tape ball; L2 yellow pen; L3 airplane toy with propellers; L4 green highlighter. Use approximately 10 cm centre-to-centre spacing; target at L4.</x:v>
      </x:c>
      <x:c r="G170" s="69" t="str">
        <x:v>green highlighter</x:v>
      </x:c>
      <x:c r="H170" s="69" t="str">
        <x:v>Home</x:v>
      </x:c>
      <x:c r="I170" s="69" t="str">
        <x:v>replace ordering demonstration</x:v>
      </x:c>
      <x:c r="J170" s="70" t="str">
        <x:v>Pick up the green highlighter and place it in the bowl.</x:v>
      </x:c>
    </x:row>
    <x:row r="171" ht="64" customHeight="1">
      <x:c r="A171" s="68" t="str">
        <x:v>Not collected</x:v>
      </x:c>
      <x:c r="B171" s="69" t="n">
        <x:v>169</x:v>
      </x:c>
      <x:c r="C171" s="69" t="n">
        <x:v>739</x:v>
      </x:c>
      <x:c r="D171" s="69" t="str">
        <x:v>Ordering/Sequencing</x:v>
      </x:c>
      <x:c r="E171" s="69" t="str">
        <x:v>Put the object that is fourth from the left in the bowl.</x:v>
      </x:c>
      <x:c r="F171" s="69" t="str">
        <x:v>Four collinear objects, camera-view left to right: L1 blue tape ball; L2 green highlighter; L3 airplane toy with propellers; L4 yellow pen. Use approximately 10 cm centre-to-centre spacing; target at L4.</x:v>
      </x:c>
      <x:c r="G171" s="69" t="str">
        <x:v>yellow pen</x:v>
      </x:c>
      <x:c r="H171" s="69" t="str">
        <x:v>Home</x:v>
      </x:c>
      <x:c r="I171" s="69" t="str">
        <x:v>replace ordering demonstration</x:v>
      </x:c>
      <x:c r="J171" s="70" t="str">
        <x:v>Move the green highlighter into the bowl.</x:v>
      </x:c>
    </x:row>
    <x:row r="172" ht="64" customHeight="1">
      <x:c r="A172" s="68" t="str">
        <x:v>Not collected</x:v>
      </x:c>
      <x:c r="B172" s="69" t="n">
        <x:v>170</x:v>
      </x:c>
      <x:c r="C172" s="69" t="n">
        <x:v>740</x:v>
      </x:c>
      <x:c r="D172" s="69" t="str">
        <x:v>Ordering/Sequencing</x:v>
      </x:c>
      <x:c r="E172" s="69" t="str">
        <x:v>Pick up the object that is fourth from the left and place it in the bowl.</x:v>
      </x:c>
      <x:c r="F172" s="69" t="str">
        <x:v>Four collinear objects, camera-view left to right: L1 yellow pen; L2 blue tape ball; L3 green highlighter; L4 airplane toy with propellers. Use approximately 10 cm centre-to-centre spacing; target at L4.</x:v>
      </x:c>
      <x:c r="G172" s="69" t="str">
        <x:v>airplane toy with propellers</x:v>
      </x:c>
      <x:c r="H172" s="69" t="str">
        <x:v>Home</x:v>
      </x:c>
      <x:c r="I172" s="69" t="str">
        <x:v>replace ordering demonstration</x:v>
      </x:c>
      <x:c r="J172" s="70" t="str">
        <x:v>Put the green highlighter in the bowl.</x:v>
      </x:c>
    </x:row>
    <x:row r="173" ht="64" customHeight="1">
      <x:c r="A173" s="68" t="str">
        <x:v>Not collected</x:v>
      </x:c>
      <x:c r="B173" s="69" t="n">
        <x:v>171</x:v>
      </x:c>
      <x:c r="C173" s="69" t="n">
        <x:v>741</x:v>
      </x:c>
      <x:c r="D173" s="69" t="str">
        <x:v>Ordering/Sequencing</x:v>
      </x:c>
      <x:c r="E173" s="69" t="str">
        <x:v>Move the fourth from the left object into the bowl.</x:v>
      </x:c>
      <x:c r="F173" s="69" t="str">
        <x:v>Four collinear objects, camera-view left to right: L1 yellow pen; L2 airplane toy with propellers; L3 green highlighter; L4 blue tape ball. Use approximately 10 cm centre-to-centre spacing; target at L4.</x:v>
      </x:c>
      <x:c r="G173" s="69" t="str">
        <x:v>blue tape ball</x:v>
      </x:c>
      <x:c r="H173" s="69" t="str">
        <x:v>Home</x:v>
      </x:c>
      <x:c r="I173" s="69" t="str">
        <x:v>replace ordering demonstration</x:v>
      </x:c>
      <x:c r="J173" s="70" t="str">
        <x:v>Pick up the green highlighter and place it in the bowl.</x:v>
      </x:c>
    </x:row>
    <x:row r="174" ht="64" customHeight="1">
      <x:c r="A174" s="68" t="str">
        <x:v>Not collected</x:v>
      </x:c>
      <x:c r="B174" s="69" t="n">
        <x:v>172</x:v>
      </x:c>
      <x:c r="C174" s="69" t="n">
        <x:v>742</x:v>
      </x:c>
      <x:c r="D174" s="69" t="str">
        <x:v>Ordering/Sequencing</x:v>
      </x:c>
      <x:c r="E174" s="69" t="str">
        <x:v>Put the object that is fourth from the left in the bowl.</x:v>
      </x:c>
      <x:c r="F174" s="69" t="str">
        <x:v>Four collinear objects, camera-view left to right: L1 yellow pen; L2 airplane toy with propellers; L3 blue tape ball; L4 green highlighter. Use approximately 10 cm centre-to-centre spacing; target at L4.</x:v>
      </x:c>
      <x:c r="G174" s="69" t="str">
        <x:v>green highlighter</x:v>
      </x:c>
      <x:c r="H174" s="69" t="str">
        <x:v>Home</x:v>
      </x:c>
      <x:c r="I174" s="69" t="str">
        <x:v>replace ordering demonstration</x:v>
      </x:c>
      <x:c r="J174" s="70" t="str">
        <x:v>Move the green highlighter into the bowl.</x:v>
      </x:c>
    </x:row>
    <x:row r="175" ht="64" customHeight="1">
      <x:c r="A175" s="68" t="str">
        <x:v>Not collected</x:v>
      </x:c>
      <x:c r="B175" s="69" t="n">
        <x:v>173</x:v>
      </x:c>
      <x:c r="C175" s="69" t="n">
        <x:v>743</x:v>
      </x:c>
      <x:c r="D175" s="69" t="str">
        <x:v>Ordering/Sequencing</x:v>
      </x:c>
      <x:c r="E175" s="69" t="str">
        <x:v>Pick up the object that is fourth from the left and place it in the bowl.</x:v>
      </x:c>
      <x:c r="F175" s="69" t="str">
        <x:v>Four collinear objects, camera-view left to right: L1 green highlighter; L2 airplane toy with propellers; L3 blue tape ball; L4 yellow pen. Use approximately 10 cm centre-to-centre spacing; target at L4.</x:v>
      </x:c>
      <x:c r="G175" s="69" t="str">
        <x:v>yellow pen</x:v>
      </x:c>
      <x:c r="H175" s="69" t="str">
        <x:v>Home</x:v>
      </x:c>
      <x:c r="I175" s="69" t="str">
        <x:v>replace ordering demonstration</x:v>
      </x:c>
      <x:c r="J175" s="70" t="str">
        <x:v>Put the green highlighter in the bowl.</x:v>
      </x:c>
    </x:row>
    <x:row r="176" ht="64" customHeight="1">
      <x:c r="A176" s="68" t="str">
        <x:v>Not collected</x:v>
      </x:c>
      <x:c r="B176" s="69" t="n">
        <x:v>174</x:v>
      </x:c>
      <x:c r="C176" s="69" t="n">
        <x:v>744</x:v>
      </x:c>
      <x:c r="D176" s="69" t="str">
        <x:v>Ordering/Sequencing</x:v>
      </x:c>
      <x:c r="E176" s="69" t="str">
        <x:v>Move the fourth from the left object into the bowl.</x:v>
      </x:c>
      <x:c r="F176" s="69" t="str">
        <x:v>Four collinear objects, camera-view left to right: L1 blue tape ball; L2 green highlighter; L3 yellow pen; L4 airplane toy with propellers. Use approximately 10 cm centre-to-centre spacing; target at L4.</x:v>
      </x:c>
      <x:c r="G176" s="69" t="str">
        <x:v>airplane toy with propellers</x:v>
      </x:c>
      <x:c r="H176" s="69" t="str">
        <x:v>Home</x:v>
      </x:c>
      <x:c r="I176" s="69" t="str">
        <x:v>replace ordering demonstration</x:v>
      </x:c>
      <x:c r="J176" s="70" t="str">
        <x:v>Pick up the green highlighter and place it in the bowl.</x:v>
      </x:c>
    </x:row>
    <x:row r="177" ht="64" customHeight="1">
      <x:c r="A177" s="68" t="str">
        <x:v>Not collected</x:v>
      </x:c>
      <x:c r="B177" s="69" t="n">
        <x:v>175</x:v>
      </x:c>
      <x:c r="C177" s="69" t="n">
        <x:v>745</x:v>
      </x:c>
      <x:c r="D177" s="69" t="str">
        <x:v>Ordering/Sequencing</x:v>
      </x:c>
      <x:c r="E177" s="69" t="str">
        <x:v>Put the object that is fourth from the left in the bowl.</x:v>
      </x:c>
      <x:c r="F177" s="69" t="str">
        <x:v>Four collinear objects, camera-view left to right: L1 airplane toy with propellers; L2 green highlighter; L3 yellow pen; L4 blue tape ball. Use approximately 10 cm centre-to-centre spacing; target at L4.</x:v>
      </x:c>
      <x:c r="G177" s="69" t="str">
        <x:v>blue tape ball</x:v>
      </x:c>
      <x:c r="H177" s="69" t="str">
        <x:v>Home</x:v>
      </x:c>
      <x:c r="I177" s="69" t="str">
        <x:v>replace ordering demonstration</x:v>
      </x:c>
      <x:c r="J177" s="70" t="str">
        <x:v>Move the green highlighter into the bowl.</x:v>
      </x:c>
    </x:row>
    <x:row r="178" ht="64" customHeight="1">
      <x:c r="A178" s="68" t="str">
        <x:v>Not collected</x:v>
      </x:c>
      <x:c r="B178" s="69" t="n">
        <x:v>176</x:v>
      </x:c>
      <x:c r="C178" s="69" t="n">
        <x:v>746</x:v>
      </x:c>
      <x:c r="D178" s="69" t="str">
        <x:v>Ordering/Sequencing</x:v>
      </x:c>
      <x:c r="E178" s="69" t="str">
        <x:v>Pick up the object that is fourth from the left and place it in the bowl.</x:v>
      </x:c>
      <x:c r="F178" s="69" t="str">
        <x:v>Four collinear objects, camera-view left to right: L1 airplane toy with propellers; L2 blue tape ball; L3 yellow pen; L4 green highlighter. Use approximately 10 cm centre-to-centre spacing; target at L4.</x:v>
      </x:c>
      <x:c r="G178" s="69" t="str">
        <x:v>green highlighter</x:v>
      </x:c>
      <x:c r="H178" s="69" t="str">
        <x:v>Home</x:v>
      </x:c>
      <x:c r="I178" s="69" t="str">
        <x:v>replace ordering demonstration</x:v>
      </x:c>
      <x:c r="J178" s="70" t="str">
        <x:v>Put the green highlighter in the bowl.</x:v>
      </x:c>
    </x:row>
    <x:row r="179" ht="64" customHeight="1">
      <x:c r="A179" s="68" t="str">
        <x:v>Not collected</x:v>
      </x:c>
      <x:c r="B179" s="69" t="n">
        <x:v>177</x:v>
      </x:c>
      <x:c r="C179" s="69" t="n">
        <x:v>747</x:v>
      </x:c>
      <x:c r="D179" s="69" t="str">
        <x:v>Ordering/Sequencing</x:v>
      </x:c>
      <x:c r="E179" s="69" t="str">
        <x:v>Move the fourth from the left object into the bowl.</x:v>
      </x:c>
      <x:c r="F179" s="69" t="str">
        <x:v>Four collinear objects, camera-view left to right: L1 airplane toy with propellers; L2 blue tape ball; L3 green highlighter; L4 yellow pen. Use approximately 10 cm centre-to-centre spacing; target at L4.</x:v>
      </x:c>
      <x:c r="G179" s="69" t="str">
        <x:v>yellow pen</x:v>
      </x:c>
      <x:c r="H179" s="69" t="str">
        <x:v>Home</x:v>
      </x:c>
      <x:c r="I179" s="69" t="str">
        <x:v>replace ordering demonstration</x:v>
      </x:c>
      <x:c r="J179" s="70" t="str">
        <x:v>Pick up the green highlighter and place it in the bowl.</x:v>
      </x:c>
    </x:row>
    <x:row r="180" ht="64" customHeight="1">
      <x:c r="A180" s="68" t="str">
        <x:v>Not collected</x:v>
      </x:c>
      <x:c r="B180" s="69" t="n">
        <x:v>178</x:v>
      </x:c>
      <x:c r="C180" s="69" t="n">
        <x:v>748</x:v>
      </x:c>
      <x:c r="D180" s="69" t="str">
        <x:v>Ordering/Sequencing</x:v>
      </x:c>
      <x:c r="E180" s="69" t="str">
        <x:v>Put the object that is fourth from the left in the bowl.</x:v>
      </x:c>
      <x:c r="F180" s="69" t="str">
        <x:v>Four collinear objects, camera-view left to right: L1 green highlighter; L2 yellow pen; L3 blue tape ball; L4 airplane toy with propellers. Use approximately 10 cm centre-to-centre spacing; target at L4.</x:v>
      </x:c>
      <x:c r="G180" s="69" t="str">
        <x:v>airplane toy with propellers</x:v>
      </x:c>
      <x:c r="H180" s="69" t="str">
        <x:v>Recovery</x:v>
      </x:c>
      <x:c r="I180" s="69" t="str">
        <x:v>replace ordering demonstration</x:v>
      </x:c>
      <x:c r="J180" s="70" t="str">
        <x:v>Move the green highlighter into the bowl.</x:v>
      </x:c>
    </x:row>
    <x:row r="181" ht="64" customHeight="1">
      <x:c r="A181" s="68" t="str">
        <x:v>Not collected</x:v>
      </x:c>
      <x:c r="B181" s="69" t="n">
        <x:v>179</x:v>
      </x:c>
      <x:c r="C181" s="69" t="n">
        <x:v>749</x:v>
      </x:c>
      <x:c r="D181" s="69" t="str">
        <x:v>Ordering/Sequencing</x:v>
      </x:c>
      <x:c r="E181" s="69" t="str">
        <x:v>Pick up the object that is fourth from the left and place it in the bowl.</x:v>
      </x:c>
      <x:c r="F181" s="69" t="str">
        <x:v>Four collinear objects, camera-view left to right: L1 green highlighter; L2 yellow pen; L3 airplane toy with propellers; L4 blue tape ball. Use approximately 10 cm centre-to-centre spacing; target at L4.</x:v>
      </x:c>
      <x:c r="G181" s="69" t="str">
        <x:v>blue tape ball</x:v>
      </x:c>
      <x:c r="H181" s="69" t="str">
        <x:v>Recovery</x:v>
      </x:c>
      <x:c r="I181" s="69" t="str">
        <x:v>replace ordering demonstration</x:v>
      </x:c>
      <x:c r="J181" s="70" t="str">
        <x:v>Put the green highlighter in the bowl.</x:v>
      </x:c>
    </x:row>
    <x:row r="182" ht="64" customHeight="1">
      <x:c r="A182" s="68" t="str">
        <x:v>Not collected</x:v>
      </x:c>
      <x:c r="B182" s="69" t="n">
        <x:v>180</x:v>
      </x:c>
      <x:c r="C182" s="69" t="n">
        <x:v>750</x:v>
      </x:c>
      <x:c r="D182" s="69" t="str">
        <x:v>Ordering/Sequencing</x:v>
      </x:c>
      <x:c r="E182" s="69" t="str">
        <x:v>Move the fourth from the left object into the bowl.</x:v>
      </x:c>
      <x:c r="F182" s="69" t="str">
        <x:v>Four collinear objects, camera-view left to right: L1 blue tape ball; L2 yellow pen; L3 airplane toy with propellers; L4 green highlighter. Use approximately 10 cm centre-to-centre spacing; target at L4.</x:v>
      </x:c>
      <x:c r="G182" s="69" t="str">
        <x:v>green highlighter</x:v>
      </x:c>
      <x:c r="H182" s="69" t="str">
        <x:v>Home</x:v>
      </x:c>
      <x:c r="I182" s="69" t="str">
        <x:v>replace ordering demonstration</x:v>
      </x:c>
      <x:c r="J182" s="70" t="str">
        <x:v>Move the first item counted from the left into the bowl.</x:v>
      </x:c>
    </x:row>
    <x:row r="183" ht="64" customHeight="1">
      <x:c r="A183" s="68" t="str">
        <x:v>Not collected</x:v>
      </x:c>
      <x:c r="B183" s="69" t="n">
        <x:v>181</x:v>
      </x:c>
      <x:c r="C183" s="69" t="n">
        <x:v>751</x:v>
      </x:c>
      <x:c r="D183" s="69" t="str">
        <x:v>Ordering/Sequencing</x:v>
      </x:c>
      <x:c r="E183" s="69" t="str">
        <x:v>Put the object that is fourth from the left in the bowl.</x:v>
      </x:c>
      <x:c r="F183" s="69" t="str">
        <x:v>Four collinear objects, camera-view left to right: L1 blue tape ball; L2 green highlighter; L3 airplane toy with propellers; L4 yellow pen. Use approximately 10 cm centre-to-centre spacing; target at L4.</x:v>
      </x:c>
      <x:c r="G183" s="69" t="str">
        <x:v>yellow pen</x:v>
      </x:c>
      <x:c r="H183" s="69" t="str">
        <x:v>Home</x:v>
      </x:c>
      <x:c r="I183" s="69" t="str">
        <x:v>replace ordering demonstration</x:v>
      </x:c>
      <x:c r="J183" s="70" t="str">
        <x:v>Move the fourth item counted from the right into the bowl.</x:v>
      </x:c>
    </x:row>
    <x:row r="184" ht="64" customHeight="1">
      <x:c r="A184" s="68" t="str">
        <x:v>Not collected</x:v>
      </x:c>
      <x:c r="B184" s="69" t="n">
        <x:v>182</x:v>
      </x:c>
      <x:c r="C184" s="69" t="n">
        <x:v>752</x:v>
      </x:c>
      <x:c r="D184" s="69" t="str">
        <x:v>Ordering/Sequencing</x:v>
      </x:c>
      <x:c r="E184" s="69" t="str">
        <x:v>Pick up the object that is fourth from the left and place it in the bowl.</x:v>
      </x:c>
      <x:c r="F184" s="69" t="str">
        <x:v>Four collinear objects, camera-view left to right: L1 yellow pen; L2 blue tape ball; L3 green highlighter; L4 airplane toy with propellers. Use approximately 10 cm centre-to-centre spacing; target at L4.</x:v>
      </x:c>
      <x:c r="G184" s="69" t="str">
        <x:v>airplane toy with propellers</x:v>
      </x:c>
      <x:c r="H184" s="69" t="str">
        <x:v>Home</x:v>
      </x:c>
      <x:c r="I184" s="69" t="str">
        <x:v>replace ordering demonstration</x:v>
      </x:c>
      <x:c r="J184" s="70" t="str">
        <x:v>Put the fourth object from the right in the bowl.</x:v>
      </x:c>
    </x:row>
    <x:row r="185" ht="64" customHeight="1">
      <x:c r="A185" s="68" t="str">
        <x:v>Not collected</x:v>
      </x:c>
      <x:c r="B185" s="69" t="n">
        <x:v>183</x:v>
      </x:c>
      <x:c r="C185" s="69" t="n">
        <x:v>753</x:v>
      </x:c>
      <x:c r="D185" s="69" t="str">
        <x:v>Ordering/Sequencing</x:v>
      </x:c>
      <x:c r="E185" s="69" t="str">
        <x:v>Move the fourth from the left object into the bowl.</x:v>
      </x:c>
      <x:c r="F185" s="69" t="str">
        <x:v>Four collinear objects, camera-view left to right: L1 yellow pen; L2 airplane toy with propellers; L3 green highlighter; L4 blue tape ball. Use approximately 10 cm centre-to-centre spacing; target at L4.</x:v>
      </x:c>
      <x:c r="G185" s="69" t="str">
        <x:v>blue tape ball</x:v>
      </x:c>
      <x:c r="H185" s="69" t="str">
        <x:v>Home</x:v>
      </x:c>
      <x:c r="I185" s="69" t="str">
        <x:v>replace ordering demonstration</x:v>
      </x:c>
      <x:c r="J185" s="70" t="str">
        <x:v>Move the first item counted from the left into the bowl.</x:v>
      </x:c>
    </x:row>
    <x:row r="186" ht="64" customHeight="1">
      <x:c r="A186" s="68" t="str">
        <x:v>Not collected</x:v>
      </x:c>
      <x:c r="B186" s="69" t="n">
        <x:v>184</x:v>
      </x:c>
      <x:c r="C186" s="69" t="n">
        <x:v>754</x:v>
      </x:c>
      <x:c r="D186" s="69" t="str">
        <x:v>Ordering/Sequencing</x:v>
      </x:c>
      <x:c r="E186" s="69" t="str">
        <x:v>Put the object that is fourth from the left in the bowl.</x:v>
      </x:c>
      <x:c r="F186" s="69" t="str">
        <x:v>Four collinear objects, camera-view left to right: L1 yellow pen; L2 airplane toy with propellers; L3 blue tape ball; L4 green highlighter. Use approximately 10 cm centre-to-centre spacing; target at L4.</x:v>
      </x:c>
      <x:c r="G186" s="69" t="str">
        <x:v>green highlighter</x:v>
      </x:c>
      <x:c r="H186" s="69" t="str">
        <x:v>Home</x:v>
      </x:c>
      <x:c r="I186" s="69" t="str">
        <x:v>replace ordering demonstration</x:v>
      </x:c>
      <x:c r="J186" s="70" t="str">
        <x:v>Move the third item counted from the right into the bowl.</x:v>
      </x:c>
    </x:row>
    <x:row r="187" ht="64" customHeight="1">
      <x:c r="A187" s="68" t="str">
        <x:v>Not collected</x:v>
      </x:c>
      <x:c r="B187" s="69" t="n">
        <x:v>185</x:v>
      </x:c>
      <x:c r="C187" s="69" t="n">
        <x:v>755</x:v>
      </x:c>
      <x:c r="D187" s="69" t="str">
        <x:v>Ordering/Sequencing</x:v>
      </x:c>
      <x:c r="E187" s="69" t="str">
        <x:v>Pick up the object that is fourth from the left and place it in the bowl.</x:v>
      </x:c>
      <x:c r="F187" s="69" t="str">
        <x:v>Four collinear objects, camera-view left to right: L1 green highlighter; L2 airplane toy with propellers; L3 blue tape ball; L4 yellow pen. Use approximately 10 cm centre-to-centre spacing; target at L4.</x:v>
      </x:c>
      <x:c r="G187" s="69" t="str">
        <x:v>yellow pen</x:v>
      </x:c>
      <x:c r="H187" s="69" t="str">
        <x:v>Home</x:v>
      </x:c>
      <x:c r="I187" s="69" t="str">
        <x:v>replace ordering demonstration</x:v>
      </x:c>
      <x:c r="J187" s="70" t="str">
        <x:v>Move the third item counted from the right into the bowl.</x:v>
      </x:c>
    </x:row>
    <x:row r="188" ht="64" customHeight="1">
      <x:c r="A188" s="68" t="str">
        <x:v>Not collected</x:v>
      </x:c>
      <x:c r="B188" s="69" t="n">
        <x:v>186</x:v>
      </x:c>
      <x:c r="C188" s="69" t="n">
        <x:v>756</x:v>
      </x:c>
      <x:c r="D188" s="69" t="str">
        <x:v>Ordering/Sequencing</x:v>
      </x:c>
      <x:c r="E188" s="69" t="str">
        <x:v>Move the fourth from the left object into the bowl.</x:v>
      </x:c>
      <x:c r="F188" s="69" t="str">
        <x:v>Four collinear objects, camera-view left to right: L1 blue tape ball; L2 green highlighter; L3 yellow pen; L4 airplane toy with propellers. Use approximately 10 cm centre-to-centre spacing; target at L4.</x:v>
      </x:c>
      <x:c r="G188" s="69" t="str">
        <x:v>airplane toy with propellers</x:v>
      </x:c>
      <x:c r="H188" s="69" t="str">
        <x:v>Home</x:v>
      </x:c>
      <x:c r="I188" s="69" t="str">
        <x:v>replace ordering demonstration</x:v>
      </x:c>
      <x:c r="J188" s="70" t="str">
        <x:v>Move the third item counted from the right into the bowl.</x:v>
      </x:c>
    </x:row>
    <x:row r="189" ht="64" customHeight="1">
      <x:c r="A189" s="68" t="str">
        <x:v>Not collected</x:v>
      </x:c>
      <x:c r="B189" s="69" t="n">
        <x:v>187</x:v>
      </x:c>
      <x:c r="C189" s="69" t="n">
        <x:v>757</x:v>
      </x:c>
      <x:c r="D189" s="69" t="str">
        <x:v>Ordering/Sequencing</x:v>
      </x:c>
      <x:c r="E189" s="69" t="str">
        <x:v>Put the object that is fourth from the left in the bowl.</x:v>
      </x:c>
      <x:c r="F189" s="69" t="str">
        <x:v>Four collinear objects, camera-view left to right: L1 airplane toy with propellers; L2 green highlighter; L3 yellow pen; L4 blue tape ball. Use approximately 10 cm centre-to-centre spacing; target at L4.</x:v>
      </x:c>
      <x:c r="G189" s="69" t="str">
        <x:v>blue tape ball</x:v>
      </x:c>
      <x:c r="H189" s="69" t="str">
        <x:v>Home</x:v>
      </x:c>
      <x:c r="I189" s="69" t="str">
        <x:v>replace ordering demonstration</x:v>
      </x:c>
      <x:c r="J189" s="70" t="str">
        <x:v>Put the first object from the left in the bowl.</x:v>
      </x:c>
    </x:row>
    <x:row r="190" ht="64" customHeight="1">
      <x:c r="A190" s="68" t="str">
        <x:v>Not collected</x:v>
      </x:c>
      <x:c r="B190" s="69" t="n">
        <x:v>188</x:v>
      </x:c>
      <x:c r="C190" s="69" t="n">
        <x:v>758</x:v>
      </x:c>
      <x:c r="D190" s="69" t="str">
        <x:v>Ordering/Sequencing</x:v>
      </x:c>
      <x:c r="E190" s="69" t="str">
        <x:v>Pick up the object that is fourth from the left and place it in the bowl.</x:v>
      </x:c>
      <x:c r="F190" s="69" t="str">
        <x:v>Four collinear objects, camera-view left to right: L1 airplane toy with propellers; L2 blue tape ball; L3 yellow pen; L4 green highlighter. Use approximately 10 cm centre-to-centre spacing; target at L4.</x:v>
      </x:c>
      <x:c r="G190" s="69" t="str">
        <x:v>green highlighter</x:v>
      </x:c>
      <x:c r="H190" s="69" t="str">
        <x:v>Home</x:v>
      </x:c>
      <x:c r="I190" s="69" t="str">
        <x:v>replace ordering demonstration</x:v>
      </x:c>
      <x:c r="J190" s="70" t="str">
        <x:v>Move the second item counted from the right into the bowl.</x:v>
      </x:c>
    </x:row>
    <x:row r="191" ht="64" customHeight="1">
      <x:c r="A191" s="68" t="str">
        <x:v>Not collected</x:v>
      </x:c>
      <x:c r="B191" s="69" t="n">
        <x:v>189</x:v>
      </x:c>
      <x:c r="C191" s="69" t="n">
        <x:v>759</x:v>
      </x:c>
      <x:c r="D191" s="69" t="str">
        <x:v>Ordering/Sequencing</x:v>
      </x:c>
      <x:c r="E191" s="69" t="str">
        <x:v>Move the fourth from the left object into the bowl.</x:v>
      </x:c>
      <x:c r="F191" s="69" t="str">
        <x:v>Four collinear objects, camera-view left to right: L1 airplane toy with propellers; L2 blue tape ball; L3 green highlighter; L4 yellow pen. Use approximately 10 cm centre-to-centre spacing; target at L4.</x:v>
      </x:c>
      <x:c r="G191" s="69" t="str">
        <x:v>yellow pen</x:v>
      </x:c>
      <x:c r="H191" s="69" t="str">
        <x:v>Home</x:v>
      </x:c>
      <x:c r="I191" s="69" t="str">
        <x:v>replace ordering demonstration</x:v>
      </x:c>
      <x:c r="J191" s="70" t="str">
        <x:v>Pick up the object that is second from the right and place it in the bowl.</x:v>
      </x:c>
    </x:row>
    <x:row r="192" ht="64" customHeight="1">
      <x:c r="A192" s="68" t="str">
        <x:v>Not collected</x:v>
      </x:c>
      <x:c r="B192" s="69" t="n">
        <x:v>190</x:v>
      </x:c>
      <x:c r="C192" s="69" t="n">
        <x:v>760</x:v>
      </x:c>
      <x:c r="D192" s="69" t="str">
        <x:v>Ordering/Sequencing</x:v>
      </x:c>
      <x:c r="E192" s="69" t="str">
        <x:v>Put the airplane toy with propellers in the bowl.</x:v>
      </x:c>
      <x:c r="F192" s="69" t="str">
        <x:v>Four collinear objects, camera-view left to right: L1 airplane toy with propellers; L2 green highlighter; L3 yellow pen; L4 blue tape ball. Use approximately 10 cm centre-to-centre spacing; target at L1.</x:v>
      </x:c>
      <x:c r="G192" s="69" t="str">
        <x:v>airplane toy with propellers</x:v>
      </x:c>
      <x:c r="H192" s="69" t="str">
        <x:v>Recovery</x:v>
      </x:c>
      <x:c r="I192" s="69" t="str">
        <x:v>replace ordering demonstration</x:v>
      </x:c>
      <x:c r="J192" s="70" t="str">
        <x:v>Pick up the object that is second from the right and place it in the bowl.</x:v>
      </x:c>
    </x:row>
    <x:row r="193" ht="64" customHeight="1">
      <x:c r="A193" s="68" t="str">
        <x:v>Not collected</x:v>
      </x:c>
      <x:c r="B193" s="69" t="n">
        <x:v>191</x:v>
      </x:c>
      <x:c r="C193" s="69" t="n">
        <x:v>761</x:v>
      </x:c>
      <x:c r="D193" s="69" t="str">
        <x:v>Ordering/Sequencing</x:v>
      </x:c>
      <x:c r="E193" s="69" t="str">
        <x:v>Pick up the blue tape ball and place it in the bowl.</x:v>
      </x:c>
      <x:c r="F193" s="69" t="str">
        <x:v>Four collinear objects, camera-view left to right: L1 blue tape ball; L2 green highlighter; L3 yellow pen; L4 airplane toy with propellers. Use approximately 10 cm centre-to-centre spacing; target at L1.</x:v>
      </x:c>
      <x:c r="G193" s="69" t="str">
        <x:v>blue tape ball</x:v>
      </x:c>
      <x:c r="H193" s="69" t="str">
        <x:v>Recovery</x:v>
      </x:c>
      <x:c r="I193" s="69" t="str">
        <x:v>replace ordering demonstration</x:v>
      </x:c>
      <x:c r="J193" s="70" t="str">
        <x:v>Pick up the object that is second from the right and place it in the bowl.</x:v>
      </x:c>
    </x:row>
    <x:row r="194" ht="64" customHeight="1">
      <x:c r="A194" s="68" t="str">
        <x:v>Not collected</x:v>
      </x:c>
      <x:c r="B194" s="69" t="n">
        <x:v>192</x:v>
      </x:c>
      <x:c r="C194" s="69" t="n">
        <x:v>762</x:v>
      </x:c>
      <x:c r="D194" s="69" t="str">
        <x:v>Ordering/Sequencing</x:v>
      </x:c>
      <x:c r="E194" s="69" t="str">
        <x:v>Move the green highlighter into the bowl.</x:v>
      </x:c>
      <x:c r="F194" s="69" t="str">
        <x:v>Four collinear objects, camera-view left to right: L1 green highlighter; L2 blue tape ball; L3 yellow pen; L4 airplane toy with propellers. Use approximately 10 cm centre-to-centre spacing; target at L1.</x:v>
      </x:c>
      <x:c r="G194" s="69" t="str">
        <x:v>green highlighter</x:v>
      </x:c>
      <x:c r="H194" s="69" t="str">
        <x:v>Home</x:v>
      </x:c>
      <x:c r="I194" s="69" t="str">
        <x:v>replace ordering demonstration</x:v>
      </x:c>
      <x:c r="J194" s="70" t="str">
        <x:v>Put the second object from the left in the bowl.</x:v>
      </x:c>
    </x:row>
    <x:row r="195" ht="64" customHeight="1">
      <x:c r="A195" s="68" t="str">
        <x:v>Not collected</x:v>
      </x:c>
      <x:c r="B195" s="69" t="n">
        <x:v>193</x:v>
      </x:c>
      <x:c r="C195" s="69" t="n">
        <x:v>763</x:v>
      </x:c>
      <x:c r="D195" s="69" t="str">
        <x:v>Ordering/Sequencing</x:v>
      </x:c>
      <x:c r="E195" s="69" t="str">
        <x:v>Put the yellow pen in the bowl.</x:v>
      </x:c>
      <x:c r="F195" s="69" t="str">
        <x:v>Four collinear objects, camera-view left to right: L1 yellow pen; L2 blue tape ball; L3 green highlighter; L4 airplane toy with propellers. Use approximately 10 cm centre-to-centre spacing; target at L1.</x:v>
      </x:c>
      <x:c r="G195" s="69" t="str">
        <x:v>yellow pen</x:v>
      </x:c>
      <x:c r="H195" s="69" t="str">
        <x:v>Home</x:v>
      </x:c>
      <x:c r="I195" s="69" t="str">
        <x:v>replace ordering demonstration</x:v>
      </x:c>
      <x:c r="J195" s="70" t="str">
        <x:v>Move the second item counted from the left into the bowl.</x:v>
      </x:c>
    </x:row>
    <x:row r="196" ht="64" customHeight="1">
      <x:c r="A196" s="68" t="str">
        <x:v>Not collected</x:v>
      </x:c>
      <x:c r="B196" s="69" t="n">
        <x:v>194</x:v>
      </x:c>
      <x:c r="C196" s="69" t="n">
        <x:v>764</x:v>
      </x:c>
      <x:c r="D196" s="69" t="str">
        <x:v>Ordering/Sequencing</x:v>
      </x:c>
      <x:c r="E196" s="69" t="str">
        <x:v>Pick up the airplane toy with propellers and place it in the bowl.</x:v>
      </x:c>
      <x:c r="F196" s="69" t="str">
        <x:v>Four collinear objects, camera-view left to right: L1 airplane toy with propellers; L2 yellow pen; L3 blue tape ball; L4 green highlighter. Use approximately 10 cm centre-to-centre spacing; target at L1.</x:v>
      </x:c>
      <x:c r="G196" s="69" t="str">
        <x:v>airplane toy with propellers</x:v>
      </x:c>
      <x:c r="H196" s="69" t="str">
        <x:v>Home</x:v>
      </x:c>
      <x:c r="I196" s="69" t="str">
        <x:v>replace ordering demonstration</x:v>
      </x:c>
      <x:c r="J196" s="70" t="str">
        <x:v>Put the second object from the left in the bowl.</x:v>
      </x:c>
    </x:row>
    <x:row r="197" ht="64" customHeight="1">
      <x:c r="A197" s="68" t="str">
        <x:v>Not collected</x:v>
      </x:c>
      <x:c r="B197" s="69" t="n">
        <x:v>195</x:v>
      </x:c>
      <x:c r="C197" s="69" t="n">
        <x:v>765</x:v>
      </x:c>
      <x:c r="D197" s="69" t="str">
        <x:v>Ordering/Sequencing</x:v>
      </x:c>
      <x:c r="E197" s="69" t="str">
        <x:v>Move the blue tape ball into the bowl.</x:v>
      </x:c>
      <x:c r="F197" s="69" t="str">
        <x:v>Four collinear objects, camera-view left to right: L1 blue tape ball; L2 yellow pen; L3 airplane toy with propellers; L4 green highlighter. Use approximately 10 cm centre-to-centre spacing; target at L1.</x:v>
      </x:c>
      <x:c r="G197" s="69" t="str">
        <x:v>blue tape ball</x:v>
      </x:c>
      <x:c r="H197" s="69" t="str">
        <x:v>Home</x:v>
      </x:c>
      <x:c r="I197" s="69" t="str">
        <x:v>replace ordering demonstration</x:v>
      </x:c>
      <x:c r="J197" s="70" t="str">
        <x:v>Pick up the object that is second from the left and place it in the bowl.</x:v>
      </x:c>
    </x:row>
    <x:row r="198" ht="64" customHeight="1">
      <x:c r="A198" s="68" t="str">
        <x:v>Not collected</x:v>
      </x:c>
      <x:c r="B198" s="69" t="n">
        <x:v>196</x:v>
      </x:c>
      <x:c r="C198" s="69" t="n">
        <x:v>766</x:v>
      </x:c>
      <x:c r="D198" s="69" t="str">
        <x:v>Ordering/Sequencing</x:v>
      </x:c>
      <x:c r="E198" s="69" t="str">
        <x:v>Put the green highlighter in the bowl.</x:v>
      </x:c>
      <x:c r="F198" s="69" t="str">
        <x:v>Four collinear objects, camera-view left to right: L1 green highlighter; L2 yellow pen; L3 airplane toy with propellers; L4 blue tape ball. Use approximately 10 cm centre-to-centre spacing; target at L1.</x:v>
      </x:c>
      <x:c r="G198" s="69" t="str">
        <x:v>green highlighter</x:v>
      </x:c>
      <x:c r="H198" s="69" t="str">
        <x:v>Home</x:v>
      </x:c>
      <x:c r="I198" s="69" t="str">
        <x:v>replace ordering demonstration</x:v>
      </x:c>
      <x:c r="J198" s="70" t="str">
        <x:v>Put the third object from the right in the bowl.</x:v>
      </x:c>
    </x:row>
    <x:row r="199" ht="64" customHeight="1">
      <x:c r="A199" s="68" t="str">
        <x:v>Not collected</x:v>
      </x:c>
      <x:c r="B199" s="69" t="n">
        <x:v>197</x:v>
      </x:c>
      <x:c r="C199" s="69" t="n">
        <x:v>767</x:v>
      </x:c>
      <x:c r="D199" s="69" t="str">
        <x:v>Ordering/Sequencing</x:v>
      </x:c>
      <x:c r="E199" s="69" t="str">
        <x:v>Pick up the yellow pen and place it in the bowl.</x:v>
      </x:c>
      <x:c r="F199" s="69" t="str">
        <x:v>Four collinear objects, camera-view left to right: L1 yellow pen; L2 green highlighter; L3 airplane toy with propellers; L4 blue tape ball. Use approximately 10 cm centre-to-centre spacing; target at L1.</x:v>
      </x:c>
      <x:c r="G199" s="69" t="str">
        <x:v>yellow pen</x:v>
      </x:c>
      <x:c r="H199" s="69" t="str">
        <x:v>Home</x:v>
      </x:c>
      <x:c r="I199" s="69" t="str">
        <x:v>replace ordering demonstration</x:v>
      </x:c>
      <x:c r="J199" s="70" t="str">
        <x:v>Put the third object from the right in the bowl.</x:v>
      </x:c>
    </x:row>
    <x:row r="200" ht="64" customHeight="1">
      <x:c r="A200" s="68" t="str">
        <x:v>Not collected</x:v>
      </x:c>
      <x:c r="B200" s="69" t="n">
        <x:v>198</x:v>
      </x:c>
      <x:c r="C200" s="69" t="n">
        <x:v>768</x:v>
      </x:c>
      <x:c r="D200" s="69" t="str">
        <x:v>Ordering/Sequencing</x:v>
      </x:c>
      <x:c r="E200" s="69" t="str">
        <x:v>Move the airplane toy with propellers into the bowl.</x:v>
      </x:c>
      <x:c r="F200" s="69" t="str">
        <x:v>Four collinear objects, camera-view left to right: L1 airplane toy with propellers; L2 blue tape ball; L3 green highlighter; L4 yellow pen. Use approximately 10 cm centre-to-centre spacing; target at L1.</x:v>
      </x:c>
      <x:c r="G200" s="69" t="str">
        <x:v>airplane toy with propellers</x:v>
      </x:c>
      <x:c r="H200" s="69" t="str">
        <x:v>Home</x:v>
      </x:c>
      <x:c r="I200" s="69" t="str">
        <x:v>replace ordering demonstration</x:v>
      </x:c>
      <x:c r="J200" s="70" t="str">
        <x:v>Pick up the object that is second from the left and place it in the bowl.</x:v>
      </x:c>
    </x:row>
    <x:row r="201" ht="64" customHeight="1">
      <x:c r="A201" s="68" t="str">
        <x:v>Not collected</x:v>
      </x:c>
      <x:c r="B201" s="69" t="n">
        <x:v>199</x:v>
      </x:c>
      <x:c r="C201" s="69" t="n">
        <x:v>769</x:v>
      </x:c>
      <x:c r="D201" s="69" t="str">
        <x:v>Ordering/Sequencing</x:v>
      </x:c>
      <x:c r="E201" s="69" t="str">
        <x:v>Put the blue tape ball in the bowl.</x:v>
      </x:c>
      <x:c r="F201" s="69" t="str">
        <x:v>Four collinear objects, camera-view left to right: L1 blue tape ball; L2 airplane toy with propellers; L3 green highlighter; L4 yellow pen. Use approximately 10 cm centre-to-centre spacing; target at L1.</x:v>
      </x:c>
      <x:c r="G201" s="69" t="str">
        <x:v>blue tape ball</x:v>
      </x:c>
      <x:c r="H201" s="69" t="str">
        <x:v>Home</x:v>
      </x:c>
      <x:c r="I201" s="69" t="str">
        <x:v>replace ordering demonstration</x:v>
      </x:c>
      <x:c r="J201" s="70" t="str">
        <x:v>Pick up the object that is second from the left and place it in the bowl.</x:v>
      </x:c>
    </x:row>
    <x:row r="202" ht="64" customHeight="1">
      <x:c r="A202" s="68" t="str">
        <x:v>Not collected</x:v>
      </x:c>
      <x:c r="B202" s="69" t="n">
        <x:v>200</x:v>
      </x:c>
      <x:c r="C202" s="69" t="n">
        <x:v>770</x:v>
      </x:c>
      <x:c r="D202" s="69" t="str">
        <x:v>Ordering/Sequencing</x:v>
      </x:c>
      <x:c r="E202" s="69" t="str">
        <x:v>Pick up the green highlighter and place it in the bowl.</x:v>
      </x:c>
      <x:c r="F202" s="69" t="str">
        <x:v>Four collinear objects, camera-view left to right: L1 airplane toy with propellers; L2 green highlighter; L3 blue tape ball; L4 yellow pen. Use approximately 10 cm centre-to-centre spacing; target at L2.</x:v>
      </x:c>
      <x:c r="G202" s="69" t="str">
        <x:v>green highlighter</x:v>
      </x:c>
      <x:c r="H202" s="69" t="str">
        <x:v>Home</x:v>
      </x:c>
      <x:c r="I202" s="69" t="str">
        <x:v>replace ordering demonstration</x:v>
      </x:c>
      <x:c r="J202" s="70" t="str">
        <x:v>Pick up the object that is second from the left and place it in the bowl.</x:v>
      </x:c>
    </x:row>
    <x:row r="203" ht="64" customHeight="1">
      <x:c r="A203" s="68" t="str">
        <x:v>Not collected</x:v>
      </x:c>
      <x:c r="B203" s="69" t="n">
        <x:v>201</x:v>
      </x:c>
      <x:c r="C203" s="69" t="n">
        <x:v>771</x:v>
      </x:c>
      <x:c r="D203" s="69" t="str">
        <x:v>Ordering/Sequencing</x:v>
      </x:c>
      <x:c r="E203" s="69" t="str">
        <x:v>Move the yellow pen into the bowl.</x:v>
      </x:c>
      <x:c r="F203" s="69" t="str">
        <x:v>Four collinear objects, camera-view left to right: L1 airplane toy with propellers; L2 yellow pen; L3 blue tape ball; L4 green highlighter. Use approximately 10 cm centre-to-centre spacing; target at L2.</x:v>
      </x:c>
      <x:c r="G203" s="69" t="str">
        <x:v>yellow pen</x:v>
      </x:c>
      <x:c r="H203" s="69" t="str">
        <x:v>Home</x:v>
      </x:c>
      <x:c r="I203" s="69" t="str">
        <x:v>replace ordering demonstration</x:v>
      </x:c>
      <x:c r="J203" s="70" t="str">
        <x:v>Put the second object from the left in the bowl.</x:v>
      </x:c>
    </x:row>
    <x:row r="204" ht="64" customHeight="1">
      <x:c r="A204" s="68" t="str">
        <x:v>Not collected</x:v>
      </x:c>
      <x:c r="B204" s="69" t="n">
        <x:v>202</x:v>
      </x:c>
      <x:c r="C204" s="69" t="n">
        <x:v>772</x:v>
      </x:c>
      <x:c r="D204" s="69" t="str">
        <x:v>Ordering/Sequencing</x:v>
      </x:c>
      <x:c r="E204" s="69" t="str">
        <x:v>Put the airplane toy with propellers in the bowl.</x:v>
      </x:c>
      <x:c r="F204" s="69" t="str">
        <x:v>Four collinear objects, camera-view left to right: L1 green highlighter; L2 airplane toy with propellers; L3 yellow pen; L4 blue tape ball. Use approximately 10 cm centre-to-centre spacing; target at L2.</x:v>
      </x:c>
      <x:c r="G204" s="69" t="str">
        <x:v>airplane toy with propellers</x:v>
      </x:c>
      <x:c r="H204" s="69" t="str">
        <x:v>Recovery</x:v>
      </x:c>
      <x:c r="I204" s="69" t="str">
        <x:v>replace ordering demonstration</x:v>
      </x:c>
      <x:c r="J204" s="70" t="str">
        <x:v>Pick up the object that is second from the left and place it in the bowl.</x:v>
      </x:c>
    </x:row>
    <x:row r="205" ht="64" customHeight="1">
      <x:c r="A205" s="68" t="str">
        <x:v>Not collected</x:v>
      </x:c>
      <x:c r="B205" s="69" t="n">
        <x:v>203</x:v>
      </x:c>
      <x:c r="C205" s="69" t="n">
        <x:v>773</x:v>
      </x:c>
      <x:c r="D205" s="69" t="str">
        <x:v>Ordering/Sequencing</x:v>
      </x:c>
      <x:c r="E205" s="69" t="str">
        <x:v>Pick up the blue tape ball and place it in the bowl.</x:v>
      </x:c>
      <x:c r="F205" s="69" t="str">
        <x:v>Four collinear objects, camera-view left to right: L1 green highlighter; L2 blue tape ball; L3 yellow pen; L4 airplane toy with propellers. Use approximately 10 cm centre-to-centre spacing; target at L2.</x:v>
      </x:c>
      <x:c r="G205" s="69" t="str">
        <x:v>blue tape ball</x:v>
      </x:c>
      <x:c r="H205" s="69" t="str">
        <x:v>Recovery</x:v>
      </x:c>
      <x:c r="I205" s="69" t="str">
        <x:v>replace ordering demonstration</x:v>
      </x:c>
      <x:c r="J205" s="70" t="str">
        <x:v>Move the second item counted from the left into the bowl.</x:v>
      </x:c>
    </x:row>
    <x:row r="206" ht="64" customHeight="1">
      <x:c r="A206" s="68" t="str">
        <x:v>Not collected</x:v>
      </x:c>
      <x:c r="B206" s="69" t="n">
        <x:v>204</x:v>
      </x:c>
      <x:c r="C206" s="69" t="n">
        <x:v>774</x:v>
      </x:c>
      <x:c r="D206" s="69" t="str">
        <x:v>Ordering/Sequencing</x:v>
      </x:c>
      <x:c r="E206" s="69" t="str">
        <x:v>Move the green highlighter into the bowl.</x:v>
      </x:c>
      <x:c r="F206" s="69" t="str">
        <x:v>Four collinear objects, camera-view left to right: L1 blue tape ball; L2 green highlighter; L3 yellow pen; L4 airplane toy with propellers. Use approximately 10 cm centre-to-centre spacing; target at L2.</x:v>
      </x:c>
      <x:c r="G206" s="69" t="str">
        <x:v>green highlighter</x:v>
      </x:c>
      <x:c r="H206" s="69" t="str">
        <x:v>Recovery</x:v>
      </x:c>
      <x:c r="I206" s="69" t="str">
        <x:v>replace ordering demonstration</x:v>
      </x:c>
      <x:c r="J206" s="70" t="str">
        <x:v>Put the third object from the right in the bowl.</x:v>
      </x:c>
    </x:row>
    <x:row r="207" ht="64" customHeight="1">
      <x:c r="A207" s="68" t="str">
        <x:v>Not collected</x:v>
      </x:c>
      <x:c r="B207" s="69" t="n">
        <x:v>205</x:v>
      </x:c>
      <x:c r="C207" s="69" t="n">
        <x:v>775</x:v>
      </x:c>
      <x:c r="D207" s="69" t="str">
        <x:v>Ordering/Sequencing</x:v>
      </x:c>
      <x:c r="E207" s="69" t="str">
        <x:v>Put the yellow pen in the bowl.</x:v>
      </x:c>
      <x:c r="F207" s="69" t="str">
        <x:v>Four collinear objects, camera-view left to right: L1 blue tape ball; L2 yellow pen; L3 green highlighter; L4 airplane toy with propellers. Use approximately 10 cm centre-to-centre spacing; target at L2.</x:v>
      </x:c>
      <x:c r="G207" s="69" t="str">
        <x:v>yellow pen</x:v>
      </x:c>
      <x:c r="H207" s="69" t="str">
        <x:v>Home</x:v>
      </x:c>
      <x:c r="I207" s="69" t="str">
        <x:v>replace ordering demonstration</x:v>
      </x:c>
      <x:c r="J207" s="70" t="str">
        <x:v>Move the yellow pen into the bowl.</x:v>
      </x:c>
    </x:row>
    <x:row r="208" ht="64" customHeight="1">
      <x:c r="A208" s="68" t="str">
        <x:v>Not collected</x:v>
      </x:c>
      <x:c r="B208" s="69" t="n">
        <x:v>206</x:v>
      </x:c>
      <x:c r="C208" s="69" t="n">
        <x:v>776</x:v>
      </x:c>
      <x:c r="D208" s="69" t="str">
        <x:v>Ordering/Sequencing</x:v>
      </x:c>
      <x:c r="E208" s="69" t="str">
        <x:v>Pick up the airplane toy with propellers and place it in the bowl.</x:v>
      </x:c>
      <x:c r="F208" s="69" t="str">
        <x:v>Four collinear objects, camera-view left to right: L1 yellow pen; L2 airplane toy with propellers; L3 blue tape ball; L4 green highlighter. Use approximately 10 cm centre-to-centre spacing; target at L2.</x:v>
      </x:c>
      <x:c r="G208" s="69" t="str">
        <x:v>airplane toy with propellers</x:v>
      </x:c>
      <x:c r="H208" s="69" t="str">
        <x:v>Home</x:v>
      </x:c>
      <x:c r="I208" s="69" t="str">
        <x:v>replace ordering demonstration</x:v>
      </x:c>
      <x:c r="J208" s="70" t="str">
        <x:v>Put the yellow pen in the bowl.</x:v>
      </x:c>
    </x:row>
    <x:row r="209" ht="64" customHeight="1">
      <x:c r="A209" s="68" t="str">
        <x:v>Not collected</x:v>
      </x:c>
      <x:c r="B209" s="69" t="n">
        <x:v>207</x:v>
      </x:c>
      <x:c r="C209" s="69" t="n">
        <x:v>777</x:v>
      </x:c>
      <x:c r="D209" s="69" t="str">
        <x:v>Ordering/Sequencing</x:v>
      </x:c>
      <x:c r="E209" s="69" t="str">
        <x:v>Move the blue tape ball into the bowl.</x:v>
      </x:c>
      <x:c r="F209" s="69" t="str">
        <x:v>Four collinear objects, camera-view left to right: L1 yellow pen; L2 blue tape ball; L3 airplane toy with propellers; L4 green highlighter. Use approximately 10 cm centre-to-centre spacing; target at L2.</x:v>
      </x:c>
      <x:c r="G209" s="69" t="str">
        <x:v>blue tape ball</x:v>
      </x:c>
      <x:c r="H209" s="69" t="str">
        <x:v>Home</x:v>
      </x:c>
      <x:c r="I209" s="69" t="str">
        <x:v>replace ordering demonstration</x:v>
      </x:c>
      <x:c r="J209" s="70" t="str">
        <x:v>Pick up the yellow pen and place it in the bowl.</x:v>
      </x:c>
    </x:row>
    <x:row r="210" ht="64" customHeight="1">
      <x:c r="A210" s="68" t="str">
        <x:v>Not collected</x:v>
      </x:c>
      <x:c r="B210" s="69" t="n">
        <x:v>208</x:v>
      </x:c>
      <x:c r="C210" s="69" t="n">
        <x:v>778</x:v>
      </x:c>
      <x:c r="D210" s="69" t="str">
        <x:v>Ordering/Sequencing</x:v>
      </x:c>
      <x:c r="E210" s="69" t="str">
        <x:v>Put the green highlighter in the bowl.</x:v>
      </x:c>
      <x:c r="F210" s="69" t="str">
        <x:v>Four collinear objects, camera-view left to right: L1 yellow pen; L2 green highlighter; L3 airplane toy with propellers; L4 blue tape ball. Use approximately 10 cm centre-to-centre spacing; target at L2.</x:v>
      </x:c>
      <x:c r="G210" s="69" t="str">
        <x:v>green highlighter</x:v>
      </x:c>
      <x:c r="H210" s="69" t="str">
        <x:v>Home</x:v>
      </x:c>
      <x:c r="I210" s="69" t="str">
        <x:v>replace ordering demonstration</x:v>
      </x:c>
      <x:c r="J210" s="70" t="str">
        <x:v>Move the yellow pen into the bowl.</x:v>
      </x:c>
    </x:row>
    <x:row r="211" ht="64" customHeight="1">
      <x:c r="A211" s="68" t="str">
        <x:v>Not collected</x:v>
      </x:c>
      <x:c r="B211" s="69" t="n">
        <x:v>209</x:v>
      </x:c>
      <x:c r="C211" s="69" t="n">
        <x:v>779</x:v>
      </x:c>
      <x:c r="D211" s="69" t="str">
        <x:v>Ordering/Sequencing</x:v>
      </x:c>
      <x:c r="E211" s="69" t="str">
        <x:v>Pick up the yellow pen and place it in the bowl.</x:v>
      </x:c>
      <x:c r="F211" s="69" t="str">
        <x:v>Four collinear objects, camera-view left to right: L1 green highlighter; L2 yellow pen; L3 airplane toy with propellers; L4 blue tape ball. Use approximately 10 cm centre-to-centre spacing; target at L2.</x:v>
      </x:c>
      <x:c r="G211" s="69" t="str">
        <x:v>yellow pen</x:v>
      </x:c>
      <x:c r="H211" s="69" t="str">
        <x:v>Home</x:v>
      </x:c>
      <x:c r="I211" s="69" t="str">
        <x:v>replace ordering demonstration</x:v>
      </x:c>
      <x:c r="J211" s="70" t="str">
        <x:v>Move the yellow pen into the bowl.</x:v>
      </x:c>
    </x:row>
    <x:row r="212" ht="64" customHeight="1">
      <x:c r="A212" s="68" t="str">
        <x:v>Not collected</x:v>
      </x:c>
      <x:c r="B212" s="69" t="n">
        <x:v>210</x:v>
      </x:c>
      <x:c r="C212" s="69" t="n">
        <x:v>780</x:v>
      </x:c>
      <x:c r="D212" s="69" t="str">
        <x:v>Ordering/Sequencing</x:v>
      </x:c>
      <x:c r="E212" s="69" t="str">
        <x:v>Move the airplane toy with propellers into the bowl.</x:v>
      </x:c>
      <x:c r="F212" s="69" t="str">
        <x:v>Four collinear objects, camera-view left to right: L1 blue tape ball; L2 green highlighter; L3 airplane toy with propellers; L4 yellow pen. Use approximately 10 cm centre-to-centre spacing; target at L3.</x:v>
      </x:c>
      <x:c r="G212" s="69" t="str">
        <x:v>airplane toy with propellers</x:v>
      </x:c>
      <x:c r="H212" s="69" t="str">
        <x:v>Home</x:v>
      </x:c>
      <x:c r="I212" s="69" t="str">
        <x:v>replace ordering demonstration</x:v>
      </x:c>
      <x:c r="J212" s="70" t="str">
        <x:v>Move the yellow pen into the bowl.</x:v>
      </x:c>
    </x:row>
    <x:row r="213" ht="64" customHeight="1">
      <x:c r="A213" s="68" t="str">
        <x:v>Not collected</x:v>
      </x:c>
      <x:c r="B213" s="69" t="n">
        <x:v>211</x:v>
      </x:c>
      <x:c r="C213" s="69" t="n">
        <x:v>781</x:v>
      </x:c>
      <x:c r="D213" s="69" t="str">
        <x:v>Ordering/Sequencing</x:v>
      </x:c>
      <x:c r="E213" s="69" t="str">
        <x:v>Put the blue tape ball in the bowl.</x:v>
      </x:c>
      <x:c r="F213" s="69" t="str">
        <x:v>Four collinear objects, camera-view left to right: L1 airplane toy with propellers; L2 green highlighter; L3 blue tape ball; L4 yellow pen. Use approximately 10 cm centre-to-centre spacing; target at L3.</x:v>
      </x:c>
      <x:c r="G213" s="69" t="str">
        <x:v>blue tape ball</x:v>
      </x:c>
      <x:c r="H213" s="69" t="str">
        <x:v>Home</x:v>
      </x:c>
      <x:c r="I213" s="69" t="str">
        <x:v>replace ordering demonstration</x:v>
      </x:c>
      <x:c r="J213" s="70" t="str">
        <x:v>Put the yellow pen in the bowl.</x:v>
      </x:c>
    </x:row>
    <x:row r="214" ht="64" customHeight="1">
      <x:c r="A214" s="68" t="str">
        <x:v>Not collected</x:v>
      </x:c>
      <x:c r="B214" s="69" t="n">
        <x:v>212</x:v>
      </x:c>
      <x:c r="C214" s="69" t="n">
        <x:v>782</x:v>
      </x:c>
      <x:c r="D214" s="69" t="str">
        <x:v>Ordering/Sequencing</x:v>
      </x:c>
      <x:c r="E214" s="69" t="str">
        <x:v>Pick up the green highlighter and place it in the bowl.</x:v>
      </x:c>
      <x:c r="F214" s="69" t="str">
        <x:v>Four collinear objects, camera-view left to right: L1 airplane toy with propellers; L2 blue tape ball; L3 green highlighter; L4 yellow pen. Use approximately 10 cm centre-to-centre spacing; target at L3.</x:v>
      </x:c>
      <x:c r="G214" s="69" t="str">
        <x:v>green highlighter</x:v>
      </x:c>
      <x:c r="H214" s="69" t="str">
        <x:v>Home</x:v>
      </x:c>
      <x:c r="I214" s="69" t="str">
        <x:v>replace ordering demonstration</x:v>
      </x:c>
      <x:c r="J214" s="70" t="str">
        <x:v>Put the yellow pen in the bowl.</x:v>
      </x:c>
    </x:row>
    <x:row r="215" ht="64" customHeight="1">
      <x:c r="A215" s="68" t="str">
        <x:v>Not collected</x:v>
      </x:c>
      <x:c r="B215" s="69" t="n">
        <x:v>213</x:v>
      </x:c>
      <x:c r="C215" s="69" t="n">
        <x:v>783</x:v>
      </x:c>
      <x:c r="D215" s="69" t="str">
        <x:v>Ordering/Sequencing</x:v>
      </x:c>
      <x:c r="E215" s="69" t="str">
        <x:v>Move the yellow pen into the bowl.</x:v>
      </x:c>
      <x:c r="F215" s="69" t="str">
        <x:v>Four collinear objects, camera-view left to right: L1 airplane toy with propellers; L2 blue tape ball; L3 yellow pen; L4 green highlighter. Use approximately 10 cm centre-to-centre spacing; target at L3.</x:v>
      </x:c>
      <x:c r="G215" s="69" t="str">
        <x:v>yellow pen</x:v>
      </x:c>
      <x:c r="H215" s="69" t="str">
        <x:v>Home</x:v>
      </x:c>
      <x:c r="I215" s="69" t="str">
        <x:v>replace ordering demonstration</x:v>
      </x:c>
      <x:c r="J215" s="70" t="str">
        <x:v>Pick up the yellow pen and place it in the bowl.</x:v>
      </x:c>
    </x:row>
    <x:row r="216" ht="64" customHeight="1">
      <x:c r="A216" s="68" t="str">
        <x:v>Not collected</x:v>
      </x:c>
      <x:c r="B216" s="69" t="n">
        <x:v>214</x:v>
      </x:c>
      <x:c r="C216" s="69" t="n">
        <x:v>784</x:v>
      </x:c>
      <x:c r="D216" s="69" t="str">
        <x:v>Ordering/Sequencing</x:v>
      </x:c>
      <x:c r="E216" s="69" t="str">
        <x:v>Put the airplane toy with propellers in the bowl.</x:v>
      </x:c>
      <x:c r="F216" s="69" t="str">
        <x:v>Four collinear objects, camera-view left to right: L1 green highlighter; L2 yellow pen; L3 airplane toy with propellers; L4 blue tape ball. Use approximately 10 cm centre-to-centre spacing; target at L3.</x:v>
      </x:c>
      <x:c r="G216" s="69" t="str">
        <x:v>airplane toy with propellers</x:v>
      </x:c>
      <x:c r="H216" s="69" t="str">
        <x:v>Home</x:v>
      </x:c>
      <x:c r="I216" s="69" t="str">
        <x:v>replace ordering demonstration</x:v>
      </x:c>
      <x:c r="J216" s="70" t="str">
        <x:v>Pick up the yellow pen and place it in the bowl.</x:v>
      </x:c>
    </x:row>
    <x:row r="217" ht="64" customHeight="1">
      <x:c r="A217" s="68" t="str">
        <x:v>Not collected</x:v>
      </x:c>
      <x:c r="B217" s="69" t="n">
        <x:v>215</x:v>
      </x:c>
      <x:c r="C217" s="69" t="n">
        <x:v>785</x:v>
      </x:c>
      <x:c r="D217" s="69" t="str">
        <x:v>Ordering/Sequencing</x:v>
      </x:c>
      <x:c r="E217" s="69" t="str">
        <x:v>Pick up the blue tape ball and place it in the bowl.</x:v>
      </x:c>
      <x:c r="F217" s="69" t="str">
        <x:v>Four collinear objects, camera-view left to right: L1 green highlighter; L2 yellow pen; L3 blue tape ball; L4 airplane toy with propellers. Use approximately 10 cm centre-to-centre spacing; target at L3.</x:v>
      </x:c>
      <x:c r="G217" s="69" t="str">
        <x:v>blue tape ball</x:v>
      </x:c>
      <x:c r="H217" s="69" t="str">
        <x:v>Recovery</x:v>
      </x:c>
      <x:c r="I217" s="69" t="str">
        <x:v>replace ordering demonstration</x:v>
      </x:c>
      <x:c r="J217" s="70" t="str">
        <x:v>Put the yellow pen in the bowl.</x:v>
      </x:c>
    </x:row>
    <x:row r="218" ht="64" customHeight="1">
      <x:c r="A218" s="68" t="str">
        <x:v>Not collected</x:v>
      </x:c>
      <x:c r="B218" s="69" t="n">
        <x:v>216</x:v>
      </x:c>
      <x:c r="C218" s="69" t="n">
        <x:v>786</x:v>
      </x:c>
      <x:c r="D218" s="69" t="str">
        <x:v>Ordering/Sequencing</x:v>
      </x:c>
      <x:c r="E218" s="69" t="str">
        <x:v>Move the green highlighter into the bowl.</x:v>
      </x:c>
      <x:c r="F218" s="69" t="str">
        <x:v>Four collinear objects, camera-view left to right: L1 blue tape ball; L2 yellow pen; L3 green highlighter; L4 airplane toy with propellers. Use approximately 10 cm centre-to-centre spacing; target at L3.</x:v>
      </x:c>
      <x:c r="G218" s="69" t="str">
        <x:v>green highlighter</x:v>
      </x:c>
      <x:c r="H218" s="69" t="str">
        <x:v>Recovery</x:v>
      </x:c>
      <x:c r="I218" s="69" t="str">
        <x:v>replace ordering demonstration</x:v>
      </x:c>
      <x:c r="J218" s="70" t="str">
        <x:v>Pick up the yellow pen and place it in the bowl.</x:v>
      </x:c>
    </x:row>
    <x:row r="219" ht="64" customHeight="1">
      <x:c r="A219" s="68" t="str">
        <x:v>Not collected</x:v>
      </x:c>
      <x:c r="B219" s="69" t="n">
        <x:v>217</x:v>
      </x:c>
      <x:c r="C219" s="69" t="n">
        <x:v>787</x:v>
      </x:c>
      <x:c r="D219" s="69" t="str">
        <x:v>Ordering/Sequencing</x:v>
      </x:c>
      <x:c r="E219" s="69" t="str">
        <x:v>Put the yellow pen in the bowl.</x:v>
      </x:c>
      <x:c r="F219" s="69" t="str">
        <x:v>Four collinear objects, camera-view left to right: L1 blue tape ball; L2 green highlighter; L3 yellow pen; L4 airplane toy with propellers. Use approximately 10 cm centre-to-centre spacing; target at L3.</x:v>
      </x:c>
      <x:c r="G219" s="69" t="str">
        <x:v>yellow pen</x:v>
      </x:c>
      <x:c r="H219" s="69" t="str">
        <x:v>Home</x:v>
      </x:c>
      <x:c r="I219" s="69" t="str">
        <x:v>replace ordering demonstration</x:v>
      </x:c>
      <x:c r="J219" s="70" t="str">
        <x:v>Move the yellow pen into the bowl.</x:v>
      </x:c>
    </x:row>
    <x:row r="220" ht="64" customHeight="1">
      <x:c r="A220" s="68" t="str">
        <x:v>Not collected</x:v>
      </x:c>
      <x:c r="B220" s="69" t="n">
        <x:v>218</x:v>
      </x:c>
      <x:c r="C220" s="69" t="n">
        <x:v>788</x:v>
      </x:c>
      <x:c r="D220" s="69" t="str">
        <x:v>Ordering/Sequencing</x:v>
      </x:c>
      <x:c r="E220" s="69" t="str">
        <x:v>Pick up the airplane toy with propellers and place it in the bowl.</x:v>
      </x:c>
      <x:c r="F220" s="69" t="str">
        <x:v>Four collinear objects, camera-view left to right: L1 yellow pen; L2 blue tape ball; L3 airplane toy with propellers; L4 green highlighter. Use approximately 10 cm centre-to-centre spacing; target at L3.</x:v>
      </x:c>
      <x:c r="G220" s="69" t="str">
        <x:v>airplane toy with propellers</x:v>
      </x:c>
      <x:c r="H220" s="69" t="str">
        <x:v>Home</x:v>
      </x:c>
      <x:c r="I220" s="69" t="str">
        <x:v>replace ordering demonstration</x:v>
      </x:c>
      <x:c r="J220" s="70" t="str">
        <x:v>Put the yellow pen in the bowl.</x:v>
      </x:c>
    </x:row>
    <x:row r="221" ht="64" customHeight="1">
      <x:c r="A221" s="68" t="str">
        <x:v>Not collected</x:v>
      </x:c>
      <x:c r="B221" s="69" t="n">
        <x:v>219</x:v>
      </x:c>
      <x:c r="C221" s="69" t="n">
        <x:v>789</x:v>
      </x:c>
      <x:c r="D221" s="69" t="str">
        <x:v>Ordering/Sequencing</x:v>
      </x:c>
      <x:c r="E221" s="69" t="str">
        <x:v>Move the blue tape ball into the bowl.</x:v>
      </x:c>
      <x:c r="F221" s="69" t="str">
        <x:v>Four collinear objects, camera-view left to right: L1 yellow pen; L2 airplane toy with propellers; L3 blue tape ball; L4 green highlighter. Use approximately 10 cm centre-to-centre spacing; target at L3.</x:v>
      </x:c>
      <x:c r="G221" s="69" t="str">
        <x:v>blue tape ball</x:v>
      </x:c>
      <x:c r="H221" s="69" t="str">
        <x:v>Home</x:v>
      </x:c>
      <x:c r="I221" s="69" t="str">
        <x:v>replace ordering demonstration</x:v>
      </x:c>
      <x:c r="J221" s="70" t="str">
        <x:v>Pick up the yellow pen and place it in the bowl.</x:v>
      </x:c>
    </x:row>
    <x:row r="222" ht="64" customHeight="1">
      <x:c r="A222" s="68" t="str">
        <x:v>Not collected</x:v>
      </x:c>
      <x:c r="B222" s="69" t="n">
        <x:v>220</x:v>
      </x:c>
      <x:c r="C222" s="69" t="n">
        <x:v>790</x:v>
      </x:c>
      <x:c r="D222" s="69" t="str">
        <x:v>Ordering/Sequencing</x:v>
      </x:c>
      <x:c r="E222" s="69" t="str">
        <x:v>Put the green highlighter in the bowl.</x:v>
      </x:c>
      <x:c r="F222" s="69" t="str">
        <x:v>Four collinear objects, camera-view left to right: L1 yellow pen; L2 airplane toy with propellers; L3 blue tape ball; L4 green highlighter. Use approximately 10 cm centre-to-centre spacing; target at L4.</x:v>
      </x:c>
      <x:c r="G222" s="69" t="str">
        <x:v>green highlighter</x:v>
      </x:c>
      <x:c r="H222" s="69" t="str">
        <x:v>Home</x:v>
      </x:c>
      <x:c r="I222" s="69" t="str">
        <x:v>replace ordering demonstration</x:v>
      </x:c>
      <x:c r="J222" s="70" t="str">
        <x:v>Move the yellow pen into the bowl.</x:v>
      </x:c>
    </x:row>
    <x:row r="223" ht="64" customHeight="1">
      <x:c r="A223" s="68" t="str">
        <x:v>Not collected</x:v>
      </x:c>
      <x:c r="B223" s="69" t="n">
        <x:v>221</x:v>
      </x:c>
      <x:c r="C223" s="69" t="n">
        <x:v>791</x:v>
      </x:c>
      <x:c r="D223" s="69" t="str">
        <x:v>Ordering/Sequencing</x:v>
      </x:c>
      <x:c r="E223" s="69" t="str">
        <x:v>Pick up the yellow pen and place it in the bowl.</x:v>
      </x:c>
      <x:c r="F223" s="69" t="str">
        <x:v>Four collinear objects, camera-view left to right: L1 green highlighter; L2 airplane toy with propellers; L3 blue tape ball; L4 yellow pen. Use approximately 10 cm centre-to-centre spacing; target at L4.</x:v>
      </x:c>
      <x:c r="G223" s="69" t="str">
        <x:v>yellow pen</x:v>
      </x:c>
      <x:c r="H223" s="69" t="str">
        <x:v>Home</x:v>
      </x:c>
      <x:c r="I223" s="69" t="str">
        <x:v>replace ordering demonstration</x:v>
      </x:c>
      <x:c r="J223" s="70" t="str">
        <x:v>Put the yellow pen in the bowl.</x:v>
      </x:c>
    </x:row>
    <x:row r="224" ht="64" customHeight="1">
      <x:c r="A224" s="68" t="str">
        <x:v>Not collected</x:v>
      </x:c>
      <x:c r="B224" s="69" t="n">
        <x:v>222</x:v>
      </x:c>
      <x:c r="C224" s="69" t="n">
        <x:v>792</x:v>
      </x:c>
      <x:c r="D224" s="69" t="str">
        <x:v>Ordering/Sequencing</x:v>
      </x:c>
      <x:c r="E224" s="69" t="str">
        <x:v>Move the airplane toy with propellers into the bowl.</x:v>
      </x:c>
      <x:c r="F224" s="69" t="str">
        <x:v>Four collinear objects, camera-view left to right: L1 blue tape ball; L2 green highlighter; L3 yellow pen; L4 airplane toy with propellers. Use approximately 10 cm centre-to-centre spacing; target at L4.</x:v>
      </x:c>
      <x:c r="G224" s="69" t="str">
        <x:v>airplane toy with propellers</x:v>
      </x:c>
      <x:c r="H224" s="69" t="str">
        <x:v>Home</x:v>
      </x:c>
      <x:c r="I224" s="69" t="str">
        <x:v>replace ordering demonstration</x:v>
      </x:c>
      <x:c r="J224" s="70" t="str">
        <x:v>Pick up the yellow pen and place it in the bowl.</x:v>
      </x:c>
    </x:row>
    <x:row r="225" ht="64" customHeight="1">
      <x:c r="A225" s="68" t="str">
        <x:v>Not collected</x:v>
      </x:c>
      <x:c r="B225" s="69" t="n">
        <x:v>223</x:v>
      </x:c>
      <x:c r="C225" s="69" t="n">
        <x:v>793</x:v>
      </x:c>
      <x:c r="D225" s="69" t="str">
        <x:v>Ordering/Sequencing</x:v>
      </x:c>
      <x:c r="E225" s="69" t="str">
        <x:v>Put the blue tape ball in the bowl.</x:v>
      </x:c>
      <x:c r="F225" s="69" t="str">
        <x:v>Four collinear objects, camera-view left to right: L1 airplane toy with propellers; L2 green highlighter; L3 yellow pen; L4 blue tape ball. Use approximately 10 cm centre-to-centre spacing; target at L4.</x:v>
      </x:c>
      <x:c r="G225" s="69" t="str">
        <x:v>blue tape ball</x:v>
      </x:c>
      <x:c r="H225" s="69" t="str">
        <x:v>Home</x:v>
      </x:c>
      <x:c r="I225" s="69" t="str">
        <x:v>replace ordering demonstration</x:v>
      </x:c>
      <x:c r="J225" s="70" t="str">
        <x:v>Move the yellow pen into the bowl.</x:v>
      </x:c>
    </x:row>
    <x:row r="226" ht="64" customHeight="1">
      <x:c r="A226" s="68" t="str">
        <x:v>Not collected</x:v>
      </x:c>
      <x:c r="B226" s="69" t="n">
        <x:v>224</x:v>
      </x:c>
      <x:c r="C226" s="69" t="n">
        <x:v>794</x:v>
      </x:c>
      <x:c r="D226" s="69" t="str">
        <x:v>Ordering/Sequencing</x:v>
      </x:c>
      <x:c r="E226" s="69" t="str">
        <x:v>Pick up the green highlighter and place it in the bowl.</x:v>
      </x:c>
      <x:c r="F226" s="69" t="str">
        <x:v>Four collinear objects, camera-view left to right: L1 airplane toy with propellers; L2 blue tape ball; L3 yellow pen; L4 green highlighter. Use approximately 10 cm centre-to-centre spacing; target at L4.</x:v>
      </x:c>
      <x:c r="G226" s="69" t="str">
        <x:v>green highlighter</x:v>
      </x:c>
      <x:c r="H226" s="69" t="str">
        <x:v>Home</x:v>
      </x:c>
      <x:c r="I226" s="69" t="str">
        <x:v>replace ordering demonstration</x:v>
      </x:c>
      <x:c r="J226" s="70" t="str">
        <x:v>Put the yellow pen in the bowl.</x:v>
      </x:c>
    </x:row>
    <x:row r="227" ht="64" customHeight="1">
      <x:c r="A227" s="68" t="str">
        <x:v>Not collected</x:v>
      </x:c>
      <x:c r="B227" s="69" t="n">
        <x:v>225</x:v>
      </x:c>
      <x:c r="C227" s="69" t="n">
        <x:v>795</x:v>
      </x:c>
      <x:c r="D227" s="69" t="str">
        <x:v>Ordering/Sequencing</x:v>
      </x:c>
      <x:c r="E227" s="69" t="str">
        <x:v>Move the yellow pen into the bowl.</x:v>
      </x:c>
      <x:c r="F227" s="69" t="str">
        <x:v>Four collinear objects, camera-view left to right: L1 airplane toy with propellers; L2 blue tape ball; L3 green highlighter; L4 yellow pen. Use approximately 10 cm centre-to-centre spacing; target at L4.</x:v>
      </x:c>
      <x:c r="G227" s="69" t="str">
        <x:v>yellow pen</x:v>
      </x:c>
      <x:c r="H227" s="69" t="str">
        <x:v>Home</x:v>
      </x:c>
      <x:c r="I227" s="69" t="str">
        <x:v>replace ordering demonstration</x:v>
      </x:c>
      <x:c r="J227" s="70" t="str">
        <x:v>Pick up the yellow pen and place it in the bowl.</x:v>
      </x:c>
    </x:row>
    <x:row r="228" ht="64" customHeight="1">
      <x:c r="A228" s="68" t="str">
        <x:v>Not collected</x:v>
      </x:c>
      <x:c r="B228" s="69" t="n">
        <x:v>226</x:v>
      </x:c>
      <x:c r="C228" s="69" t="n">
        <x:v>796</x:v>
      </x:c>
      <x:c r="D228" s="69" t="str">
        <x:v>Ordering/Sequencing</x:v>
      </x:c>
      <x:c r="E228" s="69" t="str">
        <x:v>Put the airplane toy with propellers in the bowl.</x:v>
      </x:c>
      <x:c r="F228" s="69" t="str">
        <x:v>Four collinear objects, camera-view left to right: L1 green highlighter; L2 yellow pen; L3 blue tape ball; L4 airplane toy with propellers. Use approximately 10 cm centre-to-centre spacing; target at L4.</x:v>
      </x:c>
      <x:c r="G228" s="69" t="str">
        <x:v>airplane toy with propellers</x:v>
      </x:c>
      <x:c r="H228" s="69" t="str">
        <x:v>Home</x:v>
      </x:c>
      <x:c r="I228" s="69" t="str">
        <x:v>replace ordering demonstration</x:v>
      </x:c>
      <x:c r="J228" s="70" t="str">
        <x:v>Move the yellow pen into the bowl.</x:v>
      </x:c>
    </x:row>
    <x:row r="229" ht="64" customHeight="1">
      <x:c r="A229" s="68" t="str">
        <x:v>Not collected</x:v>
      </x:c>
      <x:c r="B229" s="69" t="n">
        <x:v>227</x:v>
      </x:c>
      <x:c r="C229" s="69" t="n">
        <x:v>797</x:v>
      </x:c>
      <x:c r="D229" s="69" t="str">
        <x:v>Ordering/Sequencing</x:v>
      </x:c>
      <x:c r="E229" s="69" t="str">
        <x:v>Pick up the blue tape ball and place it in the bowl.</x:v>
      </x:c>
      <x:c r="F229" s="69" t="str">
        <x:v>Four collinear objects, camera-view left to right: L1 green highlighter; L2 yellow pen; L3 airplane toy with propellers; L4 blue tape ball. Use approximately 10 cm centre-to-centre spacing; target at L4.</x:v>
      </x:c>
      <x:c r="G229" s="69" t="str">
        <x:v>blue tape ball</x:v>
      </x:c>
      <x:c r="H229" s="69" t="str">
        <x:v>Recovery</x:v>
      </x:c>
      <x:c r="I229" s="69" t="str">
        <x:v>replace ordering demonstration</x:v>
      </x:c>
      <x:c r="J229" s="70" t="str">
        <x:v>Put the yellow pen in the bowl.</x:v>
      </x:c>
    </x:row>
    <x:row r="230" ht="64" customHeight="1">
      <x:c r="A230" s="68" t="str">
        <x:v>Not collected</x:v>
      </x:c>
      <x:c r="B230" s="69" t="n">
        <x:v>228</x:v>
      </x:c>
      <x:c r="C230" s="69" t="n">
        <x:v>798</x:v>
      </x:c>
      <x:c r="D230" s="69" t="str">
        <x:v>Ordering/Sequencing</x:v>
      </x:c>
      <x:c r="E230" s="69" t="str">
        <x:v>Move the green highlighter into the bowl.</x:v>
      </x:c>
      <x:c r="F230" s="69" t="str">
        <x:v>Four collinear objects, camera-view left to right: L1 blue tape ball; L2 yellow pen; L3 airplane toy with propellers; L4 green highlighter. Use approximately 10 cm centre-to-centre spacing; target at L4.</x:v>
      </x:c>
      <x:c r="G230" s="69" t="str">
        <x:v>green highlighter</x:v>
      </x:c>
      <x:c r="H230" s="69" t="str">
        <x:v>Recovery</x:v>
      </x:c>
      <x:c r="I230" s="69" t="str">
        <x:v>replace ordering demonstration</x:v>
      </x:c>
      <x:c r="J230" s="70" t="str">
        <x:v>Pick up the yellow pen and place it in the bowl.</x:v>
      </x:c>
    </x:row>
    <x:row r="231" ht="64" customHeight="1">
      <x:c r="A231" s="68" t="str">
        <x:v>Not collected</x:v>
      </x:c>
      <x:c r="B231" s="69" t="n">
        <x:v>229</x:v>
      </x:c>
      <x:c r="C231" s="69" t="n">
        <x:v>799</x:v>
      </x:c>
      <x:c r="D231" s="69" t="str">
        <x:v>Ordering/Sequencing</x:v>
      </x:c>
      <x:c r="E231" s="69" t="str">
        <x:v>Put the yellow pen in the bowl.</x:v>
      </x:c>
      <x:c r="F231" s="69" t="str">
        <x:v>Four collinear objects, camera-view left to right: L1 blue tape ball; L2 green highlighter; L3 airplane toy with propellers; L4 yellow pen. Use approximately 10 cm centre-to-centre spacing; target at L4.</x:v>
      </x:c>
      <x:c r="G231" s="69" t="str">
        <x:v>yellow pen</x:v>
      </x:c>
      <x:c r="H231" s="69" t="str">
        <x:v>Recovery</x:v>
      </x:c>
      <x:c r="I231" s="69" t="str">
        <x:v>replace ordering demonstration</x:v>
      </x:c>
      <x:c r="J231" s="70" t="str">
        <x:v>Move the yellow pen into the bowl.</x:v>
      </x:c>
    </x:row>
    <x:row r="232" ht="64" customHeight="1">
      <x:c r="A232" s="68" t="str">
        <x:v>Not collected</x:v>
      </x:c>
      <x:c r="B232" s="69" t="n">
        <x:v>230</x:v>
      </x:c>
      <x:c r="C232" s="69" t="n">
        <x:v>800</x:v>
      </x:c>
      <x:c r="D232" s="69" t="str">
        <x:v>Counting</x:v>
      </x:c>
      <x:c r="E232" s="69" t="str">
        <x:v>Leave exactly zero objects in the bowl.</x:v>
      </x:c>
      <x:c r="F232" s="69" t="str">
        <x:v>Inside bowl initially (1): airplane toy without propellers [TARGET]; On table: blue pen, green pencil sharpener, yellow block; action=remove; expected final count=0.</x:v>
      </x:c>
      <x:c r="G232" s="69" t="str">
        <x:v>airplane toy without propellers</x:v>
      </x:c>
      <x:c r="H232" s="69" t="str">
        <x:v>Home</x:v>
      </x:c>
      <x:c r="I232" s="69" t="str">
        <x:v>replace counting demonstration</x:v>
      </x:c>
      <x:c r="J232" s="70" t="str">
        <x:v>Move the blue pen into the bowl.</x:v>
      </x:c>
    </x:row>
    <x:row r="233" ht="64" customHeight="1">
      <x:c r="A233" s="68" t="str">
        <x:v>Not collected</x:v>
      </x:c>
      <x:c r="B233" s="69" t="n">
        <x:v>231</x:v>
      </x:c>
      <x:c r="C233" s="69" t="n">
        <x:v>801</x:v>
      </x:c>
      <x:c r="D233" s="69" t="str">
        <x:v>Counting</x:v>
      </x:c>
      <x:c r="E233" s="69" t="str">
        <x:v>Make the bowl contain exactly zero objects.</x:v>
      </x:c>
      <x:c r="F233" s="69" t="str">
        <x:v>Inside bowl initially (1): blue pen [TARGET]; On table: airplane toy without propellers, green pencil sharpener, yellow block; action=remove; expected final count=0.</x:v>
      </x:c>
      <x:c r="G233" s="69" t="str">
        <x:v>blue pen</x:v>
      </x:c>
      <x:c r="H233" s="69" t="str">
        <x:v>Home</x:v>
      </x:c>
      <x:c r="I233" s="69" t="str">
        <x:v>replace counting demonstration</x:v>
      </x:c>
      <x:c r="J233" s="70" t="str">
        <x:v>Pick up the blue pen and place it in the bowl.</x:v>
      </x:c>
    </x:row>
    <x:row r="234" ht="64" customHeight="1">
      <x:c r="A234" s="68" t="str">
        <x:v>Not collected</x:v>
      </x:c>
      <x:c r="B234" s="69" t="n">
        <x:v>232</x:v>
      </x:c>
      <x:c r="C234" s="69" t="n">
        <x:v>802</x:v>
      </x:c>
      <x:c r="D234" s="69" t="str">
        <x:v>Counting</x:v>
      </x:c>
      <x:c r="E234" s="69" t="str">
        <x:v>Adjust the bowl so that it contains exactly zero objects.</x:v>
      </x:c>
      <x:c r="F234" s="69" t="str">
        <x:v>Inside bowl initially (1): green pencil sharpener [TARGET]; On table: airplane toy without propellers, blue pen, yellow block; action=remove; expected final count=0.</x:v>
      </x:c>
      <x:c r="G234" s="69" t="str">
        <x:v>green pencil sharpener</x:v>
      </x:c>
      <x:c r="H234" s="69" t="str">
        <x:v>Home</x:v>
      </x:c>
      <x:c r="I234" s="69" t="str">
        <x:v>replace counting demonstration</x:v>
      </x:c>
      <x:c r="J234" s="70" t="str">
        <x:v>Put the blue pen in the bowl.</x:v>
      </x:c>
    </x:row>
    <x:row r="235" ht="64" customHeight="1">
      <x:c r="A235" s="68" t="str">
        <x:v>Not collected</x:v>
      </x:c>
      <x:c r="B235" s="69" t="n">
        <x:v>233</x:v>
      </x:c>
      <x:c r="C235" s="69" t="n">
        <x:v>803</x:v>
      </x:c>
      <x:c r="D235" s="69" t="str">
        <x:v>Counting</x:v>
      </x:c>
      <x:c r="E235" s="69" t="str">
        <x:v>Leave exactly zero objects in the bowl.</x:v>
      </x:c>
      <x:c r="F235" s="69" t="str">
        <x:v>Inside bowl initially (1): yellow block [TARGET]; On table: airplane toy without propellers, blue pen, green pencil sharpener; action=remove; expected final count=0.</x:v>
      </x:c>
      <x:c r="G235" s="69" t="str">
        <x:v>yellow block</x:v>
      </x:c>
      <x:c r="H235" s="69" t="str">
        <x:v>Post-Drop</x:v>
      </x:c>
      <x:c r="I235" s="69" t="str">
        <x:v>replace counting demonstration</x:v>
      </x:c>
      <x:c r="J235" s="70" t="str">
        <x:v>Move the blue pen into the bowl.</x:v>
      </x:c>
    </x:row>
    <x:row r="236" ht="64" customHeight="1">
      <x:c r="A236" s="68" t="str">
        <x:v>Not collected</x:v>
      </x:c>
      <x:c r="B236" s="69" t="n">
        <x:v>234</x:v>
      </x:c>
      <x:c r="C236" s="69" t="n">
        <x:v>804</x:v>
      </x:c>
      <x:c r="D236" s="69" t="str">
        <x:v>Counting</x:v>
      </x:c>
      <x:c r="E236" s="69" t="str">
        <x:v>Make the bowl contain exactly zero objects.</x:v>
      </x:c>
      <x:c r="F236" s="69" t="str">
        <x:v>Inside bowl initially (1): airplane toy without propellers [TARGET]; On table: green pencil sharpener, yellow block, blue pen; action=remove; expected final count=0.</x:v>
      </x:c>
      <x:c r="G236" s="69" t="str">
        <x:v>airplane toy without propellers</x:v>
      </x:c>
      <x:c r="H236" s="69" t="str">
        <x:v>Post-Drop</x:v>
      </x:c>
      <x:c r="I236" s="69" t="str">
        <x:v>replace counting demonstration</x:v>
      </x:c>
      <x:c r="J236" s="70" t="str">
        <x:v>Pick up the blue pen and place it in the bowl.</x:v>
      </x:c>
    </x:row>
    <x:row r="237" ht="64" customHeight="1">
      <x:c r="A237" s="68" t="str">
        <x:v>Not collected</x:v>
      </x:c>
      <x:c r="B237" s="69" t="n">
        <x:v>235</x:v>
      </x:c>
      <x:c r="C237" s="69" t="n">
        <x:v>805</x:v>
      </x:c>
      <x:c r="D237" s="69" t="str">
        <x:v>Counting</x:v>
      </x:c>
      <x:c r="E237" s="69" t="str">
        <x:v>Adjust the bowl so that it contains exactly zero objects.</x:v>
      </x:c>
      <x:c r="F237" s="69" t="str">
        <x:v>Inside bowl initially (1): blue pen [TARGET]; On table: green pencil sharpener, yellow block, airplane toy without propellers; action=remove; expected final count=0.</x:v>
      </x:c>
      <x:c r="G237" s="69" t="str">
        <x:v>blue pen</x:v>
      </x:c>
      <x:c r="H237" s="69" t="str">
        <x:v>Post-Drop</x:v>
      </x:c>
      <x:c r="I237" s="69" t="str">
        <x:v>replace counting demonstration</x:v>
      </x:c>
      <x:c r="J237" s="70" t="str">
        <x:v>Pick up the blue pen and place it in the bowl.</x:v>
      </x:c>
    </x:row>
    <x:row r="238" ht="64" customHeight="1">
      <x:c r="A238" s="68" t="str">
        <x:v>Not collected</x:v>
      </x:c>
      <x:c r="B238" s="69" t="n">
        <x:v>236</x:v>
      </x:c>
      <x:c r="C238" s="69" t="n">
        <x:v>806</x:v>
      </x:c>
      <x:c r="D238" s="69" t="str">
        <x:v>Counting</x:v>
      </x:c>
      <x:c r="E238" s="69" t="str">
        <x:v>Leave exactly zero objects in the bowl.</x:v>
      </x:c>
      <x:c r="F238" s="69" t="str">
        <x:v>Inside bowl initially (1): green pencil sharpener [TARGET]; On table: blue pen, yellow block, airplane toy without propellers; action=remove; expected final count=0.</x:v>
      </x:c>
      <x:c r="G238" s="69" t="str">
        <x:v>green pencil sharpener</x:v>
      </x:c>
      <x:c r="H238" s="69" t="str">
        <x:v>Recovery</x:v>
      </x:c>
      <x:c r="I238" s="69" t="str">
        <x:v>replace counting demonstration</x:v>
      </x:c>
      <x:c r="J238" s="70" t="str">
        <x:v>Move the blue pen into the bowl.</x:v>
      </x:c>
    </x:row>
    <x:row r="239" ht="64" customHeight="1">
      <x:c r="A239" s="68" t="str">
        <x:v>Not collected</x:v>
      </x:c>
      <x:c r="B239" s="69" t="n">
        <x:v>237</x:v>
      </x:c>
      <x:c r="C239" s="69" t="n">
        <x:v>807</x:v>
      </x:c>
      <x:c r="D239" s="69" t="str">
        <x:v>Counting</x:v>
      </x:c>
      <x:c r="E239" s="69" t="str">
        <x:v>Make the bowl contain exactly zero objects.</x:v>
      </x:c>
      <x:c r="F239" s="69" t="str">
        <x:v>Inside bowl initially (1): yellow block [TARGET]; On table: blue pen, green pencil sharpener, airplane toy without propellers; action=remove; expected final count=0.</x:v>
      </x:c>
      <x:c r="G239" s="69" t="str">
        <x:v>yellow block</x:v>
      </x:c>
      <x:c r="H239" s="69" t="str">
        <x:v>Recovery</x:v>
      </x:c>
      <x:c r="I239" s="69" t="str">
        <x:v>replace counting demonstration</x:v>
      </x:c>
      <x:c r="J239" s="70" t="str">
        <x:v>Pick up the blue pen and place it in the bowl.</x:v>
      </x:c>
    </x:row>
    <x:row r="240" ht="64" customHeight="1">
      <x:c r="A240" s="68" t="str">
        <x:v>Not collected</x:v>
      </x:c>
      <x:c r="B240" s="69" t="n">
        <x:v>238</x:v>
      </x:c>
      <x:c r="C240" s="69" t="n">
        <x:v>808</x:v>
      </x:c>
      <x:c r="D240" s="69" t="str">
        <x:v>Counting</x:v>
      </x:c>
      <x:c r="E240" s="69" t="str">
        <x:v>Adjust the bowl so that it contains exactly zero objects.</x:v>
      </x:c>
      <x:c r="F240" s="69" t="str">
        <x:v>Inside bowl initially (1): airplane toy without propellers [TARGET]; On table: yellow block, blue pen, green pencil sharpener; action=remove; expected final count=0.</x:v>
      </x:c>
      <x:c r="G240" s="69" t="str">
        <x:v>airplane toy without propellers</x:v>
      </x:c>
      <x:c r="H240" s="69" t="str">
        <x:v>Home</x:v>
      </x:c>
      <x:c r="I240" s="69" t="str">
        <x:v>replace counting demonstration</x:v>
      </x:c>
      <x:c r="J240" s="70" t="str">
        <x:v>Make the bowl contain exactly two objects.</x:v>
      </x:c>
    </x:row>
    <x:row r="241" ht="64" customHeight="1">
      <x:c r="A241" s="68" t="str">
        <x:v>Not collected</x:v>
      </x:c>
      <x:c r="B241" s="69" t="n">
        <x:v>239</x:v>
      </x:c>
      <x:c r="C241" s="69" t="n">
        <x:v>809</x:v>
      </x:c>
      <x:c r="D241" s="69" t="str">
        <x:v>Counting</x:v>
      </x:c>
      <x:c r="E241" s="69" t="str">
        <x:v>Leave exactly zero objects in the bowl.</x:v>
      </x:c>
      <x:c r="F241" s="69" t="str">
        <x:v>Inside bowl initially (1): blue pen [TARGET]; On table: yellow block, airplane toy without propellers, green pencil sharpener; action=remove; expected final count=0.</x:v>
      </x:c>
      <x:c r="G241" s="69" t="str">
        <x:v>blue pen</x:v>
      </x:c>
      <x:c r="H241" s="69" t="str">
        <x:v>Home</x:v>
      </x:c>
      <x:c r="I241" s="69" t="str">
        <x:v>replace counting demonstration</x:v>
      </x:c>
      <x:c r="J241" s="70" t="str">
        <x:v>Adjust the bowl so that it contains two objects.</x:v>
      </x:c>
    </x:row>
    <x:row r="242" ht="64" customHeight="1">
      <x:c r="A242" s="68" t="str">
        <x:v>Not collected</x:v>
      </x:c>
      <x:c r="B242" s="69" t="n">
        <x:v>240</x:v>
      </x:c>
      <x:c r="C242" s="69" t="n">
        <x:v>810</x:v>
      </x:c>
      <x:c r="D242" s="69" t="str">
        <x:v>Counting</x:v>
      </x:c>
      <x:c r="E242" s="69" t="str">
        <x:v>Make the bowl contain exactly zero objects.</x:v>
      </x:c>
      <x:c r="F242" s="69" t="str">
        <x:v>Inside bowl initially (1): green pencil sharpener [TARGET]; On table: yellow block, airplane toy without propellers, blue pen; action=remove; expected final count=0.</x:v>
      </x:c>
      <x:c r="G242" s="69" t="str">
        <x:v>green pencil sharpener</x:v>
      </x:c>
      <x:c r="H242" s="69" t="str">
        <x:v>Home</x:v>
      </x:c>
      <x:c r="I242" s="69" t="str">
        <x:v>replace counting demonstration</x:v>
      </x:c>
      <x:c r="J242" s="70" t="str">
        <x:v>Make the bowl contain exactly two objects.</x:v>
      </x:c>
    </x:row>
    <x:row r="243" ht="64" customHeight="1">
      <x:c r="A243" s="68" t="str">
        <x:v>Not collected</x:v>
      </x:c>
      <x:c r="B243" s="69" t="n">
        <x:v>241</x:v>
      </x:c>
      <x:c r="C243" s="69" t="n">
        <x:v>811</x:v>
      </x:c>
      <x:c r="D243" s="69" t="str">
        <x:v>Counting</x:v>
      </x:c>
      <x:c r="E243" s="69" t="str">
        <x:v>Adjust the bowl so that it contains exactly zero objects.</x:v>
      </x:c>
      <x:c r="F243" s="69" t="str">
        <x:v>Inside bowl initially (1): yellow block [TARGET]; On table: green pencil sharpener, airplane toy without propellers, blue pen; action=remove; expected final count=0.</x:v>
      </x:c>
      <x:c r="G243" s="69" t="str">
        <x:v>yellow block</x:v>
      </x:c>
      <x:c r="H243" s="69" t="str">
        <x:v>Post-Drop</x:v>
      </x:c>
      <x:c r="I243" s="69" t="str">
        <x:v>replace counting demonstration</x:v>
      </x:c>
      <x:c r="J243" s="70" t="str">
        <x:v>Make the bowl contain exactly two objects.</x:v>
      </x:c>
    </x:row>
    <x:row r="244" ht="64" customHeight="1">
      <x:c r="A244" s="68" t="str">
        <x:v>Not collected</x:v>
      </x:c>
      <x:c r="B244" s="69" t="n">
        <x:v>242</x:v>
      </x:c>
      <x:c r="C244" s="69" t="n">
        <x:v>812</x:v>
      </x:c>
      <x:c r="D244" s="69" t="str">
        <x:v>Counting</x:v>
      </x:c>
      <x:c r="E244" s="69" t="str">
        <x:v>Leave exactly zero objects in the bowl.</x:v>
      </x:c>
      <x:c r="F244" s="69" t="str">
        <x:v>Inside bowl initially (1): airplane toy without propellers [TARGET]; On table: blue pen, green pencil sharpener, yellow block; action=remove; expected final count=0.</x:v>
      </x:c>
      <x:c r="G244" s="69" t="str">
        <x:v>airplane toy without propellers</x:v>
      </x:c>
      <x:c r="H244" s="69" t="str">
        <x:v>Post-Drop</x:v>
      </x:c>
      <x:c r="I244" s="69" t="str">
        <x:v>replace counting demonstration</x:v>
      </x:c>
      <x:c r="J244" s="70" t="str">
        <x:v>Adjust the bowl so that it contains two objects.</x:v>
      </x:c>
    </x:row>
    <x:row r="245" ht="64" customHeight="1">
      <x:c r="A245" s="68" t="str">
        <x:v>Not collected</x:v>
      </x:c>
      <x:c r="B245" s="69" t="n">
        <x:v>243</x:v>
      </x:c>
      <x:c r="C245" s="69" t="n">
        <x:v>813</x:v>
      </x:c>
      <x:c r="D245" s="69" t="str">
        <x:v>Counting</x:v>
      </x:c>
      <x:c r="E245" s="69" t="str">
        <x:v>Make the bowl contain exactly zero objects.</x:v>
      </x:c>
      <x:c r="F245" s="69" t="str">
        <x:v>Inside bowl initially (1): blue pen [TARGET]; On table: airplane toy without propellers, green pencil sharpener, yellow block; action=remove; expected final count=0.</x:v>
      </x:c>
      <x:c r="G245" s="69" t="str">
        <x:v>blue pen</x:v>
      </x:c>
      <x:c r="H245" s="69" t="str">
        <x:v>Post-Drop</x:v>
      </x:c>
      <x:c r="I245" s="69" t="str">
        <x:v>replace counting demonstration</x:v>
      </x:c>
      <x:c r="J245" s="70" t="str">
        <x:v>Make the bowl contain exactly two objects.</x:v>
      </x:c>
    </x:row>
    <x:row r="246" ht="64" customHeight="1">
      <x:c r="A246" s="68" t="str">
        <x:v>Not collected</x:v>
      </x:c>
      <x:c r="B246" s="69" t="n">
        <x:v>244</x:v>
      </x:c>
      <x:c r="C246" s="69" t="n">
        <x:v>814</x:v>
      </x:c>
      <x:c r="D246" s="69" t="str">
        <x:v>Counting</x:v>
      </x:c>
      <x:c r="E246" s="69" t="str">
        <x:v>Adjust the bowl so that it contains exactly zero objects.</x:v>
      </x:c>
      <x:c r="F246" s="69" t="str">
        <x:v>Inside bowl initially (1): green pencil sharpener [TARGET]; On table: airplane toy without propellers, blue pen, yellow block; action=remove; expected final count=0.</x:v>
      </x:c>
      <x:c r="G246" s="69" t="str">
        <x:v>green pencil sharpener</x:v>
      </x:c>
      <x:c r="H246" s="69" t="str">
        <x:v>Recovery</x:v>
      </x:c>
      <x:c r="I246" s="69" t="str">
        <x:v>replace counting demonstration</x:v>
      </x:c>
      <x:c r="J246" s="70" t="str">
        <x:v>Make the bowl contain exactly two objects.</x:v>
      </x:c>
    </x:row>
    <x:row r="247" ht="64" customHeight="1">
      <x:c r="A247" s="68" t="str">
        <x:v>Not collected</x:v>
      </x:c>
      <x:c r="B247" s="69" t="n">
        <x:v>245</x:v>
      </x:c>
      <x:c r="C247" s="69" t="n">
        <x:v>815</x:v>
      </x:c>
      <x:c r="D247" s="69" t="str">
        <x:v>Counting</x:v>
      </x:c>
      <x:c r="E247" s="69" t="str">
        <x:v>Leave exactly zero objects in the bowl.</x:v>
      </x:c>
      <x:c r="F247" s="69" t="str">
        <x:v>Inside bowl initially (1): yellow block [TARGET]; On table: airplane toy without propellers, blue pen, green pencil sharpener; action=remove; expected final count=0.</x:v>
      </x:c>
      <x:c r="G247" s="69" t="str">
        <x:v>yellow block</x:v>
      </x:c>
      <x:c r="H247" s="69" t="str">
        <x:v>Recovery</x:v>
      </x:c>
      <x:c r="I247" s="69" t="str">
        <x:v>replace counting demonstration</x:v>
      </x:c>
      <x:c r="J247" s="70" t="str">
        <x:v>Adjust the bowl so that it contains two objects.</x:v>
      </x:c>
    </x:row>
    <x:row r="248" ht="64" customHeight="1">
      <x:c r="A248" s="68" t="str">
        <x:v>Not collected</x:v>
      </x:c>
      <x:c r="B248" s="69" t="n">
        <x:v>246</x:v>
      </x:c>
      <x:c r="C248" s="69" t="n">
        <x:v>816</x:v>
      </x:c>
      <x:c r="D248" s="69" t="str">
        <x:v>Counting</x:v>
      </x:c>
      <x:c r="E248" s="69" t="str">
        <x:v>Make the bowl contain exactly zero objects.</x:v>
      </x:c>
      <x:c r="F248" s="69" t="str">
        <x:v>Inside bowl initially (1): airplane toy without propellers [TARGET]; On table: green pencil sharpener, yellow block, blue pen; action=remove; expected final count=0.</x:v>
      </x:c>
      <x:c r="G248" s="69" t="str">
        <x:v>airplane toy without propellers</x:v>
      </x:c>
      <x:c r="H248" s="69" t="str">
        <x:v>Home</x:v>
      </x:c>
      <x:c r="I248" s="69" t="str">
        <x:v>replace counting demonstration</x:v>
      </x:c>
      <x:c r="J248" s="70" t="str">
        <x:v>Pick up the blue pen and place it in the bowl.</x:v>
      </x:c>
    </x:row>
    <x:row r="249" ht="64" customHeight="1">
      <x:c r="A249" s="68" t="str">
        <x:v>Not collected</x:v>
      </x:c>
      <x:c r="B249" s="69" t="n">
        <x:v>247</x:v>
      </x:c>
      <x:c r="C249" s="69" t="n">
        <x:v>817</x:v>
      </x:c>
      <x:c r="D249" s="69" t="str">
        <x:v>Counting</x:v>
      </x:c>
      <x:c r="E249" s="69" t="str">
        <x:v>Adjust the bowl so that it contains exactly zero objects.</x:v>
      </x:c>
      <x:c r="F249" s="69" t="str">
        <x:v>Inside bowl initially (1): blue pen [TARGET]; On table: green pencil sharpener, yellow block, airplane toy without propellers; action=remove; expected final count=0.</x:v>
      </x:c>
      <x:c r="G249" s="69" t="str">
        <x:v>blue pen</x:v>
      </x:c>
      <x:c r="H249" s="69" t="str">
        <x:v>Home</x:v>
      </x:c>
      <x:c r="I249" s="69" t="str">
        <x:v>replace counting demonstration</x:v>
      </x:c>
      <x:c r="J249" s="70" t="str">
        <x:v>Move the blue pen into the bowl.</x:v>
      </x:c>
    </x:row>
    <x:row r="250" ht="64" customHeight="1">
      <x:c r="A250" s="68" t="str">
        <x:v>Not collected</x:v>
      </x:c>
      <x:c r="B250" s="69" t="n">
        <x:v>248</x:v>
      </x:c>
      <x:c r="C250" s="69" t="n">
        <x:v>818</x:v>
      </x:c>
      <x:c r="D250" s="69" t="str">
        <x:v>Counting</x:v>
      </x:c>
      <x:c r="E250" s="69" t="str">
        <x:v>Leave exactly zero objects in the bowl.</x:v>
      </x:c>
      <x:c r="F250" s="69" t="str">
        <x:v>Inside bowl initially (1): green pencil sharpener [TARGET]; On table: blue pen, yellow block, airplane toy without propellers; action=remove; expected final count=0.</x:v>
      </x:c>
      <x:c r="G250" s="69" t="str">
        <x:v>green pencil sharpener</x:v>
      </x:c>
      <x:c r="H250" s="69" t="str">
        <x:v>Home</x:v>
      </x:c>
      <x:c r="I250" s="69" t="str">
        <x:v>replace counting demonstration</x:v>
      </x:c>
      <x:c r="J250" s="70" t="str">
        <x:v>Put the blue pen in the bowl.</x:v>
      </x:c>
    </x:row>
    <x:row r="251" ht="64" customHeight="1">
      <x:c r="A251" s="68" t="str">
        <x:v>Not collected</x:v>
      </x:c>
      <x:c r="B251" s="69" t="n">
        <x:v>249</x:v>
      </x:c>
      <x:c r="C251" s="69" t="n">
        <x:v>819</x:v>
      </x:c>
      <x:c r="D251" s="69" t="str">
        <x:v>Counting</x:v>
      </x:c>
      <x:c r="E251" s="69" t="str">
        <x:v>Make the bowl contain exactly zero objects.</x:v>
      </x:c>
      <x:c r="F251" s="69" t="str">
        <x:v>Inside bowl initially (1): yellow block [TARGET]; On table: blue pen, green pencil sharpener, airplane toy without propellers; action=remove; expected final count=0.</x:v>
      </x:c>
      <x:c r="G251" s="69" t="str">
        <x:v>yellow block</x:v>
      </x:c>
      <x:c r="H251" s="69" t="str">
        <x:v>Home</x:v>
      </x:c>
      <x:c r="I251" s="69" t="str">
        <x:v>replace counting demonstration</x:v>
      </x:c>
      <x:c r="J251" s="70" t="str">
        <x:v>Put the blue pen in the bowl.</x:v>
      </x:c>
    </x:row>
    <x:row r="252" ht="64" customHeight="1">
      <x:c r="A252" s="68" t="str">
        <x:v>Not collected</x:v>
      </x:c>
      <x:c r="B252" s="69" t="n">
        <x:v>250</x:v>
      </x:c>
      <x:c r="C252" s="69" t="n">
        <x:v>820</x:v>
      </x:c>
      <x:c r="D252" s="69" t="str">
        <x:v>Counting</x:v>
      </x:c>
      <x:c r="E252" s="69" t="str">
        <x:v>Adjust the bowl so that it contains exactly zero objects.</x:v>
      </x:c>
      <x:c r="F252" s="69" t="str">
        <x:v>Inside bowl initially (1): airplane toy without propellers [TARGET]; On table: yellow block, blue pen, green pencil sharpener; action=remove; expected final count=0.</x:v>
      </x:c>
      <x:c r="G252" s="69" t="str">
        <x:v>airplane toy without propellers</x:v>
      </x:c>
      <x:c r="H252" s="69" t="str">
        <x:v>Post-Drop</x:v>
      </x:c>
      <x:c r="I252" s="69" t="str">
        <x:v>replace counting demonstration</x:v>
      </x:c>
      <x:c r="J252" s="70" t="str">
        <x:v>Move the blue pen into the bowl.</x:v>
      </x:c>
    </x:row>
    <x:row r="253" ht="64" customHeight="1">
      <x:c r="A253" s="68" t="str">
        <x:v>Not collected</x:v>
      </x:c>
      <x:c r="B253" s="69" t="n">
        <x:v>251</x:v>
      </x:c>
      <x:c r="C253" s="69" t="n">
        <x:v>821</x:v>
      </x:c>
      <x:c r="D253" s="69" t="str">
        <x:v>Counting</x:v>
      </x:c>
      <x:c r="E253" s="69" t="str">
        <x:v>Leave exactly zero objects in the bowl.</x:v>
      </x:c>
      <x:c r="F253" s="69" t="str">
        <x:v>Inside bowl initially (1): blue pen [TARGET]; On table: yellow block, airplane toy without propellers, green pencil sharpener; action=remove; expected final count=0.</x:v>
      </x:c>
      <x:c r="G253" s="69" t="str">
        <x:v>blue pen</x:v>
      </x:c>
      <x:c r="H253" s="69" t="str">
        <x:v>Post-Drop</x:v>
      </x:c>
      <x:c r="I253" s="69" t="str">
        <x:v>replace counting demonstration</x:v>
      </x:c>
      <x:c r="J253" s="70" t="str">
        <x:v>Put the blue pen in the bowl.</x:v>
      </x:c>
    </x:row>
    <x:row r="254" ht="64" customHeight="1">
      <x:c r="A254" s="68" t="str">
        <x:v>Not collected</x:v>
      </x:c>
      <x:c r="B254" s="69" t="n">
        <x:v>252</x:v>
      </x:c>
      <x:c r="C254" s="69" t="n">
        <x:v>822</x:v>
      </x:c>
      <x:c r="D254" s="69" t="str">
        <x:v>Counting</x:v>
      </x:c>
      <x:c r="E254" s="69" t="str">
        <x:v>Make the bowl contain exactly zero objects.</x:v>
      </x:c>
      <x:c r="F254" s="69" t="str">
        <x:v>Inside bowl initially (1): green pencil sharpener [TARGET]; On table: yellow block, airplane toy without propellers, blue pen; action=remove; expected final count=0.</x:v>
      </x:c>
      <x:c r="G254" s="69" t="str">
        <x:v>green pencil sharpener</x:v>
      </x:c>
      <x:c r="H254" s="69" t="str">
        <x:v>Post-Drop</x:v>
      </x:c>
      <x:c r="I254" s="69" t="str">
        <x:v>replace counting demonstration</x:v>
      </x:c>
      <x:c r="J254" s="70" t="str">
        <x:v>Put the blue pen in the bowl.</x:v>
      </x:c>
    </x:row>
    <x:row r="255" ht="64" customHeight="1">
      <x:c r="A255" s="68" t="str">
        <x:v>Not collected</x:v>
      </x:c>
      <x:c r="B255" s="69" t="n">
        <x:v>253</x:v>
      </x:c>
      <x:c r="C255" s="69" t="n">
        <x:v>823</x:v>
      </x:c>
      <x:c r="D255" s="69" t="str">
        <x:v>Counting</x:v>
      </x:c>
      <x:c r="E255" s="69" t="str">
        <x:v>Adjust the bowl so that it contains exactly zero objects.</x:v>
      </x:c>
      <x:c r="F255" s="69" t="str">
        <x:v>Inside bowl initially (1): yellow block [TARGET]; On table: green pencil sharpener, airplane toy without propellers, blue pen; action=remove; expected final count=0.</x:v>
      </x:c>
      <x:c r="G255" s="69" t="str">
        <x:v>yellow block</x:v>
      </x:c>
      <x:c r="H255" s="69" t="str">
        <x:v>Post-Drop</x:v>
      </x:c>
      <x:c r="I255" s="69" t="str">
        <x:v>replace counting demonstration</x:v>
      </x:c>
      <x:c r="J255" s="70" t="str">
        <x:v>Pick up the blue pen and place it in the bowl.</x:v>
      </x:c>
    </x:row>
    <x:row r="256" ht="64" customHeight="1">
      <x:c r="A256" s="68" t="str">
        <x:v>Not collected</x:v>
      </x:c>
      <x:c r="B256" s="69" t="n">
        <x:v>254</x:v>
      </x:c>
      <x:c r="C256" s="69" t="n">
        <x:v>824</x:v>
      </x:c>
      <x:c r="D256" s="69" t="str">
        <x:v>Counting</x:v>
      </x:c>
      <x:c r="E256" s="69" t="str">
        <x:v>Leave exactly zero objects in the bowl.</x:v>
      </x:c>
      <x:c r="F256" s="69" t="str">
        <x:v>Inside bowl initially (1): airplane toy without propellers [TARGET]; On table: blue pen, green pencil sharpener, yellow block; action=remove; expected final count=0.</x:v>
      </x:c>
      <x:c r="G256" s="69" t="str">
        <x:v>airplane toy without propellers</x:v>
      </x:c>
      <x:c r="H256" s="69" t="str">
        <x:v>Recovery</x:v>
      </x:c>
      <x:c r="I256" s="69" t="str">
        <x:v>replace counting demonstration</x:v>
      </x:c>
      <x:c r="J256" s="70" t="str">
        <x:v>Put the blue pen in the bowl.</x:v>
      </x:c>
    </x:row>
    <x:row r="257" ht="64" customHeight="1">
      <x:c r="A257" s="68" t="str">
        <x:v>Not collected</x:v>
      </x:c>
      <x:c r="B257" s="69" t="n">
        <x:v>255</x:v>
      </x:c>
      <x:c r="C257" s="69" t="n">
        <x:v>825</x:v>
      </x:c>
      <x:c r="D257" s="69" t="str">
        <x:v>Counting</x:v>
      </x:c>
      <x:c r="E257" s="69" t="str">
        <x:v>Make the bowl contain exactly zero objects.</x:v>
      </x:c>
      <x:c r="F257" s="69" t="str">
        <x:v>Inside bowl initially (1): blue pen [TARGET]; On table: airplane toy without propellers, green pencil sharpener, yellow block; action=remove; expected final count=0.</x:v>
      </x:c>
      <x:c r="G257" s="69" t="str">
        <x:v>blue pen</x:v>
      </x:c>
      <x:c r="H257" s="69" t="str">
        <x:v>Home</x:v>
      </x:c>
      <x:c r="I257" s="69" t="str">
        <x:v>replace counting demonstration</x:v>
      </x:c>
      <x:c r="J257" s="70" t="str">
        <x:v>Make the bowl contain exactly zero objects.</x:v>
      </x:c>
    </x:row>
    <x:row r="258" ht="64" customHeight="1">
      <x:c r="A258" s="68" t="str">
        <x:v>Not collected</x:v>
      </x:c>
      <x:c r="B258" s="69" t="n">
        <x:v>256</x:v>
      </x:c>
      <x:c r="C258" s="69" t="n">
        <x:v>826</x:v>
      </x:c>
      <x:c r="D258" s="69" t="str">
        <x:v>Counting</x:v>
      </x:c>
      <x:c r="E258" s="69" t="str">
        <x:v>Adjust the bowl so that it contains exactly zero objects.</x:v>
      </x:c>
      <x:c r="F258" s="69" t="str">
        <x:v>Inside bowl initially (1): green pencil sharpener [TARGET]; On table: airplane toy without propellers, blue pen, yellow block; action=remove; expected final count=0.</x:v>
      </x:c>
      <x:c r="G258" s="69" t="str">
        <x:v>green pencil sharpener</x:v>
      </x:c>
      <x:c r="H258" s="69" t="str">
        <x:v>Home</x:v>
      </x:c>
      <x:c r="I258" s="69" t="str">
        <x:v>replace counting demonstration</x:v>
      </x:c>
      <x:c r="J258" s="70" t="str">
        <x:v>Adjust the bowl so that it contains zero objects.</x:v>
      </x:c>
    </x:row>
    <x:row r="259" ht="64" customHeight="1">
      <x:c r="A259" s="68" t="str">
        <x:v>Not collected</x:v>
      </x:c>
      <x:c r="B259" s="69" t="n">
        <x:v>257</x:v>
      </x:c>
      <x:c r="C259" s="69" t="n">
        <x:v>827</x:v>
      </x:c>
      <x:c r="D259" s="69" t="str">
        <x:v>Counting</x:v>
      </x:c>
      <x:c r="E259" s="69" t="str">
        <x:v>Leave exactly zero objects in the bowl.</x:v>
      </x:c>
      <x:c r="F259" s="69" t="str">
        <x:v>Inside bowl initially (1): yellow block [TARGET]; On table: airplane toy without propellers, blue pen, green pencil sharpener; action=remove; expected final count=0.</x:v>
      </x:c>
      <x:c r="G259" s="69" t="str">
        <x:v>yellow block</x:v>
      </x:c>
      <x:c r="H259" s="69" t="str">
        <x:v>Post-Drop</x:v>
      </x:c>
      <x:c r="I259" s="69" t="str">
        <x:v>replace counting demonstration</x:v>
      </x:c>
      <x:c r="J259" s="70" t="str">
        <x:v>Adjust the bowl so that it contains zero objects.</x:v>
      </x:c>
    </x:row>
    <x:row r="260" ht="64" customHeight="1">
      <x:c r="A260" s="68" t="str">
        <x:v>Not collected</x:v>
      </x:c>
      <x:c r="B260" s="69" t="n">
        <x:v>258</x:v>
      </x:c>
      <x:c r="C260" s="69" t="n">
        <x:v>828</x:v>
      </x:c>
      <x:c r="D260" s="69" t="str">
        <x:v>Counting</x:v>
      </x:c>
      <x:c r="E260" s="69" t="str">
        <x:v>Make the bowl contain exactly zero objects.</x:v>
      </x:c>
      <x:c r="F260" s="69" t="str">
        <x:v>Inside bowl initially (1): airplane toy without propellers [TARGET]; On table: green pencil sharpener, yellow block, blue pen; action=remove; expected final count=0.</x:v>
      </x:c>
      <x:c r="G260" s="69" t="str">
        <x:v>airplane toy without propellers</x:v>
      </x:c>
      <x:c r="H260" s="69" t="str">
        <x:v>Post-Drop</x:v>
      </x:c>
      <x:c r="I260" s="69" t="str">
        <x:v>replace counting demonstration</x:v>
      </x:c>
      <x:c r="J260" s="70" t="str">
        <x:v>Leave no objects in the bowl.</x:v>
      </x:c>
    </x:row>
    <x:row r="261" ht="64" customHeight="1">
      <x:c r="A261" s="68" t="str">
        <x:v>Not collected</x:v>
      </x:c>
      <x:c r="B261" s="69" t="n">
        <x:v>259</x:v>
      </x:c>
      <x:c r="C261" s="69" t="n">
        <x:v>829</x:v>
      </x:c>
      <x:c r="D261" s="69" t="str">
        <x:v>Counting</x:v>
      </x:c>
      <x:c r="E261" s="69" t="str">
        <x:v>Adjust the bowl so that it contains exactly zero objects.</x:v>
      </x:c>
      <x:c r="F261" s="69" t="str">
        <x:v>Inside bowl initially (1): blue pen [TARGET]; On table: green pencil sharpener, yellow block, airplane toy without propellers; action=remove; expected final count=0.</x:v>
      </x:c>
      <x:c r="G261" s="69" t="str">
        <x:v>blue pen</x:v>
      </x:c>
      <x:c r="H261" s="69" t="str">
        <x:v>Recovery</x:v>
      </x:c>
      <x:c r="I261" s="69" t="str">
        <x:v>replace counting demonstration</x:v>
      </x:c>
      <x:c r="J261" s="70" t="str">
        <x:v>Leave no objects in the bowl.</x:v>
      </x:c>
    </x:row>
    <x:row r="262" ht="64" customHeight="1">
      <x:c r="A262" s="68" t="str">
        <x:v>Not collected</x:v>
      </x:c>
      <x:c r="B262" s="69" t="n">
        <x:v>260</x:v>
      </x:c>
      <x:c r="C262" s="69" t="n">
        <x:v>830</x:v>
      </x:c>
      <x:c r="D262" s="69" t="str">
        <x:v>Counting</x:v>
      </x:c>
      <x:c r="E262" s="69" t="str">
        <x:v>Leave exactly zero objects in the bowl.</x:v>
      </x:c>
      <x:c r="F262" s="69" t="str">
        <x:v>Inside bowl initially (1): green pencil sharpener [TARGET]; On table: blue pen, yellow block, airplane toy without propellers; action=remove; expected final count=0.</x:v>
      </x:c>
      <x:c r="G262" s="69" t="str">
        <x:v>green pencil sharpener</x:v>
      </x:c>
      <x:c r="H262" s="69" t="str">
        <x:v>Recovery</x:v>
      </x:c>
      <x:c r="I262" s="69" t="str">
        <x:v>replace counting demonstration</x:v>
      </x:c>
      <x:c r="J262" s="70" t="str">
        <x:v>Adjust the bowl so that it contains zero objects.</x:v>
      </x:c>
    </x:row>
    <x:row r="263" ht="64" customHeight="1">
      <x:c r="A263" s="68" t="str">
        <x:v>Not collected</x:v>
      </x:c>
      <x:c r="B263" s="69" t="n">
        <x:v>261</x:v>
      </x:c>
      <x:c r="C263" s="69" t="n">
        <x:v>831</x:v>
      </x:c>
      <x:c r="D263" s="69" t="str">
        <x:v>Counting</x:v>
      </x:c>
      <x:c r="E263" s="69" t="str">
        <x:v>Make the bowl contain exactly zero objects.</x:v>
      </x:c>
      <x:c r="F263" s="69" t="str">
        <x:v>Inside bowl initially (1): yellow block [TARGET]; On table: blue pen, green pencil sharpener, airplane toy without propellers; action=remove; expected final count=0.</x:v>
      </x:c>
      <x:c r="G263" s="69" t="str">
        <x:v>yellow block</x:v>
      </x:c>
      <x:c r="H263" s="69" t="str">
        <x:v>Home</x:v>
      </x:c>
      <x:c r="I263" s="69" t="str">
        <x:v>replace counting demonstration</x:v>
      </x:c>
      <x:c r="J263" s="70" t="str">
        <x:v>Remove the blue pen from the bowl.</x:v>
      </x:c>
    </x:row>
    <x:row r="264" ht="64" customHeight="1">
      <x:c r="A264" s="68" t="str">
        <x:v>Not collected</x:v>
      </x:c>
      <x:c r="B264" s="69" t="n">
        <x:v>262</x:v>
      </x:c>
      <x:c r="C264" s="69" t="n">
        <x:v>832</x:v>
      </x:c>
      <x:c r="D264" s="69" t="str">
        <x:v>Counting</x:v>
      </x:c>
      <x:c r="E264" s="69" t="str">
        <x:v>Adjust the bowl so that it contains exactly zero objects.</x:v>
      </x:c>
      <x:c r="F264" s="69" t="str">
        <x:v>Inside bowl initially (1): airplane toy without propellers [TARGET]; On table: yellow block, blue pen, green pencil sharpener; action=remove; expected final count=0.</x:v>
      </x:c>
      <x:c r="G264" s="69" t="str">
        <x:v>airplane toy without propellers</x:v>
      </x:c>
      <x:c r="H264" s="69" t="str">
        <x:v>Home</x:v>
      </x:c>
      <x:c r="I264" s="69" t="str">
        <x:v>replace counting demonstration</x:v>
      </x:c>
      <x:c r="J264" s="70" t="str">
        <x:v>Remove the blue pen from the bowl.</x:v>
      </x:c>
    </x:row>
    <x:row r="265" ht="64" customHeight="1">
      <x:c r="A265" s="68" t="str">
        <x:v>Not collected</x:v>
      </x:c>
      <x:c r="B265" s="69" t="n">
        <x:v>263</x:v>
      </x:c>
      <x:c r="C265" s="69" t="n">
        <x:v>833</x:v>
      </x:c>
      <x:c r="D265" s="69" t="str">
        <x:v>Counting</x:v>
      </x:c>
      <x:c r="E265" s="69" t="str">
        <x:v>Leave exactly zero objects in the bowl.</x:v>
      </x:c>
      <x:c r="F265" s="69" t="str">
        <x:v>Inside bowl initially (1): blue pen [TARGET]; On table: yellow block, airplane toy without propellers, green pencil sharpener; action=remove; expected final count=0.</x:v>
      </x:c>
      <x:c r="G265" s="69" t="str">
        <x:v>blue pen</x:v>
      </x:c>
      <x:c r="H265" s="69" t="str">
        <x:v>Home</x:v>
      </x:c>
      <x:c r="I265" s="69" t="str">
        <x:v>replace counting demonstration</x:v>
      </x:c>
      <x:c r="J265" s="70" t="str">
        <x:v>Take the blue pen out of the bowl.</x:v>
      </x:c>
    </x:row>
    <x:row r="266" ht="64" customHeight="1">
      <x:c r="A266" s="68" t="str">
        <x:v>Not collected</x:v>
      </x:c>
      <x:c r="B266" s="69" t="n">
        <x:v>264</x:v>
      </x:c>
      <x:c r="C266" s="69" t="n">
        <x:v>834</x:v>
      </x:c>
      <x:c r="D266" s="69" t="str">
        <x:v>Counting</x:v>
      </x:c>
      <x:c r="E266" s="69" t="str">
        <x:v>Make the bowl contain exactly zero objects.</x:v>
      </x:c>
      <x:c r="F266" s="69" t="str">
        <x:v>Inside bowl initially (1): green pencil sharpener [TARGET]; On table: yellow block, airplane toy without propellers, blue pen; action=remove; expected final count=0.</x:v>
      </x:c>
      <x:c r="G266" s="69" t="str">
        <x:v>green pencil sharpener</x:v>
      </x:c>
      <x:c r="H266" s="69" t="str">
        <x:v>Post-Drop</x:v>
      </x:c>
      <x:c r="I266" s="69" t="str">
        <x:v>replace counting demonstration</x:v>
      </x:c>
      <x:c r="J266" s="70" t="str">
        <x:v>Take the blue pen out of the bowl.</x:v>
      </x:c>
    </x:row>
    <x:row r="267" ht="64" customHeight="1">
      <x:c r="A267" s="68" t="str">
        <x:v>Not collected</x:v>
      </x:c>
      <x:c r="B267" s="69" t="n">
        <x:v>265</x:v>
      </x:c>
      <x:c r="C267" s="69" t="n">
        <x:v>835</x:v>
      </x:c>
      <x:c r="D267" s="69" t="str">
        <x:v>Counting</x:v>
      </x:c>
      <x:c r="E267" s="69" t="str">
        <x:v>Adjust the bowl so that it contains exactly zero objects.</x:v>
      </x:c>
      <x:c r="F267" s="69" t="str">
        <x:v>Inside bowl initially (1): yellow block [TARGET]; On table: green pencil sharpener, airplane toy without propellers, blue pen; action=remove; expected final count=0.</x:v>
      </x:c>
      <x:c r="G267" s="69" t="str">
        <x:v>yellow block</x:v>
      </x:c>
      <x:c r="H267" s="69" t="str">
        <x:v>Post-Drop</x:v>
      </x:c>
      <x:c r="I267" s="69" t="str">
        <x:v>replace counting demonstration</x:v>
      </x:c>
      <x:c r="J267" s="70" t="str">
        <x:v>Move the blue pen from the bowl to the table.</x:v>
      </x:c>
    </x:row>
    <x:row r="268" ht="64" customHeight="1">
      <x:c r="A268" s="68" t="str">
        <x:v>Not collected</x:v>
      </x:c>
      <x:c r="B268" s="69" t="n">
        <x:v>266</x:v>
      </x:c>
      <x:c r="C268" s="69" t="n">
        <x:v>836</x:v>
      </x:c>
      <x:c r="D268" s="69" t="str">
        <x:v>Counting</x:v>
      </x:c>
      <x:c r="E268" s="69" t="str">
        <x:v>Leave exactly zero objects in the bowl.</x:v>
      </x:c>
      <x:c r="F268" s="69" t="str">
        <x:v>Inside bowl initially (1): airplane toy without propellers [TARGET]; On table: blue pen, green pencil sharpener, yellow block; action=remove; expected final count=0.</x:v>
      </x:c>
      <x:c r="G268" s="69" t="str">
        <x:v>airplane toy without propellers</x:v>
      </x:c>
      <x:c r="H268" s="69" t="str">
        <x:v>Recovery</x:v>
      </x:c>
      <x:c r="I268" s="69" t="str">
        <x:v>replace counting demonstration</x:v>
      </x:c>
      <x:c r="J268" s="70" t="str">
        <x:v>Remove the blue pen from the bowl.</x:v>
      </x:c>
    </x:row>
    <x:row r="269" ht="64" customHeight="1">
      <x:c r="A269" s="68" t="str">
        <x:v>Not collected</x:v>
      </x:c>
      <x:c r="B269" s="69" t="n">
        <x:v>267</x:v>
      </x:c>
      <x:c r="C269" s="69" t="n">
        <x:v>837</x:v>
      </x:c>
      <x:c r="D269" s="69" t="str">
        <x:v>Counting</x:v>
      </x:c>
      <x:c r="E269" s="69" t="str">
        <x:v>Make the bowl contain exactly zero objects.</x:v>
      </x:c>
      <x:c r="F269" s="69" t="str">
        <x:v>Inside bowl initially (1): blue pen [TARGET]; On table: airplane toy without propellers, green pencil sharpener, yellow block; action=remove; expected final count=0.</x:v>
      </x:c>
      <x:c r="G269" s="69" t="str">
        <x:v>blue pen</x:v>
      </x:c>
      <x:c r="H269" s="69" t="str">
        <x:v>Home</x:v>
      </x:c>
      <x:c r="I269" s="69" t="str">
        <x:v>replace counting demonstration</x:v>
      </x:c>
      <x:c r="J269" s="70" t="str">
        <x:v>Make the bowl contain exactly two objects.</x:v>
      </x:c>
    </x:row>
    <x:row r="270" ht="64" customHeight="1">
      <x:c r="A270" s="68" t="str">
        <x:v>Not collected</x:v>
      </x:c>
      <x:c r="B270" s="69" t="n">
        <x:v>268</x:v>
      </x:c>
      <x:c r="C270" s="69" t="n">
        <x:v>838</x:v>
      </x:c>
      <x:c r="D270" s="69" t="str">
        <x:v>Counting</x:v>
      </x:c>
      <x:c r="E270" s="69" t="str">
        <x:v>Adjust the bowl so that it contains exactly zero objects.</x:v>
      </x:c>
      <x:c r="F270" s="69" t="str">
        <x:v>Inside bowl initially (1): green pencil sharpener [TARGET]; On table: airplane toy without propellers, blue pen, yellow block; action=remove; expected final count=0.</x:v>
      </x:c>
      <x:c r="G270" s="69" t="str">
        <x:v>green pencil sharpener</x:v>
      </x:c>
      <x:c r="H270" s="69" t="str">
        <x:v>Home</x:v>
      </x:c>
      <x:c r="I270" s="69" t="str">
        <x:v>replace counting demonstration</x:v>
      </x:c>
      <x:c r="J270" s="70" t="str">
        <x:v>Make the bowl contain exactly two objects.</x:v>
      </x:c>
    </x:row>
    <x:row r="271" ht="64" customHeight="1">
      <x:c r="A271" s="68" t="str">
        <x:v>Not collected</x:v>
      </x:c>
      <x:c r="B271" s="69" t="n">
        <x:v>269</x:v>
      </x:c>
      <x:c r="C271" s="69" t="n">
        <x:v>839</x:v>
      </x:c>
      <x:c r="D271" s="69" t="str">
        <x:v>Counting</x:v>
      </x:c>
      <x:c r="E271" s="69" t="str">
        <x:v>Leave exactly zero objects in the bowl.</x:v>
      </x:c>
      <x:c r="F271" s="69" t="str">
        <x:v>Inside bowl initially (1): yellow block [TARGET]; On table: airplane toy without propellers, blue pen, green pencil sharpener; action=remove; expected final count=0.</x:v>
      </x:c>
      <x:c r="G271" s="69" t="str">
        <x:v>yellow block</x:v>
      </x:c>
      <x:c r="H271" s="69" t="str">
        <x:v>Post-Drop</x:v>
      </x:c>
      <x:c r="I271" s="69" t="str">
        <x:v>replace counting demonstration</x:v>
      </x:c>
      <x:c r="J271" s="70" t="str">
        <x:v>Make the bowl contain exactly two objects.</x:v>
      </x:c>
    </x:row>
    <x:row r="272" ht="64" customHeight="1">
      <x:c r="A272" s="68" t="str">
        <x:v>Not collected</x:v>
      </x:c>
      <x:c r="B272" s="69" t="n">
        <x:v>270</x:v>
      </x:c>
      <x:c r="C272" s="69" t="n">
        <x:v>840</x:v>
      </x:c>
      <x:c r="D272" s="69" t="str">
        <x:v>Counting</x:v>
      </x:c>
      <x:c r="E272" s="69" t="str">
        <x:v>Make the bowl contain exactly one object.</x:v>
      </x:c>
      <x:c r="F272" s="69" t="str">
        <x:v>Inside bowl initially (0): none; On table: airplane toy without propellers [TARGET], green pencil sharpener, yellow block, blue pen; action=add; expected final count=1.</x:v>
      </x:c>
      <x:c r="G272" s="69" t="str">
        <x:v>airplane toy without propellers</x:v>
      </x:c>
      <x:c r="H272" s="69" t="str">
        <x:v>Post-Drop</x:v>
      </x:c>
      <x:c r="I272" s="69" t="str">
        <x:v>replace counting demonstration</x:v>
      </x:c>
      <x:c r="J272" s="70" t="str">
        <x:v>Adjust the bowl so that it contains two objects.</x:v>
      </x:c>
    </x:row>
    <x:row r="273" ht="64" customHeight="1">
      <x:c r="A273" s="68" t="str">
        <x:v>Not collected</x:v>
      </x:c>
      <x:c r="B273" s="69" t="n">
        <x:v>271</x:v>
      </x:c>
      <x:c r="C273" s="69" t="n">
        <x:v>841</x:v>
      </x:c>
      <x:c r="D273" s="69" t="str">
        <x:v>Counting</x:v>
      </x:c>
      <x:c r="E273" s="69" t="str">
        <x:v>Adjust the bowl so that it contains exactly one object.</x:v>
      </x:c>
      <x:c r="F273" s="69" t="str">
        <x:v>Inside bowl initially (0): none; On table: blue pen [TARGET], green pencil sharpener, yellow block, airplane toy without propellers; action=add; expected final count=1.</x:v>
      </x:c>
      <x:c r="G273" s="69" t="str">
        <x:v>blue pen</x:v>
      </x:c>
      <x:c r="H273" s="69" t="str">
        <x:v>Post-Drop</x:v>
      </x:c>
      <x:c r="I273" s="69" t="str">
        <x:v>replace counting demonstration</x:v>
      </x:c>
      <x:c r="J273" s="70" t="str">
        <x:v>Leave exactly two objects in the bowl.</x:v>
      </x:c>
    </x:row>
    <x:row r="274" ht="64" customHeight="1">
      <x:c r="A274" s="68" t="str">
        <x:v>Not collected</x:v>
      </x:c>
      <x:c r="B274" s="69" t="n">
        <x:v>272</x:v>
      </x:c>
      <x:c r="C274" s="69" t="n">
        <x:v>842</x:v>
      </x:c>
      <x:c r="D274" s="69" t="str">
        <x:v>Counting</x:v>
      </x:c>
      <x:c r="E274" s="69" t="str">
        <x:v>Leave exactly one object in the bowl.</x:v>
      </x:c>
      <x:c r="F274" s="69" t="str">
        <x:v>Inside bowl initially (0): none; On table: green pencil sharpener [TARGET], blue pen, yellow block, airplane toy without propellers; action=add; expected final count=1.</x:v>
      </x:c>
      <x:c r="G274" s="69" t="str">
        <x:v>green pencil sharpener</x:v>
      </x:c>
      <x:c r="H274" s="69" t="str">
        <x:v>Recovery</x:v>
      </x:c>
      <x:c r="I274" s="69" t="str">
        <x:v>replace counting demonstration</x:v>
      </x:c>
      <x:c r="J274" s="70" t="str">
        <x:v>Make the bowl contain exactly two objects.</x:v>
      </x:c>
    </x:row>
    <x:row r="275" ht="64" customHeight="1">
      <x:c r="A275" s="68" t="str">
        <x:v>Not collected</x:v>
      </x:c>
      <x:c r="B275" s="69" t="n">
        <x:v>273</x:v>
      </x:c>
      <x:c r="C275" s="69" t="n">
        <x:v>843</x:v>
      </x:c>
      <x:c r="D275" s="69" t="str">
        <x:v>Counting</x:v>
      </x:c>
      <x:c r="E275" s="69" t="str">
        <x:v>Make the bowl contain exactly one object.</x:v>
      </x:c>
      <x:c r="F275" s="69" t="str">
        <x:v>Inside bowl initially (0): none; On table: yellow block [TARGET], blue pen, green pencil sharpener, airplane toy without propellers; action=add; expected final count=1.</x:v>
      </x:c>
      <x:c r="G275" s="69" t="str">
        <x:v>yellow block</x:v>
      </x:c>
      <x:c r="H275" s="69" t="str">
        <x:v>Home</x:v>
      </x:c>
      <x:c r="I275" s="69" t="str">
        <x:v>replace counting demonstration</x:v>
      </x:c>
      <x:c r="J275" s="70" t="str">
        <x:v>Take the blue pen out of the bowl.</x:v>
      </x:c>
    </x:row>
    <x:row r="276" ht="64" customHeight="1">
      <x:c r="A276" s="68" t="str">
        <x:v>Not collected</x:v>
      </x:c>
      <x:c r="B276" s="69" t="n">
        <x:v>274</x:v>
      </x:c>
      <x:c r="C276" s="69" t="n">
        <x:v>844</x:v>
      </x:c>
      <x:c r="D276" s="69" t="str">
        <x:v>Counting</x:v>
      </x:c>
      <x:c r="E276" s="69" t="str">
        <x:v>Adjust the bowl so that it contains exactly one object.</x:v>
      </x:c>
      <x:c r="F276" s="69" t="str">
        <x:v>Inside bowl initially (0): none; On table: airplane toy without propellers [TARGET], yellow block, blue pen, green pencil sharpener; action=add; expected final count=1.</x:v>
      </x:c>
      <x:c r="G276" s="69" t="str">
        <x:v>airplane toy without propellers</x:v>
      </x:c>
      <x:c r="H276" s="69" t="str">
        <x:v>Home</x:v>
      </x:c>
      <x:c r="I276" s="69" t="str">
        <x:v>replace counting demonstration</x:v>
      </x:c>
      <x:c r="J276" s="70" t="str">
        <x:v>Move the blue pen from the bowl to the table.</x:v>
      </x:c>
    </x:row>
    <x:row r="277" ht="64" customHeight="1">
      <x:c r="A277" s="68" t="str">
        <x:v>Not collected</x:v>
      </x:c>
      <x:c r="B277" s="69" t="n">
        <x:v>275</x:v>
      </x:c>
      <x:c r="C277" s="69" t="n">
        <x:v>845</x:v>
      </x:c>
      <x:c r="D277" s="69" t="str">
        <x:v>Counting</x:v>
      </x:c>
      <x:c r="E277" s="69" t="str">
        <x:v>Leave exactly one object in the bowl.</x:v>
      </x:c>
      <x:c r="F277" s="69" t="str">
        <x:v>Inside bowl initially (0): none; On table: blue pen [TARGET], yellow block, airplane toy without propellers, green pencil sharpener; action=add; expected final count=1.</x:v>
      </x:c>
      <x:c r="G277" s="69" t="str">
        <x:v>blue pen</x:v>
      </x:c>
      <x:c r="H277" s="69" t="str">
        <x:v>Home</x:v>
      </x:c>
      <x:c r="I277" s="69" t="str">
        <x:v>replace counting demonstration</x:v>
      </x:c>
      <x:c r="J277" s="70" t="str">
        <x:v>Take the blue pen out of the bowl.</x:v>
      </x:c>
    </x:row>
    <x:row r="278" ht="64" customHeight="1">
      <x:c r="A278" s="68" t="str">
        <x:v>Not collected</x:v>
      </x:c>
      <x:c r="B278" s="69" t="n">
        <x:v>276</x:v>
      </x:c>
      <x:c r="C278" s="69" t="n">
        <x:v>846</x:v>
      </x:c>
      <x:c r="D278" s="69" t="str">
        <x:v>Counting</x:v>
      </x:c>
      <x:c r="E278" s="69" t="str">
        <x:v>Make the bowl contain exactly one object.</x:v>
      </x:c>
      <x:c r="F278" s="69" t="str">
        <x:v>Inside bowl initially (0): none; On table: green pencil sharpener [TARGET], yellow block, airplane toy without propellers, blue pen; action=add; expected final count=1.</x:v>
      </x:c>
      <x:c r="G278" s="69" t="str">
        <x:v>green pencil sharpener</x:v>
      </x:c>
      <x:c r="H278" s="69" t="str">
        <x:v>Post-Drop</x:v>
      </x:c>
      <x:c r="I278" s="69" t="str">
        <x:v>replace counting demonstration</x:v>
      </x:c>
      <x:c r="J278" s="70" t="str">
        <x:v>Take the blue pen out of the bowl.</x:v>
      </x:c>
    </x:row>
    <x:row r="279" ht="64" customHeight="1">
      <x:c r="A279" s="68" t="str">
        <x:v>Not collected</x:v>
      </x:c>
      <x:c r="B279" s="69" t="n">
        <x:v>277</x:v>
      </x:c>
      <x:c r="C279" s="69" t="n">
        <x:v>847</x:v>
      </x:c>
      <x:c r="D279" s="69" t="str">
        <x:v>Counting</x:v>
      </x:c>
      <x:c r="E279" s="69" t="str">
        <x:v>Adjust the bowl so that it contains exactly one object.</x:v>
      </x:c>
      <x:c r="F279" s="69" t="str">
        <x:v>Inside bowl initially (0): none; On table: yellow block [TARGET], green pencil sharpener, airplane toy without propellers, blue pen; action=add; expected final count=1.</x:v>
      </x:c>
      <x:c r="G279" s="69" t="str">
        <x:v>yellow block</x:v>
      </x:c>
      <x:c r="H279" s="69" t="str">
        <x:v>Post-Drop</x:v>
      </x:c>
      <x:c r="I279" s="69" t="str">
        <x:v>replace counting demonstration</x:v>
      </x:c>
      <x:c r="J279" s="70" t="str">
        <x:v>Remove the blue pen from the bowl.</x:v>
      </x:c>
    </x:row>
    <x:row r="280" ht="64" customHeight="1">
      <x:c r="A280" s="68" t="str">
        <x:v>Not collected</x:v>
      </x:c>
      <x:c r="B280" s="69" t="n">
        <x:v>278</x:v>
      </x:c>
      <x:c r="C280" s="69" t="n">
        <x:v>848</x:v>
      </x:c>
      <x:c r="D280" s="69" t="str">
        <x:v>Counting</x:v>
      </x:c>
      <x:c r="E280" s="69" t="str">
        <x:v>Leave exactly one object in the bowl.</x:v>
      </x:c>
      <x:c r="F280" s="69" t="str">
        <x:v>Inside bowl initially (0): none; On table: airplane toy without propellers [TARGET], blue pen, green pencil sharpener, yellow block; action=add; expected final count=1.</x:v>
      </x:c>
      <x:c r="G280" s="69" t="str">
        <x:v>airplane toy without propellers</x:v>
      </x:c>
      <x:c r="H280" s="69" t="str">
        <x:v>Post-Drop</x:v>
      </x:c>
      <x:c r="I280" s="69" t="str">
        <x:v>replace counting demonstration</x:v>
      </x:c>
      <x:c r="J280" s="70" t="str">
        <x:v>Move the blue pen from the bowl to the table.</x:v>
      </x:c>
    </x:row>
    <x:row r="281" ht="64" customHeight="1">
      <x:c r="A281" s="68" t="str">
        <x:v>Not collected</x:v>
      </x:c>
      <x:c r="B281" s="69" t="n">
        <x:v>279</x:v>
      </x:c>
      <x:c r="C281" s="69" t="n">
        <x:v>849</x:v>
      </x:c>
      <x:c r="D281" s="69" t="str">
        <x:v>Counting</x:v>
      </x:c>
      <x:c r="E281" s="69" t="str">
        <x:v>Make the bowl contain exactly one object.</x:v>
      </x:c>
      <x:c r="F281" s="69" t="str">
        <x:v>Inside bowl initially (0): none; On table: blue pen [TARGET], airplane toy without propellers, green pencil sharpener, yellow block; action=add; expected final count=1.</x:v>
      </x:c>
      <x:c r="G281" s="69" t="str">
        <x:v>blue pen</x:v>
      </x:c>
      <x:c r="H281" s="69" t="str">
        <x:v>Recovery</x:v>
      </x:c>
      <x:c r="I281" s="69" t="str">
        <x:v>replace counting demonstration</x:v>
      </x:c>
      <x:c r="J281" s="70" t="str">
        <x:v>Move the blue pen from the bowl to the table.</x:v>
      </x:c>
    </x:row>
    <x:row r="282" ht="64" customHeight="1">
      <x:c r="A282" s="68" t="str">
        <x:v>Not collected</x:v>
      </x:c>
      <x:c r="B282" s="69" t="n">
        <x:v>280</x:v>
      </x:c>
      <x:c r="C282" s="69" t="n">
        <x:v>850</x:v>
      </x:c>
      <x:c r="D282" s="69" t="str">
        <x:v>Counting</x:v>
      </x:c>
      <x:c r="E282" s="69" t="str">
        <x:v>Adjust the bowl so that it contains exactly one object.</x:v>
      </x:c>
      <x:c r="F282" s="69" t="str">
        <x:v>Inside bowl initially (0): none; On table: green pencil sharpener [TARGET], airplane toy without propellers, blue pen, yellow block; action=add; expected final count=1.</x:v>
      </x:c>
      <x:c r="G282" s="69" t="str">
        <x:v>green pencil sharpener</x:v>
      </x:c>
      <x:c r="H282" s="69" t="str">
        <x:v>Home</x:v>
      </x:c>
      <x:c r="I282" s="69" t="str">
        <x:v>replace counting demonstration</x:v>
      </x:c>
      <x:c r="J282" s="70" t="str">
        <x:v>Move the yellow block into the bowl.</x:v>
      </x:c>
    </x:row>
    <x:row r="283" ht="64" customHeight="1">
      <x:c r="A283" s="68" t="str">
        <x:v>Not collected</x:v>
      </x:c>
      <x:c r="B283" s="69" t="n">
        <x:v>281</x:v>
      </x:c>
      <x:c r="C283" s="69" t="n">
        <x:v>851</x:v>
      </x:c>
      <x:c r="D283" s="69" t="str">
        <x:v>Counting</x:v>
      </x:c>
      <x:c r="E283" s="69" t="str">
        <x:v>Leave exactly one object in the bowl.</x:v>
      </x:c>
      <x:c r="F283" s="69" t="str">
        <x:v>Inside bowl initially (0): none; On table: yellow block [TARGET], airplane toy without propellers, blue pen, green pencil sharpener; action=add; expected final count=1.</x:v>
      </x:c>
      <x:c r="G283" s="69" t="str">
        <x:v>yellow block</x:v>
      </x:c>
      <x:c r="H283" s="69" t="str">
        <x:v>Home</x:v>
      </x:c>
      <x:c r="I283" s="69" t="str">
        <x:v>replace counting demonstration</x:v>
      </x:c>
      <x:c r="J283" s="70" t="str">
        <x:v>Put the yellow block in the bowl.</x:v>
      </x:c>
    </x:row>
    <x:row r="284" ht="64" customHeight="1">
      <x:c r="A284" s="68" t="str">
        <x:v>Not collected</x:v>
      </x:c>
      <x:c r="B284" s="69" t="n">
        <x:v>282</x:v>
      </x:c>
      <x:c r="C284" s="69" t="n">
        <x:v>852</x:v>
      </x:c>
      <x:c r="D284" s="69" t="str">
        <x:v>Counting</x:v>
      </x:c>
      <x:c r="E284" s="69" t="str">
        <x:v>Make the bowl contain exactly one object.</x:v>
      </x:c>
      <x:c r="F284" s="69" t="str">
        <x:v>Inside bowl initially (0): none; On table: airplane toy without propellers [TARGET], green pencil sharpener, yellow block, blue pen; action=add; expected final count=1.</x:v>
      </x:c>
      <x:c r="G284" s="69" t="str">
        <x:v>airplane toy without propellers</x:v>
      </x:c>
      <x:c r="H284" s="69" t="str">
        <x:v>Home</x:v>
      </x:c>
      <x:c r="I284" s="69" t="str">
        <x:v>replace counting demonstration</x:v>
      </x:c>
      <x:c r="J284" s="70" t="str">
        <x:v>Put the yellow block in the bowl.</x:v>
      </x:c>
    </x:row>
    <x:row r="285" ht="64" customHeight="1">
      <x:c r="A285" s="68" t="str">
        <x:v>Not collected</x:v>
      </x:c>
      <x:c r="B285" s="69" t="n">
        <x:v>283</x:v>
      </x:c>
      <x:c r="C285" s="69" t="n">
        <x:v>853</x:v>
      </x:c>
      <x:c r="D285" s="69" t="str">
        <x:v>Counting</x:v>
      </x:c>
      <x:c r="E285" s="69" t="str">
        <x:v>Adjust the bowl so that it contains exactly one object.</x:v>
      </x:c>
      <x:c r="F285" s="69" t="str">
        <x:v>Inside bowl initially (0): none; On table: blue pen [TARGET], green pencil sharpener, yellow block, airplane toy without propellers; action=add; expected final count=1.</x:v>
      </x:c>
      <x:c r="G285" s="69" t="str">
        <x:v>blue pen</x:v>
      </x:c>
      <x:c r="H285" s="69" t="str">
        <x:v>Post-Drop</x:v>
      </x:c>
      <x:c r="I285" s="69" t="str">
        <x:v>replace counting demonstration</x:v>
      </x:c>
      <x:c r="J285" s="70" t="str">
        <x:v>Put the yellow block in the bowl.</x:v>
      </x:c>
    </x:row>
    <x:row r="286" ht="64" customHeight="1">
      <x:c r="A286" s="68" t="str">
        <x:v>Not collected</x:v>
      </x:c>
      <x:c r="B286" s="69" t="n">
        <x:v>284</x:v>
      </x:c>
      <x:c r="C286" s="69" t="n">
        <x:v>854</x:v>
      </x:c>
      <x:c r="D286" s="69" t="str">
        <x:v>Counting</x:v>
      </x:c>
      <x:c r="E286" s="69" t="str">
        <x:v>Leave exactly one object in the bowl.</x:v>
      </x:c>
      <x:c r="F286" s="69" t="str">
        <x:v>Inside bowl initially (0): none; On table: green pencil sharpener [TARGET], blue pen, yellow block, airplane toy without propellers; action=add; expected final count=1.</x:v>
      </x:c>
      <x:c r="G286" s="69" t="str">
        <x:v>green pencil sharpener</x:v>
      </x:c>
      <x:c r="H286" s="69" t="str">
        <x:v>Post-Drop</x:v>
      </x:c>
      <x:c r="I286" s="69" t="str">
        <x:v>replace counting demonstration</x:v>
      </x:c>
      <x:c r="J286" s="70" t="str">
        <x:v>Move the yellow block into the bowl.</x:v>
      </x:c>
    </x:row>
    <x:row r="287" ht="64" customHeight="1">
      <x:c r="A287" s="68" t="str">
        <x:v>Not collected</x:v>
      </x:c>
      <x:c r="B287" s="69" t="n">
        <x:v>285</x:v>
      </x:c>
      <x:c r="C287" s="69" t="n">
        <x:v>855</x:v>
      </x:c>
      <x:c r="D287" s="69" t="str">
        <x:v>Counting</x:v>
      </x:c>
      <x:c r="E287" s="69" t="str">
        <x:v>Make the bowl contain exactly one object.</x:v>
      </x:c>
      <x:c r="F287" s="69" t="str">
        <x:v>Inside bowl initially (0): none; On table: yellow block [TARGET], blue pen, green pencil sharpener, airplane toy without propellers; action=add; expected final count=1.</x:v>
      </x:c>
      <x:c r="G287" s="69" t="str">
        <x:v>yellow block</x:v>
      </x:c>
      <x:c r="H287" s="69" t="str">
        <x:v>Post-Drop</x:v>
      </x:c>
      <x:c r="I287" s="69" t="str">
        <x:v>replace counting demonstration</x:v>
      </x:c>
      <x:c r="J287" s="70" t="str">
        <x:v>Pick up the yellow block and place it in the bowl.</x:v>
      </x:c>
    </x:row>
    <x:row r="288" ht="64" customHeight="1">
      <x:c r="A288" s="68" t="str">
        <x:v>Not collected</x:v>
      </x:c>
      <x:c r="B288" s="69" t="n">
        <x:v>286</x:v>
      </x:c>
      <x:c r="C288" s="69" t="n">
        <x:v>856</x:v>
      </x:c>
      <x:c r="D288" s="69" t="str">
        <x:v>Counting</x:v>
      </x:c>
      <x:c r="E288" s="69" t="str">
        <x:v>Adjust the bowl so that it contains exactly one object.</x:v>
      </x:c>
      <x:c r="F288" s="69" t="str">
        <x:v>Inside bowl initially (0): none; On table: airplane toy without propellers [TARGET], yellow block, blue pen, green pencil sharpener; action=add; expected final count=1.</x:v>
      </x:c>
      <x:c r="G288" s="69" t="str">
        <x:v>airplane toy without propellers</x:v>
      </x:c>
      <x:c r="H288" s="69" t="str">
        <x:v>Recovery</x:v>
      </x:c>
      <x:c r="I288" s="69" t="str">
        <x:v>replace counting demonstration</x:v>
      </x:c>
      <x:c r="J288" s="70" t="str">
        <x:v>Pick up the yellow block and place it in the bowl.</x:v>
      </x:c>
    </x:row>
    <x:row r="289" ht="64" customHeight="1">
      <x:c r="A289" s="68" t="str">
        <x:v>Not collected</x:v>
      </x:c>
      <x:c r="B289" s="69" t="n">
        <x:v>287</x:v>
      </x:c>
      <x:c r="C289" s="69" t="n">
        <x:v>857</x:v>
      </x:c>
      <x:c r="D289" s="69" t="str">
        <x:v>Counting</x:v>
      </x:c>
      <x:c r="E289" s="69" t="str">
        <x:v>Leave exactly one object in the bowl.</x:v>
      </x:c>
      <x:c r="F289" s="69" t="str">
        <x:v>Inside bowl initially (0): none; On table: blue pen [TARGET], yellow block, airplane toy without propellers, green pencil sharpener; action=add; expected final count=1.</x:v>
      </x:c>
      <x:c r="G289" s="69" t="str">
        <x:v>blue pen</x:v>
      </x:c>
      <x:c r="H289" s="69" t="str">
        <x:v>Recovery</x:v>
      </x:c>
      <x:c r="I289" s="69" t="str">
        <x:v>replace counting demonstration</x:v>
      </x:c>
      <x:c r="J289" s="70" t="str">
        <x:v>Pick up the yellow block and place it in the bowl.</x:v>
      </x:c>
    </x:row>
    <x:row r="290" ht="64" customHeight="1">
      <x:c r="A290" s="68" t="str">
        <x:v>Not collected</x:v>
      </x:c>
      <x:c r="B290" s="69" t="n">
        <x:v>288</x:v>
      </x:c>
      <x:c r="C290" s="69" t="n">
        <x:v>858</x:v>
      </x:c>
      <x:c r="D290" s="69" t="str">
        <x:v>Counting</x:v>
      </x:c>
      <x:c r="E290" s="69" t="str">
        <x:v>Make the bowl contain exactly one object.</x:v>
      </x:c>
      <x:c r="F290" s="69" t="str">
        <x:v>Inside bowl initially (0): none; On table: green pencil sharpener [TARGET], yellow block, airplane toy without propellers, blue pen; action=add; expected final count=1.</x:v>
      </x:c>
      <x:c r="G290" s="69" t="str">
        <x:v>green pencil sharpener</x:v>
      </x:c>
      <x:c r="H290" s="69" t="str">
        <x:v>Home</x:v>
      </x:c>
      <x:c r="I290" s="69" t="str">
        <x:v>replace counting demonstration</x:v>
      </x:c>
      <x:c r="J290" s="70" t="str">
        <x:v>Adjust the bowl so that it contains two objects.</x:v>
      </x:c>
    </x:row>
    <x:row r="291" ht="64" customHeight="1">
      <x:c r="A291" s="68" t="str">
        <x:v>Not collected</x:v>
      </x:c>
      <x:c r="B291" s="69" t="n">
        <x:v>289</x:v>
      </x:c>
      <x:c r="C291" s="69" t="n">
        <x:v>859</x:v>
      </x:c>
      <x:c r="D291" s="69" t="str">
        <x:v>Counting</x:v>
      </x:c>
      <x:c r="E291" s="69" t="str">
        <x:v>Adjust the bowl so that it contains exactly one object.</x:v>
      </x:c>
      <x:c r="F291" s="69" t="str">
        <x:v>Inside bowl initially (0): none; On table: yellow block [TARGET], green pencil sharpener, airplane toy without propellers, blue pen; action=add; expected final count=1.</x:v>
      </x:c>
      <x:c r="G291" s="69" t="str">
        <x:v>yellow block</x:v>
      </x:c>
      <x:c r="H291" s="69" t="str">
        <x:v>Home</x:v>
      </x:c>
      <x:c r="I291" s="69" t="str">
        <x:v>replace counting demonstration</x:v>
      </x:c>
      <x:c r="J291" s="70" t="str">
        <x:v>Adjust the bowl so that it contains two objects.</x:v>
      </x:c>
    </x:row>
    <x:row r="292" ht="64" customHeight="1">
      <x:c r="A292" s="68" t="str">
        <x:v>Not collected</x:v>
      </x:c>
      <x:c r="B292" s="69" t="n">
        <x:v>290</x:v>
      </x:c>
      <x:c r="C292" s="69" t="n">
        <x:v>860</x:v>
      </x:c>
      <x:c r="D292" s="69" t="str">
        <x:v>Counting</x:v>
      </x:c>
      <x:c r="E292" s="69" t="str">
        <x:v>Leave exactly one object in the bowl.</x:v>
      </x:c>
      <x:c r="F292" s="69" t="str">
        <x:v>Inside bowl initially (0): none; On table: airplane toy without propellers [TARGET], blue pen, green pencil sharpener, yellow block; action=add; expected final count=1.</x:v>
      </x:c>
      <x:c r="G292" s="69" t="str">
        <x:v>airplane toy without propellers</x:v>
      </x:c>
      <x:c r="H292" s="69" t="str">
        <x:v>Home</x:v>
      </x:c>
      <x:c r="I292" s="69" t="str">
        <x:v>replace counting demonstration</x:v>
      </x:c>
      <x:c r="J292" s="70" t="str">
        <x:v>Adjust the bowl so that it contains two objects.</x:v>
      </x:c>
    </x:row>
    <x:row r="293" ht="64" customHeight="1">
      <x:c r="A293" s="68" t="str">
        <x:v>Not collected</x:v>
      </x:c>
      <x:c r="B293" s="69" t="n">
        <x:v>291</x:v>
      </x:c>
      <x:c r="C293" s="69" t="n">
        <x:v>861</x:v>
      </x:c>
      <x:c r="D293" s="69" t="str">
        <x:v>Counting</x:v>
      </x:c>
      <x:c r="E293" s="69" t="str">
        <x:v>Make the bowl contain exactly one object.</x:v>
      </x:c>
      <x:c r="F293" s="69" t="str">
        <x:v>Inside bowl initially (0): none; On table: blue pen [TARGET], airplane toy without propellers, green pencil sharpener, yellow block; action=add; expected final count=1.</x:v>
      </x:c>
      <x:c r="G293" s="69" t="str">
        <x:v>blue pen</x:v>
      </x:c>
      <x:c r="H293" s="69" t="str">
        <x:v>Post-Drop</x:v>
      </x:c>
      <x:c r="I293" s="69" t="str">
        <x:v>replace counting demonstration</x:v>
      </x:c>
      <x:c r="J293" s="70" t="str">
        <x:v>Leave exactly two objects in the bowl.</x:v>
      </x:c>
    </x:row>
    <x:row r="294" ht="64" customHeight="1">
      <x:c r="A294" s="68" t="str">
        <x:v>Not collected</x:v>
      </x:c>
      <x:c r="B294" s="69" t="n">
        <x:v>292</x:v>
      </x:c>
      <x:c r="C294" s="69" t="n">
        <x:v>862</x:v>
      </x:c>
      <x:c r="D294" s="69" t="str">
        <x:v>Counting</x:v>
      </x:c>
      <x:c r="E294" s="69" t="str">
        <x:v>Adjust the bowl so that it contains exactly one object.</x:v>
      </x:c>
      <x:c r="F294" s="69" t="str">
        <x:v>Inside bowl initially (0): none; On table: green pencil sharpener [TARGET], airplane toy without propellers, blue pen, yellow block; action=add; expected final count=1.</x:v>
      </x:c>
      <x:c r="G294" s="69" t="str">
        <x:v>green pencil sharpener</x:v>
      </x:c>
      <x:c r="H294" s="69" t="str">
        <x:v>Post-Drop</x:v>
      </x:c>
      <x:c r="I294" s="69" t="str">
        <x:v>replace counting demonstration</x:v>
      </x:c>
      <x:c r="J294" s="70" t="str">
        <x:v>Make the bowl contain exactly two objects.</x:v>
      </x:c>
    </x:row>
    <x:row r="295" ht="64" customHeight="1">
      <x:c r="A295" s="68" t="str">
        <x:v>Not collected</x:v>
      </x:c>
      <x:c r="B295" s="69" t="n">
        <x:v>293</x:v>
      </x:c>
      <x:c r="C295" s="69" t="n">
        <x:v>863</x:v>
      </x:c>
      <x:c r="D295" s="69" t="str">
        <x:v>Counting</x:v>
      </x:c>
      <x:c r="E295" s="69" t="str">
        <x:v>Leave exactly one object in the bowl.</x:v>
      </x:c>
      <x:c r="F295" s="69" t="str">
        <x:v>Inside bowl initially (0): none; On table: yellow block [TARGET], airplane toy without propellers, blue pen, green pencil sharpener; action=add; expected final count=1.</x:v>
      </x:c>
      <x:c r="G295" s="69" t="str">
        <x:v>yellow block</x:v>
      </x:c>
      <x:c r="H295" s="69" t="str">
        <x:v>Post-Drop</x:v>
      </x:c>
      <x:c r="I295" s="69" t="str">
        <x:v>replace counting demonstration</x:v>
      </x:c>
      <x:c r="J295" s="70" t="str">
        <x:v>Make the bowl contain exactly two objects.</x:v>
      </x:c>
    </x:row>
    <x:row r="296" ht="64" customHeight="1">
      <x:c r="A296" s="68" t="str">
        <x:v>Not collected</x:v>
      </x:c>
      <x:c r="B296" s="69" t="n">
        <x:v>294</x:v>
      </x:c>
      <x:c r="C296" s="69" t="n">
        <x:v>864</x:v>
      </x:c>
      <x:c r="D296" s="69" t="str">
        <x:v>Counting</x:v>
      </x:c>
      <x:c r="E296" s="69" t="str">
        <x:v>Make the bowl contain exactly one object.</x:v>
      </x:c>
      <x:c r="F296" s="69" t="str">
        <x:v>Inside bowl initially (0): none; On table: airplane toy without propellers [TARGET], green pencil sharpener, yellow block, blue pen; action=add; expected final count=1.</x:v>
      </x:c>
      <x:c r="G296" s="69" t="str">
        <x:v>airplane toy without propellers</x:v>
      </x:c>
      <x:c r="H296" s="69" t="str">
        <x:v>Recovery</x:v>
      </x:c>
      <x:c r="I296" s="69" t="str">
        <x:v>replace counting demonstration</x:v>
      </x:c>
      <x:c r="J296" s="70" t="str">
        <x:v>Leave exactly two objects in the bowl.</x:v>
      </x:c>
    </x:row>
    <x:row r="297" ht="64" customHeight="1">
      <x:c r="A297" s="68" t="str">
        <x:v>Not collected</x:v>
      </x:c>
      <x:c r="B297" s="69" t="n">
        <x:v>295</x:v>
      </x:c>
      <x:c r="C297" s="69" t="n">
        <x:v>865</x:v>
      </x:c>
      <x:c r="D297" s="69" t="str">
        <x:v>Counting</x:v>
      </x:c>
      <x:c r="E297" s="69" t="str">
        <x:v>Adjust the bowl so that it contains exactly one object.</x:v>
      </x:c>
      <x:c r="F297" s="69" t="str">
        <x:v>Inside bowl initially (0): none; On table: blue pen [TARGET], green pencil sharpener, yellow block, airplane toy without propellers; action=add; expected final count=1.</x:v>
      </x:c>
      <x:c r="G297" s="69" t="str">
        <x:v>blue pen</x:v>
      </x:c>
      <x:c r="H297" s="69" t="str">
        <x:v>Recovery</x:v>
      </x:c>
      <x:c r="I297" s="69" t="str">
        <x:v>replace counting demonstration</x:v>
      </x:c>
      <x:c r="J297" s="70" t="str">
        <x:v>Make the bowl contain exactly two objects.</x:v>
      </x:c>
    </x:row>
    <x:row r="298" ht="64" customHeight="1">
      <x:c r="A298" s="68" t="str">
        <x:v>Not collected</x:v>
      </x:c>
      <x:c r="B298" s="69" t="n">
        <x:v>296</x:v>
      </x:c>
      <x:c r="C298" s="69" t="n">
        <x:v>866</x:v>
      </x:c>
      <x:c r="D298" s="69" t="str">
        <x:v>Counting</x:v>
      </x:c>
      <x:c r="E298" s="69" t="str">
        <x:v>Leave exactly one object in the bowl.</x:v>
      </x:c>
      <x:c r="F298" s="69" t="str">
        <x:v>Inside bowl initially (0): none; On table: green pencil sharpener [TARGET], blue pen, yellow block, airplane toy without propellers; action=add; expected final count=1.</x:v>
      </x:c>
      <x:c r="G298" s="69" t="str">
        <x:v>green pencil sharpener</x:v>
      </x:c>
      <x:c r="H298" s="69" t="str">
        <x:v>Home</x:v>
      </x:c>
      <x:c r="I298" s="69" t="str">
        <x:v>replace counting demonstration</x:v>
      </x:c>
      <x:c r="J298" s="70" t="str">
        <x:v>Put the yellow block in the bowl.</x:v>
      </x:c>
    </x:row>
    <x:row r="299" ht="64" customHeight="1">
      <x:c r="A299" s="68" t="str">
        <x:v>Not collected</x:v>
      </x:c>
      <x:c r="B299" s="69" t="n">
        <x:v>297</x:v>
      </x:c>
      <x:c r="C299" s="69" t="n">
        <x:v>867</x:v>
      </x:c>
      <x:c r="D299" s="69" t="str">
        <x:v>Counting</x:v>
      </x:c>
      <x:c r="E299" s="69" t="str">
        <x:v>Make the bowl contain exactly one object.</x:v>
      </x:c>
      <x:c r="F299" s="69" t="str">
        <x:v>Inside bowl initially (0): none; On table: yellow block [TARGET], blue pen, green pencil sharpener, airplane toy without propellers; action=add; expected final count=1.</x:v>
      </x:c>
      <x:c r="G299" s="69" t="str">
        <x:v>yellow block</x:v>
      </x:c>
      <x:c r="H299" s="69" t="str">
        <x:v>Home</x:v>
      </x:c>
      <x:c r="I299" s="69" t="str">
        <x:v>replace counting demonstration</x:v>
      </x:c>
      <x:c r="J299" s="70" t="str">
        <x:v>Put the yellow block in the bowl.</x:v>
      </x:c>
    </x:row>
    <x:row r="300" ht="64" customHeight="1">
      <x:c r="A300" s="68" t="str">
        <x:v>Not collected</x:v>
      </x:c>
      <x:c r="B300" s="69" t="n">
        <x:v>298</x:v>
      </x:c>
      <x:c r="C300" s="69" t="n">
        <x:v>868</x:v>
      </x:c>
      <x:c r="D300" s="69" t="str">
        <x:v>Counting</x:v>
      </x:c>
      <x:c r="E300" s="69" t="str">
        <x:v>Adjust the bowl so that it contains exactly one object.</x:v>
      </x:c>
      <x:c r="F300" s="69" t="str">
        <x:v>Inside bowl initially (0): none; On table: airplane toy without propellers [TARGET], yellow block, blue pen, green pencil sharpener; action=add; expected final count=1.</x:v>
      </x:c>
      <x:c r="G300" s="69" t="str">
        <x:v>airplane toy without propellers</x:v>
      </x:c>
      <x:c r="H300" s="69" t="str">
        <x:v>Home</x:v>
      </x:c>
      <x:c r="I300" s="69" t="str">
        <x:v>replace counting demonstration</x:v>
      </x:c>
      <x:c r="J300" s="70" t="str">
        <x:v>Pick up the yellow block and place it in the bowl.</x:v>
      </x:c>
    </x:row>
    <x:row r="301" ht="64" customHeight="1">
      <x:c r="A301" s="68" t="str">
        <x:v>Not collected</x:v>
      </x:c>
      <x:c r="B301" s="69" t="n">
        <x:v>299</x:v>
      </x:c>
      <x:c r="C301" s="69" t="n">
        <x:v>869</x:v>
      </x:c>
      <x:c r="D301" s="69" t="str">
        <x:v>Counting</x:v>
      </x:c>
      <x:c r="E301" s="69" t="str">
        <x:v>Leave exactly one object in the bowl.</x:v>
      </x:c>
      <x:c r="F301" s="69" t="str">
        <x:v>Inside bowl initially (0): none; On table: blue pen [TARGET], yellow block, airplane toy without propellers, green pencil sharpener; action=add; expected final count=1.</x:v>
      </x:c>
      <x:c r="G301" s="69" t="str">
        <x:v>blue pen</x:v>
      </x:c>
      <x:c r="H301" s="69" t="str">
        <x:v>Home</x:v>
      </x:c>
      <x:c r="I301" s="69" t="str">
        <x:v>replace counting demonstration</x:v>
      </x:c>
      <x:c r="J301" s="70" t="str">
        <x:v>Put the yellow block in the bowl.</x:v>
      </x:c>
    </x:row>
    <x:row r="302" ht="64" customHeight="1">
      <x:c r="A302" s="68" t="str">
        <x:v>Not collected</x:v>
      </x:c>
      <x:c r="B302" s="69" t="n">
        <x:v>300</x:v>
      </x:c>
      <x:c r="C302" s="69" t="n">
        <x:v>870</x:v>
      </x:c>
      <x:c r="D302" s="69" t="str">
        <x:v>Counting</x:v>
      </x:c>
      <x:c r="E302" s="69" t="str">
        <x:v>Make the bowl contain exactly one object.</x:v>
      </x:c>
      <x:c r="F302" s="69" t="str">
        <x:v>Inside bowl initially (0): none; On table: green pencil sharpener [TARGET], yellow block, airplane toy without propellers, blue pen; action=add; expected final count=1.</x:v>
      </x:c>
      <x:c r="G302" s="69" t="str">
        <x:v>green pencil sharpener</x:v>
      </x:c>
      <x:c r="H302" s="69" t="str">
        <x:v>Post-Drop</x:v>
      </x:c>
      <x:c r="I302" s="69" t="str">
        <x:v>replace counting demonstration</x:v>
      </x:c>
      <x:c r="J302" s="70" t="str">
        <x:v>Pick up the yellow block and place it in the bowl.</x:v>
      </x:c>
    </x:row>
    <x:row r="303" ht="64" customHeight="1">
      <x:c r="A303" s="68" t="str">
        <x:v>Not collected</x:v>
      </x:c>
      <x:c r="B303" s="69" t="n">
        <x:v>301</x:v>
      </x:c>
      <x:c r="C303" s="69" t="n">
        <x:v>871</x:v>
      </x:c>
      <x:c r="D303" s="69" t="str">
        <x:v>Counting</x:v>
      </x:c>
      <x:c r="E303" s="69" t="str">
        <x:v>Adjust the bowl so that it contains exactly one object.</x:v>
      </x:c>
      <x:c r="F303" s="69" t="str">
        <x:v>Inside bowl initially (0): none; On table: yellow block [TARGET], green pencil sharpener, airplane toy without propellers, blue pen; action=add; expected final count=1.</x:v>
      </x:c>
      <x:c r="G303" s="69" t="str">
        <x:v>yellow block</x:v>
      </x:c>
      <x:c r="H303" s="69" t="str">
        <x:v>Post-Drop</x:v>
      </x:c>
      <x:c r="I303" s="69" t="str">
        <x:v>replace counting demonstration</x:v>
      </x:c>
      <x:c r="J303" s="70" t="str">
        <x:v>Pick up the yellow block and place it in the bowl.</x:v>
      </x:c>
    </x:row>
    <x:row r="304" ht="64" customHeight="1">
      <x:c r="A304" s="68" t="str">
        <x:v>Not collected</x:v>
      </x:c>
      <x:c r="B304" s="69" t="n">
        <x:v>302</x:v>
      </x:c>
      <x:c r="C304" s="69" t="n">
        <x:v>872</x:v>
      </x:c>
      <x:c r="D304" s="69" t="str">
        <x:v>Counting</x:v>
      </x:c>
      <x:c r="E304" s="69" t="str">
        <x:v>Leave exactly one object in the bowl.</x:v>
      </x:c>
      <x:c r="F304" s="69" t="str">
        <x:v>Inside bowl initially (0): none; On table: airplane toy without propellers [TARGET], blue pen, green pencil sharpener, yellow block; action=add; expected final count=1.</x:v>
      </x:c>
      <x:c r="G304" s="69" t="str">
        <x:v>airplane toy without propellers</x:v>
      </x:c>
      <x:c r="H304" s="69" t="str">
        <x:v>Post-Drop</x:v>
      </x:c>
      <x:c r="I304" s="69" t="str">
        <x:v>replace counting demonstration</x:v>
      </x:c>
      <x:c r="J304" s="70" t="str">
        <x:v>Move the yellow block into the bowl.</x:v>
      </x:c>
    </x:row>
    <x:row r="305" ht="64" customHeight="1">
      <x:c r="A305" s="68" t="str">
        <x:v>Not collected</x:v>
      </x:c>
      <x:c r="B305" s="69" t="n">
        <x:v>303</x:v>
      </x:c>
      <x:c r="C305" s="69" t="n">
        <x:v>873</x:v>
      </x:c>
      <x:c r="D305" s="69" t="str">
        <x:v>Counting</x:v>
      </x:c>
      <x:c r="E305" s="69" t="str">
        <x:v>Make the bowl contain exactly one object.</x:v>
      </x:c>
      <x:c r="F305" s="69" t="str">
        <x:v>Inside bowl initially (0): none; On table: blue pen [TARGET], airplane toy without propellers, green pencil sharpener, yellow block; action=add; expected final count=1.</x:v>
      </x:c>
      <x:c r="G305" s="69" t="str">
        <x:v>blue pen</x:v>
      </x:c>
      <x:c r="H305" s="69" t="str">
        <x:v>Post-Drop</x:v>
      </x:c>
      <x:c r="I305" s="69" t="str">
        <x:v>replace counting demonstration</x:v>
      </x:c>
      <x:c r="J305" s="70" t="str">
        <x:v>Move the yellow block into the bowl.</x:v>
      </x:c>
    </x:row>
    <x:row r="306" ht="64" customHeight="1">
      <x:c r="A306" s="68" t="str">
        <x:v>Not collected</x:v>
      </x:c>
      <x:c r="B306" s="69" t="n">
        <x:v>304</x:v>
      </x:c>
      <x:c r="C306" s="69" t="n">
        <x:v>874</x:v>
      </x:c>
      <x:c r="D306" s="69" t="str">
        <x:v>Counting</x:v>
      </x:c>
      <x:c r="E306" s="69" t="str">
        <x:v>Adjust the bowl so that it contains exactly one object.</x:v>
      </x:c>
      <x:c r="F306" s="69" t="str">
        <x:v>Inside bowl initially (0): none; On table: green pencil sharpener [TARGET], airplane toy without propellers, blue pen, yellow block; action=add; expected final count=1.</x:v>
      </x:c>
      <x:c r="G306" s="69" t="str">
        <x:v>green pencil sharpener</x:v>
      </x:c>
      <x:c r="H306" s="69" t="str">
        <x:v>Recovery</x:v>
      </x:c>
      <x:c r="I306" s="69" t="str">
        <x:v>replace counting demonstration</x:v>
      </x:c>
      <x:c r="J306" s="70" t="str">
        <x:v>Move the yellow block into the bowl.</x:v>
      </x:c>
    </x:row>
    <x:row r="307" ht="64" customHeight="1">
      <x:c r="A307" s="68" t="str">
        <x:v>Not collected</x:v>
      </x:c>
      <x:c r="B307" s="69" t="n">
        <x:v>305</x:v>
      </x:c>
      <x:c r="C307" s="69" t="n">
        <x:v>875</x:v>
      </x:c>
      <x:c r="D307" s="69" t="str">
        <x:v>Counting</x:v>
      </x:c>
      <x:c r="E307" s="69" t="str">
        <x:v>Leave exactly one object in the bowl.</x:v>
      </x:c>
      <x:c r="F307" s="69" t="str">
        <x:v>Inside bowl initially (0): none; On table: yellow block [TARGET], airplane toy without propellers, blue pen, green pencil sharpener; action=add; expected final count=1.</x:v>
      </x:c>
      <x:c r="G307" s="69" t="str">
        <x:v>yellow block</x:v>
      </x:c>
      <x:c r="H307" s="69" t="str">
        <x:v>Home</x:v>
      </x:c>
      <x:c r="I307" s="69" t="str">
        <x:v>replace counting demonstration</x:v>
      </x:c>
      <x:c r="J307" s="70" t="str">
        <x:v>Adjust the bowl so that it contains zero objects.</x:v>
      </x:c>
    </x:row>
    <x:row r="308" ht="64" customHeight="1">
      <x:c r="A308" s="68" t="str">
        <x:v>Not collected</x:v>
      </x:c>
      <x:c r="B308" s="69" t="n">
        <x:v>306</x:v>
      </x:c>
      <x:c r="C308" s="69" t="n">
        <x:v>876</x:v>
      </x:c>
      <x:c r="D308" s="69" t="str">
        <x:v>Counting</x:v>
      </x:c>
      <x:c r="E308" s="69" t="str">
        <x:v>Make the bowl contain exactly one object.</x:v>
      </x:c>
      <x:c r="F308" s="69" t="str">
        <x:v>Inside bowl initially (0): none; On table: airplane toy without propellers [TARGET], green pencil sharpener, yellow block, blue pen; action=add; expected final count=1.</x:v>
      </x:c>
      <x:c r="G308" s="69" t="str">
        <x:v>airplane toy without propellers</x:v>
      </x:c>
      <x:c r="H308" s="69" t="str">
        <x:v>Home</x:v>
      </x:c>
      <x:c r="I308" s="69" t="str">
        <x:v>replace counting demonstration</x:v>
      </x:c>
      <x:c r="J308" s="70" t="str">
        <x:v>Leave no objects in the bowl.</x:v>
      </x:c>
    </x:row>
    <x:row r="309" ht="64" customHeight="1">
      <x:c r="A309" s="68" t="str">
        <x:v>Not collected</x:v>
      </x:c>
      <x:c r="B309" s="69" t="n">
        <x:v>307</x:v>
      </x:c>
      <x:c r="C309" s="69" t="n">
        <x:v>877</x:v>
      </x:c>
      <x:c r="D309" s="69" t="str">
        <x:v>Counting</x:v>
      </x:c>
      <x:c r="E309" s="69" t="str">
        <x:v>Adjust the bowl so that it contains exactly one object.</x:v>
      </x:c>
      <x:c r="F309" s="69" t="str">
        <x:v>Inside bowl initially (0): none; On table: blue pen [TARGET], green pencil sharpener, yellow block, airplane toy without propellers; action=add; expected final count=1.</x:v>
      </x:c>
      <x:c r="G309" s="69" t="str">
        <x:v>blue pen</x:v>
      </x:c>
      <x:c r="H309" s="69" t="str">
        <x:v>Post-Drop</x:v>
      </x:c>
      <x:c r="I309" s="69" t="str">
        <x:v>replace counting demonstration</x:v>
      </x:c>
      <x:c r="J309" s="70" t="str">
        <x:v>Make the bowl contain exactly zero objects.</x:v>
      </x:c>
    </x:row>
    <x:row r="310" ht="64" customHeight="1">
      <x:c r="A310" s="68" t="str">
        <x:v>Not collected</x:v>
      </x:c>
      <x:c r="B310" s="69" t="n">
        <x:v>308</x:v>
      </x:c>
      <x:c r="C310" s="69" t="n">
        <x:v>878</x:v>
      </x:c>
      <x:c r="D310" s="69" t="str">
        <x:v>Counting</x:v>
      </x:c>
      <x:c r="E310" s="69" t="str">
        <x:v>Leave exactly one object in the bowl.</x:v>
      </x:c>
      <x:c r="F310" s="69" t="str">
        <x:v>Inside bowl initially (0): none; On table: green pencil sharpener [TARGET], blue pen, yellow block, airplane toy without propellers; action=add; expected final count=1.</x:v>
      </x:c>
      <x:c r="G310" s="69" t="str">
        <x:v>green pencil sharpener</x:v>
      </x:c>
      <x:c r="H310" s="69" t="str">
        <x:v>Post-Drop</x:v>
      </x:c>
      <x:c r="I310" s="69" t="str">
        <x:v>replace counting demonstration</x:v>
      </x:c>
      <x:c r="J310" s="70" t="str">
        <x:v>Adjust the bowl so that it contains zero objects.</x:v>
      </x:c>
    </x:row>
    <x:row r="311" ht="64" customHeight="1">
      <x:c r="A311" s="68" t="str">
        <x:v>Not collected</x:v>
      </x:c>
      <x:c r="B311" s="69" t="n">
        <x:v>309</x:v>
      </x:c>
      <x:c r="C311" s="69" t="n">
        <x:v>879</x:v>
      </x:c>
      <x:c r="D311" s="69" t="str">
        <x:v>Counting</x:v>
      </x:c>
      <x:c r="E311" s="69" t="str">
        <x:v>Make the bowl contain exactly one object.</x:v>
      </x:c>
      <x:c r="F311" s="69" t="str">
        <x:v>Inside bowl initially (0): none; On table: yellow block [TARGET], blue pen, green pencil sharpener, airplane toy without propellers; action=add; expected final count=1.</x:v>
      </x:c>
      <x:c r="G311" s="69" t="str">
        <x:v>yellow block</x:v>
      </x:c>
      <x:c r="H311" s="69" t="str">
        <x:v>Recovery</x:v>
      </x:c>
      <x:c r="I311" s="69" t="str">
        <x:v>replace counting demonstration</x:v>
      </x:c>
      <x:c r="J311" s="70" t="str">
        <x:v>Adjust the bowl so that it contains zero objects.</x:v>
      </x:c>
    </x:row>
    <x:row r="312" ht="64" customHeight="1">
      <x:c r="A312" s="68" t="str">
        <x:v>Not collected</x:v>
      </x:c>
      <x:c r="B312" s="69" t="n">
        <x:v>310</x:v>
      </x:c>
      <x:c r="C312" s="69" t="n">
        <x:v>880</x:v>
      </x:c>
      <x:c r="D312" s="69" t="str">
        <x:v>Counting</x:v>
      </x:c>
      <x:c r="E312" s="69" t="str">
        <x:v>Adjust the bowl so that it contains exactly two objects.</x:v>
      </x:c>
      <x:c r="F312" s="69" t="str">
        <x:v>Inside bowl initially (1): yellow block; On table: airplane toy without propellers [TARGET], blue pen, green pencil sharpener; action=add; expected final count=2.</x:v>
      </x:c>
      <x:c r="G312" s="69" t="str">
        <x:v>airplane toy without propellers</x:v>
      </x:c>
      <x:c r="H312" s="69" t="str">
        <x:v>Recovery</x:v>
      </x:c>
      <x:c r="I312" s="69" t="str">
        <x:v>replace counting demonstration</x:v>
      </x:c>
      <x:c r="J312" s="70" t="str">
        <x:v>Make the bowl contain exactly zero objects.</x:v>
      </x:c>
    </x:row>
    <x:row r="313" ht="64" customHeight="1">
      <x:c r="A313" s="68" t="str">
        <x:v>Not collected</x:v>
      </x:c>
      <x:c r="B313" s="69" t="n">
        <x:v>311</x:v>
      </x:c>
      <x:c r="C313" s="69" t="n">
        <x:v>881</x:v>
      </x:c>
      <x:c r="D313" s="69" t="str">
        <x:v>Counting</x:v>
      </x:c>
      <x:c r="E313" s="69" t="str">
        <x:v>Leave exactly two objects in the bowl.</x:v>
      </x:c>
      <x:c r="F313" s="69" t="str">
        <x:v>Inside bowl initially (1): yellow block; On table: blue pen [TARGET], airplane toy without propellers, green pencil sharpener; action=add; expected final count=2.</x:v>
      </x:c>
      <x:c r="G313" s="69" t="str">
        <x:v>blue pen</x:v>
      </x:c>
      <x:c r="H313" s="69" t="str">
        <x:v>Home</x:v>
      </x:c>
      <x:c r="I313" s="69" t="str">
        <x:v>replace counting demonstration</x:v>
      </x:c>
      <x:c r="J313" s="70" t="str">
        <x:v>Remove the yellow block from the bowl.</x:v>
      </x:c>
    </x:row>
    <x:row r="314" ht="64" customHeight="1">
      <x:c r="A314" s="68" t="str">
        <x:v>Not collected</x:v>
      </x:c>
      <x:c r="B314" s="69" t="n">
        <x:v>312</x:v>
      </x:c>
      <x:c r="C314" s="69" t="n">
        <x:v>882</x:v>
      </x:c>
      <x:c r="D314" s="69" t="str">
        <x:v>Counting</x:v>
      </x:c>
      <x:c r="E314" s="69" t="str">
        <x:v>Make the bowl contain exactly two objects.</x:v>
      </x:c>
      <x:c r="F314" s="69" t="str">
        <x:v>Inside bowl initially (1): yellow block; On table: green pencil sharpener [TARGET], airplane toy without propellers, blue pen; action=add; expected final count=2.</x:v>
      </x:c>
      <x:c r="G314" s="69" t="str">
        <x:v>green pencil sharpener</x:v>
      </x:c>
      <x:c r="H314" s="69" t="str">
        <x:v>Home</x:v>
      </x:c>
      <x:c r="I314" s="69" t="str">
        <x:v>replace counting demonstration</x:v>
      </x:c>
      <x:c r="J314" s="70" t="str">
        <x:v>Move the yellow block from the bowl to the table.</x:v>
      </x:c>
    </x:row>
    <x:row r="315" ht="64" customHeight="1">
      <x:c r="A315" s="68" t="str">
        <x:v>Not collected</x:v>
      </x:c>
      <x:c r="B315" s="69" t="n">
        <x:v>313</x:v>
      </x:c>
      <x:c r="C315" s="69" t="n">
        <x:v>883</x:v>
      </x:c>
      <x:c r="D315" s="69" t="str">
        <x:v>Counting</x:v>
      </x:c>
      <x:c r="E315" s="69" t="str">
        <x:v>Adjust the bowl so that it contains exactly two objects.</x:v>
      </x:c>
      <x:c r="F315" s="69" t="str">
        <x:v>Inside bowl initially (1): green pencil sharpener; On table: yellow block [TARGET], airplane toy without propellers, blue pen; action=add; expected final count=2.</x:v>
      </x:c>
      <x:c r="G315" s="69" t="str">
        <x:v>yellow block</x:v>
      </x:c>
      <x:c r="H315" s="69" t="str">
        <x:v>Home</x:v>
      </x:c>
      <x:c r="I315" s="69" t="str">
        <x:v>replace counting demonstration</x:v>
      </x:c>
      <x:c r="J315" s="70" t="str">
        <x:v>Take the yellow block out of the bowl.</x:v>
      </x:c>
    </x:row>
    <x:row r="316" ht="64" customHeight="1">
      <x:c r="A316" s="68" t="str">
        <x:v>Not collected</x:v>
      </x:c>
      <x:c r="B316" s="69" t="n">
        <x:v>314</x:v>
      </x:c>
      <x:c r="C316" s="69" t="n">
        <x:v>884</x:v>
      </x:c>
      <x:c r="D316" s="69" t="str">
        <x:v>Counting</x:v>
      </x:c>
      <x:c r="E316" s="69" t="str">
        <x:v>Leave exactly two objects in the bowl.</x:v>
      </x:c>
      <x:c r="F316" s="69" t="str">
        <x:v>Inside bowl initially (1): blue pen; On table: airplane toy without propellers [TARGET], green pencil sharpener, yellow block; action=add; expected final count=2.</x:v>
      </x:c>
      <x:c r="G316" s="69" t="str">
        <x:v>airplane toy without propellers</x:v>
      </x:c>
      <x:c r="H316" s="69" t="str">
        <x:v>Post-Drop</x:v>
      </x:c>
      <x:c r="I316" s="69" t="str">
        <x:v>replace counting demonstration</x:v>
      </x:c>
      <x:c r="J316" s="70" t="str">
        <x:v>Move the yellow block from the bowl to the table.</x:v>
      </x:c>
    </x:row>
    <x:row r="317" ht="64" customHeight="1">
      <x:c r="A317" s="68" t="str">
        <x:v>Not collected</x:v>
      </x:c>
      <x:c r="B317" s="69" t="n">
        <x:v>315</x:v>
      </x:c>
      <x:c r="C317" s="69" t="n">
        <x:v>885</x:v>
      </x:c>
      <x:c r="D317" s="69" t="str">
        <x:v>Counting</x:v>
      </x:c>
      <x:c r="E317" s="69" t="str">
        <x:v>Make the bowl contain exactly two objects.</x:v>
      </x:c>
      <x:c r="F317" s="69" t="str">
        <x:v>Inside bowl initially (1): airplane toy without propellers; On table: blue pen [TARGET], green pencil sharpener, yellow block; action=add; expected final count=2.</x:v>
      </x:c>
      <x:c r="G317" s="69" t="str">
        <x:v>blue pen</x:v>
      </x:c>
      <x:c r="H317" s="69" t="str">
        <x:v>Post-Drop</x:v>
      </x:c>
      <x:c r="I317" s="69" t="str">
        <x:v>replace counting demonstration</x:v>
      </x:c>
      <x:c r="J317" s="70" t="str">
        <x:v>Move the yellow block from the bowl to the table.</x:v>
      </x:c>
    </x:row>
    <x:row r="318" ht="64" customHeight="1">
      <x:c r="A318" s="68" t="str">
        <x:v>Not collected</x:v>
      </x:c>
      <x:c r="B318" s="69" t="n">
        <x:v>316</x:v>
      </x:c>
      <x:c r="C318" s="69" t="n">
        <x:v>886</x:v>
      </x:c>
      <x:c r="D318" s="69" t="str">
        <x:v>Counting</x:v>
      </x:c>
      <x:c r="E318" s="69" t="str">
        <x:v>Adjust the bowl so that it contains exactly two objects.</x:v>
      </x:c>
      <x:c r="F318" s="69" t="str">
        <x:v>Inside bowl initially (1): airplane toy without propellers; On table: green pencil sharpener [TARGET], blue pen, yellow block; action=add; expected final count=2.</x:v>
      </x:c>
      <x:c r="G318" s="69" t="str">
        <x:v>green pencil sharpener</x:v>
      </x:c>
      <x:c r="H318" s="69" t="str">
        <x:v>Recovery</x:v>
      </x:c>
      <x:c r="I318" s="69" t="str">
        <x:v>replace counting demonstration</x:v>
      </x:c>
      <x:c r="J318" s="70" t="str">
        <x:v>Take the yellow block out of the bowl.</x:v>
      </x:c>
    </x:row>
    <x:row r="319" ht="64" customHeight="1">
      <x:c r="A319" s="68" t="str">
        <x:v>Not collected</x:v>
      </x:c>
      <x:c r="B319" s="69" t="n">
        <x:v>317</x:v>
      </x:c>
      <x:c r="C319" s="69" t="n">
        <x:v>887</x:v>
      </x:c>
      <x:c r="D319" s="69" t="str">
        <x:v>Counting</x:v>
      </x:c>
      <x:c r="E319" s="69" t="str">
        <x:v>Leave exactly two objects in the bowl.</x:v>
      </x:c>
      <x:c r="F319" s="69" t="str">
        <x:v>Inside bowl initially (1): airplane toy without propellers; On table: yellow block [TARGET], blue pen, green pencil sharpener; action=add; expected final count=2.</x:v>
      </x:c>
      <x:c r="G319" s="69" t="str">
        <x:v>yellow block</x:v>
      </x:c>
      <x:c r="H319" s="69" t="str">
        <x:v>Home</x:v>
      </x:c>
      <x:c r="I319" s="69" t="str">
        <x:v>replace counting demonstration</x:v>
      </x:c>
      <x:c r="J319" s="70" t="str">
        <x:v>Make the bowl contain exactly two objects.</x:v>
      </x:c>
    </x:row>
    <x:row r="320" ht="64" customHeight="1">
      <x:c r="A320" s="68" t="str">
        <x:v>Not collected</x:v>
      </x:c>
      <x:c r="B320" s="69" t="n">
        <x:v>318</x:v>
      </x:c>
      <x:c r="C320" s="69" t="n">
        <x:v>888</x:v>
      </x:c>
      <x:c r="D320" s="69" t="str">
        <x:v>Counting</x:v>
      </x:c>
      <x:c r="E320" s="69" t="str">
        <x:v>Make the bowl contain exactly two objects.</x:v>
      </x:c>
      <x:c r="F320" s="69" t="str">
        <x:v>Inside bowl initially (1): green pencil sharpener; On table: airplane toy without propellers [TARGET], yellow block, blue pen; action=add; expected final count=2.</x:v>
      </x:c>
      <x:c r="G320" s="69" t="str">
        <x:v>airplane toy without propellers</x:v>
      </x:c>
      <x:c r="H320" s="69" t="str">
        <x:v>Home</x:v>
      </x:c>
      <x:c r="I320" s="69" t="str">
        <x:v>replace counting demonstration</x:v>
      </x:c>
      <x:c r="J320" s="70" t="str">
        <x:v>Leave exactly two objects in the bowl.</x:v>
      </x:c>
    </x:row>
    <x:row r="321" ht="64" customHeight="1">
      <x:c r="A321" s="68" t="str">
        <x:v>Not collected</x:v>
      </x:c>
      <x:c r="B321" s="69" t="n">
        <x:v>319</x:v>
      </x:c>
      <x:c r="C321" s="69" t="n">
        <x:v>889</x:v>
      </x:c>
      <x:c r="D321" s="69" t="str">
        <x:v>Counting</x:v>
      </x:c>
      <x:c r="E321" s="69" t="str">
        <x:v>Adjust the bowl so that it contains exactly two objects.</x:v>
      </x:c>
      <x:c r="F321" s="69" t="str">
        <x:v>Inside bowl initially (1): green pencil sharpener; On table: blue pen [TARGET], yellow block, airplane toy without propellers; action=add; expected final count=2.</x:v>
      </x:c>
      <x:c r="G321" s="69" t="str">
        <x:v>blue pen</x:v>
      </x:c>
      <x:c r="H321" s="69" t="str">
        <x:v>Post-Drop</x:v>
      </x:c>
      <x:c r="I321" s="69" t="str">
        <x:v>replace counting demonstration</x:v>
      </x:c>
      <x:c r="J321" s="70" t="str">
        <x:v>Make the bowl contain exactly two objects.</x:v>
      </x:c>
    </x:row>
    <x:row r="322" ht="64" customHeight="1">
      <x:c r="A322" s="68" t="str">
        <x:v>Not collected</x:v>
      </x:c>
      <x:c r="B322" s="69" t="n">
        <x:v>320</x:v>
      </x:c>
      <x:c r="C322" s="69" t="n">
        <x:v>890</x:v>
      </x:c>
      <x:c r="D322" s="69" t="str">
        <x:v>Counting</x:v>
      </x:c>
      <x:c r="E322" s="69" t="str">
        <x:v>Leave exactly two objects in the bowl.</x:v>
      </x:c>
      <x:c r="F322" s="69" t="str">
        <x:v>Inside bowl initially (1): blue pen; On table: green pencil sharpener [TARGET], yellow block, airplane toy without propellers; action=add; expected final count=2.</x:v>
      </x:c>
      <x:c r="G322" s="69" t="str">
        <x:v>green pencil sharpener</x:v>
      </x:c>
      <x:c r="H322" s="69" t="str">
        <x:v>Post-Drop</x:v>
      </x:c>
      <x:c r="I322" s="69" t="str">
        <x:v>replace counting demonstration</x:v>
      </x:c>
      <x:c r="J322" s="70" t="str">
        <x:v>Adjust the bowl so that it contains two objects.</x:v>
      </x:c>
    </x:row>
    <x:row r="323" ht="64" customHeight="1">
      <x:c r="A323" s="68" t="str">
        <x:v>Not collected</x:v>
      </x:c>
      <x:c r="B323" s="69" t="n">
        <x:v>321</x:v>
      </x:c>
      <x:c r="C323" s="69" t="n">
        <x:v>891</x:v>
      </x:c>
      <x:c r="D323" s="69" t="str">
        <x:v>Counting</x:v>
      </x:c>
      <x:c r="E323" s="69" t="str">
        <x:v>Make the bowl contain exactly two objects.</x:v>
      </x:c>
      <x:c r="F323" s="69" t="str">
        <x:v>Inside bowl initially (1): blue pen; On table: yellow block [TARGET], green pencil sharpener, airplane toy without propellers; action=add; expected final count=2.</x:v>
      </x:c>
      <x:c r="G323" s="69" t="str">
        <x:v>yellow block</x:v>
      </x:c>
      <x:c r="H323" s="69" t="str">
        <x:v>Post-Drop</x:v>
      </x:c>
      <x:c r="I323" s="69" t="str">
        <x:v>replace counting demonstration</x:v>
      </x:c>
      <x:c r="J323" s="70" t="str">
        <x:v>Leave exactly two objects in the bowl.</x:v>
      </x:c>
    </x:row>
    <x:row r="324" ht="64" customHeight="1">
      <x:c r="A324" s="68" t="str">
        <x:v>Not collected</x:v>
      </x:c>
      <x:c r="B324" s="69" t="n">
        <x:v>322</x:v>
      </x:c>
      <x:c r="C324" s="69" t="n">
        <x:v>892</x:v>
      </x:c>
      <x:c r="D324" s="69" t="str">
        <x:v>Counting</x:v>
      </x:c>
      <x:c r="E324" s="69" t="str">
        <x:v>Adjust the bowl so that it contains exactly two objects.</x:v>
      </x:c>
      <x:c r="F324" s="69" t="str">
        <x:v>Inside bowl initially (1): yellow block; On table: airplane toy without propellers [TARGET], blue pen, green pencil sharpener; action=add; expected final count=2.</x:v>
      </x:c>
      <x:c r="G324" s="69" t="str">
        <x:v>airplane toy without propellers</x:v>
      </x:c>
      <x:c r="H324" s="69" t="str">
        <x:v>Recovery</x:v>
      </x:c>
      <x:c r="I324" s="69" t="str">
        <x:v>replace counting demonstration</x:v>
      </x:c>
      <x:c r="J324" s="70" t="str">
        <x:v>Leave exactly two objects in the bowl.</x:v>
      </x:c>
    </x:row>
    <x:row r="325" ht="64" customHeight="1">
      <x:c r="A325" s="68" t="str">
        <x:v>Not collected</x:v>
      </x:c>
      <x:c r="B325" s="69" t="n">
        <x:v>323</x:v>
      </x:c>
      <x:c r="C325" s="69" t="n">
        <x:v>893</x:v>
      </x:c>
      <x:c r="D325" s="69" t="str">
        <x:v>Counting</x:v>
      </x:c>
      <x:c r="E325" s="69" t="str">
        <x:v>Leave exactly two objects in the bowl.</x:v>
      </x:c>
      <x:c r="F325" s="69" t="str">
        <x:v>Inside bowl initially (1): yellow block; On table: blue pen [TARGET], airplane toy without propellers, green pencil sharpener; action=add; expected final count=2.</x:v>
      </x:c>
      <x:c r="G325" s="69" t="str">
        <x:v>blue pen</x:v>
      </x:c>
      <x:c r="H325" s="69" t="str">
        <x:v>Home</x:v>
      </x:c>
      <x:c r="I325" s="69" t="str">
        <x:v>replace counting demonstration</x:v>
      </x:c>
      <x:c r="J325" s="70" t="str">
        <x:v>Take the yellow block out of the bowl.</x:v>
      </x:c>
    </x:row>
    <x:row r="326" ht="64" customHeight="1">
      <x:c r="A326" s="68" t="str">
        <x:v>Not collected</x:v>
      </x:c>
      <x:c r="B326" s="69" t="n">
        <x:v>324</x:v>
      </x:c>
      <x:c r="C326" s="69" t="n">
        <x:v>894</x:v>
      </x:c>
      <x:c r="D326" s="69" t="str">
        <x:v>Counting</x:v>
      </x:c>
      <x:c r="E326" s="69" t="str">
        <x:v>Make the bowl contain exactly two objects.</x:v>
      </x:c>
      <x:c r="F326" s="69" t="str">
        <x:v>Inside bowl initially (1): yellow block; On table: green pencil sharpener [TARGET], airplane toy without propellers, blue pen; action=add; expected final count=2.</x:v>
      </x:c>
      <x:c r="G326" s="69" t="str">
        <x:v>green pencil sharpener</x:v>
      </x:c>
      <x:c r="H326" s="69" t="str">
        <x:v>Home</x:v>
      </x:c>
      <x:c r="I326" s="69" t="str">
        <x:v>replace counting demonstration</x:v>
      </x:c>
      <x:c r="J326" s="70" t="str">
        <x:v>Take the yellow block out of the bowl.</x:v>
      </x:c>
    </x:row>
    <x:row r="327" ht="64" customHeight="1">
      <x:c r="A327" s="68" t="str">
        <x:v>Not collected</x:v>
      </x:c>
      <x:c r="B327" s="69" t="n">
        <x:v>325</x:v>
      </x:c>
      <x:c r="C327" s="69" t="n">
        <x:v>895</x:v>
      </x:c>
      <x:c r="D327" s="69" t="str">
        <x:v>Counting</x:v>
      </x:c>
      <x:c r="E327" s="69" t="str">
        <x:v>Adjust the bowl so that it contains exactly two objects.</x:v>
      </x:c>
      <x:c r="F327" s="69" t="str">
        <x:v>Inside bowl initially (1): green pencil sharpener; On table: yellow block [TARGET], airplane toy without propellers, blue pen; action=add; expected final count=2.</x:v>
      </x:c>
      <x:c r="G327" s="69" t="str">
        <x:v>yellow block</x:v>
      </x:c>
      <x:c r="H327" s="69" t="str">
        <x:v>Home</x:v>
      </x:c>
      <x:c r="I327" s="69" t="str">
        <x:v>replace counting demonstration</x:v>
      </x:c>
      <x:c r="J327" s="70" t="str">
        <x:v>Move the yellow block from the bowl to the table.</x:v>
      </x:c>
    </x:row>
    <x:row r="328" ht="64" customHeight="1">
      <x:c r="A328" s="68" t="str">
        <x:v>Not collected</x:v>
      </x:c>
      <x:c r="B328" s="69" t="n">
        <x:v>326</x:v>
      </x:c>
      <x:c r="C328" s="69" t="n">
        <x:v>896</x:v>
      </x:c>
      <x:c r="D328" s="69" t="str">
        <x:v>Counting</x:v>
      </x:c>
      <x:c r="E328" s="69" t="str">
        <x:v>Leave exactly two objects in the bowl.</x:v>
      </x:c>
      <x:c r="F328" s="69" t="str">
        <x:v>Inside bowl initially (1): blue pen; On table: airplane toy without propellers [TARGET], green pencil sharpener, yellow block; action=add; expected final count=2.</x:v>
      </x:c>
      <x:c r="G328" s="69" t="str">
        <x:v>airplane toy without propellers</x:v>
      </x:c>
      <x:c r="H328" s="69" t="str">
        <x:v>Post-Drop</x:v>
      </x:c>
      <x:c r="I328" s="69" t="str">
        <x:v>replace counting demonstration</x:v>
      </x:c>
      <x:c r="J328" s="70" t="str">
        <x:v>Remove the yellow block from the bowl.</x:v>
      </x:c>
    </x:row>
    <x:row r="329" ht="64" customHeight="1">
      <x:c r="A329" s="68" t="str">
        <x:v>Not collected</x:v>
      </x:c>
      <x:c r="B329" s="69" t="n">
        <x:v>327</x:v>
      </x:c>
      <x:c r="C329" s="69" t="n">
        <x:v>897</x:v>
      </x:c>
      <x:c r="D329" s="69" t="str">
        <x:v>Counting</x:v>
      </x:c>
      <x:c r="E329" s="69" t="str">
        <x:v>Make the bowl contain exactly two objects.</x:v>
      </x:c>
      <x:c r="F329" s="69" t="str">
        <x:v>Inside bowl initially (1): airplane toy without propellers; On table: blue pen [TARGET], green pencil sharpener, yellow block; action=add; expected final count=2.</x:v>
      </x:c>
      <x:c r="G329" s="69" t="str">
        <x:v>blue pen</x:v>
      </x:c>
      <x:c r="H329" s="69" t="str">
        <x:v>Post-Drop</x:v>
      </x:c>
      <x:c r="I329" s="69" t="str">
        <x:v>replace counting demonstration</x:v>
      </x:c>
      <x:c r="J329" s="70" t="str">
        <x:v>Remove the yellow block from the bowl.</x:v>
      </x:c>
    </x:row>
    <x:row r="330" ht="64" customHeight="1">
      <x:c r="A330" s="68" t="str">
        <x:v>Not collected</x:v>
      </x:c>
      <x:c r="B330" s="69" t="n">
        <x:v>328</x:v>
      </x:c>
      <x:c r="C330" s="69" t="n">
        <x:v>898</x:v>
      </x:c>
      <x:c r="D330" s="69" t="str">
        <x:v>Counting</x:v>
      </x:c>
      <x:c r="E330" s="69" t="str">
        <x:v>Adjust the bowl so that it contains exactly two objects.</x:v>
      </x:c>
      <x:c r="F330" s="69" t="str">
        <x:v>Inside bowl initially (1): airplane toy without propellers; On table: green pencil sharpener [TARGET], blue pen, yellow block; action=add; expected final count=2.</x:v>
      </x:c>
      <x:c r="G330" s="69" t="str">
        <x:v>green pencil sharpener</x:v>
      </x:c>
      <x:c r="H330" s="69" t="str">
        <x:v>Post-Drop</x:v>
      </x:c>
      <x:c r="I330" s="69" t="str">
        <x:v>replace counting demonstration</x:v>
      </x:c>
      <x:c r="J330" s="70" t="str">
        <x:v>Take the yellow block out of the bowl.</x:v>
      </x:c>
    </x:row>
    <x:row r="331" ht="64" customHeight="1">
      <x:c r="A331" s="68" t="str">
        <x:v>Not collected</x:v>
      </x:c>
      <x:c r="B331" s="69" t="n">
        <x:v>329</x:v>
      </x:c>
      <x:c r="C331" s="69" t="n">
        <x:v>899</x:v>
      </x:c>
      <x:c r="D331" s="69" t="str">
        <x:v>Counting</x:v>
      </x:c>
      <x:c r="E331" s="69" t="str">
        <x:v>Leave exactly two objects in the bowl.</x:v>
      </x:c>
      <x:c r="F331" s="69" t="str">
        <x:v>Inside bowl initially (1): airplane toy without propellers; On table: yellow block [TARGET], blue pen, green pencil sharpener; action=add; expected final count=2.</x:v>
      </x:c>
      <x:c r="G331" s="69" t="str">
        <x:v>yellow block</x:v>
      </x:c>
      <x:c r="H331" s="69" t="str">
        <x:v>Recovery</x:v>
      </x:c>
      <x:c r="I331" s="69" t="str">
        <x:v>replace counting demonstration</x:v>
      </x:c>
      <x:c r="J331" s="70" t="str">
        <x:v>Remove the yellow block from the bowl.</x:v>
      </x:c>
    </x:row>
    <x:row r="332" ht="64" customHeight="1">
      <x:c r="A332" s="68" t="str">
        <x:v>Not collected</x:v>
      </x:c>
      <x:c r="B332" s="69" t="n">
        <x:v>330</x:v>
      </x:c>
      <x:c r="C332" s="69" t="n">
        <x:v>900</x:v>
      </x:c>
      <x:c r="D332" s="69" t="str">
        <x:v>Counting</x:v>
      </x:c>
      <x:c r="E332" s="69" t="str">
        <x:v>Make the bowl contain exactly two objects.</x:v>
      </x:c>
      <x:c r="F332" s="69" t="str">
        <x:v>Inside bowl initially (3): airplane toy without propellers [TARGET], green pencil sharpener, yellow block; On table: blue pen; action=remove; expected final count=2.</x:v>
      </x:c>
      <x:c r="G332" s="69" t="str">
        <x:v>airplane toy without propellers</x:v>
      </x:c>
      <x:c r="H332" s="69" t="str">
        <x:v>Home</x:v>
      </x:c>
      <x:c r="I332" s="69" t="str">
        <x:v>replace counting demonstration</x:v>
      </x:c>
      <x:c r="J332" s="70" t="str">
        <x:v>Pick up the green pencil sharpener and place it in the bowl.</x:v>
      </x:c>
    </x:row>
    <x:row r="333" ht="64" customHeight="1">
      <x:c r="A333" s="68" t="str">
        <x:v>Not collected</x:v>
      </x:c>
      <x:c r="B333" s="69" t="n">
        <x:v>331</x:v>
      </x:c>
      <x:c r="C333" s="69" t="n">
        <x:v>901</x:v>
      </x:c>
      <x:c r="D333" s="69" t="str">
        <x:v>Counting</x:v>
      </x:c>
      <x:c r="E333" s="69" t="str">
        <x:v>Adjust the bowl so that it contains exactly two objects.</x:v>
      </x:c>
      <x:c r="F333" s="69" t="str">
        <x:v>Inside bowl initially (3): blue pen [TARGET], green pencil sharpener, yellow block; On table: airplane toy without propellers; action=remove; expected final count=2.</x:v>
      </x:c>
      <x:c r="G333" s="69" t="str">
        <x:v>blue pen</x:v>
      </x:c>
      <x:c r="H333" s="69" t="str">
        <x:v>Home</x:v>
      </x:c>
      <x:c r="I333" s="69" t="str">
        <x:v>replace counting demonstration</x:v>
      </x:c>
      <x:c r="J333" s="70" t="str">
        <x:v>Put the green pencil sharpener in the bowl.</x:v>
      </x:c>
    </x:row>
    <x:row r="334" ht="64" customHeight="1">
      <x:c r="A334" s="68" t="str">
        <x:v>Not collected</x:v>
      </x:c>
      <x:c r="B334" s="69" t="n">
        <x:v>332</x:v>
      </x:c>
      <x:c r="C334" s="69" t="n">
        <x:v>902</x:v>
      </x:c>
      <x:c r="D334" s="69" t="str">
        <x:v>Counting</x:v>
      </x:c>
      <x:c r="E334" s="69" t="str">
        <x:v>Leave exactly two objects in the bowl.</x:v>
      </x:c>
      <x:c r="F334" s="69" t="str">
        <x:v>Inside bowl initially (3): green pencil sharpener [TARGET], blue pen, yellow block; On table: airplane toy without propellers; action=remove; expected final count=2.</x:v>
      </x:c>
      <x:c r="G334" s="69" t="str">
        <x:v>green pencil sharpener</x:v>
      </x:c>
      <x:c r="H334" s="69" t="str">
        <x:v>Home</x:v>
      </x:c>
      <x:c r="I334" s="69" t="str">
        <x:v>replace counting demonstration</x:v>
      </x:c>
      <x:c r="J334" s="70" t="str">
        <x:v>Pick up the green pencil sharpener and place it in the bowl.</x:v>
      </x:c>
    </x:row>
    <x:row r="335" ht="64" customHeight="1">
      <x:c r="A335" s="68" t="str">
        <x:v>Not collected</x:v>
      </x:c>
      <x:c r="B335" s="69" t="n">
        <x:v>333</x:v>
      </x:c>
      <x:c r="C335" s="69" t="n">
        <x:v>903</x:v>
      </x:c>
      <x:c r="D335" s="69" t="str">
        <x:v>Counting</x:v>
      </x:c>
      <x:c r="E335" s="69" t="str">
        <x:v>Make the bowl contain exactly two objects.</x:v>
      </x:c>
      <x:c r="F335" s="69" t="str">
        <x:v>Inside bowl initially (3): yellow block [TARGET], blue pen, green pencil sharpener; On table: airplane toy without propellers; action=remove; expected final count=2.</x:v>
      </x:c>
      <x:c r="G335" s="69" t="str">
        <x:v>yellow block</x:v>
      </x:c>
      <x:c r="H335" s="69" t="str">
        <x:v>Post-Drop</x:v>
      </x:c>
      <x:c r="I335" s="69" t="str">
        <x:v>replace counting demonstration</x:v>
      </x:c>
      <x:c r="J335" s="70" t="str">
        <x:v>Put the green pencil sharpener in the bowl.</x:v>
      </x:c>
    </x:row>
    <x:row r="336" ht="64" customHeight="1">
      <x:c r="A336" s="68" t="str">
        <x:v>Not collected</x:v>
      </x:c>
      <x:c r="B336" s="69" t="n">
        <x:v>334</x:v>
      </x:c>
      <x:c r="C336" s="69" t="n">
        <x:v>904</x:v>
      </x:c>
      <x:c r="D336" s="69" t="str">
        <x:v>Counting</x:v>
      </x:c>
      <x:c r="E336" s="69" t="str">
        <x:v>Adjust the bowl so that it contains exactly two objects.</x:v>
      </x:c>
      <x:c r="F336" s="69" t="str">
        <x:v>Inside bowl initially (3): airplane toy without propellers [TARGET], yellow block, blue pen; On table: green pencil sharpener; action=remove; expected final count=2.</x:v>
      </x:c>
      <x:c r="G336" s="69" t="str">
        <x:v>airplane toy without propellers</x:v>
      </x:c>
      <x:c r="H336" s="69" t="str">
        <x:v>Post-Drop</x:v>
      </x:c>
      <x:c r="I336" s="69" t="str">
        <x:v>replace counting demonstration</x:v>
      </x:c>
      <x:c r="J336" s="70" t="str">
        <x:v>Put the green pencil sharpener in the bowl.</x:v>
      </x:c>
    </x:row>
    <x:row r="337" ht="64" customHeight="1">
      <x:c r="A337" s="68" t="str">
        <x:v>Not collected</x:v>
      </x:c>
      <x:c r="B337" s="69" t="n">
        <x:v>335</x:v>
      </x:c>
      <x:c r="C337" s="69" t="n">
        <x:v>905</x:v>
      </x:c>
      <x:c r="D337" s="69" t="str">
        <x:v>Counting</x:v>
      </x:c>
      <x:c r="E337" s="69" t="str">
        <x:v>Leave exactly two objects in the bowl.</x:v>
      </x:c>
      <x:c r="F337" s="69" t="str">
        <x:v>Inside bowl initially (3): blue pen [TARGET], yellow block, airplane toy without propellers; On table: green pencil sharpener; action=remove; expected final count=2.</x:v>
      </x:c>
      <x:c r="G337" s="69" t="str">
        <x:v>blue pen</x:v>
      </x:c>
      <x:c r="H337" s="69" t="str">
        <x:v>Post-Drop</x:v>
      </x:c>
      <x:c r="I337" s="69" t="str">
        <x:v>replace counting demonstration</x:v>
      </x:c>
      <x:c r="J337" s="70" t="str">
        <x:v>Put the green pencil sharpener in the bowl.</x:v>
      </x:c>
    </x:row>
    <x:row r="338" ht="64" customHeight="1">
      <x:c r="A338" s="68" t="str">
        <x:v>Not collected</x:v>
      </x:c>
      <x:c r="B338" s="69" t="n">
        <x:v>336</x:v>
      </x:c>
      <x:c r="C338" s="69" t="n">
        <x:v>906</x:v>
      </x:c>
      <x:c r="D338" s="69" t="str">
        <x:v>Counting</x:v>
      </x:c>
      <x:c r="E338" s="69" t="str">
        <x:v>Make the bowl contain exactly two objects.</x:v>
      </x:c>
      <x:c r="F338" s="69" t="str">
        <x:v>Inside bowl initially (3): green pencil sharpener [TARGET], yellow block, airplane toy without propellers; On table: blue pen; action=remove; expected final count=2.</x:v>
      </x:c>
      <x:c r="G338" s="69" t="str">
        <x:v>green pencil sharpener</x:v>
      </x:c>
      <x:c r="H338" s="69" t="str">
        <x:v>Recovery</x:v>
      </x:c>
      <x:c r="I338" s="69" t="str">
        <x:v>replace counting demonstration</x:v>
      </x:c>
      <x:c r="J338" s="70" t="str">
        <x:v>Move the green pencil sharpener into the bowl.</x:v>
      </x:c>
    </x:row>
    <x:row r="339" ht="64" customHeight="1">
      <x:c r="A339" s="68" t="str">
        <x:v>Not collected</x:v>
      </x:c>
      <x:c r="B339" s="69" t="n">
        <x:v>337</x:v>
      </x:c>
      <x:c r="C339" s="69" t="n">
        <x:v>907</x:v>
      </x:c>
      <x:c r="D339" s="69" t="str">
        <x:v>Counting</x:v>
      </x:c>
      <x:c r="E339" s="69" t="str">
        <x:v>Adjust the bowl so that it contains exactly two objects.</x:v>
      </x:c>
      <x:c r="F339" s="69" t="str">
        <x:v>Inside bowl initially (3): yellow block [TARGET], green pencil sharpener, airplane toy without propellers; On table: blue pen; action=remove; expected final count=2.</x:v>
      </x:c>
      <x:c r="G339" s="69" t="str">
        <x:v>yellow block</x:v>
      </x:c>
      <x:c r="H339" s="69" t="str">
        <x:v>Recovery</x:v>
      </x:c>
      <x:c r="I339" s="69" t="str">
        <x:v>replace counting demonstration</x:v>
      </x:c>
      <x:c r="J339" s="70" t="str">
        <x:v>Pick up the green pencil sharpener and place it in the bowl.</x:v>
      </x:c>
    </x:row>
    <x:row r="340" ht="64" customHeight="1">
      <x:c r="A340" s="68" t="str">
        <x:v>Not collected</x:v>
      </x:c>
      <x:c r="B340" s="69" t="n">
        <x:v>338</x:v>
      </x:c>
      <x:c r="C340" s="69" t="n">
        <x:v>908</x:v>
      </x:c>
      <x:c r="D340" s="69" t="str">
        <x:v>Counting</x:v>
      </x:c>
      <x:c r="E340" s="69" t="str">
        <x:v>Leave exactly two objects in the bowl.</x:v>
      </x:c>
      <x:c r="F340" s="69" t="str">
        <x:v>Inside bowl initially (3): airplane toy without propellers [TARGET], blue pen, green pencil sharpener; On table: yellow block; action=remove; expected final count=2.</x:v>
      </x:c>
      <x:c r="G340" s="69" t="str">
        <x:v>airplane toy without propellers</x:v>
      </x:c>
      <x:c r="H340" s="69" t="str">
        <x:v>Home</x:v>
      </x:c>
      <x:c r="I340" s="69" t="str">
        <x:v>replace counting demonstration</x:v>
      </x:c>
      <x:c r="J340" s="70" t="str">
        <x:v>Leave exactly two objects in the bowl.</x:v>
      </x:c>
    </x:row>
    <x:row r="341" ht="64" customHeight="1">
      <x:c r="A341" s="68" t="str">
        <x:v>Not collected</x:v>
      </x:c>
      <x:c r="B341" s="69" t="n">
        <x:v>339</x:v>
      </x:c>
      <x:c r="C341" s="69" t="n">
        <x:v>909</x:v>
      </x:c>
      <x:c r="D341" s="69" t="str">
        <x:v>Counting</x:v>
      </x:c>
      <x:c r="E341" s="69" t="str">
        <x:v>Make the bowl contain exactly two objects.</x:v>
      </x:c>
      <x:c r="F341" s="69" t="str">
        <x:v>Inside bowl initially (3): blue pen [TARGET], airplane toy without propellers, green pencil sharpener; On table: yellow block; action=remove; expected final count=2.</x:v>
      </x:c>
      <x:c r="G341" s="69" t="str">
        <x:v>blue pen</x:v>
      </x:c>
      <x:c r="H341" s="69" t="str">
        <x:v>Home</x:v>
      </x:c>
      <x:c r="I341" s="69" t="str">
        <x:v>replace counting demonstration</x:v>
      </x:c>
      <x:c r="J341" s="70" t="str">
        <x:v>Adjust the bowl so that it contains two objects.</x:v>
      </x:c>
    </x:row>
    <x:row r="342" ht="64" customHeight="1">
      <x:c r="A342" s="68" t="str">
        <x:v>Not collected</x:v>
      </x:c>
      <x:c r="B342" s="69" t="n">
        <x:v>340</x:v>
      </x:c>
      <x:c r="C342" s="69" t="n">
        <x:v>910</x:v>
      </x:c>
      <x:c r="D342" s="69" t="str">
        <x:v>Counting</x:v>
      </x:c>
      <x:c r="E342" s="69" t="str">
        <x:v>Adjust the bowl so that it contains exactly two objects.</x:v>
      </x:c>
      <x:c r="F342" s="69" t="str">
        <x:v>Inside bowl initially (3): green pencil sharpener [TARGET], airplane toy without propellers, blue pen; On table: yellow block; action=remove; expected final count=2.</x:v>
      </x:c>
      <x:c r="G342" s="69" t="str">
        <x:v>green pencil sharpener</x:v>
      </x:c>
      <x:c r="H342" s="69" t="str">
        <x:v>Home</x:v>
      </x:c>
      <x:c r="I342" s="69" t="str">
        <x:v>replace counting demonstration</x:v>
      </x:c>
      <x:c r="J342" s="70" t="str">
        <x:v>Adjust the bowl so that it contains two objects.</x:v>
      </x:c>
    </x:row>
    <x:row r="343" ht="64" customHeight="1">
      <x:c r="A343" s="68" t="str">
        <x:v>Not collected</x:v>
      </x:c>
      <x:c r="B343" s="69" t="n">
        <x:v>341</x:v>
      </x:c>
      <x:c r="C343" s="69" t="n">
        <x:v>911</x:v>
      </x:c>
      <x:c r="D343" s="69" t="str">
        <x:v>Counting</x:v>
      </x:c>
      <x:c r="E343" s="69" t="str">
        <x:v>Leave exactly two objects in the bowl.</x:v>
      </x:c>
      <x:c r="F343" s="69" t="str">
        <x:v>Inside bowl initially (3): yellow block [TARGET], airplane toy without propellers, blue pen; On table: green pencil sharpener; action=remove; expected final count=2.</x:v>
      </x:c>
      <x:c r="G343" s="69" t="str">
        <x:v>yellow block</x:v>
      </x:c>
      <x:c r="H343" s="69" t="str">
        <x:v>Post-Drop</x:v>
      </x:c>
      <x:c r="I343" s="69" t="str">
        <x:v>replace counting demonstration</x:v>
      </x:c>
      <x:c r="J343" s="70" t="str">
        <x:v>Leave exactly two objects in the bowl.</x:v>
      </x:c>
    </x:row>
    <x:row r="344" ht="64" customHeight="1">
      <x:c r="A344" s="68" t="str">
        <x:v>Not collected</x:v>
      </x:c>
      <x:c r="B344" s="69" t="n">
        <x:v>342</x:v>
      </x:c>
      <x:c r="C344" s="69" t="n">
        <x:v>912</x:v>
      </x:c>
      <x:c r="D344" s="69" t="str">
        <x:v>Counting</x:v>
      </x:c>
      <x:c r="E344" s="69" t="str">
        <x:v>Make the bowl contain exactly two objects.</x:v>
      </x:c>
      <x:c r="F344" s="69" t="str">
        <x:v>Inside bowl initially (3): airplane toy without propellers [TARGET], green pencil sharpener, yellow block; On table: blue pen; action=remove; expected final count=2.</x:v>
      </x:c>
      <x:c r="G344" s="69" t="str">
        <x:v>airplane toy without propellers</x:v>
      </x:c>
      <x:c r="H344" s="69" t="str">
        <x:v>Post-Drop</x:v>
      </x:c>
      <x:c r="I344" s="69" t="str">
        <x:v>replace counting demonstration</x:v>
      </x:c>
      <x:c r="J344" s="70" t="str">
        <x:v>Leave exactly two objects in the bowl.</x:v>
      </x:c>
    </x:row>
    <x:row r="345" ht="64" customHeight="1">
      <x:c r="A345" s="68" t="str">
        <x:v>Not collected</x:v>
      </x:c>
      <x:c r="B345" s="69" t="n">
        <x:v>343</x:v>
      </x:c>
      <x:c r="C345" s="69" t="n">
        <x:v>913</x:v>
      </x:c>
      <x:c r="D345" s="69" t="str">
        <x:v>Counting</x:v>
      </x:c>
      <x:c r="E345" s="69" t="str">
        <x:v>Adjust the bowl so that it contains exactly two objects.</x:v>
      </x:c>
      <x:c r="F345" s="69" t="str">
        <x:v>Inside bowl initially (3): blue pen [TARGET], green pencil sharpener, yellow block; On table: airplane toy without propellers; action=remove; expected final count=2.</x:v>
      </x:c>
      <x:c r="G345" s="69" t="str">
        <x:v>blue pen</x:v>
      </x:c>
      <x:c r="H345" s="69" t="str">
        <x:v>Post-Drop</x:v>
      </x:c>
      <x:c r="I345" s="69" t="str">
        <x:v>replace counting demonstration</x:v>
      </x:c>
      <x:c r="J345" s="70" t="str">
        <x:v>Make the bowl contain exactly two objects.</x:v>
      </x:c>
    </x:row>
    <x:row r="346" ht="64" customHeight="1">
      <x:c r="A346" s="68" t="str">
        <x:v>Not collected</x:v>
      </x:c>
      <x:c r="B346" s="69" t="n">
        <x:v>344</x:v>
      </x:c>
      <x:c r="C346" s="69" t="n">
        <x:v>914</x:v>
      </x:c>
      <x:c r="D346" s="69" t="str">
        <x:v>Counting</x:v>
      </x:c>
      <x:c r="E346" s="69" t="str">
        <x:v>Leave exactly two objects in the bowl.</x:v>
      </x:c>
      <x:c r="F346" s="69" t="str">
        <x:v>Inside bowl initially (3): green pencil sharpener [TARGET], blue pen, yellow block; On table: airplane toy without propellers; action=remove; expected final count=2.</x:v>
      </x:c>
      <x:c r="G346" s="69" t="str">
        <x:v>green pencil sharpener</x:v>
      </x:c>
      <x:c r="H346" s="69" t="str">
        <x:v>Recovery</x:v>
      </x:c>
      <x:c r="I346" s="69" t="str">
        <x:v>replace counting demonstration</x:v>
      </x:c>
      <x:c r="J346" s="70" t="str">
        <x:v>Adjust the bowl so that it contains two objects.</x:v>
      </x:c>
    </x:row>
    <x:row r="347" ht="64" customHeight="1">
      <x:c r="A347" s="68" t="str">
        <x:v>Not collected</x:v>
      </x:c>
      <x:c r="B347" s="69" t="n">
        <x:v>345</x:v>
      </x:c>
      <x:c r="C347" s="69" t="n">
        <x:v>915</x:v>
      </x:c>
      <x:c r="D347" s="69" t="str">
        <x:v>Counting</x:v>
      </x:c>
      <x:c r="E347" s="69" t="str">
        <x:v>Make the bowl contain exactly two objects.</x:v>
      </x:c>
      <x:c r="F347" s="69" t="str">
        <x:v>Inside bowl initially (3): yellow block [TARGET], blue pen, green pencil sharpener; On table: airplane toy without propellers; action=remove; expected final count=2.</x:v>
      </x:c>
      <x:c r="G347" s="69" t="str">
        <x:v>yellow block</x:v>
      </x:c>
      <x:c r="H347" s="69" t="str">
        <x:v>Recovery</x:v>
      </x:c>
      <x:c r="I347" s="69" t="str">
        <x:v>replace counting demonstration</x:v>
      </x:c>
      <x:c r="J347" s="70" t="str">
        <x:v>Leave exactly two objects in the bowl.</x:v>
      </x:c>
    </x:row>
    <x:row r="348" ht="64" customHeight="1">
      <x:c r="A348" s="68" t="str">
        <x:v>Not collected</x:v>
      </x:c>
      <x:c r="B348" s="69" t="n">
        <x:v>346</x:v>
      </x:c>
      <x:c r="C348" s="69" t="n">
        <x:v>916</x:v>
      </x:c>
      <x:c r="D348" s="69" t="str">
        <x:v>Counting</x:v>
      </x:c>
      <x:c r="E348" s="69" t="str">
        <x:v>Adjust the bowl so that it contains exactly two objects.</x:v>
      </x:c>
      <x:c r="F348" s="69" t="str">
        <x:v>Inside bowl initially (3): airplane toy without propellers [TARGET], yellow block, blue pen; On table: green pencil sharpener; action=remove; expected final count=2.</x:v>
      </x:c>
      <x:c r="G348" s="69" t="str">
        <x:v>airplane toy without propellers</x:v>
      </x:c>
      <x:c r="H348" s="69" t="str">
        <x:v>Home</x:v>
      </x:c>
      <x:c r="I348" s="69" t="str">
        <x:v>replace counting demonstration</x:v>
      </x:c>
      <x:c r="J348" s="70" t="str">
        <x:v>Put the green pencil sharpener in the bowl.</x:v>
      </x:c>
    </x:row>
    <x:row r="349" ht="64" customHeight="1">
      <x:c r="A349" s="68" t="str">
        <x:v>Not collected</x:v>
      </x:c>
      <x:c r="B349" s="69" t="n">
        <x:v>347</x:v>
      </x:c>
      <x:c r="C349" s="69" t="n">
        <x:v>917</x:v>
      </x:c>
      <x:c r="D349" s="69" t="str">
        <x:v>Counting</x:v>
      </x:c>
      <x:c r="E349" s="69" t="str">
        <x:v>Leave exactly two objects in the bowl.</x:v>
      </x:c>
      <x:c r="F349" s="69" t="str">
        <x:v>Inside bowl initially (3): blue pen [TARGET], yellow block, airplane toy without propellers; On table: green pencil sharpener; action=remove; expected final count=2.</x:v>
      </x:c>
      <x:c r="G349" s="69" t="str">
        <x:v>blue pen</x:v>
      </x:c>
      <x:c r="H349" s="69" t="str">
        <x:v>Home</x:v>
      </x:c>
      <x:c r="I349" s="69" t="str">
        <x:v>replace counting demonstration</x:v>
      </x:c>
      <x:c r="J349" s="70" t="str">
        <x:v>Move the green pencil sharpener into the bowl.</x:v>
      </x:c>
    </x:row>
    <x:row r="350" ht="64" customHeight="1">
      <x:c r="A350" s="68" t="str">
        <x:v>Not collected</x:v>
      </x:c>
      <x:c r="B350" s="69" t="n">
        <x:v>348</x:v>
      </x:c>
      <x:c r="C350" s="69" t="n">
        <x:v>918</x:v>
      </x:c>
      <x:c r="D350" s="69" t="str">
        <x:v>Counting</x:v>
      </x:c>
      <x:c r="E350" s="69" t="str">
        <x:v>Make the bowl contain exactly two objects.</x:v>
      </x:c>
      <x:c r="F350" s="69" t="str">
        <x:v>Inside bowl initially (3): green pencil sharpener [TARGET], yellow block, airplane toy without propellers; On table: blue pen; action=remove; expected final count=2.</x:v>
      </x:c>
      <x:c r="G350" s="69" t="str">
        <x:v>green pencil sharpener</x:v>
      </x:c>
      <x:c r="H350" s="69" t="str">
        <x:v>Home</x:v>
      </x:c>
      <x:c r="I350" s="69" t="str">
        <x:v>replace counting demonstration</x:v>
      </x:c>
      <x:c r="J350" s="70" t="str">
        <x:v>Pick up the green pencil sharpener and place it in the bowl.</x:v>
      </x:c>
    </x:row>
    <x:row r="351" ht="64" customHeight="1">
      <x:c r="A351" s="68" t="str">
        <x:v>Not collected</x:v>
      </x:c>
      <x:c r="B351" s="69" t="n">
        <x:v>349</x:v>
      </x:c>
      <x:c r="C351" s="69" t="n">
        <x:v>919</x:v>
      </x:c>
      <x:c r="D351" s="69" t="str">
        <x:v>Counting</x:v>
      </x:c>
      <x:c r="E351" s="69" t="str">
        <x:v>Adjust the bowl so that it contains exactly two objects.</x:v>
      </x:c>
      <x:c r="F351" s="69" t="str">
        <x:v>Inside bowl initially (3): yellow block [TARGET], green pencil sharpener, airplane toy without propellers; On table: blue pen; action=remove; expected final count=2.</x:v>
      </x:c>
      <x:c r="G351" s="69" t="str">
        <x:v>yellow block</x:v>
      </x:c>
      <x:c r="H351" s="69" t="str">
        <x:v>Home</x:v>
      </x:c>
      <x:c r="I351" s="69" t="str">
        <x:v>replace counting demonstration</x:v>
      </x:c>
      <x:c r="J351" s="70" t="str">
        <x:v>Move the green pencil sharpener into the bowl.</x:v>
      </x:c>
    </x:row>
    <x:row r="352" ht="64" customHeight="1">
      <x:c r="A352" s="68" t="str">
        <x:v>Not collected</x:v>
      </x:c>
      <x:c r="B352" s="69" t="n">
        <x:v>350</x:v>
      </x:c>
      <x:c r="C352" s="69" t="n">
        <x:v>920</x:v>
      </x:c>
      <x:c r="D352" s="69" t="str">
        <x:v>Counting</x:v>
      </x:c>
      <x:c r="E352" s="69" t="str">
        <x:v>Leave exactly three objects in the bowl.</x:v>
      </x:c>
      <x:c r="F352" s="69" t="str">
        <x:v>Inside bowl initially (4): airplane toy without propellers [TARGET], blue pen, green pencil sharpener, yellow block; On table: none; action=remove; expected final count=3.</x:v>
      </x:c>
      <x:c r="G352" s="69" t="str">
        <x:v>airplane toy without propellers</x:v>
      </x:c>
      <x:c r="H352" s="69" t="str">
        <x:v>Post-Drop</x:v>
      </x:c>
      <x:c r="I352" s="69" t="str">
        <x:v>replace counting demonstration</x:v>
      </x:c>
      <x:c r="J352" s="70" t="str">
        <x:v>Move the green pencil sharpener into the bowl.</x:v>
      </x:c>
    </x:row>
    <x:row r="353" ht="64" customHeight="1">
      <x:c r="A353" s="68" t="str">
        <x:v>Not collected</x:v>
      </x:c>
      <x:c r="B353" s="69" t="n">
        <x:v>351</x:v>
      </x:c>
      <x:c r="C353" s="69" t="n">
        <x:v>921</x:v>
      </x:c>
      <x:c r="D353" s="69" t="str">
        <x:v>Counting</x:v>
      </x:c>
      <x:c r="E353" s="69" t="str">
        <x:v>Make the bowl contain exactly three objects.</x:v>
      </x:c>
      <x:c r="F353" s="69" t="str">
        <x:v>Inside bowl initially (4): blue pen [TARGET], airplane toy without propellers, green pencil sharpener, yellow block; On table: none; action=remove; expected final count=3.</x:v>
      </x:c>
      <x:c r="G353" s="69" t="str">
        <x:v>blue pen</x:v>
      </x:c>
      <x:c r="H353" s="69" t="str">
        <x:v>Post-Drop</x:v>
      </x:c>
      <x:c r="I353" s="69" t="str">
        <x:v>replace counting demonstration</x:v>
      </x:c>
      <x:c r="J353" s="70" t="str">
        <x:v>Put the green pencil sharpener in the bowl.</x:v>
      </x:c>
    </x:row>
    <x:row r="354" ht="64" customHeight="1">
      <x:c r="A354" s="68" t="str">
        <x:v>Not collected</x:v>
      </x:c>
      <x:c r="B354" s="69" t="n">
        <x:v>352</x:v>
      </x:c>
      <x:c r="C354" s="69" t="n">
        <x:v>922</x:v>
      </x:c>
      <x:c r="D354" s="69" t="str">
        <x:v>Counting</x:v>
      </x:c>
      <x:c r="E354" s="69" t="str">
        <x:v>Adjust the bowl so that it contains exactly three objects.</x:v>
      </x:c>
      <x:c r="F354" s="69" t="str">
        <x:v>Inside bowl initially (4): green pencil sharpener [TARGET], airplane toy without propellers, blue pen, yellow block; On table: none; action=remove; expected final count=3.</x:v>
      </x:c>
      <x:c r="G354" s="69" t="str">
        <x:v>green pencil sharpener</x:v>
      </x:c>
      <x:c r="H354" s="69" t="str">
        <x:v>Post-Drop</x:v>
      </x:c>
      <x:c r="I354" s="69" t="str">
        <x:v>replace counting demonstration</x:v>
      </x:c>
      <x:c r="J354" s="70" t="str">
        <x:v>Move the green pencil sharpener into the bowl.</x:v>
      </x:c>
    </x:row>
    <x:row r="355" ht="64" customHeight="1">
      <x:c r="A355" s="68" t="str">
        <x:v>Not collected</x:v>
      </x:c>
      <x:c r="B355" s="69" t="n">
        <x:v>353</x:v>
      </x:c>
      <x:c r="C355" s="69" t="n">
        <x:v>923</x:v>
      </x:c>
      <x:c r="D355" s="69" t="str">
        <x:v>Counting</x:v>
      </x:c>
      <x:c r="E355" s="69" t="str">
        <x:v>Leave exactly three objects in the bowl.</x:v>
      </x:c>
      <x:c r="F355" s="69" t="str">
        <x:v>Inside bowl initially (4): yellow block [TARGET], airplane toy without propellers, blue pen, green pencil sharpener; On table: none; action=remove; expected final count=3.</x:v>
      </x:c>
      <x:c r="G355" s="69" t="str">
        <x:v>yellow block</x:v>
      </x:c>
      <x:c r="H355" s="69" t="str">
        <x:v>Post-Drop</x:v>
      </x:c>
      <x:c r="I355" s="69" t="str">
        <x:v>replace counting demonstration</x:v>
      </x:c>
      <x:c r="J355" s="70" t="str">
        <x:v>Pick up the green pencil sharpener and place it in the bowl.</x:v>
      </x:c>
    </x:row>
    <x:row r="356" ht="64" customHeight="1">
      <x:c r="A356" s="68" t="str">
        <x:v>Not collected</x:v>
      </x:c>
      <x:c r="B356" s="69" t="n">
        <x:v>354</x:v>
      </x:c>
      <x:c r="C356" s="69" t="n">
        <x:v>924</x:v>
      </x:c>
      <x:c r="D356" s="69" t="str">
        <x:v>Counting</x:v>
      </x:c>
      <x:c r="E356" s="69" t="str">
        <x:v>Make the bowl contain exactly three objects.</x:v>
      </x:c>
      <x:c r="F356" s="69" t="str">
        <x:v>Inside bowl initially (4): airplane toy without propellers [TARGET], green pencil sharpener, yellow block, blue pen; On table: none; action=remove; expected final count=3.</x:v>
      </x:c>
      <x:c r="G356" s="69" t="str">
        <x:v>airplane toy without propellers</x:v>
      </x:c>
      <x:c r="H356" s="69" t="str">
        <x:v>Recovery</x:v>
      </x:c>
      <x:c r="I356" s="69" t="str">
        <x:v>replace counting demonstration</x:v>
      </x:c>
      <x:c r="J356" s="70" t="str">
        <x:v>Pick up the green pencil sharpener and place it in the bowl.</x:v>
      </x:c>
    </x:row>
    <x:row r="357" ht="64" customHeight="1">
      <x:c r="A357" s="68" t="str">
        <x:v>Not collected</x:v>
      </x:c>
      <x:c r="B357" s="69" t="n">
        <x:v>355</x:v>
      </x:c>
      <x:c r="C357" s="69" t="n">
        <x:v>925</x:v>
      </x:c>
      <x:c r="D357" s="69" t="str">
        <x:v>Counting</x:v>
      </x:c>
      <x:c r="E357" s="69" t="str">
        <x:v>Adjust the bowl so that it contains exactly three objects.</x:v>
      </x:c>
      <x:c r="F357" s="69" t="str">
        <x:v>Inside bowl initially (4): blue pen [TARGET], green pencil sharpener, yellow block, airplane toy without propellers; On table: none; action=remove; expected final count=3.</x:v>
      </x:c>
      <x:c r="G357" s="69" t="str">
        <x:v>blue pen</x:v>
      </x:c>
      <x:c r="H357" s="69" t="str">
        <x:v>Home</x:v>
      </x:c>
      <x:c r="I357" s="69" t="str">
        <x:v>replace counting demonstration</x:v>
      </x:c>
      <x:c r="J357" s="70" t="str">
        <x:v>Adjust the bowl so that it contains zero objects.</x:v>
      </x:c>
    </x:row>
    <x:row r="358" ht="64" customHeight="1">
      <x:c r="A358" s="68" t="str">
        <x:v>Not collected</x:v>
      </x:c>
      <x:c r="B358" s="69" t="n">
        <x:v>356</x:v>
      </x:c>
      <x:c r="C358" s="69" t="n">
        <x:v>926</x:v>
      </x:c>
      <x:c r="D358" s="69" t="str">
        <x:v>Counting</x:v>
      </x:c>
      <x:c r="E358" s="69" t="str">
        <x:v>Leave exactly three objects in the bowl.</x:v>
      </x:c>
      <x:c r="F358" s="69" t="str">
        <x:v>Inside bowl initially (4): green pencil sharpener [TARGET], blue pen, yellow block, airplane toy without propellers; On table: none; action=remove; expected final count=3.</x:v>
      </x:c>
      <x:c r="G358" s="69" t="str">
        <x:v>green pencil sharpener</x:v>
      </x:c>
      <x:c r="H358" s="69" t="str">
        <x:v>Home</x:v>
      </x:c>
      <x:c r="I358" s="69" t="str">
        <x:v>replace counting demonstration</x:v>
      </x:c>
      <x:c r="J358" s="70" t="str">
        <x:v>Leave no objects in the bowl.</x:v>
      </x:c>
    </x:row>
    <x:row r="359" ht="64" customHeight="1">
      <x:c r="A359" s="68" t="str">
        <x:v>Not collected</x:v>
      </x:c>
      <x:c r="B359" s="69" t="n">
        <x:v>357</x:v>
      </x:c>
      <x:c r="C359" s="69" t="n">
        <x:v>927</x:v>
      </x:c>
      <x:c r="D359" s="69" t="str">
        <x:v>Counting</x:v>
      </x:c>
      <x:c r="E359" s="69" t="str">
        <x:v>Make the bowl contain exactly three objects.</x:v>
      </x:c>
      <x:c r="F359" s="69" t="str">
        <x:v>Inside bowl initially (4): yellow block [TARGET], blue pen, green pencil sharpener, airplane toy without propellers; On table: none; action=remove; expected final count=3.</x:v>
      </x:c>
      <x:c r="G359" s="69" t="str">
        <x:v>yellow block</x:v>
      </x:c>
      <x:c r="H359" s="69" t="str">
        <x:v>Post-Drop</x:v>
      </x:c>
      <x:c r="I359" s="69" t="str">
        <x:v>replace counting demonstration</x:v>
      </x:c>
      <x:c r="J359" s="70" t="str">
        <x:v>Leave no objects in the bowl.</x:v>
      </x:c>
    </x:row>
    <x:row r="360" ht="64" customHeight="1">
      <x:c r="A360" s="68" t="str">
        <x:v>Not collected</x:v>
      </x:c>
      <x:c r="B360" s="69" t="n">
        <x:v>358</x:v>
      </x:c>
      <x:c r="C360" s="69" t="n">
        <x:v>928</x:v>
      </x:c>
      <x:c r="D360" s="69" t="str">
        <x:v>Counting</x:v>
      </x:c>
      <x:c r="E360" s="69" t="str">
        <x:v>Adjust the bowl so that it contains exactly three objects.</x:v>
      </x:c>
      <x:c r="F360" s="69" t="str">
        <x:v>Inside bowl initially (4): airplane toy without propellers [TARGET], yellow block, blue pen, green pencil sharpener; On table: none; action=remove; expected final count=3.</x:v>
      </x:c>
      <x:c r="G360" s="69" t="str">
        <x:v>airplane toy without propellers</x:v>
      </x:c>
      <x:c r="H360" s="69" t="str">
        <x:v>Post-Drop</x:v>
      </x:c>
      <x:c r="I360" s="69" t="str">
        <x:v>replace counting demonstration</x:v>
      </x:c>
      <x:c r="J360" s="70" t="str">
        <x:v>Make the bowl contain exactly zero objects.</x:v>
      </x:c>
    </x:row>
    <x:row r="361" ht="64" customHeight="1">
      <x:c r="A361" s="68" t="str">
        <x:v>Not collected</x:v>
      </x:c>
      <x:c r="B361" s="69" t="n">
        <x:v>359</x:v>
      </x:c>
      <x:c r="C361" s="69" t="n">
        <x:v>929</x:v>
      </x:c>
      <x:c r="D361" s="69" t="str">
        <x:v>Counting</x:v>
      </x:c>
      <x:c r="E361" s="69" t="str">
        <x:v>Leave exactly three objects in the bowl.</x:v>
      </x:c>
      <x:c r="F361" s="69" t="str">
        <x:v>Inside bowl initially (4): blue pen [TARGET], yellow block, airplane toy without propellers, green pencil sharpener; On table: none; action=remove; expected final count=3.</x:v>
      </x:c>
      <x:c r="G361" s="69" t="str">
        <x:v>blue pen</x:v>
      </x:c>
      <x:c r="H361" s="69" t="str">
        <x:v>Recovery</x:v>
      </x:c>
      <x:c r="I361" s="69" t="str">
        <x:v>replace counting demonstration</x:v>
      </x:c>
      <x:c r="J361" s="70" t="str">
        <x:v>Make the bowl contain exactly zero objects.</x:v>
      </x:c>
    </x:row>
    <x:row r="362" ht="64" customHeight="1">
      <x:c r="A362" s="68" t="str">
        <x:v>Not collected</x:v>
      </x:c>
      <x:c r="B362" s="69" t="n">
        <x:v>360</x:v>
      </x:c>
      <x:c r="C362" s="69" t="n">
        <x:v>930</x:v>
      </x:c>
      <x:c r="D362" s="69" t="str">
        <x:v>Counting</x:v>
      </x:c>
      <x:c r="E362" s="69" t="str">
        <x:v>Make the bowl contain exactly three objects.</x:v>
      </x:c>
      <x:c r="F362" s="69" t="str">
        <x:v>Inside bowl initially (4): green pencil sharpener [TARGET], yellow block, airplane toy without propellers, blue pen; On table: none; action=remove; expected final count=3.</x:v>
      </x:c>
      <x:c r="G362" s="69" t="str">
        <x:v>green pencil sharpener</x:v>
      </x:c>
      <x:c r="H362" s="69" t="str">
        <x:v>Recovery</x:v>
      </x:c>
      <x:c r="I362" s="69" t="str">
        <x:v>replace counting demonstration</x:v>
      </x:c>
      <x:c r="J362" s="70" t="str">
        <x:v>Make the bowl contain exactly zero objects.</x:v>
      </x:c>
    </x:row>
    <x:row r="363" ht="64" customHeight="1">
      <x:c r="A363" s="68" t="str">
        <x:v>Not collected</x:v>
      </x:c>
      <x:c r="B363" s="69" t="n">
        <x:v>361</x:v>
      </x:c>
      <x:c r="C363" s="69" t="n">
        <x:v>931</x:v>
      </x:c>
      <x:c r="D363" s="69" t="str">
        <x:v>Counting</x:v>
      </x:c>
      <x:c r="E363" s="69" t="str">
        <x:v>Adjust the bowl so that it contains exactly three objects.</x:v>
      </x:c>
      <x:c r="F363" s="69" t="str">
        <x:v>Inside bowl initially (4): yellow block [TARGET], green pencil sharpener, airplane toy without propellers, blue pen; On table: none; action=remove; expected final count=3.</x:v>
      </x:c>
      <x:c r="G363" s="69" t="str">
        <x:v>yellow block</x:v>
      </x:c>
      <x:c r="H363" s="69" t="str">
        <x:v>Home</x:v>
      </x:c>
      <x:c r="I363" s="69" t="str">
        <x:v>replace counting demonstration</x:v>
      </x:c>
      <x:c r="J363" s="70" t="str">
        <x:v>Remove the green pencil sharpener from the bowl.</x:v>
      </x:c>
    </x:row>
    <x:row r="364" ht="64" customHeight="1">
      <x:c r="A364" s="68" t="str">
        <x:v>Not collected</x:v>
      </x:c>
      <x:c r="B364" s="69" t="n">
        <x:v>362</x:v>
      </x:c>
      <x:c r="C364" s="69" t="n">
        <x:v>932</x:v>
      </x:c>
      <x:c r="D364" s="69" t="str">
        <x:v>Counting</x:v>
      </x:c>
      <x:c r="E364" s="69" t="str">
        <x:v>Leave exactly three objects in the bowl.</x:v>
      </x:c>
      <x:c r="F364" s="69" t="str">
        <x:v>Inside bowl initially (4): airplane toy without propellers [TARGET], blue pen, green pencil sharpener, yellow block; On table: none; action=remove; expected final count=3.</x:v>
      </x:c>
      <x:c r="G364" s="69" t="str">
        <x:v>airplane toy without propellers</x:v>
      </x:c>
      <x:c r="H364" s="69" t="str">
        <x:v>Home</x:v>
      </x:c>
      <x:c r="I364" s="69" t="str">
        <x:v>replace counting demonstration</x:v>
      </x:c>
      <x:c r="J364" s="70" t="str">
        <x:v>Move the green pencil sharpener from the bowl to the table.</x:v>
      </x:c>
    </x:row>
    <x:row r="365" ht="64" customHeight="1">
      <x:c r="A365" s="68" t="str">
        <x:v>Not collected</x:v>
      </x:c>
      <x:c r="B365" s="69" t="n">
        <x:v>363</x:v>
      </x:c>
      <x:c r="C365" s="69" t="n">
        <x:v>933</x:v>
      </x:c>
      <x:c r="D365" s="69" t="str">
        <x:v>Counting</x:v>
      </x:c>
      <x:c r="E365" s="69" t="str">
        <x:v>Make the bowl contain exactly three objects.</x:v>
      </x:c>
      <x:c r="F365" s="69" t="str">
        <x:v>Inside bowl initially (4): blue pen [TARGET], airplane toy without propellers, green pencil sharpener, yellow block; On table: none; action=remove; expected final count=3.</x:v>
      </x:c>
      <x:c r="G365" s="69" t="str">
        <x:v>blue pen</x:v>
      </x:c>
      <x:c r="H365" s="69" t="str">
        <x:v>Home</x:v>
      </x:c>
      <x:c r="I365" s="69" t="str">
        <x:v>replace counting demonstration</x:v>
      </x:c>
      <x:c r="J365" s="70" t="str">
        <x:v>Move the green pencil sharpener from the bowl to the table.</x:v>
      </x:c>
    </x:row>
    <x:row r="366" ht="64" customHeight="1">
      <x:c r="A366" s="68" t="str">
        <x:v>Not collected</x:v>
      </x:c>
      <x:c r="B366" s="69" t="n">
        <x:v>364</x:v>
      </x:c>
      <x:c r="C366" s="69" t="n">
        <x:v>934</x:v>
      </x:c>
      <x:c r="D366" s="69" t="str">
        <x:v>Counting</x:v>
      </x:c>
      <x:c r="E366" s="69" t="str">
        <x:v>Adjust the bowl so that it contains exactly three objects.</x:v>
      </x:c>
      <x:c r="F366" s="69" t="str">
        <x:v>Inside bowl initially (4): green pencil sharpener [TARGET], airplane toy without propellers, blue pen, yellow block; On table: none; action=remove; expected final count=3.</x:v>
      </x:c>
      <x:c r="G366" s="69" t="str">
        <x:v>green pencil sharpener</x:v>
      </x:c>
      <x:c r="H366" s="69" t="str">
        <x:v>Post-Drop</x:v>
      </x:c>
      <x:c r="I366" s="69" t="str">
        <x:v>replace counting demonstration</x:v>
      </x:c>
      <x:c r="J366" s="70" t="str">
        <x:v>Remove the green pencil sharpener from the bowl.</x:v>
      </x:c>
    </x:row>
    <x:row r="367" ht="64" customHeight="1">
      <x:c r="A367" s="68" t="str">
        <x:v>Not collected</x:v>
      </x:c>
      <x:c r="B367" s="69" t="n">
        <x:v>365</x:v>
      </x:c>
      <x:c r="C367" s="69" t="n">
        <x:v>935</x:v>
      </x:c>
      <x:c r="D367" s="69" t="str">
        <x:v>Counting</x:v>
      </x:c>
      <x:c r="E367" s="69" t="str">
        <x:v>Leave exactly three objects in the bowl.</x:v>
      </x:c>
      <x:c r="F367" s="69" t="str">
        <x:v>Inside bowl initially (4): yellow block [TARGET], airplane toy without propellers, blue pen, green pencil sharpener; On table: none; action=remove; expected final count=3.</x:v>
      </x:c>
      <x:c r="G367" s="69" t="str">
        <x:v>yellow block</x:v>
      </x:c>
      <x:c r="H367" s="69" t="str">
        <x:v>Post-Drop</x:v>
      </x:c>
      <x:c r="I367" s="69" t="str">
        <x:v>replace counting demonstration</x:v>
      </x:c>
      <x:c r="J367" s="70" t="str">
        <x:v>Move the green pencil sharpener from the bowl to the table.</x:v>
      </x:c>
    </x:row>
    <x:row r="368" ht="64" customHeight="1">
      <x:c r="A368" s="68" t="str">
        <x:v>Not collected</x:v>
      </x:c>
      <x:c r="B368" s="69" t="n">
        <x:v>366</x:v>
      </x:c>
      <x:c r="C368" s="69" t="n">
        <x:v>936</x:v>
      </x:c>
      <x:c r="D368" s="69" t="str">
        <x:v>Counting</x:v>
      </x:c>
      <x:c r="E368" s="69" t="str">
        <x:v>Make the bowl contain exactly three objects.</x:v>
      </x:c>
      <x:c r="F368" s="69" t="str">
        <x:v>Inside bowl initially (4): airplane toy without propellers [TARGET], green pencil sharpener, yellow block, blue pen; On table: none; action=remove; expected final count=3.</x:v>
      </x:c>
      <x:c r="G368" s="69" t="str">
        <x:v>airplane toy without propellers</x:v>
      </x:c>
      <x:c r="H368" s="69" t="str">
        <x:v>Recovery</x:v>
      </x:c>
      <x:c r="I368" s="69" t="str">
        <x:v>replace counting demonstration</x:v>
      </x:c>
      <x:c r="J368" s="70" t="str">
        <x:v>Take the green pencil sharpener out of the bowl.</x:v>
      </x:c>
    </x:row>
    <x:row r="369" ht="64" customHeight="1">
      <x:c r="A369" s="68" t="str">
        <x:v>Not collected</x:v>
      </x:c>
      <x:c r="B369" s="69" t="n">
        <x:v>367</x:v>
      </x:c>
      <x:c r="C369" s="69" t="n">
        <x:v>937</x:v>
      </x:c>
      <x:c r="D369" s="69" t="str">
        <x:v>Counting</x:v>
      </x:c>
      <x:c r="E369" s="69" t="str">
        <x:v>Adjust the bowl so that it contains exactly three objects.</x:v>
      </x:c>
      <x:c r="F369" s="69" t="str">
        <x:v>Inside bowl initially (4): blue pen [TARGET], green pencil sharpener, yellow block, airplane toy without propellers; On table: none; action=remove; expected final count=3.</x:v>
      </x:c>
      <x:c r="G369" s="69" t="str">
        <x:v>blue pen</x:v>
      </x:c>
      <x:c r="H369" s="69" t="str">
        <x:v>Home</x:v>
      </x:c>
      <x:c r="I369" s="69" t="str">
        <x:v>replace counting demonstration</x:v>
      </x:c>
      <x:c r="J369" s="70" t="str">
        <x:v>Adjust the bowl so that it contains two objects.</x:v>
      </x:c>
    </x:row>
    <x:row r="370" ht="64" customHeight="1">
      <x:c r="A370" s="68" t="str">
        <x:v>Not collected</x:v>
      </x:c>
      <x:c r="B370" s="69" t="n">
        <x:v>368</x:v>
      </x:c>
      <x:c r="C370" s="69" t="n">
        <x:v>938</x:v>
      </x:c>
      <x:c r="D370" s="69" t="str">
        <x:v>Counting</x:v>
      </x:c>
      <x:c r="E370" s="69" t="str">
        <x:v>Leave exactly three objects in the bowl.</x:v>
      </x:c>
      <x:c r="F370" s="69" t="str">
        <x:v>Inside bowl initially (4): green pencil sharpener [TARGET], blue pen, yellow block, airplane toy without propellers; On table: none; action=remove; expected final count=3.</x:v>
      </x:c>
      <x:c r="G370" s="69" t="str">
        <x:v>green pencil sharpener</x:v>
      </x:c>
      <x:c r="H370" s="69" t="str">
        <x:v>Home</x:v>
      </x:c>
      <x:c r="I370" s="69" t="str">
        <x:v>replace counting demonstration</x:v>
      </x:c>
      <x:c r="J370" s="70" t="str">
        <x:v>Adjust the bowl so that it contains two objects.</x:v>
      </x:c>
    </x:row>
    <x:row r="371" ht="64" customHeight="1">
      <x:c r="A371" s="68" t="str">
        <x:v>Not collected</x:v>
      </x:c>
      <x:c r="B371" s="69" t="n">
        <x:v>369</x:v>
      </x:c>
      <x:c r="C371" s="69" t="n">
        <x:v>939</x:v>
      </x:c>
      <x:c r="D371" s="69" t="str">
        <x:v>Counting</x:v>
      </x:c>
      <x:c r="E371" s="69" t="str">
        <x:v>Make the bowl contain exactly three objects.</x:v>
      </x:c>
      <x:c r="F371" s="69" t="str">
        <x:v>Inside bowl initially (4): yellow block [TARGET], blue pen, green pencil sharpener, airplane toy without propellers; On table: none; action=remove; expected final count=3.</x:v>
      </x:c>
      <x:c r="G371" s="69" t="str">
        <x:v>yellow block</x:v>
      </x:c>
      <x:c r="H371" s="69" t="str">
        <x:v>Post-Drop</x:v>
      </x:c>
      <x:c r="I371" s="69" t="str">
        <x:v>replace counting demonstration</x:v>
      </x:c>
      <x:c r="J371" s="70" t="str">
        <x:v>Leave exactly two objects in the bowl.</x:v>
      </x:c>
    </x:row>
    <x:row r="372" ht="64" customHeight="1">
      <x:c r="A372" s="68" t="str">
        <x:v>Not collected</x:v>
      </x:c>
      <x:c r="B372" s="69" t="n">
        <x:v>370</x:v>
      </x:c>
      <x:c r="C372" s="69" t="n">
        <x:v>940</x:v>
      </x:c>
      <x:c r="D372" s="69" t="str">
        <x:v>Counting</x:v>
      </x:c>
      <x:c r="E372" s="69" t="str">
        <x:v>Adjust the bowl so that it contains exactly three objects.</x:v>
      </x:c>
      <x:c r="F372" s="69" t="str">
        <x:v>Inside bowl initially (4): airplane toy without propellers [TARGET], yellow block, blue pen, green pencil sharpener; On table: none; action=remove; expected final count=3.</x:v>
      </x:c>
      <x:c r="G372" s="69" t="str">
        <x:v>airplane toy without propellers</x:v>
      </x:c>
      <x:c r="H372" s="69" t="str">
        <x:v>Post-Drop</x:v>
      </x:c>
      <x:c r="I372" s="69" t="str">
        <x:v>replace counting demonstration</x:v>
      </x:c>
      <x:c r="J372" s="70" t="str">
        <x:v>Leave exactly two objects in the bowl.</x:v>
      </x:c>
    </x:row>
    <x:row r="373" ht="64" customHeight="1">
      <x:c r="A373" s="68" t="str">
        <x:v>Not collected</x:v>
      </x:c>
      <x:c r="B373" s="69" t="n">
        <x:v>371</x:v>
      </x:c>
      <x:c r="C373" s="69" t="n">
        <x:v>941</x:v>
      </x:c>
      <x:c r="D373" s="69" t="str">
        <x:v>Counting</x:v>
      </x:c>
      <x:c r="E373" s="69" t="str">
        <x:v>Leave exactly three objects in the bowl.</x:v>
      </x:c>
      <x:c r="F373" s="69" t="str">
        <x:v>Inside bowl initially (4): blue pen [TARGET], yellow block, airplane toy without propellers, green pencil sharpener; On table: none; action=remove; expected final count=3.</x:v>
      </x:c>
      <x:c r="G373" s="69" t="str">
        <x:v>blue pen</x:v>
      </x:c>
      <x:c r="H373" s="69" t="str">
        <x:v>Post-Drop</x:v>
      </x:c>
      <x:c r="I373" s="69" t="str">
        <x:v>replace counting demonstration</x:v>
      </x:c>
      <x:c r="J373" s="70" t="str">
        <x:v>Leave exactly two objects in the bowl.</x:v>
      </x:c>
    </x:row>
    <x:row r="374" ht="64" customHeight="1">
      <x:c r="A374" s="68" t="str">
        <x:v>Not collected</x:v>
      </x:c>
      <x:c r="B374" s="69" t="n">
        <x:v>372</x:v>
      </x:c>
      <x:c r="C374" s="69" t="n">
        <x:v>942</x:v>
      </x:c>
      <x:c r="D374" s="69" t="str">
        <x:v>Counting</x:v>
      </x:c>
      <x:c r="E374" s="69" t="str">
        <x:v>Make the bowl contain exactly three objects.</x:v>
      </x:c>
      <x:c r="F374" s="69" t="str">
        <x:v>Inside bowl initially (4): green pencil sharpener [TARGET], yellow block, airplane toy without propellers, blue pen; On table: none; action=remove; expected final count=3.</x:v>
      </x:c>
      <x:c r="G374" s="69" t="str">
        <x:v>green pencil sharpener</x:v>
      </x:c>
      <x:c r="H374" s="69" t="str">
        <x:v>Recovery</x:v>
      </x:c>
      <x:c r="I374" s="69" t="str">
        <x:v>replace counting demonstration</x:v>
      </x:c>
      <x:c r="J374" s="70" t="str">
        <x:v>Make the bowl contain exactly two objects.</x:v>
      </x:c>
    </x:row>
    <x:row r="375" ht="64" customHeight="1">
      <x:c r="A375" s="68" t="str">
        <x:v>Not collected</x:v>
      </x:c>
      <x:c r="B375" s="69" t="n">
        <x:v>373</x:v>
      </x:c>
      <x:c r="C375" s="69" t="n">
        <x:v>943</x:v>
      </x:c>
      <x:c r="D375" s="69" t="str">
        <x:v>Counting</x:v>
      </x:c>
      <x:c r="E375" s="69" t="str">
        <x:v>Adjust the bowl so that it contains exactly three objects.</x:v>
      </x:c>
      <x:c r="F375" s="69" t="str">
        <x:v>Inside bowl initially (4): yellow block [TARGET], green pencil sharpener, airplane toy without propellers, blue pen; On table: none; action=remove; expected final count=3.</x:v>
      </x:c>
      <x:c r="G375" s="69" t="str">
        <x:v>yellow block</x:v>
      </x:c>
      <x:c r="H375" s="69" t="str">
        <x:v>Home</x:v>
      </x:c>
      <x:c r="I375" s="69" t="str">
        <x:v>replace counting demonstration</x:v>
      </x:c>
      <x:c r="J375" s="70" t="str">
        <x:v>Take the green pencil sharpener out of the bowl.</x:v>
      </x:c>
    </x:row>
    <x:row r="376" ht="64" customHeight="1">
      <x:c r="A376" s="68" t="str">
        <x:v>Not collected</x:v>
      </x:c>
      <x:c r="B376" s="69" t="n">
        <x:v>374</x:v>
      </x:c>
      <x:c r="C376" s="69" t="n">
        <x:v>944</x:v>
      </x:c>
      <x:c r="D376" s="69" t="str">
        <x:v>Counting</x:v>
      </x:c>
      <x:c r="E376" s="69" t="str">
        <x:v>Leave exactly three objects in the bowl.</x:v>
      </x:c>
      <x:c r="F376" s="69" t="str">
        <x:v>Inside bowl initially (4): airplane toy without propellers [TARGET], blue pen, green pencil sharpener, yellow block; On table: none; action=remove; expected final count=3.</x:v>
      </x:c>
      <x:c r="G376" s="69" t="str">
        <x:v>airplane toy without propellers</x:v>
      </x:c>
      <x:c r="H376" s="69" t="str">
        <x:v>Home</x:v>
      </x:c>
      <x:c r="I376" s="69" t="str">
        <x:v>replace counting demonstration</x:v>
      </x:c>
      <x:c r="J376" s="70" t="str">
        <x:v>Take the green pencil sharpener out of the bowl.</x:v>
      </x:c>
    </x:row>
    <x:row r="377" ht="64" customHeight="1">
      <x:c r="A377" s="68" t="str">
        <x:v>Not collected</x:v>
      </x:c>
      <x:c r="B377" s="69" t="n">
        <x:v>375</x:v>
      </x:c>
      <x:c r="C377" s="69" t="n">
        <x:v>945</x:v>
      </x:c>
      <x:c r="D377" s="69" t="str">
        <x:v>Counting</x:v>
      </x:c>
      <x:c r="E377" s="69" t="str">
        <x:v>Make the bowl contain exactly three objects.</x:v>
      </x:c>
      <x:c r="F377" s="69" t="str">
        <x:v>Inside bowl initially (4): blue pen [TARGET], airplane toy without propellers, green pencil sharpener, yellow block; On table: none; action=remove; expected final count=3.</x:v>
      </x:c>
      <x:c r="G377" s="69" t="str">
        <x:v>blue pen</x:v>
      </x:c>
      <x:c r="H377" s="69" t="str">
        <x:v>Home</x:v>
      </x:c>
      <x:c r="I377" s="69" t="str">
        <x:v>replace counting demonstration</x:v>
      </x:c>
      <x:c r="J377" s="70" t="str">
        <x:v>Move the green pencil sharpener from the bowl to the table.</x:v>
      </x:c>
    </x:row>
    <x:row r="378" ht="64" customHeight="1">
      <x:c r="A378" s="68" t="str">
        <x:v>Not collected</x:v>
      </x:c>
      <x:c r="B378" s="69" t="n">
        <x:v>376</x:v>
      </x:c>
      <x:c r="C378" s="69" t="n">
        <x:v>946</x:v>
      </x:c>
      <x:c r="D378" s="69" t="str">
        <x:v>Counting</x:v>
      </x:c>
      <x:c r="E378" s="69" t="str">
        <x:v>Adjust the bowl so that it contains exactly three objects.</x:v>
      </x:c>
      <x:c r="F378" s="69" t="str">
        <x:v>Inside bowl initially (4): green pencil sharpener [TARGET], airplane toy without propellers, blue pen, yellow block; On table: none; action=remove; expected final count=3.</x:v>
      </x:c>
      <x:c r="G378" s="69" t="str">
        <x:v>green pencil sharpener</x:v>
      </x:c>
      <x:c r="H378" s="69" t="str">
        <x:v>Post-Drop</x:v>
      </x:c>
      <x:c r="I378" s="69" t="str">
        <x:v>replace counting demonstration</x:v>
      </x:c>
      <x:c r="J378" s="70" t="str">
        <x:v>Take the green pencil sharpener out of the bowl.</x:v>
      </x:c>
    </x:row>
    <x:row r="379" ht="64" customHeight="1">
      <x:c r="A379" s="68" t="str">
        <x:v>Not collected</x:v>
      </x:c>
      <x:c r="B379" s="69" t="n">
        <x:v>377</x:v>
      </x:c>
      <x:c r="C379" s="69" t="n">
        <x:v>947</x:v>
      </x:c>
      <x:c r="D379" s="69" t="str">
        <x:v>Counting</x:v>
      </x:c>
      <x:c r="E379" s="69" t="str">
        <x:v>Leave exactly three objects in the bowl.</x:v>
      </x:c>
      <x:c r="F379" s="69" t="str">
        <x:v>Inside bowl initially (4): yellow block [TARGET], airplane toy without propellers, blue pen, green pencil sharpener; On table: none; action=remove; expected final count=3.</x:v>
      </x:c>
      <x:c r="G379" s="69" t="str">
        <x:v>yellow block</x:v>
      </x:c>
      <x:c r="H379" s="69" t="str">
        <x:v>Post-Drop</x:v>
      </x:c>
      <x:c r="I379" s="69" t="str">
        <x:v>replace counting demonstration</x:v>
      </x:c>
      <x:c r="J379" s="70" t="str">
        <x:v>Remove the green pencil sharpener from the bowl.</x:v>
      </x:c>
    </x:row>
    <x:row r="380" ht="64" customHeight="1">
      <x:c r="A380" s="68" t="str">
        <x:v>Not collected</x:v>
      </x:c>
      <x:c r="B380" s="69" t="n">
        <x:v>378</x:v>
      </x:c>
      <x:c r="C380" s="69" t="n">
        <x:v>948</x:v>
      </x:c>
      <x:c r="D380" s="69" t="str">
        <x:v>Counting</x:v>
      </x:c>
      <x:c r="E380" s="69" t="str">
        <x:v>Make the bowl contain exactly three objects.</x:v>
      </x:c>
      <x:c r="F380" s="69" t="str">
        <x:v>Inside bowl initially (4): airplane toy without propellers [TARGET], green pencil sharpener, yellow block, blue pen; On table: none; action=remove; expected final count=3.</x:v>
      </x:c>
      <x:c r="G380" s="69" t="str">
        <x:v>airplane toy without propellers</x:v>
      </x:c>
      <x:c r="H380" s="69" t="str">
        <x:v>Post-Drop</x:v>
      </x:c>
      <x:c r="I380" s="69" t="str">
        <x:v>replace counting demonstration</x:v>
      </x:c>
      <x:c r="J380" s="70" t="str">
        <x:v>Remove the green pencil sharpener from the bowl.</x:v>
      </x:c>
    </x:row>
    <x:row r="381" ht="64" customHeight="1">
      <x:c r="A381" s="68" t="str">
        <x:v>Not collected</x:v>
      </x:c>
      <x:c r="B381" s="69" t="n">
        <x:v>379</x:v>
      </x:c>
      <x:c r="C381" s="69" t="n">
        <x:v>949</x:v>
      </x:c>
      <x:c r="D381" s="69" t="str">
        <x:v>Counting</x:v>
      </x:c>
      <x:c r="E381" s="69" t="str">
        <x:v>Adjust the bowl so that it contains exactly three objects.</x:v>
      </x:c>
      <x:c r="F381" s="69" t="str">
        <x:v>Inside bowl initially (4): blue pen [TARGET], green pencil sharpener, yellow block, airplane toy without propellers; On table: none; action=remove; expected final count=3.</x:v>
      </x:c>
      <x:c r="G381" s="69" t="str">
        <x:v>blue pen</x:v>
      </x:c>
      <x:c r="H381" s="69" t="str">
        <x:v>Recovery</x:v>
      </x:c>
      <x:c r="I381" s="69" t="str">
        <x:v>replace counting demonstration</x:v>
      </x:c>
      <x:c r="J381" s="70" t="str">
        <x:v>Take the green pencil sharpener out of the bowl.</x:v>
      </x:c>
    </x:row>
    <x:row r="382" ht="64" customHeight="1">
      <x:c r="A382" s="68" t="str">
        <x:v>Not collected</x:v>
      </x:c>
      <x:c r="B382" s="69" t="n">
        <x:v>380</x:v>
      </x:c>
      <x:c r="C382" s="69" t="n">
        <x:v>950</x:v>
      </x:c>
      <x:c r="D382" s="69" t="str">
        <x:v>Counting</x:v>
      </x:c>
      <x:c r="E382" s="69" t="str">
        <x:v>Leave exactly three objects in the bowl.</x:v>
      </x:c>
      <x:c r="F382" s="69" t="str">
        <x:v>Inside bowl initially (4): green pencil sharpener [TARGET], blue pen, yellow block, airplane toy without propellers; On table: none; action=remove; expected final count=3.</x:v>
      </x:c>
      <x:c r="G382" s="69" t="str">
        <x:v>green pencil sharpener</x:v>
      </x:c>
      <x:c r="H382" s="69" t="str">
        <x:v>Home</x:v>
      </x:c>
      <x:c r="I382" s="69" t="str">
        <x:v>replace counting demonstration</x:v>
      </x:c>
      <x:c r="J382" s="70" t="str">
        <x:v>Move the airplane toy without propellers into the bowl.</x:v>
      </x:c>
    </x:row>
    <x:row r="383" ht="64" customHeight="1">
      <x:c r="A383" s="68" t="str">
        <x:v>Not collected</x:v>
      </x:c>
      <x:c r="B383" s="69" t="n">
        <x:v>381</x:v>
      </x:c>
      <x:c r="C383" s="69" t="n">
        <x:v>951</x:v>
      </x:c>
      <x:c r="D383" s="69" t="str">
        <x:v>Counting</x:v>
      </x:c>
      <x:c r="E383" s="69" t="str">
        <x:v>Make the bowl contain exactly three objects.</x:v>
      </x:c>
      <x:c r="F383" s="69" t="str">
        <x:v>Inside bowl initially (4): yellow block [TARGET], blue pen, green pencil sharpener, airplane toy without propellers; On table: none; action=remove; expected final count=3.</x:v>
      </x:c>
      <x:c r="G383" s="69" t="str">
        <x:v>yellow block</x:v>
      </x:c>
      <x:c r="H383" s="69" t="str">
        <x:v>Home</x:v>
      </x:c>
      <x:c r="I383" s="69" t="str">
        <x:v>replace counting demonstration</x:v>
      </x:c>
      <x:c r="J383" s="70" t="str">
        <x:v>Put the airplane toy without propellers in the bowl.</x:v>
      </x:c>
    </x:row>
    <x:row r="384" ht="64" customHeight="1">
      <x:c r="A384" s="68" t="str">
        <x:v>Not collected</x:v>
      </x:c>
      <x:c r="B384" s="69" t="n">
        <x:v>382</x:v>
      </x:c>
      <x:c r="C384" s="69" t="n">
        <x:v>952</x:v>
      </x:c>
      <x:c r="D384" s="69" t="str">
        <x:v>Counting</x:v>
      </x:c>
      <x:c r="E384" s="69" t="str">
        <x:v>Adjust the bowl so that it contains exactly three objects.</x:v>
      </x:c>
      <x:c r="F384" s="69" t="str">
        <x:v>Inside bowl initially (4): airplane toy without propellers [TARGET], yellow block, blue pen, green pencil sharpener; On table: none; action=remove; expected final count=3.</x:v>
      </x:c>
      <x:c r="G384" s="69" t="str">
        <x:v>airplane toy without propellers</x:v>
      </x:c>
      <x:c r="H384" s="69" t="str">
        <x:v>Home</x:v>
      </x:c>
      <x:c r="I384" s="69" t="str">
        <x:v>replace counting demonstration</x:v>
      </x:c>
      <x:c r="J384" s="70" t="str">
        <x:v>Move the airplane toy without propellers into the bowl.</x:v>
      </x:c>
    </x:row>
    <x:row r="385" ht="64" customHeight="1">
      <x:c r="A385" s="68" t="str">
        <x:v>Not collected</x:v>
      </x:c>
      <x:c r="B385" s="69" t="n">
        <x:v>383</x:v>
      </x:c>
      <x:c r="C385" s="69" t="n">
        <x:v>953</x:v>
      </x:c>
      <x:c r="D385" s="69" t="str">
        <x:v>Counting</x:v>
      </x:c>
      <x:c r="E385" s="69" t="str">
        <x:v>Leave exactly three objects in the bowl.</x:v>
      </x:c>
      <x:c r="F385" s="69" t="str">
        <x:v>Inside bowl initially (4): blue pen [TARGET], yellow block, airplane toy without propellers, green pencil sharpener; On table: none; action=remove; expected final count=3.</x:v>
      </x:c>
      <x:c r="G385" s="69" t="str">
        <x:v>blue pen</x:v>
      </x:c>
      <x:c r="H385" s="69" t="str">
        <x:v>Post-Drop</x:v>
      </x:c>
      <x:c r="I385" s="69" t="str">
        <x:v>replace counting demonstration</x:v>
      </x:c>
      <x:c r="J385" s="70" t="str">
        <x:v>Put the airplane toy without propellers in the bowl.</x:v>
      </x:c>
    </x:row>
    <x:row r="386" ht="64" customHeight="1">
      <x:c r="A386" s="68" t="str">
        <x:v>Not collected</x:v>
      </x:c>
      <x:c r="B386" s="69" t="n">
        <x:v>384</x:v>
      </x:c>
      <x:c r="C386" s="69" t="n">
        <x:v>954</x:v>
      </x:c>
      <x:c r="D386" s="69" t="str">
        <x:v>Counting</x:v>
      </x:c>
      <x:c r="E386" s="69" t="str">
        <x:v>Make the bowl contain exactly three objects.</x:v>
      </x:c>
      <x:c r="F386" s="69" t="str">
        <x:v>Inside bowl initially (4): green pencil sharpener [TARGET], yellow block, airplane toy without propellers, blue pen; On table: none; action=remove; expected final count=3.</x:v>
      </x:c>
      <x:c r="G386" s="69" t="str">
        <x:v>green pencil sharpener</x:v>
      </x:c>
      <x:c r="H386" s="69" t="str">
        <x:v>Post-Drop</x:v>
      </x:c>
      <x:c r="I386" s="69" t="str">
        <x:v>replace counting demonstration</x:v>
      </x:c>
      <x:c r="J386" s="70" t="str">
        <x:v>Pick up the airplane toy without propellers and place it in the bowl.</x:v>
      </x:c>
    </x:row>
    <x:row r="387" ht="64" customHeight="1">
      <x:c r="A387" s="68" t="str">
        <x:v>Not collected</x:v>
      </x:c>
      <x:c r="B387" s="69" t="n">
        <x:v>385</x:v>
      </x:c>
      <x:c r="C387" s="69" t="n">
        <x:v>955</x:v>
      </x:c>
      <x:c r="D387" s="69" t="str">
        <x:v>Counting</x:v>
      </x:c>
      <x:c r="E387" s="69" t="str">
        <x:v>Adjust the bowl so that it contains exactly three objects.</x:v>
      </x:c>
      <x:c r="F387" s="69" t="str">
        <x:v>Inside bowl initially (4): yellow block [TARGET], green pencil sharpener, airplane toy without propellers, blue pen; On table: none; action=remove; expected final count=3.</x:v>
      </x:c>
      <x:c r="G387" s="69" t="str">
        <x:v>yellow block</x:v>
      </x:c>
      <x:c r="H387" s="69" t="str">
        <x:v>Post-Drop</x:v>
      </x:c>
      <x:c r="I387" s="69" t="str">
        <x:v>replace counting demonstration</x:v>
      </x:c>
      <x:c r="J387" s="70" t="str">
        <x:v>Put the airplane toy without propellers in the bowl.</x:v>
      </x:c>
    </x:row>
    <x:row r="388" ht="64" customHeight="1">
      <x:c r="A388" s="68" t="str">
        <x:v>Not collected</x:v>
      </x:c>
      <x:c r="B388" s="69" t="n">
        <x:v>386</x:v>
      </x:c>
      <x:c r="C388" s="69" t="n">
        <x:v>956</x:v>
      </x:c>
      <x:c r="D388" s="69" t="str">
        <x:v>Counting</x:v>
      </x:c>
      <x:c r="E388" s="69" t="str">
        <x:v>Leave exactly three objects in the bowl.</x:v>
      </x:c>
      <x:c r="F388" s="69" t="str">
        <x:v>Inside bowl initially (4): airplane toy without propellers [TARGET], blue pen, green pencil sharpener, yellow block; On table: none; action=remove; expected final count=3.</x:v>
      </x:c>
      <x:c r="G388" s="69" t="str">
        <x:v>airplane toy without propellers</x:v>
      </x:c>
      <x:c r="H388" s="69" t="str">
        <x:v>Recovery</x:v>
      </x:c>
      <x:c r="I388" s="69" t="str">
        <x:v>replace counting demonstration</x:v>
      </x:c>
      <x:c r="J388" s="70" t="str">
        <x:v>Pick up the airplane toy without propellers and place it in the bowl.</x:v>
      </x:c>
    </x:row>
    <x:row r="389" ht="64" customHeight="1">
      <x:c r="A389" s="68" t="str">
        <x:v>Not collected</x:v>
      </x:c>
      <x:c r="B389" s="69" t="n">
        <x:v>387</x:v>
      </x:c>
      <x:c r="C389" s="69" t="n">
        <x:v>957</x:v>
      </x:c>
      <x:c r="D389" s="69" t="str">
        <x:v>Counting</x:v>
      </x:c>
      <x:c r="E389" s="69" t="str">
        <x:v>Make the bowl contain exactly three objects.</x:v>
      </x:c>
      <x:c r="F389" s="69" t="str">
        <x:v>Inside bowl initially (4): blue pen [TARGET], airplane toy without propellers, green pencil sharpener, yellow block; On table: none; action=remove; expected final count=3.</x:v>
      </x:c>
      <x:c r="G389" s="69" t="str">
        <x:v>blue pen</x:v>
      </x:c>
      <x:c r="H389" s="69" t="str">
        <x:v>Recovery</x:v>
      </x:c>
      <x:c r="I389" s="69" t="str">
        <x:v>replace counting demonstration</x:v>
      </x:c>
      <x:c r="J389" s="70" t="str">
        <x:v>Put the airplane toy without propellers in the bowl.</x:v>
      </x:c>
    </x:row>
    <x:row r="390" ht="64" customHeight="1">
      <x:c r="A390" s="68" t="str">
        <x:v>Not collected</x:v>
      </x:c>
      <x:c r="B390" s="69" t="n">
        <x:v>388</x:v>
      </x:c>
      <x:c r="C390" s="69" t="n">
        <x:v>958</x:v>
      </x:c>
      <x:c r="D390" s="69" t="str">
        <x:v>Counting</x:v>
      </x:c>
      <x:c r="E390" s="69" t="str">
        <x:v>Adjust the bowl so that it contains exactly three objects.</x:v>
      </x:c>
      <x:c r="F390" s="69" t="str">
        <x:v>Inside bowl initially (4): green pencil sharpener [TARGET], airplane toy without propellers, blue pen, yellow block; On table: none; action=remove; expected final count=3.</x:v>
      </x:c>
      <x:c r="G390" s="69" t="str">
        <x:v>green pencil sharpener</x:v>
      </x:c>
      <x:c r="H390" s="69" t="str">
        <x:v>Home</x:v>
      </x:c>
      <x:c r="I390" s="69" t="str">
        <x:v>replace counting demonstration</x:v>
      </x:c>
      <x:c r="J390" s="70" t="str">
        <x:v>Adjust the bowl so that it contains two objects.</x:v>
      </x:c>
    </x:row>
    <x:row r="391" ht="64" customHeight="1">
      <x:c r="A391" s="68" t="str">
        <x:v>Not collected</x:v>
      </x:c>
      <x:c r="B391" s="69" t="n">
        <x:v>389</x:v>
      </x:c>
      <x:c r="C391" s="69" t="n">
        <x:v>959</x:v>
      </x:c>
      <x:c r="D391" s="69" t="str">
        <x:v>Counting</x:v>
      </x:c>
      <x:c r="E391" s="69" t="str">
        <x:v>Leave exactly three objects in the bowl.</x:v>
      </x:c>
      <x:c r="F391" s="69" t="str">
        <x:v>Inside bowl initially (4): yellow block [TARGET], airplane toy without propellers, blue pen, green pencil sharpener; On table: none; action=remove; expected final count=3.</x:v>
      </x:c>
      <x:c r="G391" s="69" t="str">
        <x:v>yellow block</x:v>
      </x:c>
      <x:c r="H391" s="69" t="str">
        <x:v>Home</x:v>
      </x:c>
      <x:c r="I391" s="69" t="str">
        <x:v>replace counting demonstration</x:v>
      </x:c>
      <x:c r="J391" s="70" t="str">
        <x:v>Leave exactly two objects in the bowl.</x:v>
      </x:c>
    </x:row>
    <x:row r="392" ht="64" customHeight="1">
      <x:c r="A392" s="68" t="str">
        <x:v>Not collected</x:v>
      </x:c>
      <x:c r="B392" s="69" t="n">
        <x:v>390</x:v>
      </x:c>
      <x:c r="C392" s="69" t="n">
        <x:v>960</x:v>
      </x:c>
      <x:c r="D392" s="69" t="str">
        <x:v>Counting</x:v>
      </x:c>
      <x:c r="E392" s="69" t="str">
        <x:v>Take the airplane toy without propellers out of the bowl.</x:v>
      </x:c>
      <x:c r="F392" s="69" t="str">
        <x:v>Inside bowl initially (2): airplane toy without propellers [TARGET], green pencil sharpener; On table: yellow block, blue pen; action=remove; expected final count=1.</x:v>
      </x:c>
      <x:c r="G392" s="69" t="str">
        <x:v>airplane toy without propellers</x:v>
      </x:c>
      <x:c r="H392" s="69" t="str">
        <x:v>Home</x:v>
      </x:c>
      <x:c r="I392" s="69" t="str">
        <x:v>replace counting demonstration</x:v>
      </x:c>
      <x:c r="J392" s="70" t="str">
        <x:v>Make the bowl contain exactly two objects.</x:v>
      </x:c>
    </x:row>
    <x:row r="393" ht="64" customHeight="1">
      <x:c r="A393" s="68" t="str">
        <x:v>Not collected</x:v>
      </x:c>
      <x:c r="B393" s="69" t="n">
        <x:v>391</x:v>
      </x:c>
      <x:c r="C393" s="69" t="n">
        <x:v>961</x:v>
      </x:c>
      <x:c r="D393" s="69" t="str">
        <x:v>Counting</x:v>
      </x:c>
      <x:c r="E393" s="69" t="str">
        <x:v>Move the blue pen from the bowl to the table.</x:v>
      </x:c>
      <x:c r="F393" s="69" t="str">
        <x:v>Inside bowl initially (2): blue pen [TARGET], green pencil sharpener; On table: yellow block, airplane toy without propellers; action=remove; expected final count=1.</x:v>
      </x:c>
      <x:c r="G393" s="69" t="str">
        <x:v>blue pen</x:v>
      </x:c>
      <x:c r="H393" s="69" t="str">
        <x:v>Post-Drop</x:v>
      </x:c>
      <x:c r="I393" s="69" t="str">
        <x:v>replace counting demonstration</x:v>
      </x:c>
      <x:c r="J393" s="70" t="str">
        <x:v>Make the bowl contain exactly two objects.</x:v>
      </x:c>
    </x:row>
    <x:row r="394" ht="64" customHeight="1">
      <x:c r="A394" s="68" t="str">
        <x:v>Not collected</x:v>
      </x:c>
      <x:c r="B394" s="69" t="n">
        <x:v>392</x:v>
      </x:c>
      <x:c r="C394" s="69" t="n">
        <x:v>962</x:v>
      </x:c>
      <x:c r="D394" s="69" t="str">
        <x:v>Counting</x:v>
      </x:c>
      <x:c r="E394" s="69" t="str">
        <x:v>Remove the green pencil sharpener from the bowl.</x:v>
      </x:c>
      <x:c r="F394" s="69" t="str">
        <x:v>Inside bowl initially (2): green pencil sharpener [TARGET], blue pen; On table: yellow block, airplane toy without propellers; action=remove; expected final count=1.</x:v>
      </x:c>
      <x:c r="G394" s="69" t="str">
        <x:v>green pencil sharpener</x:v>
      </x:c>
      <x:c r="H394" s="69" t="str">
        <x:v>Post-Drop</x:v>
      </x:c>
      <x:c r="I394" s="69" t="str">
        <x:v>replace counting demonstration</x:v>
      </x:c>
      <x:c r="J394" s="70" t="str">
        <x:v>Leave exactly two objects in the bowl.</x:v>
      </x:c>
    </x:row>
    <x:row r="395" ht="64" customHeight="1">
      <x:c r="A395" s="68" t="str">
        <x:v>Not collected</x:v>
      </x:c>
      <x:c r="B395" s="69" t="n">
        <x:v>393</x:v>
      </x:c>
      <x:c r="C395" s="69" t="n">
        <x:v>963</x:v>
      </x:c>
      <x:c r="D395" s="69" t="str">
        <x:v>Counting</x:v>
      </x:c>
      <x:c r="E395" s="69" t="str">
        <x:v>Take the yellow block out of the bowl.</x:v>
      </x:c>
      <x:c r="F395" s="69" t="str">
        <x:v>Inside bowl initially (2): yellow block [TARGET], blue pen; On table: green pencil sharpener, airplane toy without propellers; action=remove; expected final count=1.</x:v>
      </x:c>
      <x:c r="G395" s="69" t="str">
        <x:v>yellow block</x:v>
      </x:c>
      <x:c r="H395" s="69" t="str">
        <x:v>Post-Drop</x:v>
      </x:c>
      <x:c r="I395" s="69" t="str">
        <x:v>replace counting demonstration</x:v>
      </x:c>
      <x:c r="J395" s="70" t="str">
        <x:v>Leave exactly two objects in the bowl.</x:v>
      </x:c>
    </x:row>
    <x:row r="396" ht="64" customHeight="1">
      <x:c r="A396" s="68" t="str">
        <x:v>Not collected</x:v>
      </x:c>
      <x:c r="B396" s="69" t="n">
        <x:v>394</x:v>
      </x:c>
      <x:c r="C396" s="69" t="n">
        <x:v>964</x:v>
      </x:c>
      <x:c r="D396" s="69" t="str">
        <x:v>Counting</x:v>
      </x:c>
      <x:c r="E396" s="69" t="str">
        <x:v>Move the airplane toy without propellers from the bowl to the table.</x:v>
      </x:c>
      <x:c r="F396" s="69" t="str">
        <x:v>Inside bowl initially (2): airplane toy without propellers [TARGET], yellow block; On table: blue pen, green pencil sharpener; action=remove; expected final count=1.</x:v>
      </x:c>
      <x:c r="G396" s="69" t="str">
        <x:v>airplane toy without propellers</x:v>
      </x:c>
      <x:c r="H396" s="69" t="str">
        <x:v>Recovery</x:v>
      </x:c>
      <x:c r="I396" s="69" t="str">
        <x:v>replace counting demonstration</x:v>
      </x:c>
      <x:c r="J396" s="70" t="str">
        <x:v>Leave exactly two objects in the bowl.</x:v>
      </x:c>
    </x:row>
    <x:row r="397" ht="64" customHeight="1">
      <x:c r="A397" s="68" t="str">
        <x:v>Not collected</x:v>
      </x:c>
      <x:c r="B397" s="69" t="n">
        <x:v>395</x:v>
      </x:c>
      <x:c r="C397" s="69" t="n">
        <x:v>965</x:v>
      </x:c>
      <x:c r="D397" s="69" t="str">
        <x:v>Counting</x:v>
      </x:c>
      <x:c r="E397" s="69" t="str">
        <x:v>Remove the blue pen from the bowl.</x:v>
      </x:c>
      <x:c r="F397" s="69" t="str">
        <x:v>Inside bowl initially (2): blue pen [TARGET], yellow block; On table: airplane toy without propellers, green pencil sharpener; action=remove; expected final count=1.</x:v>
      </x:c>
      <x:c r="G397" s="69" t="str">
        <x:v>blue pen</x:v>
      </x:c>
      <x:c r="H397" s="69" t="str">
        <x:v>Recovery</x:v>
      </x:c>
      <x:c r="I397" s="69" t="str">
        <x:v>replace counting demonstration</x:v>
      </x:c>
      <x:c r="J397" s="70" t="str">
        <x:v>Leave exactly two objects in the bowl.</x:v>
      </x:c>
    </x:row>
    <x:row r="398" ht="64" customHeight="1">
      <x:c r="A398" s="68" t="str">
        <x:v>Not collected</x:v>
      </x:c>
      <x:c r="B398" s="69" t="n">
        <x:v>396</x:v>
      </x:c>
      <x:c r="C398" s="69" t="n">
        <x:v>966</x:v>
      </x:c>
      <x:c r="D398" s="69" t="str">
        <x:v>Counting</x:v>
      </x:c>
      <x:c r="E398" s="69" t="str">
        <x:v>Take the green pencil sharpener out of the bowl.</x:v>
      </x:c>
      <x:c r="F398" s="69" t="str">
        <x:v>Inside bowl initially (2): green pencil sharpener [TARGET], yellow block; On table: airplane toy without propellers, blue pen; action=remove; expected final count=1.</x:v>
      </x:c>
      <x:c r="G398" s="69" t="str">
        <x:v>green pencil sharpener</x:v>
      </x:c>
      <x:c r="H398" s="69" t="str">
        <x:v>Home</x:v>
      </x:c>
      <x:c r="I398" s="69" t="str">
        <x:v>replace counting demonstration</x:v>
      </x:c>
      <x:c r="J398" s="70" t="str">
        <x:v>Pick up the airplane toy without propellers and place it in the bowl.</x:v>
      </x:c>
    </x:row>
    <x:row r="399" ht="64" customHeight="1">
      <x:c r="A399" s="68" t="str">
        <x:v>Not collected</x:v>
      </x:c>
      <x:c r="B399" s="69" t="n">
        <x:v>397</x:v>
      </x:c>
      <x:c r="C399" s="69" t="n">
        <x:v>967</x:v>
      </x:c>
      <x:c r="D399" s="69" t="str">
        <x:v>Counting</x:v>
      </x:c>
      <x:c r="E399" s="69" t="str">
        <x:v>Move the yellow block from the bowl to the table.</x:v>
      </x:c>
      <x:c r="F399" s="69" t="str">
        <x:v>Inside bowl initially (2): yellow block [TARGET], green pencil sharpener; On table: airplane toy without propellers, blue pen; action=remove; expected final count=1.</x:v>
      </x:c>
      <x:c r="G399" s="69" t="str">
        <x:v>yellow block</x:v>
      </x:c>
      <x:c r="H399" s="69" t="str">
        <x:v>Home</x:v>
      </x:c>
      <x:c r="I399" s="69" t="str">
        <x:v>replace counting demonstration</x:v>
      </x:c>
      <x:c r="J399" s="70" t="str">
        <x:v>Pick up the airplane toy without propellers and place it in the bowl.</x:v>
      </x:c>
    </x:row>
    <x:row r="400" ht="64" customHeight="1">
      <x:c r="A400" s="68" t="str">
        <x:v>Not collected</x:v>
      </x:c>
      <x:c r="B400" s="69" t="n">
        <x:v>398</x:v>
      </x:c>
      <x:c r="C400" s="69" t="n">
        <x:v>968</x:v>
      </x:c>
      <x:c r="D400" s="69" t="str">
        <x:v>Counting</x:v>
      </x:c>
      <x:c r="E400" s="69" t="str">
        <x:v>Remove the airplane toy without propellers from the bowl.</x:v>
      </x:c>
      <x:c r="F400" s="69" t="str">
        <x:v>Inside bowl initially (2): airplane toy without propellers [TARGET], blue pen; On table: green pencil sharpener, yellow block; action=remove; expected final count=1.</x:v>
      </x:c>
      <x:c r="G400" s="69" t="str">
        <x:v>airplane toy without propellers</x:v>
      </x:c>
      <x:c r="H400" s="69" t="str">
        <x:v>Home</x:v>
      </x:c>
      <x:c r="I400" s="69" t="str">
        <x:v>replace counting demonstration</x:v>
      </x:c>
      <x:c r="J400" s="70" t="str">
        <x:v>Move the airplane toy without propellers into the bowl.</x:v>
      </x:c>
    </x:row>
    <x:row r="401" ht="64" customHeight="1">
      <x:c r="A401" s="68" t="str">
        <x:v>Not collected</x:v>
      </x:c>
      <x:c r="B401" s="69" t="n">
        <x:v>399</x:v>
      </x:c>
      <x:c r="C401" s="69" t="n">
        <x:v>969</x:v>
      </x:c>
      <x:c r="D401" s="69" t="str">
        <x:v>Counting</x:v>
      </x:c>
      <x:c r="E401" s="69" t="str">
        <x:v>Take the blue pen out of the bowl.</x:v>
      </x:c>
      <x:c r="F401" s="69" t="str">
        <x:v>Inside bowl initially (2): blue pen [TARGET], airplane toy without propellers; On table: green pencil sharpener, yellow block; action=remove; expected final count=1.</x:v>
      </x:c>
      <x:c r="G401" s="69" t="str">
        <x:v>blue pen</x:v>
      </x:c>
      <x:c r="H401" s="69" t="str">
        <x:v>Home</x:v>
      </x:c>
      <x:c r="I401" s="69" t="str">
        <x:v>replace counting demonstration</x:v>
      </x:c>
      <x:c r="J401" s="70" t="str">
        <x:v>Move the airplane toy without propellers into the bowl.</x:v>
      </x:c>
    </x:row>
    <x:row r="402" ht="64" customHeight="1">
      <x:c r="A402" s="68" t="str">
        <x:v>Not collected</x:v>
      </x:c>
      <x:c r="B402" s="69" t="n">
        <x:v>400</x:v>
      </x:c>
      <x:c r="C402" s="69" t="n">
        <x:v>970</x:v>
      </x:c>
      <x:c r="D402" s="69" t="str">
        <x:v>Counting</x:v>
      </x:c>
      <x:c r="E402" s="69" t="str">
        <x:v>Move the green pencil sharpener from the bowl to the table.</x:v>
      </x:c>
      <x:c r="F402" s="69" t="str">
        <x:v>Inside bowl initially (2): green pencil sharpener [TARGET], airplane toy without propellers; On table: blue pen, yellow block; action=remove; expected final count=1.</x:v>
      </x:c>
      <x:c r="G402" s="69" t="str">
        <x:v>green pencil sharpener</x:v>
      </x:c>
      <x:c r="H402" s="69" t="str">
        <x:v>Post-Drop</x:v>
      </x:c>
      <x:c r="I402" s="69" t="str">
        <x:v>replace counting demonstration</x:v>
      </x:c>
      <x:c r="J402" s="70" t="str">
        <x:v>Put the airplane toy without propellers in the bowl.</x:v>
      </x:c>
    </x:row>
    <x:row r="403" ht="64" customHeight="1">
      <x:c r="A403" s="68" t="str">
        <x:v>Not collected</x:v>
      </x:c>
      <x:c r="B403" s="69" t="n">
        <x:v>401</x:v>
      </x:c>
      <x:c r="C403" s="69" t="n">
        <x:v>971</x:v>
      </x:c>
      <x:c r="D403" s="69" t="str">
        <x:v>Counting</x:v>
      </x:c>
      <x:c r="E403" s="69" t="str">
        <x:v>Remove the yellow block from the bowl.</x:v>
      </x:c>
      <x:c r="F403" s="69" t="str">
        <x:v>Inside bowl initially (2): yellow block [TARGET], airplane toy without propellers; On table: blue pen, green pencil sharpener; action=remove; expected final count=1.</x:v>
      </x:c>
      <x:c r="G403" s="69" t="str">
        <x:v>yellow block</x:v>
      </x:c>
      <x:c r="H403" s="69" t="str">
        <x:v>Post-Drop</x:v>
      </x:c>
      <x:c r="I403" s="69" t="str">
        <x:v>replace counting demonstration</x:v>
      </x:c>
      <x:c r="J403" s="70" t="str">
        <x:v>Pick up the airplane toy without propellers and place it in the bowl.</x:v>
      </x:c>
    </x:row>
    <x:row r="404" ht="64" customHeight="1">
      <x:c r="A404" s="68" t="str">
        <x:v>Not collected</x:v>
      </x:c>
      <x:c r="B404" s="69" t="n">
        <x:v>402</x:v>
      </x:c>
      <x:c r="C404" s="69" t="n">
        <x:v>972</x:v>
      </x:c>
      <x:c r="D404" s="69" t="str">
        <x:v>Counting</x:v>
      </x:c>
      <x:c r="E404" s="69" t="str">
        <x:v>Take the airplane toy without propellers out of the bowl.</x:v>
      </x:c>
      <x:c r="F404" s="69" t="str">
        <x:v>Inside bowl initially (2): airplane toy without propellers [TARGET], green pencil sharpener; On table: yellow block, blue pen; action=remove; expected final count=1.</x:v>
      </x:c>
      <x:c r="G404" s="69" t="str">
        <x:v>airplane toy without propellers</x:v>
      </x:c>
      <x:c r="H404" s="69" t="str">
        <x:v>Post-Drop</x:v>
      </x:c>
      <x:c r="I404" s="69" t="str">
        <x:v>replace counting demonstration</x:v>
      </x:c>
      <x:c r="J404" s="70" t="str">
        <x:v>Move the airplane toy without propellers into the bowl.</x:v>
      </x:c>
    </x:row>
    <x:row r="405" ht="64" customHeight="1">
      <x:c r="A405" s="68" t="str">
        <x:v>Not collected</x:v>
      </x:c>
      <x:c r="B405" s="69" t="n">
        <x:v>403</x:v>
      </x:c>
      <x:c r="C405" s="69" t="n">
        <x:v>973</x:v>
      </x:c>
      <x:c r="D405" s="69" t="str">
        <x:v>Counting</x:v>
      </x:c>
      <x:c r="E405" s="69" t="str">
        <x:v>Move the blue pen from the bowl to the table.</x:v>
      </x:c>
      <x:c r="F405" s="69" t="str">
        <x:v>Inside bowl initially (2): blue pen [TARGET], green pencil sharpener; On table: yellow block, airplane toy without propellers; action=remove; expected final count=1.</x:v>
      </x:c>
      <x:c r="G405" s="69" t="str">
        <x:v>blue pen</x:v>
      </x:c>
      <x:c r="H405" s="69" t="str">
        <x:v>Post-Drop</x:v>
      </x:c>
      <x:c r="I405" s="69" t="str">
        <x:v>replace counting demonstration</x:v>
      </x:c>
      <x:c r="J405" s="70" t="str">
        <x:v>Pick up the airplane toy without propellers and place it in the bowl.</x:v>
      </x:c>
    </x:row>
    <x:row r="406" ht="64" customHeight="1">
      <x:c r="A406" s="68" t="str">
        <x:v>Not collected</x:v>
      </x:c>
      <x:c r="B406" s="69" t="n">
        <x:v>404</x:v>
      </x:c>
      <x:c r="C406" s="69" t="n">
        <x:v>974</x:v>
      </x:c>
      <x:c r="D406" s="69" t="str">
        <x:v>Counting</x:v>
      </x:c>
      <x:c r="E406" s="69" t="str">
        <x:v>Remove the green pencil sharpener from the bowl.</x:v>
      </x:c>
      <x:c r="F406" s="69" t="str">
        <x:v>Inside bowl initially (2): green pencil sharpener [TARGET], blue pen; On table: yellow block, airplane toy without propellers; action=remove; expected final count=1.</x:v>
      </x:c>
      <x:c r="G406" s="69" t="str">
        <x:v>green pencil sharpener</x:v>
      </x:c>
      <x:c r="H406" s="69" t="str">
        <x:v>Recovery</x:v>
      </x:c>
      <x:c r="I406" s="69" t="str">
        <x:v>replace counting demonstration</x:v>
      </x:c>
      <x:c r="J406" s="70" t="str">
        <x:v>Put the airplane toy without propellers in the bowl.</x:v>
      </x:c>
    </x:row>
    <x:row r="407" ht="64" customHeight="1">
      <x:c r="A407" s="68" t="str">
        <x:v>Not collected</x:v>
      </x:c>
      <x:c r="B407" s="69" t="n">
        <x:v>405</x:v>
      </x:c>
      <x:c r="C407" s="69" t="n">
        <x:v>975</x:v>
      </x:c>
      <x:c r="D407" s="69" t="str">
        <x:v>Counting</x:v>
      </x:c>
      <x:c r="E407" s="69" t="str">
        <x:v>Take the yellow block out of the bowl.</x:v>
      </x:c>
      <x:c r="F407" s="69" t="str">
        <x:v>Inside bowl initially (2): yellow block [TARGET], blue pen; On table: green pencil sharpener, airplane toy without propellers; action=remove; expected final count=1.</x:v>
      </x:c>
      <x:c r="G407" s="69" t="str">
        <x:v>yellow block</x:v>
      </x:c>
      <x:c r="H407" s="69" t="str">
        <x:v>Home</x:v>
      </x:c>
      <x:c r="I407" s="69" t="str">
        <x:v>replace counting demonstration</x:v>
      </x:c>
      <x:c r="J407" s="70" t="str">
        <x:v>Leave no objects in the bowl.</x:v>
      </x:c>
    </x:row>
    <x:row r="408" ht="64" customHeight="1">
      <x:c r="A408" s="68" t="str">
        <x:v>Not collected</x:v>
      </x:c>
      <x:c r="B408" s="69" t="n">
        <x:v>406</x:v>
      </x:c>
      <x:c r="C408" s="69" t="n">
        <x:v>976</x:v>
      </x:c>
      <x:c r="D408" s="69" t="str">
        <x:v>Counting</x:v>
      </x:c>
      <x:c r="E408" s="69" t="str">
        <x:v>Move the airplane toy without propellers from the bowl to the table.</x:v>
      </x:c>
      <x:c r="F408" s="69" t="str">
        <x:v>Inside bowl initially (2): airplane toy without propellers [TARGET], yellow block; On table: blue pen, green pencil sharpener; action=remove; expected final count=1.</x:v>
      </x:c>
      <x:c r="G408" s="69" t="str">
        <x:v>airplane toy without propellers</x:v>
      </x:c>
      <x:c r="H408" s="69" t="str">
        <x:v>Home</x:v>
      </x:c>
      <x:c r="I408" s="69" t="str">
        <x:v>replace counting demonstration</x:v>
      </x:c>
      <x:c r="J408" s="70" t="str">
        <x:v>Make the bowl contain exactly zero objects.</x:v>
      </x:c>
    </x:row>
    <x:row r="409" ht="64" customHeight="1">
      <x:c r="A409" s="68" t="str">
        <x:v>Not collected</x:v>
      </x:c>
      <x:c r="B409" s="69" t="n">
        <x:v>407</x:v>
      </x:c>
      <x:c r="C409" s="69" t="n">
        <x:v>977</x:v>
      </x:c>
      <x:c r="D409" s="69" t="str">
        <x:v>Counting</x:v>
      </x:c>
      <x:c r="E409" s="69" t="str">
        <x:v>Remove the blue pen from the bowl.</x:v>
      </x:c>
      <x:c r="F409" s="69" t="str">
        <x:v>Inside bowl initially (2): blue pen [TARGET], yellow block; On table: airplane toy without propellers, green pencil sharpener; action=remove; expected final count=1.</x:v>
      </x:c>
      <x:c r="G409" s="69" t="str">
        <x:v>blue pen</x:v>
      </x:c>
      <x:c r="H409" s="69" t="str">
        <x:v>Post-Drop</x:v>
      </x:c>
      <x:c r="I409" s="69" t="str">
        <x:v>replace counting demonstration</x:v>
      </x:c>
      <x:c r="J409" s="70" t="str">
        <x:v>Adjust the bowl so that it contains zero objects.</x:v>
      </x:c>
    </x:row>
    <x:row r="410" ht="64" customHeight="1">
      <x:c r="A410" s="68" t="str">
        <x:v>Not collected</x:v>
      </x:c>
      <x:c r="B410" s="69" t="n">
        <x:v>408</x:v>
      </x:c>
      <x:c r="C410" s="69" t="n">
        <x:v>978</x:v>
      </x:c>
      <x:c r="D410" s="69" t="str">
        <x:v>Counting</x:v>
      </x:c>
      <x:c r="E410" s="69" t="str">
        <x:v>Take the green pencil sharpener out of the bowl.</x:v>
      </x:c>
      <x:c r="F410" s="69" t="str">
        <x:v>Inside bowl initially (2): green pencil sharpener [TARGET], yellow block; On table: airplane toy without propellers, blue pen; action=remove; expected final count=1.</x:v>
      </x:c>
      <x:c r="G410" s="69" t="str">
        <x:v>green pencil sharpener</x:v>
      </x:c>
      <x:c r="H410" s="69" t="str">
        <x:v>Post-Drop</x:v>
      </x:c>
      <x:c r="I410" s="69" t="str">
        <x:v>replace counting demonstration</x:v>
      </x:c>
      <x:c r="J410" s="70" t="str">
        <x:v>Leave no objects in the bowl.</x:v>
      </x:c>
    </x:row>
    <x:row r="411" ht="64" customHeight="1">
      <x:c r="A411" s="68" t="str">
        <x:v>Not collected</x:v>
      </x:c>
      <x:c r="B411" s="69" t="n">
        <x:v>409</x:v>
      </x:c>
      <x:c r="C411" s="69" t="n">
        <x:v>979</x:v>
      </x:c>
      <x:c r="D411" s="69" t="str">
        <x:v>Counting</x:v>
      </x:c>
      <x:c r="E411" s="69" t="str">
        <x:v>Move the yellow block from the bowl to the table.</x:v>
      </x:c>
      <x:c r="F411" s="69" t="str">
        <x:v>Inside bowl initially (2): yellow block [TARGET], green pencil sharpener; On table: airplane toy without propellers, blue pen; action=remove; expected final count=1.</x:v>
      </x:c>
      <x:c r="G411" s="69" t="str">
        <x:v>yellow block</x:v>
      </x:c>
      <x:c r="H411" s="69" t="str">
        <x:v>Recovery</x:v>
      </x:c>
      <x:c r="I411" s="69" t="str">
        <x:v>replace counting demonstration</x:v>
      </x:c>
      <x:c r="J411" s="70" t="str">
        <x:v>Make the bowl contain exactly zero objects.</x:v>
      </x:c>
    </x:row>
    <x:row r="412" ht="64" customHeight="1">
      <x:c r="A412" s="68" t="str">
        <x:v>Not collected</x:v>
      </x:c>
      <x:c r="B412" s="69" t="n">
        <x:v>410</x:v>
      </x:c>
      <x:c r="C412" s="69" t="n">
        <x:v>980</x:v>
      </x:c>
      <x:c r="D412" s="69" t="str">
        <x:v>Counting</x:v>
      </x:c>
      <x:c r="E412" s="69" t="str">
        <x:v>Move the airplane toy without propellers into the bowl.</x:v>
      </x:c>
      <x:c r="F412" s="69" t="str">
        <x:v>Inside bowl initially (2): blue pen, green pencil sharpener; On table: airplane toy without propellers [TARGET], yellow block; action=add; expected final count=3.</x:v>
      </x:c>
      <x:c r="G412" s="69" t="str">
        <x:v>airplane toy without propellers</x:v>
      </x:c>
      <x:c r="H412" s="69" t="str">
        <x:v>Recovery</x:v>
      </x:c>
      <x:c r="I412" s="69" t="str">
        <x:v>replace counting demonstration</x:v>
      </x:c>
      <x:c r="J412" s="70" t="str">
        <x:v>Leave no objects in the bowl.</x:v>
      </x:c>
    </x:row>
    <x:row r="413" ht="64" customHeight="1">
      <x:c r="A413" s="68" t="str">
        <x:v>Not collected</x:v>
      </x:c>
      <x:c r="B413" s="69" t="n">
        <x:v>411</x:v>
      </x:c>
      <x:c r="C413" s="69" t="n">
        <x:v>981</x:v>
      </x:c>
      <x:c r="D413" s="69" t="str">
        <x:v>Counting</x:v>
      </x:c>
      <x:c r="E413" s="69" t="str">
        <x:v>Put the blue pen in the bowl.</x:v>
      </x:c>
      <x:c r="F413" s="69" t="str">
        <x:v>Inside bowl initially (2): airplane toy without propellers, green pencil sharpener; On table: blue pen [TARGET], yellow block; action=add; expected final count=3.</x:v>
      </x:c>
      <x:c r="G413" s="69" t="str">
        <x:v>blue pen</x:v>
      </x:c>
      <x:c r="H413" s="69" t="str">
        <x:v>Home</x:v>
      </x:c>
      <x:c r="I413" s="69" t="str">
        <x:v>replace counting demonstration</x:v>
      </x:c>
      <x:c r="J413" s="70" t="str">
        <x:v>Remove the airplane toy without propellers from the bowl.</x:v>
      </x:c>
    </x:row>
    <x:row r="414" ht="64" customHeight="1">
      <x:c r="A414" s="68" t="str">
        <x:v>Not collected</x:v>
      </x:c>
      <x:c r="B414" s="69" t="n">
        <x:v>412</x:v>
      </x:c>
      <x:c r="C414" s="69" t="n">
        <x:v>982</x:v>
      </x:c>
      <x:c r="D414" s="69" t="str">
        <x:v>Counting</x:v>
      </x:c>
      <x:c r="E414" s="69" t="str">
        <x:v>Pick up the green pencil sharpener and place it in the bowl.</x:v>
      </x:c>
      <x:c r="F414" s="69" t="str">
        <x:v>Inside bowl initially (2): airplane toy without propellers, blue pen; On table: green pencil sharpener [TARGET], yellow block; action=add; expected final count=3.</x:v>
      </x:c>
      <x:c r="G414" s="69" t="str">
        <x:v>green pencil sharpener</x:v>
      </x:c>
      <x:c r="H414" s="69" t="str">
        <x:v>Home</x:v>
      </x:c>
      <x:c r="I414" s="69" t="str">
        <x:v>replace counting demonstration</x:v>
      </x:c>
      <x:c r="J414" s="70" t="str">
        <x:v>Take the airplane toy without propellers out of the bowl.</x:v>
      </x:c>
    </x:row>
    <x:row r="415" ht="64" customHeight="1">
      <x:c r="A415" s="68" t="str">
        <x:v>Not collected</x:v>
      </x:c>
      <x:c r="B415" s="69" t="n">
        <x:v>413</x:v>
      </x:c>
      <x:c r="C415" s="69" t="n">
        <x:v>983</x:v>
      </x:c>
      <x:c r="D415" s="69" t="str">
        <x:v>Counting</x:v>
      </x:c>
      <x:c r="E415" s="69" t="str">
        <x:v>Move the yellow block into the bowl.</x:v>
      </x:c>
      <x:c r="F415" s="69" t="str">
        <x:v>Inside bowl initially (2): airplane toy without propellers, blue pen; On table: yellow block [TARGET], green pencil sharpener; action=add; expected final count=3.</x:v>
      </x:c>
      <x:c r="G415" s="69" t="str">
        <x:v>yellow block</x:v>
      </x:c>
      <x:c r="H415" s="69" t="str">
        <x:v>Home</x:v>
      </x:c>
      <x:c r="I415" s="69" t="str">
        <x:v>replace counting demonstration</x:v>
      </x:c>
      <x:c r="J415" s="70" t="str">
        <x:v>Take the airplane toy without propellers out of the bowl.</x:v>
      </x:c>
    </x:row>
    <x:row r="416" ht="64" customHeight="1">
      <x:c r="A416" s="68" t="str">
        <x:v>Not collected</x:v>
      </x:c>
      <x:c r="B416" s="69" t="n">
        <x:v>414</x:v>
      </x:c>
      <x:c r="C416" s="69" t="n">
        <x:v>984</x:v>
      </x:c>
      <x:c r="D416" s="69" t="str">
        <x:v>Counting</x:v>
      </x:c>
      <x:c r="E416" s="69" t="str">
        <x:v>Put the airplane toy without propellers in the bowl.</x:v>
      </x:c>
      <x:c r="F416" s="69" t="str">
        <x:v>Inside bowl initially (2): green pencil sharpener, yellow block; On table: airplane toy without propellers [TARGET], blue pen; action=add; expected final count=3.</x:v>
      </x:c>
      <x:c r="G416" s="69" t="str">
        <x:v>airplane toy without propellers</x:v>
      </x:c>
      <x:c r="H416" s="69" t="str">
        <x:v>Post-Drop</x:v>
      </x:c>
      <x:c r="I416" s="69" t="str">
        <x:v>replace counting demonstration</x:v>
      </x:c>
      <x:c r="J416" s="70" t="str">
        <x:v>Take the airplane toy without propellers out of the bowl.</x:v>
      </x:c>
    </x:row>
    <x:row r="417" ht="64" customHeight="1">
      <x:c r="A417" s="68" t="str">
        <x:v>Not collected</x:v>
      </x:c>
      <x:c r="B417" s="69" t="n">
        <x:v>415</x:v>
      </x:c>
      <x:c r="C417" s="69" t="n">
        <x:v>985</x:v>
      </x:c>
      <x:c r="D417" s="69" t="str">
        <x:v>Counting</x:v>
      </x:c>
      <x:c r="E417" s="69" t="str">
        <x:v>Pick up the blue pen and place it in the bowl.</x:v>
      </x:c>
      <x:c r="F417" s="69" t="str">
        <x:v>Inside bowl initially (2): green pencil sharpener, yellow block; On table: blue pen [TARGET], airplane toy without propellers; action=add; expected final count=3.</x:v>
      </x:c>
      <x:c r="G417" s="69" t="str">
        <x:v>blue pen</x:v>
      </x:c>
      <x:c r="H417" s="69" t="str">
        <x:v>Post-Drop</x:v>
      </x:c>
      <x:c r="I417" s="69" t="str">
        <x:v>replace counting demonstration</x:v>
      </x:c>
      <x:c r="J417" s="70" t="str">
        <x:v>Move the airplane toy without propellers from the bowl to the table.</x:v>
      </x:c>
    </x:row>
    <x:row r="418" ht="64" customHeight="1">
      <x:c r="A418" s="68" t="str">
        <x:v>Not collected</x:v>
      </x:c>
      <x:c r="B418" s="69" t="n">
        <x:v>416</x:v>
      </x:c>
      <x:c r="C418" s="69" t="n">
        <x:v>986</x:v>
      </x:c>
      <x:c r="D418" s="69" t="str">
        <x:v>Counting</x:v>
      </x:c>
      <x:c r="E418" s="69" t="str">
        <x:v>Move the green pencil sharpener into the bowl.</x:v>
      </x:c>
      <x:c r="F418" s="69" t="str">
        <x:v>Inside bowl initially (2): blue pen, yellow block; On table: green pencil sharpener [TARGET], airplane toy without propellers; action=add; expected final count=3.</x:v>
      </x:c>
      <x:c r="G418" s="69" t="str">
        <x:v>green pencil sharpener</x:v>
      </x:c>
      <x:c r="H418" s="69" t="str">
        <x:v>Recovery</x:v>
      </x:c>
      <x:c r="I418" s="69" t="str">
        <x:v>replace counting demonstration</x:v>
      </x:c>
      <x:c r="J418" s="70" t="str">
        <x:v>Remove the airplane toy without propellers from the bowl.</x:v>
      </x:c>
    </x:row>
    <x:row r="419" ht="64" customHeight="1">
      <x:c r="A419" s="68" t="str">
        <x:v>Not collected</x:v>
      </x:c>
      <x:c r="B419" s="69" t="n">
        <x:v>417</x:v>
      </x:c>
      <x:c r="C419" s="69" t="n">
        <x:v>987</x:v>
      </x:c>
      <x:c r="D419" s="69" t="str">
        <x:v>Counting</x:v>
      </x:c>
      <x:c r="E419" s="69" t="str">
        <x:v>Put the yellow block in the bowl.</x:v>
      </x:c>
      <x:c r="F419" s="69" t="str">
        <x:v>Inside bowl initially (2): blue pen, green pencil sharpener; On table: yellow block [TARGET], airplane toy without propellers; action=add; expected final count=3.</x:v>
      </x:c>
      <x:c r="G419" s="69" t="str">
        <x:v>yellow block</x:v>
      </x:c>
      <x:c r="H419" s="69" t="str">
        <x:v>Home</x:v>
      </x:c>
      <x:c r="I419" s="69" t="str">
        <x:v>replace counting demonstration</x:v>
      </x:c>
      <x:c r="J419" s="70" t="str">
        <x:v>Adjust the bowl so that it contains two objects.</x:v>
      </x:c>
    </x:row>
    <x:row r="420" ht="64" customHeight="1">
      <x:c r="A420" s="68" t="str">
        <x:v>Not collected</x:v>
      </x:c>
      <x:c r="B420" s="69" t="n">
        <x:v>418</x:v>
      </x:c>
      <x:c r="C420" s="69" t="n">
        <x:v>988</x:v>
      </x:c>
      <x:c r="D420" s="69" t="str">
        <x:v>Counting</x:v>
      </x:c>
      <x:c r="E420" s="69" t="str">
        <x:v>Pick up the airplane toy without propellers and place it in the bowl.</x:v>
      </x:c>
      <x:c r="F420" s="69" t="str">
        <x:v>Inside bowl initially (2): yellow block, blue pen; On table: airplane toy without propellers [TARGET], green pencil sharpener; action=add; expected final count=3.</x:v>
      </x:c>
      <x:c r="G420" s="69" t="str">
        <x:v>airplane toy without propellers</x:v>
      </x:c>
      <x:c r="H420" s="69" t="str">
        <x:v>Home</x:v>
      </x:c>
      <x:c r="I420" s="69" t="str">
        <x:v>replace counting demonstration</x:v>
      </x:c>
      <x:c r="J420" s="70" t="str">
        <x:v>Adjust the bowl so that it contains two objects.</x:v>
      </x:c>
    </x:row>
    <x:row r="421" ht="64" customHeight="1">
      <x:c r="A421" s="68" t="str">
        <x:v>Not collected</x:v>
      </x:c>
      <x:c r="B421" s="69" t="n">
        <x:v>419</x:v>
      </x:c>
      <x:c r="C421" s="69" t="n">
        <x:v>989</x:v>
      </x:c>
      <x:c r="D421" s="69" t="str">
        <x:v>Counting</x:v>
      </x:c>
      <x:c r="E421" s="69" t="str">
        <x:v>Move the blue pen into the bowl.</x:v>
      </x:c>
      <x:c r="F421" s="69" t="str">
        <x:v>Inside bowl initially (2): yellow block, airplane toy without propellers; On table: blue pen [TARGET], green pencil sharpener; action=add; expected final count=3.</x:v>
      </x:c>
      <x:c r="G421" s="69" t="str">
        <x:v>blue pen</x:v>
      </x:c>
      <x:c r="H421" s="69" t="str">
        <x:v>Post-Drop</x:v>
      </x:c>
      <x:c r="I421" s="69" t="str">
        <x:v>replace counting demonstration</x:v>
      </x:c>
      <x:c r="J421" s="70" t="str">
        <x:v>Adjust the bowl so that it contains two objects.</x:v>
      </x:c>
    </x:row>
    <x:row r="422" ht="64" customHeight="1">
      <x:c r="A422" s="68" t="str">
        <x:v>Not collected</x:v>
      </x:c>
      <x:c r="B422" s="69" t="n">
        <x:v>420</x:v>
      </x:c>
      <x:c r="C422" s="69" t="n">
        <x:v>990</x:v>
      </x:c>
      <x:c r="D422" s="69" t="str">
        <x:v>Counting</x:v>
      </x:c>
      <x:c r="E422" s="69" t="str">
        <x:v>Put the green pencil sharpener in the bowl.</x:v>
      </x:c>
      <x:c r="F422" s="69" t="str">
        <x:v>Inside bowl initially (2): yellow block, airplane toy without propellers; On table: green pencil sharpener [TARGET], blue pen; action=add; expected final count=3.</x:v>
      </x:c>
      <x:c r="G422" s="69" t="str">
        <x:v>green pencil sharpener</x:v>
      </x:c>
      <x:c r="H422" s="69" t="str">
        <x:v>Post-Drop</x:v>
      </x:c>
      <x:c r="I422" s="69" t="str">
        <x:v>replace counting demonstration</x:v>
      </x:c>
      <x:c r="J422" s="70" t="str">
        <x:v>Make the bowl contain exactly two objects.</x:v>
      </x:c>
    </x:row>
    <x:row r="423" ht="64" customHeight="1">
      <x:c r="A423" s="68" t="str">
        <x:v>Not collected</x:v>
      </x:c>
      <x:c r="B423" s="69" t="n">
        <x:v>421</x:v>
      </x:c>
      <x:c r="C423" s="69" t="n">
        <x:v>991</x:v>
      </x:c>
      <x:c r="D423" s="69" t="str">
        <x:v>Counting</x:v>
      </x:c>
      <x:c r="E423" s="69" t="str">
        <x:v>Pick up the yellow block and place it in the bowl.</x:v>
      </x:c>
      <x:c r="F423" s="69" t="str">
        <x:v>Inside bowl initially (2): green pencil sharpener, airplane toy without propellers; On table: yellow block [TARGET], blue pen; action=add; expected final count=3.</x:v>
      </x:c>
      <x:c r="G423" s="69" t="str">
        <x:v>yellow block</x:v>
      </x:c>
      <x:c r="H423" s="69" t="str">
        <x:v>Post-Drop</x:v>
      </x:c>
      <x:c r="I423" s="69" t="str">
        <x:v>replace counting demonstration</x:v>
      </x:c>
      <x:c r="J423" s="70" t="str">
        <x:v>Leave exactly two objects in the bowl.</x:v>
      </x:c>
    </x:row>
    <x:row r="424" ht="64" customHeight="1">
      <x:c r="A424" s="68" t="str">
        <x:v>Not collected</x:v>
      </x:c>
      <x:c r="B424" s="69" t="n">
        <x:v>422</x:v>
      </x:c>
      <x:c r="C424" s="69" t="n">
        <x:v>992</x:v>
      </x:c>
      <x:c r="D424" s="69" t="str">
        <x:v>Counting</x:v>
      </x:c>
      <x:c r="E424" s="69" t="str">
        <x:v>Move the airplane toy without propellers into the bowl.</x:v>
      </x:c>
      <x:c r="F424" s="69" t="str">
        <x:v>Inside bowl initially (2): blue pen, green pencil sharpener; On table: airplane toy without propellers [TARGET], yellow block; action=add; expected final count=3.</x:v>
      </x:c>
      <x:c r="G424" s="69" t="str">
        <x:v>airplane toy without propellers</x:v>
      </x:c>
      <x:c r="H424" s="69" t="str">
        <x:v>Recovery</x:v>
      </x:c>
      <x:c r="I424" s="69" t="str">
        <x:v>replace counting demonstration</x:v>
      </x:c>
      <x:c r="J424" s="70" t="str">
        <x:v>Adjust the bowl so that it contains two objects.</x:v>
      </x:c>
    </x:row>
    <x:row r="425" ht="64" customHeight="1">
      <x:c r="A425" s="68" t="str">
        <x:v>Not collected</x:v>
      </x:c>
      <x:c r="B425" s="69" t="n">
        <x:v>423</x:v>
      </x:c>
      <x:c r="C425" s="69" t="n">
        <x:v>993</x:v>
      </x:c>
      <x:c r="D425" s="69" t="str">
        <x:v>Counting</x:v>
      </x:c>
      <x:c r="E425" s="69" t="str">
        <x:v>Put the blue pen in the bowl.</x:v>
      </x:c>
      <x:c r="F425" s="69" t="str">
        <x:v>Inside bowl initially (2): airplane toy without propellers, green pencil sharpener; On table: blue pen [TARGET], yellow block; action=add; expected final count=3.</x:v>
      </x:c>
      <x:c r="G425" s="69" t="str">
        <x:v>blue pen</x:v>
      </x:c>
      <x:c r="H425" s="69" t="str">
        <x:v>Home</x:v>
      </x:c>
      <x:c r="I425" s="69" t="str">
        <x:v>replace counting demonstration</x:v>
      </x:c>
      <x:c r="J425" s="70" t="str">
        <x:v>Remove the airplane toy without propellers from the bowl.</x:v>
      </x:c>
    </x:row>
    <x:row r="426" ht="64" customHeight="1">
      <x:c r="A426" s="68" t="str">
        <x:v>Not collected</x:v>
      </x:c>
      <x:c r="B426" s="69" t="n">
        <x:v>424</x:v>
      </x:c>
      <x:c r="C426" s="69" t="n">
        <x:v>994</x:v>
      </x:c>
      <x:c r="D426" s="69" t="str">
        <x:v>Counting</x:v>
      </x:c>
      <x:c r="E426" s="69" t="str">
        <x:v>Pick up the green pencil sharpener and place it in the bowl.</x:v>
      </x:c>
      <x:c r="F426" s="69" t="str">
        <x:v>Inside bowl initially (2): airplane toy without propellers, blue pen; On table: green pencil sharpener [TARGET], yellow block; action=add; expected final count=3.</x:v>
      </x:c>
      <x:c r="G426" s="69" t="str">
        <x:v>green pencil sharpener</x:v>
      </x:c>
      <x:c r="H426" s="69" t="str">
        <x:v>Home</x:v>
      </x:c>
      <x:c r="I426" s="69" t="str">
        <x:v>replace counting demonstration</x:v>
      </x:c>
      <x:c r="J426" s="70" t="str">
        <x:v>Take the airplane toy without propellers out of the bowl.</x:v>
      </x:c>
    </x:row>
    <x:row r="427" ht="64" customHeight="1">
      <x:c r="A427" s="68" t="str">
        <x:v>Not collected</x:v>
      </x:c>
      <x:c r="B427" s="69" t="n">
        <x:v>425</x:v>
      </x:c>
      <x:c r="C427" s="69" t="n">
        <x:v>995</x:v>
      </x:c>
      <x:c r="D427" s="69" t="str">
        <x:v>Counting</x:v>
      </x:c>
      <x:c r="E427" s="69" t="str">
        <x:v>Move the yellow block into the bowl.</x:v>
      </x:c>
      <x:c r="F427" s="69" t="str">
        <x:v>Inside bowl initially (2): airplane toy without propellers, blue pen; On table: yellow block [TARGET], green pencil sharpener; action=add; expected final count=3.</x:v>
      </x:c>
      <x:c r="G427" s="69" t="str">
        <x:v>yellow block</x:v>
      </x:c>
      <x:c r="H427" s="69" t="str">
        <x:v>Home</x:v>
      </x:c>
      <x:c r="I427" s="69" t="str">
        <x:v>replace counting demonstration</x:v>
      </x:c>
      <x:c r="J427" s="70" t="str">
        <x:v>Move the airplane toy without propellers from the bowl to the table.</x:v>
      </x:c>
    </x:row>
    <x:row r="428" ht="64" customHeight="1">
      <x:c r="A428" s="68" t="str">
        <x:v>Not collected</x:v>
      </x:c>
      <x:c r="B428" s="69" t="n">
        <x:v>426</x:v>
      </x:c>
      <x:c r="C428" s="69" t="n">
        <x:v>996</x:v>
      </x:c>
      <x:c r="D428" s="69" t="str">
        <x:v>Counting</x:v>
      </x:c>
      <x:c r="E428" s="69" t="str">
        <x:v>Put the airplane toy without propellers in the bowl.</x:v>
      </x:c>
      <x:c r="F428" s="69" t="str">
        <x:v>Inside bowl initially (2): green pencil sharpener, yellow block; On table: airplane toy without propellers [TARGET], blue pen; action=add; expected final count=3.</x:v>
      </x:c>
      <x:c r="G428" s="69" t="str">
        <x:v>airplane toy without propellers</x:v>
      </x:c>
      <x:c r="H428" s="69" t="str">
        <x:v>Post-Drop</x:v>
      </x:c>
      <x:c r="I428" s="69" t="str">
        <x:v>replace counting demonstration</x:v>
      </x:c>
      <x:c r="J428" s="70" t="str">
        <x:v>Take the airplane toy without propellers out of the bowl.</x:v>
      </x:c>
    </x:row>
    <x:row r="429" ht="64" customHeight="1">
      <x:c r="A429" s="68" t="str">
        <x:v>Not collected</x:v>
      </x:c>
      <x:c r="B429" s="69" t="n">
        <x:v>427</x:v>
      </x:c>
      <x:c r="C429" s="69" t="n">
        <x:v>997</x:v>
      </x:c>
      <x:c r="D429" s="69" t="str">
        <x:v>Counting</x:v>
      </x:c>
      <x:c r="E429" s="69" t="str">
        <x:v>Pick up the blue pen and place it in the bowl.</x:v>
      </x:c>
      <x:c r="F429" s="69" t="str">
        <x:v>Inside bowl initially (2): green pencil sharpener, yellow block; On table: blue pen [TARGET], airplane toy without propellers; action=add; expected final count=3.</x:v>
      </x:c>
      <x:c r="G429" s="69" t="str">
        <x:v>blue pen</x:v>
      </x:c>
      <x:c r="H429" s="69" t="str">
        <x:v>Post-Drop</x:v>
      </x:c>
      <x:c r="I429" s="69" t="str">
        <x:v>replace counting demonstration</x:v>
      </x:c>
      <x:c r="J429" s="70" t="str">
        <x:v>Move the airplane toy without propellers from the bowl to the table.</x:v>
      </x:c>
    </x:row>
    <x:row r="430" ht="64" customHeight="1">
      <x:c r="A430" s="68" t="str">
        <x:v>Not collected</x:v>
      </x:c>
      <x:c r="B430" s="69" t="n">
        <x:v>428</x:v>
      </x:c>
      <x:c r="C430" s="69" t="n">
        <x:v>998</x:v>
      </x:c>
      <x:c r="D430" s="69" t="str">
        <x:v>Counting</x:v>
      </x:c>
      <x:c r="E430" s="69" t="str">
        <x:v>Move the green pencil sharpener into the bowl.</x:v>
      </x:c>
      <x:c r="F430" s="69" t="str">
        <x:v>Inside bowl initially (2): blue pen, yellow block; On table: green pencil sharpener [TARGET], airplane toy without propellers; action=add; expected final count=3.</x:v>
      </x:c>
      <x:c r="G430" s="69" t="str">
        <x:v>green pencil sharpener</x:v>
      </x:c>
      <x:c r="H430" s="69" t="str">
        <x:v>Post-Drop</x:v>
      </x:c>
      <x:c r="I430" s="69" t="str">
        <x:v>replace counting demonstration</x:v>
      </x:c>
      <x:c r="J430" s="70" t="str">
        <x:v>Remove the airplane toy without propellers from the bowl.</x:v>
      </x:c>
    </x:row>
    <x:row r="431" ht="64" customHeight="1">
      <x:c r="A431" s="71" t="str">
        <x:v>Not collected</x:v>
      </x:c>
      <x:c r="B431" s="72" t="n">
        <x:v>429</x:v>
      </x:c>
      <x:c r="C431" s="72" t="n">
        <x:v>999</x:v>
      </x:c>
      <x:c r="D431" s="72" t="str">
        <x:v>Counting</x:v>
      </x:c>
      <x:c r="E431" s="72" t="str">
        <x:v>Put the yellow block in the bowl.</x:v>
      </x:c>
      <x:c r="F431" s="72" t="str">
        <x:v>Inside bowl initially (2): blue pen, green pencil sharpener; On table: yellow block [TARGET], airplane toy without propellers; action=add; expected final count=3.</x:v>
      </x:c>
      <x:c r="G431" s="72" t="str">
        <x:v>yellow block</x:v>
      </x:c>
      <x:c r="H431" s="72" t="str">
        <x:v>Recovery</x:v>
      </x:c>
      <x:c r="I431" s="72" t="str">
        <x:v>replace counting demonstration</x:v>
      </x:c>
      <x:c r="J431" s="73" t="str">
        <x:v>Move the airplane toy without propellers from the bowl to the table.</x:v>
      </x:c>
    </x:row>
  </x:sheetData>
  <x:conditionalFormatting sqref="A2:J431">
    <x:cfRule type="expression" dxfId="2" priority="1">
      <x:formula>$A2="Collected"</x:formula>
    </x:cfRule>
    <x:cfRule type="expression" dxfId="3" priority="2">
      <x:formula>$A2="Needs redo"</x:formula>
    </x:cfRule>
  </x:conditionalFormatting>
  <x:dataValidations count="1">
    <x:dataValidation type="list" sqref="A2:A431">
      <x:formula1>"Not collected,Collected,Needs redo"</x:formula1>
    </x:dataValidation>
  </x:dataValidations>
  <x:pageMargins left="0.7" right="0.7" top="0.75" bottom="0.75" header="0.3" footer="0.3"/>
  <x:tableParts count="1">
    <x:tablePart xmlns:r="http://schemas.openxmlformats.org/officeDocument/2006/relationships" r:id="R37dbdb95bd6748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6" hidden="0" customWidth="1"/>
    <x:col min="3" max="3" width="16" hidden="0" customWidth="1"/>
    <x:col min="4" max="4" width="14" hidden="0" customWidth="1"/>
    <x:col min="5" max="5" width="54" hidden="0" customWidth="1"/>
  </x:cols>
  <x:sheetData>
    <x:row r="1" ht="30" customHeight="1">
      <x:c r="A1" s="107" t="str">
        <x:v>Manifest Quality-Control Checks</x:v>
      </x:c>
      <x:c r="B1" s="107" t="str">
        <x:v>Manifest Quality-Control Checks</x:v>
      </x:c>
      <x:c r="C1" s="107" t="str">
        <x:v>Manifest Quality-Control Checks</x:v>
      </x:c>
      <x:c r="D1" s="107" t="str">
        <x:v>Manifest Quality-Control Checks</x:v>
      </x:c>
      <x:c r="E1" s="107" t="str">
        <x:v>Manifest Quality-Control Checks</x:v>
      </x:c>
    </x:row>
    <x:row r="2">
      <x:c r="A2" s="63"/>
      <x:c r="B2" s="63"/>
      <x:c r="C2" s="63"/>
      <x:c r="D2" s="63"/>
      <x:c r="E2" s="63"/>
    </x:row>
    <x:row r="3">
      <x:c r="A3" s="64" t="str">
        <x:v>Check</x:v>
      </x:c>
      <x:c r="B3" s="64" t="str">
        <x:v>Observed</x:v>
      </x:c>
      <x:c r="C3" s="64" t="str">
        <x:v>Expected</x:v>
      </x:c>
      <x:c r="D3" s="64" t="str">
        <x:v>Status</x:v>
      </x:c>
      <x:c r="E3" s="64" t="str">
        <x:v>Notes</x:v>
      </x:c>
    </x:row>
    <x:row r="4">
      <x:c r="A4" s="65" t="str">
        <x:v>Total episodes</x:v>
      </x:c>
      <x:c r="B4" s="66" t="n">
        <x:f>COUNTA('Updated Prompt Manifest'!$A$2:$A$1201)</x:f>
        <x:v>1200</x:v>
      </x:c>
      <x:c r="C4" s="66" t="n">
        <x:v>1200</x:v>
      </x:c>
      <x:c r="D4" s="66" t="str">
        <x:f>IF(B4=C4,"PASS","CHECK")</x:f>
        <x:v>PASS</x:v>
      </x:c>
      <x:c r="E4" s="67" t="str">
        <x:v>One row per episode</x:v>
      </x:c>
    </x:row>
    <x:row r="5">
      <x:c r="A5" s="68" t="str">
        <x:v>State rows retained</x:v>
      </x:c>
      <x:c r="B5" s="69" t="n">
        <x:f>COUNTIF('Updated Prompt Manifest'!$B$2:$B$1201,"State Recognition")</x:f>
        <x:v>200</x:v>
      </x:c>
      <x:c r="C5" s="69" t="n">
        <x:v>200</x:v>
      </x:c>
      <x:c r="D5" s="69" t="str">
        <x:f>IF(B5=C5,"PASS","CHECK")</x:f>
        <x:v>PASS</x:v>
      </x:c>
      <x:c r="E5" s="70" t="str">
        <x:v>Unchanged in this revision</x:v>
      </x:c>
    </x:row>
    <x:row r="6">
      <x:c r="A6" s="68" t="str">
        <x:v>Relational rows</x:v>
      </x:c>
      <x:c r="B6" s="69" t="n">
        <x:f>COUNTIF('Updated Prompt Manifest'!$B$2:$B$1201,"Relational Placement")</x:f>
        <x:v>200</x:v>
      </x:c>
      <x:c r="C6" s="69" t="n">
        <x:v>200</x:v>
      </x:c>
      <x:c r="D6" s="69" t="str">
        <x:f>IF(B6=C6,"PASS","CHECK")</x:f>
        <x:v>PASS</x:v>
      </x:c>
      <x:c r="E6" s="70" t="str">
        <x:v>Current successful mask preserved</x:v>
      </x:c>
    </x:row>
    <x:row r="7">
      <x:c r="A7" s="68" t="str">
        <x:v>Referential explicit furthest</x:v>
      </x:c>
      <x:c r="B7" s="69" t="n">
        <x:f>COUNTIF('Updated Prompt Manifest'!$D$2:$D$1201,"Explicit furthest grounding")</x:f>
        <x:v>30</x:v>
      </x:c>
      <x:c r="C7" s="69" t="n">
        <x:v>30</x:v>
      </x:c>
      <x:c r="D7" s="69" t="str">
        <x:f>IF(B7=C7,"PASS","CHECK")</x:f>
        <x:v>PASS</x:v>
      </x:c>
      <x:c r="E7" s="70" t="str">
        <x:v>Atomic word now explicitly grounded</x:v>
      </x:c>
    </x:row>
    <x:row r="8">
      <x:c r="A8" s="68" t="str">
        <x:v>Referential masked furthest</x:v>
      </x:c>
      <x:c r="B8" s="69" t="n">
        <x:f>COUNTIF('Updated Prompt Manifest'!$D$2:$D$1201,"Masked held-out furthest composition")</x:f>
        <x:v>30</x:v>
      </x:c>
      <x:c r="C8" s="69" t="n">
        <x:v>30</x:v>
      </x:c>
      <x:c r="D8" s="69" t="str">
        <x:f>IF(B8=C8,"PASS","CHECK")</x:f>
        <x:v>PASS</x:v>
      </x:c>
      <x:c r="E8" s="70" t="str">
        <x:v>Evaluation-specific composition remains masked</x:v>
      </x:c>
    </x:row>
    <x:row r="9">
      <x:c r="A9" s="68" t="str">
        <x:v>Ordering explicit ordinal</x:v>
      </x:c>
      <x:c r="B9" s="69" t="n">
        <x:f>COUNTIF('Updated Prompt Manifest'!$D$2:$D$1201,"Explicit ordinal grounding")</x:f>
        <x:v>160</x:v>
      </x:c>
      <x:c r="C9" s="69" t="n">
        <x:v>160</x:v>
      </x:c>
      <x:c r="D9" s="69" t="str">
        <x:f>IF(B9=C9,"PASS","CHECK")</x:f>
        <x:v>PASS</x:v>
      </x:c>
      <x:c r="E9" s="70" t="str">
        <x:v>All four physical positions represented</x:v>
      </x:c>
    </x:row>
    <x:row r="10">
      <x:c r="A10" s="68" t="str">
        <x:v>Ordering direct controls</x:v>
      </x:c>
      <x:c r="B10" s="69" t="n">
        <x:f>COUNTIF('Updated Prompt Manifest'!$D$2:$D$1201,"Direct-object ordering control")</x:f>
        <x:v>40</x:v>
      </x:c>
      <x:c r="C10" s="69" t="n">
        <x:v>40</x:v>
      </x:c>
      <x:c r="D10" s="69" t="str">
        <x:f>IF(B10=C10,"PASS","CHECK")</x:f>
        <x:v>PASS</x:v>
      </x:c>
      <x:c r="E10" s="70" t="str">
        <x:v>Ten per physical position</x:v>
      </x:c>
    </x:row>
    <x:row r="11">
      <x:c r="A11" s="68" t="str">
        <x:v>Ordering four-object scenes</x:v>
      </x:c>
      <x:c r="B11" s="69" t="n">
        <x:f>COUNTIF('Updated Prompt Manifest'!$F$602:$F$801,"ordering_n4")</x:f>
        <x:v>200</x:v>
      </x:c>
      <x:c r="C11" s="69" t="n">
        <x:v>200</x:v>
      </x:c>
      <x:c r="D11" s="69" t="str">
        <x:f>IF(B11=C11,"PASS","CHECK")</x:f>
        <x:v>PASS</x:v>
      </x:c>
      <x:c r="E11" s="70" t="str">
        <x:v>Every ordering scene is explicitly tagged n=4</x:v>
      </x:c>
    </x:row>
    <x:row r="12">
      <x:c r="A12" s="68" t="str">
        <x:v>Ordering first-from-right leakage</x:v>
      </x:c>
      <x:c r="B12" s="69" t="n">
        <x:f>COUNTIF('Updated Prompt Manifest'!$E$602:$E$801,"first from the right; physical target position L4")</x:f>
        <x:v>0</x:v>
      </x:c>
      <x:c r="C12" s="69" t="n">
        <x:v>0</x:v>
      </x:c>
      <x:c r="D12" s="69" t="str">
        <x:f>IF(B12=C12,"PASS","CHECK")</x:f>
        <x:v>PASS</x:v>
      </x:c>
      <x:c r="E12" s="70" t="str">
        <x:v>Exact primary composition absent</x:v>
      </x:c>
    </x:row>
    <x:row r="13">
      <x:c r="A13" s="68" t="str">
        <x:v>Ordering third-from-left leakage</x:v>
      </x:c>
      <x:c r="B13" s="69" t="n">
        <x:f>COUNTIF('Updated Prompt Manifest'!$E$602:$E$801,"third from the left; physical target position L3")</x:f>
        <x:v>0</x:v>
      </x:c>
      <x:c r="C13" s="69" t="n">
        <x:v>0</x:v>
      </x:c>
      <x:c r="D13" s="69" t="str">
        <x:f>IF(B13=C13,"PASS","CHECK")</x:f>
        <x:v>PASS</x:v>
      </x:c>
      <x:c r="E13" s="70" t="str">
        <x:v>Exact primary composition absent</x:v>
      </x:c>
    </x:row>
    <x:row r="14">
      <x:c r="A14" s="68" t="str">
        <x:v>Ordering target at L1</x:v>
      </x:c>
      <x:c r="B14" s="69" t="n">
        <x:f>COUNTIF('Updated Prompt Manifest'!$E$602:$E$801,"first from the left; physical target position L1")+COUNTIF('Updated Prompt Manifest'!$E$602:$E$801,"fourth from the right; physical target position L1")+COUNTIF('Updated Prompt Manifest'!$E$602:$E$801,"direct object identity; physical target position L1")</x:f>
        <x:v>50</x:v>
      </x:c>
      <x:c r="C14" s="69" t="n">
        <x:v>50</x:v>
      </x:c>
      <x:c r="D14" s="69" t="str">
        <x:f>IF(B14=C14,"PASS","CHECK")</x:f>
        <x:v>PASS</x:v>
      </x:c>
      <x:c r="E14" s="70" t="str">
        <x:v>Balanced physical outputs</x:v>
      </x:c>
    </x:row>
    <x:row r="15">
      <x:c r="A15" s="68" t="str">
        <x:v>Ordering target at L2</x:v>
      </x:c>
      <x:c r="B15" s="69" t="n">
        <x:f>COUNTIF('Updated Prompt Manifest'!$E$602:$E$801,"second from the left; physical target position L2")+COUNTIF('Updated Prompt Manifest'!$E$602:$E$801,"third from the right; physical target position L2")+COUNTIF('Updated Prompt Manifest'!$E$602:$E$801,"direct object identity; physical target position L2")</x:f>
        <x:v>50</x:v>
      </x:c>
      <x:c r="C15" s="69" t="n">
        <x:v>50</x:v>
      </x:c>
      <x:c r="D15" s="69" t="str">
        <x:f>IF(B15=C15,"PASS","CHECK")</x:f>
        <x:v>PASS</x:v>
      </x:c>
      <x:c r="E15" s="70" t="str">
        <x:v>Balanced physical outputs</x:v>
      </x:c>
    </x:row>
    <x:row r="16">
      <x:c r="A16" s="68" t="str">
        <x:v>Ordering target at L3</x:v>
      </x:c>
      <x:c r="B16" s="69" t="n">
        <x:f>COUNTIF('Updated Prompt Manifest'!$E$602:$E$801,"second from the right; physical target position L3")+COUNTIF('Updated Prompt Manifest'!$E$602:$E$801,"direct object identity; physical target position L3")</x:f>
        <x:v>50</x:v>
      </x:c>
      <x:c r="C16" s="69" t="n">
        <x:v>50</x:v>
      </x:c>
      <x:c r="D16" s="69" t="str">
        <x:f>IF(B16=C16,"PASS","CHECK")</x:f>
        <x:v>PASS</x:v>
      </x:c>
      <x:c r="E16" s="70" t="str">
        <x:v>Balanced physical outputs</x:v>
      </x:c>
    </x:row>
    <x:row r="17">
      <x:c r="A17" s="68" t="str">
        <x:v>Ordering target at L4</x:v>
      </x:c>
      <x:c r="B17" s="69" t="n">
        <x:f>COUNTIF('Updated Prompt Manifest'!$E$602:$E$801,"fourth from the left; physical target position L4")+COUNTIF('Updated Prompt Manifest'!$E$602:$E$801,"direct object identity; physical target position L4")</x:f>
        <x:v>50</x:v>
      </x:c>
      <x:c r="C17" s="69" t="n">
        <x:v>50</x:v>
      </x:c>
      <x:c r="D17" s="69" t="str">
        <x:f>IF(B17=C17,"PASS","CHECK")</x:f>
        <x:v>PASS</x:v>
      </x:c>
      <x:c r="E17" s="70" t="str">
        <x:v>Balanced physical outputs</x:v>
      </x:c>
    </x:row>
    <x:row r="18">
      <x:c r="A18" s="68" t="str">
        <x:v>Counting explicit goals</x:v>
      </x:c>
      <x:c r="B18" s="69" t="n">
        <x:f>COUNTIF('Updated Prompt Manifest'!$D$2:$D$1201,"Explicit goal-count grounding")</x:f>
        <x:v>160</x:v>
      </x:c>
      <x:c r="C18" s="69" t="n">
        <x:v>160</x:v>
      </x:c>
      <x:c r="D18" s="69" t="str">
        <x:f>IF(B18=C18,"PASS","CHECK")</x:f>
        <x:v>PASS</x:v>
      </x:c>
      <x:c r="E18" s="70" t="str">
        <x:v>Counts 0-3 all explicit</x:v>
      </x:c>
    </x:row>
    <x:row r="19">
      <x:c r="A19" s="68" t="str">
        <x:v>Counting masked transitions</x:v>
      </x:c>
      <x:c r="B19" s="69" t="n">
        <x:f>COUNTIF('Updated Prompt Manifest'!$D$2:$D$1201,"Masked goal-count × transition composition")</x:f>
        <x:v>40</x:v>
      </x:c>
      <x:c r="C19" s="69" t="n">
        <x:v>40</x:v>
      </x:c>
      <x:c r="D19" s="69" t="str">
        <x:f>IF(B19=C19,"PASS","CHECK")</x:f>
        <x:v>PASS</x:v>
      </x:c>
      <x:c r="E19" s="70" t="str">
        <x:v>Twenty 2→1 and twenty 2→3</x:v>
      </x:c>
    </x:row>
    <x:row r="20">
      <x:c r="A20" s="68" t="str">
        <x:v>Counting explicit final count 1</x:v>
      </x:c>
      <x:c r="B20" s="69" t="n">
        <x:f>COUNTIF('Updated Prompt Manifest'!$F$802:$F$1001,"count_explicit_goal_1_initial_0_add")</x:f>
        <x:v>40</x:v>
      </x:c>
      <x:c r="C20" s="69" t="n">
        <x:v>40</x:v>
      </x:c>
      <x:c r="D20" s="69" t="str">
        <x:f>IF(B20=C20,"PASS","CHECK")</x:f>
        <x:v>PASS</x:v>
      </x:c>
      <x:c r="E20" s="70" t="str">
        <x:v>Count word one is trained</x:v>
      </x:c>
    </x:row>
    <x:row r="21">
      <x:c r="A21" s="68" t="str">
        <x:v>Counting explicit final count 3</x:v>
      </x:c>
      <x:c r="B21" s="69" t="n">
        <x:f>COUNTIF('Updated Prompt Manifest'!$F$802:$F$1001,"count_explicit_goal_3_initial_4_remove")</x:f>
        <x:v>40</x:v>
      </x:c>
      <x:c r="C21" s="69" t="n">
        <x:v>40</x:v>
      </x:c>
      <x:c r="D21" s="69" t="str">
        <x:f>IF(B21=C21,"PASS","CHECK")</x:f>
        <x:v>PASS</x:v>
      </x:c>
      <x:c r="E21" s="70" t="str">
        <x:v>Count word three is trained</x:v>
      </x:c>
    </x:row>
    <x:row r="22">
      <x:c r="A22" s="68" t="str">
        <x:v>Counting masked 2→1</x:v>
      </x:c>
      <x:c r="B22" s="69" t="n">
        <x:f>COUNTIF('Updated Prompt Manifest'!$F$802:$F$1001,"count_masked_goal_1_initial_2_remove")</x:f>
        <x:v>20</x:v>
      </x:c>
      <x:c r="C22" s="69" t="n">
        <x:v>20</x:v>
      </x:c>
      <x:c r="D22" s="69" t="str">
        <x:f>IF(B22=C22,"PASS","CHECK")</x:f>
        <x:v>PASS</x:v>
      </x:c>
      <x:c r="E22" s="70" t="str">
        <x:v>Primary held-out removal transition</x:v>
      </x:c>
    </x:row>
    <x:row r="23">
      <x:c r="A23" s="68" t="str">
        <x:v>Counting masked 2→3</x:v>
      </x:c>
      <x:c r="B23" s="69" t="n">
        <x:f>COUNTIF('Updated Prompt Manifest'!$F$802:$F$1001,"count_masked_goal_3_initial_2_add")</x:f>
        <x:v>20</x:v>
      </x:c>
      <x:c r="C23" s="69" t="n">
        <x:v>20</x:v>
      </x:c>
      <x:c r="D23" s="69" t="str">
        <x:f>IF(B23=C23,"PASS","CHECK")</x:f>
        <x:v>PASS</x:v>
      </x:c>
      <x:c r="E23" s="70" t="str">
        <x:v>Primary held-out addition transition</x:v>
      </x:c>
    </x:row>
    <x:row r="24">
      <x:c r="A24" s="68" t="str">
        <x:v>Size explicit grounding</x:v>
      </x:c>
      <x:c r="B24" s="69" t="n">
        <x:f>COUNTIF('Updated Prompt Manifest'!$D$2:$D$1201,"Explicit size grounding")</x:f>
        <x:v>140</x:v>
      </x:c>
      <x:c r="C24" s="69" t="n">
        <x:v>140</x:v>
      </x:c>
      <x:c r="D24" s="69" t="str">
        <x:f>IF(B24=C24,"PASS","CHECK")</x:f>
        <x:v>PASS</x:v>
      </x:c>
      <x:c r="E24" s="70" t="str">
        <x:v>Familiar size roles</x:v>
      </x:c>
    </x:row>
    <x:row r="25">
      <x:c r="A25" s="68" t="str">
        <x:v>Size masked composition</x:v>
      </x:c>
      <x:c r="B25" s="69" t="n">
        <x:f>COUNTIF('Updated Prompt Manifest'!$D$2:$D$1201,"Masked size-object composition")</x:f>
        <x:v>40</x:v>
      </x:c>
      <x:c r="C25" s="69" t="n">
        <x:v>40</x:v>
      </x:c>
      <x:c r="D25" s="69" t="str">
        <x:f>IF(B25=C25,"PASS","CHECK")</x:f>
        <x:v>PASS</x:v>
      </x:c>
      <x:c r="E25" s="70" t="str">
        <x:v>Twenty per held-out size-object pairing</x:v>
      </x:c>
    </x:row>
    <x:row r="26">
      <x:c r="A26" s="68" t="str">
        <x:v>Size direct controls</x:v>
      </x:c>
      <x:c r="B26" s="69" t="n">
        <x:f>COUNTIF('Updated Prompt Manifest'!$D$2:$D$1201,"Direct-object size control")</x:f>
        <x:v>20</x:v>
      </x:c>
      <x:c r="C26" s="69" t="n">
        <x:v>20</x:v>
      </x:c>
      <x:c r="D26" s="69" t="str">
        <x:f>IF(B26=C26,"PASS","CHECK")</x:f>
        <x:v>PASS</x:v>
      </x:c>
      <x:c r="E26" s="70" t="str">
        <x:v>Five per object identity</x:v>
      </x:c>
    </x:row>
    <x:row r="27">
      <x:c r="A27" s="68" t="str">
        <x:v>Rows requiring recollection</x:v>
      </x:c>
      <x:c r="B27" s="69" t="n">
        <x:f>COUNTIF('Updated Prompt Manifest'!$H$2:$H$1201,"Yes")</x:f>
        <x:v>430</x:v>
      </x:c>
      <x:c r="C27" s="69" t="n">
        <x:v>430</x:v>
      </x:c>
      <x:c r="D27" s="69" t="str">
        <x:f>IF(B27=C27,"PASS","CHECK")</x:f>
        <x:v>PASS</x:v>
      </x:c>
      <x:c r="E27" s="70" t="str">
        <x:v>30 referential + 200 ordering + 200 counting</x:v>
      </x:c>
    </x:row>
    <x:row r="28">
      <x:c r="A28" s="71" t="str">
        <x:v>Blank final prompts</x:v>
      </x:c>
      <x:c r="B28" s="72" t="n">
        <x:f>COUNTIF('Updated Prompt Manifest'!$C$2:$C$1201,"")</x:f>
        <x:v>0</x:v>
      </x:c>
      <x:c r="C28" s="72" t="n">
        <x:v>0</x:v>
      </x:c>
      <x:c r="D28" s="72" t="str">
        <x:f>IF(B28=C28,"PASS","CHECK")</x:f>
        <x:v>PASS</x:v>
      </x:c>
      <x:c r="E28" s="73" t="str">
        <x:v>No missing training instruction</x:v>
      </x:c>
    </x:row>
  </x:sheetData>
  <x:mergeCells>
    <x:mergeCell ref="A1:E1"/>
  </x:mergeCells>
  <x:conditionalFormatting sqref="D4:D28">
    <x:cfRule type="cellIs" dxfId="4" priority="1">
      <x:formula>"PASS"</x:formula>
    </x:cfRule>
    <x:cfRule type="cellIs" dxfId="5" priority="2">
      <x:formula>"CHECK"</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2" hidden="0" customWidth="1"/>
    <x:col min="3" max="3" width="12" hidden="0" customWidth="1"/>
    <x:col min="4" max="4" width="12" hidden="0" customWidth="1"/>
    <x:col min="5" max="5" width="16" hidden="0" customWidth="1"/>
    <x:col min="6" max="6" width="48" hidden="0" customWidth="1"/>
  </x:cols>
  <x:sheetData>
    <x:row r="1" ht="30" customHeight="1">
      <x:c r="A1" s="107" t="str">
        <x:v>Relational-Placement Evaluation Audit</x:v>
      </x:c>
      <x:c r="B1" s="107" t="str">
        <x:v>Relational-Placement Evaluation Audit</x:v>
      </x:c>
      <x:c r="C1" s="107" t="str">
        <x:v>Relational-Placement Evaluation Audit</x:v>
      </x:c>
      <x:c r="D1" s="107" t="str">
        <x:v>Relational-Placement Evaluation Audit</x:v>
      </x:c>
      <x:c r="E1" s="107" t="str">
        <x:v>Relational-Placement Evaluation Audit</x:v>
      </x:c>
      <x:c r="F1" s="107" t="str">
        <x:v>Relational-Placement Evaluation Audit</x:v>
      </x:c>
    </x:row>
    <x:row r="2" ht="46" customHeight="1">
      <x:c r="A2" s="102" t="str">
        <x:v>The uploaded results contain 150 evaluated rows. The 20 exact-scene opposite-direction trials are supplementary to the intended 130-condition structure; the 20 juggling-ball rows are transfer-only and do not include matched cross-task controls.</x:v>
      </x:c>
      <x:c r="B2" s="102"/>
      <x:c r="C2" s="102"/>
      <x:c r="D2" s="102"/>
      <x:c r="E2" s="102"/>
      <x:c r="F2" s="102"/>
    </x:row>
    <x:row r="3">
      <x:c r="A3" s="63"/>
      <x:c r="B3" s="63"/>
      <x:c r="C3" s="63"/>
      <x:c r="D3" s="63"/>
      <x:c r="E3" s="63"/>
      <x:c r="F3" s="63"/>
    </x:row>
    <x:row r="4">
      <x:c r="A4" s="64" t="str">
        <x:v>Condition</x:v>
      </x:c>
      <x:c r="B4" s="64" t="str">
        <x:v>Trials</x:v>
      </x:c>
      <x:c r="C4" s="64" t="str">
        <x:v>Successes</x:v>
      </x:c>
      <x:c r="D4" s="64" t="str">
        <x:v>Failures</x:v>
      </x:c>
      <x:c r="E4" s="64" t="str">
        <x:v>Success Rate</x:v>
      </x:c>
      <x:c r="F4" s="64" t="str">
        <x:v>Interpretation</x:v>
      </x:c>
    </x:row>
    <x:row r="5">
      <x:c r="A5" s="65" t="str">
        <x:v>Concept/compositional transfer</x:v>
      </x:c>
      <x:c r="B5" s="66" t="n">
        <x:f>COUNTIF('Relational Eval Raw'!$H$2:$H$151,A5)</x:f>
        <x:v>50</x:v>
      </x:c>
      <x:c r="C5" s="66" t="n">
        <x:f>COUNTIFS('Relational Eval Raw'!$H$2:$H$151,A5,'Relational Eval Raw'!$A$2:$A$151,"Success")</x:f>
        <x:v>36</x:v>
      </x:c>
      <x:c r="D5" s="66" t="n">
        <x:f>COUNTIFS('Relational Eval Raw'!$H$2:$H$151,A5,'Relational Eval Raw'!$A$2:$A$151,"Failure")</x:f>
        <x:v>14</x:v>
      </x:c>
      <x:c r="E5" s="103" t="n">
        <x:f>IF(B5=0,"",C5/B5)</x:f>
        <x:v>0.72</x:v>
      </x:c>
      <x:c r="F5" s="67" t="str">
        <x:v>Primary result</x:v>
      </x:c>
    </x:row>
    <x:row r="6">
      <x:c r="A6" s="68" t="str">
        <x:v>Matched manipulation control</x:v>
      </x:c>
      <x:c r="B6" s="69" t="n">
        <x:f>COUNTIF('Relational Eval Raw'!$H$2:$H$151,A6)</x:f>
        <x:v>20</x:v>
      </x:c>
      <x:c r="C6" s="69" t="n">
        <x:f>COUNTIFS('Relational Eval Raw'!$H$2:$H$151,A6,'Relational Eval Raw'!$A$2:$A$151,"Success")</x:f>
        <x:v>18</x:v>
      </x:c>
      <x:c r="D6" s="69" t="n">
        <x:f>COUNTIFS('Relational Eval Raw'!$H$2:$H$151,A6,'Relational Eval Raw'!$A$2:$A$151,"Failure")</x:f>
        <x:v>2</x:v>
      </x:c>
      <x:c r="E6" s="104" t="n">
        <x:f>IF(B6=0,"",C6/B6)</x:f>
        <x:v>0.9</x:v>
      </x:c>
      <x:c r="F6" s="70" t="str">
        <x:v>Same-pair manipulation control</x:v>
      </x:c>
    </x:row>
    <x:row r="7">
      <x:c r="A7" s="68" t="str">
        <x:v>Language robustness</x:v>
      </x:c>
      <x:c r="B7" s="69" t="n">
        <x:f>COUNTIF('Relational Eval Raw'!$H$2:$H$151,A7)</x:f>
        <x:v>20</x:v>
      </x:c>
      <x:c r="C7" s="69" t="n">
        <x:f>COUNTIFS('Relational Eval Raw'!$H$2:$H$151,A7,'Relational Eval Raw'!$A$2:$A$151,"Success")</x:f>
        <x:v>14</x:v>
      </x:c>
      <x:c r="D7" s="69" t="n">
        <x:f>COUNTIFS('Relational Eval Raw'!$H$2:$H$151,A7,'Relational Eval Raw'!$A$2:$A$151,"Failure")</x:f>
        <x:v>6</x:v>
      </x:c>
      <x:c r="E7" s="104" t="n">
        <x:f>IF(B7=0,"",C7/B7)</x:f>
        <x:v>0.7</x:v>
      </x:c>
      <x:c r="F7" s="70" t="str">
        <x:v>Includes transfer and familiar-relation paraphrases</x:v>
      </x:c>
    </x:row>
    <x:row r="8">
      <x:c r="A8" s="68" t="str">
        <x:v>In-distribution concept baseline</x:v>
      </x:c>
      <x:c r="B8" s="69" t="n">
        <x:f>COUNTIF('Relational Eval Raw'!$H$2:$H$151,A8)</x:f>
        <x:v>20</x:v>
      </x:c>
      <x:c r="C8" s="69" t="n">
        <x:f>COUNTIFS('Relational Eval Raw'!$H$2:$H$151,A8,'Relational Eval Raw'!$A$2:$A$151,"Success")</x:f>
        <x:v>14</x:v>
      </x:c>
      <x:c r="D8" s="69" t="n">
        <x:f>COUNTIFS('Relational Eval Raw'!$H$2:$H$151,A8,'Relational Eval Raw'!$A$2:$A$151,"Failure")</x:f>
        <x:v>6</x:v>
      </x:c>
      <x:c r="E8" s="104" t="n">
        <x:f>IF(B8=0,"",C8/B8)</x:f>
        <x:v>0.7</x:v>
      </x:c>
      <x:c r="F8" s="70" t="str">
        <x:v>Familiar directional object pairs</x:v>
      </x:c>
    </x:row>
    <x:row r="9">
      <x:c r="A9" s="68" t="str">
        <x:v>Juggling-ball-as-target relational transfer</x:v>
      </x:c>
      <x:c r="B9" s="69" t="n">
        <x:f>COUNTIF('Relational Eval Raw'!$H$2:$H$151,A9)</x:f>
        <x:v>10</x:v>
      </x:c>
      <x:c r="C9" s="69" t="n">
        <x:f>COUNTIFS('Relational Eval Raw'!$H$2:$H$151,A9,'Relational Eval Raw'!$A$2:$A$151,"Success")</x:f>
        <x:v>8</x:v>
      </x:c>
      <x:c r="D9" s="69" t="n">
        <x:f>COUNTIFS('Relational Eval Raw'!$H$2:$H$151,A9,'Relational Eval Raw'!$A$2:$A$151,"Failure")</x:f>
        <x:v>2</x:v>
      </x:c>
      <x:c r="E9" s="104" t="n">
        <x:f>IF(B9=0,"",C9/B9)</x:f>
        <x:v>0.8</x:v>
      </x:c>
      <x:c r="F9" s="70" t="str">
        <x:v>Cross-task object used as target</x:v>
      </x:c>
    </x:row>
    <x:row r="10">
      <x:c r="A10" s="68" t="str">
        <x:v>Juggling-ball-as-reference relational transfer</x:v>
      </x:c>
      <x:c r="B10" s="69" t="n">
        <x:f>COUNTIF('Relational Eval Raw'!$H$2:$H$151,A10)</x:f>
        <x:v>10</x:v>
      </x:c>
      <x:c r="C10" s="69" t="n">
        <x:f>COUNTIFS('Relational Eval Raw'!$H$2:$H$151,A10,'Relational Eval Raw'!$A$2:$A$151,"Success")</x:f>
        <x:v>3</x:v>
      </x:c>
      <x:c r="D10" s="69" t="n">
        <x:f>COUNTIFS('Relational Eval Raw'!$H$2:$H$151,A10,'Relational Eval Raw'!$A$2:$A$151,"Failure")</x:f>
        <x:v>7</x:v>
      </x:c>
      <x:c r="E10" s="104" t="n">
        <x:f>IF(B10=0,"",C10/B10)</x:f>
        <x:v>0.3</x:v>
      </x:c>
      <x:c r="F10" s="70" t="str">
        <x:v>Cross-task object used as reference</x:v>
      </x:c>
    </x:row>
    <x:row r="11">
      <x:c r="A11" s="71" t="str">
        <x:v>Exact-scene opposite-direction contrast</x:v>
      </x:c>
      <x:c r="B11" s="72" t="n">
        <x:f>COUNTIF('Relational Eval Raw'!$H$2:$H$151,A11)</x:f>
        <x:v>20</x:v>
      </x:c>
      <x:c r="C11" s="72" t="n">
        <x:f>COUNTIFS('Relational Eval Raw'!$H$2:$H$151,A11,'Relational Eval Raw'!$A$2:$A$151,"Success")</x:f>
        <x:v>14</x:v>
      </x:c>
      <x:c r="D11" s="72" t="n">
        <x:f>COUNTIFS('Relational Eval Raw'!$H$2:$H$151,A11,'Relational Eval Raw'!$A$2:$A$151,"Failure")</x:f>
        <x:v>6</x:v>
      </x:c>
      <x:c r="E11" s="105" t="n">
        <x:f>IF(B11=0,"",C11/B11)</x:f>
        <x:v>0.7</x:v>
      </x:c>
      <x:c r="F11" s="73" t="str">
        <x:v>Supplementary semantic counterfactual</x:v>
      </x:c>
    </x:row>
    <x:row r="12">
      <x:c r="A12" s="63"/>
      <x:c r="B12" s="63"/>
      <x:c r="C12" s="63"/>
      <x:c r="D12" s="63"/>
      <x:c r="E12" s="63"/>
      <x:c r="F12" s="63"/>
    </x:row>
    <x:row r="13" ht="52" customHeight="1">
      <x:c r="A13" s="106" t="str">
        <x:v>Interpretation: 36/50 primary transfer successes with 18/20 matched-control successes is encouraging evidence of learned directional composition. The 8/10 target versus 3/10 reference split for the juggling ball reveals a role-asymmetry worth reporting separately.</x:v>
      </x:c>
      <x:c r="B13" s="106"/>
      <x:c r="C13" s="106"/>
      <x:c r="D13" s="106"/>
      <x:c r="E13" s="106"/>
      <x:c r="F13" s="106"/>
    </x:row>
  </x:sheetData>
  <x:mergeCells>
    <x:mergeCell ref="A1:F1"/>
    <x:mergeCell ref="A2:F2"/>
    <x:mergeCell ref="A13:F1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44" hidden="0" customWidth="1"/>
    <x:col min="4" max="4" width="70" hidden="0" customWidth="1"/>
    <x:col min="5" max="5" width="16" hidden="0" customWidth="1"/>
    <x:col min="6" max="6" width="52" hidden="0" customWidth="1"/>
    <x:col min="7" max="7" width="42" hidden="0" customWidth="1"/>
    <x:col min="8" max="8" width="38" hidden="0" customWidth="1"/>
    <x:col min="9" max="9" width="16" hidden="0" customWidth="1"/>
    <x:col min="10" max="10" width="14" hidden="0" customWidth="1"/>
    <x:col min="11" max="11" width="13" hidden="0" customWidth="1"/>
    <x:col min="12" max="12" width="52" hidden="0" customWidth="1"/>
    <x:col min="13" max="13" width="16" hidden="0" customWidth="1"/>
    <x:col min="14" max="14" width="40" hidden="0" customWidth="1"/>
    <x:col min="15" max="15" width="58" hidden="0" customWidth="1"/>
    <x:col min="16" max="16" width="30" hidden="0" customWidth="1"/>
  </x:cols>
  <x:sheetData>
    <x:row r="1">
      <x:c r="A1" s="64" t="str">
        <x:v>Status</x:v>
      </x:c>
      <x:c r="B1" s="64" t="str">
        <x:v>Episode</x:v>
      </x:c>
      <x:c r="C1" s="64" t="str">
        <x:v>Prompt</x:v>
      </x:c>
      <x:c r="D1" s="64" t="str">
        <x:v>Scene Setup (P1-P4)</x:v>
      </x:c>
      <x:c r="E1" s="64" t="str">
        <x:v>Reference Episode</x:v>
      </x:c>
      <x:c r="F1" s="64" t="str">
        <x:v>Expected Target / Placement</x:v>
      </x:c>
      <x:c r="G1" s="64" t="str">
        <x:v>Observations</x:v>
      </x:c>
      <x:c r="H1" s="64" t="str">
        <x:v>Condition</x:v>
      </x:c>
      <x:c r="I1" s="64" t="str">
        <x:v>Scene Family</x:v>
      </x:c>
      <x:c r="J1" s="64" t="str">
        <x:v>Relation</x:v>
      </x:c>
      <x:c r="K1" s="64" t="str">
        <x:v>Object Count</x:v>
      </x:c>
      <x:c r="L1" s="64" t="str">
        <x:v>Comparison / Subtype</x:v>
      </x:c>
      <x:c r="M1" s="64" t="str">
        <x:v>Collection Block</x:v>
      </x:c>
      <x:c r="N1" s="64" t="str">
        <x:v>Setup Change from Previous</x:v>
      </x:c>
      <x:c r="O1" s="64" t="str">
        <x:v>Design Note</x:v>
      </x:c>
      <x:c r="P1" s="64" t="str">
        <x:v>Reference Media Filename</x:v>
      </x:c>
    </x:row>
    <x:row r="2" ht="54" customHeight="1">
      <x:c r="A2" s="65" t="str">
        <x:v>Success</x:v>
      </x:c>
      <x:c r="B2" s="66" t="str">
        <x:v>0</x:v>
      </x:c>
      <x:c r="C2" s="66" t="str">
        <x:v>Place the green pen in front of the red block.</x:v>
      </x:c>
      <x:c r="D2" s="66" t="str">
        <x:v>P1 red block at R1 (table center) [REFERENCE]; P2 green pen 18 cm behind P1 [TARGET START]; P3 pink marker 15 cm to the left of P1 [DISTRACTOR]</x:v>
      </x:c>
      <x:c r="E2" s="66" t="str"/>
      <x:c r="F2" s="66" t="str">
        <x:v>green pen → 2–8 cm edge gap in front of red block; centroid direction within ±45°</x:v>
      </x:c>
      <x:c r="G2" s="66" t="str"/>
      <x:c r="H2" s="66" t="str">
        <x:v>Concept/compositional transfer</x:v>
      </x:c>
      <x:c r="I2" s="66" t="str">
        <x:v>RP-F01</x:v>
      </x:c>
      <x:c r="J2" s="66" t="str">
        <x:v>front</x:v>
      </x:c>
      <x:c r="K2" s="66" t="str">
        <x:v>3</x:v>
      </x:c>
      <x:c r="L2" s="66" t="str">
        <x:v>1 — Canonical transfer — Held-out direction × green-pen/red-block pair (front)</x:v>
      </x:c>
      <x:c r="M2" s="66" t="str">
        <x:v>1</x:v>
      </x:c>
      <x:c r="N2" s="66" t="str">
        <x:v>Build the marked scene. Target starts in the opposite sector and outside the success gap; save a first-frame filename.</x:v>
      </x:c>
      <x:c r="O2" s="66" t="str">
        <x:v>Directional language is trained on other object pairs, but all directional green-pen/red-block demonstrations are withheld in both target/reference directions.</x:v>
      </x:c>
      <x:c r="P2" s="67" t="str"/>
    </x:row>
    <x:row r="3" ht="54" customHeight="1">
      <x:c r="A3" s="68" t="str">
        <x:v>Failure</x:v>
      </x:c>
      <x:c r="B3" s="69" t="str">
        <x:v>1</x:v>
      </x:c>
      <x:c r="C3" s="69" t="str">
        <x:v>Move the green pen to the back of the red block.</x:v>
      </x:c>
      <x:c r="D3" s="69" t="str">
        <x:v>P1 red block at R1 (table center) [REFERENCE]; P2 green pen 18 cm behind P1 [TARGET START]; P3 pink marker 15 cm to the left of P1 [DISTRACTOR]</x:v>
      </x:c>
      <x:c r="E3" s="69" t="str">
        <x:v>0</x:v>
      </x:c>
      <x:c r="F3" s="69" t="str">
        <x:v>green pen → 2–8 cm edge gap behind red block; centroid direction within ±45°</x:v>
      </x:c>
      <x:c r="G3" s="69" t="str">
        <x:v>Placed the green pen on the right of the red block</x:v>
      </x:c>
      <x:c r="H3" s="69" t="str">
        <x:v>Exact-scene opposite-direction contrast</x:v>
      </x:c>
      <x:c r="I3" s="69" t="str">
        <x:v>RP-F01</x:v>
      </x:c>
      <x:c r="J3" s="69" t="str">
        <x:v>behind</x:v>
      </x:c>
      <x:c r="K3" s="69" t="str">
        <x:v>3</x:v>
      </x:c>
      <x:c r="L3" s="69" t="str">
        <x:v>2 — Exact-scene opposite-direction contrast — Direction-word counterfactual (front→behind)</x:v>
      </x:c>
      <x:c r="M3" s="69" t="str">
        <x:v>1</x:v>
      </x:c>
      <x:c r="N3" s="69" t="str">
        <x:v>Reset only P2 to its marked start. Preserve the exact scene; change only the directional word and expected goal sector.</x:v>
      </x:c>
      <x:c r="O3" s="69" t="str">
        <x:v>Exact-scene semantic counterfactual. Target and reference identities stay fixed while the requested endpoint reverses front↔behind or left↔right.</x:v>
      </x:c>
      <x:c r="P3" s="70" t="str"/>
    </x:row>
    <x:row r="4" ht="54" customHeight="1">
      <x:c r="A4" s="68" t="str">
        <x:v>Success</x:v>
      </x:c>
      <x:c r="B4" s="69" t="str">
        <x:v>2</x:v>
      </x:c>
      <x:c r="C4" s="69" t="str">
        <x:v>Move the green pen to the robot-facing side of the red block.</x:v>
      </x:c>
      <x:c r="D4" s="69" t="str">
        <x:v>P1 red block at R1 (table center) [REFERENCE]; P2 green pen 18 cm behind P1 [TARGET START]; P3 pink marker 15 cm to the left of P1 [DISTRACTOR]</x:v>
      </x:c>
      <x:c r="E4" s="69" t="str">
        <x:v>0</x:v>
      </x:c>
      <x:c r="F4" s="69" t="str">
        <x:v>green pen → 2–8 cm edge gap in front of red block; centroid direction within ±45°</x:v>
      </x:c>
      <x:c r="G4" s="69" t="str">
        <x:v>Stuck it on the bottom right of the red block. jittered around, but I think it counts</x:v>
      </x:c>
      <x:c r="H4" s="69" t="str">
        <x:v>Language robustness</x:v>
      </x:c>
      <x:c r="I4" s="69" t="str">
        <x:v>RP-F01</x:v>
      </x:c>
      <x:c r="J4" s="69" t="str">
        <x:v>front</x:v>
      </x:c>
      <x:c r="K4" s="69" t="str">
        <x:v>3</x:v>
      </x:c>
      <x:c r="L4" s="69" t="str">
        <x:v>3 — Exact-scene transfer paraphrase — Paraphrase of concept/compositional-transfer prompt</x:v>
      </x:c>
      <x:c r="M4" s="69" t="str">
        <x:v>1</x:v>
      </x:c>
      <x:c r="N4" s="69" t="str">
        <x:v>Reset only P2 to its marked start; change only the prompt wording.</x:v>
      </x:c>
      <x:c r="O4" s="69" t="str">
        <x:v>Exact-scene language comparison for the held-out pair composition.</x:v>
      </x:c>
      <x:c r="P4" s="70" t="str"/>
    </x:row>
    <x:row r="5" ht="54" customHeight="1">
      <x:c r="A5" s="68" t="str">
        <x:v>Success</x:v>
      </x:c>
      <x:c r="B5" s="69" t="str">
        <x:v>3</x:v>
      </x:c>
      <x:c r="C5" s="69" t="str">
        <x:v>Move the green pen near the red block.</x:v>
      </x:c>
      <x:c r="D5" s="69" t="str">
        <x:v>P1 red block at R1 (table center) [REFERENCE]; P2 green pen 18 cm behind P1 [TARGET START]; P3 pink marker 15 cm to the left of P1 [DISTRACTOR]</x:v>
      </x:c>
      <x:c r="E5" s="69" t="str">
        <x:v>0</x:v>
      </x:c>
      <x:c r="F5" s="69" t="str">
        <x:v>green pen → 2–8 cm edge gap from red block (any direction)</x:v>
      </x:c>
      <x:c r="G5" s="69" t="str"/>
      <x:c r="H5" s="69" t="str">
        <x:v>Matched manipulation control</x:v>
      </x:c>
      <x:c r="I5" s="69" t="str">
        <x:v>RP-F01</x:v>
      </x:c>
      <x:c r="J5" s="69" t="str">
        <x:v>near</x:v>
      </x:c>
      <x:c r="K5" s="69" t="str">
        <x:v>3</x:v>
      </x:c>
      <x:c r="L5" s="69" t="str">
        <x:v>4 — Matched control — Seen near/next-to/beside relation on the same ordered pair (3 objects)</x:v>
      </x:c>
      <x:c r="M5" s="69" t="str">
        <x:v>1</x:v>
      </x:c>
      <x:c r="N5" s="69" t="str">
        <x:v>Reset only P2 to its marked start. Keep every object, camera setting, and pose fixed; change only the prompt.</x:v>
      </x:c>
      <x:c r="O5" s="69" t="str">
        <x:v>Controls target/reference recognition and basic pick-place on the exact pair. It is skill-matched but not direction-endpoint-matched, so analyze the paired success delta separately.</x:v>
      </x:c>
      <x:c r="P5" s="70" t="str"/>
    </x:row>
    <x:row r="6" ht="54" customHeight="1">
      <x:c r="A6" s="68" t="str">
        <x:v>Success</x:v>
      </x:c>
      <x:c r="B6" s="69" t="str">
        <x:v>4</x:v>
      </x:c>
      <x:c r="C6" s="69" t="str">
        <x:v>Move the red block to the back of the green pen.</x:v>
      </x:c>
      <x:c r="D6" s="69" t="str">
        <x:v>P1 green pen at R2 (5 cm left of center) [REFERENCE]; P2 red block 21 cm in front of P1 [TARGET START]; P3 pink marker 15 cm to the left of P1 [DISTRACTOR]</x:v>
      </x:c>
      <x:c r="E6" s="69" t="str"/>
      <x:c r="F6" s="69" t="str">
        <x:v>red block → 2–8 cm edge gap behind green pen; centroid direction within ±45°</x:v>
      </x:c>
      <x:c r="G6" s="69" t="str"/>
      <x:c r="H6" s="69" t="str">
        <x:v>Concept/compositional transfer</x:v>
      </x:c>
      <x:c r="I6" s="69" t="str">
        <x:v>RP-F02</x:v>
      </x:c>
      <x:c r="J6" s="69" t="str">
        <x:v>behind</x:v>
      </x:c>
      <x:c r="K6" s="69" t="str">
        <x:v>3</x:v>
      </x:c>
      <x:c r="L6" s="69" t="str">
        <x:v>1 — Canonical transfer — Held-out direction × green-pen/red-block pair (behind)</x:v>
      </x:c>
      <x:c r="M6" s="69" t="str">
        <x:v>2</x:v>
      </x:c>
      <x:c r="N6" s="69" t="str">
        <x:v>Build the marked scene. Target starts in the opposite sector and outside the success gap; save a first-frame filename.</x:v>
      </x:c>
      <x:c r="O6" s="69" t="str">
        <x:v>Directional language is trained on other object pairs, but all directional green-pen/red-block demonstrations are withheld in both target/reference directions.</x:v>
      </x:c>
      <x:c r="P6" s="70" t="str"/>
    </x:row>
    <x:row r="7" ht="54" customHeight="1">
      <x:c r="A7" s="68" t="str">
        <x:v>Success</x:v>
      </x:c>
      <x:c r="B7" s="69" t="str">
        <x:v>5</x:v>
      </x:c>
      <x:c r="C7" s="69" t="str">
        <x:v>Put the red block on the table in front of the green pen.</x:v>
      </x:c>
      <x:c r="D7" s="69" t="str">
        <x:v>P1 green pen at R2 (5 cm left of center) [REFERENCE]; P2 red block 21 cm in front of P1 [TARGET START]; P3 pink marker 15 cm to the left of P1 [DISTRACTOR]</x:v>
      </x:c>
      <x:c r="E7" s="69" t="str">
        <x:v>4</x:v>
      </x:c>
      <x:c r="F7" s="69" t="str">
        <x:v>red block → 2–8 cm edge gap in front of green pen; centroid direction within ±45°</x:v>
      </x:c>
      <x:c r="G7" s="69" t="str"/>
      <x:c r="H7" s="69" t="str">
        <x:v>Exact-scene opposite-direction contrast</x:v>
      </x:c>
      <x:c r="I7" s="69" t="str">
        <x:v>RP-F02</x:v>
      </x:c>
      <x:c r="J7" s="69" t="str">
        <x:v>front</x:v>
      </x:c>
      <x:c r="K7" s="69" t="str">
        <x:v>3</x:v>
      </x:c>
      <x:c r="L7" s="69" t="str">
        <x:v>2 — Exact-scene opposite-direction contrast — Direction-word counterfactual (behind→front)</x:v>
      </x:c>
      <x:c r="M7" s="69" t="str">
        <x:v>2</x:v>
      </x:c>
      <x:c r="N7" s="69" t="str">
        <x:v>Reset only P2 to its marked start. Preserve the exact scene; change only the directional word and expected goal sector.</x:v>
      </x:c>
      <x:c r="O7" s="69" t="str">
        <x:v>Exact-scene semantic counterfactual. Target and reference identities stay fixed while the requested endpoint reverses front↔behind or left↔right.</x:v>
      </x:c>
      <x:c r="P7" s="70" t="str"/>
    </x:row>
    <x:row r="8" ht="54" customHeight="1">
      <x:c r="A8" s="68" t="str">
        <x:v>Success</x:v>
      </x:c>
      <x:c r="B8" s="69" t="str">
        <x:v>6</x:v>
      </x:c>
      <x:c r="C8" s="69" t="str">
        <x:v>Move the red block to the rear side of the green pen.</x:v>
      </x:c>
      <x:c r="D8" s="69" t="str">
        <x:v>P1 green pen at R2 (5 cm left of center) [REFERENCE]; P2 red block 21 cm in front of P1 [TARGET START]; P3 pink marker 15 cm to the left of P1 [DISTRACTOR]</x:v>
      </x:c>
      <x:c r="E8" s="69" t="str">
        <x:v>4</x:v>
      </x:c>
      <x:c r="F8" s="69" t="str">
        <x:v>red block → 2–8 cm edge gap behind green pen; centroid direction within ±45°</x:v>
      </x:c>
      <x:c r="G8" s="69" t="str">
        <x:v>Kind of put it on top of the pen, but ultimately fell to the back part. Looked like it was going for the back.</x:v>
      </x:c>
      <x:c r="H8" s="69" t="str">
        <x:v>Language robustness</x:v>
      </x:c>
      <x:c r="I8" s="69" t="str">
        <x:v>RP-F02</x:v>
      </x:c>
      <x:c r="J8" s="69" t="str">
        <x:v>behind</x:v>
      </x:c>
      <x:c r="K8" s="69" t="str">
        <x:v>3</x:v>
      </x:c>
      <x:c r="L8" s="69" t="str">
        <x:v>3 — Exact-scene transfer paraphrase — Paraphrase of concept/compositional-transfer prompt</x:v>
      </x:c>
      <x:c r="M8" s="69" t="str">
        <x:v>2</x:v>
      </x:c>
      <x:c r="N8" s="69" t="str">
        <x:v>Reset only P2 to its marked start; change only the prompt wording.</x:v>
      </x:c>
      <x:c r="O8" s="69" t="str">
        <x:v>Exact-scene language comparison for the held-out pair composition.</x:v>
      </x:c>
      <x:c r="P8" s="70" t="str"/>
    </x:row>
    <x:row r="9" ht="54" customHeight="1">
      <x:c r="A9" s="68" t="str">
        <x:v>Success</x:v>
      </x:c>
      <x:c r="B9" s="69" t="str">
        <x:v>7</x:v>
      </x:c>
      <x:c r="C9" s="69" t="str">
        <x:v>Place the red block next to the green pen.</x:v>
      </x:c>
      <x:c r="D9" s="69" t="str">
        <x:v>P1 green pen at R2 (5 cm left of center) [REFERENCE]; P2 red block 21 cm in front of P1 [TARGET START]; P3 pink marker 15 cm to the left of P1 [DISTRACTOR]</x:v>
      </x:c>
      <x:c r="E9" s="69" t="str">
        <x:v>4</x:v>
      </x:c>
      <x:c r="F9" s="69" t="str">
        <x:v>red block → 2–8 cm edge gap from green pen (any direction)</x:v>
      </x:c>
      <x:c r="G9" s="69" t="str">
        <x:v>Also kind of placed it on top of the pen, but it is next to it.</x:v>
      </x:c>
      <x:c r="H9" s="69" t="str">
        <x:v>Matched manipulation control</x:v>
      </x:c>
      <x:c r="I9" s="69" t="str">
        <x:v>RP-F02</x:v>
      </x:c>
      <x:c r="J9" s="69" t="str">
        <x:v>near</x:v>
      </x:c>
      <x:c r="K9" s="69" t="str">
        <x:v>3</x:v>
      </x:c>
      <x:c r="L9" s="69" t="str">
        <x:v>4 — Matched control — Seen near/next-to/beside relation on the same ordered pair (3 objects)</x:v>
      </x:c>
      <x:c r="M9" s="69" t="str">
        <x:v>2</x:v>
      </x:c>
      <x:c r="N9" s="69" t="str">
        <x:v>Reset only P2 to its marked start. Keep every object, camera setting, and pose fixed; change only the prompt.</x:v>
      </x:c>
      <x:c r="O9" s="69" t="str">
        <x:v>Controls target/reference recognition and basic pick-place on the exact pair. It is skill-matched but not direction-endpoint-matched, so analyze the paired success delta separately.</x:v>
      </x:c>
      <x:c r="P9" s="70" t="str"/>
    </x:row>
    <x:row r="10" ht="54" customHeight="1">
      <x:c r="A10" s="68" t="str">
        <x:v>Success</x:v>
      </x:c>
      <x:c r="B10" s="69" t="str">
        <x:v>8</x:v>
      </x:c>
      <x:c r="C10" s="69" t="str">
        <x:v>Place the green pen to the left of the red block.</x:v>
      </x:c>
      <x:c r="D10" s="69" t="str">
        <x:v>P1 red block at R3 (5 cm right of center) [REFERENCE]; P2 green pen 24 cm to the right of P1 [TARGET START]; P3 pink marker 15 cm in front of P1 [DISTRACTOR]</x:v>
      </x:c>
      <x:c r="E10" s="69" t="str"/>
      <x:c r="F10" s="69" t="str">
        <x:v>green pen → 2–8 cm edge gap to the left of red block; centroid direction within ±45°</x:v>
      </x:c>
      <x:c r="G10" s="69" t="str">
        <x:v>Placed it on top and fell to the left.</x:v>
      </x:c>
      <x:c r="H10" s="69" t="str">
        <x:v>Concept/compositional transfer</x:v>
      </x:c>
      <x:c r="I10" s="69" t="str">
        <x:v>RP-F03</x:v>
      </x:c>
      <x:c r="J10" s="69" t="str">
        <x:v>left</x:v>
      </x:c>
      <x:c r="K10" s="69" t="str">
        <x:v>3</x:v>
      </x:c>
      <x:c r="L10" s="69" t="str">
        <x:v>1 — Canonical transfer — Held-out direction × green-pen/red-block pair (left)</x:v>
      </x:c>
      <x:c r="M10" s="69" t="str">
        <x:v>3</x:v>
      </x:c>
      <x:c r="N10" s="69" t="str">
        <x:v>Build the marked scene. Target starts in the opposite sector and outside the success gap; save a first-frame filename.</x:v>
      </x:c>
      <x:c r="O10" s="69" t="str">
        <x:v>Directional language is trained on other object pairs, but all directional green-pen/red-block demonstrations are withheld in both target/reference directions.</x:v>
      </x:c>
      <x:c r="P10" s="70" t="str"/>
    </x:row>
    <x:row r="11" ht="54" customHeight="1">
      <x:c r="A11" s="68" t="str">
        <x:v>Success</x:v>
      </x:c>
      <x:c r="B11" s="69" t="str">
        <x:v>9</x:v>
      </x:c>
      <x:c r="C11" s="69" t="str">
        <x:v>Place the green pen to the right of the red block.</x:v>
      </x:c>
      <x:c r="D11" s="69" t="str">
        <x:v>P1 red block at R3 (5 cm right of center) [REFERENCE]; P2 green pen 24 cm to the right of P1 [TARGET START]; P3 pink marker 15 cm in front of P1 [DISTRACTOR]</x:v>
      </x:c>
      <x:c r="E11" s="69" t="str">
        <x:v>8</x:v>
      </x:c>
      <x:c r="F11" s="69" t="str">
        <x:v>green pen → 2–8 cm edge gap to the right of red block; centroid direction within ±45°</x:v>
      </x:c>
      <x:c r="G11" s="69" t="str">
        <x:v>Placed it on top and fell to the right. Looks like it is going for the right side, but still bumping the block.</x:v>
      </x:c>
      <x:c r="H11" s="69" t="str">
        <x:v>Exact-scene opposite-direction contrast</x:v>
      </x:c>
      <x:c r="I11" s="69" t="str">
        <x:v>RP-F03</x:v>
      </x:c>
      <x:c r="J11" s="69" t="str">
        <x:v>right</x:v>
      </x:c>
      <x:c r="K11" s="69" t="str">
        <x:v>3</x:v>
      </x:c>
      <x:c r="L11" s="69" t="str">
        <x:v>2 — Exact-scene opposite-direction contrast — Direction-word counterfactual (left→right)</x:v>
      </x:c>
      <x:c r="M11" s="69" t="str">
        <x:v>3</x:v>
      </x:c>
      <x:c r="N11" s="69" t="str">
        <x:v>Reset only P2 to its marked start. Preserve the exact scene; change only the directional word and expected goal sector.</x:v>
      </x:c>
      <x:c r="O11" s="69" t="str">
        <x:v>Exact-scene semantic counterfactual. Target and reference identities stay fixed while the requested endpoint reverses front↔behind or left↔right.</x:v>
      </x:c>
      <x:c r="P11" s="70" t="str"/>
    </x:row>
    <x:row r="12" ht="54" customHeight="1">
      <x:c r="A12" s="68" t="str">
        <x:v>Failure</x:v>
      </x:c>
      <x:c r="B12" s="69" t="str">
        <x:v>10</x:v>
      </x:c>
      <x:c r="C12" s="69" t="str">
        <x:v>Set the green pen on the left-hand side of the red block.</x:v>
      </x:c>
      <x:c r="D12" s="69" t="str">
        <x:v>P1 red block at R3 (5 cm right of center) [REFERENCE]; P2 green pen 24 cm to the right of P1 [TARGET START]; P3 pink marker 15 cm in front of P1 [DISTRACTOR]</x:v>
      </x:c>
      <x:c r="E12" s="69" t="str">
        <x:v>8</x:v>
      </x:c>
      <x:c r="F12" s="69" t="str">
        <x:v>green pen → 2–8 cm edge gap to the left of red block; centroid direction within ±45°</x:v>
      </x:c>
      <x:c r="G12" s="69" t="str">
        <x:v>Placed it right on top of the block.</x:v>
      </x:c>
      <x:c r="H12" s="69" t="str">
        <x:v>Language robustness</x:v>
      </x:c>
      <x:c r="I12" s="69" t="str">
        <x:v>RP-F03</x:v>
      </x:c>
      <x:c r="J12" s="69" t="str">
        <x:v>left</x:v>
      </x:c>
      <x:c r="K12" s="69" t="str">
        <x:v>3</x:v>
      </x:c>
      <x:c r="L12" s="69" t="str">
        <x:v>3 — Exact-scene transfer paraphrase — Paraphrase of concept/compositional-transfer prompt</x:v>
      </x:c>
      <x:c r="M12" s="69" t="str">
        <x:v>3</x:v>
      </x:c>
      <x:c r="N12" s="69" t="str">
        <x:v>Reset only P2 to its marked start; change only the prompt wording.</x:v>
      </x:c>
      <x:c r="O12" s="69" t="str">
        <x:v>Exact-scene language comparison for the held-out pair composition.</x:v>
      </x:c>
      <x:c r="P12" s="70" t="str"/>
    </x:row>
    <x:row r="13" ht="54" customHeight="1">
      <x:c r="A13" s="68" t="str">
        <x:v>Success</x:v>
      </x:c>
      <x:c r="B13" s="69" t="str">
        <x:v>11</x:v>
      </x:c>
      <x:c r="C13" s="69" t="str">
        <x:v>Put the green pen beside the red block.</x:v>
      </x:c>
      <x:c r="D13" s="69" t="str">
        <x:v>P1 red block at R3 (5 cm right of center) [REFERENCE]; P2 green pen 24 cm to the right of P1 [TARGET START]; P3 pink marker 15 cm in front of P1 [DISTRACTOR]</x:v>
      </x:c>
      <x:c r="E13" s="69" t="str">
        <x:v>8</x:v>
      </x:c>
      <x:c r="F13" s="69" t="str">
        <x:v>green pen → 2–8 cm edge gap from red block (any direction)</x:v>
      </x:c>
      <x:c r="G13" s="69" t="str">
        <x:v>Placed it on top again and fell to bottom left corner.</x:v>
      </x:c>
      <x:c r="H13" s="69" t="str">
        <x:v>Matched manipulation control</x:v>
      </x:c>
      <x:c r="I13" s="69" t="str">
        <x:v>RP-F03</x:v>
      </x:c>
      <x:c r="J13" s="69" t="str">
        <x:v>near</x:v>
      </x:c>
      <x:c r="K13" s="69" t="str">
        <x:v>3</x:v>
      </x:c>
      <x:c r="L13" s="69" t="str">
        <x:v>4 — Matched control — Seen near/next-to/beside relation on the same ordered pair (3 objects)</x:v>
      </x:c>
      <x:c r="M13" s="69" t="str">
        <x:v>3</x:v>
      </x:c>
      <x:c r="N13" s="69" t="str">
        <x:v>Reset only P2 to its marked start. Keep every object, camera setting, and pose fixed; change only the prompt.</x:v>
      </x:c>
      <x:c r="O13" s="69" t="str">
        <x:v>Controls target/reference recognition and basic pick-place on the exact pair. It is skill-matched but not direction-endpoint-matched, so analyze the paired success delta separately.</x:v>
      </x:c>
      <x:c r="P13" s="70" t="str"/>
    </x:row>
    <x:row r="14" ht="54" customHeight="1">
      <x:c r="A14" s="68" t="str">
        <x:v>Success</x:v>
      </x:c>
      <x:c r="B14" s="69" t="str">
        <x:v>12</x:v>
      </x:c>
      <x:c r="C14" s="69" t="str">
        <x:v>Place the red block to the right of the green pen.</x:v>
      </x:c>
      <x:c r="D14" s="69" t="str">
        <x:v>P1 green pen at R4 (5 cm toward the robot from center) [REFERENCE]; P2 red block 18 cm to the left of P1 [TARGET START]; P3 pink marker 15 cm in front of P1 [DISTRACTOR]</x:v>
      </x:c>
      <x:c r="E14" s="69" t="str"/>
      <x:c r="F14" s="69" t="str">
        <x:v>red block → 2–8 cm edge gap to the right of green pen; centroid direction within ±45°</x:v>
      </x:c>
      <x:c r="G14" s="69" t="str"/>
      <x:c r="H14" s="69" t="str">
        <x:v>Concept/compositional transfer</x:v>
      </x:c>
      <x:c r="I14" s="69" t="str">
        <x:v>RP-F04</x:v>
      </x:c>
      <x:c r="J14" s="69" t="str">
        <x:v>right</x:v>
      </x:c>
      <x:c r="K14" s="69" t="str">
        <x:v>3</x:v>
      </x:c>
      <x:c r="L14" s="69" t="str">
        <x:v>1 — Canonical transfer — Held-out direction × green-pen/red-block pair (right)</x:v>
      </x:c>
      <x:c r="M14" s="69" t="str">
        <x:v>4</x:v>
      </x:c>
      <x:c r="N14" s="69" t="str">
        <x:v>Build the marked scene. Target starts in the opposite sector and outside the success gap; save a first-frame filename.</x:v>
      </x:c>
      <x:c r="O14" s="69" t="str">
        <x:v>Directional language is trained on other object pairs, but all directional green-pen/red-block demonstrations are withheld in both target/reference directions.</x:v>
      </x:c>
      <x:c r="P14" s="70" t="str"/>
    </x:row>
    <x:row r="15" ht="54" customHeight="1">
      <x:c r="A15" s="68" t="str">
        <x:v>Success</x:v>
      </x:c>
      <x:c r="B15" s="69" t="str">
        <x:v>13</x:v>
      </x:c>
      <x:c r="C15" s="69" t="str">
        <x:v>Place the red block to the left of the green pen.</x:v>
      </x:c>
      <x:c r="D15" s="69" t="str">
        <x:v>P1 green pen at R4 (5 cm toward the robot from center) [REFERENCE]; P2 red block 18 cm to the left of P1 [TARGET START]; P3 pink marker 15 cm in front of P1 [DISTRACTOR]</x:v>
      </x:c>
      <x:c r="E15" s="69" t="str">
        <x:v>12</x:v>
      </x:c>
      <x:c r="F15" s="69" t="str">
        <x:v>red block → 2–8 cm edge gap to the left of green pen; centroid direction within ±45°</x:v>
      </x:c>
      <x:c r="G15" s="69" t="str">
        <x:v>Lowkey more on the top left but it def still is left since pen is at an angle.</x:v>
      </x:c>
      <x:c r="H15" s="69" t="str">
        <x:v>Exact-scene opposite-direction contrast</x:v>
      </x:c>
      <x:c r="I15" s="69" t="str">
        <x:v>RP-F04</x:v>
      </x:c>
      <x:c r="J15" s="69" t="str">
        <x:v>left</x:v>
      </x:c>
      <x:c r="K15" s="69" t="str">
        <x:v>3</x:v>
      </x:c>
      <x:c r="L15" s="69" t="str">
        <x:v>2 — Exact-scene opposite-direction contrast — Direction-word counterfactual (right→left)</x:v>
      </x:c>
      <x:c r="M15" s="69" t="str">
        <x:v>4</x:v>
      </x:c>
      <x:c r="N15" s="69" t="str">
        <x:v>Reset only P2 to its marked start. Preserve the exact scene; change only the directional word and expected goal sector.</x:v>
      </x:c>
      <x:c r="O15" s="69" t="str">
        <x:v>Exact-scene semantic counterfactual. Target and reference identities stay fixed while the requested endpoint reverses front↔behind or left↔right.</x:v>
      </x:c>
      <x:c r="P15" s="70" t="str"/>
    </x:row>
    <x:row r="16" ht="54" customHeight="1">
      <x:c r="A16" s="68" t="str">
        <x:v>Success</x:v>
      </x:c>
      <x:c r="B16" s="69" t="str">
        <x:v>14</x:v>
      </x:c>
      <x:c r="C16" s="69" t="str">
        <x:v>Move the red block to the side immediately right of the green pen.</x:v>
      </x:c>
      <x:c r="D16" s="69" t="str">
        <x:v>P1 green pen at R4 (5 cm toward the robot from center) [REFERENCE]; P2 red block 18 cm to the left of P1 [TARGET START]; P3 pink marker 15 cm in front of P1 [DISTRACTOR]</x:v>
      </x:c>
      <x:c r="E16" s="69" t="str">
        <x:v>12</x:v>
      </x:c>
      <x:c r="F16" s="69" t="str">
        <x:v>red block → 2–8 cm edge gap to the right of green pen; centroid direction within ±45°</x:v>
      </x:c>
      <x:c r="G16" s="69" t="str">
        <x:v>put it on top of the pen causing it to move, but the block did end up to the right of the pen. This one is kind of an ambiguous success.</x:v>
      </x:c>
      <x:c r="H16" s="69" t="str">
        <x:v>Language robustness</x:v>
      </x:c>
      <x:c r="I16" s="69" t="str">
        <x:v>RP-F04</x:v>
      </x:c>
      <x:c r="J16" s="69" t="str">
        <x:v>right</x:v>
      </x:c>
      <x:c r="K16" s="69" t="str">
        <x:v>3</x:v>
      </x:c>
      <x:c r="L16" s="69" t="str">
        <x:v>3 — Exact-scene transfer paraphrase — Paraphrase of concept/compositional-transfer prompt</x:v>
      </x:c>
      <x:c r="M16" s="69" t="str">
        <x:v>4</x:v>
      </x:c>
      <x:c r="N16" s="69" t="str">
        <x:v>Reset only P2 to its marked start; change only the prompt wording.</x:v>
      </x:c>
      <x:c r="O16" s="69" t="str">
        <x:v>Exact-scene language comparison for the held-out pair composition.</x:v>
      </x:c>
      <x:c r="P16" s="70" t="str"/>
    </x:row>
    <x:row r="17" ht="54" customHeight="1">
      <x:c r="A17" s="68" t="str">
        <x:v>Success</x:v>
      </x:c>
      <x:c r="B17" s="69" t="str">
        <x:v>15</x:v>
      </x:c>
      <x:c r="C17" s="69" t="str">
        <x:v>Move the red block near the green pen.</x:v>
      </x:c>
      <x:c r="D17" s="69" t="str">
        <x:v>P1 green pen at R4 (5 cm toward the robot from center) [REFERENCE]; P2 red block 18 cm to the left of P1 [TARGET START]; P3 pink marker 15 cm in front of P1 [DISTRACTOR]</x:v>
      </x:c>
      <x:c r="E17" s="69" t="str">
        <x:v>12</x:v>
      </x:c>
      <x:c r="F17" s="69" t="str">
        <x:v>red block → 2–8 cm edge gap from green pen (any direction)</x:v>
      </x:c>
      <x:c r="G17" s="69" t="str"/>
      <x:c r="H17" s="69" t="str">
        <x:v>Matched manipulation control</x:v>
      </x:c>
      <x:c r="I17" s="69" t="str">
        <x:v>RP-F04</x:v>
      </x:c>
      <x:c r="J17" s="69" t="str">
        <x:v>near</x:v>
      </x:c>
      <x:c r="K17" s="69" t="str">
        <x:v>3</x:v>
      </x:c>
      <x:c r="L17" s="69" t="str">
        <x:v>4 — Matched control — Seen near/next-to/beside relation on the same ordered pair (3 objects)</x:v>
      </x:c>
      <x:c r="M17" s="69" t="str">
        <x:v>4</x:v>
      </x:c>
      <x:c r="N17" s="69" t="str">
        <x:v>Reset only P2 to its marked start. Keep every object, camera setting, and pose fixed; change only the prompt.</x:v>
      </x:c>
      <x:c r="O17" s="69" t="str">
        <x:v>Controls target/reference recognition and basic pick-place on the exact pair. It is skill-matched but not direction-endpoint-matched, so analyze the paired success delta separately.</x:v>
      </x:c>
      <x:c r="P17" s="70" t="str"/>
    </x:row>
    <x:row r="18" ht="54" customHeight="1">
      <x:c r="A18" s="68" t="str">
        <x:v>Success</x:v>
      </x:c>
      <x:c r="B18" s="69" t="str">
        <x:v>16</x:v>
      </x:c>
      <x:c r="C18" s="69" t="str">
        <x:v>Move the red block to the front of the green pen.</x:v>
      </x:c>
      <x:c r="D18" s="69" t="str">
        <x:v>P1 green pen at R5 (5 cm away from the robot from center) [REFERENCE]; P2 red block 21 cm behind P1 [TARGET START]; P3 pink marker 15 cm to the left of P1 [DISTRACTOR]</x:v>
      </x:c>
      <x:c r="E18" s="69" t="str"/>
      <x:c r="F18" s="69" t="str">
        <x:v>red block → 2–8 cm edge gap in front of green pen; centroid direction within ±45°</x:v>
      </x:c>
      <x:c r="G18" s="69" t="str"/>
      <x:c r="H18" s="69" t="str">
        <x:v>Concept/compositional transfer</x:v>
      </x:c>
      <x:c r="I18" s="69" t="str">
        <x:v>RP-F05</x:v>
      </x:c>
      <x:c r="J18" s="69" t="str">
        <x:v>front</x:v>
      </x:c>
      <x:c r="K18" s="69" t="str">
        <x:v>3</x:v>
      </x:c>
      <x:c r="L18" s="69" t="str">
        <x:v>1 — Canonical transfer — Held-out direction × green-pen/red-block pair (front)</x:v>
      </x:c>
      <x:c r="M18" s="69" t="str">
        <x:v>5</x:v>
      </x:c>
      <x:c r="N18" s="69" t="str">
        <x:v>Build the marked scene. Target starts in the opposite sector and outside the success gap; save a first-frame filename.</x:v>
      </x:c>
      <x:c r="O18" s="69" t="str">
        <x:v>Directional language is trained on other object pairs, but all directional green-pen/red-block demonstrations are withheld in both target/reference directions.</x:v>
      </x:c>
      <x:c r="P18" s="70" t="str"/>
    </x:row>
    <x:row r="19" ht="54" customHeight="1">
      <x:c r="A19" s="68" t="str">
        <x:v>Success</x:v>
      </x:c>
      <x:c r="B19" s="69" t="str">
        <x:v>17</x:v>
      </x:c>
      <x:c r="C19" s="69" t="str">
        <x:v>Put the red block on the table behind the green pen.</x:v>
      </x:c>
      <x:c r="D19" s="69" t="str">
        <x:v>P1 green pen at R5 (5 cm away from the robot from center) [REFERENCE]; P2 red block 21 cm behind P1 [TARGET START]; P3 pink marker 15 cm to the left of P1 [DISTRACTOR]</x:v>
      </x:c>
      <x:c r="E19" s="69" t="str">
        <x:v>16</x:v>
      </x:c>
      <x:c r="F19" s="69" t="str">
        <x:v>red block → 2–8 cm edge gap behind green pen; centroid direction within ±45°</x:v>
      </x:c>
      <x:c r="G19" s="69" t="str"/>
      <x:c r="H19" s="69" t="str">
        <x:v>Exact-scene opposite-direction contrast</x:v>
      </x:c>
      <x:c r="I19" s="69" t="str">
        <x:v>RP-F05</x:v>
      </x:c>
      <x:c r="J19" s="69" t="str">
        <x:v>behind</x:v>
      </x:c>
      <x:c r="K19" s="69" t="str">
        <x:v>3</x:v>
      </x:c>
      <x:c r="L19" s="69" t="str">
        <x:v>2 — Exact-scene opposite-direction contrast — Direction-word counterfactual (front→behind)</x:v>
      </x:c>
      <x:c r="M19" s="69" t="str">
        <x:v>5</x:v>
      </x:c>
      <x:c r="N19" s="69" t="str">
        <x:v>Reset only P2 to its marked start. Preserve the exact scene; change only the directional word and expected goal sector.</x:v>
      </x:c>
      <x:c r="O19" s="69" t="str">
        <x:v>Exact-scene semantic counterfactual. Target and reference identities stay fixed while the requested endpoint reverses front↔behind or left↔right.</x:v>
      </x:c>
      <x:c r="P19" s="70" t="str"/>
    </x:row>
    <x:row r="20" ht="54" customHeight="1">
      <x:c r="A20" s="68" t="str">
        <x:v>Failure</x:v>
      </x:c>
      <x:c r="B20" s="69" t="str">
        <x:v>18</x:v>
      </x:c>
      <x:c r="C20" s="69" t="str">
        <x:v>Move the red block to the robot-facing side of the green pen.</x:v>
      </x:c>
      <x:c r="D20" s="69" t="str">
        <x:v>P1 green pen at R5 (5 cm away from the robot from center) [REFERENCE]; P2 red block 21 cm behind P1 [TARGET START]; P3 pink marker 15 cm to the left of P1 [DISTRACTOR]</x:v>
      </x:c>
      <x:c r="E20" s="69" t="str">
        <x:v>16</x:v>
      </x:c>
      <x:c r="F20" s="69" t="str">
        <x:v>red block → 2–8 cm edge gap in front of green pen; centroid direction within ±45°</x:v>
      </x:c>
      <x:c r="G20" s="69" t="str">
        <x:v>Moved it to the back of the pen.</x:v>
      </x:c>
      <x:c r="H20" s="69" t="str">
        <x:v>Language robustness</x:v>
      </x:c>
      <x:c r="I20" s="69" t="str">
        <x:v>RP-F05</x:v>
      </x:c>
      <x:c r="J20" s="69" t="str">
        <x:v>front</x:v>
      </x:c>
      <x:c r="K20" s="69" t="str">
        <x:v>3</x:v>
      </x:c>
      <x:c r="L20" s="69" t="str">
        <x:v>3 — Exact-scene transfer paraphrase — Paraphrase of concept/compositional-transfer prompt</x:v>
      </x:c>
      <x:c r="M20" s="69" t="str">
        <x:v>5</x:v>
      </x:c>
      <x:c r="N20" s="69" t="str">
        <x:v>Reset only P2 to its marked start; change only the prompt wording.</x:v>
      </x:c>
      <x:c r="O20" s="69" t="str">
        <x:v>Exact-scene language comparison for the held-out pair composition.</x:v>
      </x:c>
      <x:c r="P20" s="70" t="str"/>
    </x:row>
    <x:row r="21" ht="54" customHeight="1">
      <x:c r="A21" s="68" t="str">
        <x:v>Success</x:v>
      </x:c>
      <x:c r="B21" s="69" t="str">
        <x:v>19</x:v>
      </x:c>
      <x:c r="C21" s="69" t="str">
        <x:v>Place the red block next to the green pen.</x:v>
      </x:c>
      <x:c r="D21" s="69" t="str">
        <x:v>P1 green pen at R5 (5 cm away from the robot from center) [REFERENCE]; P2 red block 21 cm behind P1 [TARGET START]; P3 pink marker 15 cm to the left of P1 [DISTRACTOR]</x:v>
      </x:c>
      <x:c r="E21" s="69" t="str">
        <x:v>16</x:v>
      </x:c>
      <x:c r="F21" s="69" t="str">
        <x:v>red block → 2–8 cm edge gap from green pen (any direction)</x:v>
      </x:c>
      <x:c r="G21" s="69" t="str">
        <x:v>Bumped the pen, but satisfies the next to condition.</x:v>
      </x:c>
      <x:c r="H21" s="69" t="str">
        <x:v>Matched manipulation control</x:v>
      </x:c>
      <x:c r="I21" s="69" t="str">
        <x:v>RP-F05</x:v>
      </x:c>
      <x:c r="J21" s="69" t="str">
        <x:v>near</x:v>
      </x:c>
      <x:c r="K21" s="69" t="str">
        <x:v>3</x:v>
      </x:c>
      <x:c r="L21" s="69" t="str">
        <x:v>4 — Matched control — Seen near/next-to/beside relation on the same ordered pair (3 objects)</x:v>
      </x:c>
      <x:c r="M21" s="69" t="str">
        <x:v>5</x:v>
      </x:c>
      <x:c r="N21" s="69" t="str">
        <x:v>Reset only P2 to its marked start. Keep every object, camera setting, and pose fixed; change only the prompt.</x:v>
      </x:c>
      <x:c r="O21" s="69" t="str">
        <x:v>Controls target/reference recognition and basic pick-place on the exact pair. It is skill-matched but not direction-endpoint-matched, so analyze the paired success delta separately.</x:v>
      </x:c>
      <x:c r="P21" s="70" t="str"/>
    </x:row>
    <x:row r="22" ht="54" customHeight="1">
      <x:c r="A22" s="68" t="str">
        <x:v>Success</x:v>
      </x:c>
      <x:c r="B22" s="69" t="str">
        <x:v>20</x:v>
      </x:c>
      <x:c r="C22" s="69" t="str">
        <x:v>Put the green pen on the table behind the red block.</x:v>
      </x:c>
      <x:c r="D22" s="69" t="str">
        <x:v>P1 red block at R1 (table center) [REFERENCE]; P2 green pen 24 cm in front of P1 [TARGET START]; P3 pink marker 15 cm to the left of P1 [DISTRACTOR]</x:v>
      </x:c>
      <x:c r="E22" s="69" t="str"/>
      <x:c r="F22" s="69" t="str">
        <x:v>green pen → 2–8 cm edge gap behind red block; centroid direction within ±45°</x:v>
      </x:c>
      <x:c r="G22" s="69" t="str">
        <x:v>Also an ambiguous success. More towards the right than behind the block, but I'm counting it.</x:v>
      </x:c>
      <x:c r="H22" s="69" t="str">
        <x:v>Concept/compositional transfer</x:v>
      </x:c>
      <x:c r="I22" s="69" t="str">
        <x:v>RP-F06</x:v>
      </x:c>
      <x:c r="J22" s="69" t="str">
        <x:v>behind</x:v>
      </x:c>
      <x:c r="K22" s="69" t="str">
        <x:v>3</x:v>
      </x:c>
      <x:c r="L22" s="69" t="str">
        <x:v>1 — Canonical transfer — Held-out direction × green-pen/red-block pair (behind)</x:v>
      </x:c>
      <x:c r="M22" s="69" t="str">
        <x:v>6</x:v>
      </x:c>
      <x:c r="N22" s="69" t="str">
        <x:v>Build the marked scene. Target starts in the opposite sector and outside the success gap; save a first-frame filename.</x:v>
      </x:c>
      <x:c r="O22" s="69" t="str">
        <x:v>Directional language is trained on other object pairs, but all directional green-pen/red-block demonstrations are withheld in both target/reference directions.</x:v>
      </x:c>
      <x:c r="P22" s="70" t="str"/>
    </x:row>
    <x:row r="23" ht="54" customHeight="1">
      <x:c r="A23" s="68" t="str">
        <x:v>Success</x:v>
      </x:c>
      <x:c r="B23" s="69" t="str">
        <x:v>21</x:v>
      </x:c>
      <x:c r="C23" s="69" t="str">
        <x:v>Place the green pen in front of the red block.</x:v>
      </x:c>
      <x:c r="D23" s="69" t="str">
        <x:v>P1 red block at R1 (table center) [REFERENCE]; P2 green pen 24 cm in front of P1 [TARGET START]; P3 pink marker 15 cm to the left of P1 [DISTRACTOR]</x:v>
      </x:c>
      <x:c r="E23" s="69" t="str">
        <x:v>20</x:v>
      </x:c>
      <x:c r="F23" s="69" t="str">
        <x:v>green pen → 2–8 cm edge gap in front of red block; centroid direction within ±45°</x:v>
      </x:c>
      <x:c r="G23" s="69" t="str"/>
      <x:c r="H23" s="69" t="str">
        <x:v>Exact-scene opposite-direction contrast</x:v>
      </x:c>
      <x:c r="I23" s="69" t="str">
        <x:v>RP-F06</x:v>
      </x:c>
      <x:c r="J23" s="69" t="str">
        <x:v>front</x:v>
      </x:c>
      <x:c r="K23" s="69" t="str">
        <x:v>3</x:v>
      </x:c>
      <x:c r="L23" s="69" t="str">
        <x:v>2 — Exact-scene opposite-direction contrast — Direction-word counterfactual (behind→front)</x:v>
      </x:c>
      <x:c r="M23" s="69" t="str">
        <x:v>6</x:v>
      </x:c>
      <x:c r="N23" s="69" t="str">
        <x:v>Reset only P2 to its marked start. Preserve the exact scene; change only the directional word and expected goal sector.</x:v>
      </x:c>
      <x:c r="O23" s="69" t="str">
        <x:v>Exact-scene semantic counterfactual. Target and reference identities stay fixed while the requested endpoint reverses front↔behind or left↔right.</x:v>
      </x:c>
      <x:c r="P23" s="70" t="str"/>
    </x:row>
    <x:row r="24" ht="54" customHeight="1">
      <x:c r="A24" s="68" t="str">
        <x:v>Failure</x:v>
      </x:c>
      <x:c r="B24" s="69" t="str">
        <x:v>22</x:v>
      </x:c>
      <x:c r="C24" s="69" t="str">
        <x:v>Move the green pen to the rear side of the red block.</x:v>
      </x:c>
      <x:c r="D24" s="69" t="str">
        <x:v>P1 red block at R1 (table center) [REFERENCE]; P2 green pen 24 cm in front of P1 [TARGET START]; P3 pink marker 15 cm to the left of P1 [DISTRACTOR]</x:v>
      </x:c>
      <x:c r="E24" s="69" t="str">
        <x:v>20</x:v>
      </x:c>
      <x:c r="F24" s="69" t="str">
        <x:v>green pen → 2–8 cm edge gap behind red block; centroid direction within ±45°</x:v>
      </x:c>
      <x:c r="G24" s="69" t="str">
        <x:v>Placed the green pen directly to the right of the block.</x:v>
      </x:c>
      <x:c r="H24" s="69" t="str">
        <x:v>Language robustness</x:v>
      </x:c>
      <x:c r="I24" s="69" t="str">
        <x:v>RP-F06</x:v>
      </x:c>
      <x:c r="J24" s="69" t="str">
        <x:v>behind</x:v>
      </x:c>
      <x:c r="K24" s="69" t="str">
        <x:v>3</x:v>
      </x:c>
      <x:c r="L24" s="69" t="str">
        <x:v>3 — Exact-scene transfer paraphrase — Paraphrase of concept/compositional-transfer prompt</x:v>
      </x:c>
      <x:c r="M24" s="69" t="str">
        <x:v>6</x:v>
      </x:c>
      <x:c r="N24" s="69" t="str">
        <x:v>Reset only P2 to its marked start; change only the prompt wording.</x:v>
      </x:c>
      <x:c r="O24" s="69" t="str">
        <x:v>Exact-scene language comparison for the held-out pair composition.</x:v>
      </x:c>
      <x:c r="P24" s="70" t="str"/>
    </x:row>
    <x:row r="25" ht="54" customHeight="1">
      <x:c r="A25" s="68" t="str">
        <x:v>Failure</x:v>
      </x:c>
      <x:c r="B25" s="69" t="str">
        <x:v>23</x:v>
      </x:c>
      <x:c r="C25" s="69" t="str">
        <x:v>Put the green pen beside the red block.</x:v>
      </x:c>
      <x:c r="D25" s="69" t="str">
        <x:v>P1 red block at R1 (table center) [REFERENCE]; P2 green pen 24 cm in front of P1 [TARGET START]; P3 pink marker 15 cm to the left of P1 [DISTRACTOR]</x:v>
      </x:c>
      <x:c r="E25" s="69" t="str">
        <x:v>20</x:v>
      </x:c>
      <x:c r="F25" s="69" t="str">
        <x:v>green pen → 2–8 cm edge gap from red block (any direction)</x:v>
      </x:c>
      <x:c r="G25" s="69" t="str">
        <x:v>One end of the pen is resting on the table, but the other end of the pen is on the table. It moved it to the block, but didn't really place it right beside it.</x:v>
      </x:c>
      <x:c r="H25" s="69" t="str">
        <x:v>Matched manipulation control</x:v>
      </x:c>
      <x:c r="I25" s="69" t="str">
        <x:v>RP-F06</x:v>
      </x:c>
      <x:c r="J25" s="69" t="str">
        <x:v>near</x:v>
      </x:c>
      <x:c r="K25" s="69" t="str">
        <x:v>3</x:v>
      </x:c>
      <x:c r="L25" s="69" t="str">
        <x:v>4 — Matched control — Seen near/next-to/beside relation on the same ordered pair (3 objects)</x:v>
      </x:c>
      <x:c r="M25" s="69" t="str">
        <x:v>6</x:v>
      </x:c>
      <x:c r="N25" s="69" t="str">
        <x:v>Reset only P2 to its marked start. Keep every object, camera setting, and pose fixed; change only the prompt.</x:v>
      </x:c>
      <x:c r="O25" s="69" t="str">
        <x:v>Controls target/reference recognition and basic pick-place on the exact pair. It is skill-matched but not direction-endpoint-matched, so analyze the paired success delta separately.</x:v>
      </x:c>
      <x:c r="P25" s="70" t="str"/>
    </x:row>
    <x:row r="26" ht="54" customHeight="1">
      <x:c r="A26" s="68" t="str">
        <x:v>Success</x:v>
      </x:c>
      <x:c r="B26" s="69" t="str">
        <x:v>24</x:v>
      </x:c>
      <x:c r="C26" s="69" t="str">
        <x:v>Place the red block to the left of the green pen.</x:v>
      </x:c>
      <x:c r="D26" s="69" t="str">
        <x:v>P1 green pen at R2 (5 cm left of center) [REFERENCE]; P2 red block 18 cm to the right of P1 [TARGET START]; P3 pink marker 15 cm in front of P1 [DISTRACTOR]</x:v>
      </x:c>
      <x:c r="E26" s="69" t="str"/>
      <x:c r="F26" s="69" t="str">
        <x:v>red block → 2–8 cm edge gap to the left of green pen; centroid direction within ±45°</x:v>
      </x:c>
      <x:c r="G26" s="69" t="str"/>
      <x:c r="H26" s="69" t="str">
        <x:v>Concept/compositional transfer</x:v>
      </x:c>
      <x:c r="I26" s="69" t="str">
        <x:v>RP-F07</x:v>
      </x:c>
      <x:c r="J26" s="69" t="str">
        <x:v>left</x:v>
      </x:c>
      <x:c r="K26" s="69" t="str">
        <x:v>3</x:v>
      </x:c>
      <x:c r="L26" s="69" t="str">
        <x:v>1 — Canonical transfer — Held-out direction × green-pen/red-block pair (left)</x:v>
      </x:c>
      <x:c r="M26" s="69" t="str">
        <x:v>7</x:v>
      </x:c>
      <x:c r="N26" s="69" t="str">
        <x:v>Build the marked scene. Target starts in the opposite sector and outside the success gap; save a first-frame filename.</x:v>
      </x:c>
      <x:c r="O26" s="69" t="str">
        <x:v>Directional language is trained on other object pairs, but all directional green-pen/red-block demonstrations are withheld in both target/reference directions.</x:v>
      </x:c>
      <x:c r="P26" s="70" t="str"/>
    </x:row>
    <x:row r="27" ht="54" customHeight="1">
      <x:c r="A27" s="68" t="str">
        <x:v>Failure</x:v>
      </x:c>
      <x:c r="B27" s="69" t="str">
        <x:v>25</x:v>
      </x:c>
      <x:c r="C27" s="69" t="str">
        <x:v>Place the red block to the right of the green pen.</x:v>
      </x:c>
      <x:c r="D27" s="69" t="str">
        <x:v>P1 green pen at R2 (5 cm left of center) [REFERENCE]; P2 red block 18 cm to the right of P1 [TARGET START]; P3 pink marker 15 cm in front of P1 [DISTRACTOR]</x:v>
      </x:c>
      <x:c r="E27" s="69" t="str">
        <x:v>24</x:v>
      </x:c>
      <x:c r="F27" s="69" t="str">
        <x:v>red block → 2–8 cm edge gap to the right of green pen; centroid direction within ±45°</x:v>
      </x:c>
      <x:c r="G27" s="69" t="str">
        <x:v>Placed the block directly above the pen.</x:v>
      </x:c>
      <x:c r="H27" s="69" t="str">
        <x:v>Exact-scene opposite-direction contrast</x:v>
      </x:c>
      <x:c r="I27" s="69" t="str">
        <x:v>RP-F07</x:v>
      </x:c>
      <x:c r="J27" s="69" t="str">
        <x:v>right</x:v>
      </x:c>
      <x:c r="K27" s="69" t="str">
        <x:v>3</x:v>
      </x:c>
      <x:c r="L27" s="69" t="str">
        <x:v>2 — Exact-scene opposite-direction contrast — Direction-word counterfactual (left→right)</x:v>
      </x:c>
      <x:c r="M27" s="69" t="str">
        <x:v>7</x:v>
      </x:c>
      <x:c r="N27" s="69" t="str">
        <x:v>Reset only P2 to its marked start. Preserve the exact scene; change only the directional word and expected goal sector.</x:v>
      </x:c>
      <x:c r="O27" s="69" t="str">
        <x:v>Exact-scene semantic counterfactual. Target and reference identities stay fixed while the requested endpoint reverses front↔behind or left↔right.</x:v>
      </x:c>
      <x:c r="P27" s="70" t="str"/>
    </x:row>
    <x:row r="28" ht="54" customHeight="1">
      <x:c r="A28" s="68" t="str">
        <x:v>Success</x:v>
      </x:c>
      <x:c r="B28" s="69" t="str">
        <x:v>26</x:v>
      </x:c>
      <x:c r="C28" s="69" t="str">
        <x:v>Set the red block on the left-hand side of the green pen.</x:v>
      </x:c>
      <x:c r="D28" s="69" t="str">
        <x:v>P1 green pen at R2 (5 cm left of center) [REFERENCE]; P2 red block 18 cm to the right of P1 [TARGET START]; P3 pink marker 15 cm in front of P1 [DISTRACTOR]</x:v>
      </x:c>
      <x:c r="E28" s="69" t="str">
        <x:v>24</x:v>
      </x:c>
      <x:c r="F28" s="69" t="str">
        <x:v>red block → 2–8 cm edge gap to the left of green pen; centroid direction within ±45°</x:v>
      </x:c>
      <x:c r="G28" s="69" t="str">
        <x:v>Placed the block to the top left of the pen. I think it counts.</x:v>
      </x:c>
      <x:c r="H28" s="69" t="str">
        <x:v>Language robustness</x:v>
      </x:c>
      <x:c r="I28" s="69" t="str">
        <x:v>RP-F07</x:v>
      </x:c>
      <x:c r="J28" s="69" t="str">
        <x:v>left</x:v>
      </x:c>
      <x:c r="K28" s="69" t="str">
        <x:v>3</x:v>
      </x:c>
      <x:c r="L28" s="69" t="str">
        <x:v>3 — Exact-scene transfer paraphrase — Paraphrase of concept/compositional-transfer prompt</x:v>
      </x:c>
      <x:c r="M28" s="69" t="str">
        <x:v>7</x:v>
      </x:c>
      <x:c r="N28" s="69" t="str">
        <x:v>Reset only P2 to its marked start; change only the prompt wording.</x:v>
      </x:c>
      <x:c r="O28" s="69" t="str">
        <x:v>Exact-scene language comparison for the held-out pair composition.</x:v>
      </x:c>
      <x:c r="P28" s="70" t="str"/>
    </x:row>
    <x:row r="29" ht="54" customHeight="1">
      <x:c r="A29" s="68" t="str">
        <x:v>Success</x:v>
      </x:c>
      <x:c r="B29" s="69" t="str">
        <x:v>27</x:v>
      </x:c>
      <x:c r="C29" s="69" t="str">
        <x:v>Move the red block near the green pen.</x:v>
      </x:c>
      <x:c r="D29" s="69" t="str">
        <x:v>P1 green pen at R2 (5 cm left of center) [REFERENCE]; P2 red block 18 cm to the right of P1 [TARGET START]; P3 pink marker 15 cm in front of P1 [DISTRACTOR]</x:v>
      </x:c>
      <x:c r="E29" s="69" t="str">
        <x:v>24</x:v>
      </x:c>
      <x:c r="F29" s="69" t="str">
        <x:v>red block → 2–8 cm edge gap from green pen (any direction)</x:v>
      </x:c>
      <x:c r="G29" s="69" t="str"/>
      <x:c r="H29" s="69" t="str">
        <x:v>Matched manipulation control</x:v>
      </x:c>
      <x:c r="I29" s="69" t="str">
        <x:v>RP-F07</x:v>
      </x:c>
      <x:c r="J29" s="69" t="str">
        <x:v>near</x:v>
      </x:c>
      <x:c r="K29" s="69" t="str">
        <x:v>3</x:v>
      </x:c>
      <x:c r="L29" s="69" t="str">
        <x:v>4 — Matched control — Seen near/next-to/beside relation on the same ordered pair (3 objects)</x:v>
      </x:c>
      <x:c r="M29" s="69" t="str">
        <x:v>7</x:v>
      </x:c>
      <x:c r="N29" s="69" t="str">
        <x:v>Reset only P2 to its marked start. Keep every object, camera setting, and pose fixed; change only the prompt.</x:v>
      </x:c>
      <x:c r="O29" s="69" t="str">
        <x:v>Controls target/reference recognition and basic pick-place on the exact pair. It is skill-matched but not direction-endpoint-matched, so analyze the paired success delta separately.</x:v>
      </x:c>
      <x:c r="P29" s="70" t="str"/>
    </x:row>
    <x:row r="30" ht="54" customHeight="1">
      <x:c r="A30" s="68" t="str">
        <x:v>Failure</x:v>
      </x:c>
      <x:c r="B30" s="69" t="str">
        <x:v>28</x:v>
      </x:c>
      <x:c r="C30" s="69" t="str">
        <x:v>Place the green pen to the right of the red block.</x:v>
      </x:c>
      <x:c r="D30" s="69" t="str">
        <x:v>P1 red block at R3 (5 cm right of center) [REFERENCE]; P2 green pen 21 cm to the left of P1 [TARGET START]; P3 pink marker 15 cm in front of P1 [DISTRACTOR].</x:v>
      </x:c>
      <x:c r="E30" s="69" t="str"/>
      <x:c r="F30" s="69" t="str">
        <x:v>green pen → 2–8 cm edge gap to the right of red block; centroid direction within ±45°</x:v>
      </x:c>
      <x:c r="G30" s="69" t="str">
        <x:v>I placed the green pen directly in front of the red block. the robot would start to move towards the pen, hesistate, and then go back to the home position. It looks like it sees that the green pen is near the red block, so it does not move. Note: I am not follwing the scene setup object locations. </x:v>
      </x:c>
      <x:c r="H30" s="69" t="str">
        <x:v>Concept/compositional transfer</x:v>
      </x:c>
      <x:c r="I30" s="69" t="str">
        <x:v>RP-F08</x:v>
      </x:c>
      <x:c r="J30" s="69" t="str">
        <x:v>right</x:v>
      </x:c>
      <x:c r="K30" s="69" t="str">
        <x:v>3</x:v>
      </x:c>
      <x:c r="L30" s="69" t="str">
        <x:v>1 — Canonical transfer — Held-out direction × green-pen/red-block pair (right)</x:v>
      </x:c>
      <x:c r="M30" s="69" t="str">
        <x:v>8</x:v>
      </x:c>
      <x:c r="N30" s="69" t="str">
        <x:v>Build the marked scene. Target starts in the opposite sector and outside the success gap; save a first-frame filename.</x:v>
      </x:c>
      <x:c r="O30" s="69" t="str">
        <x:v>Directional language is trained on other object pairs, but all directional green-pen/red-block demonstrations are withheld in both target/reference directions.</x:v>
      </x:c>
      <x:c r="P30" s="70" t="str"/>
    </x:row>
    <x:row r="31" ht="54" customHeight="1">
      <x:c r="A31" s="68" t="str">
        <x:v>Failure</x:v>
      </x:c>
      <x:c r="B31" s="69" t="str">
        <x:v>29</x:v>
      </x:c>
      <x:c r="C31" s="69" t="str">
        <x:v>Place the green pen to the left of the red block.</x:v>
      </x:c>
      <x:c r="D31" s="69" t="str">
        <x:v>P1 red block at R3 (5 cm right of center) [REFERENCE]; P2 green pen 21 cm to the left of P1 [TARGET START]; P3 pink marker 15 cm in front of P1 [DISTRACTOR]</x:v>
      </x:c>
      <x:c r="E31" s="69" t="str">
        <x:v>28</x:v>
      </x:c>
      <x:c r="F31" s="69" t="str">
        <x:v>green pen → 2–8 cm edge gap to the left of red block; centroid direction within ±45°</x:v>
      </x:c>
      <x:c r="G31" s="69" t="str">
        <x:v>Same behavior as in episode 28.</x:v>
      </x:c>
      <x:c r="H31" s="69" t="str">
        <x:v>Exact-scene opposite-direction contrast</x:v>
      </x:c>
      <x:c r="I31" s="69" t="str">
        <x:v>RP-F08</x:v>
      </x:c>
      <x:c r="J31" s="69" t="str">
        <x:v>left</x:v>
      </x:c>
      <x:c r="K31" s="69" t="str">
        <x:v>3</x:v>
      </x:c>
      <x:c r="L31" s="69" t="str">
        <x:v>2 — Exact-scene opposite-direction contrast — Direction-word counterfactual (right→left)</x:v>
      </x:c>
      <x:c r="M31" s="69" t="str">
        <x:v>8</x:v>
      </x:c>
      <x:c r="N31" s="69" t="str">
        <x:v>Reset only P2 to its marked start. Preserve the exact scene; change only the directional word and expected goal sector.</x:v>
      </x:c>
      <x:c r="O31" s="69" t="str">
        <x:v>Exact-scene semantic counterfactual. Target and reference identities stay fixed while the requested endpoint reverses front↔behind or left↔right.</x:v>
      </x:c>
      <x:c r="P31" s="70" t="str"/>
    </x:row>
    <x:row r="32" ht="54" customHeight="1">
      <x:c r="A32" s="68" t="str">
        <x:v>Failure</x:v>
      </x:c>
      <x:c r="B32" s="69" t="str">
        <x:v>30</x:v>
      </x:c>
      <x:c r="C32" s="69" t="str">
        <x:v>Move the green pen to the side immediately right of the red block.</x:v>
      </x:c>
      <x:c r="D32" s="69" t="str">
        <x:v>P1 red block at R3 (5 cm right of center) [REFERENCE]; P2 green pen 21 cm to the left of P1 [TARGET START]; P3 pink marker 15 cm in front of P1 [DISTRACTOR]</x:v>
      </x:c>
      <x:c r="E32" s="69" t="str">
        <x:v>28</x:v>
      </x:c>
      <x:c r="F32" s="69" t="str">
        <x:v>green pen → 2–8 cm edge gap to the right of red block; centroid direction within ±45°</x:v>
      </x:c>
      <x:c r="G32" s="69" t="str">
        <x:v>Same behavior as in episode 28.</x:v>
      </x:c>
      <x:c r="H32" s="69" t="str">
        <x:v>Language robustness</x:v>
      </x:c>
      <x:c r="I32" s="69" t="str">
        <x:v>RP-F08</x:v>
      </x:c>
      <x:c r="J32" s="69" t="str">
        <x:v>right</x:v>
      </x:c>
      <x:c r="K32" s="69" t="str">
        <x:v>3</x:v>
      </x:c>
      <x:c r="L32" s="69" t="str">
        <x:v>3 — Exact-scene transfer paraphrase — Paraphrase of concept/compositional-transfer prompt</x:v>
      </x:c>
      <x:c r="M32" s="69" t="str">
        <x:v>8</x:v>
      </x:c>
      <x:c r="N32" s="69" t="str">
        <x:v>Reset only P2 to its marked start; change only the prompt wording.</x:v>
      </x:c>
      <x:c r="O32" s="69" t="str">
        <x:v>Exact-scene language comparison for the held-out pair composition.</x:v>
      </x:c>
      <x:c r="P32" s="70" t="str"/>
    </x:row>
    <x:row r="33" ht="54" customHeight="1">
      <x:c r="A33" s="68" t="str">
        <x:v>Failure</x:v>
      </x:c>
      <x:c r="B33" s="69" t="str">
        <x:v>31</x:v>
      </x:c>
      <x:c r="C33" s="69" t="str">
        <x:v>Place the green pen next to the red block.</x:v>
      </x:c>
      <x:c r="D33" s="69" t="str">
        <x:v>P1 red block at R3 (5 cm right of center) [REFERENCE]; P2 green pen 21 cm to the left of P1 [TARGET START]; P3 pink marker 15 cm in front of P1 [DISTRACTOR]</x:v>
      </x:c>
      <x:c r="E33" s="69" t="str">
        <x:v>28</x:v>
      </x:c>
      <x:c r="F33" s="69" t="str">
        <x:v>green pen → 2–8 cm edge gap from red block (any direction)</x:v>
      </x:c>
      <x:c r="G33" s="69" t="str">
        <x:v>Same behavior as in episode 28.</x:v>
      </x:c>
      <x:c r="H33" s="69" t="str">
        <x:v>Matched manipulation control</x:v>
      </x:c>
      <x:c r="I33" s="69" t="str">
        <x:v>RP-F08</x:v>
      </x:c>
      <x:c r="J33" s="69" t="str">
        <x:v>near</x:v>
      </x:c>
      <x:c r="K33" s="69" t="str">
        <x:v>3</x:v>
      </x:c>
      <x:c r="L33" s="69" t="str">
        <x:v>4 — Matched control — Seen near/next-to/beside relation on the same ordered pair (3 objects)</x:v>
      </x:c>
      <x:c r="M33" s="69" t="str">
        <x:v>8</x:v>
      </x:c>
      <x:c r="N33" s="69" t="str">
        <x:v>Reset only P2 to its marked start. Keep every object, camera setting, and pose fixed; change only the prompt.</x:v>
      </x:c>
      <x:c r="O33" s="69" t="str">
        <x:v>Controls target/reference recognition and basic pick-place on the exact pair. It is skill-matched but not direction-endpoint-matched, so analyze the paired success delta separately.</x:v>
      </x:c>
      <x:c r="P33" s="70" t="str"/>
    </x:row>
    <x:row r="34" ht="54" customHeight="1">
      <x:c r="A34" s="68" t="str">
        <x:v>Success</x:v>
      </x:c>
      <x:c r="B34" s="69" t="str">
        <x:v>32</x:v>
      </x:c>
      <x:c r="C34" s="69" t="str">
        <x:v>Put the green pen on the table in front of the red block.</x:v>
      </x:c>
      <x:c r="D34" s="69" t="str">
        <x:v>P1 red block at R4 (5 cm toward the robot from center) [REFERENCE]; P2 green pen 24 cm behind P1 [TARGET START]; P3 pink marker 15 cm to the left of P1 [DISTRACTOR]</x:v>
      </x:c>
      <x:c r="E34" s="69" t="str"/>
      <x:c r="F34" s="69" t="str">
        <x:v>green pen → 2–8 cm edge gap in front of red block; centroid direction within ±45°</x:v>
      </x:c>
      <x:c r="G34" s="69" t="str">
        <x:v>I placed the green pen directly to the left of the red block. Note: I am not follwing the scene setup object locations. Had this setup for episodes 32, 33, 34, 35</x:v>
      </x:c>
      <x:c r="H34" s="69" t="str">
        <x:v>Concept/compositional transfer</x:v>
      </x:c>
      <x:c r="I34" s="69" t="str">
        <x:v>RP-F09</x:v>
      </x:c>
      <x:c r="J34" s="69" t="str">
        <x:v>front</x:v>
      </x:c>
      <x:c r="K34" s="69" t="str">
        <x:v>3</x:v>
      </x:c>
      <x:c r="L34" s="69" t="str">
        <x:v>1 — Canonical transfer — Held-out direction × green-pen/red-block pair (front)</x:v>
      </x:c>
      <x:c r="M34" s="69" t="str">
        <x:v>9</x:v>
      </x:c>
      <x:c r="N34" s="69" t="str">
        <x:v>Build the marked scene. Target starts in the opposite sector and outside the success gap; save a first-frame filename.</x:v>
      </x:c>
      <x:c r="O34" s="69" t="str">
        <x:v>Directional language is trained on other object pairs, but all directional green-pen/red-block demonstrations are withheld in both target/reference directions.</x:v>
      </x:c>
      <x:c r="P34" s="70" t="str"/>
    </x:row>
    <x:row r="35" ht="54" customHeight="1">
      <x:c r="A35" s="68" t="str">
        <x:v>Failure</x:v>
      </x:c>
      <x:c r="B35" s="69" t="str">
        <x:v>33</x:v>
      </x:c>
      <x:c r="C35" s="69" t="str">
        <x:v>Place the green pen behind the red block.</x:v>
      </x:c>
      <x:c r="D35" s="69" t="str">
        <x:v>P1 red block at R4 (5 cm toward the robot from center) [REFERENCE]; P2 green pen 24 cm behind P1 [TARGET START]; P3 pink marker 15 cm to the left of P1 [DISTRACTOR]</x:v>
      </x:c>
      <x:c r="E35" s="69" t="str">
        <x:v>32</x:v>
      </x:c>
      <x:c r="F35" s="69" t="str">
        <x:v>green pen → 2–8 cm edge gap behind red block; centroid direction within ±45°</x:v>
      </x:c>
      <x:c r="G35" s="69" t="str"/>
      <x:c r="H35" s="69" t="str">
        <x:v>Exact-scene opposite-direction contrast</x:v>
      </x:c>
      <x:c r="I35" s="69" t="str">
        <x:v>RP-F09</x:v>
      </x:c>
      <x:c r="J35" s="69" t="str">
        <x:v>behind</x:v>
      </x:c>
      <x:c r="K35" s="69" t="str">
        <x:v>3</x:v>
      </x:c>
      <x:c r="L35" s="69" t="str">
        <x:v>2 — Exact-scene opposite-direction contrast — Direction-word counterfactual (front→behind)</x:v>
      </x:c>
      <x:c r="M35" s="69" t="str">
        <x:v>9</x:v>
      </x:c>
      <x:c r="N35" s="69" t="str">
        <x:v>Reset only P2 to its marked start. Preserve the exact scene; change only the directional word and expected goal sector.</x:v>
      </x:c>
      <x:c r="O35" s="69" t="str">
        <x:v>Exact-scene semantic counterfactual. Target and reference identities stay fixed while the requested endpoint reverses front↔behind or left↔right.</x:v>
      </x:c>
      <x:c r="P35" s="70" t="str"/>
    </x:row>
    <x:row r="36" ht="54" customHeight="1">
      <x:c r="A36" s="68" t="str">
        <x:v>Success</x:v>
      </x:c>
      <x:c r="B36" s="69" t="str">
        <x:v>34</x:v>
      </x:c>
      <x:c r="C36" s="69" t="str">
        <x:v>Move the green pen to the robot-facing side of the red block.</x:v>
      </x:c>
      <x:c r="D36" s="69" t="str">
        <x:v>P1 red block at R4 (5 cm toward the robot from center) [REFERENCE]; P2 green pen 24 cm behind P1 [TARGET START]; P3 pink marker 15 cm to the left of P1 [DISTRACTOR]</x:v>
      </x:c>
      <x:c r="E36" s="69" t="str">
        <x:v>32</x:v>
      </x:c>
      <x:c r="F36" s="69" t="str">
        <x:v>green pen → 2–8 cm edge gap in front of red block; centroid direction within ±45°</x:v>
      </x:c>
      <x:c r="G36" s="69" t="str">
        <x:v>Kind of placed it to the bottom right, but mostly bottom, alsi is about 3 inches away.</x:v>
      </x:c>
      <x:c r="H36" s="69" t="str">
        <x:v>Language robustness</x:v>
      </x:c>
      <x:c r="I36" s="69" t="str">
        <x:v>RP-F09</x:v>
      </x:c>
      <x:c r="J36" s="69" t="str">
        <x:v>front</x:v>
      </x:c>
      <x:c r="K36" s="69" t="str">
        <x:v>3</x:v>
      </x:c>
      <x:c r="L36" s="69" t="str">
        <x:v>3 — Exact-scene transfer paraphrase — Paraphrase of concept/compositional-transfer prompt</x:v>
      </x:c>
      <x:c r="M36" s="69" t="str">
        <x:v>9</x:v>
      </x:c>
      <x:c r="N36" s="69" t="str">
        <x:v>Reset only P2 to its marked start; change only the prompt wording.</x:v>
      </x:c>
      <x:c r="O36" s="69" t="str">
        <x:v>Exact-scene language comparison for the held-out pair composition.</x:v>
      </x:c>
      <x:c r="P36" s="70" t="str"/>
    </x:row>
    <x:row r="37" ht="54" customHeight="1">
      <x:c r="A37" s="68" t="str">
        <x:v>Success</x:v>
      </x:c>
      <x:c r="B37" s="69" t="str">
        <x:v>35</x:v>
      </x:c>
      <x:c r="C37" s="69" t="str">
        <x:v>Put the green pen beside the red block.</x:v>
      </x:c>
      <x:c r="D37" s="69" t="str">
        <x:v>P1 red block at R4 (5 cm toward the robot from center) [REFERENCE]; P2 green pen 24 cm behind P1 [TARGET START]; P3 pink marker 15 cm to the left of P1 [DISTRACTOR]</x:v>
      </x:c>
      <x:c r="E37" s="69" t="str">
        <x:v>32</x:v>
      </x:c>
      <x:c r="F37" s="69" t="str">
        <x:v>green pen → 2–8 cm edge gap from red block (any direction)</x:v>
      </x:c>
      <x:c r="G37" s="69" t="str">
        <x:v>Placed to the left of block</x:v>
      </x:c>
      <x:c r="H37" s="69" t="str">
        <x:v>Matched manipulation control</x:v>
      </x:c>
      <x:c r="I37" s="69" t="str">
        <x:v>RP-F09</x:v>
      </x:c>
      <x:c r="J37" s="69" t="str">
        <x:v>near</x:v>
      </x:c>
      <x:c r="K37" s="69" t="str">
        <x:v>3</x:v>
      </x:c>
      <x:c r="L37" s="69" t="str">
        <x:v>4 — Matched control — Seen near/next-to/beside relation on the same ordered pair (3 objects)</x:v>
      </x:c>
      <x:c r="M37" s="69" t="str">
        <x:v>9</x:v>
      </x:c>
      <x:c r="N37" s="69" t="str">
        <x:v>Reset only P2 to its marked start. Keep every object, camera setting, and pose fixed; change only the prompt.</x:v>
      </x:c>
      <x:c r="O37" s="69" t="str">
        <x:v>Controls target/reference recognition and basic pick-place on the exact pair. It is skill-matched but not direction-endpoint-matched, so analyze the paired success delta separately.</x:v>
      </x:c>
      <x:c r="P37" s="70" t="str"/>
    </x:row>
    <x:row r="38" ht="54" customHeight="1">
      <x:c r="A38" s="68" t="str">
        <x:v>Success</x:v>
      </x:c>
      <x:c r="B38" s="69" t="str">
        <x:v>36</x:v>
      </x:c>
      <x:c r="C38" s="69" t="str">
        <x:v>Place the red block behind the green pen.</x:v>
      </x:c>
      <x:c r="D38" s="69" t="str">
        <x:v>P1 green pen at R5 (5 cm away from the robot from center) [REFERENCE]; P2 red block 18 cm in front of P1 [TARGET START]; P3 pink marker 15 cm to the left of P1 [DISTRACTOR]</x:v>
      </x:c>
      <x:c r="E38" s="69" t="str"/>
      <x:c r="F38" s="69" t="str">
        <x:v>red block → 2–8 cm edge gap behind green pen; centroid direction within ±45°</x:v>
      </x:c>
      <x:c r="G38" s="69" t="str">
        <x:v>I placed the green pen directly to the right of the red block. Note: I am not follwing the scene setup object locations. Had this setup for episodes 36, 37, 38, 39. Bumped pen, but still ended up putting the block heind pen. </x:v>
      </x:c>
      <x:c r="H38" s="69" t="str">
        <x:v>Concept/compositional transfer</x:v>
      </x:c>
      <x:c r="I38" s="69" t="str">
        <x:v>RP-F10</x:v>
      </x:c>
      <x:c r="J38" s="69" t="str">
        <x:v>behind</x:v>
      </x:c>
      <x:c r="K38" s="69" t="str">
        <x:v>3</x:v>
      </x:c>
      <x:c r="L38" s="69" t="str">
        <x:v>1 — Canonical transfer — Held-out direction × green-pen/red-block pair (behind)</x:v>
      </x:c>
      <x:c r="M38" s="69" t="str">
        <x:v>10</x:v>
      </x:c>
      <x:c r="N38" s="69" t="str">
        <x:v>Build the marked scene. Target starts in the opposite sector and outside the success gap; save a first-frame filename.</x:v>
      </x:c>
      <x:c r="O38" s="69" t="str">
        <x:v>Directional language is trained on other object pairs, but all directional green-pen/red-block demonstrations are withheld in both target/reference directions.</x:v>
      </x:c>
      <x:c r="P38" s="70" t="str"/>
    </x:row>
    <x:row r="39" ht="54" customHeight="1">
      <x:c r="A39" s="68" t="str">
        <x:v>Success</x:v>
      </x:c>
      <x:c r="B39" s="69" t="str">
        <x:v>37</x:v>
      </x:c>
      <x:c r="C39" s="69" t="str">
        <x:v>Move the red block to the front of the green pen.</x:v>
      </x:c>
      <x:c r="D39" s="69" t="str">
        <x:v>P1 green pen at R5 (5 cm away from the robot from center) [REFERENCE]; P2 red block 18 cm in front of P1 [TARGET START]; P3 pink marker 15 cm to the left of P1 [DISTRACTOR]</x:v>
      </x:c>
      <x:c r="E39" s="69" t="str">
        <x:v>36</x:v>
      </x:c>
      <x:c r="F39" s="69" t="str">
        <x:v>red block → 2–8 cm edge gap in front of green pen; centroid direction within ±45°</x:v>
      </x:c>
      <x:c r="G39" s="69" t="str">
        <x:v>placed it in front right, but still front.</x:v>
      </x:c>
      <x:c r="H39" s="69" t="str">
        <x:v>Exact-scene opposite-direction contrast</x:v>
      </x:c>
      <x:c r="I39" s="69" t="str">
        <x:v>RP-F10</x:v>
      </x:c>
      <x:c r="J39" s="69" t="str">
        <x:v>front</x:v>
      </x:c>
      <x:c r="K39" s="69" t="str">
        <x:v>3</x:v>
      </x:c>
      <x:c r="L39" s="69" t="str">
        <x:v>2 — Exact-scene opposite-direction contrast — Direction-word counterfactual (behind→front)</x:v>
      </x:c>
      <x:c r="M39" s="69" t="str">
        <x:v>10</x:v>
      </x:c>
      <x:c r="N39" s="69" t="str">
        <x:v>Reset only P2 to its marked start. Preserve the exact scene; change only the directional word and expected goal sector.</x:v>
      </x:c>
      <x:c r="O39" s="69" t="str">
        <x:v>Exact-scene semantic counterfactual. Target and reference identities stay fixed while the requested endpoint reverses front↔behind or left↔right.</x:v>
      </x:c>
      <x:c r="P39" s="70" t="str"/>
    </x:row>
    <x:row r="40" ht="54" customHeight="1">
      <x:c r="A40" s="68" t="str">
        <x:v>Failure</x:v>
      </x:c>
      <x:c r="B40" s="69" t="str">
        <x:v>38</x:v>
      </x:c>
      <x:c r="C40" s="69" t="str">
        <x:v>Move the red block to the rear side of the green pen.</x:v>
      </x:c>
      <x:c r="D40" s="69" t="str">
        <x:v>P1 green pen at R5 (5 cm away from the robot from center) [REFERENCE]; P2 red block 18 cm in front of P1 [TARGET START]; P3 pink marker 15 cm to the left of P1 [DISTRACTOR]</x:v>
      </x:c>
      <x:c r="E40" s="69" t="str">
        <x:v>36</x:v>
      </x:c>
      <x:c r="F40" s="69" t="str">
        <x:v>red block → 2–8 cm edge gap behind green pen; centroid direction within ±45°</x:v>
      </x:c>
      <x:c r="G40" s="69" t="str">
        <x:v>Just moved the block slightly closer to the left hand side of the pen</x:v>
      </x:c>
      <x:c r="H40" s="69" t="str">
        <x:v>Language robustness</x:v>
      </x:c>
      <x:c r="I40" s="69" t="str">
        <x:v>RP-F10</x:v>
      </x:c>
      <x:c r="J40" s="69" t="str">
        <x:v>behind</x:v>
      </x:c>
      <x:c r="K40" s="69" t="str">
        <x:v>3</x:v>
      </x:c>
      <x:c r="L40" s="69" t="str">
        <x:v>3 — Exact-scene transfer paraphrase — Paraphrase of concept/compositional-transfer prompt</x:v>
      </x:c>
      <x:c r="M40" s="69" t="str">
        <x:v>10</x:v>
      </x:c>
      <x:c r="N40" s="69" t="str">
        <x:v>Reset only P2 to its marked start; change only the prompt wording.</x:v>
      </x:c>
      <x:c r="O40" s="69" t="str">
        <x:v>Exact-scene language comparison for the held-out pair composition.</x:v>
      </x:c>
      <x:c r="P40" s="70" t="str"/>
    </x:row>
    <x:row r="41" ht="54" customHeight="1">
      <x:c r="A41" s="68" t="str">
        <x:v>Success</x:v>
      </x:c>
      <x:c r="B41" s="69" t="str">
        <x:v>39</x:v>
      </x:c>
      <x:c r="C41" s="69" t="str">
        <x:v>Move the red block near the green pen.</x:v>
      </x:c>
      <x:c r="D41" s="69" t="str">
        <x:v>P1 green pen at R5 (5 cm away from the robot from center) [REFERENCE]; P2 red block 18 cm in front of P1 [TARGET START]; P3 pink marker 15 cm to the left of P1 [DISTRACTOR]</x:v>
      </x:c>
      <x:c r="E41" s="69" t="str">
        <x:v>36</x:v>
      </x:c>
      <x:c r="F41" s="69" t="str">
        <x:v>red block → 2–8 cm edge gap from green pen (any direction)</x:v>
      </x:c>
      <x:c r="G41" s="69" t="str">
        <x:v>Also placed it half on top of the pen; sort of a success.</x:v>
      </x:c>
      <x:c r="H41" s="69" t="str">
        <x:v>Matched manipulation control</x:v>
      </x:c>
      <x:c r="I41" s="69" t="str">
        <x:v>RP-F10</x:v>
      </x:c>
      <x:c r="J41" s="69" t="str">
        <x:v>near</x:v>
      </x:c>
      <x:c r="K41" s="69" t="str">
        <x:v>3</x:v>
      </x:c>
      <x:c r="L41" s="69" t="str">
        <x:v>4 — Matched control — Seen near/next-to/beside relation on the same ordered pair (3 objects)</x:v>
      </x:c>
      <x:c r="M41" s="69" t="str">
        <x:v>10</x:v>
      </x:c>
      <x:c r="N41" s="69" t="str">
        <x:v>Reset only P2 to its marked start. Keep every object, camera setting, and pose fixed; change only the prompt.</x:v>
      </x:c>
      <x:c r="O41" s="69" t="str">
        <x:v>Controls target/reference recognition and basic pick-place on the exact pair. It is skill-matched but not direction-endpoint-matched, so analyze the paired success delta separately.</x:v>
      </x:c>
      <x:c r="P41" s="70" t="str"/>
    </x:row>
    <x:row r="42" ht="54" customHeight="1">
      <x:c r="A42" s="68" t="str">
        <x:v>Failure</x:v>
      </x:c>
      <x:c r="B42" s="69" t="str">
        <x:v>40</x:v>
      </x:c>
      <x:c r="C42" s="69" t="str">
        <x:v>Place the green pen to the left of the red block.</x:v>
      </x:c>
      <x:c r="D42" s="69" t="str">
        <x:v>P1 red block at R1 (table center) [REFERENCE]; P2 green pen 21 cm to the right of P1 [TARGET START]; P3 pink marker 15 cm in front of P1 [DISTRACTOR]; P4 blue block 15 cm behind P1 [DISTRACTOR]</x:v>
      </x:c>
      <x:c r="E42" s="69" t="str"/>
      <x:c r="F42" s="69" t="str">
        <x:v>green pen → 2–8 cm edge gap to the left of red block; centroid direction within ±45°</x:v>
      </x:c>
      <x:c r="G42" s="69" t="str">
        <x:v>Placed the pen smack on top of the block. Balanced on top.</x:v>
      </x:c>
      <x:c r="H42" s="69" t="str">
        <x:v>Concept/compositional transfer</x:v>
      </x:c>
      <x:c r="I42" s="69" t="str">
        <x:v>RP-F11</x:v>
      </x:c>
      <x:c r="J42" s="69" t="str">
        <x:v>left</x:v>
      </x:c>
      <x:c r="K42" s="69" t="str">
        <x:v>4</x:v>
      </x:c>
      <x:c r="L42" s="69" t="str">
        <x:v>1 — Canonical transfer — Held-out direction × green-pen/red-block pair (left)</x:v>
      </x:c>
      <x:c r="M42" s="69" t="str">
        <x:v>11</x:v>
      </x:c>
      <x:c r="N42" s="69" t="str">
        <x:v>Build the marked scene. Target starts in the opposite sector and outside the success gap; save a first-frame filename.</x:v>
      </x:c>
      <x:c r="O42" s="69" t="str">
        <x:v>Directional language is trained on other object pairs, but all directional green-pen/red-block demonstrations are withheld in both target/reference directions.</x:v>
      </x:c>
      <x:c r="P42" s="70" t="str"/>
    </x:row>
    <x:row r="43" ht="54" customHeight="1">
      <x:c r="A43" s="68" t="str">
        <x:v>Success</x:v>
      </x:c>
      <x:c r="B43" s="69" t="str">
        <x:v>41</x:v>
      </x:c>
      <x:c r="C43" s="69" t="str">
        <x:v>Place the green pen to the right of the red block.</x:v>
      </x:c>
      <x:c r="D43" s="69" t="str">
        <x:v>P1 red block at R1 (table center) [REFERENCE]; P2 green pen 21 cm to the right of P1 [TARGET START]; P3 pink marker 15 cm in front of P1 [DISTRACTOR]; P4 blue block 15 cm behind P1 [DISTRACTOR]</x:v>
      </x:c>
      <x:c r="E43" s="69" t="str">
        <x:v>40</x:v>
      </x:c>
      <x:c r="F43" s="69" t="str">
        <x:v>green pen → 2–8 cm edge gap to the right of red block; centroid direction within ±45°</x:v>
      </x:c>
      <x:c r="G43" s="69" t="str">
        <x:v>kind of top right but mostly to the right.</x:v>
      </x:c>
      <x:c r="H43" s="69" t="str">
        <x:v>Exact-scene opposite-direction contrast</x:v>
      </x:c>
      <x:c r="I43" s="69" t="str">
        <x:v>RP-F11</x:v>
      </x:c>
      <x:c r="J43" s="69" t="str">
        <x:v>right</x:v>
      </x:c>
      <x:c r="K43" s="69" t="str">
        <x:v>4</x:v>
      </x:c>
      <x:c r="L43" s="69" t="str">
        <x:v>2 — Exact-scene opposite-direction contrast — Direction-word counterfactual (left→right)</x:v>
      </x:c>
      <x:c r="M43" s="69" t="str">
        <x:v>11</x:v>
      </x:c>
      <x:c r="N43" s="69" t="str">
        <x:v>Reset only P2 to its marked start. Preserve the exact scene; change only the directional word and expected goal sector.</x:v>
      </x:c>
      <x:c r="O43" s="69" t="str">
        <x:v>Exact-scene semantic counterfactual. Target and reference identities stay fixed while the requested endpoint reverses front↔behind or left↔right.</x:v>
      </x:c>
      <x:c r="P43" s="70" t="str"/>
    </x:row>
    <x:row r="44" ht="54" customHeight="1">
      <x:c r="A44" s="68" t="str">
        <x:v>Success</x:v>
      </x:c>
      <x:c r="B44" s="69" t="str">
        <x:v>42</x:v>
      </x:c>
      <x:c r="C44" s="69" t="str">
        <x:v>Place the green pen next to the red block.</x:v>
      </x:c>
      <x:c r="D44" s="69" t="str">
        <x:v>P1 red block at R1 (table center) [REFERENCE]; P2 green pen 21 cm to the right of P1 [TARGET START]; P3 pink marker 15 cm in front of P1 [DISTRACTOR]; P4 blue block 15 cm behind P1 [DISTRACTOR]</x:v>
      </x:c>
      <x:c r="E44" s="69" t="str">
        <x:v>40</x:v>
      </x:c>
      <x:c r="F44" s="69" t="str">
        <x:v>green pen → 2–8 cm edge gap from red block (any direction)</x:v>
      </x:c>
      <x:c r="G44" s="69" t="str">
        <x:v>Placed in front of block.</x:v>
      </x:c>
      <x:c r="H44" s="69" t="str">
        <x:v>Matched manipulation control</x:v>
      </x:c>
      <x:c r="I44" s="69" t="str">
        <x:v>RP-F11</x:v>
      </x:c>
      <x:c r="J44" s="69" t="str">
        <x:v>near</x:v>
      </x:c>
      <x:c r="K44" s="69" t="str">
        <x:v>4</x:v>
      </x:c>
      <x:c r="L44" s="69" t="str">
        <x:v>3 — Matched control — Seen near/next-to/beside relation on the same ordered pair (4 objects)</x:v>
      </x:c>
      <x:c r="M44" s="69" t="str">
        <x:v>11</x:v>
      </x:c>
      <x:c r="N44" s="69" t="str">
        <x:v>Reset only P2 to its marked start. Keep every object, camera setting, and pose fixed; change only the prompt.</x:v>
      </x:c>
      <x:c r="O44" s="69" t="str">
        <x:v>Controls target/reference recognition and basic pick-place on the exact pair. It is skill-matched but not direction-endpoint-matched, so analyze the paired success delta separately.</x:v>
      </x:c>
      <x:c r="P44" s="70" t="str"/>
    </x:row>
    <x:row r="45" ht="54" customHeight="1">
      <x:c r="A45" s="68" t="str">
        <x:v>Success</x:v>
      </x:c>
      <x:c r="B45" s="69" t="str">
        <x:v>43</x:v>
      </x:c>
      <x:c r="C45" s="69" t="str">
        <x:v>Position the green pen adjacent to the red block.</x:v>
      </x:c>
      <x:c r="D45" s="69" t="str">
        <x:v>P1 red block at R1 (table center) [REFERENCE]; P2 green pen 21 cm to the right of P1 [TARGET START]; P3 pink marker 15 cm in front of P1 [DISTRACTOR]; P4 blue block 15 cm behind P1 [DISTRACTOR]</x:v>
      </x:c>
      <x:c r="E45" s="69" t="str">
        <x:v>42</x:v>
      </x:c>
      <x:c r="F45" s="69" t="str">
        <x:v>green pen → 2–8 cm edge gap from red block (any direction)</x:v>
      </x:c>
      <x:c r="G45" s="69" t="str">
        <x:v>Also kind of dropped on top of the block and it slid into a position where pen was beside the block.</x:v>
      </x:c>
      <x:c r="H45" s="69" t="str">
        <x:v>Language robustness</x:v>
      </x:c>
      <x:c r="I45" s="69" t="str">
        <x:v>RP-F11</x:v>
      </x:c>
      <x:c r="J45" s="69" t="str">
        <x:v>near</x:v>
      </x:c>
      <x:c r="K45" s="69" t="str">
        <x:v>4</x:v>
      </x:c>
      <x:c r="L45" s="69" t="str">
        <x:v>4 — Exact-scene control paraphrase — Paraphrase of matched-control prompt</x:v>
      </x:c>
      <x:c r="M45" s="69" t="str">
        <x:v>11</x:v>
      </x:c>
      <x:c r="N45" s="69" t="str">
        <x:v>Reset only P2 to its marked start; change only the prompt wording.</x:v>
      </x:c>
      <x:c r="O45" s="69" t="str">
        <x:v>Exact-scene language comparison for the seen near relation.</x:v>
      </x:c>
      <x:c r="P45" s="70" t="str"/>
    </x:row>
    <x:row r="46" ht="54" customHeight="1">
      <x:c r="A46" s="68" t="str">
        <x:v>Success</x:v>
      </x:c>
      <x:c r="B46" s="69" t="str">
        <x:v>44</x:v>
      </x:c>
      <x:c r="C46" s="69" t="str">
        <x:v>Place the red block to the right of the green pen.</x:v>
      </x:c>
      <x:c r="D46" s="69" t="str">
        <x:v>P1 green pen at R2 (5 cm left of center) [REFERENCE]; P2 red block 24 cm to the left of P1 [TARGET START]; P3 pink marker 15 cm in front of P1 [DISTRACTOR]; P4 blue block 15 cm behind P1 [DISTRACTOR]</x:v>
      </x:c>
      <x:c r="E46" s="69" t="str"/>
      <x:c r="F46" s="69" t="str">
        <x:v>red block → 2–8 cm edge gap to the right of green pen; centroid direction within ±45°</x:v>
      </x:c>
      <x:c r="G46" s="69" t="str">
        <x:v>Double check this. Recorded as a success.</x:v>
      </x:c>
      <x:c r="H46" s="69" t="str">
        <x:v>Concept/compositional transfer</x:v>
      </x:c>
      <x:c r="I46" s="69" t="str">
        <x:v>RP-F12</x:v>
      </x:c>
      <x:c r="J46" s="69" t="str">
        <x:v>right</x:v>
      </x:c>
      <x:c r="K46" s="69" t="str">
        <x:v>4</x:v>
      </x:c>
      <x:c r="L46" s="69" t="str">
        <x:v>1 — Canonical transfer — Held-out direction × green-pen/red-block pair (right)</x:v>
      </x:c>
      <x:c r="M46" s="69" t="str">
        <x:v>12</x:v>
      </x:c>
      <x:c r="N46" s="69" t="str">
        <x:v>Build the marked scene. Target starts in the opposite sector and outside the success gap; save a first-frame filename.</x:v>
      </x:c>
      <x:c r="O46" s="69" t="str">
        <x:v>Directional language is trained on other object pairs, but all directional green-pen/red-block demonstrations are withheld in both target/reference directions.</x:v>
      </x:c>
      <x:c r="P46" s="70" t="str"/>
    </x:row>
    <x:row r="47" ht="54" customHeight="1">
      <x:c r="A47" s="68" t="str">
        <x:v>Success</x:v>
      </x:c>
      <x:c r="B47" s="69" t="str">
        <x:v>45</x:v>
      </x:c>
      <x:c r="C47" s="69" t="str">
        <x:v>Place the red block to the left of the green pen.</x:v>
      </x:c>
      <x:c r="D47" s="69" t="str">
        <x:v>P1 green pen at R2 (5 cm left of center) [REFERENCE]; P2 red block 24 cm to the left of P1 [TARGET START]; P3 pink marker 15 cm in front of P1 [DISTRACTOR]; P4 blue block 15 cm behind P1 [DISTRACTOR]</x:v>
      </x:c>
      <x:c r="E47" s="69" t="str">
        <x:v>44</x:v>
      </x:c>
      <x:c r="F47" s="69" t="str">
        <x:v>red block → 2–8 cm edge gap to the left of green pen; centroid direction within ±45°</x:v>
      </x:c>
      <x:c r="G47" s="69" t="str">
        <x:v>Placed it kind of on top, but slid to the left of the pen.</x:v>
      </x:c>
      <x:c r="H47" s="69" t="str">
        <x:v>Exact-scene opposite-direction contrast</x:v>
      </x:c>
      <x:c r="I47" s="69" t="str">
        <x:v>RP-F12</x:v>
      </x:c>
      <x:c r="J47" s="69" t="str">
        <x:v>left</x:v>
      </x:c>
      <x:c r="K47" s="69" t="str">
        <x:v>4</x:v>
      </x:c>
      <x:c r="L47" s="69" t="str">
        <x:v>2 — Exact-scene opposite-direction contrast — Direction-word counterfactual (right→left)</x:v>
      </x:c>
      <x:c r="M47" s="69" t="str">
        <x:v>12</x:v>
      </x:c>
      <x:c r="N47" s="69" t="str">
        <x:v>Reset only P2 to its marked start. Preserve the exact scene; change only the directional word and expected goal sector.</x:v>
      </x:c>
      <x:c r="O47" s="69" t="str">
        <x:v>Exact-scene semantic counterfactual. Target and reference identities stay fixed while the requested endpoint reverses front↔behind or left↔right.</x:v>
      </x:c>
      <x:c r="P47" s="70" t="str"/>
    </x:row>
    <x:row r="48" ht="54" customHeight="1">
      <x:c r="A48" s="68" t="str">
        <x:v>Success</x:v>
      </x:c>
      <x:c r="B48" s="69" t="str">
        <x:v>46</x:v>
      </x:c>
      <x:c r="C48" s="69" t="str">
        <x:v>Put the red block beside the green pen.</x:v>
      </x:c>
      <x:c r="D48" s="69" t="str">
        <x:v>P1 green pen at R2 (5 cm left of center) [REFERENCE]; P2 red block 24 cm to the left of P1 [TARGET START]; P3 pink marker 15 cm in front of P1 [DISTRACTOR]; P4 blue block 15 cm behind P1 [DISTRACTOR]</x:v>
      </x:c>
      <x:c r="E48" s="69" t="str">
        <x:v>44</x:v>
      </x:c>
      <x:c r="F48" s="69" t="str">
        <x:v>red block → 2–8 cm edge gap from green pen (any direction)</x:v>
      </x:c>
      <x:c r="G48" s="69" t="str">
        <x:v>Placed on right.</x:v>
      </x:c>
      <x:c r="H48" s="69" t="str">
        <x:v>Matched manipulation control</x:v>
      </x:c>
      <x:c r="I48" s="69" t="str">
        <x:v>RP-F12</x:v>
      </x:c>
      <x:c r="J48" s="69" t="str">
        <x:v>near</x:v>
      </x:c>
      <x:c r="K48" s="69" t="str">
        <x:v>4</x:v>
      </x:c>
      <x:c r="L48" s="69" t="str">
        <x:v>3 — Matched control — Seen near/next-to/beside relation on the same ordered pair (4 objects)</x:v>
      </x:c>
      <x:c r="M48" s="69" t="str">
        <x:v>12</x:v>
      </x:c>
      <x:c r="N48" s="69" t="str">
        <x:v>Reset only P2 to its marked start. Keep every object, camera setting, and pose fixed; change only the prompt.</x:v>
      </x:c>
      <x:c r="O48" s="69" t="str">
        <x:v>Controls target/reference recognition and basic pick-place on the exact pair. It is skill-matched but not direction-endpoint-matched, so analyze the paired success delta separately.</x:v>
      </x:c>
      <x:c r="P48" s="70" t="str"/>
    </x:row>
    <x:row r="49" ht="54" customHeight="1">
      <x:c r="A49" s="68" t="str">
        <x:v>Success</x:v>
      </x:c>
      <x:c r="B49" s="69" t="str">
        <x:v>47</x:v>
      </x:c>
      <x:c r="C49" s="69" t="str">
        <x:v>Put the red block close to the green pen.</x:v>
      </x:c>
      <x:c r="D49" s="69" t="str">
        <x:v>P1 green pen at R2 (5 cm left of center) [REFERENCE]; P2 red block 24 cm to the left of P1 [TARGET START]; P3 pink marker 15 cm in front of P1 [DISTRACTOR]; P4 blue block 15 cm behind P1 [DISTRACTOR]</x:v>
      </x:c>
      <x:c r="E49" s="69" t="str">
        <x:v>46</x:v>
      </x:c>
      <x:c r="F49" s="69" t="str">
        <x:v>red block → 2–8 cm edge gap from green pen (any direction)</x:v>
      </x:c>
      <x:c r="G49" s="69" t="str"/>
      <x:c r="H49" s="69" t="str">
        <x:v>Language robustness</x:v>
      </x:c>
      <x:c r="I49" s="69" t="str">
        <x:v>RP-F12</x:v>
      </x:c>
      <x:c r="J49" s="69" t="str">
        <x:v>near</x:v>
      </x:c>
      <x:c r="K49" s="69" t="str">
        <x:v>4</x:v>
      </x:c>
      <x:c r="L49" s="69" t="str">
        <x:v>4 — Exact-scene control paraphrase — Paraphrase of matched-control prompt</x:v>
      </x:c>
      <x:c r="M49" s="69" t="str">
        <x:v>12</x:v>
      </x:c>
      <x:c r="N49" s="69" t="str">
        <x:v>Reset only P2 to its marked start; change only the prompt wording.</x:v>
      </x:c>
      <x:c r="O49" s="69" t="str">
        <x:v>Exact-scene language comparison for the seen near relation.</x:v>
      </x:c>
      <x:c r="P49" s="70" t="str"/>
    </x:row>
    <x:row r="50" ht="54" customHeight="1">
      <x:c r="A50" s="68" t="str">
        <x:v>Success</x:v>
      </x:c>
      <x:c r="B50" s="69" t="str">
        <x:v>48</x:v>
      </x:c>
      <x:c r="C50" s="69" t="str">
        <x:v>Place the red block in front of the green pen.</x:v>
      </x:c>
      <x:c r="D50" s="69" t="str">
        <x:v>P1 green pen at R3 (5 cm right of center) [REFERENCE]; P2 red block 18 cm behind P1 [TARGET START]; P3 pink marker 15 cm to the left of P1 [DISTRACTOR]; P4 blue block 15 cm to the right of P1 [DISTRACTOR]</x:v>
      </x:c>
      <x:c r="E50" s="69" t="str"/>
      <x:c r="F50" s="69" t="str">
        <x:v>red block → 2–8 cm edge gap in front of green pen; centroid direction within ±45°</x:v>
      </x:c>
      <x:c r="G50" s="69" t="str"/>
      <x:c r="H50" s="69" t="str">
        <x:v>Concept/compositional transfer</x:v>
      </x:c>
      <x:c r="I50" s="69" t="str">
        <x:v>RP-F13</x:v>
      </x:c>
      <x:c r="J50" s="69" t="str">
        <x:v>front</x:v>
      </x:c>
      <x:c r="K50" s="69" t="str">
        <x:v>4</x:v>
      </x:c>
      <x:c r="L50" s="69" t="str">
        <x:v>1 — Canonical transfer — Held-out direction × green-pen/red-block pair (front)</x:v>
      </x:c>
      <x:c r="M50" s="69" t="str">
        <x:v>13</x:v>
      </x:c>
      <x:c r="N50" s="69" t="str">
        <x:v>Build the marked scene. Target starts in the opposite sector and outside the success gap; save a first-frame filename.</x:v>
      </x:c>
      <x:c r="O50" s="69" t="str">
        <x:v>Directional language is trained on other object pairs, but all directional green-pen/red-block demonstrations are withheld in both target/reference directions.</x:v>
      </x:c>
      <x:c r="P50" s="70" t="str"/>
    </x:row>
    <x:row r="51" ht="54" customHeight="1">
      <x:c r="A51" s="68" t="str">
        <x:v>Success</x:v>
      </x:c>
      <x:c r="B51" s="69" t="str">
        <x:v>49</x:v>
      </x:c>
      <x:c r="C51" s="69" t="str">
        <x:v>Move the red block to the back of the green pen.</x:v>
      </x:c>
      <x:c r="D51" s="69" t="str">
        <x:v>P1 green pen at R3 (5 cm right of center) [REFERENCE]; P2 red block 18 cm behind P1 [TARGET START]; P3 pink marker 15 cm to the left of P1 [DISTRACTOR]; P4 blue block 15 cm to the right of P1 [DISTRACTOR]</x:v>
      </x:c>
      <x:c r="E51" s="69" t="str">
        <x:v>48</x:v>
      </x:c>
      <x:c r="F51" s="69" t="str">
        <x:v>red block → 2–8 cm edge gap behind green pen; centroid direction within ±45°</x:v>
      </x:c>
      <x:c r="G51" s="69" t="str"/>
      <x:c r="H51" s="69" t="str">
        <x:v>Exact-scene opposite-direction contrast</x:v>
      </x:c>
      <x:c r="I51" s="69" t="str">
        <x:v>RP-F13</x:v>
      </x:c>
      <x:c r="J51" s="69" t="str">
        <x:v>behind</x:v>
      </x:c>
      <x:c r="K51" s="69" t="str">
        <x:v>4</x:v>
      </x:c>
      <x:c r="L51" s="69" t="str">
        <x:v>2 — Exact-scene opposite-direction contrast — Direction-word counterfactual (front→behind)</x:v>
      </x:c>
      <x:c r="M51" s="69" t="str">
        <x:v>13</x:v>
      </x:c>
      <x:c r="N51" s="69" t="str">
        <x:v>Reset only P2 to its marked start. Preserve the exact scene; change only the directional word and expected goal sector.</x:v>
      </x:c>
      <x:c r="O51" s="69" t="str">
        <x:v>Exact-scene semantic counterfactual. Target and reference identities stay fixed while the requested endpoint reverses front↔behind or left↔right.</x:v>
      </x:c>
      <x:c r="P51" s="70" t="str"/>
    </x:row>
    <x:row r="52" ht="54" customHeight="1">
      <x:c r="A52" s="68" t="str">
        <x:v>Success</x:v>
      </x:c>
      <x:c r="B52" s="69" t="str">
        <x:v>50</x:v>
      </x:c>
      <x:c r="C52" s="69" t="str">
        <x:v>Move the red block near the green pen.</x:v>
      </x:c>
      <x:c r="D52" s="69" t="str">
        <x:v>P1 green pen at R3 (5 cm right of center) [REFERENCE]; P2 red block 18 cm behind P1 [TARGET START]; P3 pink marker 15 cm to the left of P1 [DISTRACTOR]; P4 blue block 15 cm to the right of P1 [DISTRACTOR]</x:v>
      </x:c>
      <x:c r="E52" s="69" t="str">
        <x:v>48</x:v>
      </x:c>
      <x:c r="F52" s="69" t="str">
        <x:v>red block → 2–8 cm edge gap from green pen (any direction)</x:v>
      </x:c>
      <x:c r="G52" s="69" t="str">
        <x:v>Placed behind</x:v>
      </x:c>
      <x:c r="H52" s="69" t="str">
        <x:v>Matched manipulation control</x:v>
      </x:c>
      <x:c r="I52" s="69" t="str">
        <x:v>RP-F13</x:v>
      </x:c>
      <x:c r="J52" s="69" t="str">
        <x:v>near</x:v>
      </x:c>
      <x:c r="K52" s="69" t="str">
        <x:v>4</x:v>
      </x:c>
      <x:c r="L52" s="69" t="str">
        <x:v>3 — Matched control — Seen near/next-to/beside relation on the same ordered pair (4 objects)</x:v>
      </x:c>
      <x:c r="M52" s="69" t="str">
        <x:v>13</x:v>
      </x:c>
      <x:c r="N52" s="69" t="str">
        <x:v>Reset only P2 to its marked start. Keep every object, camera setting, and pose fixed; change only the prompt.</x:v>
      </x:c>
      <x:c r="O52" s="69" t="str">
        <x:v>Controls target/reference recognition and basic pick-place on the exact pair. It is skill-matched but not direction-endpoint-matched, so analyze the paired success delta separately.</x:v>
      </x:c>
      <x:c r="P52" s="70" t="str"/>
    </x:row>
    <x:row r="53" ht="54" customHeight="1">
      <x:c r="A53" s="68" t="str">
        <x:v>Success</x:v>
      </x:c>
      <x:c r="B53" s="69" t="str">
        <x:v>51</x:v>
      </x:c>
      <x:c r="C53" s="69" t="str">
        <x:v>Set the red block alongside the green pen.</x:v>
      </x:c>
      <x:c r="D53" s="69" t="str">
        <x:v>P1 green pen at R3 (5 cm right of center) [REFERENCE]; P2 red block 18 cm behind P1 [TARGET START]; P3 pink marker 15 cm to the left of P1 [DISTRACTOR]; P4 blue block 15 cm to the right of P1 [DISTRACTOR]</x:v>
      </x:c>
      <x:c r="E53" s="69" t="str">
        <x:v>50</x:v>
      </x:c>
      <x:c r="F53" s="69" t="str">
        <x:v>red block → 2–8 cm edge gap from green pen (any direction)</x:v>
      </x:c>
      <x:c r="G53" s="69" t="str">
        <x:v>placed behind</x:v>
      </x:c>
      <x:c r="H53" s="69" t="str">
        <x:v>Language robustness</x:v>
      </x:c>
      <x:c r="I53" s="69" t="str">
        <x:v>RP-F13</x:v>
      </x:c>
      <x:c r="J53" s="69" t="str">
        <x:v>near</x:v>
      </x:c>
      <x:c r="K53" s="69" t="str">
        <x:v>4</x:v>
      </x:c>
      <x:c r="L53" s="69" t="str">
        <x:v>4 — Exact-scene control paraphrase — Paraphrase of matched-control prompt</x:v>
      </x:c>
      <x:c r="M53" s="69" t="str">
        <x:v>13</x:v>
      </x:c>
      <x:c r="N53" s="69" t="str">
        <x:v>Reset only P2 to its marked start; change only the prompt wording.</x:v>
      </x:c>
      <x:c r="O53" s="69" t="str">
        <x:v>Exact-scene language comparison for the seen near relation.</x:v>
      </x:c>
      <x:c r="P53" s="70" t="str"/>
    </x:row>
    <x:row r="54" ht="54" customHeight="1">
      <x:c r="A54" s="68" t="str">
        <x:v>Failure</x:v>
      </x:c>
      <x:c r="B54" s="69" t="str">
        <x:v>52</x:v>
      </x:c>
      <x:c r="C54" s="69" t="str">
        <x:v>Move the green pen to the back of the red block.</x:v>
      </x:c>
      <x:c r="D54" s="69" t="str">
        <x:v>P1 red block at R4 (5 cm toward the robot from center) [REFERENCE]; P2 green pen 21 cm in front of P1 [TARGET START]; P3 pink marker 15 cm to the left of P1 [DISTRACTOR]; P4 blue block 15 cm to the right of P1 [DISTRACTOR]</x:v>
      </x:c>
      <x:c r="E54" s="69" t="str"/>
      <x:c r="F54" s="69" t="str">
        <x:v>green pen → 2–8 cm edge gap behind red block; centroid direction within ±45°</x:v>
      </x:c>
      <x:c r="G54" s="69" t="str">
        <x:v>Placed left front instead of behind.</x:v>
      </x:c>
      <x:c r="H54" s="69" t="str">
        <x:v>Concept/compositional transfer</x:v>
      </x:c>
      <x:c r="I54" s="69" t="str">
        <x:v>RP-F14</x:v>
      </x:c>
      <x:c r="J54" s="69" t="str">
        <x:v>behind</x:v>
      </x:c>
      <x:c r="K54" s="69" t="str">
        <x:v>4</x:v>
      </x:c>
      <x:c r="L54" s="69" t="str">
        <x:v>1 — Canonical transfer — Held-out direction × green-pen/red-block pair (behind)</x:v>
      </x:c>
      <x:c r="M54" s="69" t="str">
        <x:v>14</x:v>
      </x:c>
      <x:c r="N54" s="69" t="str">
        <x:v>Build the marked scene. Target starts in the opposite sector and outside the success gap; save a first-frame filename.</x:v>
      </x:c>
      <x:c r="O54" s="69" t="str">
        <x:v>Directional language is trained on other object pairs, but all directional green-pen/red-block demonstrations are withheld in both target/reference directions.</x:v>
      </x:c>
      <x:c r="P54" s="70" t="str"/>
    </x:row>
    <x:row r="55" ht="54" customHeight="1">
      <x:c r="A55" s="68" t="str">
        <x:v>Success</x:v>
      </x:c>
      <x:c r="B55" s="69" t="str">
        <x:v>53</x:v>
      </x:c>
      <x:c r="C55" s="69" t="str">
        <x:v>Put the green pen on the table in front of the red block.</x:v>
      </x:c>
      <x:c r="D55" s="69" t="str">
        <x:v>P1 red block at R4 (5 cm toward the robot from center) [REFERENCE]; P2 green pen 21 cm in front of P1 [TARGET START]; P3 pink marker 15 cm to the left of P1 [DISTRACTOR]; P4 blue block 15 cm to the right of P1 [DISTRACTOR]</x:v>
      </x:c>
      <x:c r="E55" s="69" t="str">
        <x:v>52</x:v>
      </x:c>
      <x:c r="F55" s="69" t="str">
        <x:v>green pen → 2–8 cm edge gap in front of red block; centroid direction within ±45°</x:v>
      </x:c>
      <x:c r="G55" s="69" t="str"/>
      <x:c r="H55" s="69" t="str">
        <x:v>Exact-scene opposite-direction contrast</x:v>
      </x:c>
      <x:c r="I55" s="69" t="str">
        <x:v>RP-F14</x:v>
      </x:c>
      <x:c r="J55" s="69" t="str">
        <x:v>front</x:v>
      </x:c>
      <x:c r="K55" s="69" t="str">
        <x:v>4</x:v>
      </x:c>
      <x:c r="L55" s="69" t="str">
        <x:v>2 — Exact-scene opposite-direction contrast — Direction-word counterfactual (behind→front)</x:v>
      </x:c>
      <x:c r="M55" s="69" t="str">
        <x:v>14</x:v>
      </x:c>
      <x:c r="N55" s="69" t="str">
        <x:v>Reset only P2 to its marked start. Preserve the exact scene; change only the directional word and expected goal sector.</x:v>
      </x:c>
      <x:c r="O55" s="69" t="str">
        <x:v>Exact-scene semantic counterfactual. Target and reference identities stay fixed while the requested endpoint reverses front↔behind or left↔right.</x:v>
      </x:c>
      <x:c r="P55" s="70" t="str"/>
    </x:row>
    <x:row r="56" ht="54" customHeight="1">
      <x:c r="A56" s="68" t="str">
        <x:v>Success</x:v>
      </x:c>
      <x:c r="B56" s="69" t="str">
        <x:v>54</x:v>
      </x:c>
      <x:c r="C56" s="69" t="str">
        <x:v>Place the green pen next to the red block.</x:v>
      </x:c>
      <x:c r="D56" s="69" t="str">
        <x:v>P1 red block at R4 (5 cm toward the robot from center) [REFERENCE]; P2 green pen 21 cm in front of P1 [TARGET START]; P3 pink marker 15 cm to the left of P1 [DISTRACTOR]; P4 blue block 15 cm to the right of P1 [DISTRACTOR]</x:v>
      </x:c>
      <x:c r="E56" s="69" t="str">
        <x:v>52</x:v>
      </x:c>
      <x:c r="F56" s="69" t="str">
        <x:v>green pen → 2–8 cm edge gap from red block (any direction)</x:v>
      </x:c>
      <x:c r="G56" s="69" t="str">
        <x:v>Placed on the left.</x:v>
      </x:c>
      <x:c r="H56" s="69" t="str">
        <x:v>Matched manipulation control</x:v>
      </x:c>
      <x:c r="I56" s="69" t="str">
        <x:v>RP-F14</x:v>
      </x:c>
      <x:c r="J56" s="69" t="str">
        <x:v>near</x:v>
      </x:c>
      <x:c r="K56" s="69" t="str">
        <x:v>4</x:v>
      </x:c>
      <x:c r="L56" s="69" t="str">
        <x:v>3 — Matched control — Seen near/next-to/beside relation on the same ordered pair (4 objects)</x:v>
      </x:c>
      <x:c r="M56" s="69" t="str">
        <x:v>14</x:v>
      </x:c>
      <x:c r="N56" s="69" t="str">
        <x:v>Reset only P2 to its marked start. Keep every object, camera setting, and pose fixed; change only the prompt.</x:v>
      </x:c>
      <x:c r="O56" s="69" t="str">
        <x:v>Controls target/reference recognition and basic pick-place on the exact pair. It is skill-matched but not direction-endpoint-matched, so analyze the paired success delta separately.</x:v>
      </x:c>
      <x:c r="P56" s="70" t="str"/>
    </x:row>
    <x:row r="57" ht="54" customHeight="1">
      <x:c r="A57" s="68" t="str">
        <x:v>Success</x:v>
      </x:c>
      <x:c r="B57" s="69" t="str">
        <x:v>55</x:v>
      </x:c>
      <x:c r="C57" s="69" t="str">
        <x:v>Move the green pen within a short distance of the red block.</x:v>
      </x:c>
      <x:c r="D57" s="69" t="str">
        <x:v>P1 red block at R4 (5 cm toward the robot from center) [REFERENCE]; P2 green pen 21 cm in front of P1 [TARGET START]; P3 pink marker 15 cm to the left of P1 [DISTRACTOR]; P4 blue block 15 cm to the right of P1 [DISTRACTOR]</x:v>
      </x:c>
      <x:c r="E57" s="69" t="str">
        <x:v>54</x:v>
      </x:c>
      <x:c r="F57" s="69" t="str">
        <x:v>green pen → 2–8 cm edge gap from red block (any direction)</x:v>
      </x:c>
      <x:c r="G57" s="69" t="str">
        <x:v>Placed on the left.</x:v>
      </x:c>
      <x:c r="H57" s="69" t="str">
        <x:v>Language robustness</x:v>
      </x:c>
      <x:c r="I57" s="69" t="str">
        <x:v>RP-F14</x:v>
      </x:c>
      <x:c r="J57" s="69" t="str">
        <x:v>near</x:v>
      </x:c>
      <x:c r="K57" s="69" t="str">
        <x:v>4</x:v>
      </x:c>
      <x:c r="L57" s="69" t="str">
        <x:v>4 — Exact-scene control paraphrase — Paraphrase of matched-control prompt</x:v>
      </x:c>
      <x:c r="M57" s="69" t="str">
        <x:v>14</x:v>
      </x:c>
      <x:c r="N57" s="69" t="str">
        <x:v>Reset only P2 to its marked start; change only the prompt wording.</x:v>
      </x:c>
      <x:c r="O57" s="69" t="str">
        <x:v>Exact-scene language comparison for the seen near relation.</x:v>
      </x:c>
      <x:c r="P57" s="70" t="str"/>
    </x:row>
    <x:row r="58" ht="54" customHeight="1">
      <x:c r="A58" s="68" t="str">
        <x:v>Success</x:v>
      </x:c>
      <x:c r="B58" s="69" t="str">
        <x:v>56</x:v>
      </x:c>
      <x:c r="C58" s="69" t="str">
        <x:v>Place the red block to the left of the green pen.</x:v>
      </x:c>
      <x:c r="D58" s="69" t="str">
        <x:v>P1 green pen at R5 (5 cm away from the robot from center) [REFERENCE]; P2 red block 24 cm to the right of P1 [TARGET START]; P3 pink marker 15 cm in front of P1 [DISTRACTOR]; P4 blue block 15 cm behind P1 [DISTRACTOR]</x:v>
      </x:c>
      <x:c r="E58" s="69" t="str"/>
      <x:c r="F58" s="69" t="str">
        <x:v>red block → 2–8 cm edge gap to the left of green pen; centroid direction within ±45°</x:v>
      </x:c>
      <x:c r="G58" s="69" t="str">
        <x:v>Moved pen slightly, but still to the left.</x:v>
      </x:c>
      <x:c r="H58" s="69" t="str">
        <x:v>Concept/compositional transfer</x:v>
      </x:c>
      <x:c r="I58" s="69" t="str">
        <x:v>RP-F15</x:v>
      </x:c>
      <x:c r="J58" s="69" t="str">
        <x:v>left</x:v>
      </x:c>
      <x:c r="K58" s="69" t="str">
        <x:v>4</x:v>
      </x:c>
      <x:c r="L58" s="69" t="str">
        <x:v>1 — Canonical transfer — Held-out direction × green-pen/red-block pair (left)</x:v>
      </x:c>
      <x:c r="M58" s="69" t="str">
        <x:v>15</x:v>
      </x:c>
      <x:c r="N58" s="69" t="str">
        <x:v>Build the marked scene. Target starts in the opposite sector and outside the success gap; save a first-frame filename.</x:v>
      </x:c>
      <x:c r="O58" s="69" t="str">
        <x:v>Directional language is trained on other object pairs, but all directional green-pen/red-block demonstrations are withheld in both target/reference directions.</x:v>
      </x:c>
      <x:c r="P58" s="70" t="str"/>
    </x:row>
    <x:row r="59" ht="54" customHeight="1">
      <x:c r="A59" s="68" t="str">
        <x:v>Success</x:v>
      </x:c>
      <x:c r="B59" s="69" t="str">
        <x:v>57</x:v>
      </x:c>
      <x:c r="C59" s="69" t="str">
        <x:v>Place the red block to the right of the green pen.</x:v>
      </x:c>
      <x:c r="D59" s="69" t="str">
        <x:v>P1 green pen at R5 (5 cm away from the robot from center) [REFERENCE]; P2 red block 24 cm to the right of P1 [TARGET START]; P3 pink marker 15 cm in front of P1 [DISTRACTOR]; P4 blue block 15 cm behind P1 [DISTRACTOR]</x:v>
      </x:c>
      <x:c r="E59" s="69" t="str">
        <x:v>56</x:v>
      </x:c>
      <x:c r="F59" s="69" t="str">
        <x:v>red block → 2–8 cm edge gap to the right of green pen; centroid direction within ±45°</x:v>
      </x:c>
      <x:c r="G59" s="69" t="str"/>
      <x:c r="H59" s="69" t="str">
        <x:v>Exact-scene opposite-direction contrast</x:v>
      </x:c>
      <x:c r="I59" s="69" t="str">
        <x:v>RP-F15</x:v>
      </x:c>
      <x:c r="J59" s="69" t="str">
        <x:v>right</x:v>
      </x:c>
      <x:c r="K59" s="69" t="str">
        <x:v>4</x:v>
      </x:c>
      <x:c r="L59" s="69" t="str">
        <x:v>2 — Exact-scene opposite-direction contrast — Direction-word counterfactual (left→right)</x:v>
      </x:c>
      <x:c r="M59" s="69" t="str">
        <x:v>15</x:v>
      </x:c>
      <x:c r="N59" s="69" t="str">
        <x:v>Reset only P2 to its marked start. Preserve the exact scene; change only the directional word and expected goal sector.</x:v>
      </x:c>
      <x:c r="O59" s="69" t="str">
        <x:v>Exact-scene semantic counterfactual. Target and reference identities stay fixed while the requested endpoint reverses front↔behind or left↔right.</x:v>
      </x:c>
      <x:c r="P59" s="70" t="str"/>
    </x:row>
    <x:row r="60" ht="54" customHeight="1">
      <x:c r="A60" s="68" t="str">
        <x:v>Success</x:v>
      </x:c>
      <x:c r="B60" s="69" t="str">
        <x:v>58</x:v>
      </x:c>
      <x:c r="C60" s="69" t="str">
        <x:v>Put the red block beside the green pen.</x:v>
      </x:c>
      <x:c r="D60" s="69" t="str">
        <x:v>P1 green pen at R5 (5 cm away from the robot from center) [REFERENCE]; P2 red block 24 cm to the right of P1 [TARGET START]; P3 pink marker 15 cm in front of P1 [DISTRACTOR]; P4 blue block 15 cm behind P1 [DISTRACTOR]</x:v>
      </x:c>
      <x:c r="E60" s="69" t="str">
        <x:v>56</x:v>
      </x:c>
      <x:c r="F60" s="69" t="str">
        <x:v>red block → 2–8 cm edge gap from green pen (any direction)</x:v>
      </x:c>
      <x:c r="G60" s="69" t="str">
        <x:v>Placed on left.</x:v>
      </x:c>
      <x:c r="H60" s="69" t="str">
        <x:v>Matched manipulation control</x:v>
      </x:c>
      <x:c r="I60" s="69" t="str">
        <x:v>RP-F15</x:v>
      </x:c>
      <x:c r="J60" s="69" t="str">
        <x:v>near</x:v>
      </x:c>
      <x:c r="K60" s="69" t="str">
        <x:v>4</x:v>
      </x:c>
      <x:c r="L60" s="69" t="str">
        <x:v>3 — Matched control — Seen near/next-to/beside relation on the same ordered pair (4 objects)</x:v>
      </x:c>
      <x:c r="M60" s="69" t="str">
        <x:v>15</x:v>
      </x:c>
      <x:c r="N60" s="69" t="str">
        <x:v>Reset only P2 to its marked start. Keep every object, camera setting, and pose fixed; change only the prompt.</x:v>
      </x:c>
      <x:c r="O60" s="69" t="str">
        <x:v>Controls target/reference recognition and basic pick-place on the exact pair. It is skill-matched but not direction-endpoint-matched, so analyze the paired success delta separately.</x:v>
      </x:c>
      <x:c r="P60" s="70" t="str"/>
    </x:row>
    <x:row r="61" ht="54" customHeight="1">
      <x:c r="A61" s="68" t="str">
        <x:v>Success</x:v>
      </x:c>
      <x:c r="B61" s="69" t="str">
        <x:v>59</x:v>
      </x:c>
      <x:c r="C61" s="69" t="str">
        <x:v>Place the red block near enough to sit beside the green pen.</x:v>
      </x:c>
      <x:c r="D61" s="69" t="str">
        <x:v>P1 green pen at R5 (5 cm away from the robot from center) [REFERENCE]; P2 red block 24 cm to the right of P1 [TARGET START]; P3 pink marker 15 cm in front of P1 [DISTRACTOR]; P4 blue block 15 cm behind P1 [DISTRACTOR]</x:v>
      </x:c>
      <x:c r="E61" s="69" t="str">
        <x:v>58</x:v>
      </x:c>
      <x:c r="F61" s="69" t="str">
        <x:v>red block → 2–8 cm edge gap from green pen (any direction)</x:v>
      </x:c>
      <x:c r="G61" s="69" t="str">
        <x:v>Placed on left.</x:v>
      </x:c>
      <x:c r="H61" s="69" t="str">
        <x:v>Language robustness</x:v>
      </x:c>
      <x:c r="I61" s="69" t="str">
        <x:v>RP-F15</x:v>
      </x:c>
      <x:c r="J61" s="69" t="str">
        <x:v>near</x:v>
      </x:c>
      <x:c r="K61" s="69" t="str">
        <x:v>4</x:v>
      </x:c>
      <x:c r="L61" s="69" t="str">
        <x:v>4 — Exact-scene control paraphrase — Paraphrase of matched-control prompt</x:v>
      </x:c>
      <x:c r="M61" s="69" t="str">
        <x:v>15</x:v>
      </x:c>
      <x:c r="N61" s="69" t="str">
        <x:v>Reset only P2 to its marked start; change only the prompt wording.</x:v>
      </x:c>
      <x:c r="O61" s="69" t="str">
        <x:v>Exact-scene language comparison for the seen near relation.</x:v>
      </x:c>
      <x:c r="P61" s="70" t="str"/>
    </x:row>
    <x:row r="62" ht="54" customHeight="1">
      <x:c r="A62" s="68" t="str">
        <x:v>Failure</x:v>
      </x:c>
      <x:c r="B62" s="69" t="str">
        <x:v>60</x:v>
      </x:c>
      <x:c r="C62" s="69" t="str">
        <x:v>Place the green pen to the right of the red block.</x:v>
      </x:c>
      <x:c r="D62" s="69" t="str">
        <x:v>P1 red block at R1 (table center) [REFERENCE]; P2 green pen 18 cm to the left of P1 [TARGET START]; P3 pink marker 15 cm in front of P1 [DISTRACTOR]; P4 blue block 15 cm behind P1 [DISTRACTOR]</x:v>
      </x:c>
      <x:c r="E62" s="69" t="str"/>
      <x:c r="F62" s="69" t="str">
        <x:v>green pen → 2–8 cm edge gap to the right of red block; centroid direction within ±45°</x:v>
      </x:c>
      <x:c r="G62" s="69" t="str">
        <x:v>Placed directly on top of the block.</x:v>
      </x:c>
      <x:c r="H62" s="69" t="str">
        <x:v>Concept/compositional transfer</x:v>
      </x:c>
      <x:c r="I62" s="69" t="str">
        <x:v>RP-F16</x:v>
      </x:c>
      <x:c r="J62" s="69" t="str">
        <x:v>right</x:v>
      </x:c>
      <x:c r="K62" s="69" t="str">
        <x:v>4</x:v>
      </x:c>
      <x:c r="L62" s="69" t="str">
        <x:v>1 — Canonical transfer — Held-out direction × green-pen/red-block pair (right)</x:v>
      </x:c>
      <x:c r="M62" s="69" t="str">
        <x:v>16</x:v>
      </x:c>
      <x:c r="N62" s="69" t="str">
        <x:v>Build the marked scene. Target starts in the opposite sector and outside the success gap; save a first-frame filename.</x:v>
      </x:c>
      <x:c r="O62" s="69" t="str">
        <x:v>Directional language is trained on other object pairs, but all directional green-pen/red-block demonstrations are withheld in both target/reference directions.</x:v>
      </x:c>
      <x:c r="P62" s="70" t="str"/>
    </x:row>
    <x:row r="63" ht="54" customHeight="1">
      <x:c r="A63" s="68" t="str">
        <x:v>Success</x:v>
      </x:c>
      <x:c r="B63" s="69" t="str">
        <x:v>61</x:v>
      </x:c>
      <x:c r="C63" s="69" t="str">
        <x:v>Place the green pen to the left of the red block.</x:v>
      </x:c>
      <x:c r="D63" s="69" t="str">
        <x:v>P1 red block at R1 (table center) [REFERENCE]; P2 green pen 18 cm to the left of P1 [TARGET START]; P3 pink marker 15 cm in front of P1 [DISTRACTOR]; P4 blue block 15 cm behind P1 [DISTRACTOR]</x:v>
      </x:c>
      <x:c r="E63" s="69" t="str">
        <x:v>60</x:v>
      </x:c>
      <x:c r="F63" s="69" t="str">
        <x:v>green pen → 2–8 cm edge gap to the left of red block; centroid direction within ±45°</x:v>
      </x:c>
      <x:c r="G63" s="69" t="str"/>
      <x:c r="H63" s="69" t="str">
        <x:v>Exact-scene opposite-direction contrast</x:v>
      </x:c>
      <x:c r="I63" s="69" t="str">
        <x:v>RP-F16</x:v>
      </x:c>
      <x:c r="J63" s="69" t="str">
        <x:v>left</x:v>
      </x:c>
      <x:c r="K63" s="69" t="str">
        <x:v>4</x:v>
      </x:c>
      <x:c r="L63" s="69" t="str">
        <x:v>2 — Exact-scene opposite-direction contrast — Direction-word counterfactual (right→left)</x:v>
      </x:c>
      <x:c r="M63" s="69" t="str">
        <x:v>16</x:v>
      </x:c>
      <x:c r="N63" s="69" t="str">
        <x:v>Reset only P2 to its marked start. Preserve the exact scene; change only the directional word and expected goal sector.</x:v>
      </x:c>
      <x:c r="O63" s="69" t="str">
        <x:v>Exact-scene semantic counterfactual. Target and reference identities stay fixed while the requested endpoint reverses front↔behind or left↔right.</x:v>
      </x:c>
      <x:c r="P63" s="70" t="str"/>
    </x:row>
    <x:row r="64" ht="54" customHeight="1">
      <x:c r="A64" s="68" t="str">
        <x:v>Success</x:v>
      </x:c>
      <x:c r="B64" s="69" t="str">
        <x:v>62</x:v>
      </x:c>
      <x:c r="C64" s="69" t="str">
        <x:v>Move the green pen near the red block.</x:v>
      </x:c>
      <x:c r="D64" s="69" t="str">
        <x:v>P1 red block at R1 (table center) [REFERENCE]; P2 green pen 18 cm to the left of P1 [TARGET START]; P3 pink marker 15 cm in front of P1 [DISTRACTOR]; P4 blue block 15 cm behind P1 [DISTRACTOR]</x:v>
      </x:c>
      <x:c r="E64" s="69" t="str">
        <x:v>60</x:v>
      </x:c>
      <x:c r="F64" s="69" t="str">
        <x:v>green pen → 2–8 cm edge gap from red block (any direction)</x:v>
      </x:c>
      <x:c r="G64" s="69" t="str">
        <x:v>Placed on left.</x:v>
      </x:c>
      <x:c r="H64" s="69" t="str">
        <x:v>Matched manipulation control</x:v>
      </x:c>
      <x:c r="I64" s="69" t="str">
        <x:v>RP-F16</x:v>
      </x:c>
      <x:c r="J64" s="69" t="str">
        <x:v>near</x:v>
      </x:c>
      <x:c r="K64" s="69" t="str">
        <x:v>4</x:v>
      </x:c>
      <x:c r="L64" s="69" t="str">
        <x:v>3 — Matched control — Seen near/next-to/beside relation on the same ordered pair (4 objects)</x:v>
      </x:c>
      <x:c r="M64" s="69" t="str">
        <x:v>16</x:v>
      </x:c>
      <x:c r="N64" s="69" t="str">
        <x:v>Reset only P2 to its marked start. Keep every object, camera setting, and pose fixed; change only the prompt.</x:v>
      </x:c>
      <x:c r="O64" s="69" t="str">
        <x:v>Controls target/reference recognition and basic pick-place on the exact pair. It is skill-matched but not direction-endpoint-matched, so analyze the paired success delta separately.</x:v>
      </x:c>
      <x:c r="P64" s="70" t="str"/>
    </x:row>
    <x:row r="65" ht="54" customHeight="1">
      <x:c r="A65" s="68" t="str">
        <x:v>Failure</x:v>
      </x:c>
      <x:c r="B65" s="69" t="str">
        <x:v>63</x:v>
      </x:c>
      <x:c r="C65" s="69" t="str">
        <x:v>Position the green pen adjacent to the red block.</x:v>
      </x:c>
      <x:c r="D65" s="69" t="str">
        <x:v>P1 red block at R1 (table center) [REFERENCE]; P2 green pen 18 cm to the left of P1 [TARGET START]; P3 pink marker 15 cm in front of P1 [DISTRACTOR]; P4 blue block 15 cm behind P1 [DISTRACTOR]</x:v>
      </x:c>
      <x:c r="E65" s="69" t="str">
        <x:v>62</x:v>
      </x:c>
      <x:c r="F65" s="69" t="str">
        <x:v>green pen → 2–8 cm edge gap from red block (any direction)</x:v>
      </x:c>
      <x:c r="G65" s="69" t="str">
        <x:v>Placed directly on top of the block.</x:v>
      </x:c>
      <x:c r="H65" s="69" t="str">
        <x:v>Language robustness</x:v>
      </x:c>
      <x:c r="I65" s="69" t="str">
        <x:v>RP-F16</x:v>
      </x:c>
      <x:c r="J65" s="69" t="str">
        <x:v>near</x:v>
      </x:c>
      <x:c r="K65" s="69" t="str">
        <x:v>4</x:v>
      </x:c>
      <x:c r="L65" s="69" t="str">
        <x:v>4 — Exact-scene control paraphrase — Paraphrase of matched-control prompt</x:v>
      </x:c>
      <x:c r="M65" s="69" t="str">
        <x:v>16</x:v>
      </x:c>
      <x:c r="N65" s="69" t="str">
        <x:v>Reset only P2 to its marked start; change only the prompt wording.</x:v>
      </x:c>
      <x:c r="O65" s="69" t="str">
        <x:v>Exact-scene language comparison for the seen near relation.</x:v>
      </x:c>
      <x:c r="P65" s="70" t="str"/>
    </x:row>
    <x:row r="66" ht="54" customHeight="1">
      <x:c r="A66" s="68" t="str">
        <x:v>Success</x:v>
      </x:c>
      <x:c r="B66" s="69" t="str">
        <x:v>64</x:v>
      </x:c>
      <x:c r="C66" s="69" t="str">
        <x:v>Move the green pen to the front of the red block.</x:v>
      </x:c>
      <x:c r="D66" s="69" t="str">
        <x:v>P1 red block at R2 (5 cm left of center) [REFERENCE]; P2 green pen 21 cm behind P1 [TARGET START]; P3 pink marker 15 cm to the left of P1 [DISTRACTOR]; P4 blue block 15 cm to the right of P1 [DISTRACTOR]</x:v>
      </x:c>
      <x:c r="E66" s="69" t="str"/>
      <x:c r="F66" s="69" t="str">
        <x:v>green pen → 2–8 cm edge gap in front of red block; centroid direction within ±45°</x:v>
      </x:c>
      <x:c r="G66" s="69" t="str"/>
      <x:c r="H66" s="69" t="str">
        <x:v>Concept/compositional transfer</x:v>
      </x:c>
      <x:c r="I66" s="69" t="str">
        <x:v>RP-F17</x:v>
      </x:c>
      <x:c r="J66" s="69" t="str">
        <x:v>front</x:v>
      </x:c>
      <x:c r="K66" s="69" t="str">
        <x:v>4</x:v>
      </x:c>
      <x:c r="L66" s="69" t="str">
        <x:v>1 — Canonical transfer — Held-out direction × green-pen/red-block pair (front)</x:v>
      </x:c>
      <x:c r="M66" s="69" t="str">
        <x:v>17</x:v>
      </x:c>
      <x:c r="N66" s="69" t="str">
        <x:v>Build the marked scene. Target starts in the opposite sector and outside the success gap; save a first-frame filename.</x:v>
      </x:c>
      <x:c r="O66" s="69" t="str">
        <x:v>Directional language is trained on other object pairs, but all directional green-pen/red-block demonstrations are withheld in both target/reference directions.</x:v>
      </x:c>
      <x:c r="P66" s="70" t="str"/>
    </x:row>
    <x:row r="67" ht="54" customHeight="1">
      <x:c r="A67" s="68" t="str">
        <x:v>Failure</x:v>
      </x:c>
      <x:c r="B67" s="69" t="str">
        <x:v>65</x:v>
      </x:c>
      <x:c r="C67" s="69" t="str">
        <x:v>Put the green pen on the table behind the red block.</x:v>
      </x:c>
      <x:c r="D67" s="69" t="str">
        <x:v>P1 red block at R2 (5 cm left of center) [REFERENCE]; P2 green pen 21 cm behind P1 [TARGET START]; P3 pink marker 15 cm to the left of P1 [DISTRACTOR]; P4 blue block 15 cm to the right of P1 [DISTRACTOR]</x:v>
      </x:c>
      <x:c r="E67" s="69" t="str">
        <x:v>64</x:v>
      </x:c>
      <x:c r="F67" s="69" t="str">
        <x:v>green pen → 2–8 cm edge gap behind red block; centroid direction within ±45°</x:v>
      </x:c>
      <x:c r="G67" s="69" t="str">
        <x:v>Placed front right.</x:v>
      </x:c>
      <x:c r="H67" s="69" t="str">
        <x:v>Exact-scene opposite-direction contrast</x:v>
      </x:c>
      <x:c r="I67" s="69" t="str">
        <x:v>RP-F17</x:v>
      </x:c>
      <x:c r="J67" s="69" t="str">
        <x:v>behind</x:v>
      </x:c>
      <x:c r="K67" s="69" t="str">
        <x:v>4</x:v>
      </x:c>
      <x:c r="L67" s="69" t="str">
        <x:v>2 — Exact-scene opposite-direction contrast — Direction-word counterfactual (front→behind)</x:v>
      </x:c>
      <x:c r="M67" s="69" t="str">
        <x:v>17</x:v>
      </x:c>
      <x:c r="N67" s="69" t="str">
        <x:v>Reset only P2 to its marked start. Preserve the exact scene; change only the directional word and expected goal sector.</x:v>
      </x:c>
      <x:c r="O67" s="69" t="str">
        <x:v>Exact-scene semantic counterfactual. Target and reference identities stay fixed while the requested endpoint reverses front↔behind or left↔right.</x:v>
      </x:c>
      <x:c r="P67" s="70" t="str"/>
    </x:row>
    <x:row r="68" ht="54" customHeight="1">
      <x:c r="A68" s="68" t="str">
        <x:v>Success</x:v>
      </x:c>
      <x:c r="B68" s="69" t="str">
        <x:v>66</x:v>
      </x:c>
      <x:c r="C68" s="69" t="str">
        <x:v>Place the green pen next to the red block.</x:v>
      </x:c>
      <x:c r="D68" s="69" t="str">
        <x:v>P1 red block at R2 (5 cm left of center) [REFERENCE]; P2 green pen 21 cm behind P1 [TARGET START]; P3 pink marker 15 cm to the left of P1 [DISTRACTOR]; P4 blue block 15 cm to the right of P1 [DISTRACTOR]</x:v>
      </x:c>
      <x:c r="E68" s="69" t="str">
        <x:v>64</x:v>
      </x:c>
      <x:c r="F68" s="69" t="str">
        <x:v>green pen → 2–8 cm edge gap from red block (any direction)</x:v>
      </x:c>
      <x:c r="G68" s="69" t="str">
        <x:v>Placed where half of pen is leaning on the block and half on the table. towards front of block.</x:v>
      </x:c>
      <x:c r="H68" s="69" t="str">
        <x:v>Matched manipulation control</x:v>
      </x:c>
      <x:c r="I68" s="69" t="str">
        <x:v>RP-F17</x:v>
      </x:c>
      <x:c r="J68" s="69" t="str">
        <x:v>near</x:v>
      </x:c>
      <x:c r="K68" s="69" t="str">
        <x:v>4</x:v>
      </x:c>
      <x:c r="L68" s="69" t="str">
        <x:v>3 — Matched control — Seen near/next-to/beside relation on the same ordered pair (4 objects)</x:v>
      </x:c>
      <x:c r="M68" s="69" t="str">
        <x:v>17</x:v>
      </x:c>
      <x:c r="N68" s="69" t="str">
        <x:v>Reset only P2 to its marked start. Keep every object, camera setting, and pose fixed; change only the prompt.</x:v>
      </x:c>
      <x:c r="O68" s="69" t="str">
        <x:v>Controls target/reference recognition and basic pick-place on the exact pair. It is skill-matched but not direction-endpoint-matched, so analyze the paired success delta separately.</x:v>
      </x:c>
      <x:c r="P68" s="70" t="str"/>
    </x:row>
    <x:row r="69" ht="54" customHeight="1">
      <x:c r="A69" s="68" t="str">
        <x:v>Success</x:v>
      </x:c>
      <x:c r="B69" s="69" t="str">
        <x:v>67</x:v>
      </x:c>
      <x:c r="C69" s="69" t="str">
        <x:v>Put the green pen close to the red block.</x:v>
      </x:c>
      <x:c r="D69" s="69" t="str">
        <x:v>P1 red block at R2 (5 cm left of center) [REFERENCE]; P2 green pen 21 cm behind P1 [TARGET START]; P3 pink marker 15 cm to the left of P1 [DISTRACTOR]; P4 blue block 15 cm to the right of P1 [DISTRACTOR]</x:v>
      </x:c>
      <x:c r="E69" s="69" t="str">
        <x:v>66</x:v>
      </x:c>
      <x:c r="F69" s="69" t="str">
        <x:v>green pen → 2–8 cm edge gap from red block (any direction)</x:v>
      </x:c>
      <x:c r="G69" s="69" t="str">
        <x:v>Placed on right.</x:v>
      </x:c>
      <x:c r="H69" s="69" t="str">
        <x:v>Language robustness</x:v>
      </x:c>
      <x:c r="I69" s="69" t="str">
        <x:v>RP-F17</x:v>
      </x:c>
      <x:c r="J69" s="69" t="str">
        <x:v>near</x:v>
      </x:c>
      <x:c r="K69" s="69" t="str">
        <x:v>4</x:v>
      </x:c>
      <x:c r="L69" s="69" t="str">
        <x:v>4 — Exact-scene control paraphrase — Paraphrase of matched-control prompt</x:v>
      </x:c>
      <x:c r="M69" s="69" t="str">
        <x:v>17</x:v>
      </x:c>
      <x:c r="N69" s="69" t="str">
        <x:v>Reset only P2 to its marked start; change only the prompt wording.</x:v>
      </x:c>
      <x:c r="O69" s="69" t="str">
        <x:v>Exact-scene language comparison for the seen near relation.</x:v>
      </x:c>
      <x:c r="P69" s="70" t="str"/>
    </x:row>
    <x:row r="70" ht="54" customHeight="1">
      <x:c r="A70" s="68" t="str">
        <x:v>Success</x:v>
      </x:c>
      <x:c r="B70" s="69" t="str">
        <x:v>68</x:v>
      </x:c>
      <x:c r="C70" s="69" t="str">
        <x:v>Put the red block on the table behind the green pen.</x:v>
      </x:c>
      <x:c r="D70" s="69" t="str">
        <x:v>P1 green pen at R3 (5 cm right of center) [REFERENCE]; P2 red block 24 cm in front of P1 [TARGET START]; P3 pink marker 15 cm to the left of P1 [DISTRACTOR]; P4 blue block 15 cm to the right of P1 [DISTRACTOR]</x:v>
      </x:c>
      <x:c r="E70" s="69" t="str"/>
      <x:c r="F70" s="69" t="str">
        <x:v>red block → 2–8 cm edge gap behind green pen; centroid direction within ±45°</x:v>
      </x:c>
      <x:c r="G70" s="69" t="str"/>
      <x:c r="H70" s="69" t="str">
        <x:v>Concept/compositional transfer</x:v>
      </x:c>
      <x:c r="I70" s="69" t="str">
        <x:v>RP-F18</x:v>
      </x:c>
      <x:c r="J70" s="69" t="str">
        <x:v>behind</x:v>
      </x:c>
      <x:c r="K70" s="69" t="str">
        <x:v>4</x:v>
      </x:c>
      <x:c r="L70" s="69" t="str">
        <x:v>1 — Canonical transfer — Held-out direction × green-pen/red-block pair (behind)</x:v>
      </x:c>
      <x:c r="M70" s="69" t="str">
        <x:v>18</x:v>
      </x:c>
      <x:c r="N70" s="69" t="str">
        <x:v>Build the marked scene. Target starts in the opposite sector and outside the success gap; save a first-frame filename.</x:v>
      </x:c>
      <x:c r="O70" s="69" t="str">
        <x:v>Directional language is trained on other object pairs, but all directional green-pen/red-block demonstrations are withheld in both target/reference directions.</x:v>
      </x:c>
      <x:c r="P70" s="70" t="str"/>
    </x:row>
    <x:row r="71" ht="54" customHeight="1">
      <x:c r="A71" s="68" t="str">
        <x:v>Failure</x:v>
      </x:c>
      <x:c r="B71" s="69" t="str">
        <x:v>69</x:v>
      </x:c>
      <x:c r="C71" s="69" t="str">
        <x:v>Place the red block in front of the green pen.</x:v>
      </x:c>
      <x:c r="D71" s="69" t="str">
        <x:v>P1 green pen at R3 (5 cm right of center) [REFERENCE]; P2 red block 24 cm in front of P1 [TARGET START]; P3 pink marker 15 cm to the left of P1 [DISTRACTOR]; P4 blue block 15 cm to the right of P1 [DISTRACTOR]</x:v>
      </x:c>
      <x:c r="E71" s="69" t="str">
        <x:v>68</x:v>
      </x:c>
      <x:c r="F71" s="69" t="str">
        <x:v>red block → 2–8 cm edge gap in front of green pen; centroid direction within ±45°</x:v>
      </x:c>
      <x:c r="G71" s="69" t="str">
        <x:v>Placed on left. Might be too difficult for robot to put in fornt cuz near edge of workspace. kind of front cuz pen is angled but not really</x:v>
      </x:c>
      <x:c r="H71" s="69" t="str">
        <x:v>Exact-scene opposite-direction contrast</x:v>
      </x:c>
      <x:c r="I71" s="69" t="str">
        <x:v>RP-F18</x:v>
      </x:c>
      <x:c r="J71" s="69" t="str">
        <x:v>front</x:v>
      </x:c>
      <x:c r="K71" s="69" t="str">
        <x:v>4</x:v>
      </x:c>
      <x:c r="L71" s="69" t="str">
        <x:v>2 — Exact-scene opposite-direction contrast — Direction-word counterfactual (behind→front)</x:v>
      </x:c>
      <x:c r="M71" s="69" t="str">
        <x:v>18</x:v>
      </x:c>
      <x:c r="N71" s="69" t="str">
        <x:v>Reset only P2 to its marked start. Preserve the exact scene; change only the directional word and expected goal sector.</x:v>
      </x:c>
      <x:c r="O71" s="69" t="str">
        <x:v>Exact-scene semantic counterfactual. Target and reference identities stay fixed while the requested endpoint reverses front↔behind or left↔right.</x:v>
      </x:c>
      <x:c r="P71" s="70" t="str"/>
    </x:row>
    <x:row r="72" ht="54" customHeight="1">
      <x:c r="A72" s="68" t="str">
        <x:v>Success</x:v>
      </x:c>
      <x:c r="B72" s="69" t="str">
        <x:v>70</x:v>
      </x:c>
      <x:c r="C72" s="69" t="str">
        <x:v>Put the red block beside the green pen.</x:v>
      </x:c>
      <x:c r="D72" s="69" t="str">
        <x:v>P1 green pen at R3 (5 cm right of center) [REFERENCE]; P2 red block 24 cm in front of P1 [TARGET START]; P3 pink marker 15 cm to the left of P1 [DISTRACTOR]; P4 blue block 15 cm to the right of P1 [DISTRACTOR]</x:v>
      </x:c>
      <x:c r="E72" s="69" t="str">
        <x:v>68</x:v>
      </x:c>
      <x:c r="F72" s="69" t="str">
        <x:v>red block → 2–8 cm edge gap from green pen (any direction)</x:v>
      </x:c>
      <x:c r="G72" s="69" t="str">
        <x:v>Placed behind</x:v>
      </x:c>
      <x:c r="H72" s="69" t="str">
        <x:v>Matched manipulation control</x:v>
      </x:c>
      <x:c r="I72" s="69" t="str">
        <x:v>RP-F18</x:v>
      </x:c>
      <x:c r="J72" s="69" t="str">
        <x:v>near</x:v>
      </x:c>
      <x:c r="K72" s="69" t="str">
        <x:v>4</x:v>
      </x:c>
      <x:c r="L72" s="69" t="str">
        <x:v>3 — Matched control — Seen near/next-to/beside relation on the same ordered pair (4 objects)</x:v>
      </x:c>
      <x:c r="M72" s="69" t="str">
        <x:v>18</x:v>
      </x:c>
      <x:c r="N72" s="69" t="str">
        <x:v>Reset only P2 to its marked start. Keep every object, camera setting, and pose fixed; change only the prompt.</x:v>
      </x:c>
      <x:c r="O72" s="69" t="str">
        <x:v>Controls target/reference recognition and basic pick-place on the exact pair. It is skill-matched but not direction-endpoint-matched, so analyze the paired success delta separately.</x:v>
      </x:c>
      <x:c r="P72" s="70" t="str"/>
    </x:row>
    <x:row r="73" ht="54" customHeight="1">
      <x:c r="A73" s="68" t="str">
        <x:v>Success</x:v>
      </x:c>
      <x:c r="B73" s="69" t="str">
        <x:v>71</x:v>
      </x:c>
      <x:c r="C73" s="69" t="str">
        <x:v>Set the red block alongside the green pen.</x:v>
      </x:c>
      <x:c r="D73" s="69" t="str">
        <x:v>P1 green pen at R3 (5 cm right of center) [REFERENCE]; P2 red block 24 cm in front of P1 [TARGET START]; P3 pink marker 15 cm to the left of P1 [DISTRACTOR]; P4 blue block 15 cm to the right of P1 [DISTRACTOR]</x:v>
      </x:c>
      <x:c r="E73" s="69" t="str">
        <x:v>70</x:v>
      </x:c>
      <x:c r="F73" s="69" t="str">
        <x:v>red block → 2–8 cm edge gap from green pen (any direction)</x:v>
      </x:c>
      <x:c r="G73" s="69" t="str">
        <x:v>placed behind; close to pink pen.</x:v>
      </x:c>
      <x:c r="H73" s="69" t="str">
        <x:v>Language robustness</x:v>
      </x:c>
      <x:c r="I73" s="69" t="str">
        <x:v>RP-F18</x:v>
      </x:c>
      <x:c r="J73" s="69" t="str">
        <x:v>near</x:v>
      </x:c>
      <x:c r="K73" s="69" t="str">
        <x:v>4</x:v>
      </x:c>
      <x:c r="L73" s="69" t="str">
        <x:v>4 — Exact-scene control paraphrase — Paraphrase of matched-control prompt</x:v>
      </x:c>
      <x:c r="M73" s="69" t="str">
        <x:v>18</x:v>
      </x:c>
      <x:c r="N73" s="69" t="str">
        <x:v>Reset only P2 to its marked start; change only the prompt wording.</x:v>
      </x:c>
      <x:c r="O73" s="69" t="str">
        <x:v>Exact-scene language comparison for the seen near relation.</x:v>
      </x:c>
      <x:c r="P73" s="70" t="str"/>
    </x:row>
    <x:row r="74" ht="54" customHeight="1">
      <x:c r="A74" s="68" t="str">
        <x:v>Failure</x:v>
      </x:c>
      <x:c r="B74" s="69" t="str">
        <x:v>72</x:v>
      </x:c>
      <x:c r="C74" s="69" t="str">
        <x:v>Place the green pen to the left of the red block.</x:v>
      </x:c>
      <x:c r="D74" s="69" t="str">
        <x:v>P1 red block at R4 (5 cm toward the robot from center) [REFERENCE]; P2 green pen 18 cm to the right of P1 [TARGET START]; P3 pink marker 15 cm in front of P1 [DISTRACTOR]; P4 blue block 15 cm behind P1 [DISTRACTOR]</x:v>
      </x:c>
      <x:c r="E74" s="69" t="str"/>
      <x:c r="F74" s="69" t="str">
        <x:v>green pen → 2–8 cm edge gap to the left of red block; centroid direction within ±45°</x:v>
      </x:c>
      <x:c r="G74" s="69" t="str">
        <x:v>Placed at front right. aka bottom right.</x:v>
      </x:c>
      <x:c r="H74" s="69" t="str">
        <x:v>Concept/compositional transfer</x:v>
      </x:c>
      <x:c r="I74" s="69" t="str">
        <x:v>RP-F19</x:v>
      </x:c>
      <x:c r="J74" s="69" t="str">
        <x:v>left</x:v>
      </x:c>
      <x:c r="K74" s="69" t="str">
        <x:v>4</x:v>
      </x:c>
      <x:c r="L74" s="69" t="str">
        <x:v>1 — Canonical transfer — Held-out direction × green-pen/red-block pair (left)</x:v>
      </x:c>
      <x:c r="M74" s="69" t="str">
        <x:v>19</x:v>
      </x:c>
      <x:c r="N74" s="69" t="str">
        <x:v>Build the marked scene. Target starts in the opposite sector and outside the success gap; save a first-frame filename.</x:v>
      </x:c>
      <x:c r="O74" s="69" t="str">
        <x:v>Directional language is trained on other object pairs, but all directional green-pen/red-block demonstrations are withheld in both target/reference directions.</x:v>
      </x:c>
      <x:c r="P74" s="70" t="str"/>
    </x:row>
    <x:row r="75" ht="54" customHeight="1">
      <x:c r="A75" s="68" t="str">
        <x:v>Success</x:v>
      </x:c>
      <x:c r="B75" s="69" t="str">
        <x:v>73</x:v>
      </x:c>
      <x:c r="C75" s="69" t="str">
        <x:v>Place the green pen to the right of the red block.</x:v>
      </x:c>
      <x:c r="D75" s="69" t="str">
        <x:v>P1 red block at R4 (5 cm toward the robot from center) [REFERENCE]; P2 green pen 18 cm to the right of P1 [TARGET START]; P3 pink marker 15 cm in front of P1 [DISTRACTOR]; P4 blue block 15 cm behind P1 [DISTRACTOR]</x:v>
      </x:c>
      <x:c r="E75" s="69" t="str">
        <x:v>72</x:v>
      </x:c>
      <x:c r="F75" s="69" t="str">
        <x:v>green pen → 2–8 cm edge gap to the right of red block; centroid direction within ±45°</x:v>
      </x:c>
      <x:c r="G75" s="69" t="str"/>
      <x:c r="H75" s="69" t="str">
        <x:v>Exact-scene opposite-direction contrast</x:v>
      </x:c>
      <x:c r="I75" s="69" t="str">
        <x:v>RP-F19</x:v>
      </x:c>
      <x:c r="J75" s="69" t="str">
        <x:v>right</x:v>
      </x:c>
      <x:c r="K75" s="69" t="str">
        <x:v>4</x:v>
      </x:c>
      <x:c r="L75" s="69" t="str">
        <x:v>2 — Exact-scene opposite-direction contrast — Direction-word counterfactual (left→right)</x:v>
      </x:c>
      <x:c r="M75" s="69" t="str">
        <x:v>19</x:v>
      </x:c>
      <x:c r="N75" s="69" t="str">
        <x:v>Reset only P2 to its marked start. Preserve the exact scene; change only the directional word and expected goal sector.</x:v>
      </x:c>
      <x:c r="O75" s="69" t="str">
        <x:v>Exact-scene semantic counterfactual. Target and reference identities stay fixed while the requested endpoint reverses front↔behind or left↔right.</x:v>
      </x:c>
      <x:c r="P75" s="70" t="str"/>
    </x:row>
    <x:row r="76" ht="54" customHeight="1">
      <x:c r="A76" s="68" t="str">
        <x:v>Success</x:v>
      </x:c>
      <x:c r="B76" s="69" t="str">
        <x:v>74</x:v>
      </x:c>
      <x:c r="C76" s="69" t="str">
        <x:v>Move the green pen near the red block.</x:v>
      </x:c>
      <x:c r="D76" s="69" t="str">
        <x:v>P1 red block at R4 (5 cm toward the robot from center) [REFERENCE]; P2 green pen 18 cm to the right of P1 [TARGET START]; P3 pink marker 15 cm in front of P1 [DISTRACTOR]; P4 blue block 15 cm behind P1 [DISTRACTOR]</x:v>
      </x:c>
      <x:c r="E76" s="69" t="str">
        <x:v>72</x:v>
      </x:c>
      <x:c r="F76" s="69" t="str">
        <x:v>green pen → 2–8 cm edge gap from red block (any direction)</x:v>
      </x:c>
      <x:c r="G76" s="69" t="str">
        <x:v>Placed to right. almost identitical trajectory to episode 73</x:v>
      </x:c>
      <x:c r="H76" s="69" t="str">
        <x:v>Matched manipulation control</x:v>
      </x:c>
      <x:c r="I76" s="69" t="str">
        <x:v>RP-F19</x:v>
      </x:c>
      <x:c r="J76" s="69" t="str">
        <x:v>near</x:v>
      </x:c>
      <x:c r="K76" s="69" t="str">
        <x:v>4</x:v>
      </x:c>
      <x:c r="L76" s="69" t="str">
        <x:v>3 — Matched control — Seen near/next-to/beside relation on the same ordered pair (4 objects)</x:v>
      </x:c>
      <x:c r="M76" s="69" t="str">
        <x:v>19</x:v>
      </x:c>
      <x:c r="N76" s="69" t="str">
        <x:v>Reset only P2 to its marked start. Keep every object, camera setting, and pose fixed; change only the prompt.</x:v>
      </x:c>
      <x:c r="O76" s="69" t="str">
        <x:v>Controls target/reference recognition and basic pick-place on the exact pair. It is skill-matched but not direction-endpoint-matched, so analyze the paired success delta separately.</x:v>
      </x:c>
      <x:c r="P76" s="70" t="str"/>
    </x:row>
    <x:row r="77" ht="54" customHeight="1">
      <x:c r="A77" s="68" t="str">
        <x:v>Success</x:v>
      </x:c>
      <x:c r="B77" s="69" t="str">
        <x:v>75</x:v>
      </x:c>
      <x:c r="C77" s="69" t="str">
        <x:v>Move the green pen within a short distance of the red block.</x:v>
      </x:c>
      <x:c r="D77" s="69" t="str">
        <x:v>P1 red block at R4 (5 cm toward the robot from center) [REFERENCE]; P2 green pen 18 cm to the right of P1 [TARGET START]; P3 pink marker 15 cm in front of P1 [DISTRACTOR]; P4 blue block 15 cm behind P1 [DISTRACTOR]</x:v>
      </x:c>
      <x:c r="E77" s="69" t="str">
        <x:v>74</x:v>
      </x:c>
      <x:c r="F77" s="69" t="str">
        <x:v>green pen → 2–8 cm edge gap from red block (any direction)</x:v>
      </x:c>
      <x:c r="G77" s="69" t="str">
        <x:v>Placed to right. almost identitical trajectory to episode 73</x:v>
      </x:c>
      <x:c r="H77" s="69" t="str">
        <x:v>Language robustness</x:v>
      </x:c>
      <x:c r="I77" s="69" t="str">
        <x:v>RP-F19</x:v>
      </x:c>
      <x:c r="J77" s="69" t="str">
        <x:v>near</x:v>
      </x:c>
      <x:c r="K77" s="69" t="str">
        <x:v>4</x:v>
      </x:c>
      <x:c r="L77" s="69" t="str">
        <x:v>4 — Exact-scene control paraphrase — Paraphrase of matched-control prompt</x:v>
      </x:c>
      <x:c r="M77" s="69" t="str">
        <x:v>19</x:v>
      </x:c>
      <x:c r="N77" s="69" t="str">
        <x:v>Reset only P2 to its marked start; change only the prompt wording.</x:v>
      </x:c>
      <x:c r="O77" s="69" t="str">
        <x:v>Exact-scene language comparison for the seen near relation.</x:v>
      </x:c>
      <x:c r="P77" s="70" t="str"/>
    </x:row>
    <x:row r="78" ht="54" customHeight="1">
      <x:c r="A78" s="68" t="str">
        <x:v>Success</x:v>
      </x:c>
      <x:c r="B78" s="69" t="str">
        <x:v>76</x:v>
      </x:c>
      <x:c r="C78" s="69" t="str">
        <x:v>Place the red block to the right of the green pen.</x:v>
      </x:c>
      <x:c r="D78" s="69" t="str">
        <x:v>P1 green pen at R5 (5 cm away from the robot from center) [REFERENCE]; P2 red block 21 cm to the left of P1 [TARGET START]; P3 pink marker 15 cm in front of P1 [DISTRACTOR]; P4 blue block 15 cm behind P1 [DISTRACTOR]</x:v>
      </x:c>
      <x:c r="E78" s="69" t="str"/>
      <x:c r="F78" s="69" t="str">
        <x:v>red block → 2–8 cm edge gap to the right of green pen; centroid direction within ±45°</x:v>
      </x:c>
      <x:c r="G78" s="69" t="str">
        <x:v>Also kind of on top. Moved pen when dropped, but leaning towards right.</x:v>
      </x:c>
      <x:c r="H78" s="69" t="str">
        <x:v>Concept/compositional transfer</x:v>
      </x:c>
      <x:c r="I78" s="69" t="str">
        <x:v>RP-F20</x:v>
      </x:c>
      <x:c r="J78" s="69" t="str">
        <x:v>right</x:v>
      </x:c>
      <x:c r="K78" s="69" t="str">
        <x:v>4</x:v>
      </x:c>
      <x:c r="L78" s="69" t="str">
        <x:v>1 — Canonical transfer — Held-out direction × green-pen/red-block pair (right)</x:v>
      </x:c>
      <x:c r="M78" s="69" t="str">
        <x:v>20</x:v>
      </x:c>
      <x:c r="N78" s="69" t="str">
        <x:v>Build the marked scene. Target starts in the opposite sector and outside the success gap; save a first-frame filename.</x:v>
      </x:c>
      <x:c r="O78" s="69" t="str">
        <x:v>Directional language is trained on other object pairs, but all directional green-pen/red-block demonstrations are withheld in both target/reference directions.</x:v>
      </x:c>
      <x:c r="P78" s="70" t="str"/>
    </x:row>
    <x:row r="79" ht="54" customHeight="1">
      <x:c r="A79" s="68" t="str">
        <x:v>Success</x:v>
      </x:c>
      <x:c r="B79" s="69" t="str">
        <x:v>77</x:v>
      </x:c>
      <x:c r="C79" s="69" t="str">
        <x:v>Place the red block to the left of the green pen.</x:v>
      </x:c>
      <x:c r="D79" s="69" t="str">
        <x:v>P1 green pen at R5 (5 cm away from the robot from center) [REFERENCE]; P2 red block 21 cm to the left of P1 [TARGET START]; P3 pink marker 15 cm in front of P1 [DISTRACTOR]; P4 blue block 15 cm behind P1 [DISTRACTOR]</x:v>
      </x:c>
      <x:c r="E79" s="69" t="str">
        <x:v>76</x:v>
      </x:c>
      <x:c r="F79" s="69" t="str">
        <x:v>red block → 2–8 cm edge gap to the left of green pen; centroid direction within ±45°</x:v>
      </x:c>
      <x:c r="G79" s="69" t="str"/>
      <x:c r="H79" s="69" t="str">
        <x:v>Exact-scene opposite-direction contrast</x:v>
      </x:c>
      <x:c r="I79" s="69" t="str">
        <x:v>RP-F20</x:v>
      </x:c>
      <x:c r="J79" s="69" t="str">
        <x:v>left</x:v>
      </x:c>
      <x:c r="K79" s="69" t="str">
        <x:v>4</x:v>
      </x:c>
      <x:c r="L79" s="69" t="str">
        <x:v>2 — Exact-scene opposite-direction contrast — Direction-word counterfactual (right→left)</x:v>
      </x:c>
      <x:c r="M79" s="69" t="str">
        <x:v>20</x:v>
      </x:c>
      <x:c r="N79" s="69" t="str">
        <x:v>Reset only P2 to its marked start. Preserve the exact scene; change only the directional word and expected goal sector.</x:v>
      </x:c>
      <x:c r="O79" s="69" t="str">
        <x:v>Exact-scene semantic counterfactual. Target and reference identities stay fixed while the requested endpoint reverses front↔behind or left↔right.</x:v>
      </x:c>
      <x:c r="P79" s="70" t="str"/>
    </x:row>
    <x:row r="80" ht="54" customHeight="1">
      <x:c r="A80" s="68" t="str">
        <x:v>Success</x:v>
      </x:c>
      <x:c r="B80" s="69" t="str">
        <x:v>78</x:v>
      </x:c>
      <x:c r="C80" s="69" t="str">
        <x:v>Place the red block next to the green pen.</x:v>
      </x:c>
      <x:c r="D80" s="69" t="str">
        <x:v>P1 green pen at R5 (5 cm away from the robot from center) [REFERENCE]; P2 red block 21 cm to the left of P1 [TARGET START]; P3 pink marker 15 cm in front of P1 [DISTRACTOR]; P4 blue block 15 cm behind P1 [DISTRACTOR]</x:v>
      </x:c>
      <x:c r="E80" s="69" t="str">
        <x:v>76</x:v>
      </x:c>
      <x:c r="F80" s="69" t="str">
        <x:v>red block → 2–8 cm edge gap from green pen (any direction)</x:v>
      </x:c>
      <x:c r="G80" s="69" t="str">
        <x:v>Placed on left and nudged pen a little bit.</x:v>
      </x:c>
      <x:c r="H80" s="69" t="str">
        <x:v>Matched manipulation control</x:v>
      </x:c>
      <x:c r="I80" s="69" t="str">
        <x:v>RP-F20</x:v>
      </x:c>
      <x:c r="J80" s="69" t="str">
        <x:v>near</x:v>
      </x:c>
      <x:c r="K80" s="69" t="str">
        <x:v>4</x:v>
      </x:c>
      <x:c r="L80" s="69" t="str">
        <x:v>3 — Matched control — Seen near/next-to/beside relation on the same ordered pair (4 objects)</x:v>
      </x:c>
      <x:c r="M80" s="69" t="str">
        <x:v>20</x:v>
      </x:c>
      <x:c r="N80" s="69" t="str">
        <x:v>Reset only P2 to its marked start. Keep every object, camera setting, and pose fixed; change only the prompt.</x:v>
      </x:c>
      <x:c r="O80" s="69" t="str">
        <x:v>Controls target/reference recognition and basic pick-place on the exact pair. It is skill-matched but not direction-endpoint-matched, so analyze the paired success delta separately.</x:v>
      </x:c>
      <x:c r="P80" s="70" t="str"/>
    </x:row>
    <x:row r="81" ht="54" customHeight="1">
      <x:c r="A81" s="68" t="str">
        <x:v>Success</x:v>
      </x:c>
      <x:c r="B81" s="69" t="str">
        <x:v>79</x:v>
      </x:c>
      <x:c r="C81" s="69" t="str">
        <x:v>Place the red block near enough to sit beside the green pen.</x:v>
      </x:c>
      <x:c r="D81" s="69" t="str">
        <x:v>P1 green pen at R5 (5 cm away from the robot from center) [REFERENCE]; P2 red block 21 cm to the left of P1 [TARGET START]; P3 pink marker 15 cm in front of P1 [DISTRACTOR]; P4 blue block 15 cm behind P1 [DISTRACTOR]</x:v>
      </x:c>
      <x:c r="E81" s="69" t="str">
        <x:v>78</x:v>
      </x:c>
      <x:c r="F81" s="69" t="str">
        <x:v>red block → 2–8 cm edge gap from green pen (any direction)</x:v>
      </x:c>
      <x:c r="G81" s="69" t="str">
        <x:v>Placed on left and nudged pen a little bit.</x:v>
      </x:c>
      <x:c r="H81" s="69" t="str">
        <x:v>Language robustness</x:v>
      </x:c>
      <x:c r="I81" s="69" t="str">
        <x:v>RP-F20</x:v>
      </x:c>
      <x:c r="J81" s="69" t="str">
        <x:v>near</x:v>
      </x:c>
      <x:c r="K81" s="69" t="str">
        <x:v>4</x:v>
      </x:c>
      <x:c r="L81" s="69" t="str">
        <x:v>4 — Exact-scene control paraphrase — Paraphrase of matched-control prompt</x:v>
      </x:c>
      <x:c r="M81" s="69" t="str">
        <x:v>20</x:v>
      </x:c>
      <x:c r="N81" s="69" t="str">
        <x:v>Reset only P2 to its marked start; change only the prompt wording.</x:v>
      </x:c>
      <x:c r="O81" s="69" t="str">
        <x:v>Exact-scene language comparison for the seen near relation.</x:v>
      </x:c>
      <x:c r="P81" s="70" t="str"/>
    </x:row>
    <x:row r="82" ht="54" customHeight="1">
      <x:c r="A82" s="68" t="str">
        <x:v>Success</x:v>
      </x:c>
      <x:c r="B82" s="69" t="str">
        <x:v>80</x:v>
      </x:c>
      <x:c r="C82" s="69" t="str">
        <x:v>Put the green pen on the table in front of the red block.</x:v>
      </x:c>
      <x:c r="D82" s="69" t="str">
        <x:v>P1 red block at R1 (table center) [REFERENCE]; P2 green pen 24 cm behind P1 [TARGET START]; blue block [DISTRACTOR]</x:v>
      </x:c>
      <x:c r="E82" s="69" t="str"/>
      <x:c r="F82" s="69" t="str">
        <x:v>green pen → 2–8 cm edge gap in front of red block; centroid direction within ±45°</x:v>
      </x:c>
      <x:c r="G82" s="69" t="str"/>
      <x:c r="H82" s="69" t="str">
        <x:v>Concept/compositional transfer</x:v>
      </x:c>
      <x:c r="I82" s="69" t="str">
        <x:v>RP-X01</x:v>
      </x:c>
      <x:c r="J82" s="69" t="str">
        <x:v>front</x:v>
      </x:c>
      <x:c r="K82" s="69" t="str">
        <x:v>3</x:v>
      </x:c>
      <x:c r="L82" s="69" t="str">
        <x:v>Additional transfer — Additional held-out direction × green-pen/red-block pair (front)</x:v>
      </x:c>
      <x:c r="M82" s="69" t="str">
        <x:v>21</x:v>
      </x:c>
      <x:c r="N82" s="69" t="str">
        <x:v>Build the listed scene; target starts in the opposite sector. Save a first-frame filename.</x:v>
      </x:c>
      <x:c r="O82" s="69" t="str">
        <x:v>Unpaired primary-transfer coverage. Canonical wording is seen with other pairs; only the object-pair composition is held out.</x:v>
      </x:c>
      <x:c r="P82" s="70" t="str"/>
    </x:row>
    <x:row r="83" ht="54" customHeight="1">
      <x:c r="A83" s="68" t="str">
        <x:v>Success</x:v>
      </x:c>
      <x:c r="B83" s="69" t="str">
        <x:v>81</x:v>
      </x:c>
      <x:c r="C83" s="69" t="str">
        <x:v>Place the red block behind the green pen.</x:v>
      </x:c>
      <x:c r="D83" s="69" t="str">
        <x:v>P1 green pen at R2 (5 cm left of center) [REFERENCE]; P2 red block 18 cm in front of P1 [TARGET START]; blue block [DISTRACTOR]</x:v>
      </x:c>
      <x:c r="E83" s="69" t="str"/>
      <x:c r="F83" s="69" t="str">
        <x:v>red block → 2–8 cm edge gap behind green pen; centroid direction within ±45°</x:v>
      </x:c>
      <x:c r="G83" s="69" t="str"/>
      <x:c r="H83" s="69" t="str">
        <x:v>Concept/compositional transfer</x:v>
      </x:c>
      <x:c r="I83" s="69" t="str">
        <x:v>RP-X02</x:v>
      </x:c>
      <x:c r="J83" s="69" t="str">
        <x:v>behind</x:v>
      </x:c>
      <x:c r="K83" s="69" t="str">
        <x:v>3</x:v>
      </x:c>
      <x:c r="L83" s="69" t="str">
        <x:v>Additional transfer — Additional held-out direction × green-pen/red-block pair (behind)</x:v>
      </x:c>
      <x:c r="M83" s="69" t="str">
        <x:v>22</x:v>
      </x:c>
      <x:c r="N83" s="69" t="str">
        <x:v>Build the listed scene; target starts in the opposite sector. Save a first-frame filename.</x:v>
      </x:c>
      <x:c r="O83" s="69" t="str">
        <x:v>Unpaired primary-transfer coverage. Canonical wording is seen with other pairs; only the object-pair composition is held out.</x:v>
      </x:c>
      <x:c r="P83" s="70" t="str"/>
    </x:row>
    <x:row r="84" ht="54" customHeight="1">
      <x:c r="A84" s="68" t="str">
        <x:v>Success</x:v>
      </x:c>
      <x:c r="B84" s="69" t="str">
        <x:v>82</x:v>
      </x:c>
      <x:c r="C84" s="69" t="str">
        <x:v>Place the green pen to the left of the red block.</x:v>
      </x:c>
      <x:c r="D84" s="69" t="str">
        <x:v>P1 red block at R3 (5 cm right of center) [REFERENCE]; P2 green pen 21 cm to the right of P1 [TARGET START]; blue block [DISTRACTOR]</x:v>
      </x:c>
      <x:c r="E84" s="69" t="str"/>
      <x:c r="F84" s="69" t="str">
        <x:v>green pen → 2–8 cm edge gap to the left of red block; centroid direction within ±45°</x:v>
      </x:c>
      <x:c r="G84" s="69" t="str"/>
      <x:c r="H84" s="69" t="str">
        <x:v>Concept/compositional transfer</x:v>
      </x:c>
      <x:c r="I84" s="69" t="str">
        <x:v>RP-X03</x:v>
      </x:c>
      <x:c r="J84" s="69" t="str">
        <x:v>left</x:v>
      </x:c>
      <x:c r="K84" s="69" t="str">
        <x:v>3</x:v>
      </x:c>
      <x:c r="L84" s="69" t="str">
        <x:v>Additional transfer — Additional held-out direction × green-pen/red-block pair (left)</x:v>
      </x:c>
      <x:c r="M84" s="69" t="str">
        <x:v>23</x:v>
      </x:c>
      <x:c r="N84" s="69" t="str">
        <x:v>Build the listed scene; target starts in the opposite sector. Save a first-frame filename.</x:v>
      </x:c>
      <x:c r="O84" s="69" t="str">
        <x:v>Unpaired primary-transfer coverage. Canonical wording is seen with other pairs; only the object-pair composition is held out.</x:v>
      </x:c>
      <x:c r="P84" s="70" t="str"/>
    </x:row>
    <x:row r="85" ht="54" customHeight="1">
      <x:c r="A85" s="68" t="str">
        <x:v>Success</x:v>
      </x:c>
      <x:c r="B85" s="69" t="str">
        <x:v>83</x:v>
      </x:c>
      <x:c r="C85" s="69" t="str">
        <x:v>Place the red block to the right of the green pen.</x:v>
      </x:c>
      <x:c r="D85" s="69" t="str">
        <x:v>P1 green pen at R4 (5 cm toward the robot from center) [REFERENCE]; P2 red block 24 cm to the left of P1 [TARGET START]; blue block [DISTRACTOR]</x:v>
      </x:c>
      <x:c r="E85" s="69" t="str"/>
      <x:c r="F85" s="69" t="str">
        <x:v>red block → 2–8 cm edge gap to the right of green pen; centroid direction within ±45°</x:v>
      </x:c>
      <x:c r="G85" s="69" t="str"/>
      <x:c r="H85" s="69" t="str">
        <x:v>Concept/compositional transfer</x:v>
      </x:c>
      <x:c r="I85" s="69" t="str">
        <x:v>RP-X04</x:v>
      </x:c>
      <x:c r="J85" s="69" t="str">
        <x:v>right</x:v>
      </x:c>
      <x:c r="K85" s="69" t="str">
        <x:v>3</x:v>
      </x:c>
      <x:c r="L85" s="69" t="str">
        <x:v>Additional transfer — Additional held-out direction × green-pen/red-block pair (right)</x:v>
      </x:c>
      <x:c r="M85" s="69" t="str">
        <x:v>24</x:v>
      </x:c>
      <x:c r="N85" s="69" t="str">
        <x:v>Build the listed scene; target starts in the opposite sector. Save a first-frame filename.</x:v>
      </x:c>
      <x:c r="O85" s="69" t="str">
        <x:v>Unpaired primary-transfer coverage. Canonical wording is seen with other pairs; only the object-pair composition is held out.</x:v>
      </x:c>
      <x:c r="P85" s="70" t="str"/>
    </x:row>
    <x:row r="86" ht="54" customHeight="1">
      <x:c r="A86" s="68" t="str">
        <x:v>Success</x:v>
      </x:c>
      <x:c r="B86" s="69" t="str">
        <x:v>84</x:v>
      </x:c>
      <x:c r="C86" s="69" t="str">
        <x:v>Place the red block in front of the green pen.</x:v>
      </x:c>
      <x:c r="D86" s="69" t="str">
        <x:v>P1 green pen at R5 (5 cm away from the robot from center) [REFERENCE]; P2 red block 18 cm behind P1 [TARGET START]; blue block [DISTRACTOR]</x:v>
      </x:c>
      <x:c r="E86" s="69" t="str"/>
      <x:c r="F86" s="69" t="str">
        <x:v>red block → 2–8 cm edge gap in front of green pen; centroid direction within ±45°</x:v>
      </x:c>
      <x:c r="G86" s="69" t="str"/>
      <x:c r="H86" s="69" t="str">
        <x:v>Concept/compositional transfer</x:v>
      </x:c>
      <x:c r="I86" s="69" t="str">
        <x:v>RP-X05</x:v>
      </x:c>
      <x:c r="J86" s="69" t="str">
        <x:v>front</x:v>
      </x:c>
      <x:c r="K86" s="69" t="str">
        <x:v>3</x:v>
      </x:c>
      <x:c r="L86" s="69" t="str">
        <x:v>Additional transfer — Additional held-out direction × green-pen/red-block pair (front)</x:v>
      </x:c>
      <x:c r="M86" s="69" t="str">
        <x:v>25</x:v>
      </x:c>
      <x:c r="N86" s="69" t="str">
        <x:v>Build the listed scene; target starts in the opposite sector. Save a first-frame filename.</x:v>
      </x:c>
      <x:c r="O86" s="69" t="str">
        <x:v>Unpaired primary-transfer coverage. Canonical wording is seen with other pairs; only the object-pair composition is held out.</x:v>
      </x:c>
      <x:c r="P86" s="70" t="str"/>
    </x:row>
    <x:row r="87" ht="54" customHeight="1">
      <x:c r="A87" s="68" t="str">
        <x:v>Success</x:v>
      </x:c>
      <x:c r="B87" s="69" t="str">
        <x:v>85</x:v>
      </x:c>
      <x:c r="C87" s="69" t="str">
        <x:v>Move the green pen to the back of the red block.</x:v>
      </x:c>
      <x:c r="D87" s="69" t="str">
        <x:v>P1 red block at R1 (table center) [REFERENCE]; P2 green pen 21 cm in front of P1 [TARGET START]; blue block [DISTRACTOR]</x:v>
      </x:c>
      <x:c r="E87" s="69" t="str"/>
      <x:c r="F87" s="69" t="str">
        <x:v>green pen → 2–8 cm edge gap behind red block; centroid direction within ±45°</x:v>
      </x:c>
      <x:c r="G87" s="69" t="str"/>
      <x:c r="H87" s="69" t="str">
        <x:v>Concept/compositional transfer</x:v>
      </x:c>
      <x:c r="I87" s="69" t="str">
        <x:v>RP-X06</x:v>
      </x:c>
      <x:c r="J87" s="69" t="str">
        <x:v>behind</x:v>
      </x:c>
      <x:c r="K87" s="69" t="str">
        <x:v>3</x:v>
      </x:c>
      <x:c r="L87" s="69" t="str">
        <x:v>Additional transfer — Additional held-out direction × green-pen/red-block pair (behind)</x:v>
      </x:c>
      <x:c r="M87" s="69" t="str">
        <x:v>26</x:v>
      </x:c>
      <x:c r="N87" s="69" t="str">
        <x:v>Build the listed scene; target starts in the opposite sector. Save a first-frame filename.</x:v>
      </x:c>
      <x:c r="O87" s="69" t="str">
        <x:v>Unpaired primary-transfer coverage. Canonical wording is seen with other pairs; only the object-pair composition is held out.</x:v>
      </x:c>
      <x:c r="P87" s="70" t="str"/>
    </x:row>
    <x:row r="88" ht="54" customHeight="1">
      <x:c r="A88" s="68" t="str">
        <x:v>Failure</x:v>
      </x:c>
      <x:c r="B88" s="69" t="str">
        <x:v>86</x:v>
      </x:c>
      <x:c r="C88" s="69" t="str">
        <x:v>Place the red block to the left of the green pen.</x:v>
      </x:c>
      <x:c r="D88" s="69" t="str">
        <x:v>P1 green pen at R2 (5 cm left of center) [REFERENCE]; P2 red block 24 cm to the right of P1 [TARGET START]; blue block [DISTRACTOR]</x:v>
      </x:c>
      <x:c r="E88" s="69" t="str"/>
      <x:c r="F88" s="69" t="str">
        <x:v>red block → 2–8 cm edge gap to the left of green pen; centroid direction within ±45°</x:v>
      </x:c>
      <x:c r="G88" s="69" t="str">
        <x:v>Placed the red block directly to the right of the green pen, and the robot didn't move at all.</x:v>
      </x:c>
      <x:c r="H88" s="69" t="str">
        <x:v>Concept/compositional transfer</x:v>
      </x:c>
      <x:c r="I88" s="69" t="str">
        <x:v>RP-X07</x:v>
      </x:c>
      <x:c r="J88" s="69" t="str">
        <x:v>left</x:v>
      </x:c>
      <x:c r="K88" s="69" t="str">
        <x:v>3</x:v>
      </x:c>
      <x:c r="L88" s="69" t="str">
        <x:v>Additional transfer — Additional held-out direction × green-pen/red-block pair (left)</x:v>
      </x:c>
      <x:c r="M88" s="69" t="str">
        <x:v>27</x:v>
      </x:c>
      <x:c r="N88" s="69" t="str">
        <x:v>Build the listed scene; target starts in the opposite sector. Save a first-frame filename.</x:v>
      </x:c>
      <x:c r="O88" s="69" t="str">
        <x:v>Unpaired primary-transfer coverage. Canonical wording is seen with other pairs; only the object-pair composition is held out.</x:v>
      </x:c>
      <x:c r="P88" s="70" t="str"/>
    </x:row>
    <x:row r="89" ht="54" customHeight="1">
      <x:c r="A89" s="68" t="str">
        <x:v>Failure</x:v>
      </x:c>
      <x:c r="B89" s="69" t="str">
        <x:v>87</x:v>
      </x:c>
      <x:c r="C89" s="69" t="str">
        <x:v>Place the green pen to the right of the red block.</x:v>
      </x:c>
      <x:c r="D89" s="69" t="str">
        <x:v>P1 red block at R3 (5 cm right of center) [REFERENCE]; P2 green pen 18 cm to the left of P1 [TARGET START]; blue block [DISTRACTOR]</x:v>
      </x:c>
      <x:c r="E89" s="69" t="str"/>
      <x:c r="F89" s="69" t="str">
        <x:v>green pen → 2–8 cm edge gap to the right of red block; centroid direction within ±45°</x:v>
      </x:c>
      <x:c r="G89" s="69" t="str">
        <x:v>Placed the green pen directly to the left of the red block, and the robot didn't move at all.</x:v>
      </x:c>
      <x:c r="H89" s="69" t="str">
        <x:v>Concept/compositional transfer</x:v>
      </x:c>
      <x:c r="I89" s="69" t="str">
        <x:v>RP-X08</x:v>
      </x:c>
      <x:c r="J89" s="69" t="str">
        <x:v>right</x:v>
      </x:c>
      <x:c r="K89" s="69" t="str">
        <x:v>3</x:v>
      </x:c>
      <x:c r="L89" s="69" t="str">
        <x:v>Additional transfer — Additional held-out direction × green-pen/red-block pair (right)</x:v>
      </x:c>
      <x:c r="M89" s="69" t="str">
        <x:v>28</x:v>
      </x:c>
      <x:c r="N89" s="69" t="str">
        <x:v>Build the listed scene; target starts in the opposite sector. Save a first-frame filename.</x:v>
      </x:c>
      <x:c r="O89" s="69" t="str">
        <x:v>Unpaired primary-transfer coverage. Canonical wording is seen with other pairs; only the object-pair composition is held out.</x:v>
      </x:c>
      <x:c r="P89" s="70" t="str"/>
    </x:row>
    <x:row r="90" ht="54" customHeight="1">
      <x:c r="A90" s="68" t="str">
        <x:v>Success</x:v>
      </x:c>
      <x:c r="B90" s="69" t="str">
        <x:v>88</x:v>
      </x:c>
      <x:c r="C90" s="69" t="str">
        <x:v>Move the green pen to the front of the red block.</x:v>
      </x:c>
      <x:c r="D90" s="69" t="str">
        <x:v>P1 red block at R4 (5 cm toward the robot from center) [REFERENCE]; P2 green pen 21 cm behind P1 [TARGET START]; blue block [DISTRACTOR]</x:v>
      </x:c>
      <x:c r="E90" s="69" t="str"/>
      <x:c r="F90" s="69" t="str">
        <x:v>green pen → 2–8 cm edge gap in front of red block; centroid direction within ±45°</x:v>
      </x:c>
      <x:c r="G90" s="69" t="str"/>
      <x:c r="H90" s="69" t="str">
        <x:v>Concept/compositional transfer</x:v>
      </x:c>
      <x:c r="I90" s="69" t="str">
        <x:v>RP-X09</x:v>
      </x:c>
      <x:c r="J90" s="69" t="str">
        <x:v>front</x:v>
      </x:c>
      <x:c r="K90" s="69" t="str">
        <x:v>3</x:v>
      </x:c>
      <x:c r="L90" s="69" t="str">
        <x:v>Additional transfer — Additional held-out direction × green-pen/red-block pair (front)</x:v>
      </x:c>
      <x:c r="M90" s="69" t="str">
        <x:v>29</x:v>
      </x:c>
      <x:c r="N90" s="69" t="str">
        <x:v>Build the listed scene; target starts in the opposite sector. Save a first-frame filename.</x:v>
      </x:c>
      <x:c r="O90" s="69" t="str">
        <x:v>Unpaired primary-transfer coverage. Canonical wording is seen with other pairs; only the object-pair composition is held out.</x:v>
      </x:c>
      <x:c r="P90" s="70" t="str"/>
    </x:row>
    <x:row r="91" ht="54" customHeight="1">
      <x:c r="A91" s="68" t="str">
        <x:v>Failure</x:v>
      </x:c>
      <x:c r="B91" s="69" t="str">
        <x:v>89</x:v>
      </x:c>
      <x:c r="C91" s="69" t="str">
        <x:v>Put the red block on the table behind the green pen.</x:v>
      </x:c>
      <x:c r="D91" s="69" t="str">
        <x:v>P1 green pen at R5 (5 cm away from the robot from center) [REFERENCE]; P2 red block 24 cm in front of P1 [TARGET START]; blue block [DISTRACTOR]</x:v>
      </x:c>
      <x:c r="E91" s="69" t="str"/>
      <x:c r="F91" s="69" t="str">
        <x:v>red block → 2–8 cm edge gap behind green pen; centroid direction within ±45°</x:v>
      </x:c>
      <x:c r="G91" s="69" t="str">
        <x:v>Placed on the right.</x:v>
      </x:c>
      <x:c r="H91" s="69" t="str">
        <x:v>Concept/compositional transfer</x:v>
      </x:c>
      <x:c r="I91" s="69" t="str">
        <x:v>RP-X10</x:v>
      </x:c>
      <x:c r="J91" s="69" t="str">
        <x:v>behind</x:v>
      </x:c>
      <x:c r="K91" s="69" t="str">
        <x:v>3</x:v>
      </x:c>
      <x:c r="L91" s="69" t="str">
        <x:v>Additional transfer — Additional held-out direction × green-pen/red-block pair (behind)</x:v>
      </x:c>
      <x:c r="M91" s="69" t="str">
        <x:v>30</x:v>
      </x:c>
      <x:c r="N91" s="69" t="str">
        <x:v>Build the listed scene; target starts in the opposite sector. Save a first-frame filename.</x:v>
      </x:c>
      <x:c r="O91" s="69" t="str">
        <x:v>Unpaired primary-transfer coverage. Canonical wording is seen with other pairs; only the object-pair composition is held out.</x:v>
      </x:c>
      <x:c r="P91" s="70" t="str"/>
    </x:row>
    <x:row r="92" ht="54" customHeight="1">
      <x:c r="A92" s="68" t="str">
        <x:v>Success</x:v>
      </x:c>
      <x:c r="B92" s="69" t="str">
        <x:v>90</x:v>
      </x:c>
      <x:c r="C92" s="69" t="str">
        <x:v>Place the green pen to the left of the red block.</x:v>
      </x:c>
      <x:c r="D92" s="69" t="str">
        <x:v>P1 red block at R1 (table center) [REFERENCE]; P2 green pen 18 cm to the right of P1 [TARGET START]; blue block [DISTRACTOR]</x:v>
      </x:c>
      <x:c r="E92" s="69" t="str"/>
      <x:c r="F92" s="69" t="str">
        <x:v>green pen → 2–8 cm edge gap to the left of red block; centroid direction within ±45°</x:v>
      </x:c>
      <x:c r="G92" s="69" t="str"/>
      <x:c r="H92" s="69" t="str">
        <x:v>Concept/compositional transfer</x:v>
      </x:c>
      <x:c r="I92" s="69" t="str">
        <x:v>RP-X11</x:v>
      </x:c>
      <x:c r="J92" s="69" t="str">
        <x:v>left</x:v>
      </x:c>
      <x:c r="K92" s="69" t="str">
        <x:v>3</x:v>
      </x:c>
      <x:c r="L92" s="69" t="str">
        <x:v>Additional transfer — Additional held-out direction × green-pen/red-block pair (left)</x:v>
      </x:c>
      <x:c r="M92" s="69" t="str">
        <x:v>31</x:v>
      </x:c>
      <x:c r="N92" s="69" t="str">
        <x:v>Build the listed scene; target starts in the opposite sector. Save a first-frame filename.</x:v>
      </x:c>
      <x:c r="O92" s="69" t="str">
        <x:v>Unpaired primary-transfer coverage. Canonical wording is seen with other pairs; only the object-pair composition is held out.</x:v>
      </x:c>
      <x:c r="P92" s="70" t="str"/>
    </x:row>
    <x:row r="93" ht="54" customHeight="1">
      <x:c r="A93" s="68" t="str">
        <x:v>Failure</x:v>
      </x:c>
      <x:c r="B93" s="69" t="str">
        <x:v>91</x:v>
      </x:c>
      <x:c r="C93" s="69" t="str">
        <x:v>Place the red block to the right of the green pen.</x:v>
      </x:c>
      <x:c r="D93" s="69" t="str">
        <x:v>P1 green pen at R2 (5 cm left of center) [REFERENCE]; P2 red block 21 cm to the left of P1 [TARGET START]; blue block [DISTRACTOR]</x:v>
      </x:c>
      <x:c r="E93" s="69" t="str"/>
      <x:c r="F93" s="69" t="str">
        <x:v>red block → 2–8 cm edge gap to the right of green pen; centroid direction within ±45°</x:v>
      </x:c>
      <x:c r="G93" s="69" t="str">
        <x:v>Placed on the left.</x:v>
      </x:c>
      <x:c r="H93" s="69" t="str">
        <x:v>Concept/compositional transfer</x:v>
      </x:c>
      <x:c r="I93" s="69" t="str">
        <x:v>RP-X12</x:v>
      </x:c>
      <x:c r="J93" s="69" t="str">
        <x:v>right</x:v>
      </x:c>
      <x:c r="K93" s="69" t="str">
        <x:v>3</x:v>
      </x:c>
      <x:c r="L93" s="69" t="str">
        <x:v>Additional transfer — Additional held-out direction × green-pen/red-block pair (right)</x:v>
      </x:c>
      <x:c r="M93" s="69" t="str">
        <x:v>32</x:v>
      </x:c>
      <x:c r="N93" s="69" t="str">
        <x:v>Build the listed scene; target starts in the opposite sector. Save a first-frame filename.</x:v>
      </x:c>
      <x:c r="O93" s="69" t="str">
        <x:v>Unpaired primary-transfer coverage. Canonical wording is seen with other pairs; only the object-pair composition is held out.</x:v>
      </x:c>
      <x:c r="P93" s="70" t="str"/>
    </x:row>
    <x:row r="94" ht="54" customHeight="1">
      <x:c r="A94" s="68" t="str">
        <x:v>Success</x:v>
      </x:c>
      <x:c r="B94" s="69" t="str">
        <x:v>92</x:v>
      </x:c>
      <x:c r="C94" s="69" t="str">
        <x:v>Put the red block on the table in front of the green pen.</x:v>
      </x:c>
      <x:c r="D94" s="69" t="str">
        <x:v>P1 green pen at R3 (5 cm right of center) [REFERENCE]; P2 red block 24 cm behind P1 [TARGET START]; blue block [DISTRACTOR]</x:v>
      </x:c>
      <x:c r="E94" s="69" t="str"/>
      <x:c r="F94" s="69" t="str">
        <x:v>red block → 2–8 cm edge gap in front of green pen; centroid direction within ±45°</x:v>
      </x:c>
      <x:c r="G94" s="69" t="str"/>
      <x:c r="H94" s="69" t="str">
        <x:v>Concept/compositional transfer</x:v>
      </x:c>
      <x:c r="I94" s="69" t="str">
        <x:v>RP-X13</x:v>
      </x:c>
      <x:c r="J94" s="69" t="str">
        <x:v>front</x:v>
      </x:c>
      <x:c r="K94" s="69" t="str">
        <x:v>3</x:v>
      </x:c>
      <x:c r="L94" s="69" t="str">
        <x:v>Additional transfer — Additional held-out direction × green-pen/red-block pair (front)</x:v>
      </x:c>
      <x:c r="M94" s="69" t="str">
        <x:v>33</x:v>
      </x:c>
      <x:c r="N94" s="69" t="str">
        <x:v>Build the listed scene; target starts in the opposite sector. Save a first-frame filename.</x:v>
      </x:c>
      <x:c r="O94" s="69" t="str">
        <x:v>Unpaired primary-transfer coverage. Canonical wording is seen with other pairs; only the object-pair composition is held out.</x:v>
      </x:c>
      <x:c r="P94" s="70" t="str"/>
    </x:row>
    <x:row r="95" ht="54" customHeight="1">
      <x:c r="A95" s="68" t="str">
        <x:v>Success</x:v>
      </x:c>
      <x:c r="B95" s="69" t="str">
        <x:v>93</x:v>
      </x:c>
      <x:c r="C95" s="69" t="str">
        <x:v>Place the green pen behind the red block.</x:v>
      </x:c>
      <x:c r="D95" s="69" t="str">
        <x:v>P1 red block at R4 (5 cm toward the robot from center) [REFERENCE]; P2 green pen 18 cm in front of P1 [TARGET START]; blue block [DISTRACTOR]</x:v>
      </x:c>
      <x:c r="E95" s="69" t="str"/>
      <x:c r="F95" s="69" t="str">
        <x:v>green pen → 2–8 cm edge gap behind red block; centroid direction within ±45°</x:v>
      </x:c>
      <x:c r="G95" s="69" t="str"/>
      <x:c r="H95" s="69" t="str">
        <x:v>Concept/compositional transfer</x:v>
      </x:c>
      <x:c r="I95" s="69" t="str">
        <x:v>RP-X14</x:v>
      </x:c>
      <x:c r="J95" s="69" t="str">
        <x:v>behind</x:v>
      </x:c>
      <x:c r="K95" s="69" t="str">
        <x:v>3</x:v>
      </x:c>
      <x:c r="L95" s="69" t="str">
        <x:v>Additional transfer — Additional held-out direction × green-pen/red-block pair (behind)</x:v>
      </x:c>
      <x:c r="M95" s="69" t="str">
        <x:v>34</x:v>
      </x:c>
      <x:c r="N95" s="69" t="str">
        <x:v>Build the listed scene; target starts in the opposite sector. Save a first-frame filename.</x:v>
      </x:c>
      <x:c r="O95" s="69" t="str">
        <x:v>Unpaired primary-transfer coverage. Canonical wording is seen with other pairs; only the object-pair composition is held out.</x:v>
      </x:c>
      <x:c r="P95" s="70" t="str"/>
    </x:row>
    <x:row r="96" ht="54" customHeight="1">
      <x:c r="A96" s="68" t="str">
        <x:v>Success</x:v>
      </x:c>
      <x:c r="B96" s="69" t="str">
        <x:v>94</x:v>
      </x:c>
      <x:c r="C96" s="69" t="str">
        <x:v>Place the red block to the left of the green pen.</x:v>
      </x:c>
      <x:c r="D96" s="69" t="str">
        <x:v>P1 green pen at R5 (5 cm away from the robot from center) [REFERENCE]; P2 red block 21 cm to the right of P1 [TARGET START]; blue block [DISTRACTOR]</x:v>
      </x:c>
      <x:c r="E96" s="69" t="str"/>
      <x:c r="F96" s="69" t="str">
        <x:v>red block → 2–8 cm edge gap to the left of green pen; centroid direction within ±45°</x:v>
      </x:c>
      <x:c r="G96" s="69" t="str">
        <x:v>Another drop on top and rolls over to the left</x:v>
      </x:c>
      <x:c r="H96" s="69" t="str">
        <x:v>Concept/compositional transfer</x:v>
      </x:c>
      <x:c r="I96" s="69" t="str">
        <x:v>RP-X15</x:v>
      </x:c>
      <x:c r="J96" s="69" t="str">
        <x:v>left</x:v>
      </x:c>
      <x:c r="K96" s="69" t="str">
        <x:v>3</x:v>
      </x:c>
      <x:c r="L96" s="69" t="str">
        <x:v>Additional transfer — Additional held-out direction × green-pen/red-block pair (left)</x:v>
      </x:c>
      <x:c r="M96" s="69" t="str">
        <x:v>35</x:v>
      </x:c>
      <x:c r="N96" s="69" t="str">
        <x:v>Build the listed scene; target starts in the opposite sector. Save a first-frame filename.</x:v>
      </x:c>
      <x:c r="O96" s="69" t="str">
        <x:v>Unpaired primary-transfer coverage. Canonical wording is seen with other pairs; only the object-pair composition is held out.</x:v>
      </x:c>
      <x:c r="P96" s="70" t="str"/>
    </x:row>
    <x:row r="97" ht="54" customHeight="1">
      <x:c r="A97" s="68" t="str">
        <x:v>Success</x:v>
      </x:c>
      <x:c r="B97" s="69" t="str">
        <x:v>95</x:v>
      </x:c>
      <x:c r="C97" s="69" t="str">
        <x:v>Place the green pen to the right of the red block.</x:v>
      </x:c>
      <x:c r="D97" s="69" t="str">
        <x:v>P1 red block at R1 (table center) [REFERENCE]; P2 green pen 24 cm to the left of P1 [TARGET START]; P4 blue block 15 cm behind P1 [DISTRACTOR]</x:v>
      </x:c>
      <x:c r="E97" s="69" t="str"/>
      <x:c r="F97" s="69" t="str">
        <x:v>green pen → 2–8 cm edge gap to the right of red block; centroid direction within ±45°</x:v>
      </x:c>
      <x:c r="G97" s="69" t="str"/>
      <x:c r="H97" s="69" t="str">
        <x:v>Concept/compositional transfer</x:v>
      </x:c>
      <x:c r="I97" s="69" t="str">
        <x:v>RP-X16</x:v>
      </x:c>
      <x:c r="J97" s="69" t="str">
        <x:v>right</x:v>
      </x:c>
      <x:c r="K97" s="69" t="str">
        <x:v>4</x:v>
      </x:c>
      <x:c r="L97" s="69" t="str">
        <x:v>Additional transfer — Additional held-out direction × green-pen/red-block pair (right)</x:v>
      </x:c>
      <x:c r="M97" s="69" t="str">
        <x:v>36</x:v>
      </x:c>
      <x:c r="N97" s="69" t="str">
        <x:v>Build the listed scene; target starts in the opposite sector. Save a first-frame filename.</x:v>
      </x:c>
      <x:c r="O97" s="69" t="str">
        <x:v>Unpaired primary-transfer coverage. Canonical wording is seen with other pairs; only the object-pair composition is held out.</x:v>
      </x:c>
      <x:c r="P97" s="70" t="str"/>
    </x:row>
    <x:row r="98" ht="54" customHeight="1">
      <x:c r="A98" s="68" t="str">
        <x:v>Success</x:v>
      </x:c>
      <x:c r="B98" s="69" t="str">
        <x:v>96</x:v>
      </x:c>
      <x:c r="C98" s="69" t="str">
        <x:v>Place the green pen in front of the red block.</x:v>
      </x:c>
      <x:c r="D98" s="69" t="str">
        <x:v>P1 red block at R2 (5 cm left of center) [REFERENCE]; P2 green pen 18 cm behind P1 [TARGET START]; P3 pink marker 15 cm to the left of P1 [DISTRACTOR]; P4 blue block 15 cm to the right of P1 [DISTRACTOR]</x:v>
      </x:c>
      <x:c r="E98" s="69" t="str"/>
      <x:c r="F98" s="69" t="str">
        <x:v>green pen → 2–8 cm edge gap in front of red block; centroid direction within ±45°</x:v>
      </x:c>
      <x:c r="G98" s="69" t="str"/>
      <x:c r="H98" s="69" t="str">
        <x:v>Concept/compositional transfer</x:v>
      </x:c>
      <x:c r="I98" s="69" t="str">
        <x:v>RP-X17</x:v>
      </x:c>
      <x:c r="J98" s="69" t="str">
        <x:v>front</x:v>
      </x:c>
      <x:c r="K98" s="69" t="str">
        <x:v>4</x:v>
      </x:c>
      <x:c r="L98" s="69" t="str">
        <x:v>Additional transfer — Additional held-out direction × green-pen/red-block pair (front)</x:v>
      </x:c>
      <x:c r="M98" s="69" t="str">
        <x:v>37</x:v>
      </x:c>
      <x:c r="N98" s="69" t="str">
        <x:v>Build the listed scene; target starts in the opposite sector. Save a first-frame filename.</x:v>
      </x:c>
      <x:c r="O98" s="69" t="str">
        <x:v>Unpaired primary-transfer coverage. Canonical wording is seen with other pairs; only the object-pair composition is held out.</x:v>
      </x:c>
      <x:c r="P98" s="70" t="str"/>
    </x:row>
    <x:row r="99" ht="54" customHeight="1">
      <x:c r="A99" s="68" t="str">
        <x:v>Success</x:v>
      </x:c>
      <x:c r="B99" s="69" t="str">
        <x:v>97</x:v>
      </x:c>
      <x:c r="C99" s="69" t="str">
        <x:v>Move the red block to the back of the green pen.</x:v>
      </x:c>
      <x:c r="D99" s="69" t="str">
        <x:v>P1 green pen at R3 (5 cm right of center) [REFERENCE]; P2 red block 21 cm in front of P1 [TARGET START]; P3 pink marker 15 cm to the left of P1 [DISTRACTOR]; P4 blue block 15 cm to the right of P1 [DISTRACTOR]</x:v>
      </x:c>
      <x:c r="E99" s="69" t="str"/>
      <x:c r="F99" s="69" t="str">
        <x:v>red block → 2–8 cm edge gap behind green pen; centroid direction within ±45°</x:v>
      </x:c>
      <x:c r="G99" s="69" t="str"/>
      <x:c r="H99" s="69" t="str">
        <x:v>Concept/compositional transfer</x:v>
      </x:c>
      <x:c r="I99" s="69" t="str">
        <x:v>RP-X18</x:v>
      </x:c>
      <x:c r="J99" s="69" t="str">
        <x:v>behind</x:v>
      </x:c>
      <x:c r="K99" s="69" t="str">
        <x:v>4</x:v>
      </x:c>
      <x:c r="L99" s="69" t="str">
        <x:v>Additional transfer — Additional held-out direction × green-pen/red-block pair (behind)</x:v>
      </x:c>
      <x:c r="M99" s="69" t="str">
        <x:v>38</x:v>
      </x:c>
      <x:c r="N99" s="69" t="str">
        <x:v>Build the listed scene; target starts in the opposite sector. Save a first-frame filename.</x:v>
      </x:c>
      <x:c r="O99" s="69" t="str">
        <x:v>Unpaired primary-transfer coverage. Canonical wording is seen with other pairs; only the object-pair composition is held out.</x:v>
      </x:c>
      <x:c r="P99" s="70" t="str"/>
    </x:row>
    <x:row r="100" ht="54" customHeight="1">
      <x:c r="A100" s="68" t="str">
        <x:v>Failure</x:v>
      </x:c>
      <x:c r="B100" s="69" t="str">
        <x:v>98</x:v>
      </x:c>
      <x:c r="C100" s="69" t="str">
        <x:v>Place the green pen to the left of the red block.</x:v>
      </x:c>
      <x:c r="D100" s="69" t="str">
        <x:v>P1 red block at R4 (5 cm toward the robot from center) [REFERENCE]; P2 green pen 24 cm to the right of P1 [TARGET START]; P3 pink marker 15 cm in front of P1 [DISTRACTOR]; P4 blue block 15 cm behind P1 [DISTRACTOR]</x:v>
      </x:c>
      <x:c r="E100" s="69" t="str"/>
      <x:c r="F100" s="69" t="str">
        <x:v>green pen → 2–8 cm edge gap to the left of red block; centroid direction within ±45°</x:v>
      </x:c>
      <x:c r="G100" s="69" t="str">
        <x:v>Placed the green pen directly in front of the red block. Starts to go towards the pen, but never actually picks it up. Goes back home instead of grabbing it and moving it. </x:v>
      </x:c>
      <x:c r="H100" s="69" t="str">
        <x:v>Concept/compositional transfer</x:v>
      </x:c>
      <x:c r="I100" s="69" t="str">
        <x:v>RP-X19</x:v>
      </x:c>
      <x:c r="J100" s="69" t="str">
        <x:v>left</x:v>
      </x:c>
      <x:c r="K100" s="69" t="str">
        <x:v>4</x:v>
      </x:c>
      <x:c r="L100" s="69" t="str">
        <x:v>Additional transfer — Additional held-out direction × green-pen/red-block pair (left)</x:v>
      </x:c>
      <x:c r="M100" s="69" t="str">
        <x:v>39</x:v>
      </x:c>
      <x:c r="N100" s="69" t="str">
        <x:v>Build the listed scene; target starts in the opposite sector. Save a first-frame filename.</x:v>
      </x:c>
      <x:c r="O100" s="69" t="str">
        <x:v>Unpaired primary-transfer coverage. Canonical wording is seen with other pairs; only the object-pair composition is held out.</x:v>
      </x:c>
      <x:c r="P100" s="70" t="str"/>
    </x:row>
    <x:row r="101" ht="54" customHeight="1">
      <x:c r="A101" s="68" t="str">
        <x:v>Failure</x:v>
      </x:c>
      <x:c r="B101" s="69" t="str">
        <x:v>99</x:v>
      </x:c>
      <x:c r="C101" s="69" t="str">
        <x:v>Place the red block to the right of the green pen.</x:v>
      </x:c>
      <x:c r="D101" s="69" t="str">
        <x:v>P1 green pen at R5 (5 cm away from the robot from center) [REFERENCE]; P2 red block 18 cm to the left of P1 [TARGET START]; P3 pink marker 15 cm in front of P1 [DISTRACTOR]; P4 blue block 15 cm behind P1 [DISTRACTOR]</x:v>
      </x:c>
      <x:c r="E101" s="69" t="str"/>
      <x:c r="F101" s="69" t="str">
        <x:v>red block → 2–8 cm edge gap to the right of green pen; centroid direction within ±45°</x:v>
      </x:c>
      <x:c r="G101" s="69" t="str">
        <x:v>Same arrangement with red block and green pen as in previous episode. Didn't move at all. </x:v>
      </x:c>
      <x:c r="H101" s="69" t="str">
        <x:v>Concept/compositional transfer</x:v>
      </x:c>
      <x:c r="I101" s="69" t="str">
        <x:v>RP-X20</x:v>
      </x:c>
      <x:c r="J101" s="69" t="str">
        <x:v>right</x:v>
      </x:c>
      <x:c r="K101" s="69" t="str">
        <x:v>4</x:v>
      </x:c>
      <x:c r="L101" s="69" t="str">
        <x:v>Additional transfer — Additional held-out direction × green-pen/red-block pair (right)</x:v>
      </x:c>
      <x:c r="M101" s="69" t="str">
        <x:v>40</x:v>
      </x:c>
      <x:c r="N101" s="69" t="str">
        <x:v>Build the listed scene; target starts in the opposite sector. Save a first-frame filename.</x:v>
      </x:c>
      <x:c r="O101" s="69" t="str">
        <x:v>Unpaired primary-transfer coverage. Canonical wording is seen with other pairs; only the object-pair composition is held out.</x:v>
      </x:c>
      <x:c r="P101" s="70" t="str"/>
    </x:row>
    <x:row r="102" ht="54" customHeight="1">
      <x:c r="A102" s="68" t="str">
        <x:v>Success</x:v>
      </x:c>
      <x:c r="B102" s="69" t="str">
        <x:v>100</x:v>
      </x:c>
      <x:c r="C102" s="69" t="str">
        <x:v>Move the red block to the front of the green pen.</x:v>
      </x:c>
      <x:c r="D102" s="69" t="str">
        <x:v>P1 green pen at R1 (table center) [REFERENCE]; P2 red block 21 cm behind P1 [TARGET START]; P3 pink marker 15 cm to the left of P1 [DISTRACTOR]; P4 blue block 15 cm to the right of P1 [DISTRACTOR]</x:v>
      </x:c>
      <x:c r="E102" s="69" t="str"/>
      <x:c r="F102" s="69" t="str">
        <x:v>red block → 2–8 cm edge gap in front of green pen; centroid direction within ±45°</x:v>
      </x:c>
      <x:c r="G102" s="69" t="str"/>
      <x:c r="H102" s="69" t="str">
        <x:v>Concept/compositional transfer</x:v>
      </x:c>
      <x:c r="I102" s="69" t="str">
        <x:v>RP-X21</x:v>
      </x:c>
      <x:c r="J102" s="69" t="str">
        <x:v>front</x:v>
      </x:c>
      <x:c r="K102" s="69" t="str">
        <x:v>4</x:v>
      </x:c>
      <x:c r="L102" s="69" t="str">
        <x:v>Additional transfer — Additional held-out direction × green-pen/red-block pair (front)</x:v>
      </x:c>
      <x:c r="M102" s="69" t="str">
        <x:v>41</x:v>
      </x:c>
      <x:c r="N102" s="69" t="str">
        <x:v>Build the listed scene; target starts in the opposite sector. Save a first-frame filename.</x:v>
      </x:c>
      <x:c r="O102" s="69" t="str">
        <x:v>Unpaired primary-transfer coverage. Canonical wording is seen with other pairs; only the object-pair composition is held out.</x:v>
      </x:c>
      <x:c r="P102" s="70" t="str"/>
    </x:row>
    <x:row r="103" ht="54" customHeight="1">
      <x:c r="A103" s="68" t="str">
        <x:v>Success</x:v>
      </x:c>
      <x:c r="B103" s="69" t="str">
        <x:v>101</x:v>
      </x:c>
      <x:c r="C103" s="69" t="str">
        <x:v>Put the green pen on the table behind the red block.</x:v>
      </x:c>
      <x:c r="D103" s="69" t="str">
        <x:v>P1 red block at R2 (5 cm left of center) [REFERENCE]; P2 green pen 24 cm in front of P1 [TARGET START]; P3 pink marker 15 cm to the left of P1 [DISTRACTOR]; P4 blue block 15 cm to the right of P1 [DISTRACTOR]</x:v>
      </x:c>
      <x:c r="E103" s="69" t="str"/>
      <x:c r="F103" s="69" t="str">
        <x:v>green pen → 2–8 cm edge gap behind red block; centroid direction within ±45°</x:v>
      </x:c>
      <x:c r="G103" s="69" t="str"/>
      <x:c r="H103" s="69" t="str">
        <x:v>Concept/compositional transfer</x:v>
      </x:c>
      <x:c r="I103" s="69" t="str">
        <x:v>RP-X22</x:v>
      </x:c>
      <x:c r="J103" s="69" t="str">
        <x:v>behind</x:v>
      </x:c>
      <x:c r="K103" s="69" t="str">
        <x:v>4</x:v>
      </x:c>
      <x:c r="L103" s="69" t="str">
        <x:v>Additional transfer — Additional held-out direction × green-pen/red-block pair (behind)</x:v>
      </x:c>
      <x:c r="M103" s="69" t="str">
        <x:v>42</x:v>
      </x:c>
      <x:c r="N103" s="69" t="str">
        <x:v>Build the listed scene; target starts in the opposite sector. Save a first-frame filename.</x:v>
      </x:c>
      <x:c r="O103" s="69" t="str">
        <x:v>Unpaired primary-transfer coverage. Canonical wording is seen with other pairs; only the object-pair composition is held out.</x:v>
      </x:c>
      <x:c r="P103" s="70" t="str"/>
    </x:row>
    <x:row r="104" ht="54" customHeight="1">
      <x:c r="A104" s="68" t="str">
        <x:v>Success</x:v>
      </x:c>
      <x:c r="B104" s="69" t="str">
        <x:v>102</x:v>
      </x:c>
      <x:c r="C104" s="69" t="str">
        <x:v>Place the red block to the left of the green pen.</x:v>
      </x:c>
      <x:c r="D104" s="69" t="str">
        <x:v>P1 green pen at R3 (5 cm right of center) [REFERENCE]; P2 red block 18 cm to the right of P1 [TARGET START]; P3 pink marker 15 cm in front of P1 [DISTRACTOR]; P4 blue block 15 cm behind P1 [DISTRACTOR]</x:v>
      </x:c>
      <x:c r="E104" s="69" t="str"/>
      <x:c r="F104" s="69" t="str">
        <x:v>red block → 2–8 cm edge gap to the left of green pen; centroid direction within ±45°</x:v>
      </x:c>
      <x:c r="G104" s="69" t="str"/>
      <x:c r="H104" s="69" t="str">
        <x:v>Concept/compositional transfer</x:v>
      </x:c>
      <x:c r="I104" s="69" t="str">
        <x:v>RP-X23</x:v>
      </x:c>
      <x:c r="J104" s="69" t="str">
        <x:v>left</x:v>
      </x:c>
      <x:c r="K104" s="69" t="str">
        <x:v>4</x:v>
      </x:c>
      <x:c r="L104" s="69" t="str">
        <x:v>Additional transfer — Additional held-out direction × green-pen/red-block pair (left)</x:v>
      </x:c>
      <x:c r="M104" s="69" t="str">
        <x:v>43</x:v>
      </x:c>
      <x:c r="N104" s="69" t="str">
        <x:v>Build the listed scene; target starts in the opposite sector. Save a first-frame filename.</x:v>
      </x:c>
      <x:c r="O104" s="69" t="str">
        <x:v>Unpaired primary-transfer coverage. Canonical wording is seen with other pairs; only the object-pair composition is held out.</x:v>
      </x:c>
      <x:c r="P104" s="70" t="str"/>
    </x:row>
    <x:row r="105" ht="54" customHeight="1">
      <x:c r="A105" s="68" t="str">
        <x:v>Failure</x:v>
      </x:c>
      <x:c r="B105" s="69" t="str">
        <x:v>103</x:v>
      </x:c>
      <x:c r="C105" s="69" t="str">
        <x:v>Place the green pen to the right of the red block.</x:v>
      </x:c>
      <x:c r="D105" s="69" t="str">
        <x:v>P1 red block at R4 (5 cm toward the robot from center) [REFERENCE]; P2 green pen 21 cm to the left of P1 [TARGET START]; P3 pink marker 15 cm in front of P1 [DISTRACTOR]; P4 blue block 15 cm behind P1 [DISTRACTOR]</x:v>
      </x:c>
      <x:c r="E105" s="69" t="str"/>
      <x:c r="F105" s="69" t="str">
        <x:v>green pen → 2–8 cm edge gap to the right of red block; centroid direction within ±45°</x:v>
      </x:c>
      <x:c r="G105" s="69" t="str">
        <x:v>Placed it perfectly to the right of the pink marker.</x:v>
      </x:c>
      <x:c r="H105" s="69" t="str">
        <x:v>Concept/compositional transfer</x:v>
      </x:c>
      <x:c r="I105" s="69" t="str">
        <x:v>RP-X24</x:v>
      </x:c>
      <x:c r="J105" s="69" t="str">
        <x:v>right</x:v>
      </x:c>
      <x:c r="K105" s="69" t="str">
        <x:v>4</x:v>
      </x:c>
      <x:c r="L105" s="69" t="str">
        <x:v>Additional transfer — Additional held-out direction × green-pen/red-block pair (right)</x:v>
      </x:c>
      <x:c r="M105" s="69" t="str">
        <x:v>44</x:v>
      </x:c>
      <x:c r="N105" s="69" t="str">
        <x:v>Build the listed scene; target starts in the opposite sector. Save a first-frame filename.</x:v>
      </x:c>
      <x:c r="O105" s="69" t="str">
        <x:v>Unpaired primary-transfer coverage. Canonical wording is seen with other pairs; only the object-pair composition is held out.</x:v>
      </x:c>
      <x:c r="P105" s="70" t="str"/>
    </x:row>
    <x:row r="106" ht="54" customHeight="1">
      <x:c r="A106" s="68" t="str">
        <x:v>Success</x:v>
      </x:c>
      <x:c r="B106" s="69" t="str">
        <x:v>104</x:v>
      </x:c>
      <x:c r="C106" s="69" t="str">
        <x:v>Put the green pen on the table in front of the red block.</x:v>
      </x:c>
      <x:c r="D106" s="69" t="str">
        <x:v>P1 red block at R5 (5 cm away from the robot from center) [REFERENCE]; P2 green pen 24 cm behind P1 [TARGET START]; P3 pink marker 15 cm to the left of P1 [DISTRACTOR]; P4 blue block 15 cm to the right of P1 [DISTRACTOR]</x:v>
      </x:c>
      <x:c r="E106" s="69" t="str"/>
      <x:c r="F106" s="69" t="str">
        <x:v>green pen → 2–8 cm edge gap in front of red block; centroid direction within ±45°</x:v>
      </x:c>
      <x:c r="G106" s="69" t="str">
        <x:v>It got placed in a vertical fashion, so the tip of the pen is to the right of the block, but majority of the pen is in front of the block.</x:v>
      </x:c>
      <x:c r="H106" s="69" t="str">
        <x:v>Concept/compositional transfer</x:v>
      </x:c>
      <x:c r="I106" s="69" t="str">
        <x:v>RP-X25</x:v>
      </x:c>
      <x:c r="J106" s="69" t="str">
        <x:v>front</x:v>
      </x:c>
      <x:c r="K106" s="69" t="str">
        <x:v>4</x:v>
      </x:c>
      <x:c r="L106" s="69" t="str">
        <x:v>Additional transfer — Additional held-out direction × green-pen/red-block pair (front)</x:v>
      </x:c>
      <x:c r="M106" s="69" t="str">
        <x:v>45</x:v>
      </x:c>
      <x:c r="N106" s="69" t="str">
        <x:v>Build the listed scene; target starts in the opposite sector. Save a first-frame filename.</x:v>
      </x:c>
      <x:c r="O106" s="69" t="str">
        <x:v>Unpaired primary-transfer coverage. Canonical wording is seen with other pairs; only the object-pair composition is held out.</x:v>
      </x:c>
      <x:c r="P106" s="70" t="str"/>
    </x:row>
    <x:row r="107" ht="54" customHeight="1">
      <x:c r="A107" s="68" t="str">
        <x:v>Failure</x:v>
      </x:c>
      <x:c r="B107" s="69" t="str">
        <x:v>105</x:v>
      </x:c>
      <x:c r="C107" s="69" t="str">
        <x:v>Place the red block behind the green pen.</x:v>
      </x:c>
      <x:c r="D107" s="69" t="str">
        <x:v>P1 green pen at R1 (table center) [REFERENCE]; P2 red block 18 cm in front of P1 [TARGET START]; P3 pink marker 15 cm to the left of P1 [DISTRACTOR]; P4 blue block 15 cm to the right of P1 [DISTRACTOR]</x:v>
      </x:c>
      <x:c r="E107" s="69" t="str"/>
      <x:c r="F107" s="69" t="str">
        <x:v>red block → 2–8 cm edge gap behind green pen; centroid direction within ±45°</x:v>
      </x:c>
      <x:c r="G107" s="69" t="str">
        <x:v>Knocked the pen around and ended up placing the block to the right of the pen.</x:v>
      </x:c>
      <x:c r="H107" s="69" t="str">
        <x:v>Concept/compositional transfer</x:v>
      </x:c>
      <x:c r="I107" s="69" t="str">
        <x:v>RP-X26</x:v>
      </x:c>
      <x:c r="J107" s="69" t="str">
        <x:v>behind</x:v>
      </x:c>
      <x:c r="K107" s="69" t="str">
        <x:v>4</x:v>
      </x:c>
      <x:c r="L107" s="69" t="str">
        <x:v>Additional transfer — Additional held-out direction × green-pen/red-block pair (behind)</x:v>
      </x:c>
      <x:c r="M107" s="69" t="str">
        <x:v>46</x:v>
      </x:c>
      <x:c r="N107" s="69" t="str">
        <x:v>Build the listed scene; target starts in the opposite sector. Save a first-frame filename.</x:v>
      </x:c>
      <x:c r="O107" s="69" t="str">
        <x:v>Unpaired primary-transfer coverage. Canonical wording is seen with other pairs; only the object-pair composition is held out.</x:v>
      </x:c>
      <x:c r="P107" s="70" t="str"/>
    </x:row>
    <x:row r="108" ht="54" customHeight="1">
      <x:c r="A108" s="68" t="str">
        <x:v>Success</x:v>
      </x:c>
      <x:c r="B108" s="69" t="str">
        <x:v>106</x:v>
      </x:c>
      <x:c r="C108" s="69" t="str">
        <x:v>Place the green pen to the left of the red block.</x:v>
      </x:c>
      <x:c r="D108" s="69" t="str">
        <x:v>P1 red block at R2 (5 cm left of center) [REFERENCE]; P2 green pen 21 cm to the right of P1 [TARGET START]; P3 pink marker 15 cm in front of P1 [DISTRACTOR]; P4 blue block 15 cm behind P1 [DISTRACTOR]</x:v>
      </x:c>
      <x:c r="E108" s="69" t="str"/>
      <x:c r="F108" s="69" t="str">
        <x:v>green pen → 2–8 cm edge gap to the left of red block; centroid direction within ±45°</x:v>
      </x:c>
      <x:c r="G108" s="69" t="str"/>
      <x:c r="H108" s="69" t="str">
        <x:v>Concept/compositional transfer</x:v>
      </x:c>
      <x:c r="I108" s="69" t="str">
        <x:v>RP-X27</x:v>
      </x:c>
      <x:c r="J108" s="69" t="str">
        <x:v>left</x:v>
      </x:c>
      <x:c r="K108" s="69" t="str">
        <x:v>4</x:v>
      </x:c>
      <x:c r="L108" s="69" t="str">
        <x:v>Additional transfer — Additional held-out direction × green-pen/red-block pair (left)</x:v>
      </x:c>
      <x:c r="M108" s="69" t="str">
        <x:v>47</x:v>
      </x:c>
      <x:c r="N108" s="69" t="str">
        <x:v>Build the listed scene; target starts in the opposite sector. Save a first-frame filename.</x:v>
      </x:c>
      <x:c r="O108" s="69" t="str">
        <x:v>Unpaired primary-transfer coverage. Canonical wording is seen with other pairs; only the object-pair composition is held out.</x:v>
      </x:c>
      <x:c r="P108" s="70" t="str"/>
    </x:row>
    <x:row r="109" ht="54" customHeight="1">
      <x:c r="A109" s="68" t="str">
        <x:v>Success</x:v>
      </x:c>
      <x:c r="B109" s="69" t="str">
        <x:v>107</x:v>
      </x:c>
      <x:c r="C109" s="69" t="str">
        <x:v>Place the red block to the right of the green pen.</x:v>
      </x:c>
      <x:c r="D109" s="69" t="str">
        <x:v>P1 green pen at R3 (5 cm right of center) [REFERENCE]; P2 red block 24 cm to the left of P1 [TARGET START]; P3 pink marker 15 cm in front of P1 [DISTRACTOR]; P4 blue block 15 cm behind P1 [DISTRACTOR]</x:v>
      </x:c>
      <x:c r="E109" s="69" t="str"/>
      <x:c r="F109" s="69" t="str">
        <x:v>red block → 2–8 cm edge gap to the right of green pen; centroid direction within ±45°</x:v>
      </x:c>
      <x:c r="G109" s="69" t="str"/>
      <x:c r="H109" s="69" t="str">
        <x:v>Concept/compositional transfer</x:v>
      </x:c>
      <x:c r="I109" s="69" t="str">
        <x:v>RP-X28</x:v>
      </x:c>
      <x:c r="J109" s="69" t="str">
        <x:v>right</x:v>
      </x:c>
      <x:c r="K109" s="69" t="str">
        <x:v>4</x:v>
      </x:c>
      <x:c r="L109" s="69" t="str">
        <x:v>Additional transfer — Additional held-out direction × green-pen/red-block pair (right)</x:v>
      </x:c>
      <x:c r="M109" s="69" t="str">
        <x:v>48</x:v>
      </x:c>
      <x:c r="N109" s="69" t="str">
        <x:v>Build the listed scene; target starts in the opposite sector. Save a first-frame filename.</x:v>
      </x:c>
      <x:c r="O109" s="69" t="str">
        <x:v>Unpaired primary-transfer coverage. Canonical wording is seen with other pairs; only the object-pair composition is held out.</x:v>
      </x:c>
      <x:c r="P109" s="70" t="str"/>
    </x:row>
    <x:row r="110" ht="54" customHeight="1">
      <x:c r="A110" s="68" t="str">
        <x:v>Success</x:v>
      </x:c>
      <x:c r="B110" s="69" t="str">
        <x:v>108</x:v>
      </x:c>
      <x:c r="C110" s="69" t="str">
        <x:v>Place the red block in front of the green pen.</x:v>
      </x:c>
      <x:c r="D110" s="69" t="str">
        <x:v>P1 green pen at R4 (5 cm toward the robot from center) [REFERENCE]; P2 red block 18 cm behind P1 [TARGET START]; P3 pink marker 15 cm to the left of P1 [DISTRACTOR]; P4 blue block 15 cm to the right of P1 [DISTRACTOR]</x:v>
      </x:c>
      <x:c r="E110" s="69" t="str"/>
      <x:c r="F110" s="69" t="str">
        <x:v>red block → 2–8 cm edge gap in front of green pen; centroid direction within ±45°</x:v>
      </x:c>
      <x:c r="G110" s="69" t="str"/>
      <x:c r="H110" s="69" t="str">
        <x:v>Concept/compositional transfer</x:v>
      </x:c>
      <x:c r="I110" s="69" t="str">
        <x:v>RP-X29</x:v>
      </x:c>
      <x:c r="J110" s="69" t="str">
        <x:v>front</x:v>
      </x:c>
      <x:c r="K110" s="69" t="str">
        <x:v>4</x:v>
      </x:c>
      <x:c r="L110" s="69" t="str">
        <x:v>Additional transfer — Additional held-out direction × green-pen/red-block pair (front)</x:v>
      </x:c>
      <x:c r="M110" s="69" t="str">
        <x:v>49</x:v>
      </x:c>
      <x:c r="N110" s="69" t="str">
        <x:v>Build the listed scene; target starts in the opposite sector. Save a first-frame filename.</x:v>
      </x:c>
      <x:c r="O110" s="69" t="str">
        <x:v>Unpaired primary-transfer coverage. Canonical wording is seen with other pairs; only the object-pair composition is held out.</x:v>
      </x:c>
      <x:c r="P110" s="70" t="str"/>
    </x:row>
    <x:row r="111" ht="54" customHeight="1">
      <x:c r="A111" s="68" t="str">
        <x:v>Failure</x:v>
      </x:c>
      <x:c r="B111" s="69" t="str">
        <x:v>109</x:v>
      </x:c>
      <x:c r="C111" s="69" t="str">
        <x:v>Move the green pen to the back of the red block.</x:v>
      </x:c>
      <x:c r="D111" s="69" t="str">
        <x:v>P1 red block at R5 (5 cm away from the robot from center) [REFERENCE]; P2 green pen 21 cm in front of P1 [TARGET START]; P3 pink marker 15 cm to the left of P1 [DISTRACTOR]; P4 blue block 15 cm to the right of P1 [DISTRACTOR]</x:v>
      </x:c>
      <x:c r="E111" s="69" t="str"/>
      <x:c r="F111" s="69" t="str">
        <x:v>green pen → 2–8 cm edge gap behind red block; centroid direction within ±45°</x:v>
      </x:c>
      <x:c r="G111" s="69" t="str">
        <x:v>Placed it to the right.</x:v>
      </x:c>
      <x:c r="H111" s="69" t="str">
        <x:v>Concept/compositional transfer</x:v>
      </x:c>
      <x:c r="I111" s="69" t="str">
        <x:v>RP-X30</x:v>
      </x:c>
      <x:c r="J111" s="69" t="str">
        <x:v>behind</x:v>
      </x:c>
      <x:c r="K111" s="69" t="str">
        <x:v>4</x:v>
      </x:c>
      <x:c r="L111" s="69" t="str">
        <x:v>Additional transfer — Additional held-out direction × green-pen/red-block pair (behind)</x:v>
      </x:c>
      <x:c r="M111" s="69" t="str">
        <x:v>50</x:v>
      </x:c>
      <x:c r="N111" s="69" t="str">
        <x:v>Build the listed scene; target starts in the opposite sector. Save a first-frame filename.</x:v>
      </x:c>
      <x:c r="O111" s="69" t="str">
        <x:v>Unpaired primary-transfer coverage. Canonical wording is seen with other pairs; only the object-pair composition is held out.</x:v>
      </x:c>
      <x:c r="P111" s="70" t="str"/>
    </x:row>
    <x:row r="112" ht="54" customHeight="1">
      <x:c r="A112" s="68" t="str">
        <x:v>Success</x:v>
      </x:c>
      <x:c r="B112" s="69" t="str">
        <x:v>110</x:v>
      </x:c>
      <x:c r="C112" s="69" t="str">
        <x:v>Place the juggling ball in front of the pink marker.</x:v>
      </x:c>
      <x:c r="D112" s="69" t="str">
        <x:v>P1 pink marker (reference) at R1; P2 juggling ball (target) 21 cm right of P1, orthogonal to the front/behind axis; P3 blue block 15 cm left of P1 as an ordinary distractor.</x:v>
      </x:c>
      <x:c r="E112" s="69" t="str"/>
      <x:c r="F112" s="69" t="str">
        <x:v>juggling ball → 2–8 cm edge gap in front of pink marker; centroid direction within ±45°.</x:v>
      </x:c>
      <x:c r="G112" s="69" t="str"/>
      <x:c r="H112" s="69" t="str">
        <x:v>Juggling-ball-as-target relational transfer</x:v>
      </x:c>
      <x:c r="I112" s="69" t="str">
        <x:v>RP-JUG01</x:v>
      </x:c>
      <x:c r="J112" s="69" t="str">
        <x:v>front</x:v>
      </x:c>
      <x:c r="K112" s="69" t="str">
        <x:v>3</x:v>
      </x:c>
      <x:c r="L112" s="69" t="str">
        <x:v>1 — Cross-task directional transfer — Juggling ball as target; front</x:v>
      </x:c>
      <x:c r="M112" s="69" t="str">
        <x:v>51</x:v>
      </x:c>
      <x:c r="N112" s="69" t="str">
        <x:v>Build the listed relational-placement scene. Place P2 at the marked orthogonal start and outside the 2–8 cm success gap; save the first-frame filename.</x:v>
      </x:c>
      <x:c r="O112" s="69" t="str">
        <x:v>Cross-task relational placement: the juggling ball is used as the target. No duplicate-identity competitor is present; this tests directional role composition, not referential disambiguation.</x:v>
      </x:c>
      <x:c r="P112" s="70" t="str"/>
    </x:row>
    <x:row r="113" ht="54" customHeight="1">
      <x:c r="A113" s="68" t="str">
        <x:v>Success</x:v>
      </x:c>
      <x:c r="B113" s="69" t="str">
        <x:v>111</x:v>
      </x:c>
      <x:c r="C113" s="69" t="str">
        <x:v>Move the juggling ball behind the pink marker.</x:v>
      </x:c>
      <x:c r="D113" s="69" t="str">
        <x:v>P1 pink marker (reference) at R1; P2 juggling ball (target) 21 cm right of P1, orthogonal to the front/behind axis; P3 blue block 15 cm left of P1 as an ordinary distractor.</x:v>
      </x:c>
      <x:c r="E113" s="69" t="str">
        <x:v>110</x:v>
      </x:c>
      <x:c r="F113" s="69" t="str">
        <x:v>juggling ball → 2–8 cm edge gap behind pink marker; centroid direction within ±45°.</x:v>
      </x:c>
      <x:c r="G113" s="69" t="str"/>
      <x:c r="H113" s="69" t="str">
        <x:v>Juggling-ball-as-target relational transfer</x:v>
      </x:c>
      <x:c r="I113" s="69" t="str">
        <x:v>RP-JUG01</x:v>
      </x:c>
      <x:c r="J113" s="69" t="str">
        <x:v>behind</x:v>
      </x:c>
      <x:c r="K113" s="69" t="str">
        <x:v>3</x:v>
      </x:c>
      <x:c r="L113" s="69" t="str">
        <x:v>2 — Exact-scene opposite-direction contrast — Juggling ball as target; behind</x:v>
      </x:c>
      <x:c r="M113" s="69" t="str">
        <x:v>51</x:v>
      </x:c>
      <x:c r="N113" s="69" t="str">
        <x:v>Reset only P2 to its marked start. Preserve the exact scene and object identities; change only the requested direction and expected goal sector.</x:v>
      </x:c>
      <x:c r="O113" s="69" t="str">
        <x:v>Cross-task relational placement: the juggling ball is used as the target. No duplicate-identity competitor is present; this tests directional role composition, not referential disambiguation.</x:v>
      </x:c>
      <x:c r="P113" s="70" t="str"/>
    </x:row>
    <x:row r="114" ht="54" customHeight="1">
      <x:c r="A114" s="68" t="str">
        <x:v>Success</x:v>
      </x:c>
      <x:c r="B114" s="69" t="str">
        <x:v>112</x:v>
      </x:c>
      <x:c r="C114" s="69" t="str">
        <x:v>Place the juggling ball to the left of the blue block.</x:v>
      </x:c>
      <x:c r="D114" s="69" t="str">
        <x:v>P1 blue block (reference) at R2; P2 juggling ball (target) 24 cm behind P1, orthogonal to the left/right axis; P3 pink marker 15 cm in front of P1; P4 green pen 15 cm behind-left of P1 as ordinary distractors.</x:v>
      </x:c>
      <x:c r="E114" s="69" t="str"/>
      <x:c r="F114" s="69" t="str">
        <x:v>juggling ball → 2–8 cm edge gap to the left of blue block; centroid direction within ±45°.</x:v>
      </x:c>
      <x:c r="G114" s="69" t="str">
        <x:v>Was going for left and then dragged the block with it. released and ball rolled to the left.</x:v>
      </x:c>
      <x:c r="H114" s="69" t="str">
        <x:v>Juggling-ball-as-target relational transfer</x:v>
      </x:c>
      <x:c r="I114" s="69" t="str">
        <x:v>RP-JUG02</x:v>
      </x:c>
      <x:c r="J114" s="69" t="str">
        <x:v>left</x:v>
      </x:c>
      <x:c r="K114" s="69" t="str">
        <x:v>4</x:v>
      </x:c>
      <x:c r="L114" s="69" t="str">
        <x:v>1 — Cross-task directional transfer — Juggling ball as target; left</x:v>
      </x:c>
      <x:c r="M114" s="69" t="str">
        <x:v>52</x:v>
      </x:c>
      <x:c r="N114" s="69" t="str">
        <x:v>Build the listed relational-placement scene. Place P2 at the marked orthogonal start and outside the 2–8 cm success gap; save the first-frame filename.</x:v>
      </x:c>
      <x:c r="O114" s="69" t="str">
        <x:v>Cross-task relational placement: the juggling ball is used as the target. No duplicate-identity competitor is present; this tests directional role composition, not referential disambiguation.</x:v>
      </x:c>
      <x:c r="P114" s="70" t="str"/>
    </x:row>
    <x:row r="115" ht="54" customHeight="1">
      <x:c r="A115" s="68" t="str">
        <x:v>Failure</x:v>
      </x:c>
      <x:c r="B115" s="69" t="str">
        <x:v>113</x:v>
      </x:c>
      <x:c r="C115" s="69" t="str">
        <x:v>Move the juggling ball to the right of the blue block.</x:v>
      </x:c>
      <x:c r="D115" s="69" t="str">
        <x:v>P1 blue block (reference) at R2; P2 juggling ball (target) 24 cm behind P1, orthogonal to the left/right axis; P3 pink marker 15 cm in front of P1; P4 green pen 15 cm behind-left of P1 as ordinary distractors.</x:v>
      </x:c>
      <x:c r="E115" s="69" t="str">
        <x:v>112</x:v>
      </x:c>
      <x:c r="F115" s="69" t="str">
        <x:v>juggling ball → 2–8 cm edge gap to the right of blue block; centroid direction within ±45°.</x:v>
      </x:c>
      <x:c r="G115" s="69" t="str">
        <x:v>Was going for left and then dragged the block with it. released and ball rolled to the left. Same as previous episode</x:v>
      </x:c>
      <x:c r="H115" s="69" t="str">
        <x:v>Juggling-ball-as-target relational transfer</x:v>
      </x:c>
      <x:c r="I115" s="69" t="str">
        <x:v>RP-JUG02</x:v>
      </x:c>
      <x:c r="J115" s="69" t="str">
        <x:v>right</x:v>
      </x:c>
      <x:c r="K115" s="69" t="str">
        <x:v>4</x:v>
      </x:c>
      <x:c r="L115" s="69" t="str">
        <x:v>2 — Exact-scene opposite-direction contrast — Juggling ball as target; right</x:v>
      </x:c>
      <x:c r="M115" s="69" t="str">
        <x:v>52</x:v>
      </x:c>
      <x:c r="N115" s="69" t="str">
        <x:v>Reset only P2 to its marked start. Preserve the exact scene and object identities; change only the requested direction and expected goal sector.</x:v>
      </x:c>
      <x:c r="O115" s="69" t="str">
        <x:v>Cross-task relational placement: the juggling ball is used as the target. No duplicate-identity competitor is present; this tests directional role composition, not referential disambiguation.</x:v>
      </x:c>
      <x:c r="P115" s="70" t="str"/>
    </x:row>
    <x:row r="116" ht="54" customHeight="1">
      <x:c r="A116" s="68" t="str">
        <x:v>Failure</x:v>
      </x:c>
      <x:c r="B116" s="69" t="str">
        <x:v>114</x:v>
      </x:c>
      <x:c r="C116" s="69" t="str">
        <x:v>Place the juggling ball in front of the green pen.</x:v>
      </x:c>
      <x:c r="D116" s="69" t="str">
        <x:v>P1 green pen (reference) at R3; P2 juggling ball (target) 18 cm left of P1, orthogonal to the front/behind axis; P3 red block 15 cm right of P1 as an ordinary distractor.</x:v>
      </x:c>
      <x:c r="E116" s="69" t="str"/>
      <x:c r="F116" s="69" t="str">
        <x:v>juggling ball → 2–8 cm edge gap in front of green pen; centroid direction within ±45°.</x:v>
      </x:c>
      <x:c r="G116" s="69" t="str">
        <x:v>Placed it in the back, moved pen, and then ended up with the ball on the left of the pen. </x:v>
      </x:c>
      <x:c r="H116" s="69" t="str">
        <x:v>Juggling-ball-as-target relational transfer</x:v>
      </x:c>
      <x:c r="I116" s="69" t="str">
        <x:v>RP-JUG03</x:v>
      </x:c>
      <x:c r="J116" s="69" t="str">
        <x:v>front</x:v>
      </x:c>
      <x:c r="K116" s="69" t="str">
        <x:v>3</x:v>
      </x:c>
      <x:c r="L116" s="69" t="str">
        <x:v>1 — Cross-task directional transfer — Juggling ball as target; front</x:v>
      </x:c>
      <x:c r="M116" s="69" t="str">
        <x:v>53</x:v>
      </x:c>
      <x:c r="N116" s="69" t="str">
        <x:v>Build the listed relational-placement scene. Place P2 at the marked orthogonal start and outside the 2–8 cm success gap; save the first-frame filename.</x:v>
      </x:c>
      <x:c r="O116" s="69" t="str">
        <x:v>Cross-task relational placement: the juggling ball is used as the target. No duplicate-identity competitor is present; this tests directional role composition, not referential disambiguation.</x:v>
      </x:c>
      <x:c r="P116" s="70" t="str"/>
    </x:row>
    <x:row r="117" ht="54" customHeight="1">
      <x:c r="A117" s="68" t="str">
        <x:v>Success</x:v>
      </x:c>
      <x:c r="B117" s="69" t="str">
        <x:v>115</x:v>
      </x:c>
      <x:c r="C117" s="69" t="str">
        <x:v>Move the juggling ball behind the green pen.</x:v>
      </x:c>
      <x:c r="D117" s="69" t="str">
        <x:v>P1 green pen (reference) at R3; P2 juggling ball (target) 18 cm left of P1, orthogonal to the front/behind axis; P3 red block 15 cm right of P1 as an ordinary distractor.</x:v>
      </x:c>
      <x:c r="E117" s="69" t="str">
        <x:v>114</x:v>
      </x:c>
      <x:c r="F117" s="69" t="str">
        <x:v>juggling ball → 2–8 cm edge gap behind green pen; centroid direction within ±45°.</x:v>
      </x:c>
      <x:c r="G117" s="69" t="str"/>
      <x:c r="H117" s="69" t="str">
        <x:v>Juggling-ball-as-target relational transfer</x:v>
      </x:c>
      <x:c r="I117" s="69" t="str">
        <x:v>RP-JUG03</x:v>
      </x:c>
      <x:c r="J117" s="69" t="str">
        <x:v>behind</x:v>
      </x:c>
      <x:c r="K117" s="69" t="str">
        <x:v>3</x:v>
      </x:c>
      <x:c r="L117" s="69" t="str">
        <x:v>2 — Exact-scene opposite-direction contrast — Juggling ball as target; behind</x:v>
      </x:c>
      <x:c r="M117" s="69" t="str">
        <x:v>53</x:v>
      </x:c>
      <x:c r="N117" s="69" t="str">
        <x:v>Reset only P2 to its marked start. Preserve the exact scene and object identities; change only the requested direction and expected goal sector.</x:v>
      </x:c>
      <x:c r="O117" s="69" t="str">
        <x:v>Cross-task relational placement: the juggling ball is used as the target. No duplicate-identity competitor is present; this tests directional role composition, not referential disambiguation.</x:v>
      </x:c>
      <x:c r="P117" s="70" t="str"/>
    </x:row>
    <x:row r="118" ht="54" customHeight="1">
      <x:c r="A118" s="68" t="str">
        <x:v>Success</x:v>
      </x:c>
      <x:c r="B118" s="69" t="str">
        <x:v>116</x:v>
      </x:c>
      <x:c r="C118" s="69" t="str">
        <x:v>Place the juggling ball to the left of the red block.</x:v>
      </x:c>
      <x:c r="D118" s="69" t="str">
        <x:v>P1 red block (reference) at R4; P2 juggling ball (target) 21 cm in front of P1, orthogonal to the left/right axis; P3 pink marker 15 cm left-front of P1; P4 blue block 15 cm right-behind P1 as ordinary distractors.</x:v>
      </x:c>
      <x:c r="E118" s="69" t="str"/>
      <x:c r="F118" s="69" t="str">
        <x:v>juggling ball → 2–8 cm edge gap to the left of red block; centroid direction within ±45°.</x:v>
      </x:c>
      <x:c r="G118" s="69" t="str"/>
      <x:c r="H118" s="69" t="str">
        <x:v>Juggling-ball-as-target relational transfer</x:v>
      </x:c>
      <x:c r="I118" s="69" t="str">
        <x:v>RP-JUG04</x:v>
      </x:c>
      <x:c r="J118" s="69" t="str">
        <x:v>left</x:v>
      </x:c>
      <x:c r="K118" s="69" t="str">
        <x:v>4</x:v>
      </x:c>
      <x:c r="L118" s="69" t="str">
        <x:v>1 — Cross-task directional transfer — Juggling ball as target; left</x:v>
      </x:c>
      <x:c r="M118" s="69" t="str">
        <x:v>54</x:v>
      </x:c>
      <x:c r="N118" s="69" t="str">
        <x:v>Build the listed relational-placement scene. Place P2 at the marked orthogonal start and outside the 2–8 cm success gap; save the first-frame filename.</x:v>
      </x:c>
      <x:c r="O118" s="69" t="str">
        <x:v>Cross-task relational placement: the juggling ball is used as the target. No duplicate-identity competitor is present; this tests directional role composition, not referential disambiguation.</x:v>
      </x:c>
      <x:c r="P118" s="70" t="str"/>
    </x:row>
    <x:row r="119" ht="54" customHeight="1">
      <x:c r="A119" s="68" t="str">
        <x:v>Success</x:v>
      </x:c>
      <x:c r="B119" s="69" t="str">
        <x:v>117</x:v>
      </x:c>
      <x:c r="C119" s="69" t="str">
        <x:v>Move the juggling ball to the right of the red block.</x:v>
      </x:c>
      <x:c r="D119" s="69" t="str">
        <x:v>P1 red block (reference) at R4; P2 juggling ball (target) 21 cm in front of P1, orthogonal to the left/right axis; P3 pink marker 15 cm left-front of P1; P4 blue block 15 cm right-behind P1 as ordinary distractors.</x:v>
      </x:c>
      <x:c r="E119" s="69" t="str">
        <x:v>116</x:v>
      </x:c>
      <x:c r="F119" s="69" t="str">
        <x:v>juggling ball → 2–8 cm edge gap to the right of red block; centroid direction within ±45°.</x:v>
      </x:c>
      <x:c r="G119" s="69" t="str">
        <x:v>Put it on top of the block and luckily rolled to the right position. </x:v>
      </x:c>
      <x:c r="H119" s="69" t="str">
        <x:v>Juggling-ball-as-target relational transfer</x:v>
      </x:c>
      <x:c r="I119" s="69" t="str">
        <x:v>RP-JUG04</x:v>
      </x:c>
      <x:c r="J119" s="69" t="str">
        <x:v>right</x:v>
      </x:c>
      <x:c r="K119" s="69" t="str">
        <x:v>4</x:v>
      </x:c>
      <x:c r="L119" s="69" t="str">
        <x:v>2 — Exact-scene opposite-direction contrast — Juggling ball as target; right</x:v>
      </x:c>
      <x:c r="M119" s="69" t="str">
        <x:v>54</x:v>
      </x:c>
      <x:c r="N119" s="69" t="str">
        <x:v>Reset only P2 to its marked start. Preserve the exact scene and object identities; change only the requested direction and expected goal sector.</x:v>
      </x:c>
      <x:c r="O119" s="69" t="str">
        <x:v>Cross-task relational placement: the juggling ball is used as the target. No duplicate-identity competitor is present; this tests directional role composition, not referential disambiguation.</x:v>
      </x:c>
      <x:c r="P119" s="70" t="str"/>
    </x:row>
    <x:row r="120" ht="54" customHeight="1">
      <x:c r="A120" s="68" t="str">
        <x:v>Success</x:v>
      </x:c>
      <x:c r="B120" s="69" t="str">
        <x:v>118</x:v>
      </x:c>
      <x:c r="C120" s="69" t="str">
        <x:v>Place the juggling ball in front of the blue block.</x:v>
      </x:c>
      <x:c r="D120" s="69" t="str">
        <x:v>P1 blue block (reference) at R5; P2 juggling ball (target) 24 cm right of P1, orthogonal to the front/behind axis; P3 green pen 15 cm left-front of P1 as an ordinary distractor.</x:v>
      </x:c>
      <x:c r="E120" s="69" t="str"/>
      <x:c r="F120" s="69" t="str">
        <x:v>juggling ball → 2–8 cm edge gap in front of blue block; centroid direction within ±45°.</x:v>
      </x:c>
      <x:c r="G120" s="69" t="str"/>
      <x:c r="H120" s="69" t="str">
        <x:v>Juggling-ball-as-target relational transfer</x:v>
      </x:c>
      <x:c r="I120" s="69" t="str">
        <x:v>RP-JUG05</x:v>
      </x:c>
      <x:c r="J120" s="69" t="str">
        <x:v>front</x:v>
      </x:c>
      <x:c r="K120" s="69" t="str">
        <x:v>3</x:v>
      </x:c>
      <x:c r="L120" s="69" t="str">
        <x:v>1 — Cross-task directional transfer — Juggling ball as target; front</x:v>
      </x:c>
      <x:c r="M120" s="69" t="str">
        <x:v>55</x:v>
      </x:c>
      <x:c r="N120" s="69" t="str">
        <x:v>Build the listed relational-placement scene. Place P2 at the marked orthogonal start and outside the 2–8 cm success gap; save the first-frame filename.</x:v>
      </x:c>
      <x:c r="O120" s="69" t="str">
        <x:v>Cross-task relational placement: the juggling ball is used as the target. No duplicate-identity competitor is present; this tests directional role composition, not referential disambiguation.</x:v>
      </x:c>
      <x:c r="P120" s="70" t="str"/>
    </x:row>
    <x:row r="121" ht="54" customHeight="1">
      <x:c r="A121" s="68" t="str">
        <x:v>Success</x:v>
      </x:c>
      <x:c r="B121" s="69" t="str">
        <x:v>119</x:v>
      </x:c>
      <x:c r="C121" s="69" t="str">
        <x:v>Move the juggling ball behind the blue block.</x:v>
      </x:c>
      <x:c r="D121" s="69" t="str">
        <x:v>P1 blue block (reference) at R5; P2 juggling ball (target) 24 cm right of P1, orthogonal to the front/behind axis; P3 green pen 15 cm left-front of P1 as an ordinary distractor.</x:v>
      </x:c>
      <x:c r="E121" s="69" t="str">
        <x:v>118</x:v>
      </x:c>
      <x:c r="F121" s="69" t="str">
        <x:v>juggling ball → 2–8 cm edge gap behind blue block; centroid direction within ±45°.</x:v>
      </x:c>
      <x:c r="G121" s="69" t="str">
        <x:v>Put it on top again and slid to the back. Looked like it was going for back though, just didn't know how far down the ball was and would hit the block.</x:v>
      </x:c>
      <x:c r="H121" s="69" t="str">
        <x:v>Juggling-ball-as-target relational transfer</x:v>
      </x:c>
      <x:c r="I121" s="69" t="str">
        <x:v>RP-JUG05</x:v>
      </x:c>
      <x:c r="J121" s="69" t="str">
        <x:v>behind</x:v>
      </x:c>
      <x:c r="K121" s="69" t="str">
        <x:v>3</x:v>
      </x:c>
      <x:c r="L121" s="69" t="str">
        <x:v>2 — Exact-scene opposite-direction contrast — Juggling ball as target; behind</x:v>
      </x:c>
      <x:c r="M121" s="69" t="str">
        <x:v>55</x:v>
      </x:c>
      <x:c r="N121" s="69" t="str">
        <x:v>Reset only P2 to its marked start. Preserve the exact scene and object identities; change only the requested direction and expected goal sector.</x:v>
      </x:c>
      <x:c r="O121" s="69" t="str">
        <x:v>Cross-task relational placement: the juggling ball is used as the target. No duplicate-identity competitor is present; this tests directional role composition, not referential disambiguation.</x:v>
      </x:c>
      <x:c r="P121" s="70" t="str"/>
    </x:row>
    <x:row r="122" ht="54" customHeight="1">
      <x:c r="A122" s="68" t="str">
        <x:v>Success</x:v>
      </x:c>
      <x:c r="B122" s="69" t="str">
        <x:v>120</x:v>
      </x:c>
      <x:c r="C122" s="69" t="str">
        <x:v>Place the pink marker to the left of the juggling ball.</x:v>
      </x:c>
      <x:c r="D122" s="69" t="str">
        <x:v>P1 juggling ball (reference) at R1; P2 pink marker (target) 18 cm behind P1, orthogonal to the left/right axis; P3 blue block 15 cm left-front of P1; P4 green pen 15 cm right-front of P1 as ordinary distractors.</x:v>
      </x:c>
      <x:c r="E122" s="69" t="str"/>
      <x:c r="F122" s="69" t="str">
        <x:v>pink marker → 2–8 cm edge gap to the left of juggling ball; centroid direction within ±45°.</x:v>
      </x:c>
      <x:c r="G122" s="69" t="str"/>
      <x:c r="H122" s="69" t="str">
        <x:v>Juggling-ball-as-reference relational transfer</x:v>
      </x:c>
      <x:c r="I122" s="69" t="str">
        <x:v>RP-JUG06</x:v>
      </x:c>
      <x:c r="J122" s="69" t="str">
        <x:v>left</x:v>
      </x:c>
      <x:c r="K122" s="69" t="str">
        <x:v>4</x:v>
      </x:c>
      <x:c r="L122" s="69" t="str">
        <x:v>1 — Cross-task directional transfer — Juggling ball as reference; left</x:v>
      </x:c>
      <x:c r="M122" s="69" t="str">
        <x:v>56</x:v>
      </x:c>
      <x:c r="N122" s="69" t="str">
        <x:v>Build the listed relational-placement scene. Place P2 at the marked orthogonal start and outside the 2–8 cm success gap; save the first-frame filename.</x:v>
      </x:c>
      <x:c r="O122" s="69" t="str">
        <x:v>Cross-task relational placement: the juggling ball is used as the reference. No duplicate-identity competitor is present; this tests directional role composition, not referential disambiguation.</x:v>
      </x:c>
      <x:c r="P122" s="70" t="str"/>
    </x:row>
    <x:row r="123" ht="54" customHeight="1">
      <x:c r="A123" s="68" t="str">
        <x:v>Failure</x:v>
      </x:c>
      <x:c r="B123" s="69" t="str">
        <x:v>121</x:v>
      </x:c>
      <x:c r="C123" s="69" t="str">
        <x:v>Move the pink marker to the right of the juggling ball.</x:v>
      </x:c>
      <x:c r="D123" s="69" t="str">
        <x:v>P1 juggling ball (reference) at R1; P2 pink marker (target) 18 cm behind P1, orthogonal to the left/right axis; P3 blue block 15 cm left-front of P1; P4 green pen 15 cm right-front of P1 as ordinary distractors.</x:v>
      </x:c>
      <x:c r="E123" s="69" t="str">
        <x:v>120</x:v>
      </x:c>
      <x:c r="F123" s="69" t="str">
        <x:v>pink marker → 2–8 cm edge gap to the right of juggling ball; centroid direction within ±45°.</x:v>
      </x:c>
      <x:c r="G123" s="69" t="str">
        <x:v>placed on the left again. looked just like previous episode trajectory!</x:v>
      </x:c>
      <x:c r="H123" s="69" t="str">
        <x:v>Juggling-ball-as-reference relational transfer</x:v>
      </x:c>
      <x:c r="I123" s="69" t="str">
        <x:v>RP-JUG06</x:v>
      </x:c>
      <x:c r="J123" s="69" t="str">
        <x:v>right</x:v>
      </x:c>
      <x:c r="K123" s="69" t="str">
        <x:v>4</x:v>
      </x:c>
      <x:c r="L123" s="69" t="str">
        <x:v>2 — Exact-scene opposite-direction contrast — Juggling ball as reference; right</x:v>
      </x:c>
      <x:c r="M123" s="69" t="str">
        <x:v>56</x:v>
      </x:c>
      <x:c r="N123" s="69" t="str">
        <x:v>Reset only P2 to its marked start. Preserve the exact scene and object identities; change only the requested direction and expected goal sector.</x:v>
      </x:c>
      <x:c r="O123" s="69" t="str">
        <x:v>Cross-task relational placement: the juggling ball is used as the reference. No duplicate-identity competitor is present; this tests directional role composition, not referential disambiguation.</x:v>
      </x:c>
      <x:c r="P123" s="70" t="str"/>
    </x:row>
    <x:row r="124" ht="54" customHeight="1">
      <x:c r="A124" s="68" t="str">
        <x:v>Failure</x:v>
      </x:c>
      <x:c r="B124" s="69" t="str">
        <x:v>122</x:v>
      </x:c>
      <x:c r="C124" s="69" t="str">
        <x:v>Place the blue block in front of the juggling ball.</x:v>
      </x:c>
      <x:c r="D124" s="69" t="str">
        <x:v>P1 juggling ball (reference) at R2; P2 blue block (target) 21 cm left of P1, orthogonal to the front/behind axis; P3 pink marker 15 cm right of P1 as an ordinary distractor.</x:v>
      </x:c>
      <x:c r="E124" s="69" t="str"/>
      <x:c r="F124" s="69" t="str">
        <x:v>blue block → 2–8 cm edge gap in front of juggling ball; centroid direction within ±45°.</x:v>
      </x:c>
      <x:c r="G124" s="69" t="str">
        <x:v>Placed block in front of the pink marker. Ball is in the spot near bowl, so tight fit, but still in action distribution.</x:v>
      </x:c>
      <x:c r="H124" s="69" t="str">
        <x:v>Juggling-ball-as-reference relational transfer</x:v>
      </x:c>
      <x:c r="I124" s="69" t="str">
        <x:v>RP-JUG07</x:v>
      </x:c>
      <x:c r="J124" s="69" t="str">
        <x:v>front</x:v>
      </x:c>
      <x:c r="K124" s="69" t="str">
        <x:v>3</x:v>
      </x:c>
      <x:c r="L124" s="69" t="str">
        <x:v>1 — Cross-task directional transfer — Juggling ball as reference; front</x:v>
      </x:c>
      <x:c r="M124" s="69" t="str">
        <x:v>57</x:v>
      </x:c>
      <x:c r="N124" s="69" t="str">
        <x:v>Build the listed relational-placement scene. Place P2 at the marked orthogonal start and outside the 2–8 cm success gap; save the first-frame filename.</x:v>
      </x:c>
      <x:c r="O124" s="69" t="str">
        <x:v>Cross-task relational placement: the juggling ball is used as the reference. No duplicate-identity competitor is present; this tests directional role composition, not referential disambiguation.</x:v>
      </x:c>
      <x:c r="P124" s="70" t="str"/>
    </x:row>
    <x:row r="125" ht="54" customHeight="1">
      <x:c r="A125" s="68" t="str">
        <x:v>Failure</x:v>
      </x:c>
      <x:c r="B125" s="69" t="str">
        <x:v>123</x:v>
      </x:c>
      <x:c r="C125" s="69" t="str">
        <x:v>Move the blue block behind the juggling ball.</x:v>
      </x:c>
      <x:c r="D125" s="69" t="str">
        <x:v>P1 juggling ball (reference) at R2; P2 blue block (target) 21 cm left of P1, orthogonal to the front/behind axis; P3 pink marker 15 cm right of P1 as an ordinary distractor.</x:v>
      </x:c>
      <x:c r="E125" s="69" t="str">
        <x:v>122</x:v>
      </x:c>
      <x:c r="F125" s="69" t="str">
        <x:v>blue block → 2–8 cm edge gap behind juggling ball; centroid direction within ±45°.</x:v>
      </x:c>
      <x:c r="G125" s="69" t="str">
        <x:v>Placed it in the top behind, but more towards the right than behind</x:v>
      </x:c>
      <x:c r="H125" s="69" t="str">
        <x:v>Juggling-ball-as-reference relational transfer</x:v>
      </x:c>
      <x:c r="I125" s="69" t="str">
        <x:v>RP-JUG07</x:v>
      </x:c>
      <x:c r="J125" s="69" t="str">
        <x:v>behind</x:v>
      </x:c>
      <x:c r="K125" s="69" t="str">
        <x:v>3</x:v>
      </x:c>
      <x:c r="L125" s="69" t="str">
        <x:v>2 — Exact-scene opposite-direction contrast — Juggling ball as reference; behind</x:v>
      </x:c>
      <x:c r="M125" s="69" t="str">
        <x:v>57</x:v>
      </x:c>
      <x:c r="N125" s="69" t="str">
        <x:v>Reset only P2 to its marked start. Preserve the exact scene and object identities; change only the requested direction and expected goal sector.</x:v>
      </x:c>
      <x:c r="O125" s="69" t="str">
        <x:v>Cross-task relational placement: the juggling ball is used as the reference. No duplicate-identity competitor is present; this tests directional role composition, not referential disambiguation.</x:v>
      </x:c>
      <x:c r="P125" s="70" t="str"/>
    </x:row>
    <x:row r="126" ht="54" customHeight="1">
      <x:c r="A126" s="68" t="str">
        <x:v>Failure</x:v>
      </x:c>
      <x:c r="B126" s="69" t="str">
        <x:v>124</x:v>
      </x:c>
      <x:c r="C126" s="69" t="str">
        <x:v>Place the green pen to the left of the juggling ball.</x:v>
      </x:c>
      <x:c r="D126" s="69" t="str">
        <x:v>P1 juggling ball (reference) at R3; P2 green pen (target) 24 cm in front of P1, orthogonal to the left/right axis; P3 red block 15 cm left-behind P1; P4 pink marker 15 cm right-behind P1 as ordinary distractors.</x:v>
      </x:c>
      <x:c r="E126" s="69" t="str"/>
      <x:c r="F126" s="69" t="str">
        <x:v>green pen → 2–8 cm edge gap to the left of juggling ball; centroid direction within ±45°.</x:v>
      </x:c>
      <x:c r="G126" s="69" t="str">
        <x:v>Didn't even move at all. The environment isn't "hard" either</x:v>
      </x:c>
      <x:c r="H126" s="69" t="str">
        <x:v>Juggling-ball-as-reference relational transfer</x:v>
      </x:c>
      <x:c r="I126" s="69" t="str">
        <x:v>RP-JUG08</x:v>
      </x:c>
      <x:c r="J126" s="69" t="str">
        <x:v>left</x:v>
      </x:c>
      <x:c r="K126" s="69" t="str">
        <x:v>4</x:v>
      </x:c>
      <x:c r="L126" s="69" t="str">
        <x:v>1 — Cross-task directional transfer — Juggling ball as reference; left</x:v>
      </x:c>
      <x:c r="M126" s="69" t="str">
        <x:v>58</x:v>
      </x:c>
      <x:c r="N126" s="69" t="str">
        <x:v>Build the listed relational-placement scene. Place P2 at the marked orthogonal start and outside the 2–8 cm success gap; save the first-frame filename.</x:v>
      </x:c>
      <x:c r="O126" s="69" t="str">
        <x:v>Cross-task relational placement: the juggling ball is used as the reference. No duplicate-identity competitor is present; this tests directional role composition, not referential disambiguation.</x:v>
      </x:c>
      <x:c r="P126" s="70" t="str"/>
    </x:row>
    <x:row r="127" ht="54" customHeight="1">
      <x:c r="A127" s="68" t="str">
        <x:v>Failure</x:v>
      </x:c>
      <x:c r="B127" s="69" t="str">
        <x:v>125</x:v>
      </x:c>
      <x:c r="C127" s="69" t="str">
        <x:v>Move the green pen to the right of the juggling ball.</x:v>
      </x:c>
      <x:c r="D127" s="69" t="str">
        <x:v>P1 juggling ball (reference) at R3; P2 green pen (target) 24 cm in front of P1, orthogonal to the left/right axis; P3 red block 15 cm left-behind P1; P4 pink marker 15 cm right-behind P1 as ordinary distractors.</x:v>
      </x:c>
      <x:c r="E127" s="69" t="str">
        <x:v>124</x:v>
      </x:c>
      <x:c r="F127" s="69" t="str">
        <x:v>green pen → 2–8 cm edge gap to the right of juggling ball; centroid direction within ±45°.</x:v>
      </x:c>
      <x:c r="G127" s="69" t="str">
        <x:v>Placed on the left of the juggling ball.</x:v>
      </x:c>
      <x:c r="H127" s="69" t="str">
        <x:v>Juggling-ball-as-reference relational transfer</x:v>
      </x:c>
      <x:c r="I127" s="69" t="str">
        <x:v>RP-JUG08</x:v>
      </x:c>
      <x:c r="J127" s="69" t="str">
        <x:v>right</x:v>
      </x:c>
      <x:c r="K127" s="69" t="str">
        <x:v>4</x:v>
      </x:c>
      <x:c r="L127" s="69" t="str">
        <x:v>2 — Exact-scene opposite-direction contrast — Juggling ball as reference; right</x:v>
      </x:c>
      <x:c r="M127" s="69" t="str">
        <x:v>58</x:v>
      </x:c>
      <x:c r="N127" s="69" t="str">
        <x:v>Reset only P2 to its marked start. Preserve the exact scene and object identities; change only the requested direction and expected goal sector.</x:v>
      </x:c>
      <x:c r="O127" s="69" t="str">
        <x:v>Cross-task relational placement: the juggling ball is used as the reference. No duplicate-identity competitor is present; this tests directional role composition, not referential disambiguation.</x:v>
      </x:c>
      <x:c r="P127" s="70" t="str"/>
    </x:row>
    <x:row r="128" ht="54" customHeight="1">
      <x:c r="A128" s="68" t="str">
        <x:v>Failure</x:v>
      </x:c>
      <x:c r="B128" s="69" t="str">
        <x:v>126</x:v>
      </x:c>
      <x:c r="C128" s="69" t="str">
        <x:v>Place the red block in front of the juggling ball.</x:v>
      </x:c>
      <x:c r="D128" s="69" t="str">
        <x:v>P1 juggling ball (reference) at R4; P2 red block (target) 18 cm right of P1, orthogonal to the front/behind axis; P3 blue block 15 cm left of P1 as an ordinary distractor.</x:v>
      </x:c>
      <x:c r="E128" s="69" t="str"/>
      <x:c r="F128" s="69" t="str">
        <x:v>red block → 2–8 cm edge gap in front of juggling ball; centroid direction within ±45°.</x:v>
      </x:c>
      <x:c r="G128" s="69" t="str">
        <x:v>Placed it to the left of the juggling ball.</x:v>
      </x:c>
      <x:c r="H128" s="69" t="str">
        <x:v>Juggling-ball-as-reference relational transfer</x:v>
      </x:c>
      <x:c r="I128" s="69" t="str">
        <x:v>RP-JUG09</x:v>
      </x:c>
      <x:c r="J128" s="69" t="str">
        <x:v>front</x:v>
      </x:c>
      <x:c r="K128" s="69" t="str">
        <x:v>3</x:v>
      </x:c>
      <x:c r="L128" s="69" t="str">
        <x:v>1 — Cross-task directional transfer — Juggling ball as reference; front</x:v>
      </x:c>
      <x:c r="M128" s="69" t="str">
        <x:v>59</x:v>
      </x:c>
      <x:c r="N128" s="69" t="str">
        <x:v>Build the listed relational-placement scene. Place P2 at the marked orthogonal start and outside the 2–8 cm success gap; save the first-frame filename.</x:v>
      </x:c>
      <x:c r="O128" s="69" t="str">
        <x:v>Cross-task relational placement: the juggling ball is used as the reference. No duplicate-identity competitor is present; this tests directional role composition, not referential disambiguation.</x:v>
      </x:c>
      <x:c r="P128" s="70" t="str"/>
    </x:row>
    <x:row r="129" ht="54" customHeight="1">
      <x:c r="A129" s="68" t="str">
        <x:v>Success</x:v>
      </x:c>
      <x:c r="B129" s="69" t="str">
        <x:v>127</x:v>
      </x:c>
      <x:c r="C129" s="69" t="str">
        <x:v>Move the red block behind the juggling ball.</x:v>
      </x:c>
      <x:c r="D129" s="69" t="str">
        <x:v>P1 juggling ball (reference) at R4; P2 red block (target) 18 cm right of P1, orthogonal to the front/behind axis; P3 blue block 15 cm left of P1 as an ordinary distractor.</x:v>
      </x:c>
      <x:c r="E129" s="69" t="str">
        <x:v>126</x:v>
      </x:c>
      <x:c r="F129" s="69" t="str">
        <x:v>red block → 2–8 cm edge gap behind juggling ball; centroid direction within ±45°.</x:v>
      </x:c>
      <x:c r="G129" s="69" t="str"/>
      <x:c r="H129" s="69" t="str">
        <x:v>Juggling-ball-as-reference relational transfer</x:v>
      </x:c>
      <x:c r="I129" s="69" t="str">
        <x:v>RP-JUG09</x:v>
      </x:c>
      <x:c r="J129" s="69" t="str">
        <x:v>behind</x:v>
      </x:c>
      <x:c r="K129" s="69" t="str">
        <x:v>3</x:v>
      </x:c>
      <x:c r="L129" s="69" t="str">
        <x:v>2 — Exact-scene opposite-direction contrast — Juggling ball as reference; behind</x:v>
      </x:c>
      <x:c r="M129" s="69" t="str">
        <x:v>59</x:v>
      </x:c>
      <x:c r="N129" s="69" t="str">
        <x:v>Reset only P2 to its marked start. Preserve the exact scene and object identities; change only the requested direction and expected goal sector.</x:v>
      </x:c>
      <x:c r="O129" s="69" t="str">
        <x:v>Cross-task relational placement: the juggling ball is used as the reference. No duplicate-identity competitor is present; this tests directional role composition, not referential disambiguation.</x:v>
      </x:c>
      <x:c r="P129" s="70" t="str"/>
    </x:row>
    <x:row r="130" ht="54" customHeight="1">
      <x:c r="A130" s="68" t="str">
        <x:v>Success</x:v>
      </x:c>
      <x:c r="B130" s="69" t="str">
        <x:v>128</x:v>
      </x:c>
      <x:c r="C130" s="69" t="str">
        <x:v>Place the pink marker to the left of the juggling ball.</x:v>
      </x:c>
      <x:c r="D130" s="69" t="str">
        <x:v>P1 juggling ball (reference) at R5; P2 pink marker (target) 21 cm behind P1, orthogonal to the left/right axis; P3 green pen 15 cm left-front of P1; P4 blue block 15 cm right-front of P1 as ordinary distractors.</x:v>
      </x:c>
      <x:c r="E130" s="69" t="str"/>
      <x:c r="F130" s="69" t="str">
        <x:v>pink marker → 2–8 cm edge gap to the left of juggling ball; centroid direction within ±45°.</x:v>
      </x:c>
      <x:c r="G130" s="69" t="str">
        <x:v>left front, but we'll count it.</x:v>
      </x:c>
      <x:c r="H130" s="69" t="str">
        <x:v>Juggling-ball-as-reference relational transfer</x:v>
      </x:c>
      <x:c r="I130" s="69" t="str">
        <x:v>RP-JUG10</x:v>
      </x:c>
      <x:c r="J130" s="69" t="str">
        <x:v>left</x:v>
      </x:c>
      <x:c r="K130" s="69" t="str">
        <x:v>4</x:v>
      </x:c>
      <x:c r="L130" s="69" t="str">
        <x:v>1 — Cross-task directional transfer — Juggling ball as reference; left</x:v>
      </x:c>
      <x:c r="M130" s="69" t="str">
        <x:v>60</x:v>
      </x:c>
      <x:c r="N130" s="69" t="str">
        <x:v>Build the listed relational-placement scene. Place P2 at the marked orthogonal start and outside the 2–8 cm success gap; save the first-frame filename.</x:v>
      </x:c>
      <x:c r="O130" s="69" t="str">
        <x:v>Cross-task relational placement: the juggling ball is used as the reference. No duplicate-identity competitor is present; this tests directional role composition, not referential disambiguation.</x:v>
      </x:c>
      <x:c r="P130" s="70" t="str"/>
    </x:row>
    <x:row r="131" ht="54" customHeight="1">
      <x:c r="A131" s="68" t="str">
        <x:v>Failure</x:v>
      </x:c>
      <x:c r="B131" s="69" t="str">
        <x:v>129</x:v>
      </x:c>
      <x:c r="C131" s="69" t="str">
        <x:v>Move the pink marker to the right of the juggling ball.</x:v>
      </x:c>
      <x:c r="D131" s="69" t="str">
        <x:v>P1 juggling ball (reference) at R5; P2 pink marker (target) 21 cm behind P1, orthogonal to the left/right axis; P3 green pen 15 cm left-front of P1; P4 blue block 15 cm right-front of P1 as ordinary distractors.</x:v>
      </x:c>
      <x:c r="E131" s="69" t="str">
        <x:v>128</x:v>
      </x:c>
      <x:c r="F131" s="69" t="str">
        <x:v>pink marker → 2–8 cm edge gap to the right of juggling ball; centroid direction within ±45°.</x:v>
      </x:c>
      <x:c r="G131" s="69" t="str">
        <x:v>Similar to previous episodes rollout</x:v>
      </x:c>
      <x:c r="H131" s="69" t="str">
        <x:v>Juggling-ball-as-reference relational transfer</x:v>
      </x:c>
      <x:c r="I131" s="69" t="str">
        <x:v>RP-JUG10</x:v>
      </x:c>
      <x:c r="J131" s="69" t="str">
        <x:v>right</x:v>
      </x:c>
      <x:c r="K131" s="69" t="str">
        <x:v>4</x:v>
      </x:c>
      <x:c r="L131" s="69" t="str">
        <x:v>2 — Exact-scene opposite-direction contrast — Juggling ball as reference; right</x:v>
      </x:c>
      <x:c r="M131" s="69" t="str">
        <x:v>60</x:v>
      </x:c>
      <x:c r="N131" s="69" t="str">
        <x:v>Reset only P2 to its marked start. Preserve the exact scene and object identities; change only the requested direction and expected goal sector.</x:v>
      </x:c>
      <x:c r="O131" s="69" t="str">
        <x:v>Cross-task relational placement: the juggling ball is used as the reference. No duplicate-identity competitor is present; this tests directional role composition, not referential disambiguation.</x:v>
      </x:c>
      <x:c r="P131" s="70" t="str"/>
    </x:row>
    <x:row r="132" ht="54" customHeight="1">
      <x:c r="A132" s="68" t="str">
        <x:v>Success</x:v>
      </x:c>
      <x:c r="B132" s="69" t="str">
        <x:v>130</x:v>
      </x:c>
      <x:c r="C132" s="69" t="str">
        <x:v>Place the green pen in front of the pink marker.</x:v>
      </x:c>
      <x:c r="D132" s="69" t="str">
        <x:v>P1 pink marker (reference) at R1; P2 green pen (target) 21 cm right of P1, orthogonal to the front/behind axis; P3 blue block 15 cm left of P1 as a distractor.</x:v>
      </x:c>
      <x:c r="E132" s="69" t="str"/>
      <x:c r="F132" s="69" t="str">
        <x:v>green pen → 2–8 cm edge gap in front of pink marker; centroid direction within ±45°.</x:v>
      </x:c>
      <x:c r="G132" s="69" t="str">
        <x:v>Placed it kind of on top and slid to front</x:v>
      </x:c>
      <x:c r="H132" s="69" t="str">
        <x:v>In-distribution concept baseline</x:v>
      </x:c>
      <x:c r="I132" s="69" t="str">
        <x:v>RP-ID01</x:v>
      </x:c>
      <x:c r="J132" s="69" t="str">
        <x:v>front</x:v>
      </x:c>
      <x:c r="K132" s="69" t="str">
        <x:v>3</x:v>
      </x:c>
      <x:c r="L132" s="69" t="str">
        <x:v>1 — Training-supported directional baseline — front</x:v>
      </x:c>
      <x:c r="M132" s="69" t="str">
        <x:v>61</x:v>
      </x:c>
      <x:c r="N132" s="69" t="str">
        <x:v>Build the listed scene. Place P2 at the marked orthogonal start and outside the 2–8 cm success gap; save the first-frame filename.</x:v>
      </x:c>
      <x:c r="O132" s="69" t="str">
        <x:v>This exact ordered object–relation combination appears explicitly in 4 training episodes. It tests learned directional competence without a compositional holdout.</x:v>
      </x:c>
      <x:c r="P132" s="70" t="str"/>
    </x:row>
    <x:row r="133" ht="54" customHeight="1">
      <x:c r="A133" s="68" t="str">
        <x:v>Success</x:v>
      </x:c>
      <x:c r="B133" s="69" t="str">
        <x:v>131</x:v>
      </x:c>
      <x:c r="C133" s="69" t="str">
        <x:v>Move the green pen behind the pink marker.</x:v>
      </x:c>
      <x:c r="D133" s="69" t="str">
        <x:v>P1 pink marker (reference) at R1; P2 green pen (target) 21 cm right of P1, orthogonal to the front/behind axis; P3 blue block 15 cm left of P1 as a distractor.</x:v>
      </x:c>
      <x:c r="E133" s="69" t="str">
        <x:v>130</x:v>
      </x:c>
      <x:c r="F133" s="69" t="str">
        <x:v>green pen → 2–8 cm edge gap behind pink marker; centroid direction within ±45°.</x:v>
      </x:c>
      <x:c r="G133" s="69" t="str"/>
      <x:c r="H133" s="69" t="str">
        <x:v>In-distribution concept baseline</x:v>
      </x:c>
      <x:c r="I133" s="69" t="str">
        <x:v>RP-ID01</x:v>
      </x:c>
      <x:c r="J133" s="69" t="str">
        <x:v>behind</x:v>
      </x:c>
      <x:c r="K133" s="69" t="str">
        <x:v>3</x:v>
      </x:c>
      <x:c r="L133" s="69" t="str">
        <x:v>2 — Exact-scene opposite-direction baseline — behind</x:v>
      </x:c>
      <x:c r="M133" s="69" t="str">
        <x:v>61</x:v>
      </x:c>
      <x:c r="N133" s="69" t="str">
        <x:v>Reset only P2 to its marked start. Preserve the exact scene and object identities; change only the requested direction and expected goal sector.</x:v>
      </x:c>
      <x:c r="O133" s="69" t="str">
        <x:v>This exact ordered object–relation combination appears explicitly in 4 training episodes. It tests learned directional competence without a compositional holdout.</x:v>
      </x:c>
      <x:c r="P133" s="70" t="str"/>
    </x:row>
    <x:row r="134" ht="54" customHeight="1">
      <x:c r="A134" s="68" t="str">
        <x:v>Success</x:v>
      </x:c>
      <x:c r="B134" s="69" t="str">
        <x:v>132</x:v>
      </x:c>
      <x:c r="C134" s="69" t="str">
        <x:v>Place the green pen to the left of the blue block.</x:v>
      </x:c>
      <x:c r="D134" s="69" t="str">
        <x:v>P1 blue block (reference) at R2; P2 green pen (target) 24 cm behind P1, orthogonal to the left/right axis; P3 pink marker 15 cm in front of P1; P4 red block 15 cm left-front of P1 as distractors.</x:v>
      </x:c>
      <x:c r="E134" s="69" t="str"/>
      <x:c r="F134" s="69" t="str">
        <x:v>green pen → 2–8 cm edge gap to the left of blue block; centroid direction within ±45°.</x:v>
      </x:c>
      <x:c r="G134" s="69" t="str"/>
      <x:c r="H134" s="69" t="str">
        <x:v>In-distribution concept baseline</x:v>
      </x:c>
      <x:c r="I134" s="69" t="str">
        <x:v>RP-ID02</x:v>
      </x:c>
      <x:c r="J134" s="69" t="str">
        <x:v>left</x:v>
      </x:c>
      <x:c r="K134" s="69" t="str">
        <x:v>4</x:v>
      </x:c>
      <x:c r="L134" s="69" t="str">
        <x:v>1 — Training-supported directional baseline — left</x:v>
      </x:c>
      <x:c r="M134" s="69" t="str">
        <x:v>62</x:v>
      </x:c>
      <x:c r="N134" s="69" t="str">
        <x:v>Build the listed scene. Place P2 at the marked orthogonal start and outside the 2–8 cm success gap; save the first-frame filename.</x:v>
      </x:c>
      <x:c r="O134" s="69" t="str">
        <x:v>This exact ordered object–relation combination appears explicitly in 4 training episodes. It tests learned directional competence without a compositional holdout.</x:v>
      </x:c>
      <x:c r="P134" s="70" t="str"/>
    </x:row>
    <x:row r="135" ht="54" customHeight="1">
      <x:c r="A135" s="68" t="str">
        <x:v>Failure</x:v>
      </x:c>
      <x:c r="B135" s="69" t="str">
        <x:v>133</x:v>
      </x:c>
      <x:c r="C135" s="69" t="str">
        <x:v>Move the green pen to the right of the blue block.</x:v>
      </x:c>
      <x:c r="D135" s="69" t="str">
        <x:v>P1 blue block (reference) at R2; P2 green pen (target) 24 cm behind P1, orthogonal to the left/right axis; P3 pink marker 15 cm in front of P1; P4 red block 15 cm left-front of P1 as distractors.</x:v>
      </x:c>
      <x:c r="E135" s="69" t="str">
        <x:v>132</x:v>
      </x:c>
      <x:c r="F135" s="69" t="str">
        <x:v>green pen → 2–8 cm edge gap to the right of blue block; centroid direction within ±45°.</x:v>
      </x:c>
      <x:c r="G135" s="69" t="str">
        <x:v>Placed it on left, but looked like it nudged block when trying to release as a result of trying to move the gripper.</x:v>
      </x:c>
      <x:c r="H135" s="69" t="str">
        <x:v>In-distribution concept baseline</x:v>
      </x:c>
      <x:c r="I135" s="69" t="str">
        <x:v>RP-ID02</x:v>
      </x:c>
      <x:c r="J135" s="69" t="str">
        <x:v>right</x:v>
      </x:c>
      <x:c r="K135" s="69" t="str">
        <x:v>4</x:v>
      </x:c>
      <x:c r="L135" s="69" t="str">
        <x:v>2 — Exact-scene opposite-direction baseline — right</x:v>
      </x:c>
      <x:c r="M135" s="69" t="str">
        <x:v>62</x:v>
      </x:c>
      <x:c r="N135" s="69" t="str">
        <x:v>Reset only P2 to its marked start. Preserve the exact scene and object identities; change only the requested direction and expected goal sector.</x:v>
      </x:c>
      <x:c r="O135" s="69" t="str">
        <x:v>This exact ordered object–relation combination appears explicitly in 4 training episodes. It tests learned directional competence without a compositional holdout.</x:v>
      </x:c>
      <x:c r="P135" s="70" t="str"/>
    </x:row>
    <x:row r="136" ht="54" customHeight="1">
      <x:c r="A136" s="68" t="str">
        <x:v>Success</x:v>
      </x:c>
      <x:c r="B136" s="69" t="str">
        <x:v>134</x:v>
      </x:c>
      <x:c r="C136" s="69" t="str">
        <x:v>Place the red block in front of the pink marker.</x:v>
      </x:c>
      <x:c r="D136" s="69" t="str">
        <x:v>P1 pink marker (reference) at R3; P2 red block (target) 18 cm left of P1, orthogonal to the front/behind axis; P3 green pen 15 cm right of P1 as a distractor.</x:v>
      </x:c>
      <x:c r="E136" s="69" t="str"/>
      <x:c r="F136" s="69" t="str">
        <x:v>red block → 2–8 cm edge gap in front of pink marker; centroid direction within ±45°.</x:v>
      </x:c>
      <x:c r="G136" s="69" t="str">
        <x:v>Placed it on top and slid to the front. </x:v>
      </x:c>
      <x:c r="H136" s="69" t="str">
        <x:v>In-distribution concept baseline</x:v>
      </x:c>
      <x:c r="I136" s="69" t="str">
        <x:v>RP-ID03</x:v>
      </x:c>
      <x:c r="J136" s="69" t="str">
        <x:v>front</x:v>
      </x:c>
      <x:c r="K136" s="69" t="str">
        <x:v>3</x:v>
      </x:c>
      <x:c r="L136" s="69" t="str">
        <x:v>1 — Training-supported directional baseline — front</x:v>
      </x:c>
      <x:c r="M136" s="69" t="str">
        <x:v>63</x:v>
      </x:c>
      <x:c r="N136" s="69" t="str">
        <x:v>Build the listed scene. Place P2 at the marked orthogonal start and outside the 2–8 cm success gap; save the first-frame filename.</x:v>
      </x:c>
      <x:c r="O136" s="69" t="str">
        <x:v>This exact ordered object–relation combination appears explicitly in 4 training episodes. It tests learned directional competence without a compositional holdout.</x:v>
      </x:c>
      <x:c r="P136" s="70" t="str"/>
    </x:row>
    <x:row r="137" ht="54" customHeight="1">
      <x:c r="A137" s="68" t="str">
        <x:v>Success</x:v>
      </x:c>
      <x:c r="B137" s="69" t="str">
        <x:v>135</x:v>
      </x:c>
      <x:c r="C137" s="69" t="str">
        <x:v>Move the red block behind the pink marker.</x:v>
      </x:c>
      <x:c r="D137" s="69" t="str">
        <x:v>P1 pink marker (reference) at R3; P2 red block (target) 18 cm left of P1, orthogonal to the front/behind axis; P3 green pen 15 cm right of P1 as a distractor.</x:v>
      </x:c>
      <x:c r="E137" s="69" t="str">
        <x:v>134</x:v>
      </x:c>
      <x:c r="F137" s="69" t="str">
        <x:v>red block → 2–8 cm edge gap behind pink marker; centroid direction within ±45°.</x:v>
      </x:c>
      <x:c r="G137" s="69" t="str"/>
      <x:c r="H137" s="69" t="str">
        <x:v>In-distribution concept baseline</x:v>
      </x:c>
      <x:c r="I137" s="69" t="str">
        <x:v>RP-ID03</x:v>
      </x:c>
      <x:c r="J137" s="69" t="str">
        <x:v>behind</x:v>
      </x:c>
      <x:c r="K137" s="69" t="str">
        <x:v>3</x:v>
      </x:c>
      <x:c r="L137" s="69" t="str">
        <x:v>2 — Exact-scene opposite-direction baseline — behind</x:v>
      </x:c>
      <x:c r="M137" s="69" t="str">
        <x:v>63</x:v>
      </x:c>
      <x:c r="N137" s="69" t="str">
        <x:v>Reset only P2 to its marked start. Preserve the exact scene and object identities; change only the requested direction and expected goal sector.</x:v>
      </x:c>
      <x:c r="O137" s="69" t="str">
        <x:v>This exact ordered object–relation combination appears explicitly in 5 training episodes. It tests learned directional competence without a compositional holdout.</x:v>
      </x:c>
      <x:c r="P137" s="70" t="str"/>
    </x:row>
    <x:row r="138" ht="54" customHeight="1">
      <x:c r="A138" s="68" t="str">
        <x:v>Failure</x:v>
      </x:c>
      <x:c r="B138" s="69" t="str">
        <x:v>136</x:v>
      </x:c>
      <x:c r="C138" s="69" t="str">
        <x:v>Place the red block to the left of the blue block.</x:v>
      </x:c>
      <x:c r="D138" s="69" t="str">
        <x:v>P1 blue block (reference) at R4; P2 red block (target) 21 cm in front of P1, orthogonal to the left/right axis; P3 pink marker 15 cm left-behind P1; P4 green pen 15 cm right-behind P1 as distractors.</x:v>
      </x:c>
      <x:c r="E138" s="69" t="str"/>
      <x:c r="F138" s="69" t="str">
        <x:v>red block → 2–8 cm edge gap to the left of blue block; centroid direction within ±45°.</x:v>
      </x:c>
      <x:c r="G138" s="69" t="str">
        <x:v>Scene was setup such that the red block was directly above the blue block. The robot ended up not moving at all. </x:v>
      </x:c>
      <x:c r="H138" s="69" t="str">
        <x:v>In-distribution concept baseline</x:v>
      </x:c>
      <x:c r="I138" s="69" t="str">
        <x:v>RP-ID04</x:v>
      </x:c>
      <x:c r="J138" s="69" t="str">
        <x:v>left</x:v>
      </x:c>
      <x:c r="K138" s="69" t="str">
        <x:v>4</x:v>
      </x:c>
      <x:c r="L138" s="69" t="str">
        <x:v>1 — Training-supported directional baseline — left</x:v>
      </x:c>
      <x:c r="M138" s="69" t="str">
        <x:v>64</x:v>
      </x:c>
      <x:c r="N138" s="69" t="str">
        <x:v>Build the listed scene. Place P2 at the marked orthogonal start and outside the 2–8 cm success gap; save the first-frame filename.</x:v>
      </x:c>
      <x:c r="O138" s="69" t="str">
        <x:v>This exact ordered object–relation combination appears explicitly in 4 training episodes. It tests learned directional competence without a compositional holdout.</x:v>
      </x:c>
      <x:c r="P138" s="70" t="str"/>
    </x:row>
    <x:row r="139" ht="54" customHeight="1">
      <x:c r="A139" s="68" t="str">
        <x:v>Failure</x:v>
      </x:c>
      <x:c r="B139" s="69" t="str">
        <x:v>137</x:v>
      </x:c>
      <x:c r="C139" s="69" t="str">
        <x:v>Move the red block to the right of the blue block.</x:v>
      </x:c>
      <x:c r="D139" s="69" t="str">
        <x:v>P1 blue block (reference) at R4; P2 red block (target) 21 cm in front of P1, orthogonal to the left/right axis; P3 pink marker 15 cm left-behind P1; P4 green pen 15 cm right-behind P1 as distractors.</x:v>
      </x:c>
      <x:c r="E139" s="69" t="str">
        <x:v>136</x:v>
      </x:c>
      <x:c r="F139" s="69" t="str">
        <x:v>red block → 2–8 cm edge gap to the right of blue block; centroid direction within ±45°.</x:v>
      </x:c>
      <x:c r="G139" s="69" t="str">
        <x:v>Scene was setup such that the red block was directly above the blue block. The robot ended up not moving at all. </x:v>
      </x:c>
      <x:c r="H139" s="69" t="str">
        <x:v>In-distribution concept baseline</x:v>
      </x:c>
      <x:c r="I139" s="69" t="str">
        <x:v>RP-ID04</x:v>
      </x:c>
      <x:c r="J139" s="69" t="str">
        <x:v>right</x:v>
      </x:c>
      <x:c r="K139" s="69" t="str">
        <x:v>4</x:v>
      </x:c>
      <x:c r="L139" s="69" t="str">
        <x:v>2 — Exact-scene opposite-direction baseline — right</x:v>
      </x:c>
      <x:c r="M139" s="69" t="str">
        <x:v>64</x:v>
      </x:c>
      <x:c r="N139" s="69" t="str">
        <x:v>Reset only P2 to its marked start. Preserve the exact scene and object identities; change only the requested direction and expected goal sector.</x:v>
      </x:c>
      <x:c r="O139" s="69" t="str">
        <x:v>This exact ordered object–relation combination appears explicitly in 4 training episodes. It tests learned directional competence without a compositional holdout.</x:v>
      </x:c>
      <x:c r="P139" s="70" t="str"/>
    </x:row>
    <x:row r="140" ht="54" customHeight="1">
      <x:c r="A140" s="68" t="str">
        <x:v>Failure</x:v>
      </x:c>
      <x:c r="B140" s="69" t="str">
        <x:v>138</x:v>
      </x:c>
      <x:c r="C140" s="69" t="str">
        <x:v>Place the pink marker in front of the green pen.</x:v>
      </x:c>
      <x:c r="D140" s="69" t="str">
        <x:v>P1 green pen (reference) at R5; P2 pink marker (target) 24 cm right of P1, orthogonal to the front/behind axis; P3 blue block 15 cm left of P1 as a distractor.</x:v>
      </x:c>
      <x:c r="E140" s="69" t="str"/>
      <x:c r="F140" s="69" t="str">
        <x:v>pink marker → 2–8 cm edge gap in front of green pen; centroid direction within ±45°.</x:v>
      </x:c>
      <x:c r="G140" s="69" t="str">
        <x:v>Placed it to the left.</x:v>
      </x:c>
      <x:c r="H140" s="69" t="str">
        <x:v>In-distribution concept baseline</x:v>
      </x:c>
      <x:c r="I140" s="69" t="str">
        <x:v>RP-ID05</x:v>
      </x:c>
      <x:c r="J140" s="69" t="str">
        <x:v>front</x:v>
      </x:c>
      <x:c r="K140" s="69" t="str">
        <x:v>3</x:v>
      </x:c>
      <x:c r="L140" s="69" t="str">
        <x:v>1 — Training-supported directional baseline — front</x:v>
      </x:c>
      <x:c r="M140" s="69" t="str">
        <x:v>65</x:v>
      </x:c>
      <x:c r="N140" s="69" t="str">
        <x:v>Build the listed scene. Place P2 at the marked orthogonal start and outside the 2–8 cm success gap; save the first-frame filename.</x:v>
      </x:c>
      <x:c r="O140" s="69" t="str">
        <x:v>This exact ordered object–relation combination appears explicitly in 4 training episodes. It tests learned directional competence without a compositional holdout.</x:v>
      </x:c>
      <x:c r="P140" s="70" t="str"/>
    </x:row>
    <x:row r="141" ht="54" customHeight="1">
      <x:c r="A141" s="68" t="str">
        <x:v>Failure</x:v>
      </x:c>
      <x:c r="B141" s="69" t="str">
        <x:v>139</x:v>
      </x:c>
      <x:c r="C141" s="69" t="str">
        <x:v>Move the pink marker behind the green pen.</x:v>
      </x:c>
      <x:c r="D141" s="69" t="str">
        <x:v>P1 green pen (reference) at R5; P2 pink marker (target) 24 cm right of P1, orthogonal to the front/behind axis; P3 blue block 15 cm left of P1 as a distractor.</x:v>
      </x:c>
      <x:c r="E141" s="69" t="str">
        <x:v>138</x:v>
      </x:c>
      <x:c r="F141" s="69" t="str">
        <x:v>pink marker → 2–8 cm edge gap behind green pen; centroid direction within ±45°.</x:v>
      </x:c>
      <x:c r="G141" s="69" t="str">
        <x:v>Placed it to the left again.</x:v>
      </x:c>
      <x:c r="H141" s="69" t="str">
        <x:v>In-distribution concept baseline</x:v>
      </x:c>
      <x:c r="I141" s="69" t="str">
        <x:v>RP-ID05</x:v>
      </x:c>
      <x:c r="J141" s="69" t="str">
        <x:v>behind</x:v>
      </x:c>
      <x:c r="K141" s="69" t="str">
        <x:v>3</x:v>
      </x:c>
      <x:c r="L141" s="69" t="str">
        <x:v>2 — Exact-scene opposite-direction baseline — behind</x:v>
      </x:c>
      <x:c r="M141" s="69" t="str">
        <x:v>65</x:v>
      </x:c>
      <x:c r="N141" s="69" t="str">
        <x:v>Reset only P2 to its marked start. Preserve the exact scene and object identities; change only the requested direction and expected goal sector.</x:v>
      </x:c>
      <x:c r="O141" s="69" t="str">
        <x:v>This exact ordered object–relation combination appears explicitly in 4 training episodes. It tests learned directional competence without a compositional holdout.</x:v>
      </x:c>
      <x:c r="P141" s="70" t="str"/>
    </x:row>
    <x:row r="142" ht="54" customHeight="1">
      <x:c r="A142" s="68" t="str">
        <x:v>Success</x:v>
      </x:c>
      <x:c r="B142" s="69" t="str">
        <x:v>140</x:v>
      </x:c>
      <x:c r="C142" s="69" t="str">
        <x:v>Place the pink marker to the left of the red block.</x:v>
      </x:c>
      <x:c r="D142" s="69" t="str">
        <x:v>P1 red block (reference) at R1; P2 pink marker (target) 18 cm behind P1, orthogonal to the left/right axis; P3 green pen 15 cm left-front of P1; P4 blue block 15 cm right-front of P1 as distractors.</x:v>
      </x:c>
      <x:c r="E142" s="69" t="str"/>
      <x:c r="F142" s="69" t="str">
        <x:v>pink marker → 2–8 cm edge gap to the left of red block; centroid direction within ±45°.</x:v>
      </x:c>
      <x:c r="G142" s="69" t="str"/>
      <x:c r="H142" s="69" t="str">
        <x:v>In-distribution concept baseline</x:v>
      </x:c>
      <x:c r="I142" s="69" t="str">
        <x:v>RP-ID06</x:v>
      </x:c>
      <x:c r="J142" s="69" t="str">
        <x:v>left</x:v>
      </x:c>
      <x:c r="K142" s="69" t="str">
        <x:v>4</x:v>
      </x:c>
      <x:c r="L142" s="69" t="str">
        <x:v>1 — Training-supported directional baseline — left</x:v>
      </x:c>
      <x:c r="M142" s="69" t="str">
        <x:v>66</x:v>
      </x:c>
      <x:c r="N142" s="69" t="str">
        <x:v>Build the listed scene. Place P2 at the marked orthogonal start and outside the 2–8 cm success gap; save the first-frame filename.</x:v>
      </x:c>
      <x:c r="O142" s="69" t="str">
        <x:v>This exact ordered object–relation combination appears explicitly in 4 training episodes. It tests learned directional competence without a compositional holdout.</x:v>
      </x:c>
      <x:c r="P142" s="70" t="str"/>
    </x:row>
    <x:row r="143" ht="54" customHeight="1">
      <x:c r="A143" s="68" t="str">
        <x:v>Success</x:v>
      </x:c>
      <x:c r="B143" s="69" t="str">
        <x:v>141</x:v>
      </x:c>
      <x:c r="C143" s="69" t="str">
        <x:v>Move the pink marker to the right of the red block.</x:v>
      </x:c>
      <x:c r="D143" s="69" t="str">
        <x:v>P1 red block (reference) at R1; P2 pink marker (target) 18 cm behind P1, orthogonal to the left/right axis; P3 green pen 15 cm left-front of P1; P4 blue block 15 cm right-front of P1 as distractors.</x:v>
      </x:c>
      <x:c r="E143" s="69" t="str">
        <x:v>140</x:v>
      </x:c>
      <x:c r="F143" s="69" t="str">
        <x:v>pink marker → 2–8 cm edge gap to the right of red block; centroid direction within ±45°.</x:v>
      </x:c>
      <x:c r="G143" s="69" t="str"/>
      <x:c r="H143" s="69" t="str">
        <x:v>In-distribution concept baseline</x:v>
      </x:c>
      <x:c r="I143" s="69" t="str">
        <x:v>RP-ID06</x:v>
      </x:c>
      <x:c r="J143" s="69" t="str">
        <x:v>right</x:v>
      </x:c>
      <x:c r="K143" s="69" t="str">
        <x:v>4</x:v>
      </x:c>
      <x:c r="L143" s="69" t="str">
        <x:v>2 — Exact-scene opposite-direction baseline — right</x:v>
      </x:c>
      <x:c r="M143" s="69" t="str">
        <x:v>66</x:v>
      </x:c>
      <x:c r="N143" s="69" t="str">
        <x:v>Reset only P2 to its marked start. Preserve the exact scene and object identities; change only the requested direction and expected goal sector.</x:v>
      </x:c>
      <x:c r="O143" s="69" t="str">
        <x:v>This exact ordered object–relation combination appears explicitly in 4 training episodes. It tests learned directional competence without a compositional holdout.</x:v>
      </x:c>
      <x:c r="P143" s="70" t="str"/>
    </x:row>
    <x:row r="144" ht="54" customHeight="1">
      <x:c r="A144" s="68" t="str">
        <x:v>Success</x:v>
      </x:c>
      <x:c r="B144" s="69" t="str">
        <x:v>142</x:v>
      </x:c>
      <x:c r="C144" s="69" t="str">
        <x:v>Place the pink marker in front of the blue block.</x:v>
      </x:c>
      <x:c r="D144" s="69" t="str">
        <x:v>P1 blue block (reference) at R2; P2 pink marker (target) 21 cm left of P1, orthogonal to the front/behind axis; P3 red block 15 cm right of P1 as a distractor.</x:v>
      </x:c>
      <x:c r="E144" s="69" t="str"/>
      <x:c r="F144" s="69" t="str">
        <x:v>pink marker → 2–8 cm edge gap in front of blue block; centroid direction within ±45°.</x:v>
      </x:c>
      <x:c r="G144" s="69" t="str"/>
      <x:c r="H144" s="69" t="str">
        <x:v>In-distribution concept baseline</x:v>
      </x:c>
      <x:c r="I144" s="69" t="str">
        <x:v>RP-ID07</x:v>
      </x:c>
      <x:c r="J144" s="69" t="str">
        <x:v>front</x:v>
      </x:c>
      <x:c r="K144" s="69" t="str">
        <x:v>3</x:v>
      </x:c>
      <x:c r="L144" s="69" t="str">
        <x:v>1 — Training-supported directional baseline — front</x:v>
      </x:c>
      <x:c r="M144" s="69" t="str">
        <x:v>67</x:v>
      </x:c>
      <x:c r="N144" s="69" t="str">
        <x:v>Build the listed scene. Place P2 at the marked orthogonal start and outside the 2–8 cm success gap; save the first-frame filename.</x:v>
      </x:c>
      <x:c r="O144" s="69" t="str">
        <x:v>This exact ordered object–relation combination appears explicitly in 4 training episodes. It tests learned directional competence without a compositional holdout.</x:v>
      </x:c>
      <x:c r="P144" s="70" t="str"/>
    </x:row>
    <x:row r="145" ht="54" customHeight="1">
      <x:c r="A145" s="68" t="str">
        <x:v>Success</x:v>
      </x:c>
      <x:c r="B145" s="69" t="str">
        <x:v>143</x:v>
      </x:c>
      <x:c r="C145" s="69" t="str">
        <x:v>Move the pink marker behind the blue block.</x:v>
      </x:c>
      <x:c r="D145" s="69" t="str">
        <x:v>P1 blue block (reference) at R2; P2 pink marker (target) 21 cm left of P1, orthogonal to the front/behind axis; P3 red block 15 cm right of P1 as a distractor.</x:v>
      </x:c>
      <x:c r="E145" s="69" t="str">
        <x:v>142</x:v>
      </x:c>
      <x:c r="F145" s="69" t="str">
        <x:v>pink marker → 2–8 cm edge gap behind blue block; centroid direction within ±45°.</x:v>
      </x:c>
      <x:c r="G145" s="69" t="str"/>
      <x:c r="H145" s="69" t="str">
        <x:v>In-distribution concept baseline</x:v>
      </x:c>
      <x:c r="I145" s="69" t="str">
        <x:v>RP-ID07</x:v>
      </x:c>
      <x:c r="J145" s="69" t="str">
        <x:v>behind</x:v>
      </x:c>
      <x:c r="K145" s="69" t="str">
        <x:v>3</x:v>
      </x:c>
      <x:c r="L145" s="69" t="str">
        <x:v>2 — Exact-scene opposite-direction baseline — behind</x:v>
      </x:c>
      <x:c r="M145" s="69" t="str">
        <x:v>67</x:v>
      </x:c>
      <x:c r="N145" s="69" t="str">
        <x:v>Reset only P2 to its marked start. Preserve the exact scene and object identities; change only the requested direction and expected goal sector.</x:v>
      </x:c>
      <x:c r="O145" s="69" t="str">
        <x:v>This exact ordered object–relation combination appears explicitly in 5 training episodes. It tests learned directional competence without a compositional holdout.</x:v>
      </x:c>
      <x:c r="P145" s="70" t="str"/>
    </x:row>
    <x:row r="146" ht="54" customHeight="1">
      <x:c r="A146" s="68" t="str">
        <x:v>Success</x:v>
      </x:c>
      <x:c r="B146" s="69" t="str">
        <x:v>144</x:v>
      </x:c>
      <x:c r="C146" s="69" t="str">
        <x:v>Place the blue block to the left of the green pen.</x:v>
      </x:c>
      <x:c r="D146" s="69" t="str">
        <x:v>P1 green pen (reference) at R3; P2 blue block (target) 24 cm in front of P1, orthogonal to the left/right axis; P3 pink marker 15 cm left-behind P1; P4 red block 15 cm right-behind P1 as distractors.</x:v>
      </x:c>
      <x:c r="E146" s="69" t="str"/>
      <x:c r="F146" s="69" t="str">
        <x:v>blue block → 2–8 cm edge gap to the left of green pen; centroid direction within ±45°.</x:v>
      </x:c>
      <x:c r="G146" s="69" t="str"/>
      <x:c r="H146" s="69" t="str">
        <x:v>In-distribution concept baseline</x:v>
      </x:c>
      <x:c r="I146" s="69" t="str">
        <x:v>RP-ID08</x:v>
      </x:c>
      <x:c r="J146" s="69" t="str">
        <x:v>left</x:v>
      </x:c>
      <x:c r="K146" s="69" t="str">
        <x:v>4</x:v>
      </x:c>
      <x:c r="L146" s="69" t="str">
        <x:v>1 — Training-supported directional baseline — left</x:v>
      </x:c>
      <x:c r="M146" s="69" t="str">
        <x:v>68</x:v>
      </x:c>
      <x:c r="N146" s="69" t="str">
        <x:v>Build the listed scene. Place P2 at the marked orthogonal start and outside the 2–8 cm success gap; save the first-frame filename.</x:v>
      </x:c>
      <x:c r="O146" s="69" t="str">
        <x:v>This exact ordered object–relation combination appears explicitly in 4 training episodes. It tests learned directional competence without a compositional holdout.</x:v>
      </x:c>
      <x:c r="P146" s="70" t="str"/>
    </x:row>
    <x:row r="147" ht="54" customHeight="1">
      <x:c r="A147" s="68" t="str">
        <x:v>Success</x:v>
      </x:c>
      <x:c r="B147" s="69" t="str">
        <x:v>145</x:v>
      </x:c>
      <x:c r="C147" s="69" t="str">
        <x:v>Move the blue block to the right of the green pen.</x:v>
      </x:c>
      <x:c r="D147" s="69" t="str">
        <x:v>P1 green pen (reference) at R3; P2 blue block (target) 24 cm in front of P1, orthogonal to the left/right axis; P3 pink marker 15 cm left-behind P1; P4 red block 15 cm right-behind P1 as distractors.</x:v>
      </x:c>
      <x:c r="E147" s="69" t="str">
        <x:v>144</x:v>
      </x:c>
      <x:c r="F147" s="69" t="str">
        <x:v>blue block → 2–8 cm edge gap to the right of green pen; centroid direction within ±45°.</x:v>
      </x:c>
      <x:c r="G147" s="69" t="str">
        <x:v>Placed it top right, but mostly right.</x:v>
      </x:c>
      <x:c r="H147" s="69" t="str">
        <x:v>In-distribution concept baseline</x:v>
      </x:c>
      <x:c r="I147" s="69" t="str">
        <x:v>RP-ID08</x:v>
      </x:c>
      <x:c r="J147" s="69" t="str">
        <x:v>right</x:v>
      </x:c>
      <x:c r="K147" s="69" t="str">
        <x:v>4</x:v>
      </x:c>
      <x:c r="L147" s="69" t="str">
        <x:v>2 — Exact-scene opposite-direction baseline — right</x:v>
      </x:c>
      <x:c r="M147" s="69" t="str">
        <x:v>68</x:v>
      </x:c>
      <x:c r="N147" s="69" t="str">
        <x:v>Reset only P2 to its marked start. Preserve the exact scene and object identities; change only the requested direction and expected goal sector.</x:v>
      </x:c>
      <x:c r="O147" s="69" t="str">
        <x:v>This exact ordered object–relation combination appears explicitly in 5 training episodes. It tests learned directional competence without a compositional holdout.</x:v>
      </x:c>
      <x:c r="P147" s="70" t="str"/>
    </x:row>
    <x:row r="148" ht="54" customHeight="1">
      <x:c r="A148" s="68" t="str">
        <x:v>Success</x:v>
      </x:c>
      <x:c r="B148" s="69" t="str">
        <x:v>146</x:v>
      </x:c>
      <x:c r="C148" s="69" t="str">
        <x:v>Place the blue block in front of the red block.</x:v>
      </x:c>
      <x:c r="D148" s="69" t="str">
        <x:v>P1 red block (reference) at R4; P2 blue block (target) 18 cm right of P1, orthogonal to the front/behind axis; P3 green pen 15 cm left of P1 as a distractor.</x:v>
      </x:c>
      <x:c r="E148" s="69" t="str"/>
      <x:c r="F148" s="69" t="str">
        <x:v>blue block → 2–8 cm edge gap in front of red block; centroid direction within ±45°.</x:v>
      </x:c>
      <x:c r="G148" s="69" t="str"/>
      <x:c r="H148" s="69" t="str">
        <x:v>In-distribution concept baseline</x:v>
      </x:c>
      <x:c r="I148" s="69" t="str">
        <x:v>RP-ID09</x:v>
      </x:c>
      <x:c r="J148" s="69" t="str">
        <x:v>front</x:v>
      </x:c>
      <x:c r="K148" s="69" t="str">
        <x:v>3</x:v>
      </x:c>
      <x:c r="L148" s="69" t="str">
        <x:v>1 — Training-supported directional baseline — front</x:v>
      </x:c>
      <x:c r="M148" s="69" t="str">
        <x:v>69</x:v>
      </x:c>
      <x:c r="N148" s="69" t="str">
        <x:v>Build the listed scene. Place P2 at the marked orthogonal start and outside the 2–8 cm success gap; save the first-frame filename.</x:v>
      </x:c>
      <x:c r="O148" s="69" t="str">
        <x:v>This exact ordered object–relation combination appears explicitly in 4 training episodes. It tests learned directional competence without a compositional holdout.</x:v>
      </x:c>
      <x:c r="P148" s="70" t="str"/>
    </x:row>
    <x:row r="149" ht="54" customHeight="1">
      <x:c r="A149" s="68" t="str">
        <x:v>Success</x:v>
      </x:c>
      <x:c r="B149" s="69" t="str">
        <x:v>147</x:v>
      </x:c>
      <x:c r="C149" s="69" t="str">
        <x:v>Move the blue block behind the red block.</x:v>
      </x:c>
      <x:c r="D149" s="69" t="str">
        <x:v>P1 red block (reference) at R4; P2 blue block (target) 18 cm right of P1, orthogonal to the front/behind axis; P3 green pen 15 cm left of P1 as a distractor.</x:v>
      </x:c>
      <x:c r="E149" s="69" t="str">
        <x:v>146</x:v>
      </x:c>
      <x:c r="F149" s="69" t="str">
        <x:v>blue block → 2–8 cm edge gap behind red block; centroid direction within ±45°.</x:v>
      </x:c>
      <x:c r="G149" s="69" t="str">
        <x:v>back right, but mostly back.</x:v>
      </x:c>
      <x:c r="H149" s="69" t="str">
        <x:v>In-distribution concept baseline</x:v>
      </x:c>
      <x:c r="I149" s="69" t="str">
        <x:v>RP-ID09</x:v>
      </x:c>
      <x:c r="J149" s="69" t="str">
        <x:v>behind</x:v>
      </x:c>
      <x:c r="K149" s="69" t="str">
        <x:v>3</x:v>
      </x:c>
      <x:c r="L149" s="69" t="str">
        <x:v>2 — Exact-scene opposite-direction baseline — behind</x:v>
      </x:c>
      <x:c r="M149" s="69" t="str">
        <x:v>69</x:v>
      </x:c>
      <x:c r="N149" s="69" t="str">
        <x:v>Reset only P2 to its marked start. Preserve the exact scene and object identities; change only the requested direction and expected goal sector.</x:v>
      </x:c>
      <x:c r="O149" s="69" t="str">
        <x:v>This exact ordered object–relation combination appears explicitly in 4 training episodes. It tests learned directional competence without a compositional holdout.</x:v>
      </x:c>
      <x:c r="P149" s="70" t="str"/>
    </x:row>
    <x:row r="150" ht="54" customHeight="1">
      <x:c r="A150" s="68" t="str">
        <x:v>Success</x:v>
      </x:c>
      <x:c r="B150" s="69" t="str">
        <x:v>148</x:v>
      </x:c>
      <x:c r="C150" s="69" t="str">
        <x:v>Place the blue block to the left of the pink marker.</x:v>
      </x:c>
      <x:c r="D150" s="69" t="str">
        <x:v>P1 pink marker (reference) at R5; P2 blue block (target) 21 cm behind P1, orthogonal to the left/right axis; P3 red block 15 cm left-front of P1; P4 green pen 15 cm right-front of P1 as distractors.</x:v>
      </x:c>
      <x:c r="E150" s="69" t="str"/>
      <x:c r="F150" s="69" t="str">
        <x:v>blue block → 2–8 cm edge gap to the left of pink marker; centroid direction within ±45°.</x:v>
      </x:c>
      <x:c r="G150" s="69" t="str"/>
      <x:c r="H150" s="69" t="str">
        <x:v>In-distribution concept baseline</x:v>
      </x:c>
      <x:c r="I150" s="69" t="str">
        <x:v>RP-ID10</x:v>
      </x:c>
      <x:c r="J150" s="69" t="str">
        <x:v>left</x:v>
      </x:c>
      <x:c r="K150" s="69" t="str">
        <x:v>4</x:v>
      </x:c>
      <x:c r="L150" s="69" t="str">
        <x:v>1 — Training-supported directional baseline — left</x:v>
      </x:c>
      <x:c r="M150" s="69" t="str">
        <x:v>70</x:v>
      </x:c>
      <x:c r="N150" s="69" t="str">
        <x:v>Build the listed scene. Place P2 at the marked orthogonal start and outside the 2–8 cm success gap; save the first-frame filename.</x:v>
      </x:c>
      <x:c r="O150" s="69" t="str">
        <x:v>This exact ordered object–relation combination appears explicitly in 4 training episodes. It tests learned directional competence without a compositional holdout.</x:v>
      </x:c>
      <x:c r="P150" s="70" t="str"/>
    </x:row>
    <x:row r="151" ht="54" customHeight="1">
      <x:c r="A151" s="71" t="str">
        <x:v>Failure</x:v>
      </x:c>
      <x:c r="B151" s="72" t="str">
        <x:v>149</x:v>
      </x:c>
      <x:c r="C151" s="72" t="str">
        <x:v>Move the blue block to the right of the pink marker.</x:v>
      </x:c>
      <x:c r="D151" s="72" t="str">
        <x:v>P1 pink marker (reference) at R5; P2 blue block (target) 21 cm behind P1, orthogonal to the left/right axis; P3 red block 15 cm left-front of P1; P4 green pen 15 cm right-front of P1 as distractors.</x:v>
      </x:c>
      <x:c r="E151" s="72" t="str">
        <x:v>148</x:v>
      </x:c>
      <x:c r="F151" s="72" t="str">
        <x:v>blue block → 2–8 cm edge gap to the right of pink marker; centroid direction within ±45°.</x:v>
      </x:c>
      <x:c r="G151" s="72" t="str">
        <x:v>Placed top right, but mostly top. </x:v>
      </x:c>
      <x:c r="H151" s="72" t="str">
        <x:v>In-distribution concept baseline</x:v>
      </x:c>
      <x:c r="I151" s="72" t="str">
        <x:v>RP-ID10</x:v>
      </x:c>
      <x:c r="J151" s="72" t="str">
        <x:v>right</x:v>
      </x:c>
      <x:c r="K151" s="72" t="str">
        <x:v>4</x:v>
      </x:c>
      <x:c r="L151" s="72" t="str">
        <x:v>2 — Exact-scene opposite-direction baseline — right</x:v>
      </x:c>
      <x:c r="M151" s="72" t="str">
        <x:v>70</x:v>
      </x:c>
      <x:c r="N151" s="72" t="str">
        <x:v>Reset only P2 to its marked start. Preserve the exact scene and object identities; change only the requested direction and expected goal sector.</x:v>
      </x:c>
      <x:c r="O151" s="72" t="str">
        <x:v>This exact ordered object–relation combination appears explicitly in 4 training episodes. It tests learned directional competence without a compositional holdout.</x:v>
      </x:c>
      <x:c r="P151" s="73" t="str"/>
    </x:row>
  </x:sheetData>
  <x:pageMargins left="0.7" right="0.7" top="0.75" bottom="0.75" header="0.3" footer="0.3"/>
  <x:tableParts count="1">
    <x:tablePart xmlns:r="http://schemas.openxmlformats.org/officeDocument/2006/relationships" r:id="Refd0f0fbe8764fad"/>
  </x:tableParts>
</x:worksheet>
</file>