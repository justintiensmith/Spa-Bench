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f67763b99624fd0" /></Relationships>
</file>

<file path=xl/workbook.xml><?xml version="1.0" encoding="utf-8"?>
<x:workbook xmlns:x="http://schemas.openxmlformats.org/spreadsheetml/2006/main">
  <x:sheets>
    <x:sheet xmlns:r="http://schemas.openxmlformats.org/officeDocument/2006/relationships" name="Evaluation Plan" sheetId="1" r:id="R5529cf40e0344ff3"/>
    <x:sheet xmlns:r="http://schemas.openxmlformats.org/officeDocument/2006/relationships" name="Object Inventory" sheetId="2" r:id="R588f7b80d0c642ce"/>
    <x:sheet xmlns:r="http://schemas.openxmlformats.org/officeDocument/2006/relationships" name="Training Alignment" sheetId="3" r:id="R66ef55452ce446e3"/>
    <x:sheet xmlns:r="http://schemas.openxmlformats.org/officeDocument/2006/relationships" name="Protocol" sheetId="4" r:id="Re64977e0b22846da"/>
    <x:sheet xmlns:r="http://schemas.openxmlformats.org/officeDocument/2006/relationships" name="Design QA" sheetId="5" r:id="Rc2f54cb587ec475e"/>
    <x:sheet xmlns:r="http://schemas.openxmlformats.org/officeDocument/2006/relationships" name="pi0.5 Results" sheetId="6" r:id="R701c1ed91a3d4a11"/>
    <x:sheet xmlns:r="http://schemas.openxmlformats.org/officeDocument/2006/relationships" name="VLA0 Results" sheetId="7" r:id="R0a986c7feca94d8c"/>
    <x:sheet xmlns:r="http://schemas.openxmlformats.org/officeDocument/2006/relationships" name="MolmoAct2 Results" sheetId="8" r:id="Rbb75861951734e9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name val="Carlito"/>
    </x:font>
  </x:fonts>
  <x:fills count="5">
    <x:fill>
      <x:patternFill patternType="none"/>
    </x:fill>
    <x:fill>
      <x:patternFill patternType="gray125"/>
    </x:fill>
    <x:fill>
      <x:patternFill patternType="solid">
        <x:fgColor rgb="FF1F4E78"/>
      </x:patternFill>
    </x:fill>
    <x:fill>
      <x:patternFill patternType="solid">
        <x:fgColor rgb="FFE4DFEC"/>
      </x:patternFill>
    </x:fill>
    <x:fill>
      <x:patternFill patternType="solid">
        <x:fgColor rgb="FFD9EAF7"/>
      </x:patternFill>
    </x:fill>
  </x:fills>
  <x:borders count="3">
    <x:border/>
    <x:border>
      <x:top style="medium">
        <x:color rgb="FF1F4E78"/>
      </x:top>
    </x:border>
    <x:border>
      <x:left style="thin">
        <x:color rgb="FFB7C9D6"/>
      </x:left>
      <x:right style="thin">
        <x:color rgb="FFB7C9D6"/>
      </x:right>
      <x:top style="thin">
        <x:color rgb="FFB7C9D6"/>
      </x:top>
      <x:bottom style="thin">
        <x:color rgb="FFB7C9D6"/>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2" fillId="2" borderId="2" xfId="0" applyNumberFormat="1" applyFont="1" applyFill="1" applyBorder="1" applyAlignment="1">
      <x:alignment horizontal="center" vertical="center"/>
    </x:xf>
    <x:xf numFmtId="0" fontId="3" fillId="4" borderId="2" xfId="0" applyNumberFormat="1" applyFont="1" applyFill="1" applyBorder="1" applyAlignment="1">
      <x:alignment vertical="top" wrapText="1"/>
    </x:xf>
    <x:xf numFmtId="0" fontId="0" fillId="0" borderId="2" xfId="0" applyNumberFormat="1" applyFont="1" applyFill="1" applyBorder="1" applyAlignment="1">
      <x:alignment vertical="top" wrapText="1"/>
    </x:xf>
  </x:cellXfs>
  <x:cellStyles count="1">
    <x:cellStyle name="Normal" xfId="0"/>
  </x:cellStyles>
  <x:dxfs count="26">
    <x:dxf>
      <x:font>
        <x:color rgb="FFFFFFFF"/>
      </x:font>
      <x:fill>
        <x:patternFill patternType="solid">
          <x:bgColor rgb="FF374151"/>
        </x:patternFill>
      </x:fill>
    </x:dxf>
    <x:dxf>
      <x:font>
        <x:b/>
        <x:color rgb="FF7F0000"/>
      </x:font>
      <x:fill>
        <x:patternFill patternType="solid">
          <x:bgColor rgb="FFF4CCCC"/>
        </x:patternFill>
      </x:fill>
    </x:dxf>
    <x:dxf>
      <x:fill>
        <x:patternFill patternType="solid">
          <x:bgColor rgb="FFE2F0D9"/>
        </x:patternFill>
      </x:fill>
    </x:dxf>
    <x:dxf>
      <x:fill>
        <x:patternFill patternType="solid">
          <x:bgColor rgb="FFFFF2CC"/>
        </x:patternFill>
      </x:fill>
    </x:dxf>
    <x:dxf>
      <x:fill>
        <x:patternFill patternType="solid">
          <x:bgColor rgb="FFE4DFEC"/>
        </x:patternFill>
      </x:fill>
    </x:dxf>
    <x:dxf>
      <x:fill>
        <x:patternFill patternType="solid">
          <x:bgColor rgb="FFDDEBF7"/>
        </x:patternFill>
      </x:fill>
    </x:dxf>
    <x:dxf>
      <x:font>
        <x:b/>
      </x:font>
      <x:fill>
        <x:patternFill patternType="solid">
          <x:bgColor rgb="FFD9EAD3"/>
        </x:patternFill>
      </x:fill>
    </x:dxf>
    <x:dxf>
      <x:font>
        <x:b/>
      </x:font>
      <x:fill>
        <x:patternFill patternType="solid">
          <x:bgColor rgb="FFF4CCCC"/>
        </x:patternFill>
      </x:fill>
    </x:dxf>
    <x:dxf>
      <x:font>
        <x:color rgb="FFFFFFFF"/>
      </x:font>
      <x:fill>
        <x:patternFill patternType="solid">
          <x:bgColor rgb="FF374151"/>
        </x:patternFill>
      </x:fill>
    </x:dxf>
    <x:dxf>
      <x:font>
        <x:b/>
        <x:color rgb="FF7F0000"/>
      </x:font>
      <x:fill>
        <x:patternFill patternType="solid">
          <x:bgColor rgb="FFF4CCCC"/>
        </x:patternFill>
      </x:fill>
    </x:dxf>
    <x:dxf>
      <x:fill>
        <x:patternFill patternType="solid">
          <x:bgColor rgb="FFE2F0D9"/>
        </x:patternFill>
      </x:fill>
    </x:dxf>
    <x:dxf>
      <x:fill>
        <x:patternFill patternType="solid">
          <x:bgColor rgb="FFFFF2CC"/>
        </x:patternFill>
      </x:fill>
    </x:dxf>
    <x:dxf>
      <x:fill>
        <x:patternFill patternType="solid">
          <x:bgColor rgb="FFE4DFEC"/>
        </x:patternFill>
      </x:fill>
    </x:dxf>
    <x:dxf>
      <x:fill>
        <x:patternFill patternType="solid">
          <x:bgColor rgb="FFDDEBF7"/>
        </x:patternFill>
      </x:fill>
    </x:dxf>
    <x:dxf>
      <x:font>
        <x:color rgb="FFFFFFFF"/>
      </x:font>
      <x:fill>
        <x:patternFill patternType="solid">
          <x:bgColor rgb="FF374151"/>
        </x:patternFill>
      </x:fill>
    </x:dxf>
    <x:dxf>
      <x:font>
        <x:b/>
        <x:color rgb="FF7F0000"/>
      </x:font>
      <x:fill>
        <x:patternFill patternType="solid">
          <x:bgColor rgb="FFF4CCCC"/>
        </x:patternFill>
      </x:fill>
    </x:dxf>
    <x:dxf>
      <x:fill>
        <x:patternFill patternType="solid">
          <x:bgColor rgb="FFE2F0D9"/>
        </x:patternFill>
      </x:fill>
    </x:dxf>
    <x:dxf>
      <x:fill>
        <x:patternFill patternType="solid">
          <x:bgColor rgb="FFFFF2CC"/>
        </x:patternFill>
      </x:fill>
    </x:dxf>
    <x:dxf>
      <x:fill>
        <x:patternFill patternType="solid">
          <x:bgColor rgb="FFE4DFEC"/>
        </x:patternFill>
      </x:fill>
    </x:dxf>
    <x:dxf>
      <x:fill>
        <x:patternFill patternType="solid">
          <x:bgColor rgb="FFDDEBF7"/>
        </x:patternFill>
      </x:fill>
    </x:dxf>
    <x:dxf>
      <x:font>
        <x:color rgb="FFFFFFFF"/>
      </x:font>
      <x:fill>
        <x:patternFill patternType="solid">
          <x:bgColor rgb="FF374151"/>
        </x:patternFill>
      </x:fill>
    </x:dxf>
    <x:dxf>
      <x:font>
        <x:b/>
        <x:color rgb="FF7F0000"/>
      </x:font>
      <x:fill>
        <x:patternFill patternType="solid">
          <x:bgColor rgb="FFF4CCCC"/>
        </x:patternFill>
      </x:fill>
    </x:dxf>
    <x:dxf>
      <x:fill>
        <x:patternFill patternType="solid">
          <x:bgColor rgb="FFE2F0D9"/>
        </x:patternFill>
      </x:fill>
    </x:dxf>
    <x:dxf>
      <x:fill>
        <x:patternFill patternType="solid">
          <x:bgColor rgb="FFFFF2CC"/>
        </x:patternFill>
      </x:fill>
    </x:dxf>
    <x:dxf>
      <x:fill>
        <x:patternFill patternType="solid">
          <x:bgColor rgb="FFE4DFEC"/>
        </x:patternFill>
      </x:fill>
    </x:dxf>
    <x:dxf>
      <x:fill>
        <x:patternFill patternType="solid">
          <x:bgColor rgb="FFDDEB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da17a89687344d1" /><Relationship Type="http://schemas.openxmlformats.org/officeDocument/2006/relationships/theme" Target="/xl/theme/theme1.xml" Id="R97f272a114ce429a" /><Relationship Type="http://schemas.openxmlformats.org/officeDocument/2006/relationships/sharedStrings" Target="/xl/sharedStrings.xml" Id="Rb309a0cf560e445b" /><Relationship Type="http://schemas.openxmlformats.org/officeDocument/2006/relationships/worksheet" Target="/xl/worksheets/sheet1.xml" Id="R5529cf40e0344ff3" /><Relationship Type="http://schemas.openxmlformats.org/officeDocument/2006/relationships/worksheet" Target="/xl/worksheets/sheet2.xml" Id="R588f7b80d0c642ce" /><Relationship Type="http://schemas.openxmlformats.org/officeDocument/2006/relationships/worksheet" Target="/xl/worksheets/sheet3.xml" Id="R66ef55452ce446e3" /><Relationship Type="http://schemas.openxmlformats.org/officeDocument/2006/relationships/worksheet" Target="/xl/worksheets/sheet4.xml" Id="Re64977e0b22846da" /><Relationship Type="http://schemas.openxmlformats.org/officeDocument/2006/relationships/worksheet" Target="/xl/worksheets/sheet5.xml" Id="Rc2f54cb587ec475e" /><Relationship Type="http://schemas.openxmlformats.org/officeDocument/2006/relationships/worksheet" Target="/xl/worksheets/sheet6.xml" Id="R701c1ed91a3d4a11" /><Relationship Type="http://schemas.openxmlformats.org/officeDocument/2006/relationships/worksheet" Target="/xl/worksheets/sheet7.xml" Id="R0a986c7feca94d8c" /><Relationship Type="http://schemas.openxmlformats.org/officeDocument/2006/relationships/worksheet" Target="/xl/worksheets/sheet8.xml" Id="Rbb75861951734e98" /></Relationships>
</file>

<file path=xl/tables/table1.xml><?xml version="1.0" encoding="utf-8"?>
<x:table xmlns:x="http://schemas.openxmlformats.org/spreadsheetml/2006/main" id="1" name="ReferentialEvaluationPlan" displayName="ReferentialEvaluationPlan" ref="A1:R111" headerRowCount="1" totalsRowCount="0" totalsRowShown="0">
  <x:autoFilter ref="A1:R111"/>
  <x:tableColumns count="18">
    <x:tableColumn id="1" name="Status"/>
    <x:tableColumn id="2" name="Episode"/>
    <x:tableColumn id="3" name="Prompt"/>
    <x:tableColumn id="4" name="Scene Setup (P1-P5)"/>
    <x:tableColumn id="5" name="Reference Episode"/>
    <x:tableColumn id="6" name="Expected Target"/>
    <x:tableColumn id="7" name="Observations"/>
    <x:tableColumn id="8" name="Condition"/>
    <x:tableColumn id="9" name="Scene Family"/>
    <x:tableColumn id="10" name="Counterfactual Pair"/>
    <x:tableColumn id="11" name="Candidate Category"/>
    <x:tableColumn id="12" name="Query Concept"/>
    <x:tableColumn id="13" name="Object Count"/>
    <x:tableColumn id="14" name="Comparison / Subtype"/>
    <x:tableColumn id="15" name="Collection Block"/>
    <x:tableColumn id="16" name="Setup Change from Previous"/>
    <x:tableColumn id="17" name="Design Note"/>
    <x:tableColumn id="18" name="Reference Media Filename"/>
  </x:tableColumns>
  <x:tableStyleInfo name="TableStyleMedium2" showFirstColumn="0" showLastColumn="0" showRowStripes="1" showColumnStripes="0"/>
</x:table>
</file>

<file path=xl/tables/table2.xml><?xml version="1.0" encoding="utf-8"?>
<x:table xmlns:x="http://schemas.openxmlformats.org/spreadsheetml/2006/main" id="2" name="ReferentialObjectInventory" displayName="ReferentialObjectInventory" ref="A1:G6" headerRowCount="1" totalsRowCount="0" totalsRowShown="0">
  <x:tableColumns count="7">
    <x:tableColumn id="1" name="Object Pair"/>
    <x:tableColumn id="2" name="Prompt Category"/>
    <x:tableColumn id="3" name="Physical Instances"/>
    <x:tableColumn id="4" name="Referential Exposure"/>
    <x:tableColumn id="5" name="Other-Task / Visual Tier"/>
    <x:tableColumn id="6" name="Evaluation Role"/>
    <x:tableColumn id="7" name="Rule"/>
  </x:tableColumns>
  <x:tableStyleInfo name="TableStyleMedium2" showFirstColumn="0" showLastColumn="0" showRowStripes="1" showColumnStripes="0"/>
</x:table>
</file>

<file path=xl/tables/table3.xml><?xml version="1.0" encoding="utf-8"?>
<x:table xmlns:x="http://schemas.openxmlformats.org/spreadsheetml/2006/main" id="3" name="ReferentialTrainingAlignment" displayName="ReferentialTrainingAlignment" ref="A1:C11" headerRowCount="1" totalsRowCount="0" totalsRowShown="0">
  <x:tableColumns count="3">
    <x:tableColumn id="1" name="Training / Evaluation Feature"/>
    <x:tableColumn id="2" name="Observed in planned Referential Disambiguation training"/>
    <x:tableColumn id="3" name="Evaluation consequence"/>
  </x:tableColumns>
  <x:tableStyleInfo name="TableStyleMedium2" showFirstColumn="0" showLastColumn="0" showRowStripes="1" showColumnStripes="0"/>
</x:table>
</file>

<file path=xl/tables/table4.xml><?xml version="1.0" encoding="utf-8"?>
<x:table xmlns:x="http://schemas.openxmlformats.org/spreadsheetml/2006/main" id="4" name="ReferentialDesignQA" displayName="ReferentialDesignQA" ref="A1:E27" headerRowCount="1" totalsRowCount="0" totalsRowShown="0">
  <x:tableColumns count="5">
    <x:tableColumn id="1" name="Check"/>
    <x:tableColumn id="2" name="Observed"/>
    <x:tableColumn id="3" name="Expected"/>
    <x:tableColumn id="4" name="Status"/>
    <x:tableColumn id="5" name="Notes"/>
  </x:tableColumns>
  <x:tableStyleInfo name="TableStyleMedium2" showFirstColumn="0" showLastColumn="0" showRowStripes="1" showColumnStripes="0"/>
</x:table>
</file>

<file path=xl/tables/table5.xml><?xml version="1.0" encoding="utf-8"?>
<x:table xmlns:x="http://schemas.openxmlformats.org/spreadsheetml/2006/main" id="5" name="Pi05ReferentialResults" displayName="Pi05ReferentialResults" ref="A1:R111" headerRowCount="1" totalsRowCount="0" totalsRowShown="0">
  <x:autoFilter ref="A1:R111"/>
  <x:tableColumns count="18">
    <x:tableColumn id="1" name="Status"/>
    <x:tableColumn id="2" name="Episode"/>
    <x:tableColumn id="3" name="Prompt"/>
    <x:tableColumn id="4" name="Scene Setup (P1-P5)"/>
    <x:tableColumn id="5" name="Reference Episode"/>
    <x:tableColumn id="6" name="Expected Target"/>
    <x:tableColumn id="7" name="Observations"/>
    <x:tableColumn id="8" name="Condition"/>
    <x:tableColumn id="9" name="Scene Family"/>
    <x:tableColumn id="10" name="Counterfactual Pair"/>
    <x:tableColumn id="11" name="Candidate Category"/>
    <x:tableColumn id="12" name="Query Concept"/>
    <x:tableColumn id="13" name="Object Count"/>
    <x:tableColumn id="14" name="Comparison / Subtype"/>
    <x:tableColumn id="15" name="Collection Block"/>
    <x:tableColumn id="16" name="Setup Change from Previous"/>
    <x:tableColumn id="17" name="Design Note"/>
    <x:tableColumn id="18" name="Reference Media Filename"/>
  </x:tableColumns>
  <x:tableStyleInfo name="TableStyleMedium2" showFirstColumn="0" showLastColumn="0" showRowStripes="1" showColumnStripes="0"/>
</x:table>
</file>

<file path=xl/tables/table6.xml><?xml version="1.0" encoding="utf-8"?>
<x:table xmlns:x="http://schemas.openxmlformats.org/spreadsheetml/2006/main" id="6" name="VLA0ReferentialResults" displayName="VLA0ReferentialResults" ref="A1:R111" headerRowCount="1" totalsRowCount="0" totalsRowShown="0">
  <x:autoFilter ref="A1:R111"/>
  <x:tableColumns count="18">
    <x:tableColumn id="1" name="Status"/>
    <x:tableColumn id="2" name="Episode"/>
    <x:tableColumn id="3" name="Prompt"/>
    <x:tableColumn id="4" name="Scene Setup (P1-P5)"/>
    <x:tableColumn id="5" name="Reference Episode"/>
    <x:tableColumn id="6" name="Expected Target"/>
    <x:tableColumn id="7" name="Observations"/>
    <x:tableColumn id="8" name="Condition"/>
    <x:tableColumn id="9" name="Scene Family"/>
    <x:tableColumn id="10" name="Counterfactual Pair"/>
    <x:tableColumn id="11" name="Candidate Category"/>
    <x:tableColumn id="12" name="Query Concept"/>
    <x:tableColumn id="13" name="Object Count"/>
    <x:tableColumn id="14" name="Comparison / Subtype"/>
    <x:tableColumn id="15" name="Collection Block"/>
    <x:tableColumn id="16" name="Setup Change from Previous"/>
    <x:tableColumn id="17" name="Design Note"/>
    <x:tableColumn id="18" name="Reference Media Filename"/>
  </x:tableColumns>
  <x:tableStyleInfo name="TableStyleMedium2" showFirstColumn="0" showLastColumn="0" showRowStripes="1" showColumnStripes="0"/>
</x:table>
</file>

<file path=xl/tables/table7.xml><?xml version="1.0" encoding="utf-8"?>
<x:table xmlns:x="http://schemas.openxmlformats.org/spreadsheetml/2006/main" id="7" name="MolmoAct2ReferentialResults" displayName="MolmoAct2ReferentialResults" ref="A1:R111" headerRowCount="1" totalsRowCount="0" totalsRowShown="0">
  <x:autoFilter ref="A1:R111"/>
  <x:tableColumns count="18">
    <x:tableColumn id="1" name="Status"/>
    <x:tableColumn id="2" name="Episode"/>
    <x:tableColumn id="3" name="Prompt"/>
    <x:tableColumn id="4" name="Scene Setup (P1-P5)"/>
    <x:tableColumn id="5" name="Reference Episode"/>
    <x:tableColumn id="6" name="Expected Target"/>
    <x:tableColumn id="7" name="Observations"/>
    <x:tableColumn id="8" name="Condition"/>
    <x:tableColumn id="9" name="Scene Family"/>
    <x:tableColumn id="10" name="Counterfactual Pair"/>
    <x:tableColumn id="11" name="Candidate Category"/>
    <x:tableColumn id="12" name="Query Concept"/>
    <x:tableColumn id="13" name="Object Count"/>
    <x:tableColumn id="14" name="Comparison / Subtype"/>
    <x:tableColumn id="15" name="Collection Block"/>
    <x:tableColumn id="16" name="Setup Change from Previous"/>
    <x:tableColumn id="17" name="Design Note"/>
    <x:tableColumn id="18" name="Reference Media Filenam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56a5b633586466a" /></Relationships>
</file>

<file path=xl/worksheets/_rels/sheet2.xml.rels>&#65279;<?xml version="1.0" encoding="utf-8"?><Relationships xmlns="http://schemas.openxmlformats.org/package/2006/relationships"><Relationship Type="http://schemas.openxmlformats.org/officeDocument/2006/relationships/table" Target="/xl/tables/table2.xml" Id="Rfdf4f8613ca74b56" /></Relationships>
</file>

<file path=xl/worksheets/_rels/sheet3.xml.rels>&#65279;<?xml version="1.0" encoding="utf-8"?><Relationships xmlns="http://schemas.openxmlformats.org/package/2006/relationships"><Relationship Type="http://schemas.openxmlformats.org/officeDocument/2006/relationships/table" Target="/xl/tables/table3.xml" Id="Rb70107b2d72041e5" /></Relationships>
</file>

<file path=xl/worksheets/_rels/sheet5.xml.rels>&#65279;<?xml version="1.0" encoding="utf-8"?><Relationships xmlns="http://schemas.openxmlformats.org/package/2006/relationships"><Relationship Type="http://schemas.openxmlformats.org/officeDocument/2006/relationships/table" Target="/xl/tables/table4.xml" Id="R27b5bf3d7ef44ed1" /></Relationships>
</file>

<file path=xl/worksheets/_rels/sheet6.xml.rels>&#65279;<?xml version="1.0" encoding="utf-8"?><Relationships xmlns="http://schemas.openxmlformats.org/package/2006/relationships"><Relationship Type="http://schemas.openxmlformats.org/officeDocument/2006/relationships/table" Target="/xl/tables/table5.xml" Id="R861e4bff8ced4f33" /></Relationships>
</file>

<file path=xl/worksheets/_rels/sheet7.xml.rels>&#65279;<?xml version="1.0" encoding="utf-8"?><Relationships xmlns="http://schemas.openxmlformats.org/package/2006/relationships"><Relationship Type="http://schemas.openxmlformats.org/officeDocument/2006/relationships/table" Target="/xl/tables/table6.xml" Id="Rc10ae5466d0f4fd0" /></Relationships>
</file>

<file path=xl/worksheets/_rels/sheet8.xml.rels>&#65279;<?xml version="1.0" encoding="utf-8"?><Relationships xmlns="http://schemas.openxmlformats.org/package/2006/relationships"><Relationship Type="http://schemas.openxmlformats.org/officeDocument/2006/relationships/table" Target="/xl/tables/table7.xml" Id="R16321644851f4b87"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9" hidden="0" customWidth="1"/>
    <x:col min="3" max="3" width="50" hidden="0" customWidth="1"/>
    <x:col min="4" max="4" width="92" hidden="0" customWidth="1"/>
    <x:col min="5" max="5" width="14" hidden="0" customWidth="1"/>
    <x:col min="6" max="6" width="32" hidden="0" customWidth="1"/>
    <x:col min="7" max="7" width="42" hidden="0" customWidth="1"/>
    <x:col min="8" max="8" width="31" hidden="0" customWidth="1"/>
    <x:col min="9" max="9" width="14" hidden="0" customWidth="1"/>
    <x:col min="10" max="10" width="17" hidden="0" customWidth="1"/>
    <x:col min="11" max="11" width="24" hidden="0" customWidth="1"/>
    <x:col min="12" max="12" width="20" hidden="0" customWidth="1"/>
    <x:col min="13" max="13" width="12" hidden="0" customWidth="1"/>
    <x:col min="14" max="14" width="58" hidden="0" customWidth="1"/>
    <x:col min="15" max="15" width="13" hidden="0" customWidth="1"/>
    <x:col min="16" max="16" width="70" hidden="0" customWidth="1"/>
    <x:col min="17" max="17" width="76" hidden="0" customWidth="1"/>
    <x:col min="18" max="18" width="30" hidden="0" customWidth="1"/>
  </x:cols>
  <x:sheetData>
    <x:row r="1" ht="38" customHeight="1">
      <x:c r="A1" s="5" t="str">
        <x:v>Status</x:v>
      </x:c>
      <x:c r="B1" s="5" t="str">
        <x:v>Episode</x:v>
      </x:c>
      <x:c r="C1" s="5" t="str">
        <x:v>Prompt</x:v>
      </x:c>
      <x:c r="D1" s="5" t="str">
        <x:v>Scene Setup (P1-P5)</x:v>
      </x:c>
      <x:c r="E1" s="5" t="str">
        <x:v>Reference Episode</x:v>
      </x:c>
      <x:c r="F1" s="5" t="str">
        <x:v>Expected Target</x:v>
      </x:c>
      <x:c r="G1" s="5" t="str">
        <x:v>Observations</x:v>
      </x:c>
      <x:c r="H1" s="5" t="str">
        <x:v>Condition</x:v>
      </x:c>
      <x:c r="I1" s="5" t="str">
        <x:v>Scene Family</x:v>
      </x:c>
      <x:c r="J1" s="5" t="str">
        <x:v>Counterfactual Pair</x:v>
      </x:c>
      <x:c r="K1" s="5" t="str">
        <x:v>Candidate Category</x:v>
      </x:c>
      <x:c r="L1" s="5" t="str">
        <x:v>Query Concept</x:v>
      </x:c>
      <x:c r="M1" s="5" t="str">
        <x:v>Object Count</x:v>
      </x:c>
      <x:c r="N1" s="5" t="str">
        <x:v>Comparison / Subtype</x:v>
      </x:c>
      <x:c r="O1" s="5" t="str">
        <x:v>Collection Block</x:v>
      </x:c>
      <x:c r="P1" s="5" t="str">
        <x:v>Setup Change from Previous</x:v>
      </x:c>
      <x:c r="Q1" s="5" t="str">
        <x:v>Design Note</x:v>
      </x:c>
      <x:c r="R1" s="5" t="str">
        <x:v>Reference Media Filename</x:v>
      </x:c>
    </x:row>
    <x:row r="2" ht="66" customHeight="1">
      <x:c r="A2" s="9" t="str">
        <x:v>Not collected</x:v>
      </x:c>
      <x:c r="B2" s="9" t="n">
        <x:v>0</x:v>
      </x:c>
      <x:c r="C2" s="10" t="str">
        <x:v>Pick up the crushed soda can furthest from the green pen and place it in the bowl.</x:v>
      </x:c>
      <x:c r="D2" s="10" t="str">
        <x:v>P1 green pen at R1 (table center) [REFERENCE]; P2 crushed Coke can with 6 cm edge gap to the left of P1 [CLOSE CANDIDATE]; P3 crushed Pepsi can with 20 cm edge gap to the right of P1 [FAR CANDIDATE]</x:v>
      </x:c>
      <x:c r="E2" s="9"/>
      <x:c r="F2" s="9" t="str">
        <x:v>crushed Pepsi can</x:v>
      </x:c>
      <x:c r="G2" s="10"/>
      <x:c r="H2" s="9" t="str">
        <x:v>Concept/compositional transfer</x:v>
      </x:c>
      <x:c r="I2" s="9" t="str">
        <x:v>RD-CF01A</x:v>
      </x:c>
      <x:c r="J2" s="9" t="str">
        <x:v>RD-CF01</x:v>
      </x:c>
      <x:c r="K2" s="9" t="str">
        <x:v>crushed soda can</x:v>
      </x:c>
      <x:c r="L2" s="9" t="str">
        <x:v>furthest</x:v>
      </x:c>
      <x:c r="M2" s="9" t="n">
        <x:v>3</x:v>
      </x:c>
      <x:c r="N2" s="9" t="str">
        <x:v>1 — Canonical transfer — Held-out furthest concept with same-category candidates</x:v>
      </x:c>
      <x:c r="O2" s="9" t="n">
        <x:v>1</x:v>
      </x:c>
      <x:c r="P2" s="10" t="str">
        <x:v>Build counterfactual scene A and save a first-frame filename.</x:v>
      </x:c>
      <x:c r="Q2" s="10" t="str">
        <x:v>Furthest/farthest language is absent from fine-tuning. The A/B scene pair swaps which physical identity is far, preventing identity preference from solving both.</x:v>
      </x:c>
      <x:c r="R2" s="10"/>
    </x:row>
    <x:row r="3" ht="66" customHeight="1">
      <x:c r="A3" s="8" t="str">
        <x:v>Not collected</x:v>
      </x:c>
      <x:c r="B3" s="8" t="n">
        <x:v>1</x:v>
      </x:c>
      <x:c r="C3" s="7" t="str">
        <x:v>Pick up the crushed soda can farthest from the green pen and place it in the bowl.</x:v>
      </x:c>
      <x:c r="D3" s="7" t="str">
        <x:v>P1 green pen at R1 (table center) [REFERENCE]; P2 crushed Coke can with 6 cm edge gap to the left of P1 [CLOSE CANDIDATE]; P3 crushed Pepsi can with 20 cm edge gap to the right of P1 [FAR CANDIDATE]</x:v>
      </x:c>
      <x:c r="E3" s="8" t="n">
        <x:v>0</x:v>
      </x:c>
      <x:c r="F3" s="8" t="str">
        <x:v>crushed Pepsi can</x:v>
      </x:c>
      <x:c r="G3" s="7"/>
      <x:c r="H3" s="8" t="str">
        <x:v>Language robustness</x:v>
      </x:c>
      <x:c r="I3" s="8" t="str">
        <x:v>RD-CF01A</x:v>
      </x:c>
      <x:c r="J3" s="8" t="str">
        <x:v>RD-CF01</x:v>
      </x:c>
      <x:c r="K3" s="8" t="str">
        <x:v>crushed soda can</x:v>
      </x:c>
      <x:c r="L3" s="8" t="str">
        <x:v>furthest paraphrase</x:v>
      </x:c>
      <x:c r="M3" s="8" t="n">
        <x:v>3</x:v>
      </x:c>
      <x:c r="N3" s="8" t="str">
        <x:v>2 — Exact-scene transfer paraphrase — Paraphrase of furthest-transfer prompt</x:v>
      </x:c>
      <x:c r="O3" s="8" t="n">
        <x:v>1</x:v>
      </x:c>
      <x:c r="P3" s="7" t="str">
        <x:v>Reset only the far candidate to P3; change only the prompt wording.</x:v>
      </x:c>
      <x:c r="Q3" s="7" t="str">
        <x:v>Exact-scene language comparison for the held-out distance concept.</x:v>
      </x:c>
      <x:c r="R3" s="7"/>
    </x:row>
    <x:row r="4" ht="66" customHeight="1">
      <x:c r="A4" s="8" t="str">
        <x:v>Not collected</x:v>
      </x:c>
      <x:c r="B4" s="8" t="n">
        <x:v>2</x:v>
      </x:c>
      <x:c r="C4" s="7" t="str">
        <x:v>Put the crushed Pepsi can in the bowl.</x:v>
      </x:c>
      <x:c r="D4" s="7" t="str">
        <x:v>P1 green pen at R1 (table center) [REFERENCE]; P2 crushed Coke can with 6 cm edge gap to the left of P1 [CLOSE CANDIDATE]; P3 crushed Pepsi can with 20 cm edge gap to the right of P1 [FAR CANDIDATE]</x:v>
      </x:c>
      <x:c r="E4" s="8" t="n">
        <x:v>0</x:v>
      </x:c>
      <x:c r="F4" s="8" t="str">
        <x:v>crushed Pepsi can</x:v>
      </x:c>
      <x:c r="G4" s="7"/>
      <x:c r="H4" s="8" t="str">
        <x:v>Matched manipulation control</x:v>
      </x:c>
      <x:c r="I4" s="8" t="str">
        <x:v>RD-CF01A</x:v>
      </x:c>
      <x:c r="J4" s="8" t="str">
        <x:v>RD-CF01</x:v>
      </x:c>
      <x:c r="K4" s="8" t="str">
        <x:v>crushed soda can</x:v>
      </x:c>
      <x:c r="L4" s="8" t="str">
        <x:v>direct name</x:v>
      </x:c>
      <x:c r="M4" s="8" t="n">
        <x:v>3</x:v>
      </x:c>
      <x:c r="N4" s="8" t="str">
        <x:v>3 — Matched control — Direct-name control on identical target and trajectory</x:v>
      </x:c>
      <x:c r="O4" s="8" t="n">
        <x:v>1</x:v>
      </x:c>
      <x:c r="P4" s="7" t="str">
        <x:v>Reset only the far candidate to P3. Keep the full scene exact; replace the relational instruction with the target's direct name.</x:v>
      </x:c>
      <x:c r="Q4" s="7" t="str">
        <x:v>This is a true endpoint-matched manipulation control: scene, target identity, start pose and required trajectory match the furthest trial.</x:v>
      </x:c>
      <x:c r="R4" s="7"/>
    </x:row>
    <x:row r="5" ht="66" customHeight="1">
      <x:c r="A5" s="9" t="str">
        <x:v>Not collected</x:v>
      </x:c>
      <x:c r="B5" s="9" t="n">
        <x:v>3</x:v>
      </x:c>
      <x:c r="C5" s="10" t="str">
        <x:v>Pick up the crushed soda can furthest from the green pen and place it in the bowl.</x:v>
      </x:c>
      <x:c r="D5" s="10" t="str">
        <x:v>P1 green pen at R1 (table center) [REFERENCE]; P2 crushed Pepsi can with 6 cm edge gap to the left of P1 [CLOSE CANDIDATE]; P3 crushed Coke can with 20 cm edge gap to the right of P1 [FAR CANDIDATE]</x:v>
      </x:c>
      <x:c r="E5" s="9"/>
      <x:c r="F5" s="9" t="str">
        <x:v>crushed Coke can</x:v>
      </x:c>
      <x:c r="G5" s="10"/>
      <x:c r="H5" s="9" t="str">
        <x:v>Concept/compositional transfer</x:v>
      </x:c>
      <x:c r="I5" s="9" t="str">
        <x:v>RD-CF01B</x:v>
      </x:c>
      <x:c r="J5" s="9" t="str">
        <x:v>RD-CF01</x:v>
      </x:c>
      <x:c r="K5" s="9" t="str">
        <x:v>crushed soda can</x:v>
      </x:c>
      <x:c r="L5" s="9" t="str">
        <x:v>furthest</x:v>
      </x:c>
      <x:c r="M5" s="9" t="n">
        <x:v>3</x:v>
      </x:c>
      <x:c r="N5" s="9" t="str">
        <x:v>1 — Canonical transfer — Held-out furthest concept with same-category candidates</x:v>
      </x:c>
      <x:c r="O5" s="9" t="n">
        <x:v>2</x:v>
      </x:c>
      <x:c r="P5" s="10" t="str">
        <x:v>From scene A, swap only the P2/P3 candidate identities; keep reference, distractors, camera and distances fixed. Save the new first frame.</x:v>
      </x:c>
      <x:c r="Q5" s="10" t="str">
        <x:v>Furthest/farthest language is absent from fine-tuning. The A/B scene pair swaps which physical identity is far, preventing identity preference from solving both.</x:v>
      </x:c>
      <x:c r="R5" s="10"/>
    </x:row>
    <x:row r="6" ht="66" customHeight="1">
      <x:c r="A6" s="8" t="str">
        <x:v>Not collected</x:v>
      </x:c>
      <x:c r="B6" s="8" t="n">
        <x:v>4</x:v>
      </x:c>
      <x:c r="C6" s="7" t="str">
        <x:v>Move the crushed soda can that is most distant from the green pen into the bowl.</x:v>
      </x:c>
      <x:c r="D6" s="7" t="str">
        <x:v>P1 green pen at R1 (table center) [REFERENCE]; P2 crushed Pepsi can with 6 cm edge gap to the left of P1 [CLOSE CANDIDATE]; P3 crushed Coke can with 20 cm edge gap to the right of P1 [FAR CANDIDATE]</x:v>
      </x:c>
      <x:c r="E6" s="8" t="n">
        <x:v>3</x:v>
      </x:c>
      <x:c r="F6" s="8" t="str">
        <x:v>crushed Coke can</x:v>
      </x:c>
      <x:c r="G6" s="7"/>
      <x:c r="H6" s="8" t="str">
        <x:v>Language robustness</x:v>
      </x:c>
      <x:c r="I6" s="8" t="str">
        <x:v>RD-CF01B</x:v>
      </x:c>
      <x:c r="J6" s="8" t="str">
        <x:v>RD-CF01</x:v>
      </x:c>
      <x:c r="K6" s="8" t="str">
        <x:v>crushed soda can</x:v>
      </x:c>
      <x:c r="L6" s="8" t="str">
        <x:v>furthest paraphrase</x:v>
      </x:c>
      <x:c r="M6" s="8" t="n">
        <x:v>3</x:v>
      </x:c>
      <x:c r="N6" s="8" t="str">
        <x:v>2 — Exact-scene transfer paraphrase — Paraphrase of furthest-transfer prompt</x:v>
      </x:c>
      <x:c r="O6" s="8" t="n">
        <x:v>2</x:v>
      </x:c>
      <x:c r="P6" s="7" t="str">
        <x:v>Reset only the far candidate to P3; change only the prompt wording.</x:v>
      </x:c>
      <x:c r="Q6" s="7" t="str">
        <x:v>Exact-scene language comparison for the held-out distance concept.</x:v>
      </x:c>
      <x:c r="R6" s="7"/>
    </x:row>
    <x:row r="7" ht="66" customHeight="1">
      <x:c r="A7" s="8" t="str">
        <x:v>Not collected</x:v>
      </x:c>
      <x:c r="B7" s="8" t="n">
        <x:v>5</x:v>
      </x:c>
      <x:c r="C7" s="7" t="str">
        <x:v>Move the crushed Coke can into the bowl.</x:v>
      </x:c>
      <x:c r="D7" s="7" t="str">
        <x:v>P1 green pen at R1 (table center) [REFERENCE]; P2 crushed Pepsi can with 6 cm edge gap to the left of P1 [CLOSE CANDIDATE]; P3 crushed Coke can with 20 cm edge gap to the right of P1 [FAR CANDIDATE]</x:v>
      </x:c>
      <x:c r="E7" s="8" t="n">
        <x:v>3</x:v>
      </x:c>
      <x:c r="F7" s="8" t="str">
        <x:v>crushed Coke can</x:v>
      </x:c>
      <x:c r="G7" s="7"/>
      <x:c r="H7" s="8" t="str">
        <x:v>Matched manipulation control</x:v>
      </x:c>
      <x:c r="I7" s="8" t="str">
        <x:v>RD-CF01B</x:v>
      </x:c>
      <x:c r="J7" s="8" t="str">
        <x:v>RD-CF01</x:v>
      </x:c>
      <x:c r="K7" s="8" t="str">
        <x:v>crushed soda can</x:v>
      </x:c>
      <x:c r="L7" s="8" t="str">
        <x:v>direct name</x:v>
      </x:c>
      <x:c r="M7" s="8" t="n">
        <x:v>3</x:v>
      </x:c>
      <x:c r="N7" s="8" t="str">
        <x:v>3 — Matched control — Direct-name control on identical target and trajectory</x:v>
      </x:c>
      <x:c r="O7" s="8" t="n">
        <x:v>2</x:v>
      </x:c>
      <x:c r="P7" s="7" t="str">
        <x:v>Reset only the far candidate to P3. Keep the full scene exact; replace the relational instruction with the target's direct name.</x:v>
      </x:c>
      <x:c r="Q7" s="7" t="str">
        <x:v>This is a true endpoint-matched manipulation control: scene, target identity, start pose and required trajectory match the furthest trial.</x:v>
      </x:c>
      <x:c r="R7" s="7"/>
    </x:row>
    <x:row r="8" ht="66" customHeight="1">
      <x:c r="A8" s="9" t="str">
        <x:v>Not collected</x:v>
      </x:c>
      <x:c r="B8" s="9" t="n">
        <x:v>6</x:v>
      </x:c>
      <x:c r="C8" s="10" t="str">
        <x:v>Pick up the pencil sharpener furthest from the yellow pen and place it in the bowl.</x:v>
      </x:c>
      <x:c r="D8" s="10" t="str">
        <x:v>P1 yellow pen at R2 (5 cm left of center) [REFERENCE]; P2 red pencil sharpener with 6 cm edge gap to the right of P1 [CLOSE CANDIDATE]; P3 green pencil sharpener with 20 cm edge gap to the left of P1 [FAR CANDIDATE]</x:v>
      </x:c>
      <x:c r="E8" s="9"/>
      <x:c r="F8" s="9" t="str">
        <x:v>green pencil sharpener</x:v>
      </x:c>
      <x:c r="G8" s="10"/>
      <x:c r="H8" s="9" t="str">
        <x:v>Concept/compositional transfer</x:v>
      </x:c>
      <x:c r="I8" s="9" t="str">
        <x:v>RD-CF02A</x:v>
      </x:c>
      <x:c r="J8" s="9" t="str">
        <x:v>RD-CF02</x:v>
      </x:c>
      <x:c r="K8" s="9" t="str">
        <x:v>pencil sharpener</x:v>
      </x:c>
      <x:c r="L8" s="9" t="str">
        <x:v>furthest</x:v>
      </x:c>
      <x:c r="M8" s="9" t="n">
        <x:v>3</x:v>
      </x:c>
      <x:c r="N8" s="9" t="str">
        <x:v>1 — Canonical transfer — Held-out furthest concept with same-category candidates</x:v>
      </x:c>
      <x:c r="O8" s="9" t="n">
        <x:v>3</x:v>
      </x:c>
      <x:c r="P8" s="10" t="str">
        <x:v>Build counterfactual scene A and save a first-frame filename.</x:v>
      </x:c>
      <x:c r="Q8" s="10" t="str">
        <x:v>Furthest/farthest language is absent from fine-tuning. The A/B scene pair swaps which physical identity is far, preventing identity preference from solving both.</x:v>
      </x:c>
      <x:c r="R8" s="10"/>
    </x:row>
    <x:row r="9" ht="66" customHeight="1">
      <x:c r="A9" s="8" t="str">
        <x:v>Not collected</x:v>
      </x:c>
      <x:c r="B9" s="8" t="n">
        <x:v>7</x:v>
      </x:c>
      <x:c r="C9" s="7" t="str">
        <x:v>Choose whichever pencil sharpener is farther away from the yellow pen and put it in the bowl.</x:v>
      </x:c>
      <x:c r="D9" s="7" t="str">
        <x:v>P1 yellow pen at R2 (5 cm left of center) [REFERENCE]; P2 red pencil sharpener with 6 cm edge gap to the right of P1 [CLOSE CANDIDATE]; P3 green pencil sharpener with 20 cm edge gap to the left of P1 [FAR CANDIDATE]</x:v>
      </x:c>
      <x:c r="E9" s="8" t="n">
        <x:v>6</x:v>
      </x:c>
      <x:c r="F9" s="8" t="str">
        <x:v>green pencil sharpener</x:v>
      </x:c>
      <x:c r="G9" s="7"/>
      <x:c r="H9" s="8" t="str">
        <x:v>Language robustness</x:v>
      </x:c>
      <x:c r="I9" s="8" t="str">
        <x:v>RD-CF02A</x:v>
      </x:c>
      <x:c r="J9" s="8" t="str">
        <x:v>RD-CF02</x:v>
      </x:c>
      <x:c r="K9" s="8" t="str">
        <x:v>pencil sharpener</x:v>
      </x:c>
      <x:c r="L9" s="8" t="str">
        <x:v>furthest paraphrase</x:v>
      </x:c>
      <x:c r="M9" s="8" t="n">
        <x:v>3</x:v>
      </x:c>
      <x:c r="N9" s="8" t="str">
        <x:v>2 — Exact-scene transfer paraphrase — Paraphrase of furthest-transfer prompt</x:v>
      </x:c>
      <x:c r="O9" s="8" t="n">
        <x:v>3</x:v>
      </x:c>
      <x:c r="P9" s="7" t="str">
        <x:v>Reset only the far candidate to P3; change only the prompt wording.</x:v>
      </x:c>
      <x:c r="Q9" s="7" t="str">
        <x:v>Exact-scene language comparison for the held-out distance concept.</x:v>
      </x:c>
      <x:c r="R9" s="7"/>
    </x:row>
    <x:row r="10" ht="66" customHeight="1">
      <x:c r="A10" s="8" t="str">
        <x:v>Not collected</x:v>
      </x:c>
      <x:c r="B10" s="8" t="n">
        <x:v>8</x:v>
      </x:c>
      <x:c r="C10" s="7" t="str">
        <x:v>Pick up the green pencil sharpener and place it in the bowl.</x:v>
      </x:c>
      <x:c r="D10" s="7" t="str">
        <x:v>P1 yellow pen at R2 (5 cm left of center) [REFERENCE]; P2 red pencil sharpener with 6 cm edge gap to the right of P1 [CLOSE CANDIDATE]; P3 green pencil sharpener with 20 cm edge gap to the left of P1 [FAR CANDIDATE]</x:v>
      </x:c>
      <x:c r="E10" s="8" t="n">
        <x:v>6</x:v>
      </x:c>
      <x:c r="F10" s="8" t="str">
        <x:v>green pencil sharpener</x:v>
      </x:c>
      <x:c r="G10" s="7"/>
      <x:c r="H10" s="8" t="str">
        <x:v>Matched manipulation control</x:v>
      </x:c>
      <x:c r="I10" s="8" t="str">
        <x:v>RD-CF02A</x:v>
      </x:c>
      <x:c r="J10" s="8" t="str">
        <x:v>RD-CF02</x:v>
      </x:c>
      <x:c r="K10" s="8" t="str">
        <x:v>pencil sharpener</x:v>
      </x:c>
      <x:c r="L10" s="8" t="str">
        <x:v>direct name</x:v>
      </x:c>
      <x:c r="M10" s="8" t="n">
        <x:v>3</x:v>
      </x:c>
      <x:c r="N10" s="8" t="str">
        <x:v>3 — Matched control — Direct-name control on identical target and trajectory</x:v>
      </x:c>
      <x:c r="O10" s="8" t="n">
        <x:v>3</x:v>
      </x:c>
      <x:c r="P10" s="7" t="str">
        <x:v>Reset only the far candidate to P3. Keep the full scene exact; replace the relational instruction with the target's direct name.</x:v>
      </x:c>
      <x:c r="Q10" s="7" t="str">
        <x:v>This is a true endpoint-matched manipulation control: scene, target identity, start pose and required trajectory match the furthest trial.</x:v>
      </x:c>
      <x:c r="R10" s="7"/>
    </x:row>
    <x:row r="11" ht="66" customHeight="1">
      <x:c r="A11" s="9" t="str">
        <x:v>Not collected</x:v>
      </x:c>
      <x:c r="B11" s="9" t="n">
        <x:v>9</x:v>
      </x:c>
      <x:c r="C11" s="10" t="str">
        <x:v>Pick up the pencil sharpener furthest from the yellow pen and place it in the bowl.</x:v>
      </x:c>
      <x:c r="D11" s="10" t="str">
        <x:v>P1 yellow pen at R2 (5 cm left of center) [REFERENCE]; P2 green pencil sharpener with 6 cm edge gap to the right of P1 [CLOSE CANDIDATE]; P3 red pencil sharpener with 20 cm edge gap to the left of P1 [FAR CANDIDATE]</x:v>
      </x:c>
      <x:c r="E11" s="9"/>
      <x:c r="F11" s="9" t="str">
        <x:v>red pencil sharpener</x:v>
      </x:c>
      <x:c r="G11" s="10"/>
      <x:c r="H11" s="9" t="str">
        <x:v>Concept/compositional transfer</x:v>
      </x:c>
      <x:c r="I11" s="9" t="str">
        <x:v>RD-CF02B</x:v>
      </x:c>
      <x:c r="J11" s="9" t="str">
        <x:v>RD-CF02</x:v>
      </x:c>
      <x:c r="K11" s="9" t="str">
        <x:v>pencil sharpener</x:v>
      </x:c>
      <x:c r="L11" s="9" t="str">
        <x:v>furthest</x:v>
      </x:c>
      <x:c r="M11" s="9" t="n">
        <x:v>3</x:v>
      </x:c>
      <x:c r="N11" s="9" t="str">
        <x:v>1 — Canonical transfer — Held-out furthest concept with same-category candidates</x:v>
      </x:c>
      <x:c r="O11" s="9" t="n">
        <x:v>4</x:v>
      </x:c>
      <x:c r="P11" s="10" t="str">
        <x:v>From scene A, swap only the P2/P3 candidate identities; keep reference, distractors, camera and distances fixed. Save the new first frame.</x:v>
      </x:c>
      <x:c r="Q11" s="10" t="str">
        <x:v>Furthest/farthest language is absent from fine-tuning. The A/B scene pair swaps which physical identity is far, preventing identity preference from solving both.</x:v>
      </x:c>
      <x:c r="R11" s="10"/>
    </x:row>
    <x:row r="12" ht="66" customHeight="1">
      <x:c r="A12" s="8" t="str">
        <x:v>Not collected</x:v>
      </x:c>
      <x:c r="B12" s="8" t="n">
        <x:v>10</x:v>
      </x:c>
      <x:c r="C12" s="7" t="str">
        <x:v>Place the pencil sharpener with the greatest distance from the yellow pen in the bowl.</x:v>
      </x:c>
      <x:c r="D12" s="7" t="str">
        <x:v>P1 yellow pen at R2 (5 cm left of center) [REFERENCE]; P2 green pencil sharpener with 6 cm edge gap to the right of P1 [CLOSE CANDIDATE]; P3 red pencil sharpener with 20 cm edge gap to the left of P1 [FAR CANDIDATE]</x:v>
      </x:c>
      <x:c r="E12" s="8" t="n">
        <x:v>9</x:v>
      </x:c>
      <x:c r="F12" s="8" t="str">
        <x:v>red pencil sharpener</x:v>
      </x:c>
      <x:c r="G12" s="7"/>
      <x:c r="H12" s="8" t="str">
        <x:v>Language robustness</x:v>
      </x:c>
      <x:c r="I12" s="8" t="str">
        <x:v>RD-CF02B</x:v>
      </x:c>
      <x:c r="J12" s="8" t="str">
        <x:v>RD-CF02</x:v>
      </x:c>
      <x:c r="K12" s="8" t="str">
        <x:v>pencil sharpener</x:v>
      </x:c>
      <x:c r="L12" s="8" t="str">
        <x:v>furthest paraphrase</x:v>
      </x:c>
      <x:c r="M12" s="8" t="n">
        <x:v>3</x:v>
      </x:c>
      <x:c r="N12" s="8" t="str">
        <x:v>2 — Exact-scene transfer paraphrase — Paraphrase of furthest-transfer prompt</x:v>
      </x:c>
      <x:c r="O12" s="8" t="n">
        <x:v>4</x:v>
      </x:c>
      <x:c r="P12" s="7" t="str">
        <x:v>Reset only the far candidate to P3; change only the prompt wording.</x:v>
      </x:c>
      <x:c r="Q12" s="7" t="str">
        <x:v>Exact-scene language comparison for the held-out distance concept.</x:v>
      </x:c>
      <x:c r="R12" s="7"/>
    </x:row>
    <x:row r="13" ht="66" customHeight="1">
      <x:c r="A13" s="8" t="str">
        <x:v>Not collected</x:v>
      </x:c>
      <x:c r="B13" s="8" t="n">
        <x:v>11</x:v>
      </x:c>
      <x:c r="C13" s="7" t="str">
        <x:v>Put the red pencil sharpener in the bowl.</x:v>
      </x:c>
      <x:c r="D13" s="7" t="str">
        <x:v>P1 yellow pen at R2 (5 cm left of center) [REFERENCE]; P2 green pencil sharpener with 6 cm edge gap to the right of P1 [CLOSE CANDIDATE]; P3 red pencil sharpener with 20 cm edge gap to the left of P1 [FAR CANDIDATE]</x:v>
      </x:c>
      <x:c r="E13" s="8" t="n">
        <x:v>9</x:v>
      </x:c>
      <x:c r="F13" s="8" t="str">
        <x:v>red pencil sharpener</x:v>
      </x:c>
      <x:c r="G13" s="7"/>
      <x:c r="H13" s="8" t="str">
        <x:v>Matched manipulation control</x:v>
      </x:c>
      <x:c r="I13" s="8" t="str">
        <x:v>RD-CF02B</x:v>
      </x:c>
      <x:c r="J13" s="8" t="str">
        <x:v>RD-CF02</x:v>
      </x:c>
      <x:c r="K13" s="8" t="str">
        <x:v>pencil sharpener</x:v>
      </x:c>
      <x:c r="L13" s="8" t="str">
        <x:v>direct name</x:v>
      </x:c>
      <x:c r="M13" s="8" t="n">
        <x:v>3</x:v>
      </x:c>
      <x:c r="N13" s="8" t="str">
        <x:v>3 — Matched control — Direct-name control on identical target and trajectory</x:v>
      </x:c>
      <x:c r="O13" s="8" t="n">
        <x:v>4</x:v>
      </x:c>
      <x:c r="P13" s="7" t="str">
        <x:v>Reset only the far candidate to P3. Keep the full scene exact; replace the relational instruction with the target's direct name.</x:v>
      </x:c>
      <x:c r="Q13" s="7" t="str">
        <x:v>This is a true endpoint-matched manipulation control: scene, target identity, start pose and required trajectory match the furthest trial.</x:v>
      </x:c>
      <x:c r="R13" s="7"/>
    </x:row>
    <x:row r="14" ht="66" customHeight="1">
      <x:c r="A14" s="9" t="str">
        <x:v>Not collected</x:v>
      </x:c>
      <x:c r="B14" s="9" t="n">
        <x:v>12</x:v>
      </x:c>
      <x:c r="C14" s="10" t="str">
        <x:v>Pick up the pen furthest from the green pencil sharpener and place it in the bowl.</x:v>
      </x:c>
      <x:c r="D14" s="10" t="str">
        <x:v>P1 green pencil sharpener at R3 (5 cm right of center) [REFERENCE]; P2 green pen with 6 cm edge gap in front of P1 [CLOSE CANDIDATE]; P3 yellow pen with 20 cm edge gap behind P1 [FAR CANDIDATE]</x:v>
      </x:c>
      <x:c r="E14" s="9"/>
      <x:c r="F14" s="9" t="str">
        <x:v>yellow pen</x:v>
      </x:c>
      <x:c r="G14" s="10"/>
      <x:c r="H14" s="9" t="str">
        <x:v>Concept/compositional transfer</x:v>
      </x:c>
      <x:c r="I14" s="9" t="str">
        <x:v>RD-CF03A</x:v>
      </x:c>
      <x:c r="J14" s="9" t="str">
        <x:v>RD-CF03</x:v>
      </x:c>
      <x:c r="K14" s="9" t="str">
        <x:v>pen</x:v>
      </x:c>
      <x:c r="L14" s="9" t="str">
        <x:v>furthest</x:v>
      </x:c>
      <x:c r="M14" s="9" t="n">
        <x:v>3</x:v>
      </x:c>
      <x:c r="N14" s="9" t="str">
        <x:v>1 — Canonical transfer — Held-out furthest concept with same-category candidates</x:v>
      </x:c>
      <x:c r="O14" s="9" t="n">
        <x:v>5</x:v>
      </x:c>
      <x:c r="P14" s="10" t="str">
        <x:v>Build counterfactual scene A and save a first-frame filename.</x:v>
      </x:c>
      <x:c r="Q14" s="10" t="str">
        <x:v>Furthest/farthest language is absent from fine-tuning. The A/B scene pair swaps which physical identity is far, preventing identity preference from solving both.</x:v>
      </x:c>
      <x:c r="R14" s="10"/>
    </x:row>
    <x:row r="15" ht="66" customHeight="1">
      <x:c r="A15" s="8" t="str">
        <x:v>Not collected</x:v>
      </x:c>
      <x:c r="B15" s="8" t="n">
        <x:v>13</x:v>
      </x:c>
      <x:c r="C15" s="7" t="str">
        <x:v>Of the two candidates, put the pen farther from the green pencil sharpener in the bowl.</x:v>
      </x:c>
      <x:c r="D15" s="7" t="str">
        <x:v>P1 green pencil sharpener at R3 (5 cm right of center) [REFERENCE]; P2 green pen with 6 cm edge gap in front of P1 [CLOSE CANDIDATE]; P3 yellow pen with 20 cm edge gap behind P1 [FAR CANDIDATE]</x:v>
      </x:c>
      <x:c r="E15" s="8" t="n">
        <x:v>12</x:v>
      </x:c>
      <x:c r="F15" s="8" t="str">
        <x:v>yellow pen</x:v>
      </x:c>
      <x:c r="G15" s="7"/>
      <x:c r="H15" s="8" t="str">
        <x:v>Language robustness</x:v>
      </x:c>
      <x:c r="I15" s="8" t="str">
        <x:v>RD-CF03A</x:v>
      </x:c>
      <x:c r="J15" s="8" t="str">
        <x:v>RD-CF03</x:v>
      </x:c>
      <x:c r="K15" s="8" t="str">
        <x:v>pen</x:v>
      </x:c>
      <x:c r="L15" s="8" t="str">
        <x:v>furthest paraphrase</x:v>
      </x:c>
      <x:c r="M15" s="8" t="n">
        <x:v>3</x:v>
      </x:c>
      <x:c r="N15" s="8" t="str">
        <x:v>2 — Exact-scene transfer paraphrase — Paraphrase of furthest-transfer prompt</x:v>
      </x:c>
      <x:c r="O15" s="8" t="n">
        <x:v>5</x:v>
      </x:c>
      <x:c r="P15" s="7" t="str">
        <x:v>Reset only the far candidate to P3; change only the prompt wording.</x:v>
      </x:c>
      <x:c r="Q15" s="7" t="str">
        <x:v>Exact-scene language comparison for the held-out distance concept.</x:v>
      </x:c>
      <x:c r="R15" s="7"/>
    </x:row>
    <x:row r="16" ht="66" customHeight="1">
      <x:c r="A16" s="8" t="str">
        <x:v>Not collected</x:v>
      </x:c>
      <x:c r="B16" s="8" t="n">
        <x:v>14</x:v>
      </x:c>
      <x:c r="C16" s="7" t="str">
        <x:v>Move the yellow pen into the bowl.</x:v>
      </x:c>
      <x:c r="D16" s="7" t="str">
        <x:v>P1 green pencil sharpener at R3 (5 cm right of center) [REFERENCE]; P2 green pen with 6 cm edge gap in front of P1 [CLOSE CANDIDATE]; P3 yellow pen with 20 cm edge gap behind P1 [FAR CANDIDATE]</x:v>
      </x:c>
      <x:c r="E16" s="8" t="n">
        <x:v>12</x:v>
      </x:c>
      <x:c r="F16" s="8" t="str">
        <x:v>yellow pen</x:v>
      </x:c>
      <x:c r="G16" s="7"/>
      <x:c r="H16" s="8" t="str">
        <x:v>Matched manipulation control</x:v>
      </x:c>
      <x:c r="I16" s="8" t="str">
        <x:v>RD-CF03A</x:v>
      </x:c>
      <x:c r="J16" s="8" t="str">
        <x:v>RD-CF03</x:v>
      </x:c>
      <x:c r="K16" s="8" t="str">
        <x:v>pen</x:v>
      </x:c>
      <x:c r="L16" s="8" t="str">
        <x:v>direct name</x:v>
      </x:c>
      <x:c r="M16" s="8" t="n">
        <x:v>3</x:v>
      </x:c>
      <x:c r="N16" s="8" t="str">
        <x:v>3 — Matched control — Direct-name control on identical target and trajectory</x:v>
      </x:c>
      <x:c r="O16" s="8" t="n">
        <x:v>5</x:v>
      </x:c>
      <x:c r="P16" s="7" t="str">
        <x:v>Reset only the far candidate to P3. Keep the full scene exact; replace the relational instruction with the target's direct name.</x:v>
      </x:c>
      <x:c r="Q16" s="7" t="str">
        <x:v>This is a true endpoint-matched manipulation control: scene, target identity, start pose and required trajectory match the furthest trial.</x:v>
      </x:c>
      <x:c r="R16" s="7"/>
    </x:row>
    <x:row r="17" ht="66" customHeight="1">
      <x:c r="A17" s="9" t="str">
        <x:v>Not collected</x:v>
      </x:c>
      <x:c r="B17" s="9" t="n">
        <x:v>15</x:v>
      </x:c>
      <x:c r="C17" s="10" t="str">
        <x:v>Pick up the pen furthest from the green pencil sharpener and place it in the bowl.</x:v>
      </x:c>
      <x:c r="D17" s="10" t="str">
        <x:v>P1 green pencil sharpener at R3 (5 cm right of center) [REFERENCE]; P2 yellow pen with 6 cm edge gap in front of P1 [CLOSE CANDIDATE]; P3 green pen with 20 cm edge gap behind P1 [FAR CANDIDATE]</x:v>
      </x:c>
      <x:c r="E17" s="9"/>
      <x:c r="F17" s="9" t="str">
        <x:v>green pen</x:v>
      </x:c>
      <x:c r="G17" s="10"/>
      <x:c r="H17" s="9" t="str">
        <x:v>Concept/compositional transfer</x:v>
      </x:c>
      <x:c r="I17" s="9" t="str">
        <x:v>RD-CF03B</x:v>
      </x:c>
      <x:c r="J17" s="9" t="str">
        <x:v>RD-CF03</x:v>
      </x:c>
      <x:c r="K17" s="9" t="str">
        <x:v>pen</x:v>
      </x:c>
      <x:c r="L17" s="9" t="str">
        <x:v>furthest</x:v>
      </x:c>
      <x:c r="M17" s="9" t="n">
        <x:v>3</x:v>
      </x:c>
      <x:c r="N17" s="9" t="str">
        <x:v>1 — Canonical transfer — Held-out furthest concept with same-category candidates</x:v>
      </x:c>
      <x:c r="O17" s="9" t="n">
        <x:v>6</x:v>
      </x:c>
      <x:c r="P17" s="10" t="str">
        <x:v>From scene A, swap only the P2/P3 candidate identities; keep reference, distractors, camera and distances fixed. Save the new first frame.</x:v>
      </x:c>
      <x:c r="Q17" s="10" t="str">
        <x:v>Furthest/farthest language is absent from fine-tuning. The A/B scene pair swaps which physical identity is far, preventing identity preference from solving both.</x:v>
      </x:c>
      <x:c r="R17" s="10"/>
    </x:row>
    <x:row r="18" ht="66" customHeight="1">
      <x:c r="A18" s="8" t="str">
        <x:v>Not collected</x:v>
      </x:c>
      <x:c r="B18" s="8" t="n">
        <x:v>16</x:v>
      </x:c>
      <x:c r="C18" s="7" t="str">
        <x:v>Pick up the pen farthest from the green pencil sharpener and place it in the bowl.</x:v>
      </x:c>
      <x:c r="D18" s="7" t="str">
        <x:v>P1 green pencil sharpener at R3 (5 cm right of center) [REFERENCE]; P2 yellow pen with 6 cm edge gap in front of P1 [CLOSE CANDIDATE]; P3 green pen with 20 cm edge gap behind P1 [FAR CANDIDATE]</x:v>
      </x:c>
      <x:c r="E18" s="8" t="n">
        <x:v>15</x:v>
      </x:c>
      <x:c r="F18" s="8" t="str">
        <x:v>green pen</x:v>
      </x:c>
      <x:c r="G18" s="7"/>
      <x:c r="H18" s="8" t="str">
        <x:v>Language robustness</x:v>
      </x:c>
      <x:c r="I18" s="8" t="str">
        <x:v>RD-CF03B</x:v>
      </x:c>
      <x:c r="J18" s="8" t="str">
        <x:v>RD-CF03</x:v>
      </x:c>
      <x:c r="K18" s="8" t="str">
        <x:v>pen</x:v>
      </x:c>
      <x:c r="L18" s="8" t="str">
        <x:v>furthest paraphrase</x:v>
      </x:c>
      <x:c r="M18" s="8" t="n">
        <x:v>3</x:v>
      </x:c>
      <x:c r="N18" s="8" t="str">
        <x:v>2 — Exact-scene transfer paraphrase — Paraphrase of furthest-transfer prompt</x:v>
      </x:c>
      <x:c r="O18" s="8" t="n">
        <x:v>6</x:v>
      </x:c>
      <x:c r="P18" s="7" t="str">
        <x:v>Reset only the far candidate to P3; change only the prompt wording.</x:v>
      </x:c>
      <x:c r="Q18" s="7" t="str">
        <x:v>Exact-scene language comparison for the held-out distance concept.</x:v>
      </x:c>
      <x:c r="R18" s="7"/>
    </x:row>
    <x:row r="19" ht="66" customHeight="1">
      <x:c r="A19" s="8" t="str">
        <x:v>Not collected</x:v>
      </x:c>
      <x:c r="B19" s="8" t="n">
        <x:v>17</x:v>
      </x:c>
      <x:c r="C19" s="7" t="str">
        <x:v>Pick up the green pen and place it in the bowl.</x:v>
      </x:c>
      <x:c r="D19" s="7" t="str">
        <x:v>P1 green pencil sharpener at R3 (5 cm right of center) [REFERENCE]; P2 yellow pen with 6 cm edge gap in front of P1 [CLOSE CANDIDATE]; P3 green pen with 20 cm edge gap behind P1 [FAR CANDIDATE]</x:v>
      </x:c>
      <x:c r="E19" s="8" t="n">
        <x:v>15</x:v>
      </x:c>
      <x:c r="F19" s="8" t="str">
        <x:v>green pen</x:v>
      </x:c>
      <x:c r="G19" s="7"/>
      <x:c r="H19" s="8" t="str">
        <x:v>Matched manipulation control</x:v>
      </x:c>
      <x:c r="I19" s="8" t="str">
        <x:v>RD-CF03B</x:v>
      </x:c>
      <x:c r="J19" s="8" t="str">
        <x:v>RD-CF03</x:v>
      </x:c>
      <x:c r="K19" s="8" t="str">
        <x:v>pen</x:v>
      </x:c>
      <x:c r="L19" s="8" t="str">
        <x:v>direct name</x:v>
      </x:c>
      <x:c r="M19" s="8" t="n">
        <x:v>3</x:v>
      </x:c>
      <x:c r="N19" s="8" t="str">
        <x:v>3 — Matched control — Direct-name control on identical target and trajectory</x:v>
      </x:c>
      <x:c r="O19" s="8" t="n">
        <x:v>6</x:v>
      </x:c>
      <x:c r="P19" s="7" t="str">
        <x:v>Reset only the far candidate to P3. Keep the full scene exact; replace the relational instruction with the target's direct name.</x:v>
      </x:c>
      <x:c r="Q19" s="7" t="str">
        <x:v>This is a true endpoint-matched manipulation control: scene, target identity, start pose and required trajectory match the furthest trial.</x:v>
      </x:c>
      <x:c r="R19" s="7"/>
    </x:row>
    <x:row r="20" ht="66" customHeight="1">
      <x:c r="A20" s="9" t="str">
        <x:v>Not collected</x:v>
      </x:c>
      <x:c r="B20" s="9" t="n">
        <x:v>18</x:v>
      </x:c>
      <x:c r="C20" s="10" t="str">
        <x:v>Pick up the airplane toy furthest from the red pencil sharpener and place it in the bowl.</x:v>
      </x:c>
      <x:c r="D20" s="10" t="str">
        <x:v>P1 red pencil sharpener at R4 (5 cm toward the robot from center) [REFERENCE]; P2 airplane toy without propellers with 6 cm edge gap behind P1 [CLOSE CANDIDATE]; P3 airplane toy with propellers with 20 cm edge gap in front of P1 [FAR CANDIDATE]</x:v>
      </x:c>
      <x:c r="E20" s="9"/>
      <x:c r="F20" s="9" t="str">
        <x:v>airplane toy with propellers</x:v>
      </x:c>
      <x:c r="G20" s="10"/>
      <x:c r="H20" s="9" t="str">
        <x:v>Concept/compositional transfer</x:v>
      </x:c>
      <x:c r="I20" s="9" t="str">
        <x:v>RD-CF04A</x:v>
      </x:c>
      <x:c r="J20" s="9" t="str">
        <x:v>RD-CF04</x:v>
      </x:c>
      <x:c r="K20" s="9" t="str">
        <x:v>airplane toy</x:v>
      </x:c>
      <x:c r="L20" s="9" t="str">
        <x:v>furthest</x:v>
      </x:c>
      <x:c r="M20" s="9" t="n">
        <x:v>3</x:v>
      </x:c>
      <x:c r="N20" s="9" t="str">
        <x:v>1 — Canonical transfer — Held-out furthest concept with same-category candidates</x:v>
      </x:c>
      <x:c r="O20" s="9" t="n">
        <x:v>7</x:v>
      </x:c>
      <x:c r="P20" s="10" t="str">
        <x:v>Build counterfactual scene A and save a first-frame filename.</x:v>
      </x:c>
      <x:c r="Q20" s="10" t="str">
        <x:v>Furthest/farthest language is absent from fine-tuning. The A/B scene pair swaps which physical identity is far, preventing identity preference from solving both.</x:v>
      </x:c>
      <x:c r="R20" s="10"/>
    </x:row>
    <x:row r="21" ht="66" customHeight="1">
      <x:c r="A21" s="8" t="str">
        <x:v>Not collected</x:v>
      </x:c>
      <x:c r="B21" s="8" t="n">
        <x:v>19</x:v>
      </x:c>
      <x:c r="C21" s="7" t="str">
        <x:v>Move the airplane toy that is most distant from the red pencil sharpener into the bowl.</x:v>
      </x:c>
      <x:c r="D21" s="7" t="str">
        <x:v>P1 red pencil sharpener at R4 (5 cm toward the robot from center) [REFERENCE]; P2 airplane toy without propellers with 6 cm edge gap behind P1 [CLOSE CANDIDATE]; P3 airplane toy with propellers with 20 cm edge gap in front of P1 [FAR CANDIDATE]</x:v>
      </x:c>
      <x:c r="E21" s="8" t="n">
        <x:v>18</x:v>
      </x:c>
      <x:c r="F21" s="8" t="str">
        <x:v>airplane toy with propellers</x:v>
      </x:c>
      <x:c r="G21" s="7"/>
      <x:c r="H21" s="8" t="str">
        <x:v>Language robustness</x:v>
      </x:c>
      <x:c r="I21" s="8" t="str">
        <x:v>RD-CF04A</x:v>
      </x:c>
      <x:c r="J21" s="8" t="str">
        <x:v>RD-CF04</x:v>
      </x:c>
      <x:c r="K21" s="8" t="str">
        <x:v>airplane toy</x:v>
      </x:c>
      <x:c r="L21" s="8" t="str">
        <x:v>furthest paraphrase</x:v>
      </x:c>
      <x:c r="M21" s="8" t="n">
        <x:v>3</x:v>
      </x:c>
      <x:c r="N21" s="8" t="str">
        <x:v>2 — Exact-scene transfer paraphrase — Paraphrase of furthest-transfer prompt</x:v>
      </x:c>
      <x:c r="O21" s="8" t="n">
        <x:v>7</x:v>
      </x:c>
      <x:c r="P21" s="7" t="str">
        <x:v>Reset only the far candidate to P3; change only the prompt wording.</x:v>
      </x:c>
      <x:c r="Q21" s="7" t="str">
        <x:v>Exact-scene language comparison for the held-out distance concept.</x:v>
      </x:c>
      <x:c r="R21" s="7"/>
    </x:row>
    <x:row r="22" ht="66" customHeight="1">
      <x:c r="A22" s="8" t="str">
        <x:v>Not collected</x:v>
      </x:c>
      <x:c r="B22" s="8" t="n">
        <x:v>20</x:v>
      </x:c>
      <x:c r="C22" s="7" t="str">
        <x:v>Put the airplane toy with propellers in the bowl.</x:v>
      </x:c>
      <x:c r="D22" s="7" t="str">
        <x:v>P1 red pencil sharpener at R4 (5 cm toward the robot from center) [REFERENCE]; P2 airplane toy without propellers with 6 cm edge gap behind P1 [CLOSE CANDIDATE]; P3 airplane toy with propellers with 20 cm edge gap in front of P1 [FAR CANDIDATE]</x:v>
      </x:c>
      <x:c r="E22" s="8" t="n">
        <x:v>18</x:v>
      </x:c>
      <x:c r="F22" s="8" t="str">
        <x:v>airplane toy with propellers</x:v>
      </x:c>
      <x:c r="G22" s="7"/>
      <x:c r="H22" s="8" t="str">
        <x:v>Matched manipulation control</x:v>
      </x:c>
      <x:c r="I22" s="8" t="str">
        <x:v>RD-CF04A</x:v>
      </x:c>
      <x:c r="J22" s="8" t="str">
        <x:v>RD-CF04</x:v>
      </x:c>
      <x:c r="K22" s="8" t="str">
        <x:v>airplane toy</x:v>
      </x:c>
      <x:c r="L22" s="8" t="str">
        <x:v>direct name</x:v>
      </x:c>
      <x:c r="M22" s="8" t="n">
        <x:v>3</x:v>
      </x:c>
      <x:c r="N22" s="8" t="str">
        <x:v>3 — Matched control — Direct-name control on identical target and trajectory</x:v>
      </x:c>
      <x:c r="O22" s="8" t="n">
        <x:v>7</x:v>
      </x:c>
      <x:c r="P22" s="7" t="str">
        <x:v>Reset only the far candidate to P3. Keep the full scene exact; replace the relational instruction with the target's direct name.</x:v>
      </x:c>
      <x:c r="Q22" s="7" t="str">
        <x:v>This is a true endpoint-matched manipulation control: scene, target identity, start pose and required trajectory match the furthest trial.</x:v>
      </x:c>
      <x:c r="R22" s="7"/>
    </x:row>
    <x:row r="23" ht="66" customHeight="1">
      <x:c r="A23" s="9" t="str">
        <x:v>Not collected</x:v>
      </x:c>
      <x:c r="B23" s="9" t="n">
        <x:v>21</x:v>
      </x:c>
      <x:c r="C23" s="10" t="str">
        <x:v>Pick up the airplane toy furthest from the red pencil sharpener and place it in the bowl.</x:v>
      </x:c>
      <x:c r="D23" s="10" t="str">
        <x:v>P1 red pencil sharpener at R4 (5 cm toward the robot from center) [REFERENCE]; P2 airplane toy with propellers with 6 cm edge gap behind P1 [CLOSE CANDIDATE]; P3 airplane toy without propellers with 20 cm edge gap in front of P1 [FAR CANDIDATE]</x:v>
      </x:c>
      <x:c r="E23" s="9"/>
      <x:c r="F23" s="9" t="str">
        <x:v>airplane toy without propellers</x:v>
      </x:c>
      <x:c r="G23" s="10"/>
      <x:c r="H23" s="9" t="str">
        <x:v>Concept/compositional transfer</x:v>
      </x:c>
      <x:c r="I23" s="9" t="str">
        <x:v>RD-CF04B</x:v>
      </x:c>
      <x:c r="J23" s="9" t="str">
        <x:v>RD-CF04</x:v>
      </x:c>
      <x:c r="K23" s="9" t="str">
        <x:v>airplane toy</x:v>
      </x:c>
      <x:c r="L23" s="9" t="str">
        <x:v>furthest</x:v>
      </x:c>
      <x:c r="M23" s="9" t="n">
        <x:v>3</x:v>
      </x:c>
      <x:c r="N23" s="9" t="str">
        <x:v>1 — Canonical transfer — Held-out furthest concept with same-category candidates</x:v>
      </x:c>
      <x:c r="O23" s="9" t="n">
        <x:v>8</x:v>
      </x:c>
      <x:c r="P23" s="10" t="str">
        <x:v>From scene A, swap only the P2/P3 candidate identities; keep reference, distractors, camera and distances fixed. Save the new first frame.</x:v>
      </x:c>
      <x:c r="Q23" s="10" t="str">
        <x:v>Furthest/farthest language is absent from fine-tuning. The A/B scene pair swaps which physical identity is far, preventing identity preference from solving both.</x:v>
      </x:c>
      <x:c r="R23" s="10"/>
    </x:row>
    <x:row r="24" ht="66" customHeight="1">
      <x:c r="A24" s="8" t="str">
        <x:v>Not collected</x:v>
      </x:c>
      <x:c r="B24" s="8" t="n">
        <x:v>22</x:v>
      </x:c>
      <x:c r="C24" s="7" t="str">
        <x:v>Choose whichever airplane toy is farther away from the red pencil sharpener and put it in the bowl.</x:v>
      </x:c>
      <x:c r="D24" s="7" t="str">
        <x:v>P1 red pencil sharpener at R4 (5 cm toward the robot from center) [REFERENCE]; P2 airplane toy with propellers with 6 cm edge gap behind P1 [CLOSE CANDIDATE]; P3 airplane toy without propellers with 20 cm edge gap in front of P1 [FAR CANDIDATE]</x:v>
      </x:c>
      <x:c r="E24" s="8" t="n">
        <x:v>21</x:v>
      </x:c>
      <x:c r="F24" s="8" t="str">
        <x:v>airplane toy without propellers</x:v>
      </x:c>
      <x:c r="G24" s="7"/>
      <x:c r="H24" s="8" t="str">
        <x:v>Language robustness</x:v>
      </x:c>
      <x:c r="I24" s="8" t="str">
        <x:v>RD-CF04B</x:v>
      </x:c>
      <x:c r="J24" s="8" t="str">
        <x:v>RD-CF04</x:v>
      </x:c>
      <x:c r="K24" s="8" t="str">
        <x:v>airplane toy</x:v>
      </x:c>
      <x:c r="L24" s="8" t="str">
        <x:v>furthest paraphrase</x:v>
      </x:c>
      <x:c r="M24" s="8" t="n">
        <x:v>3</x:v>
      </x:c>
      <x:c r="N24" s="8" t="str">
        <x:v>2 — Exact-scene transfer paraphrase — Paraphrase of furthest-transfer prompt</x:v>
      </x:c>
      <x:c r="O24" s="8" t="n">
        <x:v>8</x:v>
      </x:c>
      <x:c r="P24" s="7" t="str">
        <x:v>Reset only the far candidate to P3; change only the prompt wording.</x:v>
      </x:c>
      <x:c r="Q24" s="7" t="str">
        <x:v>Exact-scene language comparison for the held-out distance concept.</x:v>
      </x:c>
      <x:c r="R24" s="7"/>
    </x:row>
    <x:row r="25" ht="66" customHeight="1">
      <x:c r="A25" s="8" t="str">
        <x:v>Not collected</x:v>
      </x:c>
      <x:c r="B25" s="8" t="n">
        <x:v>23</x:v>
      </x:c>
      <x:c r="C25" s="7" t="str">
        <x:v>Move the airplane toy without propellers into the bowl.</x:v>
      </x:c>
      <x:c r="D25" s="7" t="str">
        <x:v>P1 red pencil sharpener at R4 (5 cm toward the robot from center) [REFERENCE]; P2 airplane toy with propellers with 6 cm edge gap behind P1 [CLOSE CANDIDATE]; P3 airplane toy without propellers with 20 cm edge gap in front of P1 [FAR CANDIDATE]</x:v>
      </x:c>
      <x:c r="E25" s="8" t="n">
        <x:v>21</x:v>
      </x:c>
      <x:c r="F25" s="8" t="str">
        <x:v>airplane toy without propellers</x:v>
      </x:c>
      <x:c r="G25" s="7"/>
      <x:c r="H25" s="8" t="str">
        <x:v>Matched manipulation control</x:v>
      </x:c>
      <x:c r="I25" s="8" t="str">
        <x:v>RD-CF04B</x:v>
      </x:c>
      <x:c r="J25" s="8" t="str">
        <x:v>RD-CF04</x:v>
      </x:c>
      <x:c r="K25" s="8" t="str">
        <x:v>airplane toy</x:v>
      </x:c>
      <x:c r="L25" s="8" t="str">
        <x:v>direct name</x:v>
      </x:c>
      <x:c r="M25" s="8" t="n">
        <x:v>3</x:v>
      </x:c>
      <x:c r="N25" s="8" t="str">
        <x:v>3 — Matched control — Direct-name control on identical target and trajectory</x:v>
      </x:c>
      <x:c r="O25" s="8" t="n">
        <x:v>8</x:v>
      </x:c>
      <x:c r="P25" s="7" t="str">
        <x:v>Reset only the far candidate to P3. Keep the full scene exact; replace the relational instruction with the target's direct name.</x:v>
      </x:c>
      <x:c r="Q25" s="7" t="str">
        <x:v>This is a true endpoint-matched manipulation control: scene, target identity, start pose and required trajectory match the furthest trial.</x:v>
      </x:c>
      <x:c r="R25" s="7"/>
    </x:row>
    <x:row r="26" ht="66" customHeight="1">
      <x:c r="A26" s="9" t="str">
        <x:v>Not collected</x:v>
      </x:c>
      <x:c r="B26" s="9" t="n">
        <x:v>24</x:v>
      </x:c>
      <x:c r="C26" s="10" t="str">
        <x:v>Pick up the crushed soda can furthest from the airplane toy with propellers and place it in the bowl.</x:v>
      </x:c>
      <x:c r="D26" s="10" t="str">
        <x:v>P1 airplane toy with propellers at R5 (5 cm away from the robot from center) [REFERENCE]; P2 crushed Coke can with 6 cm edge gap to the left of P1 [CLOSE CANDIDATE]; P3 crushed Pepsi can with 20 cm edge gap to the right of P1 [FAR CANDIDATE]</x:v>
      </x:c>
      <x:c r="E26" s="9"/>
      <x:c r="F26" s="9" t="str">
        <x:v>crushed Pepsi can</x:v>
      </x:c>
      <x:c r="G26" s="10"/>
      <x:c r="H26" s="9" t="str">
        <x:v>Concept/compositional transfer</x:v>
      </x:c>
      <x:c r="I26" s="9" t="str">
        <x:v>RD-CF05A</x:v>
      </x:c>
      <x:c r="J26" s="9" t="str">
        <x:v>RD-CF05</x:v>
      </x:c>
      <x:c r="K26" s="9" t="str">
        <x:v>crushed soda can</x:v>
      </x:c>
      <x:c r="L26" s="9" t="str">
        <x:v>furthest</x:v>
      </x:c>
      <x:c r="M26" s="9" t="n">
        <x:v>3</x:v>
      </x:c>
      <x:c r="N26" s="9" t="str">
        <x:v>1 — Canonical transfer — Held-out furthest concept with same-category candidates</x:v>
      </x:c>
      <x:c r="O26" s="9" t="n">
        <x:v>9</x:v>
      </x:c>
      <x:c r="P26" s="10" t="str">
        <x:v>Build counterfactual scene A and save a first-frame filename.</x:v>
      </x:c>
      <x:c r="Q26" s="10" t="str">
        <x:v>Furthest/farthest language is absent from fine-tuning. The A/B scene pair swaps which physical identity is far, preventing identity preference from solving both.</x:v>
      </x:c>
      <x:c r="R26" s="10"/>
    </x:row>
    <x:row r="27" ht="66" customHeight="1">
      <x:c r="A27" s="8" t="str">
        <x:v>Not collected</x:v>
      </x:c>
      <x:c r="B27" s="8" t="n">
        <x:v>25</x:v>
      </x:c>
      <x:c r="C27" s="7" t="str">
        <x:v>Place the crushed soda can with the greatest distance from the airplane toy with propellers in the bowl.</x:v>
      </x:c>
      <x:c r="D27" s="7" t="str">
        <x:v>P1 airplane toy with propellers at R5 (5 cm away from the robot from center) [REFERENCE]; P2 crushed Coke can with 6 cm edge gap to the left of P1 [CLOSE CANDIDATE]; P3 crushed Pepsi can with 20 cm edge gap to the right of P1 [FAR CANDIDATE]</x:v>
      </x:c>
      <x:c r="E27" s="8" t="n">
        <x:v>24</x:v>
      </x:c>
      <x:c r="F27" s="8" t="str">
        <x:v>crushed Pepsi can</x:v>
      </x:c>
      <x:c r="G27" s="7"/>
      <x:c r="H27" s="8" t="str">
        <x:v>Language robustness</x:v>
      </x:c>
      <x:c r="I27" s="8" t="str">
        <x:v>RD-CF05A</x:v>
      </x:c>
      <x:c r="J27" s="8" t="str">
        <x:v>RD-CF05</x:v>
      </x:c>
      <x:c r="K27" s="8" t="str">
        <x:v>crushed soda can</x:v>
      </x:c>
      <x:c r="L27" s="8" t="str">
        <x:v>furthest paraphrase</x:v>
      </x:c>
      <x:c r="M27" s="8" t="n">
        <x:v>3</x:v>
      </x:c>
      <x:c r="N27" s="8" t="str">
        <x:v>2 — Exact-scene transfer paraphrase — Paraphrase of furthest-transfer prompt</x:v>
      </x:c>
      <x:c r="O27" s="8" t="n">
        <x:v>9</x:v>
      </x:c>
      <x:c r="P27" s="7" t="str">
        <x:v>Reset only the far candidate to P3; change only the prompt wording.</x:v>
      </x:c>
      <x:c r="Q27" s="7" t="str">
        <x:v>Exact-scene language comparison for the held-out distance concept.</x:v>
      </x:c>
      <x:c r="R27" s="7"/>
    </x:row>
    <x:row r="28" ht="66" customHeight="1">
      <x:c r="A28" s="8" t="str">
        <x:v>Not collected</x:v>
      </x:c>
      <x:c r="B28" s="8" t="n">
        <x:v>26</x:v>
      </x:c>
      <x:c r="C28" s="7" t="str">
        <x:v>Pick up the crushed Pepsi can and place it in the bowl.</x:v>
      </x:c>
      <x:c r="D28" s="7" t="str">
        <x:v>P1 airplane toy with propellers at R5 (5 cm away from the robot from center) [REFERENCE]; P2 crushed Coke can with 6 cm edge gap to the left of P1 [CLOSE CANDIDATE]; P3 crushed Pepsi can with 20 cm edge gap to the right of P1 [FAR CANDIDATE]</x:v>
      </x:c>
      <x:c r="E28" s="8" t="n">
        <x:v>24</x:v>
      </x:c>
      <x:c r="F28" s="8" t="str">
        <x:v>crushed Pepsi can</x:v>
      </x:c>
      <x:c r="G28" s="7"/>
      <x:c r="H28" s="8" t="str">
        <x:v>Matched manipulation control</x:v>
      </x:c>
      <x:c r="I28" s="8" t="str">
        <x:v>RD-CF05A</x:v>
      </x:c>
      <x:c r="J28" s="8" t="str">
        <x:v>RD-CF05</x:v>
      </x:c>
      <x:c r="K28" s="8" t="str">
        <x:v>crushed soda can</x:v>
      </x:c>
      <x:c r="L28" s="8" t="str">
        <x:v>direct name</x:v>
      </x:c>
      <x:c r="M28" s="8" t="n">
        <x:v>3</x:v>
      </x:c>
      <x:c r="N28" s="8" t="str">
        <x:v>3 — Matched control — Direct-name control on identical target and trajectory</x:v>
      </x:c>
      <x:c r="O28" s="8" t="n">
        <x:v>9</x:v>
      </x:c>
      <x:c r="P28" s="7" t="str">
        <x:v>Reset only the far candidate to P3. Keep the full scene exact; replace the relational instruction with the target's direct name.</x:v>
      </x:c>
      <x:c r="Q28" s="7" t="str">
        <x:v>This is a true endpoint-matched manipulation control: scene, target identity, start pose and required trajectory match the furthest trial.</x:v>
      </x:c>
      <x:c r="R28" s="7"/>
    </x:row>
    <x:row r="29" ht="66" customHeight="1">
      <x:c r="A29" s="9" t="str">
        <x:v>Not collected</x:v>
      </x:c>
      <x:c r="B29" s="9" t="n">
        <x:v>27</x:v>
      </x:c>
      <x:c r="C29" s="10" t="str">
        <x:v>Pick up the crushed soda can furthest from the airplane toy with propellers and place it in the bowl.</x:v>
      </x:c>
      <x:c r="D29" s="10" t="str">
        <x:v>P1 airplane toy with propellers at R5 (5 cm away from the robot from center) [REFERENCE]; P2 crushed Pepsi can with 6 cm edge gap to the left of P1 [CLOSE CANDIDATE]; P3 crushed Coke can with 20 cm edge gap to the right of P1 [FAR CANDIDATE]</x:v>
      </x:c>
      <x:c r="E29" s="9"/>
      <x:c r="F29" s="9" t="str">
        <x:v>crushed Coke can</x:v>
      </x:c>
      <x:c r="G29" s="10"/>
      <x:c r="H29" s="9" t="str">
        <x:v>Concept/compositional transfer</x:v>
      </x:c>
      <x:c r="I29" s="9" t="str">
        <x:v>RD-CF05B</x:v>
      </x:c>
      <x:c r="J29" s="9" t="str">
        <x:v>RD-CF05</x:v>
      </x:c>
      <x:c r="K29" s="9" t="str">
        <x:v>crushed soda can</x:v>
      </x:c>
      <x:c r="L29" s="9" t="str">
        <x:v>furthest</x:v>
      </x:c>
      <x:c r="M29" s="9" t="n">
        <x:v>3</x:v>
      </x:c>
      <x:c r="N29" s="9" t="str">
        <x:v>1 — Canonical transfer — Held-out furthest concept with same-category candidates</x:v>
      </x:c>
      <x:c r="O29" s="9" t="n">
        <x:v>10</x:v>
      </x:c>
      <x:c r="P29" s="10" t="str">
        <x:v>From scene A, swap only the P2/P3 candidate identities; keep reference, distractors, camera and distances fixed. Save the new first frame.</x:v>
      </x:c>
      <x:c r="Q29" s="10" t="str">
        <x:v>Furthest/farthest language is absent from fine-tuning. The A/B scene pair swaps which physical identity is far, preventing identity preference from solving both.</x:v>
      </x:c>
      <x:c r="R29" s="10"/>
    </x:row>
    <x:row r="30" ht="66" customHeight="1">
      <x:c r="A30" s="8" t="str">
        <x:v>Not collected</x:v>
      </x:c>
      <x:c r="B30" s="8" t="n">
        <x:v>28</x:v>
      </x:c>
      <x:c r="C30" s="7" t="str">
        <x:v>Of the two candidates, put the crushed soda can farther from the airplane toy with propellers in the bowl.</x:v>
      </x:c>
      <x:c r="D30" s="7" t="str">
        <x:v>P1 airplane toy with propellers at R5 (5 cm away from the robot from center) [REFERENCE]; P2 crushed Pepsi can with 6 cm edge gap to the left of P1 [CLOSE CANDIDATE]; P3 crushed Coke can with 20 cm edge gap to the right of P1 [FAR CANDIDATE]</x:v>
      </x:c>
      <x:c r="E30" s="8" t="n">
        <x:v>27</x:v>
      </x:c>
      <x:c r="F30" s="8" t="str">
        <x:v>crushed Coke can</x:v>
      </x:c>
      <x:c r="G30" s="7"/>
      <x:c r="H30" s="8" t="str">
        <x:v>Language robustness</x:v>
      </x:c>
      <x:c r="I30" s="8" t="str">
        <x:v>RD-CF05B</x:v>
      </x:c>
      <x:c r="J30" s="8" t="str">
        <x:v>RD-CF05</x:v>
      </x:c>
      <x:c r="K30" s="8" t="str">
        <x:v>crushed soda can</x:v>
      </x:c>
      <x:c r="L30" s="8" t="str">
        <x:v>furthest paraphrase</x:v>
      </x:c>
      <x:c r="M30" s="8" t="n">
        <x:v>3</x:v>
      </x:c>
      <x:c r="N30" s="8" t="str">
        <x:v>2 — Exact-scene transfer paraphrase — Paraphrase of furthest-transfer prompt</x:v>
      </x:c>
      <x:c r="O30" s="8" t="n">
        <x:v>10</x:v>
      </x:c>
      <x:c r="P30" s="7" t="str">
        <x:v>Reset only the far candidate to P3; change only the prompt wording.</x:v>
      </x:c>
      <x:c r="Q30" s="7" t="str">
        <x:v>Exact-scene language comparison for the held-out distance concept.</x:v>
      </x:c>
      <x:c r="R30" s="7"/>
    </x:row>
    <x:row r="31" ht="66" customHeight="1">
      <x:c r="A31" s="8" t="str">
        <x:v>Not collected</x:v>
      </x:c>
      <x:c r="B31" s="8" t="n">
        <x:v>29</x:v>
      </x:c>
      <x:c r="C31" s="7" t="str">
        <x:v>Put the crushed Coke can in the bowl.</x:v>
      </x:c>
      <x:c r="D31" s="7" t="str">
        <x:v>P1 airplane toy with propellers at R5 (5 cm away from the robot from center) [REFERENCE]; P2 crushed Pepsi can with 6 cm edge gap to the left of P1 [CLOSE CANDIDATE]; P3 crushed Coke can with 20 cm edge gap to the right of P1 [FAR CANDIDATE]</x:v>
      </x:c>
      <x:c r="E31" s="8" t="n">
        <x:v>27</x:v>
      </x:c>
      <x:c r="F31" s="8" t="str">
        <x:v>crushed Coke can</x:v>
      </x:c>
      <x:c r="G31" s="7"/>
      <x:c r="H31" s="8" t="str">
        <x:v>Matched manipulation control</x:v>
      </x:c>
      <x:c r="I31" s="8" t="str">
        <x:v>RD-CF05B</x:v>
      </x:c>
      <x:c r="J31" s="8" t="str">
        <x:v>RD-CF05</x:v>
      </x:c>
      <x:c r="K31" s="8" t="str">
        <x:v>crushed soda can</x:v>
      </x:c>
      <x:c r="L31" s="8" t="str">
        <x:v>direct name</x:v>
      </x:c>
      <x:c r="M31" s="8" t="n">
        <x:v>3</x:v>
      </x:c>
      <x:c r="N31" s="8" t="str">
        <x:v>3 — Matched control — Direct-name control on identical target and trajectory</x:v>
      </x:c>
      <x:c r="O31" s="8" t="n">
        <x:v>10</x:v>
      </x:c>
      <x:c r="P31" s="7" t="str">
        <x:v>Reset only the far candidate to P3. Keep the full scene exact; replace the relational instruction with the target's direct name.</x:v>
      </x:c>
      <x:c r="Q31" s="7" t="str">
        <x:v>This is a true endpoint-matched manipulation control: scene, target identity, start pose and required trajectory match the furthest trial.</x:v>
      </x:c>
      <x:c r="R31" s="7"/>
    </x:row>
    <x:row r="32" ht="66" customHeight="1">
      <x:c r="A32" s="9" t="str">
        <x:v>Not collected</x:v>
      </x:c>
      <x:c r="B32" s="9" t="n">
        <x:v>30</x:v>
      </x:c>
      <x:c r="C32" s="10" t="str">
        <x:v>Pick up the pencil sharpener furthest from the airplane toy without propellers and place it in the bowl.</x:v>
      </x:c>
      <x:c r="D32" s="10" t="str">
        <x:v>P1 airplane toy without propellers at R1 (table center) [REFERENCE]; P2 red pencil sharpener with 6 cm edge gap to the right of P1 [CLOSE CANDIDATE]; P3 green pencil sharpener with 20 cm edge gap to the left of P1 [FAR CANDIDATE]; P4 crushed Coke can with 14 cm edge gap behind P1 [DISTRACTOR]</x:v>
      </x:c>
      <x:c r="E32" s="9"/>
      <x:c r="F32" s="9" t="str">
        <x:v>green pencil sharpener</x:v>
      </x:c>
      <x:c r="G32" s="10"/>
      <x:c r="H32" s="9" t="str">
        <x:v>Concept/compositional transfer</x:v>
      </x:c>
      <x:c r="I32" s="9" t="str">
        <x:v>RD-CF06A</x:v>
      </x:c>
      <x:c r="J32" s="9" t="str">
        <x:v>RD-CF06</x:v>
      </x:c>
      <x:c r="K32" s="9" t="str">
        <x:v>pencil sharpener</x:v>
      </x:c>
      <x:c r="L32" s="9" t="str">
        <x:v>furthest</x:v>
      </x:c>
      <x:c r="M32" s="9" t="n">
        <x:v>4</x:v>
      </x:c>
      <x:c r="N32" s="9" t="str">
        <x:v>1 — Canonical transfer — Held-out furthest concept with same-category candidates</x:v>
      </x:c>
      <x:c r="O32" s="9" t="n">
        <x:v>11</x:v>
      </x:c>
      <x:c r="P32" s="10" t="str">
        <x:v>Build counterfactual scene A and save a first-frame filename.</x:v>
      </x:c>
      <x:c r="Q32" s="10" t="str">
        <x:v>Furthest/farthest language is absent from fine-tuning. The A/B scene pair swaps which physical identity is far, preventing identity preference from solving both.</x:v>
      </x:c>
      <x:c r="R32" s="10"/>
    </x:row>
    <x:row r="33" ht="66" customHeight="1">
      <x:c r="A33" s="8" t="str">
        <x:v>Not collected</x:v>
      </x:c>
      <x:c r="B33" s="8" t="n">
        <x:v>31</x:v>
      </x:c>
      <x:c r="C33" s="7" t="str">
        <x:v>Move the green pencil sharpener into the bowl.</x:v>
      </x:c>
      <x:c r="D33" s="7" t="str">
        <x:v>P1 airplane toy without propellers at R1 (table center) [REFERENCE]; P2 red pencil sharpener with 6 cm edge gap to the right of P1 [CLOSE CANDIDATE]; P3 green pencil sharpener with 20 cm edge gap to the left of P1 [FAR CANDIDATE]; P4 crushed Coke can with 14 cm edge gap behind P1 [DISTRACTOR]</x:v>
      </x:c>
      <x:c r="E33" s="8" t="n">
        <x:v>30</x:v>
      </x:c>
      <x:c r="F33" s="8" t="str">
        <x:v>green pencil sharpener</x:v>
      </x:c>
      <x:c r="G33" s="7"/>
      <x:c r="H33" s="8" t="str">
        <x:v>Matched manipulation control</x:v>
      </x:c>
      <x:c r="I33" s="8" t="str">
        <x:v>RD-CF06A</x:v>
      </x:c>
      <x:c r="J33" s="8" t="str">
        <x:v>RD-CF06</x:v>
      </x:c>
      <x:c r="K33" s="8" t="str">
        <x:v>pencil sharpener</x:v>
      </x:c>
      <x:c r="L33" s="8" t="str">
        <x:v>direct name</x:v>
      </x:c>
      <x:c r="M33" s="8" t="n">
        <x:v>4</x:v>
      </x:c>
      <x:c r="N33" s="8" t="str">
        <x:v>2 — Matched control — Direct-name control on identical target and trajectory</x:v>
      </x:c>
      <x:c r="O33" s="8" t="n">
        <x:v>11</x:v>
      </x:c>
      <x:c r="P33" s="7" t="str">
        <x:v>Reset only the far candidate to P3. Keep the full scene exact; replace the relational instruction with the target's direct name.</x:v>
      </x:c>
      <x:c r="Q33" s="7" t="str">
        <x:v>This is a true endpoint-matched manipulation control: scene, target identity, start pose and required trajectory match the furthest trial.</x:v>
      </x:c>
      <x:c r="R33" s="7"/>
    </x:row>
    <x:row r="34" ht="66" customHeight="1">
      <x:c r="A34" s="8" t="str">
        <x:v>Not collected</x:v>
      </x:c>
      <x:c r="B34" s="8" t="n">
        <x:v>32</x:v>
      </x:c>
      <x:c r="C34" s="7" t="str">
        <x:v>Take the green pencil sharpener and set it in the bowl.</x:v>
      </x:c>
      <x:c r="D34" s="7" t="str">
        <x:v>P1 airplane toy without propellers at R1 (table center) [REFERENCE]; P2 red pencil sharpener with 6 cm edge gap to the right of P1 [CLOSE CANDIDATE]; P3 green pencil sharpener with 20 cm edge gap to the left of P1 [FAR CANDIDATE]; P4 crushed Coke can with 14 cm edge gap behind P1 [DISTRACTOR]</x:v>
      </x:c>
      <x:c r="E34" s="8" t="n">
        <x:v>31</x:v>
      </x:c>
      <x:c r="F34" s="8" t="str">
        <x:v>green pencil sharpener</x:v>
      </x:c>
      <x:c r="G34" s="7"/>
      <x:c r="H34" s="8" t="str">
        <x:v>Language robustness</x:v>
      </x:c>
      <x:c r="I34" s="8" t="str">
        <x:v>RD-CF06A</x:v>
      </x:c>
      <x:c r="J34" s="8" t="str">
        <x:v>RD-CF06</x:v>
      </x:c>
      <x:c r="K34" s="8" t="str">
        <x:v>pencil sharpener</x:v>
      </x:c>
      <x:c r="L34" s="8" t="str">
        <x:v>direct-name paraphrase</x:v>
      </x:c>
      <x:c r="M34" s="8" t="n">
        <x:v>4</x:v>
      </x:c>
      <x:c r="N34" s="8" t="str">
        <x:v>3 — Exact-scene control paraphrase — Paraphrase of direct-name matched control</x:v>
      </x:c>
      <x:c r="O34" s="8" t="n">
        <x:v>11</x:v>
      </x:c>
      <x:c r="P34" s="7" t="str">
        <x:v>Reset only the far candidate to P3; change only the direct-name prompt wording.</x:v>
      </x:c>
      <x:c r="Q34" s="7" t="str">
        <x:v>Exact-scene language comparison for the endpoint-matched skill control.</x:v>
      </x:c>
      <x:c r="R34" s="7"/>
    </x:row>
    <x:row r="35" ht="66" customHeight="1">
      <x:c r="A35" s="9" t="str">
        <x:v>Not collected</x:v>
      </x:c>
      <x:c r="B35" s="9" t="n">
        <x:v>33</x:v>
      </x:c>
      <x:c r="C35" s="10" t="str">
        <x:v>Pick up the pencil sharpener furthest from the airplane toy without propellers and place it in the bowl.</x:v>
      </x:c>
      <x:c r="D35" s="10" t="str">
        <x:v>P1 airplane toy without propellers at R1 (table center) [REFERENCE]; P2 green pencil sharpener with 6 cm edge gap to the right of P1 [CLOSE CANDIDATE]; P3 red pencil sharpener with 20 cm edge gap to the left of P1 [FAR CANDIDATE]; P4 crushed Coke can with 14 cm edge gap behind P1 [DISTRACTOR]</x:v>
      </x:c>
      <x:c r="E35" s="9"/>
      <x:c r="F35" s="9" t="str">
        <x:v>red pencil sharpener</x:v>
      </x:c>
      <x:c r="G35" s="10"/>
      <x:c r="H35" s="9" t="str">
        <x:v>Concept/compositional transfer</x:v>
      </x:c>
      <x:c r="I35" s="9" t="str">
        <x:v>RD-CF06B</x:v>
      </x:c>
      <x:c r="J35" s="9" t="str">
        <x:v>RD-CF06</x:v>
      </x:c>
      <x:c r="K35" s="9" t="str">
        <x:v>pencil sharpener</x:v>
      </x:c>
      <x:c r="L35" s="9" t="str">
        <x:v>furthest</x:v>
      </x:c>
      <x:c r="M35" s="9" t="n">
        <x:v>4</x:v>
      </x:c>
      <x:c r="N35" s="9" t="str">
        <x:v>1 — Canonical transfer — Held-out furthest concept with same-category candidates</x:v>
      </x:c>
      <x:c r="O35" s="9" t="n">
        <x:v>12</x:v>
      </x:c>
      <x:c r="P35" s="10" t="str">
        <x:v>From scene A, swap only the P2/P3 candidate identities; keep reference, distractors, camera and distances fixed. Save the new first frame.</x:v>
      </x:c>
      <x:c r="Q35" s="10" t="str">
        <x:v>Furthest/farthest language is absent from fine-tuning. The A/B scene pair swaps which physical identity is far, preventing identity preference from solving both.</x:v>
      </x:c>
      <x:c r="R35" s="10"/>
    </x:row>
    <x:row r="36" ht="66" customHeight="1">
      <x:c r="A36" s="8" t="str">
        <x:v>Not collected</x:v>
      </x:c>
      <x:c r="B36" s="8" t="n">
        <x:v>34</x:v>
      </x:c>
      <x:c r="C36" s="7" t="str">
        <x:v>Pick up the red pencil sharpener and place it in the bowl.</x:v>
      </x:c>
      <x:c r="D36" s="7" t="str">
        <x:v>P1 airplane toy without propellers at R1 (table center) [REFERENCE]; P2 green pencil sharpener with 6 cm edge gap to the right of P1 [CLOSE CANDIDATE]; P3 red pencil sharpener with 20 cm edge gap to the left of P1 [FAR CANDIDATE]; P4 crushed Coke can with 14 cm edge gap behind P1 [DISTRACTOR]</x:v>
      </x:c>
      <x:c r="E36" s="8" t="n">
        <x:v>33</x:v>
      </x:c>
      <x:c r="F36" s="8" t="str">
        <x:v>red pencil sharpener</x:v>
      </x:c>
      <x:c r="G36" s="7"/>
      <x:c r="H36" s="8" t="str">
        <x:v>Matched manipulation control</x:v>
      </x:c>
      <x:c r="I36" s="8" t="str">
        <x:v>RD-CF06B</x:v>
      </x:c>
      <x:c r="J36" s="8" t="str">
        <x:v>RD-CF06</x:v>
      </x:c>
      <x:c r="K36" s="8" t="str">
        <x:v>pencil sharpener</x:v>
      </x:c>
      <x:c r="L36" s="8" t="str">
        <x:v>direct name</x:v>
      </x:c>
      <x:c r="M36" s="8" t="n">
        <x:v>4</x:v>
      </x:c>
      <x:c r="N36" s="8" t="str">
        <x:v>2 — Matched control — Direct-name control on identical target and trajectory</x:v>
      </x:c>
      <x:c r="O36" s="8" t="n">
        <x:v>12</x:v>
      </x:c>
      <x:c r="P36" s="7" t="str">
        <x:v>Reset only the far candidate to P3. Keep the full scene exact; replace the relational instruction with the target's direct name.</x:v>
      </x:c>
      <x:c r="Q36" s="7" t="str">
        <x:v>This is a true endpoint-matched manipulation control: scene, target identity, start pose and required trajectory match the furthest trial.</x:v>
      </x:c>
      <x:c r="R36" s="7"/>
    </x:row>
    <x:row r="37" ht="66" customHeight="1">
      <x:c r="A37" s="8" t="str">
        <x:v>Not collected</x:v>
      </x:c>
      <x:c r="B37" s="8" t="n">
        <x:v>35</x:v>
      </x:c>
      <x:c r="C37" s="7" t="str">
        <x:v>Transfer the red pencil sharpener into the bowl.</x:v>
      </x:c>
      <x:c r="D37" s="7" t="str">
        <x:v>P1 airplane toy without propellers at R1 (table center) [REFERENCE]; P2 green pencil sharpener with 6 cm edge gap to the right of P1 [CLOSE CANDIDATE]; P3 red pencil sharpener with 20 cm edge gap to the left of P1 [FAR CANDIDATE]; P4 crushed Coke can with 14 cm edge gap behind P1 [DISTRACTOR]</x:v>
      </x:c>
      <x:c r="E37" s="8" t="n">
        <x:v>34</x:v>
      </x:c>
      <x:c r="F37" s="8" t="str">
        <x:v>red pencil sharpener</x:v>
      </x:c>
      <x:c r="G37" s="7"/>
      <x:c r="H37" s="8" t="str">
        <x:v>Language robustness</x:v>
      </x:c>
      <x:c r="I37" s="8" t="str">
        <x:v>RD-CF06B</x:v>
      </x:c>
      <x:c r="J37" s="8" t="str">
        <x:v>RD-CF06</x:v>
      </x:c>
      <x:c r="K37" s="8" t="str">
        <x:v>pencil sharpener</x:v>
      </x:c>
      <x:c r="L37" s="8" t="str">
        <x:v>direct-name paraphrase</x:v>
      </x:c>
      <x:c r="M37" s="8" t="n">
        <x:v>4</x:v>
      </x:c>
      <x:c r="N37" s="8" t="str">
        <x:v>3 — Exact-scene control paraphrase — Paraphrase of direct-name matched control</x:v>
      </x:c>
      <x:c r="O37" s="8" t="n">
        <x:v>12</x:v>
      </x:c>
      <x:c r="P37" s="7" t="str">
        <x:v>Reset only the far candidate to P3; change only the direct-name prompt wording.</x:v>
      </x:c>
      <x:c r="Q37" s="7" t="str">
        <x:v>Exact-scene language comparison for the endpoint-matched skill control.</x:v>
      </x:c>
      <x:c r="R37" s="7"/>
    </x:row>
    <x:row r="38" ht="66" customHeight="1">
      <x:c r="A38" s="9" t="str">
        <x:v>Not collected</x:v>
      </x:c>
      <x:c r="B38" s="9" t="n">
        <x:v>36</x:v>
      </x:c>
      <x:c r="C38" s="10" t="str">
        <x:v>Pick up the pen furthest from the crushed Coke can and place it in the bowl.</x:v>
      </x:c>
      <x:c r="D38" s="10" t="str">
        <x:v>P1 crushed Coke can at R2 (5 cm left of center) [REFERENCE]; P2 green pen with 6 cm edge gap in front of P1 [CLOSE CANDIDATE]; P3 yellow pen with 20 cm edge gap behind P1 [FAR CANDIDATE]; P4 green pencil sharpener with 14 cm edge gap to the left of P1 [DISTRACTOR]</x:v>
      </x:c>
      <x:c r="E38" s="9"/>
      <x:c r="F38" s="9" t="str">
        <x:v>yellow pen</x:v>
      </x:c>
      <x:c r="G38" s="10"/>
      <x:c r="H38" s="9" t="str">
        <x:v>Concept/compositional transfer</x:v>
      </x:c>
      <x:c r="I38" s="9" t="str">
        <x:v>RD-CF07A</x:v>
      </x:c>
      <x:c r="J38" s="9" t="str">
        <x:v>RD-CF07</x:v>
      </x:c>
      <x:c r="K38" s="9" t="str">
        <x:v>pen</x:v>
      </x:c>
      <x:c r="L38" s="9" t="str">
        <x:v>furthest</x:v>
      </x:c>
      <x:c r="M38" s="9" t="n">
        <x:v>4</x:v>
      </x:c>
      <x:c r="N38" s="9" t="str">
        <x:v>1 — Canonical transfer — Held-out furthest concept with same-category candidates</x:v>
      </x:c>
      <x:c r="O38" s="9" t="n">
        <x:v>13</x:v>
      </x:c>
      <x:c r="P38" s="10" t="str">
        <x:v>Build counterfactual scene A and save a first-frame filename.</x:v>
      </x:c>
      <x:c r="Q38" s="10" t="str">
        <x:v>Furthest/farthest language is absent from fine-tuning. The A/B scene pair swaps which physical identity is far, preventing identity preference from solving both.</x:v>
      </x:c>
      <x:c r="R38" s="10"/>
    </x:row>
    <x:row r="39" ht="66" customHeight="1">
      <x:c r="A39" s="8" t="str">
        <x:v>Not collected</x:v>
      </x:c>
      <x:c r="B39" s="8" t="n">
        <x:v>37</x:v>
      </x:c>
      <x:c r="C39" s="7" t="str">
        <x:v>Put the yellow pen in the bowl.</x:v>
      </x:c>
      <x:c r="D39" s="7" t="str">
        <x:v>P1 crushed Coke can at R2 (5 cm left of center) [REFERENCE]; P2 green pen with 6 cm edge gap in front of P1 [CLOSE CANDIDATE]; P3 yellow pen with 20 cm edge gap behind P1 [FAR CANDIDATE]; P4 green pencil sharpener with 14 cm edge gap to the left of P1 [DISTRACTOR]</x:v>
      </x:c>
      <x:c r="E39" s="8" t="n">
        <x:v>36</x:v>
      </x:c>
      <x:c r="F39" s="8" t="str">
        <x:v>yellow pen</x:v>
      </x:c>
      <x:c r="G39" s="7"/>
      <x:c r="H39" s="8" t="str">
        <x:v>Matched manipulation control</x:v>
      </x:c>
      <x:c r="I39" s="8" t="str">
        <x:v>RD-CF07A</x:v>
      </x:c>
      <x:c r="J39" s="8" t="str">
        <x:v>RD-CF07</x:v>
      </x:c>
      <x:c r="K39" s="8" t="str">
        <x:v>pen</x:v>
      </x:c>
      <x:c r="L39" s="8" t="str">
        <x:v>direct name</x:v>
      </x:c>
      <x:c r="M39" s="8" t="n">
        <x:v>4</x:v>
      </x:c>
      <x:c r="N39" s="8" t="str">
        <x:v>2 — Matched control — Direct-name control on identical target and trajectory</x:v>
      </x:c>
      <x:c r="O39" s="8" t="n">
        <x:v>13</x:v>
      </x:c>
      <x:c r="P39" s="7" t="str">
        <x:v>Reset only the far candidate to P3. Keep the full scene exact; replace the relational instruction with the target's direct name.</x:v>
      </x:c>
      <x:c r="Q39" s="7" t="str">
        <x:v>This is a true endpoint-matched manipulation control: scene, target identity, start pose and required trajectory match the furthest trial.</x:v>
      </x:c>
      <x:c r="R39" s="7"/>
    </x:row>
    <x:row r="40" ht="66" customHeight="1">
      <x:c r="A40" s="8" t="str">
        <x:v>Not collected</x:v>
      </x:c>
      <x:c r="B40" s="8" t="n">
        <x:v>38</x:v>
      </x:c>
      <x:c r="C40" s="7" t="str">
        <x:v>Move the yellow pen over to the bowl.</x:v>
      </x:c>
      <x:c r="D40" s="7" t="str">
        <x:v>P1 crushed Coke can at R2 (5 cm left of center) [REFERENCE]; P2 green pen with 6 cm edge gap in front of P1 [CLOSE CANDIDATE]; P3 yellow pen with 20 cm edge gap behind P1 [FAR CANDIDATE]; P4 green pencil sharpener with 14 cm edge gap to the left of P1 [DISTRACTOR]</x:v>
      </x:c>
      <x:c r="E40" s="8" t="n">
        <x:v>37</x:v>
      </x:c>
      <x:c r="F40" s="8" t="str">
        <x:v>yellow pen</x:v>
      </x:c>
      <x:c r="G40" s="7"/>
      <x:c r="H40" s="8" t="str">
        <x:v>Language robustness</x:v>
      </x:c>
      <x:c r="I40" s="8" t="str">
        <x:v>RD-CF07A</x:v>
      </x:c>
      <x:c r="J40" s="8" t="str">
        <x:v>RD-CF07</x:v>
      </x:c>
      <x:c r="K40" s="8" t="str">
        <x:v>pen</x:v>
      </x:c>
      <x:c r="L40" s="8" t="str">
        <x:v>direct-name paraphrase</x:v>
      </x:c>
      <x:c r="M40" s="8" t="n">
        <x:v>4</x:v>
      </x:c>
      <x:c r="N40" s="8" t="str">
        <x:v>3 — Exact-scene control paraphrase — Paraphrase of direct-name matched control</x:v>
      </x:c>
      <x:c r="O40" s="8" t="n">
        <x:v>13</x:v>
      </x:c>
      <x:c r="P40" s="7" t="str">
        <x:v>Reset only the far candidate to P3; change only the direct-name prompt wording.</x:v>
      </x:c>
      <x:c r="Q40" s="7" t="str">
        <x:v>Exact-scene language comparison for the endpoint-matched skill control.</x:v>
      </x:c>
      <x:c r="R40" s="7"/>
    </x:row>
    <x:row r="41" ht="66" customHeight="1">
      <x:c r="A41" s="9" t="str">
        <x:v>Not collected</x:v>
      </x:c>
      <x:c r="B41" s="9" t="n">
        <x:v>39</x:v>
      </x:c>
      <x:c r="C41" s="10" t="str">
        <x:v>Pick up the pen furthest from the crushed Coke can and place it in the bowl.</x:v>
      </x:c>
      <x:c r="D41" s="10" t="str">
        <x:v>P1 crushed Coke can at R2 (5 cm left of center) [REFERENCE]; P2 yellow pen with 6 cm edge gap in front of P1 [CLOSE CANDIDATE]; P3 green pen with 20 cm edge gap behind P1 [FAR CANDIDATE]; P4 green pencil sharpener with 14 cm edge gap to the left of P1 [DISTRACTOR]</x:v>
      </x:c>
      <x:c r="E41" s="9"/>
      <x:c r="F41" s="9" t="str">
        <x:v>green pen</x:v>
      </x:c>
      <x:c r="G41" s="10"/>
      <x:c r="H41" s="9" t="str">
        <x:v>Concept/compositional transfer</x:v>
      </x:c>
      <x:c r="I41" s="9" t="str">
        <x:v>RD-CF07B</x:v>
      </x:c>
      <x:c r="J41" s="9" t="str">
        <x:v>RD-CF07</x:v>
      </x:c>
      <x:c r="K41" s="9" t="str">
        <x:v>pen</x:v>
      </x:c>
      <x:c r="L41" s="9" t="str">
        <x:v>furthest</x:v>
      </x:c>
      <x:c r="M41" s="9" t="n">
        <x:v>4</x:v>
      </x:c>
      <x:c r="N41" s="9" t="str">
        <x:v>1 — Canonical transfer — Held-out furthest concept with same-category candidates</x:v>
      </x:c>
      <x:c r="O41" s="9" t="n">
        <x:v>14</x:v>
      </x:c>
      <x:c r="P41" s="10" t="str">
        <x:v>From scene A, swap only the P2/P3 candidate identities; keep reference, distractors, camera and distances fixed. Save the new first frame.</x:v>
      </x:c>
      <x:c r="Q41" s="10" t="str">
        <x:v>Furthest/farthest language is absent from fine-tuning. The A/B scene pair swaps which physical identity is far, preventing identity preference from solving both.</x:v>
      </x:c>
      <x:c r="R41" s="10"/>
    </x:row>
    <x:row r="42" ht="66" customHeight="1">
      <x:c r="A42" s="8" t="str">
        <x:v>Not collected</x:v>
      </x:c>
      <x:c r="B42" s="8" t="n">
        <x:v>40</x:v>
      </x:c>
      <x:c r="C42" s="7" t="str">
        <x:v>Move the green pen into the bowl.</x:v>
      </x:c>
      <x:c r="D42" s="7" t="str">
        <x:v>P1 crushed Coke can at R2 (5 cm left of center) [REFERENCE]; P2 yellow pen with 6 cm edge gap in front of P1 [CLOSE CANDIDATE]; P3 green pen with 20 cm edge gap behind P1 [FAR CANDIDATE]; P4 green pencil sharpener with 14 cm edge gap to the left of P1 [DISTRACTOR]</x:v>
      </x:c>
      <x:c r="E42" s="8" t="n">
        <x:v>39</x:v>
      </x:c>
      <x:c r="F42" s="8" t="str">
        <x:v>green pen</x:v>
      </x:c>
      <x:c r="G42" s="7"/>
      <x:c r="H42" s="8" t="str">
        <x:v>Matched manipulation control</x:v>
      </x:c>
      <x:c r="I42" s="8" t="str">
        <x:v>RD-CF07B</x:v>
      </x:c>
      <x:c r="J42" s="8" t="str">
        <x:v>RD-CF07</x:v>
      </x:c>
      <x:c r="K42" s="8" t="str">
        <x:v>pen</x:v>
      </x:c>
      <x:c r="L42" s="8" t="str">
        <x:v>direct name</x:v>
      </x:c>
      <x:c r="M42" s="8" t="n">
        <x:v>4</x:v>
      </x:c>
      <x:c r="N42" s="8" t="str">
        <x:v>2 — Matched control — Direct-name control on identical target and trajectory</x:v>
      </x:c>
      <x:c r="O42" s="8" t="n">
        <x:v>14</x:v>
      </x:c>
      <x:c r="P42" s="7" t="str">
        <x:v>Reset only the far candidate to P3. Keep the full scene exact; replace the relational instruction with the target's direct name.</x:v>
      </x:c>
      <x:c r="Q42" s="7" t="str">
        <x:v>This is a true endpoint-matched manipulation control: scene, target identity, start pose and required trajectory match the furthest trial.</x:v>
      </x:c>
      <x:c r="R42" s="7"/>
    </x:row>
    <x:row r="43" ht="66" customHeight="1">
      <x:c r="A43" s="8" t="str">
        <x:v>Not collected</x:v>
      </x:c>
      <x:c r="B43" s="8" t="n">
        <x:v>41</x:v>
      </x:c>
      <x:c r="C43" s="7" t="str">
        <x:v>Set the green pen inside the bowl.</x:v>
      </x:c>
      <x:c r="D43" s="7" t="str">
        <x:v>P1 crushed Coke can at R2 (5 cm left of center) [REFERENCE]; P2 yellow pen with 6 cm edge gap in front of P1 [CLOSE CANDIDATE]; P3 green pen with 20 cm edge gap behind P1 [FAR CANDIDATE]; P4 green pencil sharpener with 14 cm edge gap to the left of P1 [DISTRACTOR]</x:v>
      </x:c>
      <x:c r="E43" s="8" t="n">
        <x:v>40</x:v>
      </x:c>
      <x:c r="F43" s="8" t="str">
        <x:v>green pen</x:v>
      </x:c>
      <x:c r="G43" s="7"/>
      <x:c r="H43" s="8" t="str">
        <x:v>Language robustness</x:v>
      </x:c>
      <x:c r="I43" s="8" t="str">
        <x:v>RD-CF07B</x:v>
      </x:c>
      <x:c r="J43" s="8" t="str">
        <x:v>RD-CF07</x:v>
      </x:c>
      <x:c r="K43" s="8" t="str">
        <x:v>pen</x:v>
      </x:c>
      <x:c r="L43" s="8" t="str">
        <x:v>direct-name paraphrase</x:v>
      </x:c>
      <x:c r="M43" s="8" t="n">
        <x:v>4</x:v>
      </x:c>
      <x:c r="N43" s="8" t="str">
        <x:v>3 — Exact-scene control paraphrase — Paraphrase of direct-name matched control</x:v>
      </x:c>
      <x:c r="O43" s="8" t="n">
        <x:v>14</x:v>
      </x:c>
      <x:c r="P43" s="7" t="str">
        <x:v>Reset only the far candidate to P3; change only the direct-name prompt wording.</x:v>
      </x:c>
      <x:c r="Q43" s="7" t="str">
        <x:v>Exact-scene language comparison for the endpoint-matched skill control.</x:v>
      </x:c>
      <x:c r="R43" s="7"/>
    </x:row>
    <x:row r="44" ht="66" customHeight="1">
      <x:c r="A44" s="9" t="str">
        <x:v>Not collected</x:v>
      </x:c>
      <x:c r="B44" s="9" t="n">
        <x:v>42</x:v>
      </x:c>
      <x:c r="C44" s="10" t="str">
        <x:v>Pick up the airplane toy furthest from the yellow pen and place it in the bowl.</x:v>
      </x:c>
      <x:c r="D44" s="10" t="str">
        <x:v>P1 yellow pen at R3 (5 cm right of center) [REFERENCE]; P2 airplane toy without propellers with 6 cm edge gap behind P1 [CLOSE CANDIDATE]; P3 airplane toy with propellers with 20 cm edge gap in front of P1 [FAR CANDIDATE]; P4 green pencil sharpener with 14 cm edge gap to the right of P1 [DISTRACTOR]</x:v>
      </x:c>
      <x:c r="E44" s="9"/>
      <x:c r="F44" s="9" t="str">
        <x:v>airplane toy with propellers</x:v>
      </x:c>
      <x:c r="G44" s="10"/>
      <x:c r="H44" s="9" t="str">
        <x:v>Concept/compositional transfer</x:v>
      </x:c>
      <x:c r="I44" s="9" t="str">
        <x:v>RD-CF08A</x:v>
      </x:c>
      <x:c r="J44" s="9" t="str">
        <x:v>RD-CF08</x:v>
      </x:c>
      <x:c r="K44" s="9" t="str">
        <x:v>airplane toy</x:v>
      </x:c>
      <x:c r="L44" s="9" t="str">
        <x:v>furthest</x:v>
      </x:c>
      <x:c r="M44" s="9" t="n">
        <x:v>4</x:v>
      </x:c>
      <x:c r="N44" s="9" t="str">
        <x:v>1 — Canonical transfer — Held-out furthest concept with same-category candidates</x:v>
      </x:c>
      <x:c r="O44" s="9" t="n">
        <x:v>15</x:v>
      </x:c>
      <x:c r="P44" s="10" t="str">
        <x:v>Build counterfactual scene A and save a first-frame filename.</x:v>
      </x:c>
      <x:c r="Q44" s="10" t="str">
        <x:v>Furthest/farthest language is absent from fine-tuning. The A/B scene pair swaps which physical identity is far, preventing identity preference from solving both.</x:v>
      </x:c>
      <x:c r="R44" s="10"/>
    </x:row>
    <x:row r="45" ht="66" customHeight="1">
      <x:c r="A45" s="8" t="str">
        <x:v>Not collected</x:v>
      </x:c>
      <x:c r="B45" s="8" t="n">
        <x:v>43</x:v>
      </x:c>
      <x:c r="C45" s="7" t="str">
        <x:v>Pick up the airplane toy with propellers and place it in the bowl.</x:v>
      </x:c>
      <x:c r="D45" s="7" t="str">
        <x:v>P1 yellow pen at R3 (5 cm right of center) [REFERENCE]; P2 airplane toy without propellers with 6 cm edge gap behind P1 [CLOSE CANDIDATE]; P3 airplane toy with propellers with 20 cm edge gap in front of P1 [FAR CANDIDATE]; P4 green pencil sharpener with 14 cm edge gap to the right of P1 [DISTRACTOR]</x:v>
      </x:c>
      <x:c r="E45" s="8" t="n">
        <x:v>42</x:v>
      </x:c>
      <x:c r="F45" s="8" t="str">
        <x:v>airplane toy with propellers</x:v>
      </x:c>
      <x:c r="G45" s="7"/>
      <x:c r="H45" s="8" t="str">
        <x:v>Matched manipulation control</x:v>
      </x:c>
      <x:c r="I45" s="8" t="str">
        <x:v>RD-CF08A</x:v>
      </x:c>
      <x:c r="J45" s="8" t="str">
        <x:v>RD-CF08</x:v>
      </x:c>
      <x:c r="K45" s="8" t="str">
        <x:v>airplane toy</x:v>
      </x:c>
      <x:c r="L45" s="8" t="str">
        <x:v>direct name</x:v>
      </x:c>
      <x:c r="M45" s="8" t="n">
        <x:v>4</x:v>
      </x:c>
      <x:c r="N45" s="8" t="str">
        <x:v>2 — Matched control — Direct-name control on identical target and trajectory</x:v>
      </x:c>
      <x:c r="O45" s="8" t="n">
        <x:v>15</x:v>
      </x:c>
      <x:c r="P45" s="7" t="str">
        <x:v>Reset only the far candidate to P3. Keep the full scene exact; replace the relational instruction with the target's direct name.</x:v>
      </x:c>
      <x:c r="Q45" s="7" t="str">
        <x:v>This is a true endpoint-matched manipulation control: scene, target identity, start pose and required trajectory match the furthest trial.</x:v>
      </x:c>
      <x:c r="R45" s="7"/>
    </x:row>
    <x:row r="46" ht="66" customHeight="1">
      <x:c r="A46" s="8" t="str">
        <x:v>Not collected</x:v>
      </x:c>
      <x:c r="B46" s="8" t="n">
        <x:v>44</x:v>
      </x:c>
      <x:c r="C46" s="7" t="str">
        <x:v>Lift the airplane toy with propellers and place it in the bowl.</x:v>
      </x:c>
      <x:c r="D46" s="7" t="str">
        <x:v>P1 yellow pen at R3 (5 cm right of center) [REFERENCE]; P2 airplane toy without propellers with 6 cm edge gap behind P1 [CLOSE CANDIDATE]; P3 airplane toy with propellers with 20 cm edge gap in front of P1 [FAR CANDIDATE]; P4 green pencil sharpener with 14 cm edge gap to the right of P1 [DISTRACTOR]</x:v>
      </x:c>
      <x:c r="E46" s="8" t="n">
        <x:v>43</x:v>
      </x:c>
      <x:c r="F46" s="8" t="str">
        <x:v>airplane toy with propellers</x:v>
      </x:c>
      <x:c r="G46" s="7"/>
      <x:c r="H46" s="8" t="str">
        <x:v>Language robustness</x:v>
      </x:c>
      <x:c r="I46" s="8" t="str">
        <x:v>RD-CF08A</x:v>
      </x:c>
      <x:c r="J46" s="8" t="str">
        <x:v>RD-CF08</x:v>
      </x:c>
      <x:c r="K46" s="8" t="str">
        <x:v>airplane toy</x:v>
      </x:c>
      <x:c r="L46" s="8" t="str">
        <x:v>direct-name paraphrase</x:v>
      </x:c>
      <x:c r="M46" s="8" t="n">
        <x:v>4</x:v>
      </x:c>
      <x:c r="N46" s="8" t="str">
        <x:v>3 — Exact-scene control paraphrase — Paraphrase of direct-name matched control</x:v>
      </x:c>
      <x:c r="O46" s="8" t="n">
        <x:v>15</x:v>
      </x:c>
      <x:c r="P46" s="7" t="str">
        <x:v>Reset only the far candidate to P3; change only the direct-name prompt wording.</x:v>
      </x:c>
      <x:c r="Q46" s="7" t="str">
        <x:v>Exact-scene language comparison for the endpoint-matched skill control.</x:v>
      </x:c>
      <x:c r="R46" s="7"/>
    </x:row>
    <x:row r="47" ht="66" customHeight="1">
      <x:c r="A47" s="9" t="str">
        <x:v>Not collected</x:v>
      </x:c>
      <x:c r="B47" s="9" t="n">
        <x:v>45</x:v>
      </x:c>
      <x:c r="C47" s="10" t="str">
        <x:v>Pick up the airplane toy furthest from the yellow pen and place it in the bowl.</x:v>
      </x:c>
      <x:c r="D47" s="10" t="str">
        <x:v>P1 yellow pen at R3 (5 cm right of center) [REFERENCE]; P2 airplane toy with propellers with 6 cm edge gap behind P1 [CLOSE CANDIDATE]; P3 airplane toy without propellers with 20 cm edge gap in front of P1 [FAR CANDIDATE]; P4 green pencil sharpener with 14 cm edge gap to the right of P1 [DISTRACTOR]</x:v>
      </x:c>
      <x:c r="E47" s="9"/>
      <x:c r="F47" s="9" t="str">
        <x:v>airplane toy without propellers</x:v>
      </x:c>
      <x:c r="G47" s="10"/>
      <x:c r="H47" s="9" t="str">
        <x:v>Concept/compositional transfer</x:v>
      </x:c>
      <x:c r="I47" s="9" t="str">
        <x:v>RD-CF08B</x:v>
      </x:c>
      <x:c r="J47" s="9" t="str">
        <x:v>RD-CF08</x:v>
      </x:c>
      <x:c r="K47" s="9" t="str">
        <x:v>airplane toy</x:v>
      </x:c>
      <x:c r="L47" s="9" t="str">
        <x:v>furthest</x:v>
      </x:c>
      <x:c r="M47" s="9" t="n">
        <x:v>4</x:v>
      </x:c>
      <x:c r="N47" s="9" t="str">
        <x:v>1 — Canonical transfer — Held-out furthest concept with same-category candidates</x:v>
      </x:c>
      <x:c r="O47" s="9" t="n">
        <x:v>16</x:v>
      </x:c>
      <x:c r="P47" s="10" t="str">
        <x:v>From scene A, swap only the P2/P3 candidate identities; keep reference, distractors, camera and distances fixed. Save the new first frame.</x:v>
      </x:c>
      <x:c r="Q47" s="10" t="str">
        <x:v>Furthest/farthest language is absent from fine-tuning. The A/B scene pair swaps which physical identity is far, preventing identity preference from solving both.</x:v>
      </x:c>
      <x:c r="R47" s="10"/>
    </x:row>
    <x:row r="48" ht="66" customHeight="1">
      <x:c r="A48" s="8" t="str">
        <x:v>Not collected</x:v>
      </x:c>
      <x:c r="B48" s="8" t="n">
        <x:v>46</x:v>
      </x:c>
      <x:c r="C48" s="7" t="str">
        <x:v>Put the airplane toy without propellers in the bowl.</x:v>
      </x:c>
      <x:c r="D48" s="7" t="str">
        <x:v>P1 yellow pen at R3 (5 cm right of center) [REFERENCE]; P2 airplane toy with propellers with 6 cm edge gap behind P1 [CLOSE CANDIDATE]; P3 airplane toy without propellers with 20 cm edge gap in front of P1 [FAR CANDIDATE]; P4 green pencil sharpener with 14 cm edge gap to the right of P1 [DISTRACTOR]</x:v>
      </x:c>
      <x:c r="E48" s="8" t="n">
        <x:v>45</x:v>
      </x:c>
      <x:c r="F48" s="8" t="str">
        <x:v>airplane toy without propellers</x:v>
      </x:c>
      <x:c r="G48" s="7"/>
      <x:c r="H48" s="8" t="str">
        <x:v>Matched manipulation control</x:v>
      </x:c>
      <x:c r="I48" s="8" t="str">
        <x:v>RD-CF08B</x:v>
      </x:c>
      <x:c r="J48" s="8" t="str">
        <x:v>RD-CF08</x:v>
      </x:c>
      <x:c r="K48" s="8" t="str">
        <x:v>airplane toy</x:v>
      </x:c>
      <x:c r="L48" s="8" t="str">
        <x:v>direct name</x:v>
      </x:c>
      <x:c r="M48" s="8" t="n">
        <x:v>4</x:v>
      </x:c>
      <x:c r="N48" s="8" t="str">
        <x:v>2 — Matched control — Direct-name control on identical target and trajectory</x:v>
      </x:c>
      <x:c r="O48" s="8" t="n">
        <x:v>16</x:v>
      </x:c>
      <x:c r="P48" s="7" t="str">
        <x:v>Reset only the far candidate to P3. Keep the full scene exact; replace the relational instruction with the target's direct name.</x:v>
      </x:c>
      <x:c r="Q48" s="7" t="str">
        <x:v>This is a true endpoint-matched manipulation control: scene, target identity, start pose and required trajectory match the furthest trial.</x:v>
      </x:c>
      <x:c r="R48" s="7"/>
    </x:row>
    <x:row r="49" ht="66" customHeight="1">
      <x:c r="A49" s="8" t="str">
        <x:v>Not collected</x:v>
      </x:c>
      <x:c r="B49" s="8" t="n">
        <x:v>47</x:v>
      </x:c>
      <x:c r="C49" s="7" t="str">
        <x:v>Take the airplane toy without propellers and set it in the bowl.</x:v>
      </x:c>
      <x:c r="D49" s="7" t="str">
        <x:v>P1 yellow pen at R3 (5 cm right of center) [REFERENCE]; P2 airplane toy with propellers with 6 cm edge gap behind P1 [CLOSE CANDIDATE]; P3 airplane toy without propellers with 20 cm edge gap in front of P1 [FAR CANDIDATE]; P4 green pencil sharpener with 14 cm edge gap to the right of P1 [DISTRACTOR]</x:v>
      </x:c>
      <x:c r="E49" s="8" t="n">
        <x:v>46</x:v>
      </x:c>
      <x:c r="F49" s="8" t="str">
        <x:v>airplane toy without propellers</x:v>
      </x:c>
      <x:c r="G49" s="7"/>
      <x:c r="H49" s="8" t="str">
        <x:v>Language robustness</x:v>
      </x:c>
      <x:c r="I49" s="8" t="str">
        <x:v>RD-CF08B</x:v>
      </x:c>
      <x:c r="J49" s="8" t="str">
        <x:v>RD-CF08</x:v>
      </x:c>
      <x:c r="K49" s="8" t="str">
        <x:v>airplane toy</x:v>
      </x:c>
      <x:c r="L49" s="8" t="str">
        <x:v>direct-name paraphrase</x:v>
      </x:c>
      <x:c r="M49" s="8" t="n">
        <x:v>4</x:v>
      </x:c>
      <x:c r="N49" s="8" t="str">
        <x:v>3 — Exact-scene control paraphrase — Paraphrase of direct-name matched control</x:v>
      </x:c>
      <x:c r="O49" s="8" t="n">
        <x:v>16</x:v>
      </x:c>
      <x:c r="P49" s="7" t="str">
        <x:v>Reset only the far candidate to P3; change only the direct-name prompt wording.</x:v>
      </x:c>
      <x:c r="Q49" s="7" t="str">
        <x:v>Exact-scene language comparison for the endpoint-matched skill control.</x:v>
      </x:c>
      <x:c r="R49" s="7"/>
    </x:row>
    <x:row r="50" ht="66" customHeight="1">
      <x:c r="A50" s="9" t="str">
        <x:v>Not collected</x:v>
      </x:c>
      <x:c r="B50" s="9" t="n">
        <x:v>48</x:v>
      </x:c>
      <x:c r="C50" s="10" t="str">
        <x:v>Pick up the crushed soda can furthest from the green pencil sharpener and place it in the bowl.</x:v>
      </x:c>
      <x:c r="D50" s="10" t="str">
        <x:v>P1 green pencil sharpener at R4 (5 cm toward the robot from center) [REFERENCE]; P2 crushed Coke can with 6 cm edge gap to the left of P1 [CLOSE CANDIDATE]; P3 crushed Pepsi can with 20 cm edge gap to the right of P1 [FAR CANDIDATE]; P4 airplane toy with propellers with 14 cm edge gap in front of P1 [DISTRACTOR]</x:v>
      </x:c>
      <x:c r="E50" s="9"/>
      <x:c r="F50" s="9" t="str">
        <x:v>crushed Pepsi can</x:v>
      </x:c>
      <x:c r="G50" s="10"/>
      <x:c r="H50" s="9" t="str">
        <x:v>Concept/compositional transfer</x:v>
      </x:c>
      <x:c r="I50" s="9" t="str">
        <x:v>RD-CF09A</x:v>
      </x:c>
      <x:c r="J50" s="9" t="str">
        <x:v>RD-CF09</x:v>
      </x:c>
      <x:c r="K50" s="9" t="str">
        <x:v>crushed soda can</x:v>
      </x:c>
      <x:c r="L50" s="9" t="str">
        <x:v>furthest</x:v>
      </x:c>
      <x:c r="M50" s="9" t="n">
        <x:v>4</x:v>
      </x:c>
      <x:c r="N50" s="9" t="str">
        <x:v>1 — Canonical transfer — Held-out furthest concept with same-category candidates</x:v>
      </x:c>
      <x:c r="O50" s="9" t="n">
        <x:v>17</x:v>
      </x:c>
      <x:c r="P50" s="10" t="str">
        <x:v>Build counterfactual scene A and save a first-frame filename.</x:v>
      </x:c>
      <x:c r="Q50" s="10" t="str">
        <x:v>Furthest/farthest language is absent from fine-tuning. The A/B scene pair swaps which physical identity is far, preventing identity preference from solving both.</x:v>
      </x:c>
      <x:c r="R50" s="10"/>
    </x:row>
    <x:row r="51" ht="66" customHeight="1">
      <x:c r="A51" s="8" t="str">
        <x:v>Not collected</x:v>
      </x:c>
      <x:c r="B51" s="8" t="n">
        <x:v>49</x:v>
      </x:c>
      <x:c r="C51" s="7" t="str">
        <x:v>Move the crushed Pepsi can into the bowl.</x:v>
      </x:c>
      <x:c r="D51" s="7" t="str">
        <x:v>P1 green pencil sharpener at R4 (5 cm toward the robot from center) [REFERENCE]; P2 crushed Coke can with 6 cm edge gap to the left of P1 [CLOSE CANDIDATE]; P3 crushed Pepsi can with 20 cm edge gap to the right of P1 [FAR CANDIDATE]; P4 airplane toy with propellers with 14 cm edge gap in front of P1 [DISTRACTOR]</x:v>
      </x:c>
      <x:c r="E51" s="8" t="n">
        <x:v>48</x:v>
      </x:c>
      <x:c r="F51" s="8" t="str">
        <x:v>crushed Pepsi can</x:v>
      </x:c>
      <x:c r="G51" s="7"/>
      <x:c r="H51" s="8" t="str">
        <x:v>Matched manipulation control</x:v>
      </x:c>
      <x:c r="I51" s="8" t="str">
        <x:v>RD-CF09A</x:v>
      </x:c>
      <x:c r="J51" s="8" t="str">
        <x:v>RD-CF09</x:v>
      </x:c>
      <x:c r="K51" s="8" t="str">
        <x:v>crushed soda can</x:v>
      </x:c>
      <x:c r="L51" s="8" t="str">
        <x:v>direct name</x:v>
      </x:c>
      <x:c r="M51" s="8" t="n">
        <x:v>4</x:v>
      </x:c>
      <x:c r="N51" s="8" t="str">
        <x:v>2 — Matched control — Direct-name control on identical target and trajectory</x:v>
      </x:c>
      <x:c r="O51" s="8" t="n">
        <x:v>17</x:v>
      </x:c>
      <x:c r="P51" s="7" t="str">
        <x:v>Reset only the far candidate to P3. Keep the full scene exact; replace the relational instruction with the target's direct name.</x:v>
      </x:c>
      <x:c r="Q51" s="7" t="str">
        <x:v>This is a true endpoint-matched manipulation control: scene, target identity, start pose and required trajectory match the furthest trial.</x:v>
      </x:c>
      <x:c r="R51" s="7"/>
    </x:row>
    <x:row r="52" ht="66" customHeight="1">
      <x:c r="A52" s="8" t="str">
        <x:v>Not collected</x:v>
      </x:c>
      <x:c r="B52" s="8" t="n">
        <x:v>50</x:v>
      </x:c>
      <x:c r="C52" s="7" t="str">
        <x:v>Transfer the crushed Pepsi can into the bowl.</x:v>
      </x:c>
      <x:c r="D52" s="7" t="str">
        <x:v>P1 green pencil sharpener at R4 (5 cm toward the robot from center) [REFERENCE]; P2 crushed Coke can with 6 cm edge gap to the left of P1 [CLOSE CANDIDATE]; P3 crushed Pepsi can with 20 cm edge gap to the right of P1 [FAR CANDIDATE]; P4 airplane toy with propellers with 14 cm edge gap in front of P1 [DISTRACTOR]</x:v>
      </x:c>
      <x:c r="E52" s="8" t="n">
        <x:v>49</x:v>
      </x:c>
      <x:c r="F52" s="8" t="str">
        <x:v>crushed Pepsi can</x:v>
      </x:c>
      <x:c r="G52" s="7"/>
      <x:c r="H52" s="8" t="str">
        <x:v>Language robustness</x:v>
      </x:c>
      <x:c r="I52" s="8" t="str">
        <x:v>RD-CF09A</x:v>
      </x:c>
      <x:c r="J52" s="8" t="str">
        <x:v>RD-CF09</x:v>
      </x:c>
      <x:c r="K52" s="8" t="str">
        <x:v>crushed soda can</x:v>
      </x:c>
      <x:c r="L52" s="8" t="str">
        <x:v>direct-name paraphrase</x:v>
      </x:c>
      <x:c r="M52" s="8" t="n">
        <x:v>4</x:v>
      </x:c>
      <x:c r="N52" s="8" t="str">
        <x:v>3 — Exact-scene control paraphrase — Paraphrase of direct-name matched control</x:v>
      </x:c>
      <x:c r="O52" s="8" t="n">
        <x:v>17</x:v>
      </x:c>
      <x:c r="P52" s="7" t="str">
        <x:v>Reset only the far candidate to P3; change only the direct-name prompt wording.</x:v>
      </x:c>
      <x:c r="Q52" s="7" t="str">
        <x:v>Exact-scene language comparison for the endpoint-matched skill control.</x:v>
      </x:c>
      <x:c r="R52" s="7"/>
    </x:row>
    <x:row r="53" ht="66" customHeight="1">
      <x:c r="A53" s="9" t="str">
        <x:v>Not collected</x:v>
      </x:c>
      <x:c r="B53" s="9" t="n">
        <x:v>51</x:v>
      </x:c>
      <x:c r="C53" s="10" t="str">
        <x:v>Pick up the crushed soda can furthest from the green pencil sharpener and place it in the bowl.</x:v>
      </x:c>
      <x:c r="D53" s="10" t="str">
        <x:v>P1 green pencil sharpener at R4 (5 cm toward the robot from center) [REFERENCE]; P2 crushed Pepsi can with 6 cm edge gap to the left of P1 [CLOSE CANDIDATE]; P3 crushed Coke can with 20 cm edge gap to the right of P1 [FAR CANDIDATE]; P4 airplane toy with propellers with 14 cm edge gap in front of P1 [DISTRACTOR]</x:v>
      </x:c>
      <x:c r="E53" s="9"/>
      <x:c r="F53" s="9" t="str">
        <x:v>crushed Coke can</x:v>
      </x:c>
      <x:c r="G53" s="10"/>
      <x:c r="H53" s="9" t="str">
        <x:v>Concept/compositional transfer</x:v>
      </x:c>
      <x:c r="I53" s="9" t="str">
        <x:v>RD-CF09B</x:v>
      </x:c>
      <x:c r="J53" s="9" t="str">
        <x:v>RD-CF09</x:v>
      </x:c>
      <x:c r="K53" s="9" t="str">
        <x:v>crushed soda can</x:v>
      </x:c>
      <x:c r="L53" s="9" t="str">
        <x:v>furthest</x:v>
      </x:c>
      <x:c r="M53" s="9" t="n">
        <x:v>4</x:v>
      </x:c>
      <x:c r="N53" s="9" t="str">
        <x:v>1 — Canonical transfer — Held-out furthest concept with same-category candidates</x:v>
      </x:c>
      <x:c r="O53" s="9" t="n">
        <x:v>18</x:v>
      </x:c>
      <x:c r="P53" s="10" t="str">
        <x:v>From scene A, swap only the P2/P3 candidate identities; keep reference, distractors, camera and distances fixed. Save the new first frame.</x:v>
      </x:c>
      <x:c r="Q53" s="10" t="str">
        <x:v>Furthest/farthest language is absent from fine-tuning. The A/B scene pair swaps which physical identity is far, preventing identity preference from solving both.</x:v>
      </x:c>
      <x:c r="R53" s="10"/>
    </x:row>
    <x:row r="54" ht="66" customHeight="1">
      <x:c r="A54" s="8" t="str">
        <x:v>Not collected</x:v>
      </x:c>
      <x:c r="B54" s="8" t="n">
        <x:v>52</x:v>
      </x:c>
      <x:c r="C54" s="7" t="str">
        <x:v>Pick up the crushed Coke can and place it in the bowl.</x:v>
      </x:c>
      <x:c r="D54" s="7" t="str">
        <x:v>P1 green pencil sharpener at R4 (5 cm toward the robot from center) [REFERENCE]; P2 crushed Pepsi can with 6 cm edge gap to the left of P1 [CLOSE CANDIDATE]; P3 crushed Coke can with 20 cm edge gap to the right of P1 [FAR CANDIDATE]; P4 airplane toy with propellers with 14 cm edge gap in front of P1 [DISTRACTOR]</x:v>
      </x:c>
      <x:c r="E54" s="8" t="n">
        <x:v>51</x:v>
      </x:c>
      <x:c r="F54" s="8" t="str">
        <x:v>crushed Coke can</x:v>
      </x:c>
      <x:c r="G54" s="7"/>
      <x:c r="H54" s="8" t="str">
        <x:v>Matched manipulation control</x:v>
      </x:c>
      <x:c r="I54" s="8" t="str">
        <x:v>RD-CF09B</x:v>
      </x:c>
      <x:c r="J54" s="8" t="str">
        <x:v>RD-CF09</x:v>
      </x:c>
      <x:c r="K54" s="8" t="str">
        <x:v>crushed soda can</x:v>
      </x:c>
      <x:c r="L54" s="8" t="str">
        <x:v>direct name</x:v>
      </x:c>
      <x:c r="M54" s="8" t="n">
        <x:v>4</x:v>
      </x:c>
      <x:c r="N54" s="8" t="str">
        <x:v>2 — Matched control — Direct-name control on identical target and trajectory</x:v>
      </x:c>
      <x:c r="O54" s="8" t="n">
        <x:v>18</x:v>
      </x:c>
      <x:c r="P54" s="7" t="str">
        <x:v>Reset only the far candidate to P3. Keep the full scene exact; replace the relational instruction with the target's direct name.</x:v>
      </x:c>
      <x:c r="Q54" s="7" t="str">
        <x:v>This is a true endpoint-matched manipulation control: scene, target identity, start pose and required trajectory match the furthest trial.</x:v>
      </x:c>
      <x:c r="R54" s="7"/>
    </x:row>
    <x:row r="55" ht="66" customHeight="1">
      <x:c r="A55" s="8" t="str">
        <x:v>Not collected</x:v>
      </x:c>
      <x:c r="B55" s="8" t="n">
        <x:v>53</x:v>
      </x:c>
      <x:c r="C55" s="7" t="str">
        <x:v>Move the crushed Coke can over to the bowl.</x:v>
      </x:c>
      <x:c r="D55" s="7" t="str">
        <x:v>P1 green pencil sharpener at R4 (5 cm toward the robot from center) [REFERENCE]; P2 crushed Pepsi can with 6 cm edge gap to the left of P1 [CLOSE CANDIDATE]; P3 crushed Coke can with 20 cm edge gap to the right of P1 [FAR CANDIDATE]; P4 airplane toy with propellers with 14 cm edge gap in front of P1 [DISTRACTOR]</x:v>
      </x:c>
      <x:c r="E55" s="8" t="n">
        <x:v>52</x:v>
      </x:c>
      <x:c r="F55" s="8" t="str">
        <x:v>crushed Coke can</x:v>
      </x:c>
      <x:c r="G55" s="7"/>
      <x:c r="H55" s="8" t="str">
        <x:v>Language robustness</x:v>
      </x:c>
      <x:c r="I55" s="8" t="str">
        <x:v>RD-CF09B</x:v>
      </x:c>
      <x:c r="J55" s="8" t="str">
        <x:v>RD-CF09</x:v>
      </x:c>
      <x:c r="K55" s="8" t="str">
        <x:v>crushed soda can</x:v>
      </x:c>
      <x:c r="L55" s="8" t="str">
        <x:v>direct-name paraphrase</x:v>
      </x:c>
      <x:c r="M55" s="8" t="n">
        <x:v>4</x:v>
      </x:c>
      <x:c r="N55" s="8" t="str">
        <x:v>3 — Exact-scene control paraphrase — Paraphrase of direct-name matched control</x:v>
      </x:c>
      <x:c r="O55" s="8" t="n">
        <x:v>18</x:v>
      </x:c>
      <x:c r="P55" s="7" t="str">
        <x:v>Reset only the far candidate to P3; change only the direct-name prompt wording.</x:v>
      </x:c>
      <x:c r="Q55" s="7" t="str">
        <x:v>Exact-scene language comparison for the endpoint-matched skill control.</x:v>
      </x:c>
      <x:c r="R55" s="7"/>
    </x:row>
    <x:row r="56" ht="66" customHeight="1">
      <x:c r="A56" s="9" t="str">
        <x:v>Not collected</x:v>
      </x:c>
      <x:c r="B56" s="9" t="n">
        <x:v>54</x:v>
      </x:c>
      <x:c r="C56" s="10" t="str">
        <x:v>Pick up the pencil sharpener furthest from the crushed Pepsi can and place it in the bowl.</x:v>
      </x:c>
      <x:c r="D56" s="10" t="str">
        <x:v>P1 crushed Pepsi can at R5 (5 cm away from the robot from center) [REFERENCE]; P2 red pencil sharpener with 6 cm edge gap to the right of P1 [CLOSE CANDIDATE]; P3 green pencil sharpener with 20 cm edge gap to the left of P1 [FAR CANDIDATE]; P4 airplane toy without propellers with 14 cm edge gap behind P1 [DISTRACTOR]</x:v>
      </x:c>
      <x:c r="E56" s="9"/>
      <x:c r="F56" s="9" t="str">
        <x:v>green pencil sharpener</x:v>
      </x:c>
      <x:c r="G56" s="10"/>
      <x:c r="H56" s="9" t="str">
        <x:v>Concept/compositional transfer</x:v>
      </x:c>
      <x:c r="I56" s="9" t="str">
        <x:v>RD-CF10A</x:v>
      </x:c>
      <x:c r="J56" s="9" t="str">
        <x:v>RD-CF10</x:v>
      </x:c>
      <x:c r="K56" s="9" t="str">
        <x:v>pencil sharpener</x:v>
      </x:c>
      <x:c r="L56" s="9" t="str">
        <x:v>furthest</x:v>
      </x:c>
      <x:c r="M56" s="9" t="n">
        <x:v>4</x:v>
      </x:c>
      <x:c r="N56" s="9" t="str">
        <x:v>1 — Canonical transfer — Held-out furthest concept with same-category candidates</x:v>
      </x:c>
      <x:c r="O56" s="9" t="n">
        <x:v>19</x:v>
      </x:c>
      <x:c r="P56" s="10" t="str">
        <x:v>Build counterfactual scene A and save a first-frame filename.</x:v>
      </x:c>
      <x:c r="Q56" s="10" t="str">
        <x:v>Furthest/farthest language is absent from fine-tuning. The A/B scene pair swaps which physical identity is far, preventing identity preference from solving both.</x:v>
      </x:c>
      <x:c r="R56" s="10"/>
    </x:row>
    <x:row r="57" ht="66" customHeight="1">
      <x:c r="A57" s="8" t="str">
        <x:v>Not collected</x:v>
      </x:c>
      <x:c r="B57" s="8" t="n">
        <x:v>55</x:v>
      </x:c>
      <x:c r="C57" s="7" t="str">
        <x:v>Put the green pencil sharpener in the bowl.</x:v>
      </x:c>
      <x:c r="D57" s="7" t="str">
        <x:v>P1 crushed Pepsi can at R5 (5 cm away from the robot from center) [REFERENCE]; P2 red pencil sharpener with 6 cm edge gap to the right of P1 [CLOSE CANDIDATE]; P3 green pencil sharpener with 20 cm edge gap to the left of P1 [FAR CANDIDATE]; P4 airplane toy without propellers with 14 cm edge gap behind P1 [DISTRACTOR]</x:v>
      </x:c>
      <x:c r="E57" s="8" t="n">
        <x:v>54</x:v>
      </x:c>
      <x:c r="F57" s="8" t="str">
        <x:v>green pencil sharpener</x:v>
      </x:c>
      <x:c r="G57" s="7"/>
      <x:c r="H57" s="8" t="str">
        <x:v>Matched manipulation control</x:v>
      </x:c>
      <x:c r="I57" s="8" t="str">
        <x:v>RD-CF10A</x:v>
      </x:c>
      <x:c r="J57" s="8" t="str">
        <x:v>RD-CF10</x:v>
      </x:c>
      <x:c r="K57" s="8" t="str">
        <x:v>pencil sharpener</x:v>
      </x:c>
      <x:c r="L57" s="8" t="str">
        <x:v>direct name</x:v>
      </x:c>
      <x:c r="M57" s="8" t="n">
        <x:v>4</x:v>
      </x:c>
      <x:c r="N57" s="8" t="str">
        <x:v>2 — Matched control — Direct-name control on identical target and trajectory</x:v>
      </x:c>
      <x:c r="O57" s="8" t="n">
        <x:v>19</x:v>
      </x:c>
      <x:c r="P57" s="7" t="str">
        <x:v>Reset only the far candidate to P3. Keep the full scene exact; replace the relational instruction with the target's direct name.</x:v>
      </x:c>
      <x:c r="Q57" s="7" t="str">
        <x:v>This is a true endpoint-matched manipulation control: scene, target identity, start pose and required trajectory match the furthest trial.</x:v>
      </x:c>
      <x:c r="R57" s="7"/>
    </x:row>
    <x:row r="58" ht="66" customHeight="1">
      <x:c r="A58" s="8" t="str">
        <x:v>Not collected</x:v>
      </x:c>
      <x:c r="B58" s="8" t="n">
        <x:v>56</x:v>
      </x:c>
      <x:c r="C58" s="7" t="str">
        <x:v>Set the green pencil sharpener inside the bowl.</x:v>
      </x:c>
      <x:c r="D58" s="7" t="str">
        <x:v>P1 crushed Pepsi can at R5 (5 cm away from the robot from center) [REFERENCE]; P2 red pencil sharpener with 6 cm edge gap to the right of P1 [CLOSE CANDIDATE]; P3 green pencil sharpener with 20 cm edge gap to the left of P1 [FAR CANDIDATE]; P4 airplane toy without propellers with 14 cm edge gap behind P1 [DISTRACTOR]</x:v>
      </x:c>
      <x:c r="E58" s="8" t="n">
        <x:v>55</x:v>
      </x:c>
      <x:c r="F58" s="8" t="str">
        <x:v>green pencil sharpener</x:v>
      </x:c>
      <x:c r="G58" s="7"/>
      <x:c r="H58" s="8" t="str">
        <x:v>Language robustness</x:v>
      </x:c>
      <x:c r="I58" s="8" t="str">
        <x:v>RD-CF10A</x:v>
      </x:c>
      <x:c r="J58" s="8" t="str">
        <x:v>RD-CF10</x:v>
      </x:c>
      <x:c r="K58" s="8" t="str">
        <x:v>pencil sharpener</x:v>
      </x:c>
      <x:c r="L58" s="8" t="str">
        <x:v>direct-name paraphrase</x:v>
      </x:c>
      <x:c r="M58" s="8" t="n">
        <x:v>4</x:v>
      </x:c>
      <x:c r="N58" s="8" t="str">
        <x:v>3 — Exact-scene control paraphrase — Paraphrase of direct-name matched control</x:v>
      </x:c>
      <x:c r="O58" s="8" t="n">
        <x:v>19</x:v>
      </x:c>
      <x:c r="P58" s="7" t="str">
        <x:v>Reset only the far candidate to P3; change only the direct-name prompt wording.</x:v>
      </x:c>
      <x:c r="Q58" s="7" t="str">
        <x:v>Exact-scene language comparison for the endpoint-matched skill control.</x:v>
      </x:c>
      <x:c r="R58" s="7"/>
    </x:row>
    <x:row r="59" ht="66" customHeight="1">
      <x:c r="A59" s="9" t="str">
        <x:v>Not collected</x:v>
      </x:c>
      <x:c r="B59" s="9" t="n">
        <x:v>57</x:v>
      </x:c>
      <x:c r="C59" s="10" t="str">
        <x:v>Pick up the pencil sharpener furthest from the crushed Pepsi can and place it in the bowl.</x:v>
      </x:c>
      <x:c r="D59" s="10" t="str">
        <x:v>P1 crushed Pepsi can at R5 (5 cm away from the robot from center) [REFERENCE]; P2 green pencil sharpener with 6 cm edge gap to the right of P1 [CLOSE CANDIDATE]; P3 red pencil sharpener with 20 cm edge gap to the left of P1 [FAR CANDIDATE]; P4 airplane toy without propellers with 14 cm edge gap behind P1 [DISTRACTOR]</x:v>
      </x:c>
      <x:c r="E59" s="9"/>
      <x:c r="F59" s="9" t="str">
        <x:v>red pencil sharpener</x:v>
      </x:c>
      <x:c r="G59" s="10"/>
      <x:c r="H59" s="9" t="str">
        <x:v>Concept/compositional transfer</x:v>
      </x:c>
      <x:c r="I59" s="9" t="str">
        <x:v>RD-CF10B</x:v>
      </x:c>
      <x:c r="J59" s="9" t="str">
        <x:v>RD-CF10</x:v>
      </x:c>
      <x:c r="K59" s="9" t="str">
        <x:v>pencil sharpener</x:v>
      </x:c>
      <x:c r="L59" s="9" t="str">
        <x:v>furthest</x:v>
      </x:c>
      <x:c r="M59" s="9" t="n">
        <x:v>4</x:v>
      </x:c>
      <x:c r="N59" s="9" t="str">
        <x:v>1 — Canonical transfer — Held-out furthest concept with same-category candidates</x:v>
      </x:c>
      <x:c r="O59" s="9" t="n">
        <x:v>20</x:v>
      </x:c>
      <x:c r="P59" s="10" t="str">
        <x:v>From scene A, swap only the P2/P3 candidate identities; keep reference, distractors, camera and distances fixed. Save the new first frame.</x:v>
      </x:c>
      <x:c r="Q59" s="10" t="str">
        <x:v>Furthest/farthest language is absent from fine-tuning. The A/B scene pair swaps which physical identity is far, preventing identity preference from solving both.</x:v>
      </x:c>
      <x:c r="R59" s="10"/>
    </x:row>
    <x:row r="60" ht="66" customHeight="1">
      <x:c r="A60" s="8" t="str">
        <x:v>Not collected</x:v>
      </x:c>
      <x:c r="B60" s="8" t="n">
        <x:v>58</x:v>
      </x:c>
      <x:c r="C60" s="7" t="str">
        <x:v>Move the red pencil sharpener into the bowl.</x:v>
      </x:c>
      <x:c r="D60" s="7" t="str">
        <x:v>P1 crushed Pepsi can at R5 (5 cm away from the robot from center) [REFERENCE]; P2 green pencil sharpener with 6 cm edge gap to the right of P1 [CLOSE CANDIDATE]; P3 red pencil sharpener with 20 cm edge gap to the left of P1 [FAR CANDIDATE]; P4 airplane toy without propellers with 14 cm edge gap behind P1 [DISTRACTOR]</x:v>
      </x:c>
      <x:c r="E60" s="8" t="n">
        <x:v>57</x:v>
      </x:c>
      <x:c r="F60" s="8" t="str">
        <x:v>red pencil sharpener</x:v>
      </x:c>
      <x:c r="G60" s="7"/>
      <x:c r="H60" s="8" t="str">
        <x:v>Matched manipulation control</x:v>
      </x:c>
      <x:c r="I60" s="8" t="str">
        <x:v>RD-CF10B</x:v>
      </x:c>
      <x:c r="J60" s="8" t="str">
        <x:v>RD-CF10</x:v>
      </x:c>
      <x:c r="K60" s="8" t="str">
        <x:v>pencil sharpener</x:v>
      </x:c>
      <x:c r="L60" s="8" t="str">
        <x:v>direct name</x:v>
      </x:c>
      <x:c r="M60" s="8" t="n">
        <x:v>4</x:v>
      </x:c>
      <x:c r="N60" s="8" t="str">
        <x:v>2 — Matched control — Direct-name control on identical target and trajectory</x:v>
      </x:c>
      <x:c r="O60" s="8" t="n">
        <x:v>20</x:v>
      </x:c>
      <x:c r="P60" s="7" t="str">
        <x:v>Reset only the far candidate to P3. Keep the full scene exact; replace the relational instruction with the target's direct name.</x:v>
      </x:c>
      <x:c r="Q60" s="7" t="str">
        <x:v>This is a true endpoint-matched manipulation control: scene, target identity, start pose and required trajectory match the furthest trial.</x:v>
      </x:c>
      <x:c r="R60" s="7"/>
    </x:row>
    <x:row r="61" ht="66" customHeight="1">
      <x:c r="A61" s="8" t="str">
        <x:v>Not collected</x:v>
      </x:c>
      <x:c r="B61" s="8" t="n">
        <x:v>59</x:v>
      </x:c>
      <x:c r="C61" s="7" t="str">
        <x:v>Lift the red pencil sharpener and place it in the bowl.</x:v>
      </x:c>
      <x:c r="D61" s="7" t="str">
        <x:v>P1 crushed Pepsi can at R5 (5 cm away from the robot from center) [REFERENCE]; P2 green pencil sharpener with 6 cm edge gap to the right of P1 [CLOSE CANDIDATE]; P3 red pencil sharpener with 20 cm edge gap to the left of P1 [FAR CANDIDATE]; P4 airplane toy without propellers with 14 cm edge gap behind P1 [DISTRACTOR]</x:v>
      </x:c>
      <x:c r="E61" s="8" t="n">
        <x:v>58</x:v>
      </x:c>
      <x:c r="F61" s="8" t="str">
        <x:v>red pencil sharpener</x:v>
      </x:c>
      <x:c r="G61" s="7"/>
      <x:c r="H61" s="8" t="str">
        <x:v>Language robustness</x:v>
      </x:c>
      <x:c r="I61" s="8" t="str">
        <x:v>RD-CF10B</x:v>
      </x:c>
      <x:c r="J61" s="8" t="str">
        <x:v>RD-CF10</x:v>
      </x:c>
      <x:c r="K61" s="8" t="str">
        <x:v>pencil sharpener</x:v>
      </x:c>
      <x:c r="L61" s="8" t="str">
        <x:v>direct-name paraphrase</x:v>
      </x:c>
      <x:c r="M61" s="8" t="n">
        <x:v>4</x:v>
      </x:c>
      <x:c r="N61" s="8" t="str">
        <x:v>3 — Exact-scene control paraphrase — Paraphrase of direct-name matched control</x:v>
      </x:c>
      <x:c r="O61" s="8" t="n">
        <x:v>20</x:v>
      </x:c>
      <x:c r="P61" s="7" t="str">
        <x:v>Reset only the far candidate to P3; change only the direct-name prompt wording.</x:v>
      </x:c>
      <x:c r="Q61" s="7" t="str">
        <x:v>Exact-scene language comparison for the endpoint-matched skill control.</x:v>
      </x:c>
      <x:c r="R61" s="7"/>
    </x:row>
    <x:row r="62" ht="66" customHeight="1">
      <x:c r="A62" s="9" t="str">
        <x:v>Not collected</x:v>
      </x:c>
      <x:c r="B62" s="9" t="n">
        <x:v>60</x:v>
      </x:c>
      <x:c r="C62" s="10" t="str">
        <x:v>Pick up the pen furthest from the airplane toy with propellers and place it in the bowl.</x:v>
      </x:c>
      <x:c r="D62" s="10" t="str">
        <x:v>P1 airplane toy with propellers at R1 (table center) [REFERENCE]; P2 green pen with 6 cm edge gap in front of P1 [CLOSE CANDIDATE]; P3 yellow pen with 20 cm edge gap behind P1 [FAR CANDIDATE]</x:v>
      </x:c>
      <x:c r="E62" s="9"/>
      <x:c r="F62" s="9" t="str">
        <x:v>yellow pen</x:v>
      </x:c>
      <x:c r="G62" s="10"/>
      <x:c r="H62" s="9" t="str">
        <x:v>Concept/compositional transfer</x:v>
      </x:c>
      <x:c r="I62" s="9" t="str">
        <x:v>RD-CF11A</x:v>
      </x:c>
      <x:c r="J62" s="9" t="str">
        <x:v>RD-CF11</x:v>
      </x:c>
      <x:c r="K62" s="9" t="str">
        <x:v>pen</x:v>
      </x:c>
      <x:c r="L62" s="9" t="str">
        <x:v>furthest</x:v>
      </x:c>
      <x:c r="M62" s="9" t="n">
        <x:v>3</x:v>
      </x:c>
      <x:c r="N62" s="9" t="str">
        <x:v>Additional transfer — Additional held-out furthest counterfactual</x:v>
      </x:c>
      <x:c r="O62" s="9" t="n">
        <x:v>21</x:v>
      </x:c>
      <x:c r="P62" s="10" t="str">
        <x:v>Build counterfactual scene A and save a first-frame filename.</x:v>
      </x:c>
      <x:c r="Q62" s="10" t="str">
        <x:v>Unpaired primary-endpoint coverage. Each A/B pair reverses the far physical identity with matched geometry.</x:v>
      </x:c>
      <x:c r="R62" s="10"/>
    </x:row>
    <x:row r="63" ht="66" customHeight="1">
      <x:c r="A63" s="8" t="str">
        <x:v>Not collected</x:v>
      </x:c>
      <x:c r="B63" s="8" t="n">
        <x:v>61</x:v>
      </x:c>
      <x:c r="C63" s="7" t="str">
        <x:v>Pick up the pen furthest from the airplane toy with propellers and place it in the bowl.</x:v>
      </x:c>
      <x:c r="D63" s="7" t="str">
        <x:v>P1 airplane toy with propellers at R1 (table center) [REFERENCE]; P2 yellow pen with 6 cm edge gap in front of P1 [CLOSE CANDIDATE]; P3 green pen with 20 cm edge gap behind P1 [FAR CANDIDATE]</x:v>
      </x:c>
      <x:c r="E63" s="8"/>
      <x:c r="F63" s="8" t="str">
        <x:v>green pen</x:v>
      </x:c>
      <x:c r="G63" s="7"/>
      <x:c r="H63" s="8" t="str">
        <x:v>Concept/compositional transfer</x:v>
      </x:c>
      <x:c r="I63" s="8" t="str">
        <x:v>RD-CF11B</x:v>
      </x:c>
      <x:c r="J63" s="8" t="str">
        <x:v>RD-CF11</x:v>
      </x:c>
      <x:c r="K63" s="8" t="str">
        <x:v>pen</x:v>
      </x:c>
      <x:c r="L63" s="8" t="str">
        <x:v>furthest</x:v>
      </x:c>
      <x:c r="M63" s="8" t="n">
        <x:v>3</x:v>
      </x:c>
      <x:c r="N63" s="8" t="str">
        <x:v>Additional transfer — Additional held-out furthest counterfactual</x:v>
      </x:c>
      <x:c r="O63" s="8" t="n">
        <x:v>22</x:v>
      </x:c>
      <x:c r="P63" s="7" t="str">
        <x:v>Swap only the P2/P3 candidate identities from the preceding A scene; preserve all geometry and other objects.</x:v>
      </x:c>
      <x:c r="Q63" s="7" t="str">
        <x:v>Unpaired primary-endpoint coverage. Each A/B pair reverses the far physical identity with matched geometry.</x:v>
      </x:c>
      <x:c r="R63" s="7"/>
    </x:row>
    <x:row r="64" ht="66" customHeight="1">
      <x:c r="A64" s="9" t="str">
        <x:v>Not collected</x:v>
      </x:c>
      <x:c r="B64" s="9" t="n">
        <x:v>62</x:v>
      </x:c>
      <x:c r="C64" s="10" t="str">
        <x:v>Pick up the airplane toy furthest from the crushed Pepsi can and place it in the bowl.</x:v>
      </x:c>
      <x:c r="D64" s="10" t="str">
        <x:v>P1 crushed Pepsi can at R2 (5 cm left of center) [REFERENCE]; P2 airplane toy without propellers with 6 cm edge gap behind P1 [CLOSE CANDIDATE]; P3 airplane toy with propellers with 20 cm edge gap in front of P1 [FAR CANDIDATE]</x:v>
      </x:c>
      <x:c r="E64" s="9"/>
      <x:c r="F64" s="9" t="str">
        <x:v>airplane toy with propellers</x:v>
      </x:c>
      <x:c r="G64" s="10"/>
      <x:c r="H64" s="9" t="str">
        <x:v>Concept/compositional transfer</x:v>
      </x:c>
      <x:c r="I64" s="9" t="str">
        <x:v>RD-CF12A</x:v>
      </x:c>
      <x:c r="J64" s="9" t="str">
        <x:v>RD-CF12</x:v>
      </x:c>
      <x:c r="K64" s="9" t="str">
        <x:v>airplane toy</x:v>
      </x:c>
      <x:c r="L64" s="9" t="str">
        <x:v>furthest</x:v>
      </x:c>
      <x:c r="M64" s="9" t="n">
        <x:v>3</x:v>
      </x:c>
      <x:c r="N64" s="9" t="str">
        <x:v>Additional transfer — Additional held-out furthest counterfactual</x:v>
      </x:c>
      <x:c r="O64" s="9" t="n">
        <x:v>23</x:v>
      </x:c>
      <x:c r="P64" s="10" t="str">
        <x:v>Build counterfactual scene A and save a first-frame filename.</x:v>
      </x:c>
      <x:c r="Q64" s="10" t="str">
        <x:v>Unpaired primary-endpoint coverage. Each A/B pair reverses the far physical identity with matched geometry.</x:v>
      </x:c>
      <x:c r="R64" s="10"/>
    </x:row>
    <x:row r="65" ht="66" customHeight="1">
      <x:c r="A65" s="8" t="str">
        <x:v>Not collected</x:v>
      </x:c>
      <x:c r="B65" s="8" t="n">
        <x:v>63</x:v>
      </x:c>
      <x:c r="C65" s="7" t="str">
        <x:v>Pick up the airplane toy furthest from the crushed Pepsi can and place it in the bowl.</x:v>
      </x:c>
      <x:c r="D65" s="7" t="str">
        <x:v>P1 crushed Pepsi can at R2 (5 cm left of center) [REFERENCE]; P2 airplane toy with propellers with 6 cm edge gap behind P1 [CLOSE CANDIDATE]; P3 airplane toy without propellers with 20 cm edge gap in front of P1 [FAR CANDIDATE]</x:v>
      </x:c>
      <x:c r="E65" s="8"/>
      <x:c r="F65" s="8" t="str">
        <x:v>airplane toy without propellers</x:v>
      </x:c>
      <x:c r="G65" s="7"/>
      <x:c r="H65" s="8" t="str">
        <x:v>Concept/compositional transfer</x:v>
      </x:c>
      <x:c r="I65" s="8" t="str">
        <x:v>RD-CF12B</x:v>
      </x:c>
      <x:c r="J65" s="8" t="str">
        <x:v>RD-CF12</x:v>
      </x:c>
      <x:c r="K65" s="8" t="str">
        <x:v>airplane toy</x:v>
      </x:c>
      <x:c r="L65" s="8" t="str">
        <x:v>furthest</x:v>
      </x:c>
      <x:c r="M65" s="8" t="n">
        <x:v>3</x:v>
      </x:c>
      <x:c r="N65" s="8" t="str">
        <x:v>Additional transfer — Additional held-out furthest counterfactual</x:v>
      </x:c>
      <x:c r="O65" s="8" t="n">
        <x:v>24</x:v>
      </x:c>
      <x:c r="P65" s="7" t="str">
        <x:v>Swap only the P2/P3 candidate identities from the preceding A scene; preserve all geometry and other objects.</x:v>
      </x:c>
      <x:c r="Q65" s="7" t="str">
        <x:v>Unpaired primary-endpoint coverage. Each A/B pair reverses the far physical identity with matched geometry.</x:v>
      </x:c>
      <x:c r="R65" s="7"/>
    </x:row>
    <x:row r="66" ht="66" customHeight="1">
      <x:c r="A66" s="9" t="str">
        <x:v>Not collected</x:v>
      </x:c>
      <x:c r="B66" s="9" t="n">
        <x:v>64</x:v>
      </x:c>
      <x:c r="C66" s="10" t="str">
        <x:v>Pick up the crushed soda can furthest from the green pen and place it in the bowl.</x:v>
      </x:c>
      <x:c r="D66" s="10" t="str">
        <x:v>P1 green pen at R3 (5 cm right of center) [REFERENCE]; P2 crushed Coke can with 6 cm edge gap to the left of P1 [CLOSE CANDIDATE]; P3 crushed Pepsi can with 20 cm edge gap to the right of P1 [FAR CANDIDATE]</x:v>
      </x:c>
      <x:c r="E66" s="9"/>
      <x:c r="F66" s="9" t="str">
        <x:v>crushed Pepsi can</x:v>
      </x:c>
      <x:c r="G66" s="10"/>
      <x:c r="H66" s="9" t="str">
        <x:v>Concept/compositional transfer</x:v>
      </x:c>
      <x:c r="I66" s="9" t="str">
        <x:v>RD-CF13A</x:v>
      </x:c>
      <x:c r="J66" s="9" t="str">
        <x:v>RD-CF13</x:v>
      </x:c>
      <x:c r="K66" s="9" t="str">
        <x:v>crushed soda can</x:v>
      </x:c>
      <x:c r="L66" s="9" t="str">
        <x:v>furthest</x:v>
      </x:c>
      <x:c r="M66" s="9" t="n">
        <x:v>3</x:v>
      </x:c>
      <x:c r="N66" s="9" t="str">
        <x:v>Additional transfer — Additional held-out furthest counterfactual</x:v>
      </x:c>
      <x:c r="O66" s="9" t="n">
        <x:v>25</x:v>
      </x:c>
      <x:c r="P66" s="10" t="str">
        <x:v>Build counterfactual scene A and save a first-frame filename.</x:v>
      </x:c>
      <x:c r="Q66" s="10" t="str">
        <x:v>Unpaired primary-endpoint coverage. Each A/B pair reverses the far physical identity with matched geometry.</x:v>
      </x:c>
      <x:c r="R66" s="10"/>
    </x:row>
    <x:row r="67" ht="66" customHeight="1">
      <x:c r="A67" s="8" t="str">
        <x:v>Not collected</x:v>
      </x:c>
      <x:c r="B67" s="8" t="n">
        <x:v>65</x:v>
      </x:c>
      <x:c r="C67" s="7" t="str">
        <x:v>Pick up the crushed soda can furthest from the green pen and place it in the bowl.</x:v>
      </x:c>
      <x:c r="D67" s="7" t="str">
        <x:v>P1 green pen at R3 (5 cm right of center) [REFERENCE]; P2 crushed Pepsi can with 6 cm edge gap to the left of P1 [CLOSE CANDIDATE]; P3 crushed Coke can with 20 cm edge gap to the right of P1 [FAR CANDIDATE]</x:v>
      </x:c>
      <x:c r="E67" s="8"/>
      <x:c r="F67" s="8" t="str">
        <x:v>crushed Coke can</x:v>
      </x:c>
      <x:c r="G67" s="7"/>
      <x:c r="H67" s="8" t="str">
        <x:v>Concept/compositional transfer</x:v>
      </x:c>
      <x:c r="I67" s="8" t="str">
        <x:v>RD-CF13B</x:v>
      </x:c>
      <x:c r="J67" s="8" t="str">
        <x:v>RD-CF13</x:v>
      </x:c>
      <x:c r="K67" s="8" t="str">
        <x:v>crushed soda can</x:v>
      </x:c>
      <x:c r="L67" s="8" t="str">
        <x:v>furthest</x:v>
      </x:c>
      <x:c r="M67" s="8" t="n">
        <x:v>3</x:v>
      </x:c>
      <x:c r="N67" s="8" t="str">
        <x:v>Additional transfer — Additional held-out furthest counterfactual</x:v>
      </x:c>
      <x:c r="O67" s="8" t="n">
        <x:v>26</x:v>
      </x:c>
      <x:c r="P67" s="7" t="str">
        <x:v>Swap only the P2/P3 candidate identities from the preceding A scene; preserve all geometry and other objects.</x:v>
      </x:c>
      <x:c r="Q67" s="7" t="str">
        <x:v>Unpaired primary-endpoint coverage. Each A/B pair reverses the far physical identity with matched geometry.</x:v>
      </x:c>
      <x:c r="R67" s="7"/>
    </x:row>
    <x:row r="68" ht="66" customHeight="1">
      <x:c r="A68" s="9" t="str">
        <x:v>Not collected</x:v>
      </x:c>
      <x:c r="B68" s="9" t="n">
        <x:v>66</x:v>
      </x:c>
      <x:c r="C68" s="10" t="str">
        <x:v>Pick up the pencil sharpener furthest from the yellow pen and place it in the bowl.</x:v>
      </x:c>
      <x:c r="D68" s="10" t="str">
        <x:v>P1 yellow pen at R4 (5 cm toward the robot from center) [REFERENCE]; P2 red pencil sharpener with 6 cm edge gap to the right of P1 [CLOSE CANDIDATE]; P3 green pencil sharpener with 20 cm edge gap to the left of P1 [FAR CANDIDATE]; P4 airplane toy with propellers with 14 cm edge gap behind P1 [DISTRACTOR]</x:v>
      </x:c>
      <x:c r="E68" s="9"/>
      <x:c r="F68" s="9" t="str">
        <x:v>green pencil sharpener</x:v>
      </x:c>
      <x:c r="G68" s="10"/>
      <x:c r="H68" s="9" t="str">
        <x:v>Concept/compositional transfer</x:v>
      </x:c>
      <x:c r="I68" s="9" t="str">
        <x:v>RD-CF14A</x:v>
      </x:c>
      <x:c r="J68" s="9" t="str">
        <x:v>RD-CF14</x:v>
      </x:c>
      <x:c r="K68" s="9" t="str">
        <x:v>pencil sharpener</x:v>
      </x:c>
      <x:c r="L68" s="9" t="str">
        <x:v>furthest</x:v>
      </x:c>
      <x:c r="M68" s="9" t="n">
        <x:v>4</x:v>
      </x:c>
      <x:c r="N68" s="9" t="str">
        <x:v>Additional transfer — Additional held-out furthest counterfactual</x:v>
      </x:c>
      <x:c r="O68" s="9" t="n">
        <x:v>27</x:v>
      </x:c>
      <x:c r="P68" s="10" t="str">
        <x:v>Build counterfactual scene A and save a first-frame filename.</x:v>
      </x:c>
      <x:c r="Q68" s="10" t="str">
        <x:v>Unpaired primary-endpoint coverage. Each A/B pair reverses the far physical identity with matched geometry.</x:v>
      </x:c>
      <x:c r="R68" s="10"/>
    </x:row>
    <x:row r="69" ht="66" customHeight="1">
      <x:c r="A69" s="8" t="str">
        <x:v>Not collected</x:v>
      </x:c>
      <x:c r="B69" s="8" t="n">
        <x:v>67</x:v>
      </x:c>
      <x:c r="C69" s="7" t="str">
        <x:v>Pick up the pencil sharpener furthest from the yellow pen and place it in the bowl.</x:v>
      </x:c>
      <x:c r="D69" s="7" t="str">
        <x:v>P1 yellow pen at R4 (5 cm toward the robot from center) [REFERENCE]; P2 green pencil sharpener with 6 cm edge gap to the right of P1 [CLOSE CANDIDATE]; P3 red pencil sharpener with 20 cm edge gap to the left of P1 [FAR CANDIDATE]; P4 airplane toy with propellers with 14 cm edge gap behind P1 [DISTRACTOR]</x:v>
      </x:c>
      <x:c r="E69" s="8"/>
      <x:c r="F69" s="8" t="str">
        <x:v>red pencil sharpener</x:v>
      </x:c>
      <x:c r="G69" s="7"/>
      <x:c r="H69" s="8" t="str">
        <x:v>Concept/compositional transfer</x:v>
      </x:c>
      <x:c r="I69" s="8" t="str">
        <x:v>RD-CF14B</x:v>
      </x:c>
      <x:c r="J69" s="8" t="str">
        <x:v>RD-CF14</x:v>
      </x:c>
      <x:c r="K69" s="8" t="str">
        <x:v>pencil sharpener</x:v>
      </x:c>
      <x:c r="L69" s="8" t="str">
        <x:v>furthest</x:v>
      </x:c>
      <x:c r="M69" s="8" t="n">
        <x:v>4</x:v>
      </x:c>
      <x:c r="N69" s="8" t="str">
        <x:v>Additional transfer — Additional held-out furthest counterfactual</x:v>
      </x:c>
      <x:c r="O69" s="8" t="n">
        <x:v>28</x:v>
      </x:c>
      <x:c r="P69" s="7" t="str">
        <x:v>Swap only the P2/P3 candidate identities from the preceding A scene; preserve all geometry and other objects.</x:v>
      </x:c>
      <x:c r="Q69" s="7" t="str">
        <x:v>Unpaired primary-endpoint coverage. Each A/B pair reverses the far physical identity with matched geometry.</x:v>
      </x:c>
      <x:c r="R69" s="7"/>
    </x:row>
    <x:row r="70" ht="66" customHeight="1">
      <x:c r="A70" s="9" t="str">
        <x:v>Not collected</x:v>
      </x:c>
      <x:c r="B70" s="9" t="n">
        <x:v>68</x:v>
      </x:c>
      <x:c r="C70" s="10" t="str">
        <x:v>Pick up the pen furthest from the green pencil sharpener and place it in the bowl.</x:v>
      </x:c>
      <x:c r="D70" s="10" t="str">
        <x:v>P1 green pencil sharpener at R5 (5 cm away from the robot from center) [REFERENCE]; P2 green pen with 6 cm edge gap in front of P1 [CLOSE CANDIDATE]; P3 yellow pen with 20 cm edge gap behind P1 [FAR CANDIDATE]; P4 airplane toy without propellers with 14 cm edge gap to the left of P1 [DISTRACTOR]</x:v>
      </x:c>
      <x:c r="E70" s="9"/>
      <x:c r="F70" s="9" t="str">
        <x:v>yellow pen</x:v>
      </x:c>
      <x:c r="G70" s="10"/>
      <x:c r="H70" s="9" t="str">
        <x:v>Concept/compositional transfer</x:v>
      </x:c>
      <x:c r="I70" s="9" t="str">
        <x:v>RD-CF15A</x:v>
      </x:c>
      <x:c r="J70" s="9" t="str">
        <x:v>RD-CF15</x:v>
      </x:c>
      <x:c r="K70" s="9" t="str">
        <x:v>pen</x:v>
      </x:c>
      <x:c r="L70" s="9" t="str">
        <x:v>furthest</x:v>
      </x:c>
      <x:c r="M70" s="9" t="n">
        <x:v>4</x:v>
      </x:c>
      <x:c r="N70" s="9" t="str">
        <x:v>Additional transfer — Additional held-out furthest counterfactual</x:v>
      </x:c>
      <x:c r="O70" s="9" t="n">
        <x:v>29</x:v>
      </x:c>
      <x:c r="P70" s="10" t="str">
        <x:v>Build counterfactual scene A and save a first-frame filename.</x:v>
      </x:c>
      <x:c r="Q70" s="10" t="str">
        <x:v>Unpaired primary-endpoint coverage. Each A/B pair reverses the far physical identity with matched geometry.</x:v>
      </x:c>
      <x:c r="R70" s="10"/>
    </x:row>
    <x:row r="71" ht="66" customHeight="1">
      <x:c r="A71" s="8" t="str">
        <x:v>Not collected</x:v>
      </x:c>
      <x:c r="B71" s="8" t="n">
        <x:v>69</x:v>
      </x:c>
      <x:c r="C71" s="7" t="str">
        <x:v>Pick up the pen furthest from the green pencil sharpener and place it in the bowl.</x:v>
      </x:c>
      <x:c r="D71" s="7" t="str">
        <x:v>P1 green pencil sharpener at R5 (5 cm away from the robot from center) [REFERENCE]; P2 yellow pen with 6 cm edge gap in front of P1 [CLOSE CANDIDATE]; P3 green pen with 20 cm edge gap behind P1 [FAR CANDIDATE]; P4 airplane toy without propellers with 14 cm edge gap to the left of P1 [DISTRACTOR]</x:v>
      </x:c>
      <x:c r="E71" s="8"/>
      <x:c r="F71" s="8" t="str">
        <x:v>green pen</x:v>
      </x:c>
      <x:c r="G71" s="7"/>
      <x:c r="H71" s="8" t="str">
        <x:v>Concept/compositional transfer</x:v>
      </x:c>
      <x:c r="I71" s="8" t="str">
        <x:v>RD-CF15B</x:v>
      </x:c>
      <x:c r="J71" s="8" t="str">
        <x:v>RD-CF15</x:v>
      </x:c>
      <x:c r="K71" s="8" t="str">
        <x:v>pen</x:v>
      </x:c>
      <x:c r="L71" s="8" t="str">
        <x:v>furthest</x:v>
      </x:c>
      <x:c r="M71" s="8" t="n">
        <x:v>4</x:v>
      </x:c>
      <x:c r="N71" s="8" t="str">
        <x:v>Additional transfer — Additional held-out furthest counterfactual</x:v>
      </x:c>
      <x:c r="O71" s="8" t="n">
        <x:v>30</x:v>
      </x:c>
      <x:c r="P71" s="7" t="str">
        <x:v>Swap only the P2/P3 candidate identities from the preceding A scene; preserve all geometry and other objects.</x:v>
      </x:c>
      <x:c r="Q71" s="7" t="str">
        <x:v>Unpaired primary-endpoint coverage. Each A/B pair reverses the far physical identity with matched geometry.</x:v>
      </x:c>
      <x:c r="R71" s="7"/>
    </x:row>
    <x:row r="72" ht="66" customHeight="1">
      <x:c r="A72" s="9" t="str">
        <x:v>Not collected</x:v>
      </x:c>
      <x:c r="B72" s="9" t="n">
        <x:v>70</x:v>
      </x:c>
      <x:c r="C72" s="10" t="str">
        <x:v>Pick up the airplane toy furthest from the red pencil sharpener and place it in the bowl.</x:v>
      </x:c>
      <x:c r="D72" s="10" t="str">
        <x:v>P1 red pencil sharpener at R1 (table center) [REFERENCE]; P2 airplane toy without propellers with 6 cm edge gap behind P1 [CLOSE CANDIDATE]; P3 airplane toy with propellers with 20 cm edge gap in front of P1 [FAR CANDIDATE]; P4 crushed Coke can with 14 cm edge gap to the right of P1 [DISTRACTOR]</x:v>
      </x:c>
      <x:c r="E72" s="9"/>
      <x:c r="F72" s="9" t="str">
        <x:v>airplane toy with propellers</x:v>
      </x:c>
      <x:c r="G72" s="10"/>
      <x:c r="H72" s="9" t="str">
        <x:v>Concept/compositional transfer</x:v>
      </x:c>
      <x:c r="I72" s="9" t="str">
        <x:v>RD-CF16A</x:v>
      </x:c>
      <x:c r="J72" s="9" t="str">
        <x:v>RD-CF16</x:v>
      </x:c>
      <x:c r="K72" s="9" t="str">
        <x:v>airplane toy</x:v>
      </x:c>
      <x:c r="L72" s="9" t="str">
        <x:v>furthest</x:v>
      </x:c>
      <x:c r="M72" s="9" t="n">
        <x:v>4</x:v>
      </x:c>
      <x:c r="N72" s="9" t="str">
        <x:v>Additional transfer — Additional held-out furthest counterfactual</x:v>
      </x:c>
      <x:c r="O72" s="9" t="n">
        <x:v>31</x:v>
      </x:c>
      <x:c r="P72" s="10" t="str">
        <x:v>Build counterfactual scene A and save a first-frame filename.</x:v>
      </x:c>
      <x:c r="Q72" s="10" t="str">
        <x:v>Unpaired primary-endpoint coverage. Each A/B pair reverses the far physical identity with matched geometry.</x:v>
      </x:c>
      <x:c r="R72" s="10"/>
    </x:row>
    <x:row r="73" ht="66" customHeight="1">
      <x:c r="A73" s="8" t="str">
        <x:v>Not collected</x:v>
      </x:c>
      <x:c r="B73" s="8" t="n">
        <x:v>71</x:v>
      </x:c>
      <x:c r="C73" s="7" t="str">
        <x:v>Pick up the airplane toy furthest from the red pencil sharpener and place it in the bowl.</x:v>
      </x:c>
      <x:c r="D73" s="7" t="str">
        <x:v>P1 red pencil sharpener at R1 (table center) [REFERENCE]; P2 airplane toy with propellers with 6 cm edge gap behind P1 [CLOSE CANDIDATE]; P3 airplane toy without propellers with 20 cm edge gap in front of P1 [FAR CANDIDATE]; P4 crushed Coke can with 14 cm edge gap to the right of P1 [DISTRACTOR]</x:v>
      </x:c>
      <x:c r="E73" s="8"/>
      <x:c r="F73" s="8" t="str">
        <x:v>airplane toy without propellers</x:v>
      </x:c>
      <x:c r="G73" s="7"/>
      <x:c r="H73" s="8" t="str">
        <x:v>Concept/compositional transfer</x:v>
      </x:c>
      <x:c r="I73" s="8" t="str">
        <x:v>RD-CF16B</x:v>
      </x:c>
      <x:c r="J73" s="8" t="str">
        <x:v>RD-CF16</x:v>
      </x:c>
      <x:c r="K73" s="8" t="str">
        <x:v>airplane toy</x:v>
      </x:c>
      <x:c r="L73" s="8" t="str">
        <x:v>furthest</x:v>
      </x:c>
      <x:c r="M73" s="8" t="n">
        <x:v>4</x:v>
      </x:c>
      <x:c r="N73" s="8" t="str">
        <x:v>Additional transfer — Additional held-out furthest counterfactual</x:v>
      </x:c>
      <x:c r="O73" s="8" t="n">
        <x:v>32</x:v>
      </x:c>
      <x:c r="P73" s="7" t="str">
        <x:v>Swap only the P2/P3 candidate identities from the preceding A scene; preserve all geometry and other objects.</x:v>
      </x:c>
      <x:c r="Q73" s="7" t="str">
        <x:v>Unpaired primary-endpoint coverage. Each A/B pair reverses the far physical identity with matched geometry.</x:v>
      </x:c>
      <x:c r="R73" s="7"/>
    </x:row>
    <x:row r="74" ht="66" customHeight="1">
      <x:c r="A74" s="9" t="str">
        <x:v>Not collected</x:v>
      </x:c>
      <x:c r="B74" s="9" t="n">
        <x:v>72</x:v>
      </x:c>
      <x:c r="C74" s="10" t="str">
        <x:v>Pick up the crushed soda can furthest from the airplane toy with propellers and place it in the bowl.</x:v>
      </x:c>
      <x:c r="D74" s="10" t="str">
        <x:v>P1 airplane toy with propellers at R2 (5 cm left of center) [REFERENCE]; P2 crushed Coke can with 6 cm edge gap to the left of P1 [CLOSE CANDIDATE]; P3 crushed Pepsi can with 20 cm edge gap to the right of P1 [FAR CANDIDATE]; P4 red pencil sharpener with 14 cm edge gap in front of P1 [DISTRACTOR]</x:v>
      </x:c>
      <x:c r="E74" s="9"/>
      <x:c r="F74" s="9" t="str">
        <x:v>crushed Pepsi can</x:v>
      </x:c>
      <x:c r="G74" s="10"/>
      <x:c r="H74" s="9" t="str">
        <x:v>Concept/compositional transfer</x:v>
      </x:c>
      <x:c r="I74" s="9" t="str">
        <x:v>RD-CF17A</x:v>
      </x:c>
      <x:c r="J74" s="9" t="str">
        <x:v>RD-CF17</x:v>
      </x:c>
      <x:c r="K74" s="9" t="str">
        <x:v>crushed soda can</x:v>
      </x:c>
      <x:c r="L74" s="9" t="str">
        <x:v>furthest</x:v>
      </x:c>
      <x:c r="M74" s="9" t="n">
        <x:v>4</x:v>
      </x:c>
      <x:c r="N74" s="9" t="str">
        <x:v>Additional transfer — Additional held-out furthest counterfactual</x:v>
      </x:c>
      <x:c r="O74" s="9" t="n">
        <x:v>33</x:v>
      </x:c>
      <x:c r="P74" s="10" t="str">
        <x:v>Build counterfactual scene A and save a first-frame filename.</x:v>
      </x:c>
      <x:c r="Q74" s="10" t="str">
        <x:v>Unpaired primary-endpoint coverage. Each A/B pair reverses the far physical identity with matched geometry.</x:v>
      </x:c>
      <x:c r="R74" s="10"/>
    </x:row>
    <x:row r="75" ht="66" customHeight="1">
      <x:c r="A75" s="8" t="str">
        <x:v>Not collected</x:v>
      </x:c>
      <x:c r="B75" s="8" t="n">
        <x:v>73</x:v>
      </x:c>
      <x:c r="C75" s="7" t="str">
        <x:v>Pick up the crushed soda can furthest from the airplane toy with propellers and place it in the bowl.</x:v>
      </x:c>
      <x:c r="D75" s="7" t="str">
        <x:v>P1 airplane toy with propellers at R2 (5 cm left of center) [REFERENCE]; P2 crushed Pepsi can with 6 cm edge gap to the left of P1 [CLOSE CANDIDATE]; P3 crushed Coke can with 20 cm edge gap to the right of P1 [FAR CANDIDATE]; P4 red pencil sharpener with 14 cm edge gap in front of P1 [DISTRACTOR]</x:v>
      </x:c>
      <x:c r="E75" s="8"/>
      <x:c r="F75" s="8" t="str">
        <x:v>crushed Coke can</x:v>
      </x:c>
      <x:c r="G75" s="7"/>
      <x:c r="H75" s="8" t="str">
        <x:v>Concept/compositional transfer</x:v>
      </x:c>
      <x:c r="I75" s="8" t="str">
        <x:v>RD-CF17B</x:v>
      </x:c>
      <x:c r="J75" s="8" t="str">
        <x:v>RD-CF17</x:v>
      </x:c>
      <x:c r="K75" s="8" t="str">
        <x:v>crushed soda can</x:v>
      </x:c>
      <x:c r="L75" s="8" t="str">
        <x:v>furthest</x:v>
      </x:c>
      <x:c r="M75" s="8" t="n">
        <x:v>4</x:v>
      </x:c>
      <x:c r="N75" s="8" t="str">
        <x:v>Additional transfer — Additional held-out furthest counterfactual</x:v>
      </x:c>
      <x:c r="O75" s="8" t="n">
        <x:v>34</x:v>
      </x:c>
      <x:c r="P75" s="7" t="str">
        <x:v>Swap only the P2/P3 candidate identities from the preceding A scene; preserve all geometry and other objects.</x:v>
      </x:c>
      <x:c r="Q75" s="7" t="str">
        <x:v>Unpaired primary-endpoint coverage. Each A/B pair reverses the far physical identity with matched geometry.</x:v>
      </x:c>
      <x:c r="R75" s="7"/>
    </x:row>
    <x:row r="76" ht="66" customHeight="1">
      <x:c r="A76" s="9" t="str">
        <x:v>Not collected</x:v>
      </x:c>
      <x:c r="B76" s="9" t="n">
        <x:v>74</x:v>
      </x:c>
      <x:c r="C76" s="10" t="str">
        <x:v>Pick up the pencil sharpener furthest from the airplane toy without propellers and place it in the bowl.</x:v>
      </x:c>
      <x:c r="D76" s="10" t="str">
        <x:v>P1 airplane toy without propellers at R3 (5 cm right of center) [REFERENCE]; P2 red pencil sharpener with 6 cm edge gap to the right of P1 [CLOSE CANDIDATE]; P3 green pencil sharpener with 20 cm edge gap to the left of P1 [FAR CANDIDATE]; P4 green pen with 14 cm edge gap behind P1 [DISTRACTOR]</x:v>
      </x:c>
      <x:c r="E76" s="9"/>
      <x:c r="F76" s="9" t="str">
        <x:v>green pencil sharpener</x:v>
      </x:c>
      <x:c r="G76" s="10"/>
      <x:c r="H76" s="9" t="str">
        <x:v>Concept/compositional transfer</x:v>
      </x:c>
      <x:c r="I76" s="9" t="str">
        <x:v>RD-CF18A</x:v>
      </x:c>
      <x:c r="J76" s="9" t="str">
        <x:v>RD-CF18</x:v>
      </x:c>
      <x:c r="K76" s="9" t="str">
        <x:v>pencil sharpener</x:v>
      </x:c>
      <x:c r="L76" s="9" t="str">
        <x:v>furthest</x:v>
      </x:c>
      <x:c r="M76" s="9" t="n">
        <x:v>4</x:v>
      </x:c>
      <x:c r="N76" s="9" t="str">
        <x:v>Additional transfer — Additional held-out furthest counterfactual</x:v>
      </x:c>
      <x:c r="O76" s="9" t="n">
        <x:v>35</x:v>
      </x:c>
      <x:c r="P76" s="10" t="str">
        <x:v>Build counterfactual scene A and save a first-frame filename.</x:v>
      </x:c>
      <x:c r="Q76" s="10" t="str">
        <x:v>Unpaired primary-endpoint coverage. Each A/B pair reverses the far physical identity with matched geometry.</x:v>
      </x:c>
      <x:c r="R76" s="10"/>
    </x:row>
    <x:row r="77" ht="66" customHeight="1">
      <x:c r="A77" s="8" t="str">
        <x:v>Not collected</x:v>
      </x:c>
      <x:c r="B77" s="8" t="n">
        <x:v>75</x:v>
      </x:c>
      <x:c r="C77" s="7" t="str">
        <x:v>Pick up the pencil sharpener furthest from the airplane toy without propellers and place it in the bowl.</x:v>
      </x:c>
      <x:c r="D77" s="7" t="str">
        <x:v>P1 airplane toy without propellers at R3 (5 cm right of center) [REFERENCE]; P2 green pencil sharpener with 6 cm edge gap to the right of P1 [CLOSE CANDIDATE]; P3 red pencil sharpener with 20 cm edge gap to the left of P1 [FAR CANDIDATE]; P4 green pen with 14 cm edge gap behind P1 [DISTRACTOR]</x:v>
      </x:c>
      <x:c r="E77" s="8"/>
      <x:c r="F77" s="8" t="str">
        <x:v>red pencil sharpener</x:v>
      </x:c>
      <x:c r="G77" s="7"/>
      <x:c r="H77" s="8" t="str">
        <x:v>Concept/compositional transfer</x:v>
      </x:c>
      <x:c r="I77" s="8" t="str">
        <x:v>RD-CF18B</x:v>
      </x:c>
      <x:c r="J77" s="8" t="str">
        <x:v>RD-CF18</x:v>
      </x:c>
      <x:c r="K77" s="8" t="str">
        <x:v>pencil sharpener</x:v>
      </x:c>
      <x:c r="L77" s="8" t="str">
        <x:v>furthest</x:v>
      </x:c>
      <x:c r="M77" s="8" t="n">
        <x:v>4</x:v>
      </x:c>
      <x:c r="N77" s="8" t="str">
        <x:v>Additional transfer — Additional held-out furthest counterfactual</x:v>
      </x:c>
      <x:c r="O77" s="8" t="n">
        <x:v>36</x:v>
      </x:c>
      <x:c r="P77" s="7" t="str">
        <x:v>Swap only the P2/P3 candidate identities from the preceding A scene; preserve all geometry and other objects.</x:v>
      </x:c>
      <x:c r="Q77" s="7" t="str">
        <x:v>Unpaired primary-endpoint coverage. Each A/B pair reverses the far physical identity with matched geometry.</x:v>
      </x:c>
      <x:c r="R77" s="7"/>
    </x:row>
    <x:row r="78" ht="66" customHeight="1">
      <x:c r="A78" s="9" t="str">
        <x:v>Not collected</x:v>
      </x:c>
      <x:c r="B78" s="9" t="n">
        <x:v>76</x:v>
      </x:c>
      <x:c r="C78" s="10" t="str">
        <x:v>Pick up the pen furthest from the crushed Coke can and place it in the bowl.</x:v>
      </x:c>
      <x:c r="D78" s="10" t="str">
        <x:v>P1 crushed Coke can at R4 (5 cm toward the robot from center) [REFERENCE]; P2 green pen with 6 cm edge gap in front of P1 [CLOSE CANDIDATE]; P3 yellow pen with 20 cm edge gap behind P1 [FAR CANDIDATE]; P4 airplane toy with propellers with 14 cm edge gap to the left of P1 [DISTRACTOR]</x:v>
      </x:c>
      <x:c r="E78" s="9"/>
      <x:c r="F78" s="9" t="str">
        <x:v>yellow pen</x:v>
      </x:c>
      <x:c r="G78" s="10"/>
      <x:c r="H78" s="9" t="str">
        <x:v>Concept/compositional transfer</x:v>
      </x:c>
      <x:c r="I78" s="9" t="str">
        <x:v>RD-CF19A</x:v>
      </x:c>
      <x:c r="J78" s="9" t="str">
        <x:v>RD-CF19</x:v>
      </x:c>
      <x:c r="K78" s="9" t="str">
        <x:v>pen</x:v>
      </x:c>
      <x:c r="L78" s="9" t="str">
        <x:v>furthest</x:v>
      </x:c>
      <x:c r="M78" s="9" t="n">
        <x:v>4</x:v>
      </x:c>
      <x:c r="N78" s="9" t="str">
        <x:v>Additional transfer — Additional held-out furthest counterfactual</x:v>
      </x:c>
      <x:c r="O78" s="9" t="n">
        <x:v>37</x:v>
      </x:c>
      <x:c r="P78" s="10" t="str">
        <x:v>Build counterfactual scene A and save a first-frame filename.</x:v>
      </x:c>
      <x:c r="Q78" s="10" t="str">
        <x:v>Unpaired primary-endpoint coverage. Each A/B pair reverses the far physical identity with matched geometry.</x:v>
      </x:c>
      <x:c r="R78" s="10"/>
    </x:row>
    <x:row r="79" ht="66" customHeight="1">
      <x:c r="A79" s="8" t="str">
        <x:v>Not collected</x:v>
      </x:c>
      <x:c r="B79" s="8" t="n">
        <x:v>77</x:v>
      </x:c>
      <x:c r="C79" s="7" t="str">
        <x:v>Pick up the pen furthest from the crushed Coke can and place it in the bowl.</x:v>
      </x:c>
      <x:c r="D79" s="7" t="str">
        <x:v>P1 crushed Coke can at R4 (5 cm toward the robot from center) [REFERENCE]; P2 yellow pen with 6 cm edge gap in front of P1 [CLOSE CANDIDATE]; P3 green pen with 20 cm edge gap behind P1 [FAR CANDIDATE]; P4 airplane toy with propellers with 14 cm edge gap to the left of P1 [DISTRACTOR]</x:v>
      </x:c>
      <x:c r="E79" s="8"/>
      <x:c r="F79" s="8" t="str">
        <x:v>green pen</x:v>
      </x:c>
      <x:c r="G79" s="7"/>
      <x:c r="H79" s="8" t="str">
        <x:v>Concept/compositional transfer</x:v>
      </x:c>
      <x:c r="I79" s="8" t="str">
        <x:v>RD-CF19B</x:v>
      </x:c>
      <x:c r="J79" s="8" t="str">
        <x:v>RD-CF19</x:v>
      </x:c>
      <x:c r="K79" s="8" t="str">
        <x:v>pen</x:v>
      </x:c>
      <x:c r="L79" s="8" t="str">
        <x:v>furthest</x:v>
      </x:c>
      <x:c r="M79" s="8" t="n">
        <x:v>4</x:v>
      </x:c>
      <x:c r="N79" s="8" t="str">
        <x:v>Additional transfer — Additional held-out furthest counterfactual</x:v>
      </x:c>
      <x:c r="O79" s="8" t="n">
        <x:v>38</x:v>
      </x:c>
      <x:c r="P79" s="7" t="str">
        <x:v>Swap only the P2/P3 candidate identities from the preceding A scene; preserve all geometry and other objects.</x:v>
      </x:c>
      <x:c r="Q79" s="7" t="str">
        <x:v>Unpaired primary-endpoint coverage. Each A/B pair reverses the far physical identity with matched geometry.</x:v>
      </x:c>
      <x:c r="R79" s="7"/>
    </x:row>
    <x:row r="80" ht="66" customHeight="1">
      <x:c r="A80" s="9" t="str">
        <x:v>Not collected</x:v>
      </x:c>
      <x:c r="B80" s="9" t="n">
        <x:v>78</x:v>
      </x:c>
      <x:c r="C80" s="10" t="str">
        <x:v>Pick up the airplane toy furthest from the yellow pen and place it in the bowl.</x:v>
      </x:c>
      <x:c r="D80" s="10" t="str">
        <x:v>P1 yellow pen at R5 (5 cm away from the robot from center) [REFERENCE]; P2 airplane toy without propellers with 6 cm edge gap behind P1 [CLOSE CANDIDATE]; P3 airplane toy with propellers with 20 cm edge gap in front of P1 [FAR CANDIDATE]; P4 green pen with 14 cm edge gap to the right of P1 [DISTRACTOR]</x:v>
      </x:c>
      <x:c r="E80" s="9"/>
      <x:c r="F80" s="9" t="str">
        <x:v>airplane toy with propellers</x:v>
      </x:c>
      <x:c r="G80" s="10"/>
      <x:c r="H80" s="9" t="str">
        <x:v>Concept/compositional transfer</x:v>
      </x:c>
      <x:c r="I80" s="9" t="str">
        <x:v>RD-CF20A</x:v>
      </x:c>
      <x:c r="J80" s="9" t="str">
        <x:v>RD-CF20</x:v>
      </x:c>
      <x:c r="K80" s="9" t="str">
        <x:v>airplane toy</x:v>
      </x:c>
      <x:c r="L80" s="9" t="str">
        <x:v>furthest</x:v>
      </x:c>
      <x:c r="M80" s="9" t="n">
        <x:v>4</x:v>
      </x:c>
      <x:c r="N80" s="9" t="str">
        <x:v>Additional transfer — Additional held-out furthest counterfactual</x:v>
      </x:c>
      <x:c r="O80" s="9" t="n">
        <x:v>39</x:v>
      </x:c>
      <x:c r="P80" s="10" t="str">
        <x:v>Build counterfactual scene A and save a first-frame filename.</x:v>
      </x:c>
      <x:c r="Q80" s="10" t="str">
        <x:v>Unpaired primary-endpoint coverage. Each A/B pair reverses the far physical identity with matched geometry.</x:v>
      </x:c>
      <x:c r="R80" s="10"/>
    </x:row>
    <x:row r="81" ht="66" customHeight="1">
      <x:c r="A81" s="8" t="str">
        <x:v>Not collected</x:v>
      </x:c>
      <x:c r="B81" s="8" t="n">
        <x:v>79</x:v>
      </x:c>
      <x:c r="C81" s="7" t="str">
        <x:v>Pick up the airplane toy furthest from the yellow pen and place it in the bowl.</x:v>
      </x:c>
      <x:c r="D81" s="7" t="str">
        <x:v>P1 yellow pen at R5 (5 cm away from the robot from center) [REFERENCE]; P2 airplane toy with propellers with 6 cm edge gap behind P1 [CLOSE CANDIDATE]; P3 airplane toy without propellers with 20 cm edge gap in front of P1 [FAR CANDIDATE]; P4 green pen with 14 cm edge gap to the right of P1 [DISTRACTOR]</x:v>
      </x:c>
      <x:c r="E81" s="8"/>
      <x:c r="F81" s="8" t="str">
        <x:v>airplane toy without propellers</x:v>
      </x:c>
      <x:c r="G81" s="7"/>
      <x:c r="H81" s="8" t="str">
        <x:v>Concept/compositional transfer</x:v>
      </x:c>
      <x:c r="I81" s="8" t="str">
        <x:v>RD-CF20B</x:v>
      </x:c>
      <x:c r="J81" s="8" t="str">
        <x:v>RD-CF20</x:v>
      </x:c>
      <x:c r="K81" s="8" t="str">
        <x:v>airplane toy</x:v>
      </x:c>
      <x:c r="L81" s="8" t="str">
        <x:v>furthest</x:v>
      </x:c>
      <x:c r="M81" s="8" t="n">
        <x:v>4</x:v>
      </x:c>
      <x:c r="N81" s="8" t="str">
        <x:v>Additional transfer — Additional held-out furthest counterfactual</x:v>
      </x:c>
      <x:c r="O81" s="8" t="n">
        <x:v>40</x:v>
      </x:c>
      <x:c r="P81" s="7" t="str">
        <x:v>Swap only the P2/P3 candidate identities from the preceding A scene; preserve all geometry and other objects.</x:v>
      </x:c>
      <x:c r="Q81" s="7" t="str">
        <x:v>Unpaired primary-endpoint coverage. Each A/B pair reverses the far physical identity with matched geometry.</x:v>
      </x:c>
      <x:c r="R81" s="7"/>
    </x:row>
    <x:row r="82" ht="66" customHeight="1">
      <x:c r="A82" s="9" t="str">
        <x:v>Not collected</x:v>
      </x:c>
      <x:c r="B82" s="9" t="n">
        <x:v>80</x:v>
      </x:c>
      <x:c r="C82" s="10" t="str">
        <x:v>Pick up the crushed soda can furthest from the green pencil sharpener and place it in the bowl.</x:v>
      </x:c>
      <x:c r="D82" s="10" t="str">
        <x:v>P1 green pencil sharpener at R1 (table center) [REFERENCE]; P2 crushed Coke can with 6 cm edge gap to the left of P1 [CLOSE CANDIDATE]; P3 crushed Pepsi can with 20 cm edge gap to the right of P1 [FAR CANDIDATE]; P4 red pencil sharpener with 14 cm edge gap in front of P1 [DISTRACTOR]; P5 green pen with 14 cm edge gap behind P1 [DISTRACTOR]</x:v>
      </x:c>
      <x:c r="E82" s="9"/>
      <x:c r="F82" s="9" t="str">
        <x:v>crushed Pepsi can</x:v>
      </x:c>
      <x:c r="G82" s="10"/>
      <x:c r="H82" s="9" t="str">
        <x:v>Concept/compositional transfer</x:v>
      </x:c>
      <x:c r="I82" s="9" t="str">
        <x:v>RD-CF21A</x:v>
      </x:c>
      <x:c r="J82" s="9" t="str">
        <x:v>RD-CF21</x:v>
      </x:c>
      <x:c r="K82" s="9" t="str">
        <x:v>crushed soda can</x:v>
      </x:c>
      <x:c r="L82" s="9" t="str">
        <x:v>furthest</x:v>
      </x:c>
      <x:c r="M82" s="9" t="n">
        <x:v>5</x:v>
      </x:c>
      <x:c r="N82" s="9" t="str">
        <x:v>Additional transfer — Additional held-out furthest counterfactual</x:v>
      </x:c>
      <x:c r="O82" s="9" t="n">
        <x:v>41</x:v>
      </x:c>
      <x:c r="P82" s="10" t="str">
        <x:v>Build counterfactual scene A and save a first-frame filename.</x:v>
      </x:c>
      <x:c r="Q82" s="10" t="str">
        <x:v>Unpaired primary-endpoint coverage. Each A/B pair reverses the far physical identity with matched geometry.</x:v>
      </x:c>
      <x:c r="R82" s="10"/>
    </x:row>
    <x:row r="83" ht="66" customHeight="1">
      <x:c r="A83" s="8" t="str">
        <x:v>Not collected</x:v>
      </x:c>
      <x:c r="B83" s="8" t="n">
        <x:v>81</x:v>
      </x:c>
      <x:c r="C83" s="7" t="str">
        <x:v>Pick up the crushed soda can furthest from the green pencil sharpener and place it in the bowl.</x:v>
      </x:c>
      <x:c r="D83" s="7" t="str">
        <x:v>P1 green pencil sharpener at R1 (table center) [REFERENCE]; P2 crushed Pepsi can with 6 cm edge gap to the left of P1 [CLOSE CANDIDATE]; P3 crushed Coke can with 20 cm edge gap to the right of P1 [FAR CANDIDATE]; P4 red pencil sharpener with 14 cm edge gap in front of P1 [DISTRACTOR]; P5 green pen with 14 cm edge gap behind P1 [DISTRACTOR]</x:v>
      </x:c>
      <x:c r="E83" s="8"/>
      <x:c r="F83" s="8" t="str">
        <x:v>crushed Coke can</x:v>
      </x:c>
      <x:c r="G83" s="7"/>
      <x:c r="H83" s="8" t="str">
        <x:v>Concept/compositional transfer</x:v>
      </x:c>
      <x:c r="I83" s="8" t="str">
        <x:v>RD-CF21B</x:v>
      </x:c>
      <x:c r="J83" s="8" t="str">
        <x:v>RD-CF21</x:v>
      </x:c>
      <x:c r="K83" s="8" t="str">
        <x:v>crushed soda can</x:v>
      </x:c>
      <x:c r="L83" s="8" t="str">
        <x:v>furthest</x:v>
      </x:c>
      <x:c r="M83" s="8" t="n">
        <x:v>5</x:v>
      </x:c>
      <x:c r="N83" s="8" t="str">
        <x:v>Additional transfer — Additional held-out furthest counterfactual</x:v>
      </x:c>
      <x:c r="O83" s="8" t="n">
        <x:v>42</x:v>
      </x:c>
      <x:c r="P83" s="7" t="str">
        <x:v>Swap only the P2/P3 candidate identities from the preceding A scene; preserve all geometry and other objects.</x:v>
      </x:c>
      <x:c r="Q83" s="7" t="str">
        <x:v>Unpaired primary-endpoint coverage. Each A/B pair reverses the far physical identity with matched geometry.</x:v>
      </x:c>
      <x:c r="R83" s="7"/>
    </x:row>
    <x:row r="84" ht="66" customHeight="1">
      <x:c r="A84" s="9" t="str">
        <x:v>Not collected</x:v>
      </x:c>
      <x:c r="B84" s="9" t="n">
        <x:v>82</x:v>
      </x:c>
      <x:c r="C84" s="10" t="str">
        <x:v>Pick up the pencil sharpener furthest from the crushed Pepsi can and place it in the bowl.</x:v>
      </x:c>
      <x:c r="D84" s="10" t="str">
        <x:v>P1 crushed Pepsi can at R2 (5 cm left of center) [REFERENCE]; P2 red pencil sharpener with 6 cm edge gap to the right of P1 [CLOSE CANDIDATE]; P3 green pencil sharpener with 20 cm edge gap to the left of P1 [FAR CANDIDATE]; P4 green pen with 14 cm edge gap behind P1 [DISTRACTOR]; P5 yellow pen with 14 cm edge gap in front of P1 [DISTRACTOR]</x:v>
      </x:c>
      <x:c r="E84" s="9"/>
      <x:c r="F84" s="9" t="str">
        <x:v>green pencil sharpener</x:v>
      </x:c>
      <x:c r="G84" s="10"/>
      <x:c r="H84" s="9" t="str">
        <x:v>Concept/compositional transfer</x:v>
      </x:c>
      <x:c r="I84" s="9" t="str">
        <x:v>RD-CF22A</x:v>
      </x:c>
      <x:c r="J84" s="9" t="str">
        <x:v>RD-CF22</x:v>
      </x:c>
      <x:c r="K84" s="9" t="str">
        <x:v>pencil sharpener</x:v>
      </x:c>
      <x:c r="L84" s="9" t="str">
        <x:v>furthest</x:v>
      </x:c>
      <x:c r="M84" s="9" t="n">
        <x:v>5</x:v>
      </x:c>
      <x:c r="N84" s="9" t="str">
        <x:v>Additional transfer — Additional held-out furthest counterfactual</x:v>
      </x:c>
      <x:c r="O84" s="9" t="n">
        <x:v>43</x:v>
      </x:c>
      <x:c r="P84" s="10" t="str">
        <x:v>Build counterfactual scene A and save a first-frame filename.</x:v>
      </x:c>
      <x:c r="Q84" s="10" t="str">
        <x:v>Unpaired primary-endpoint coverage. Each A/B pair reverses the far physical identity with matched geometry.</x:v>
      </x:c>
      <x:c r="R84" s="10"/>
    </x:row>
    <x:row r="85" ht="66" customHeight="1">
      <x:c r="A85" s="8" t="str">
        <x:v>Not collected</x:v>
      </x:c>
      <x:c r="B85" s="8" t="n">
        <x:v>83</x:v>
      </x:c>
      <x:c r="C85" s="7" t="str">
        <x:v>Pick up the pencil sharpener furthest from the crushed Pepsi can and place it in the bowl.</x:v>
      </x:c>
      <x:c r="D85" s="7" t="str">
        <x:v>P1 crushed Pepsi can at R2 (5 cm left of center) [REFERENCE]; P2 green pencil sharpener with 6 cm edge gap to the right of P1 [CLOSE CANDIDATE]; P3 red pencil sharpener with 20 cm edge gap to the left of P1 [FAR CANDIDATE]; P4 green pen with 14 cm edge gap behind P1 [DISTRACTOR]; P5 yellow pen with 14 cm edge gap in front of P1 [DISTRACTOR]</x:v>
      </x:c>
      <x:c r="E85" s="8"/>
      <x:c r="F85" s="8" t="str">
        <x:v>red pencil sharpener</x:v>
      </x:c>
      <x:c r="G85" s="7"/>
      <x:c r="H85" s="8" t="str">
        <x:v>Concept/compositional transfer</x:v>
      </x:c>
      <x:c r="I85" s="8" t="str">
        <x:v>RD-CF22B</x:v>
      </x:c>
      <x:c r="J85" s="8" t="str">
        <x:v>RD-CF22</x:v>
      </x:c>
      <x:c r="K85" s="8" t="str">
        <x:v>pencil sharpener</x:v>
      </x:c>
      <x:c r="L85" s="8" t="str">
        <x:v>furthest</x:v>
      </x:c>
      <x:c r="M85" s="8" t="n">
        <x:v>5</x:v>
      </x:c>
      <x:c r="N85" s="8" t="str">
        <x:v>Additional transfer — Additional held-out furthest counterfactual</x:v>
      </x:c>
      <x:c r="O85" s="8" t="n">
        <x:v>44</x:v>
      </x:c>
      <x:c r="P85" s="7" t="str">
        <x:v>Swap only the P2/P3 candidate identities from the preceding A scene; preserve all geometry and other objects.</x:v>
      </x:c>
      <x:c r="Q85" s="7" t="str">
        <x:v>Unpaired primary-endpoint coverage. Each A/B pair reverses the far physical identity with matched geometry.</x:v>
      </x:c>
      <x:c r="R85" s="7"/>
    </x:row>
    <x:row r="86" ht="66" customHeight="1">
      <x:c r="A86" s="9" t="str">
        <x:v>Not collected</x:v>
      </x:c>
      <x:c r="B86" s="9" t="n">
        <x:v>84</x:v>
      </x:c>
      <x:c r="C86" s="10" t="str">
        <x:v>Pick up the pen furthest from the airplane toy with propellers and place it in the bowl.</x:v>
      </x:c>
      <x:c r="D86" s="10" t="str">
        <x:v>P1 airplane toy with propellers at R3 (5 cm right of center) [REFERENCE]; P2 green pen with 6 cm edge gap in front of P1 [CLOSE CANDIDATE]; P3 yellow pen with 20 cm edge gap behind P1 [FAR CANDIDATE]; P4 green pencil sharpener with 14 cm edge gap to the left of P1 [DISTRACTOR]; P5 red pencil sharpener with 14 cm edge gap to the right of P1 [DISTRACTOR]</x:v>
      </x:c>
      <x:c r="E86" s="9"/>
      <x:c r="F86" s="9" t="str">
        <x:v>yellow pen</x:v>
      </x:c>
      <x:c r="G86" s="10"/>
      <x:c r="H86" s="9" t="str">
        <x:v>Concept/compositional transfer</x:v>
      </x:c>
      <x:c r="I86" s="9" t="str">
        <x:v>RD-CF23A</x:v>
      </x:c>
      <x:c r="J86" s="9" t="str">
        <x:v>RD-CF23</x:v>
      </x:c>
      <x:c r="K86" s="9" t="str">
        <x:v>pen</x:v>
      </x:c>
      <x:c r="L86" s="9" t="str">
        <x:v>furthest</x:v>
      </x:c>
      <x:c r="M86" s="9" t="n">
        <x:v>5</x:v>
      </x:c>
      <x:c r="N86" s="9" t="str">
        <x:v>Additional transfer — Additional held-out furthest counterfactual</x:v>
      </x:c>
      <x:c r="O86" s="9" t="n">
        <x:v>45</x:v>
      </x:c>
      <x:c r="P86" s="10" t="str">
        <x:v>Build counterfactual scene A and save a first-frame filename.</x:v>
      </x:c>
      <x:c r="Q86" s="10" t="str">
        <x:v>Unpaired primary-endpoint coverage. Each A/B pair reverses the far physical identity with matched geometry.</x:v>
      </x:c>
      <x:c r="R86" s="10"/>
    </x:row>
    <x:row r="87" ht="66" customHeight="1">
      <x:c r="A87" s="8" t="str">
        <x:v>Not collected</x:v>
      </x:c>
      <x:c r="B87" s="8" t="n">
        <x:v>85</x:v>
      </x:c>
      <x:c r="C87" s="7" t="str">
        <x:v>Pick up the pen furthest from the airplane toy with propellers and place it in the bowl.</x:v>
      </x:c>
      <x:c r="D87" s="7" t="str">
        <x:v>P1 airplane toy with propellers at R3 (5 cm right of center) [REFERENCE]; P2 yellow pen with 6 cm edge gap in front of P1 [CLOSE CANDIDATE]; P3 green pen with 20 cm edge gap behind P1 [FAR CANDIDATE]; P4 green pencil sharpener with 14 cm edge gap to the left of P1 [DISTRACTOR]; P5 red pencil sharpener with 14 cm edge gap to the right of P1 [DISTRACTOR]</x:v>
      </x:c>
      <x:c r="E87" s="8"/>
      <x:c r="F87" s="8" t="str">
        <x:v>green pen</x:v>
      </x:c>
      <x:c r="G87" s="7"/>
      <x:c r="H87" s="8" t="str">
        <x:v>Concept/compositional transfer</x:v>
      </x:c>
      <x:c r="I87" s="8" t="str">
        <x:v>RD-CF23B</x:v>
      </x:c>
      <x:c r="J87" s="8" t="str">
        <x:v>RD-CF23</x:v>
      </x:c>
      <x:c r="K87" s="8" t="str">
        <x:v>pen</x:v>
      </x:c>
      <x:c r="L87" s="8" t="str">
        <x:v>furthest</x:v>
      </x:c>
      <x:c r="M87" s="8" t="n">
        <x:v>5</x:v>
      </x:c>
      <x:c r="N87" s="8" t="str">
        <x:v>Additional transfer — Additional held-out furthest counterfactual</x:v>
      </x:c>
      <x:c r="O87" s="8" t="n">
        <x:v>46</x:v>
      </x:c>
      <x:c r="P87" s="7" t="str">
        <x:v>Swap only the P2/P3 candidate identities from the preceding A scene; preserve all geometry and other objects.</x:v>
      </x:c>
      <x:c r="Q87" s="7" t="str">
        <x:v>Unpaired primary-endpoint coverage. Each A/B pair reverses the far physical identity with matched geometry.</x:v>
      </x:c>
      <x:c r="R87" s="7"/>
    </x:row>
    <x:row r="88" ht="66" customHeight="1">
      <x:c r="A88" s="9" t="str">
        <x:v>Not collected</x:v>
      </x:c>
      <x:c r="B88" s="9" t="n">
        <x:v>86</x:v>
      </x:c>
      <x:c r="C88" s="10" t="str">
        <x:v>Pick up the airplane toy furthest from the crushed Pepsi can and place it in the bowl.</x:v>
      </x:c>
      <x:c r="D88" s="10" t="str">
        <x:v>P1 crushed Pepsi can at R4 (5 cm toward the robot from center) [REFERENCE]; P2 airplane toy without propellers with 6 cm edge gap behind P1 [CLOSE CANDIDATE]; P3 airplane toy with propellers with 20 cm edge gap in front of P1 [FAR CANDIDATE]; P4 green pen with 14 cm edge gap to the right of P1 [DISTRACTOR]; P5 yellow pen with 14 cm edge gap to the left of P1 [DISTRACTOR]</x:v>
      </x:c>
      <x:c r="E88" s="9"/>
      <x:c r="F88" s="9" t="str">
        <x:v>airplane toy with propellers</x:v>
      </x:c>
      <x:c r="G88" s="10"/>
      <x:c r="H88" s="9" t="str">
        <x:v>Concept/compositional transfer</x:v>
      </x:c>
      <x:c r="I88" s="9" t="str">
        <x:v>RD-CF24A</x:v>
      </x:c>
      <x:c r="J88" s="9" t="str">
        <x:v>RD-CF24</x:v>
      </x:c>
      <x:c r="K88" s="9" t="str">
        <x:v>airplane toy</x:v>
      </x:c>
      <x:c r="L88" s="9" t="str">
        <x:v>furthest</x:v>
      </x:c>
      <x:c r="M88" s="9" t="n">
        <x:v>5</x:v>
      </x:c>
      <x:c r="N88" s="9" t="str">
        <x:v>Additional transfer — Additional held-out furthest counterfactual</x:v>
      </x:c>
      <x:c r="O88" s="9" t="n">
        <x:v>47</x:v>
      </x:c>
      <x:c r="P88" s="10" t="str">
        <x:v>Build counterfactual scene A and save a first-frame filename.</x:v>
      </x:c>
      <x:c r="Q88" s="10" t="str">
        <x:v>Unpaired primary-endpoint coverage. Each A/B pair reverses the far physical identity with matched geometry.</x:v>
      </x:c>
      <x:c r="R88" s="10"/>
    </x:row>
    <x:row r="89" ht="66" customHeight="1">
      <x:c r="A89" s="8" t="str">
        <x:v>Not collected</x:v>
      </x:c>
      <x:c r="B89" s="8" t="n">
        <x:v>87</x:v>
      </x:c>
      <x:c r="C89" s="7" t="str">
        <x:v>Pick up the airplane toy furthest from the crushed Pepsi can and place it in the bowl.</x:v>
      </x:c>
      <x:c r="D89" s="7" t="str">
        <x:v>P1 crushed Pepsi can at R4 (5 cm toward the robot from center) [REFERENCE]; P2 airplane toy with propellers with 6 cm edge gap behind P1 [CLOSE CANDIDATE]; P3 airplane toy without propellers with 20 cm edge gap in front of P1 [FAR CANDIDATE]; P4 green pen with 14 cm edge gap to the right of P1 [DISTRACTOR]; P5 yellow pen with 14 cm edge gap to the left of P1 [DISTRACTOR]</x:v>
      </x:c>
      <x:c r="E89" s="8"/>
      <x:c r="F89" s="8" t="str">
        <x:v>airplane toy without propellers</x:v>
      </x:c>
      <x:c r="G89" s="7"/>
      <x:c r="H89" s="8" t="str">
        <x:v>Concept/compositional transfer</x:v>
      </x:c>
      <x:c r="I89" s="8" t="str">
        <x:v>RD-CF24B</x:v>
      </x:c>
      <x:c r="J89" s="8" t="str">
        <x:v>RD-CF24</x:v>
      </x:c>
      <x:c r="K89" s="8" t="str">
        <x:v>airplane toy</x:v>
      </x:c>
      <x:c r="L89" s="8" t="str">
        <x:v>furthest</x:v>
      </x:c>
      <x:c r="M89" s="8" t="n">
        <x:v>5</x:v>
      </x:c>
      <x:c r="N89" s="8" t="str">
        <x:v>Additional transfer — Additional held-out furthest counterfactual</x:v>
      </x:c>
      <x:c r="O89" s="8" t="n">
        <x:v>48</x:v>
      </x:c>
      <x:c r="P89" s="7" t="str">
        <x:v>Swap only the P2/P3 candidate identities from the preceding A scene; preserve all geometry and other objects.</x:v>
      </x:c>
      <x:c r="Q89" s="7" t="str">
        <x:v>Unpaired primary-endpoint coverage. Each A/B pair reverses the far physical identity with matched geometry.</x:v>
      </x:c>
      <x:c r="R89" s="7"/>
    </x:row>
    <x:row r="90" ht="66" customHeight="1">
      <x:c r="A90" s="9" t="str">
        <x:v>Not collected</x:v>
      </x:c>
      <x:c r="B90" s="9" t="n">
        <x:v>88</x:v>
      </x:c>
      <x:c r="C90" s="10" t="str">
        <x:v>Pick up the crushed soda can furthest from the green pen and place it in the bowl.</x:v>
      </x:c>
      <x:c r="D90" s="10" t="str">
        <x:v>P1 green pen at R5 (5 cm away from the robot from center) [REFERENCE]; P2 crushed Coke can with 6 cm edge gap to the left of P1 [CLOSE CANDIDATE]; P3 crushed Pepsi can with 20 cm edge gap to the right of P1 [FAR CANDIDATE]; P4 airplane toy without propellers with 14 cm edge gap in front of P1 [DISTRACTOR]; P5 green pencil sharpener with 14 cm edge gap behind P1 [DISTRACTOR]</x:v>
      </x:c>
      <x:c r="E90" s="9"/>
      <x:c r="F90" s="9" t="str">
        <x:v>crushed Pepsi can</x:v>
      </x:c>
      <x:c r="G90" s="10"/>
      <x:c r="H90" s="9" t="str">
        <x:v>Concept/compositional transfer</x:v>
      </x:c>
      <x:c r="I90" s="9" t="str">
        <x:v>RD-CF25A</x:v>
      </x:c>
      <x:c r="J90" s="9" t="str">
        <x:v>RD-CF25</x:v>
      </x:c>
      <x:c r="K90" s="9" t="str">
        <x:v>crushed soda can</x:v>
      </x:c>
      <x:c r="L90" s="9" t="str">
        <x:v>furthest</x:v>
      </x:c>
      <x:c r="M90" s="9" t="n">
        <x:v>5</x:v>
      </x:c>
      <x:c r="N90" s="9" t="str">
        <x:v>Additional transfer — Additional held-out furthest counterfactual</x:v>
      </x:c>
      <x:c r="O90" s="9" t="n">
        <x:v>49</x:v>
      </x:c>
      <x:c r="P90" s="10" t="str">
        <x:v>Build counterfactual scene A and save a first-frame filename.</x:v>
      </x:c>
      <x:c r="Q90" s="10" t="str">
        <x:v>Unpaired primary-endpoint coverage. Each A/B pair reverses the far physical identity with matched geometry.</x:v>
      </x:c>
      <x:c r="R90" s="10"/>
    </x:row>
    <x:row r="91" ht="66" customHeight="1">
      <x:c r="A91" s="8" t="str">
        <x:v>Not collected</x:v>
      </x:c>
      <x:c r="B91" s="8" t="n">
        <x:v>89</x:v>
      </x:c>
      <x:c r="C91" s="7" t="str">
        <x:v>Pick up the crushed soda can furthest from the green pen and place it in the bowl.</x:v>
      </x:c>
      <x:c r="D91" s="7" t="str">
        <x:v>P1 green pen at R5 (5 cm away from the robot from center) [REFERENCE]; P2 crushed Pepsi can with 6 cm edge gap to the left of P1 [CLOSE CANDIDATE]; P3 crushed Coke can with 20 cm edge gap to the right of P1 [FAR CANDIDATE]; P4 airplane toy without propellers with 14 cm edge gap in front of P1 [DISTRACTOR]; P5 green pencil sharpener with 14 cm edge gap behind P1 [DISTRACTOR]</x:v>
      </x:c>
      <x:c r="E91" s="8"/>
      <x:c r="F91" s="8" t="str">
        <x:v>crushed Coke can</x:v>
      </x:c>
      <x:c r="G91" s="7"/>
      <x:c r="H91" s="8" t="str">
        <x:v>Concept/compositional transfer</x:v>
      </x:c>
      <x:c r="I91" s="8" t="str">
        <x:v>RD-CF25B</x:v>
      </x:c>
      <x:c r="J91" s="8" t="str">
        <x:v>RD-CF25</x:v>
      </x:c>
      <x:c r="K91" s="8" t="str">
        <x:v>crushed soda can</x:v>
      </x:c>
      <x:c r="L91" s="8" t="str">
        <x:v>furthest</x:v>
      </x:c>
      <x:c r="M91" s="8" t="n">
        <x:v>5</x:v>
      </x:c>
      <x:c r="N91" s="8" t="str">
        <x:v>Additional transfer — Additional held-out furthest counterfactual</x:v>
      </x:c>
      <x:c r="O91" s="8" t="n">
        <x:v>50</x:v>
      </x:c>
      <x:c r="P91" s="7" t="str">
        <x:v>Swap only the P2/P3 candidate identities from the preceding A scene; preserve all geometry and other objects.</x:v>
      </x:c>
      <x:c r="Q91" s="7" t="str">
        <x:v>Unpaired primary-endpoint coverage. Each A/B pair reverses the far physical identity with matched geometry.</x:v>
      </x:c>
      <x:c r="R91" s="7"/>
    </x:row>
    <x:row r="92" ht="66" customHeight="1">
      <x:c r="A92" s="9" t="str">
        <x:v>Not collected</x:v>
      </x:c>
      <x:c r="B92" s="9" t="n">
        <x:v>90</x:v>
      </x:c>
      <x:c r="C92" s="10" t="str">
        <x:v>Pick up the block nearest to the green pen and place it in the bowl.</x:v>
      </x:c>
      <x:c r="D92" s="10" t="str">
        <x:v>P1 green pen at R1 (table center) [REFERENCE]; P2 red block with 6 cm edge gap in front of P1 [CLOSE CANDIDATE]; P3 blue block with 20 cm edge gap behind P1 [FAR CANDIDATE]</x:v>
      </x:c>
      <x:c r="E92" s="9"/>
      <x:c r="F92" s="9" t="str">
        <x:v>red block</x:v>
      </x:c>
      <x:c r="G92" s="10"/>
      <x:c r="H92" s="9" t="str">
        <x:v>Block closest baseline</x:v>
      </x:c>
      <x:c r="I92" s="9" t="str">
        <x:v>RD-BLK01</x:v>
      </x:c>
      <x:c r="J92" s="9" t="str">
        <x:v>RD-BLK01</x:v>
      </x:c>
      <x:c r="K92" s="9" t="str">
        <x:v>block</x:v>
      </x:c>
      <x:c r="L92" s="9" t="str">
        <x:v>closest</x:v>
      </x:c>
      <x:c r="M92" s="9" t="n">
        <x:v>3</x:v>
      </x:c>
      <x:c r="N92" s="9" t="str">
        <x:v>1 — Block closest baseline — Cross-task red/blue blocks as candidate pair; seen closest concept</x:v>
      </x:c>
      <x:c r="O92" s="9" t="n">
        <x:v>51</x:v>
      </x:c>
      <x:c r="P92" s="10" t="str">
        <x:v>Build the listed scene with both red and blue blocks present. Save a first-frame filename before the baseline.</x:v>
      </x:c>
      <x:c r="Q92" s="10" t="str">
        <x:v>Red and blue blocks are equally trained in Relational Placement but absent from Referential Disambiguation. The closest baseline checks the relevant cross-task visual role.</x:v>
      </x:c>
      <x:c r="R92" s="10"/>
    </x:row>
    <x:row r="93" ht="66" customHeight="1">
      <x:c r="A93" s="8" t="str">
        <x:v>Not collected</x:v>
      </x:c>
      <x:c r="B93" s="8" t="n">
        <x:v>91</x:v>
      </x:c>
      <x:c r="C93" s="7" t="str">
        <x:v>Pick up the block furthest from the green pen and place it in the bowl.</x:v>
      </x:c>
      <x:c r="D93" s="7" t="str">
        <x:v>P1 green pen at R1 (table center) [REFERENCE]; P2 red block with 6 cm edge gap in front of P1 [CLOSE CANDIDATE]; P3 blue block with 20 cm edge gap behind P1 [FAR CANDIDATE]</x:v>
      </x:c>
      <x:c r="E93" s="8" t="n">
        <x:v>90</x:v>
      </x:c>
      <x:c r="F93" s="8" t="str">
        <x:v>blue block</x:v>
      </x:c>
      <x:c r="G93" s="7"/>
      <x:c r="H93" s="8" t="str">
        <x:v>Block furthest transfer</x:v>
      </x:c>
      <x:c r="I93" s="8" t="str">
        <x:v>RD-BLK01</x:v>
      </x:c>
      <x:c r="J93" s="8" t="str">
        <x:v>RD-BLK01</x:v>
      </x:c>
      <x:c r="K93" s="8" t="str">
        <x:v>block</x:v>
      </x:c>
      <x:c r="L93" s="8" t="str">
        <x:v>furthest</x:v>
      </x:c>
      <x:c r="M93" s="8" t="n">
        <x:v>3</x:v>
      </x:c>
      <x:c r="N93" s="8" t="str">
        <x:v>2 — Block furthest transfer — Cross-task red/blue blocks as candidate pair; held-out furthest concept</x:v>
      </x:c>
      <x:c r="O93" s="8" t="n">
        <x:v>51</x:v>
      </x:c>
      <x:c r="P93" s="7" t="str">
        <x:v>Reset only the P2 closest target. Keep the scene exact; change only the query and expected target from closest to furthest.</x:v>
      </x:c>
      <x:c r="Q93" s="7" t="str">
        <x:v>Exact-scene closest→furthest comparison. Analyze block-as-candidate and block-as-reference families separately; this is cross-task visual transfer, not global novelty.</x:v>
      </x:c>
      <x:c r="R93" s="7"/>
    </x:row>
    <x:row r="94" ht="66" customHeight="1">
      <x:c r="A94" s="9" t="str">
        <x:v>Not collected</x:v>
      </x:c>
      <x:c r="B94" s="9" t="n">
        <x:v>92</x:v>
      </x:c>
      <x:c r="C94" s="10" t="str">
        <x:v>Put the block closest to the red pencil sharpener in the bowl.</x:v>
      </x:c>
      <x:c r="D94" s="10" t="str">
        <x:v>P1 red pencil sharpener at R2 (5 cm left of center) [REFERENCE]; P2 blue block with 6 cm edge gap behind P1 [CLOSE CANDIDATE]; P3 red block with 20 cm edge gap in front of P1 [FAR CANDIDATE]; P4 green pencil sharpener with 14 cm edge gap to the right of P1 [DISTRACTOR]</x:v>
      </x:c>
      <x:c r="E94" s="9"/>
      <x:c r="F94" s="9" t="str">
        <x:v>blue block</x:v>
      </x:c>
      <x:c r="G94" s="10"/>
      <x:c r="H94" s="9" t="str">
        <x:v>Block closest baseline</x:v>
      </x:c>
      <x:c r="I94" s="9" t="str">
        <x:v>RD-BLK02</x:v>
      </x:c>
      <x:c r="J94" s="9" t="str">
        <x:v>RD-BLK02</x:v>
      </x:c>
      <x:c r="K94" s="9" t="str">
        <x:v>block</x:v>
      </x:c>
      <x:c r="L94" s="9" t="str">
        <x:v>closest</x:v>
      </x:c>
      <x:c r="M94" s="9" t="n">
        <x:v>4</x:v>
      </x:c>
      <x:c r="N94" s="9" t="str">
        <x:v>1 — Block closest baseline — Cross-task red/blue blocks as candidate pair; seen closest concept</x:v>
      </x:c>
      <x:c r="O94" s="9" t="n">
        <x:v>52</x:v>
      </x:c>
      <x:c r="P94" s="10" t="str">
        <x:v>Build the listed scene with both red and blue blocks present. Save a first-frame filename before the baseline.</x:v>
      </x:c>
      <x:c r="Q94" s="10" t="str">
        <x:v>Red and blue blocks are equally trained in Relational Placement but absent from Referential Disambiguation. The closest baseline checks the relevant cross-task visual role.</x:v>
      </x:c>
      <x:c r="R94" s="10"/>
    </x:row>
    <x:row r="95" ht="66" customHeight="1">
      <x:c r="A95" s="8" t="str">
        <x:v>Not collected</x:v>
      </x:c>
      <x:c r="B95" s="8" t="n">
        <x:v>93</x:v>
      </x:c>
      <x:c r="C95" s="7" t="str">
        <x:v>Pick up the block furthest from the red pencil sharpener and place it in the bowl.</x:v>
      </x:c>
      <x:c r="D95" s="7" t="str">
        <x:v>P1 red pencil sharpener at R2 (5 cm left of center) [REFERENCE]; P2 blue block with 6 cm edge gap behind P1 [CLOSE CANDIDATE]; P3 red block with 20 cm edge gap in front of P1 [FAR CANDIDATE]; P4 green pencil sharpener with 14 cm edge gap to the right of P1 [DISTRACTOR]</x:v>
      </x:c>
      <x:c r="E95" s="8" t="n">
        <x:v>92</x:v>
      </x:c>
      <x:c r="F95" s="8" t="str">
        <x:v>red block</x:v>
      </x:c>
      <x:c r="G95" s="7"/>
      <x:c r="H95" s="8" t="str">
        <x:v>Block furthest transfer</x:v>
      </x:c>
      <x:c r="I95" s="8" t="str">
        <x:v>RD-BLK02</x:v>
      </x:c>
      <x:c r="J95" s="8" t="str">
        <x:v>RD-BLK02</x:v>
      </x:c>
      <x:c r="K95" s="8" t="str">
        <x:v>block</x:v>
      </x:c>
      <x:c r="L95" s="8" t="str">
        <x:v>furthest</x:v>
      </x:c>
      <x:c r="M95" s="8" t="n">
        <x:v>4</x:v>
      </x:c>
      <x:c r="N95" s="8" t="str">
        <x:v>2 — Block furthest transfer — Cross-task red/blue blocks as candidate pair; held-out furthest concept</x:v>
      </x:c>
      <x:c r="O95" s="8" t="n">
        <x:v>52</x:v>
      </x:c>
      <x:c r="P95" s="7" t="str">
        <x:v>Reset only the P2 closest target. Keep the scene exact; change only the query and expected target from closest to furthest.</x:v>
      </x:c>
      <x:c r="Q95" s="7" t="str">
        <x:v>Exact-scene closest→furthest comparison. Analyze block-as-candidate and block-as-reference families separately; this is cross-task visual transfer, not global novelty.</x:v>
      </x:c>
      <x:c r="R95" s="7"/>
    </x:row>
    <x:row r="96" ht="66" customHeight="1">
      <x:c r="A96" s="9" t="str">
        <x:v>Not collected</x:v>
      </x:c>
      <x:c r="B96" s="9" t="n">
        <x:v>94</x:v>
      </x:c>
      <x:c r="C96" s="10" t="str">
        <x:v>Move the block that is closest to the yellow pen into the bowl.</x:v>
      </x:c>
      <x:c r="D96" s="10" t="str">
        <x:v>P1 yellow pen at R3 (5 cm right of center) [REFERENCE]; P2 red block with 6 cm edge gap to the left of P1 [CLOSE CANDIDATE]; P3 blue block with 20 cm edge gap to the right of P1 [FAR CANDIDATE]</x:v>
      </x:c>
      <x:c r="E96" s="9"/>
      <x:c r="F96" s="9" t="str">
        <x:v>red block</x:v>
      </x:c>
      <x:c r="G96" s="10"/>
      <x:c r="H96" s="9" t="str">
        <x:v>Block closest baseline</x:v>
      </x:c>
      <x:c r="I96" s="9" t="str">
        <x:v>RD-BLK03</x:v>
      </x:c>
      <x:c r="J96" s="9" t="str">
        <x:v>RD-BLK03</x:v>
      </x:c>
      <x:c r="K96" s="9" t="str">
        <x:v>block</x:v>
      </x:c>
      <x:c r="L96" s="9" t="str">
        <x:v>closest</x:v>
      </x:c>
      <x:c r="M96" s="9" t="n">
        <x:v>3</x:v>
      </x:c>
      <x:c r="N96" s="9" t="str">
        <x:v>1 — Block closest baseline — Cross-task red/blue blocks as candidate pair; seen closest concept</x:v>
      </x:c>
      <x:c r="O96" s="9" t="n">
        <x:v>53</x:v>
      </x:c>
      <x:c r="P96" s="10" t="str">
        <x:v>Build the listed scene with both red and blue blocks present. Save a first-frame filename before the baseline.</x:v>
      </x:c>
      <x:c r="Q96" s="10" t="str">
        <x:v>Red and blue blocks are equally trained in Relational Placement but absent from Referential Disambiguation. The closest baseline checks the relevant cross-task visual role.</x:v>
      </x:c>
      <x:c r="R96" s="10"/>
    </x:row>
    <x:row r="97" ht="66" customHeight="1">
      <x:c r="A97" s="8" t="str">
        <x:v>Not collected</x:v>
      </x:c>
      <x:c r="B97" s="8" t="n">
        <x:v>95</x:v>
      </x:c>
      <x:c r="C97" s="7" t="str">
        <x:v>Pick up the block furthest from the yellow pen and place it in the bowl.</x:v>
      </x:c>
      <x:c r="D97" s="7" t="str">
        <x:v>P1 yellow pen at R3 (5 cm right of center) [REFERENCE]; P2 red block with 6 cm edge gap to the left of P1 [CLOSE CANDIDATE]; P3 blue block with 20 cm edge gap to the right of P1 [FAR CANDIDATE]</x:v>
      </x:c>
      <x:c r="E97" s="8" t="n">
        <x:v>94</x:v>
      </x:c>
      <x:c r="F97" s="8" t="str">
        <x:v>blue block</x:v>
      </x:c>
      <x:c r="G97" s="7"/>
      <x:c r="H97" s="8" t="str">
        <x:v>Block furthest transfer</x:v>
      </x:c>
      <x:c r="I97" s="8" t="str">
        <x:v>RD-BLK03</x:v>
      </x:c>
      <x:c r="J97" s="8" t="str">
        <x:v>RD-BLK03</x:v>
      </x:c>
      <x:c r="K97" s="8" t="str">
        <x:v>block</x:v>
      </x:c>
      <x:c r="L97" s="8" t="str">
        <x:v>furthest</x:v>
      </x:c>
      <x:c r="M97" s="8" t="n">
        <x:v>3</x:v>
      </x:c>
      <x:c r="N97" s="8" t="str">
        <x:v>2 — Block furthest transfer — Cross-task red/blue blocks as candidate pair; held-out furthest concept</x:v>
      </x:c>
      <x:c r="O97" s="8" t="n">
        <x:v>53</x:v>
      </x:c>
      <x:c r="P97" s="7" t="str">
        <x:v>Reset only the P2 closest target. Keep the scene exact; change only the query and expected target from closest to furthest.</x:v>
      </x:c>
      <x:c r="Q97" s="7" t="str">
        <x:v>Exact-scene closest→furthest comparison. Analyze block-as-candidate and block-as-reference families separately; this is cross-task visual transfer, not global novelty.</x:v>
      </x:c>
      <x:c r="R97" s="7"/>
    </x:row>
    <x:row r="98" ht="66" customHeight="1">
      <x:c r="A98" s="9" t="str">
        <x:v>Not collected</x:v>
      </x:c>
      <x:c r="B98" s="9" t="n">
        <x:v>96</x:v>
      </x:c>
      <x:c r="C98" s="10" t="str">
        <x:v>Pick up the block nearest to the crushed Coke can and place it in the bowl.</x:v>
      </x:c>
      <x:c r="D98" s="10" t="str">
        <x:v>P1 crushed Coke can at R4 (5 cm toward the robot from center) [REFERENCE]; P2 blue block with 6 cm edge gap to the right of P1 [CLOSE CANDIDATE]; P3 red block with 20 cm edge gap to the left of P1 [FAR CANDIDATE]; P4 yellow pen with 14 cm edge gap behind P1 [DISTRACTOR]</x:v>
      </x:c>
      <x:c r="E98" s="9"/>
      <x:c r="F98" s="9" t="str">
        <x:v>blue block</x:v>
      </x:c>
      <x:c r="G98" s="10"/>
      <x:c r="H98" s="9" t="str">
        <x:v>Block closest baseline</x:v>
      </x:c>
      <x:c r="I98" s="9" t="str">
        <x:v>RD-BLK04</x:v>
      </x:c>
      <x:c r="J98" s="9" t="str">
        <x:v>RD-BLK04</x:v>
      </x:c>
      <x:c r="K98" s="9" t="str">
        <x:v>block</x:v>
      </x:c>
      <x:c r="L98" s="9" t="str">
        <x:v>closest</x:v>
      </x:c>
      <x:c r="M98" s="9" t="n">
        <x:v>4</x:v>
      </x:c>
      <x:c r="N98" s="9" t="str">
        <x:v>1 — Block closest baseline — Cross-task red/blue blocks as candidate pair; seen closest concept</x:v>
      </x:c>
      <x:c r="O98" s="9" t="n">
        <x:v>54</x:v>
      </x:c>
      <x:c r="P98" s="10" t="str">
        <x:v>Build the listed scene with both red and blue blocks present. Save a first-frame filename before the baseline.</x:v>
      </x:c>
      <x:c r="Q98" s="10" t="str">
        <x:v>Red and blue blocks are equally trained in Relational Placement but absent from Referential Disambiguation. The closest baseline checks the relevant cross-task visual role.</x:v>
      </x:c>
      <x:c r="R98" s="10"/>
    </x:row>
    <x:row r="99" ht="66" customHeight="1">
      <x:c r="A99" s="8" t="str">
        <x:v>Not collected</x:v>
      </x:c>
      <x:c r="B99" s="8" t="n">
        <x:v>97</x:v>
      </x:c>
      <x:c r="C99" s="7" t="str">
        <x:v>Pick up the block furthest from the crushed Coke can and place it in the bowl.</x:v>
      </x:c>
      <x:c r="D99" s="7" t="str">
        <x:v>P1 crushed Coke can at R4 (5 cm toward the robot from center) [REFERENCE]; P2 blue block with 6 cm edge gap to the right of P1 [CLOSE CANDIDATE]; P3 red block with 20 cm edge gap to the left of P1 [FAR CANDIDATE]; P4 yellow pen with 14 cm edge gap behind P1 [DISTRACTOR]</x:v>
      </x:c>
      <x:c r="E99" s="8" t="n">
        <x:v>96</x:v>
      </x:c>
      <x:c r="F99" s="8" t="str">
        <x:v>red block</x:v>
      </x:c>
      <x:c r="G99" s="7"/>
      <x:c r="H99" s="8" t="str">
        <x:v>Block furthest transfer</x:v>
      </x:c>
      <x:c r="I99" s="8" t="str">
        <x:v>RD-BLK04</x:v>
      </x:c>
      <x:c r="J99" s="8" t="str">
        <x:v>RD-BLK04</x:v>
      </x:c>
      <x:c r="K99" s="8" t="str">
        <x:v>block</x:v>
      </x:c>
      <x:c r="L99" s="8" t="str">
        <x:v>furthest</x:v>
      </x:c>
      <x:c r="M99" s="8" t="n">
        <x:v>4</x:v>
      </x:c>
      <x:c r="N99" s="8" t="str">
        <x:v>2 — Block furthest transfer — Cross-task red/blue blocks as candidate pair; held-out furthest concept</x:v>
      </x:c>
      <x:c r="O99" s="8" t="n">
        <x:v>54</x:v>
      </x:c>
      <x:c r="P99" s="7" t="str">
        <x:v>Reset only the P2 closest target. Keep the scene exact; change only the query and expected target from closest to furthest.</x:v>
      </x:c>
      <x:c r="Q99" s="7" t="str">
        <x:v>Exact-scene closest→furthest comparison. Analyze block-as-candidate and block-as-reference families separately; this is cross-task visual transfer, not global novelty.</x:v>
      </x:c>
      <x:c r="R99" s="7"/>
    </x:row>
    <x:row r="100" ht="66" customHeight="1">
      <x:c r="A100" s="9" t="str">
        <x:v>Not collected</x:v>
      </x:c>
      <x:c r="B100" s="9" t="n">
        <x:v>98</x:v>
      </x:c>
      <x:c r="C100" s="10" t="str">
        <x:v>Put the block closest to the airplane toy with propellers in the bowl.</x:v>
      </x:c>
      <x:c r="D100" s="10" t="str">
        <x:v>P1 airplane toy with propellers at R5 (5 cm away from the robot from center) [REFERENCE]; P2 red block with 6 cm edge gap in front of P1 [CLOSE CANDIDATE]; P3 blue block with 20 cm edge gap behind P1 [FAR CANDIDATE]</x:v>
      </x:c>
      <x:c r="E100" s="9"/>
      <x:c r="F100" s="9" t="str">
        <x:v>red block</x:v>
      </x:c>
      <x:c r="G100" s="10"/>
      <x:c r="H100" s="9" t="str">
        <x:v>Block closest baseline</x:v>
      </x:c>
      <x:c r="I100" s="9" t="str">
        <x:v>RD-BLK05</x:v>
      </x:c>
      <x:c r="J100" s="9" t="str">
        <x:v>RD-BLK05</x:v>
      </x:c>
      <x:c r="K100" s="9" t="str">
        <x:v>block</x:v>
      </x:c>
      <x:c r="L100" s="9" t="str">
        <x:v>closest</x:v>
      </x:c>
      <x:c r="M100" s="9" t="n">
        <x:v>3</x:v>
      </x:c>
      <x:c r="N100" s="9" t="str">
        <x:v>1 — Block closest baseline — Cross-task red/blue blocks as candidate pair; seen closest concept</x:v>
      </x:c>
      <x:c r="O100" s="9" t="n">
        <x:v>55</x:v>
      </x:c>
      <x:c r="P100" s="10" t="str">
        <x:v>Build the listed scene with both red and blue blocks present. Save a first-frame filename before the baseline.</x:v>
      </x:c>
      <x:c r="Q100" s="10" t="str">
        <x:v>Red and blue blocks are equally trained in Relational Placement but absent from Referential Disambiguation. The closest baseline checks the relevant cross-task visual role.</x:v>
      </x:c>
      <x:c r="R100" s="10"/>
    </x:row>
    <x:row r="101" ht="66" customHeight="1">
      <x:c r="A101" s="8" t="str">
        <x:v>Not collected</x:v>
      </x:c>
      <x:c r="B101" s="8" t="n">
        <x:v>99</x:v>
      </x:c>
      <x:c r="C101" s="7" t="str">
        <x:v>Pick up the block furthest from the airplane toy with propellers and place it in the bowl.</x:v>
      </x:c>
      <x:c r="D101" s="7" t="str">
        <x:v>P1 airplane toy with propellers at R5 (5 cm away from the robot from center) [REFERENCE]; P2 red block with 6 cm edge gap in front of P1 [CLOSE CANDIDATE]; P3 blue block with 20 cm edge gap behind P1 [FAR CANDIDATE]</x:v>
      </x:c>
      <x:c r="E101" s="8" t="n">
        <x:v>98</x:v>
      </x:c>
      <x:c r="F101" s="8" t="str">
        <x:v>blue block</x:v>
      </x:c>
      <x:c r="G101" s="7"/>
      <x:c r="H101" s="8" t="str">
        <x:v>Block furthest transfer</x:v>
      </x:c>
      <x:c r="I101" s="8" t="str">
        <x:v>RD-BLK05</x:v>
      </x:c>
      <x:c r="J101" s="8" t="str">
        <x:v>RD-BLK05</x:v>
      </x:c>
      <x:c r="K101" s="8" t="str">
        <x:v>block</x:v>
      </x:c>
      <x:c r="L101" s="8" t="str">
        <x:v>furthest</x:v>
      </x:c>
      <x:c r="M101" s="8" t="n">
        <x:v>3</x:v>
      </x:c>
      <x:c r="N101" s="8" t="str">
        <x:v>2 — Block furthest transfer — Cross-task red/blue blocks as candidate pair; held-out furthest concept</x:v>
      </x:c>
      <x:c r="O101" s="8" t="n">
        <x:v>55</x:v>
      </x:c>
      <x:c r="P101" s="7" t="str">
        <x:v>Reset only the P2 closest target. Keep the scene exact; change only the query and expected target from closest to furthest.</x:v>
      </x:c>
      <x:c r="Q101" s="7" t="str">
        <x:v>Exact-scene closest→furthest comparison. Analyze block-as-candidate and block-as-reference families separately; this is cross-task visual transfer, not global novelty.</x:v>
      </x:c>
      <x:c r="R101" s="7"/>
    </x:row>
    <x:row r="102" ht="66" customHeight="1">
      <x:c r="A102" s="9" t="str">
        <x:v>Not collected</x:v>
      </x:c>
      <x:c r="B102" s="9" t="n">
        <x:v>100</x:v>
      </x:c>
      <x:c r="C102" s="10" t="str">
        <x:v>Move the crushed soda can that is closest to the red block into the bowl.</x:v>
      </x:c>
      <x:c r="D102" s="10" t="str">
        <x:v>P1 red block at R1 (table center) [REFERENCE]; P2 crushed Coke can with 6 cm edge gap behind P1 [CLOSE CANDIDATE]; P3 crushed Pepsi can with 20 cm edge gap in front of P1 [FAR CANDIDATE]; P4 blue block with 14 cm edge gap to the right of P1 [VISUAL COMPETITOR]</x:v>
      </x:c>
      <x:c r="E102" s="9"/>
      <x:c r="F102" s="9" t="str">
        <x:v>crushed Coke can</x:v>
      </x:c>
      <x:c r="G102" s="10"/>
      <x:c r="H102" s="9" t="str">
        <x:v>Block closest baseline</x:v>
      </x:c>
      <x:c r="I102" s="9" t="str">
        <x:v>RD-BLK06</x:v>
      </x:c>
      <x:c r="J102" s="9" t="str">
        <x:v>RD-BLK06</x:v>
      </x:c>
      <x:c r="K102" s="9" t="str">
        <x:v>crushed soda can</x:v>
      </x:c>
      <x:c r="L102" s="9" t="str">
        <x:v>closest</x:v>
      </x:c>
      <x:c r="M102" s="9" t="n">
        <x:v>4</x:v>
      </x:c>
      <x:c r="N102" s="9" t="str">
        <x:v>1 — Block closest baseline — Cross-task red/blue blocks as reference object; seen closest concept</x:v>
      </x:c>
      <x:c r="O102" s="9" t="n">
        <x:v>56</x:v>
      </x:c>
      <x:c r="P102" s="10" t="str">
        <x:v>Build the listed scene with both red and blue blocks present. Save a first-frame filename before the baseline.</x:v>
      </x:c>
      <x:c r="Q102" s="10" t="str">
        <x:v>Red and blue blocks are equally trained in Relational Placement but absent from Referential Disambiguation. The closest baseline checks the relevant cross-task visual role.</x:v>
      </x:c>
      <x:c r="R102" s="10"/>
    </x:row>
    <x:row r="103" ht="66" customHeight="1">
      <x:c r="A103" s="8" t="str">
        <x:v>Not collected</x:v>
      </x:c>
      <x:c r="B103" s="8" t="n">
        <x:v>101</x:v>
      </x:c>
      <x:c r="C103" s="7" t="str">
        <x:v>Pick up the crushed soda can furthest from the red block and place it in the bowl.</x:v>
      </x:c>
      <x:c r="D103" s="7" t="str">
        <x:v>P1 red block at R1 (table center) [REFERENCE]; P2 crushed Coke can with 6 cm edge gap behind P1 [CLOSE CANDIDATE]; P3 crushed Pepsi can with 20 cm edge gap in front of P1 [FAR CANDIDATE]; P4 blue block with 14 cm edge gap to the right of P1 [VISUAL COMPETITOR]</x:v>
      </x:c>
      <x:c r="E103" s="8" t="n">
        <x:v>100</x:v>
      </x:c>
      <x:c r="F103" s="8" t="str">
        <x:v>crushed Pepsi can</x:v>
      </x:c>
      <x:c r="G103" s="7"/>
      <x:c r="H103" s="8" t="str">
        <x:v>Block furthest transfer</x:v>
      </x:c>
      <x:c r="I103" s="8" t="str">
        <x:v>RD-BLK06</x:v>
      </x:c>
      <x:c r="J103" s="8" t="str">
        <x:v>RD-BLK06</x:v>
      </x:c>
      <x:c r="K103" s="8" t="str">
        <x:v>crushed soda can</x:v>
      </x:c>
      <x:c r="L103" s="8" t="str">
        <x:v>furthest</x:v>
      </x:c>
      <x:c r="M103" s="8" t="n">
        <x:v>4</x:v>
      </x:c>
      <x:c r="N103" s="8" t="str">
        <x:v>2 — Block furthest transfer — Cross-task red/blue blocks as reference object; held-out furthest concept</x:v>
      </x:c>
      <x:c r="O103" s="8" t="n">
        <x:v>56</x:v>
      </x:c>
      <x:c r="P103" s="7" t="str">
        <x:v>Reset only the P2 closest target. Keep the scene exact; change only the query and expected target from closest to furthest.</x:v>
      </x:c>
      <x:c r="Q103" s="7" t="str">
        <x:v>Exact-scene closest→furthest comparison. Analyze block-as-candidate and block-as-reference families separately; this is cross-task visual transfer, not global novelty.</x:v>
      </x:c>
      <x:c r="R103" s="7"/>
    </x:row>
    <x:row r="104" ht="66" customHeight="1">
      <x:c r="A104" s="9" t="str">
        <x:v>Not collected</x:v>
      </x:c>
      <x:c r="B104" s="9" t="n">
        <x:v>102</x:v>
      </x:c>
      <x:c r="C104" s="10" t="str">
        <x:v>Pick up the pencil sharpener nearest to the blue block and place it in the bowl.</x:v>
      </x:c>
      <x:c r="D104" s="10" t="str">
        <x:v>P1 blue block at R2 (5 cm left of center) [REFERENCE]; P2 red pencil sharpener with 6 cm edge gap to the left of P1 [CLOSE CANDIDATE]; P3 green pencil sharpener with 20 cm edge gap to the right of P1 [FAR CANDIDATE]; P4 red block with 14 cm edge gap in front of P1 [VISUAL COMPETITOR]; P5 green pen with 14 cm edge gap behind P1 [DISTRACTOR]</x:v>
      </x:c>
      <x:c r="E104" s="9"/>
      <x:c r="F104" s="9" t="str">
        <x:v>red pencil sharpener</x:v>
      </x:c>
      <x:c r="G104" s="10"/>
      <x:c r="H104" s="9" t="str">
        <x:v>Block closest baseline</x:v>
      </x:c>
      <x:c r="I104" s="9" t="str">
        <x:v>RD-BLK07</x:v>
      </x:c>
      <x:c r="J104" s="9" t="str">
        <x:v>RD-BLK07</x:v>
      </x:c>
      <x:c r="K104" s="9" t="str">
        <x:v>pencil sharpener</x:v>
      </x:c>
      <x:c r="L104" s="9" t="str">
        <x:v>closest</x:v>
      </x:c>
      <x:c r="M104" s="9" t="n">
        <x:v>5</x:v>
      </x:c>
      <x:c r="N104" s="9" t="str">
        <x:v>1 — Block closest baseline — Cross-task red/blue blocks as reference object; seen closest concept</x:v>
      </x:c>
      <x:c r="O104" s="9" t="n">
        <x:v>57</x:v>
      </x:c>
      <x:c r="P104" s="10" t="str">
        <x:v>Build the listed scene with both red and blue blocks present. Save a first-frame filename before the baseline.</x:v>
      </x:c>
      <x:c r="Q104" s="10" t="str">
        <x:v>Red and blue blocks are equally trained in Relational Placement but absent from Referential Disambiguation. The closest baseline checks the relevant cross-task visual role.</x:v>
      </x:c>
      <x:c r="R104" s="10"/>
    </x:row>
    <x:row r="105" ht="66" customHeight="1">
      <x:c r="A105" s="8" t="str">
        <x:v>Not collected</x:v>
      </x:c>
      <x:c r="B105" s="8" t="n">
        <x:v>103</x:v>
      </x:c>
      <x:c r="C105" s="7" t="str">
        <x:v>Pick up the pencil sharpener furthest from the blue block and place it in the bowl.</x:v>
      </x:c>
      <x:c r="D105" s="7" t="str">
        <x:v>P1 blue block at R2 (5 cm left of center) [REFERENCE]; P2 red pencil sharpener with 6 cm edge gap to the left of P1 [CLOSE CANDIDATE]; P3 green pencil sharpener with 20 cm edge gap to the right of P1 [FAR CANDIDATE]; P4 red block with 14 cm edge gap in front of P1 [VISUAL COMPETITOR]; P5 green pen with 14 cm edge gap behind P1 [DISTRACTOR]</x:v>
      </x:c>
      <x:c r="E105" s="8" t="n">
        <x:v>102</x:v>
      </x:c>
      <x:c r="F105" s="8" t="str">
        <x:v>green pencil sharpener</x:v>
      </x:c>
      <x:c r="G105" s="7"/>
      <x:c r="H105" s="8" t="str">
        <x:v>Block furthest transfer</x:v>
      </x:c>
      <x:c r="I105" s="8" t="str">
        <x:v>RD-BLK07</x:v>
      </x:c>
      <x:c r="J105" s="8" t="str">
        <x:v>RD-BLK07</x:v>
      </x:c>
      <x:c r="K105" s="8" t="str">
        <x:v>pencil sharpener</x:v>
      </x:c>
      <x:c r="L105" s="8" t="str">
        <x:v>furthest</x:v>
      </x:c>
      <x:c r="M105" s="8" t="n">
        <x:v>5</x:v>
      </x:c>
      <x:c r="N105" s="8" t="str">
        <x:v>2 — Block furthest transfer — Cross-task red/blue blocks as reference object; held-out furthest concept</x:v>
      </x:c>
      <x:c r="O105" s="8" t="n">
        <x:v>57</x:v>
      </x:c>
      <x:c r="P105" s="7" t="str">
        <x:v>Reset only the P2 closest target. Keep the scene exact; change only the query and expected target from closest to furthest.</x:v>
      </x:c>
      <x:c r="Q105" s="7" t="str">
        <x:v>Exact-scene closest→furthest comparison. Analyze block-as-candidate and block-as-reference families separately; this is cross-task visual transfer, not global novelty.</x:v>
      </x:c>
      <x:c r="R105" s="7"/>
    </x:row>
    <x:row r="106" ht="66" customHeight="1">
      <x:c r="A106" s="9" t="str">
        <x:v>Not collected</x:v>
      </x:c>
      <x:c r="B106" s="9" t="n">
        <x:v>104</x:v>
      </x:c>
      <x:c r="C106" s="10" t="str">
        <x:v>Put the pen closest to the red block in the bowl.</x:v>
      </x:c>
      <x:c r="D106" s="10" t="str">
        <x:v>P1 red block at R3 (5 cm right of center) [REFERENCE]; P2 green pen with 6 cm edge gap to the right of P1 [CLOSE CANDIDATE]; P3 yellow pen with 20 cm edge gap to the left of P1 [FAR CANDIDATE]; P4 blue block with 14 cm edge gap behind P1 [VISUAL COMPETITOR]</x:v>
      </x:c>
      <x:c r="E106" s="9"/>
      <x:c r="F106" s="9" t="str">
        <x:v>green pen</x:v>
      </x:c>
      <x:c r="G106" s="10"/>
      <x:c r="H106" s="9" t="str">
        <x:v>Block closest baseline</x:v>
      </x:c>
      <x:c r="I106" s="9" t="str">
        <x:v>RD-BLK08</x:v>
      </x:c>
      <x:c r="J106" s="9" t="str">
        <x:v>RD-BLK08</x:v>
      </x:c>
      <x:c r="K106" s="9" t="str">
        <x:v>pen</x:v>
      </x:c>
      <x:c r="L106" s="9" t="str">
        <x:v>closest</x:v>
      </x:c>
      <x:c r="M106" s="9" t="n">
        <x:v>4</x:v>
      </x:c>
      <x:c r="N106" s="9" t="str">
        <x:v>1 — Block closest baseline — Cross-task red/blue blocks as reference object; seen closest concept</x:v>
      </x:c>
      <x:c r="O106" s="9" t="n">
        <x:v>58</x:v>
      </x:c>
      <x:c r="P106" s="10" t="str">
        <x:v>Build the listed scene with both red and blue blocks present. Save a first-frame filename before the baseline.</x:v>
      </x:c>
      <x:c r="Q106" s="10" t="str">
        <x:v>Red and blue blocks are equally trained in Relational Placement but absent from Referential Disambiguation. The closest baseline checks the relevant cross-task visual role.</x:v>
      </x:c>
      <x:c r="R106" s="10"/>
    </x:row>
    <x:row r="107" ht="66" customHeight="1">
      <x:c r="A107" s="8" t="str">
        <x:v>Not collected</x:v>
      </x:c>
      <x:c r="B107" s="8" t="n">
        <x:v>105</x:v>
      </x:c>
      <x:c r="C107" s="7" t="str">
        <x:v>Pick up the pen furthest from the red block and place it in the bowl.</x:v>
      </x:c>
      <x:c r="D107" s="7" t="str">
        <x:v>P1 red block at R3 (5 cm right of center) [REFERENCE]; P2 green pen with 6 cm edge gap to the right of P1 [CLOSE CANDIDATE]; P3 yellow pen with 20 cm edge gap to the left of P1 [FAR CANDIDATE]; P4 blue block with 14 cm edge gap behind P1 [VISUAL COMPETITOR]</x:v>
      </x:c>
      <x:c r="E107" s="8" t="n">
        <x:v>104</x:v>
      </x:c>
      <x:c r="F107" s="8" t="str">
        <x:v>yellow pen</x:v>
      </x:c>
      <x:c r="G107" s="7"/>
      <x:c r="H107" s="8" t="str">
        <x:v>Block furthest transfer</x:v>
      </x:c>
      <x:c r="I107" s="8" t="str">
        <x:v>RD-BLK08</x:v>
      </x:c>
      <x:c r="J107" s="8" t="str">
        <x:v>RD-BLK08</x:v>
      </x:c>
      <x:c r="K107" s="8" t="str">
        <x:v>pen</x:v>
      </x:c>
      <x:c r="L107" s="8" t="str">
        <x:v>furthest</x:v>
      </x:c>
      <x:c r="M107" s="8" t="n">
        <x:v>4</x:v>
      </x:c>
      <x:c r="N107" s="8" t="str">
        <x:v>2 — Block furthest transfer — Cross-task red/blue blocks as reference object; held-out furthest concept</x:v>
      </x:c>
      <x:c r="O107" s="8" t="n">
        <x:v>58</x:v>
      </x:c>
      <x:c r="P107" s="7" t="str">
        <x:v>Reset only the P2 closest target. Keep the scene exact; change only the query and expected target from closest to furthest.</x:v>
      </x:c>
      <x:c r="Q107" s="7" t="str">
        <x:v>Exact-scene closest→furthest comparison. Analyze block-as-candidate and block-as-reference families separately; this is cross-task visual transfer, not global novelty.</x:v>
      </x:c>
      <x:c r="R107" s="7"/>
    </x:row>
    <x:row r="108" ht="66" customHeight="1">
      <x:c r="A108" s="9" t="str">
        <x:v>Not collected</x:v>
      </x:c>
      <x:c r="B108" s="9" t="n">
        <x:v>106</x:v>
      </x:c>
      <x:c r="C108" s="10" t="str">
        <x:v>Move the airplane toy that is closest to the blue block into the bowl.</x:v>
      </x:c>
      <x:c r="D108" s="10" t="str">
        <x:v>P1 blue block at R4 (5 cm toward the robot from center) [REFERENCE]; P2 airplane toy without propellers with 6 cm edge gap in front of P1 [CLOSE CANDIDATE]; P3 airplane toy with propellers with 20 cm edge gap behind P1 [FAR CANDIDATE]; P4 red block with 14 cm edge gap to the left of P1 [VISUAL COMPETITOR]; P5 green pen with 14 cm edge gap to the right of P1 [DISTRACTOR]</x:v>
      </x:c>
      <x:c r="E108" s="9"/>
      <x:c r="F108" s="9" t="str">
        <x:v>airplane toy without propellers</x:v>
      </x:c>
      <x:c r="G108" s="10"/>
      <x:c r="H108" s="9" t="str">
        <x:v>Block closest baseline</x:v>
      </x:c>
      <x:c r="I108" s="9" t="str">
        <x:v>RD-BLK09</x:v>
      </x:c>
      <x:c r="J108" s="9" t="str">
        <x:v>RD-BLK09</x:v>
      </x:c>
      <x:c r="K108" s="9" t="str">
        <x:v>airplane toy</x:v>
      </x:c>
      <x:c r="L108" s="9" t="str">
        <x:v>closest</x:v>
      </x:c>
      <x:c r="M108" s="9" t="n">
        <x:v>5</x:v>
      </x:c>
      <x:c r="N108" s="9" t="str">
        <x:v>1 — Block closest baseline — Cross-task red/blue blocks as reference object; seen closest concept</x:v>
      </x:c>
      <x:c r="O108" s="9" t="n">
        <x:v>59</x:v>
      </x:c>
      <x:c r="P108" s="10" t="str">
        <x:v>Build the listed scene with both red and blue blocks present. Save a first-frame filename before the baseline.</x:v>
      </x:c>
      <x:c r="Q108" s="10" t="str">
        <x:v>Red and blue blocks are equally trained in Relational Placement but absent from Referential Disambiguation. The closest baseline checks the relevant cross-task visual role.</x:v>
      </x:c>
      <x:c r="R108" s="10"/>
    </x:row>
    <x:row r="109" ht="66" customHeight="1">
      <x:c r="A109" s="8" t="str">
        <x:v>Not collected</x:v>
      </x:c>
      <x:c r="B109" s="8" t="n">
        <x:v>107</x:v>
      </x:c>
      <x:c r="C109" s="7" t="str">
        <x:v>Pick up the airplane toy furthest from the blue block and place it in the bowl.</x:v>
      </x:c>
      <x:c r="D109" s="7" t="str">
        <x:v>P1 blue block at R4 (5 cm toward the robot from center) [REFERENCE]; P2 airplane toy without propellers with 6 cm edge gap in front of P1 [CLOSE CANDIDATE]; P3 airplane toy with propellers with 20 cm edge gap behind P1 [FAR CANDIDATE]; P4 red block with 14 cm edge gap to the left of P1 [VISUAL COMPETITOR]; P5 green pen with 14 cm edge gap to the right of P1 [DISTRACTOR]</x:v>
      </x:c>
      <x:c r="E109" s="8" t="n">
        <x:v>106</x:v>
      </x:c>
      <x:c r="F109" s="8" t="str">
        <x:v>airplane toy with propellers</x:v>
      </x:c>
      <x:c r="G109" s="7"/>
      <x:c r="H109" s="8" t="str">
        <x:v>Block furthest transfer</x:v>
      </x:c>
      <x:c r="I109" s="8" t="str">
        <x:v>RD-BLK09</x:v>
      </x:c>
      <x:c r="J109" s="8" t="str">
        <x:v>RD-BLK09</x:v>
      </x:c>
      <x:c r="K109" s="8" t="str">
        <x:v>airplane toy</x:v>
      </x:c>
      <x:c r="L109" s="8" t="str">
        <x:v>furthest</x:v>
      </x:c>
      <x:c r="M109" s="8" t="n">
        <x:v>5</x:v>
      </x:c>
      <x:c r="N109" s="8" t="str">
        <x:v>2 — Block furthest transfer — Cross-task red/blue blocks as reference object; held-out furthest concept</x:v>
      </x:c>
      <x:c r="O109" s="8" t="n">
        <x:v>59</x:v>
      </x:c>
      <x:c r="P109" s="7" t="str">
        <x:v>Reset only the P2 closest target. Keep the scene exact; change only the query and expected target from closest to furthest.</x:v>
      </x:c>
      <x:c r="Q109" s="7" t="str">
        <x:v>Exact-scene closest→furthest comparison. Analyze block-as-candidate and block-as-reference families separately; this is cross-task visual transfer, not global novelty.</x:v>
      </x:c>
      <x:c r="R109" s="7"/>
    </x:row>
    <x:row r="110" ht="66" customHeight="1">
      <x:c r="A110" s="9" t="str">
        <x:v>Not collected</x:v>
      </x:c>
      <x:c r="B110" s="9" t="n">
        <x:v>108</x:v>
      </x:c>
      <x:c r="C110" s="10" t="str">
        <x:v>Pick up the crushed soda can nearest to the red block and place it in the bowl.</x:v>
      </x:c>
      <x:c r="D110" s="10" t="str">
        <x:v>P1 red block at R5 (5 cm away from the robot from center) [REFERENCE]; P2 crushed Coke can with 6 cm edge gap behind P1 [CLOSE CANDIDATE]; P3 crushed Pepsi can with 20 cm edge gap in front of P1 [FAR CANDIDATE]; P4 blue block with 14 cm edge gap to the right of P1 [VISUAL COMPETITOR]</x:v>
      </x:c>
      <x:c r="E110" s="9"/>
      <x:c r="F110" s="9" t="str">
        <x:v>crushed Coke can</x:v>
      </x:c>
      <x:c r="G110" s="10"/>
      <x:c r="H110" s="9" t="str">
        <x:v>Block closest baseline</x:v>
      </x:c>
      <x:c r="I110" s="9" t="str">
        <x:v>RD-BLK10</x:v>
      </x:c>
      <x:c r="J110" s="9" t="str">
        <x:v>RD-BLK10</x:v>
      </x:c>
      <x:c r="K110" s="9" t="str">
        <x:v>crushed soda can</x:v>
      </x:c>
      <x:c r="L110" s="9" t="str">
        <x:v>closest</x:v>
      </x:c>
      <x:c r="M110" s="9" t="n">
        <x:v>4</x:v>
      </x:c>
      <x:c r="N110" s="9" t="str">
        <x:v>1 — Block closest baseline — Cross-task red/blue blocks as reference object; seen closest concept</x:v>
      </x:c>
      <x:c r="O110" s="9" t="n">
        <x:v>60</x:v>
      </x:c>
      <x:c r="P110" s="10" t="str">
        <x:v>Build the listed scene with both red and blue blocks present. Save a first-frame filename before the baseline.</x:v>
      </x:c>
      <x:c r="Q110" s="10" t="str">
        <x:v>Red and blue blocks are equally trained in Relational Placement but absent from Referential Disambiguation. The closest baseline checks the relevant cross-task visual role.</x:v>
      </x:c>
      <x:c r="R110" s="10"/>
    </x:row>
    <x:row r="111" ht="66" customHeight="1">
      <x:c r="A111" s="8" t="str">
        <x:v>Not collected</x:v>
      </x:c>
      <x:c r="B111" s="8" t="n">
        <x:v>109</x:v>
      </x:c>
      <x:c r="C111" s="7" t="str">
        <x:v>Pick up the crushed soda can furthest from the red block and place it in the bowl.</x:v>
      </x:c>
      <x:c r="D111" s="7" t="str">
        <x:v>P1 red block at R5 (5 cm away from the robot from center) [REFERENCE]; P2 crushed Coke can with 6 cm edge gap behind P1 [CLOSE CANDIDATE]; P3 crushed Pepsi can with 20 cm edge gap in front of P1 [FAR CANDIDATE]; P4 blue block with 14 cm edge gap to the right of P1 [VISUAL COMPETITOR]</x:v>
      </x:c>
      <x:c r="E111" s="8" t="n">
        <x:v>108</x:v>
      </x:c>
      <x:c r="F111" s="8" t="str">
        <x:v>crushed Pepsi can</x:v>
      </x:c>
      <x:c r="G111" s="7"/>
      <x:c r="H111" s="8" t="str">
        <x:v>Block furthest transfer</x:v>
      </x:c>
      <x:c r="I111" s="8" t="str">
        <x:v>RD-BLK10</x:v>
      </x:c>
      <x:c r="J111" s="8" t="str">
        <x:v>RD-BLK10</x:v>
      </x:c>
      <x:c r="K111" s="8" t="str">
        <x:v>crushed soda can</x:v>
      </x:c>
      <x:c r="L111" s="8" t="str">
        <x:v>furthest</x:v>
      </x:c>
      <x:c r="M111" s="8" t="n">
        <x:v>4</x:v>
      </x:c>
      <x:c r="N111" s="8" t="str">
        <x:v>2 — Block furthest transfer — Cross-task red/blue blocks as reference object; held-out furthest concept</x:v>
      </x:c>
      <x:c r="O111" s="8" t="n">
        <x:v>60</x:v>
      </x:c>
      <x:c r="P111" s="7" t="str">
        <x:v>Reset only the P2 closest target. Keep the scene exact; change only the query and expected target from closest to furthest.</x:v>
      </x:c>
      <x:c r="Q111" s="7" t="str">
        <x:v>Exact-scene closest→furthest comparison. Analyze block-as-candidate and block-as-reference families separately; this is cross-task visual transfer, not global novelty.</x:v>
      </x:c>
      <x:c r="R111" s="7"/>
    </x:row>
  </x:sheetData>
  <x:conditionalFormatting sqref="A2:R111">
    <x:cfRule type="expression" dxfId="0" priority="1">
      <x:formula>$A2="Success"</x:formula>
    </x:cfRule>
    <x:cfRule type="expression" dxfId="1" priority="2">
      <x:formula>$A2="Failure"</x:formula>
    </x:cfRule>
  </x:conditionalFormatting>
  <x:conditionalFormatting sqref="H2:H111">
    <x:cfRule type="containsText" dxfId="2" priority="3" operator="containsText" text="Concept/compositional transfer"/>
    <x:cfRule type="containsText" dxfId="3" priority="4" operator="containsText" text="Matched manipulation control"/>
    <x:cfRule type="containsText" dxfId="4" priority="5" operator="containsText" text="Block"/>
    <x:cfRule type="containsText" dxfId="5" priority="6" operator="containsText" text="Language robustness"/>
  </x:conditionalFormatting>
  <x:dataValidations count="1">
    <x:dataValidation type="list" sqref="A2:A111">
      <x:formula1>"Not collected,Success,Failure"</x:formula1>
    </x:dataValidation>
  </x:dataValidations>
  <x:pageMargins left="0.7" right="0.7" top="0.75" bottom="0.75" header="0.3" footer="0.3"/>
  <x:tableParts count="1">
    <x:tablePart xmlns:r="http://schemas.openxmlformats.org/officeDocument/2006/relationships" r:id="Rd56a5b633586466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1" hidden="0" customWidth="1"/>
    <x:col min="2" max="2" width="26" hidden="0" customWidth="1"/>
    <x:col min="3" max="3" width="58" hidden="0" customWidth="1"/>
    <x:col min="4" max="4" width="50" hidden="0" customWidth="1"/>
    <x:col min="5" max="5" width="54" hidden="0" customWidth="1"/>
    <x:col min="6" max="6" width="48" hidden="0" customWidth="1"/>
    <x:col min="7" max="7" width="62" hidden="0" customWidth="1"/>
  </x:cols>
  <x:sheetData>
    <x:row r="1" ht="36" customHeight="1">
      <x:c r="A1" s="4" t="str">
        <x:v>Object Pair</x:v>
      </x:c>
      <x:c r="B1" s="4" t="str">
        <x:v>Prompt Category</x:v>
      </x:c>
      <x:c r="C1" s="4" t="str">
        <x:v>Physical Instances</x:v>
      </x:c>
      <x:c r="D1" s="4" t="str">
        <x:v>Referential Exposure</x:v>
      </x:c>
      <x:c r="E1" s="4" t="str">
        <x:v>Other-Task / Visual Tier</x:v>
      </x:c>
      <x:c r="F1" s="4" t="str">
        <x:v>Evaluation Role</x:v>
      </x:c>
      <x:c r="G1" s="4" t="str">
        <x:v>Rule</x:v>
      </x:c>
    </x:row>
    <x:row r="2" ht="66" customHeight="1">
      <x:c r="A2" s="7" t="str">
        <x:v>crushed soda can pair</x:v>
      </x:c>
      <x:c r="B2" s="7" t="str">
        <x:v>crushed soda can</x:v>
      </x:c>
      <x:c r="C2" s="7" t="str">
        <x:v>crushed Coke can; crushed Pepsi can</x:v>
      </x:c>
      <x:c r="D2" s="7" t="str">
        <x:v>Each identity is target in 25 Referential episodes</x:v>
      </x:c>
      <x:c r="E2" s="7" t="str">
        <x:v>Same-task known</x:v>
      </x:c>
      <x:c r="F2" s="7" t="str">
        <x:v>Primary closest/furthest candidates</x:v>
      </x:c>
      <x:c r="G2" s="7" t="str">
        <x:v>Both candidates must be present</x:v>
      </x:c>
    </x:row>
    <x:row r="3" ht="66" customHeight="1">
      <x:c r="A3" s="7" t="str">
        <x:v>pencil-sharpener pair</x:v>
      </x:c>
      <x:c r="B3" s="7" t="str">
        <x:v>pencil sharpener</x:v>
      </x:c>
      <x:c r="C3" s="7" t="str">
        <x:v>green pencil sharpener; red pencil sharpener</x:v>
      </x:c>
      <x:c r="D3" s="7" t="str">
        <x:v>Each identity is target in 25 Referential episodes</x:v>
      </x:c>
      <x:c r="E3" s="7" t="str">
        <x:v>Same-task known</x:v>
      </x:c>
      <x:c r="F3" s="7" t="str">
        <x:v>Primary closest/furthest candidates</x:v>
      </x:c>
      <x:c r="G3" s="7" t="str">
        <x:v>Both candidates must be present</x:v>
      </x:c>
    </x:row>
    <x:row r="4" ht="66" customHeight="1">
      <x:c r="A4" s="7" t="str">
        <x:v>pen pair</x:v>
      </x:c>
      <x:c r="B4" s="7" t="str">
        <x:v>pen</x:v>
      </x:c>
      <x:c r="C4" s="7" t="str">
        <x:v>green pen; yellow pen</x:v>
      </x:c>
      <x:c r="D4" s="7" t="str">
        <x:v>Each identity is target in 25 Referential episodes</x:v>
      </x:c>
      <x:c r="E4" s="7" t="str">
        <x:v>Same-task known</x:v>
      </x:c>
      <x:c r="F4" s="7" t="str">
        <x:v>Primary closest/furthest candidates</x:v>
      </x:c>
      <x:c r="G4" s="7" t="str">
        <x:v>Both candidates must be present</x:v>
      </x:c>
    </x:row>
    <x:row r="5" ht="66" customHeight="1">
      <x:c r="A5" s="7" t="str">
        <x:v>airplane-toy pair</x:v>
      </x:c>
      <x:c r="B5" s="7" t="str">
        <x:v>airplane toy</x:v>
      </x:c>
      <x:c r="C5" s="7" t="str">
        <x:v>airplane toy with propellers; airplane toy without propellers</x:v>
      </x:c>
      <x:c r="D5" s="7" t="str">
        <x:v>Each identity is target in 25 Referential episodes</x:v>
      </x:c>
      <x:c r="E5" s="7" t="str">
        <x:v>Same-task known</x:v>
      </x:c>
      <x:c r="F5" s="7" t="str">
        <x:v>Primary closest/furthest candidates</x:v>
      </x:c>
      <x:c r="G5" s="7" t="str">
        <x:v>Both candidates must be present</x:v>
      </x:c>
    </x:row>
    <x:row r="6" ht="66" customHeight="1">
      <x:c r="A6" s="11" t="str">
        <x:v>red/blue block pair</x:v>
      </x:c>
      <x:c r="B6" s="11" t="str">
        <x:v>block</x:v>
      </x:c>
      <x:c r="C6" s="11" t="str">
        <x:v>red block; blue block</x:v>
      </x:c>
      <x:c r="D6" s="11" t="str">
        <x:v>Absent from all 200 Referential episodes</x:v>
      </x:c>
      <x:c r="E6" s="11" t="str">
        <x:v>Each appears in 152 Relational scenes and is target in 50</x:v>
      </x:c>
      <x:c r="F6" s="11" t="str">
        <x:v>Visual pilot as candidates or references</x:v>
      </x:c>
      <x:c r="G6" s="11" t="str">
        <x:v>Use shape/size-matched blocks; both colors in every visual row</x:v>
      </x:c>
    </x:row>
  </x:sheetData>
  <x:pageMargins left="0.7" right="0.7" top="0.75" bottom="0.75" header="0.3" footer="0.3"/>
  <x:tableParts count="1">
    <x:tablePart xmlns:r="http://schemas.openxmlformats.org/officeDocument/2006/relationships" r:id="Rfdf4f8613ca74b5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3" hidden="0" customWidth="1"/>
    <x:col min="2" max="2" width="68" hidden="0" customWidth="1"/>
    <x:col min="3" max="3" width="82" hidden="0" customWidth="1"/>
  </x:cols>
  <x:sheetData>
    <x:row r="1" ht="36" customHeight="1">
      <x:c r="A1" s="4" t="str">
        <x:v>Training / Evaluation Feature</x:v>
      </x:c>
      <x:c r="B1" s="4" t="str">
        <x:v>Observed in planned Referential Disambiguation training</x:v>
      </x:c>
      <x:c r="C1" s="4" t="str">
        <x:v>Evaluation consequence</x:v>
      </x:c>
    </x:row>
    <x:row r="2" ht="58" customHeight="1">
      <x:c r="A2" s="7" t="str">
        <x:v>Referential Disambiguation episodes</x:v>
      </x:c>
      <x:c r="B2" s="7" t="n">
        <x:v>200</x:v>
      </x:c>
      <x:c r="C2" s="7" t="str">
        <x:v>Focused evaluation uses 110 trials per model.</x:v>
      </x:c>
    </x:row>
    <x:row r="3" ht="58" customHeight="1">
      <x:c r="A3" s="7" t="str">
        <x:v>Explicit closest/nearest grounding</x:v>
      </x:c>
      <x:c r="B3" s="7" t="n">
        <x:v>60</x:v>
      </x:c>
      <x:c r="C3" s="7" t="str">
        <x:v>Use closest as the seen-concept baseline in the visual pilot.</x:v>
      </x:c>
    </x:row>
    <x:row r="4" ht="58" customHeight="1">
      <x:c r="A4" s="7" t="str">
        <x:v>Masked furthest physical exposure</x:v>
      </x:c>
      <x:c r="B4" s="7" t="n">
        <x:v>60</x:v>
      </x:c>
      <x:c r="C4" s="7" t="str">
        <x:v>The physically far target is directly named; no furthest/farthest language appears.</x:v>
      </x:c>
    </x:row>
    <x:row r="5" ht="58" customHeight="1">
      <x:c r="A5" s="7" t="str">
        <x:v>Explicit between grounding</x:v>
      </x:c>
      <x:c r="B5" s="7" t="n">
        <x:v>80</x:v>
      </x:c>
      <x:c r="C5" s="7" t="str">
        <x:v>Between is trained but is outside this focused furthest evaluation.</x:v>
      </x:c>
    </x:row>
    <x:row r="6" ht="58" customHeight="1">
      <x:c r="A6" s="7" t="str">
        <x:v>Held-out concept</x:v>
      </x:c>
      <x:c r="B6" s="7" t="str">
        <x:v>furthest/farthest</x:v>
      </x:c>
      <x:c r="C6" s="7" t="str">
        <x:v>Primary transfer trials use furthest; language trials test farthest/most distant/farther away.</x:v>
      </x:c>
    </x:row>
    <x:row r="7" ht="58" customHeight="1">
      <x:c r="A7" s="7" t="str">
        <x:v>Target identities</x:v>
      </x:c>
      <x:c r="B7" s="7" t="str">
        <x:v>8 identities; exactly 25 target episodes each</x:v>
      </x:c>
      <x:c r="C7" s="7" t="str">
        <x:v>Primary counterfactual pairs balance both identities within every category.</x:v>
      </x:c>
    </x:row>
    <x:row r="8" ht="58" customHeight="1">
      <x:c r="A8" s="7" t="str">
        <x:v>Training scene sizes</x:v>
      </x:c>
      <x:c r="B8" s="7" t="str">
        <x:v>60 three-object; 100 four-object; 40 five-object</x:v>
      </x:c>
      <x:c r="C8" s="7" t="str">
        <x:v>Primary transfer uses 16/24/10, closely matching the 30%/50%/20% training mix.</x:v>
      </x:c>
    </x:row>
    <x:row r="9" ht="58" customHeight="1">
      <x:c r="A9" s="7" t="str">
        <x:v>Red block</x:v>
      </x:c>
      <x:c r="B9" s="7" t="str">
        <x:v>152 Relational scenes; target in 50; 0 Referential scenes</x:v>
      </x:c>
      <x:c r="C9" s="7" t="str">
        <x:v>Cross-task visual pilot, not global novelty.</x:v>
      </x:c>
    </x:row>
    <x:row r="10" ht="58" customHeight="1">
      <x:c r="A10" s="7" t="str">
        <x:v>Blue block</x:v>
      </x:c>
      <x:c r="B10" s="7" t="str">
        <x:v>152 Relational scenes; target in 50; 0 Referential scenes</x:v>
      </x:c>
      <x:c r="C10" s="7" t="str">
        <x:v>Exposure is matched to red block, reducing visual-frequency confounding.</x:v>
      </x:c>
    </x:row>
    <x:row r="11" ht="58" customHeight="1">
      <x:c r="A11" s="7" t="str">
        <x:v>Source workbook</x:v>
      </x:c>
      <x:c r="B11" s="7" t="str">
        <x:v>/Users/justintiensmith/Downloads/VLA_Reasoning_Dataset_Info_Planned_After_61_Recollections.xlsx</x:v>
      </x:c>
      <x:c r="C11" s="7" t="str">
        <x:v>Counts, held-out logic and object exposure audited before generation.</x:v>
      </x:c>
    </x:row>
  </x:sheetData>
  <x:pageMargins left="0.7" right="0.7" top="0.75" bottom="0.75" header="0.3" footer="0.3"/>
  <x:tableParts count="1">
    <x:tablePart xmlns:r="http://schemas.openxmlformats.org/officeDocument/2006/relationships" r:id="Rb70107b2d72041e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120" hidden="0" customWidth="1"/>
  </x:cols>
  <x:sheetData>
    <x:row r="1" ht="38" customHeight="1">
      <x:c r="A1" s="19" t="str">
        <x:v>REFERENTIAL DISAMBIGUATION EVALUATION — FINAL PAIRED DESIGN</x:v>
      </x:c>
      <x:c r="B1" s="19"/>
    </x:row>
    <x:row r="2" ht="62" customHeight="1">
      <x:c r="A2" s="20" t="str">
        <x:v>Rows 0-29</x:v>
      </x:c>
      <x:c r="B2" s="21" t="str">
        <x:v>Ten three-object scenes: canonical furthest transfer → exact-scene transfer paraphrase → direct-name matched control.</x:v>
      </x:c>
    </x:row>
    <x:row r="3" ht="62" customHeight="1">
      <x:c r="A3" s="20" t="str">
        <x:v>Rows 30-59</x:v>
      </x:c>
      <x:c r="B3" s="21" t="str">
        <x:v>Ten four-object scenes: canonical furthest transfer → direct-name matched control → exact-scene control paraphrase.</x:v>
      </x:c>
    </x:row>
    <x:row r="4" ht="62" customHeight="1">
      <x:c r="A4" s="20" t="str">
        <x:v>Rows 60-89</x:v>
      </x:c>
      <x:c r="B4" s="21" t="str">
        <x:v>Thirty additional canonical furthest trials, arranged as fifteen adjacent counterfactual A/B scene pairs.</x:v>
      </x:c>
    </x:row>
    <x:row r="5" ht="62" customHeight="1">
      <x:c r="A5" s="20" t="str">
        <x:v>Rows 90-109</x:v>
      </x:c>
      <x:c r="B5" s="21" t="str">
        <x:v>Ten exact-scene red/blue block pairs: closest baseline → furthest transfer. Five use blocks as candidate targets; five use a colored block as the reference.</x:v>
      </x:c>
    </x:row>
    <x:row r="6" ht="62" customHeight="1">
      <x:c r="A6" s="20" t="str">
        <x:v>Primary endpoint</x:v>
      </x:c>
      <x:c r="B6" s="21" t="str">
        <x:v>Episodes 0-89 contain 50 furthest-transfer trials, 20 endpoint-matched controls, and 20 exact-scene language trials. Report the 50 furthest trials as the primary result.</x:v>
      </x:c>
    </x:row>
    <x:row r="7" ht="62" customHeight="1">
      <x:c r="A7" s="20" t="str">
        <x:v>What is held out</x:v>
      </x:c>
      <x:c r="B7" s="21" t="str">
        <x:v>Closest/nearest and between are explicitly trained. Furthest/farthest language is entirely withheld, although the same far-target manipulation trajectories are retained under direct object names.</x:v>
      </x:c>
    </x:row>
    <x:row r="8" ht="62" customHeight="1">
      <x:c r="A8" s="20" t="str">
        <x:v>Counterfactual A/B pairs</x:v>
      </x:c>
      <x:c r="B8" s="21" t="str">
        <x:v>The 50 primary trials form 25 A/B pairs. Scene B swaps only the two candidate identities at the fixed 6 cm and 20 cm positions. A model cannot pass both by memorizing one preferred identity.</x:v>
      </x:c>
    </x:row>
    <x:row r="9" ht="62" customHeight="1">
      <x:c r="A9" s="20" t="str">
        <x:v>Matched-control interpretation</x:v>
      </x:c>
      <x:c r="B9" s="21" t="str">
        <x:v>The direct-name control selects the same far target from the exact same start scene. It therefore matches target identity, grasp, path and endpoint while removing the need to interpret furthest.</x:v>
      </x:c>
    </x:row>
    <x:row r="10" ht="62" customHeight="1">
      <x:c r="A10" s="20" t="str">
        <x:v>Language split</x:v>
      </x:c>
      <x:c r="B10" s="21" t="str">
        <x:v>Ten paraphrases reference exact furthest-transfer scenes and ten reference exact direct-name control scenes. Reset only the moved target; change only wording.</x:v>
      </x:c>
    </x:row>
    <x:row r="11" ht="62" customHeight="1">
      <x:c r="A11" s="20" t="str">
        <x:v>Distance geometry</x:v>
      </x:c>
      <x:c r="B11" s="21" t="str">
        <x:v>Use edge-to-edge gaps of 6 cm for the close candidate and 20 cm for the far candidate. Rotate candidate directions across scenes. Verify no overlap and keep the full target path clear.</x:v>
      </x:c>
    </x:row>
    <x:row r="12" ht="62" customHeight="1">
      <x:c r="A12" s="20" t="str">
        <x:v>Candidate rule</x:v>
      </x:c>
      <x:c r="B12" s="21" t="str">
        <x:v>Every relational query contains exactly two objects matching the requested category. Other objects must be different categories, so distance—not an extra same-category distractor—determines the target.</x:v>
      </x:c>
    </x:row>
    <x:row r="13" ht="62" customHeight="1">
      <x:c r="A13" s="20" t="str">
        <x:v>Block visual pilot</x:v>
      </x:c>
      <x:c r="B13" s="21" t="str">
        <x:v>Use shape- and size-matched red and blue blocks. Both colors appear in every visual row. Analyze the five block-candidate and five block-reference families separately.</x:v>
      </x:c>
    </x:row>
    <x:row r="14" ht="62" customHeight="1">
      <x:c r="A14" s="20" t="str">
        <x:v>Block interpretation</x:v>
      </x:c>
      <x:c r="B14" s="21" t="str">
        <x:v>Both blocks are equally seen in Relational Placement and absent from Referential Disambiguation. This is cross-task visual-role transfer, not globally unseen-object generalization.</x:v>
      </x:c>
    </x:row>
    <x:row r="15" ht="62" customHeight="1">
      <x:c r="A15" s="20" t="str">
        <x:v>Collection reproducibility</x:v>
      </x:c>
      <x:c r="B15" s="21" t="str">
        <x:v>Use fixed R1-R5 anchors, camera, bowl, lighting and horizon across models. Save a first-frame filename for each scene. Setup guides must not be visible at inference if absent during training.</x:v>
      </x:c>
    </x:row>
    <x:row r="16" ht="62" customHeight="1">
      <x:c r="A16" s="20" t="str">
        <x:v>Success / failure</x:v>
      </x:c>
      <x:c r="B16" s="21" t="str">
        <x:v>Success = the expected target is released in the bowl within the fixed horizon. Wrong candidate, wrong category, timeout, no grasp or drop outside the bowl = Failure. For hardware/setup faults, leave Not collected and repeat the episode.</x:v>
      </x:c>
    </x:row>
    <x:row r="17" ht="62" customHeight="1">
      <x:c r="A17" s="20" t="str">
        <x:v>Analysis</x:v>
      </x:c>
      <x:c r="B17" s="21" t="str">
        <x:v>Report exact Clopper–Pearson intervals by condition. For model comparisons use identical episode specifications and paired binary tests. Cluster primary analyses by the 25 Counterfactual Pair IDs and visual analyses by the 10 block families.</x:v>
      </x:c>
    </x:row>
    <x:row r="18" ht="62" customHeight="1">
      <x:c r="A18" s="20" t="str">
        <x:v>Claim boundary</x:v>
      </x:c>
      <x:c r="B18" s="21" t="str">
        <x:v>The 50 primary rows estimate performance over these controlled scenes, not independent object concepts. The ten block families are an exploratory pilot over one matched color pair.</x:v>
      </x:c>
    </x:row>
  </x:sheetData>
  <x:mergeCells>
    <x:mergeCell ref="A1:B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48" hidden="0" customWidth="1"/>
    <x:col min="2" max="2" width="14" hidden="0" customWidth="1"/>
    <x:col min="3" max="3" width="14" hidden="0" customWidth="1"/>
    <x:col min="4" max="4" width="14" hidden="0" customWidth="1"/>
    <x:col min="5" max="5" width="70" hidden="0" customWidth="1"/>
  </x:cols>
  <x:sheetData>
    <x:row r="1" ht="34" customHeight="1">
      <x:c r="A1" s="4" t="str">
        <x:v>Check</x:v>
      </x:c>
      <x:c r="B1" s="4" t="str">
        <x:v>Observed</x:v>
      </x:c>
      <x:c r="C1" s="4" t="str">
        <x:v>Expected</x:v>
      </x:c>
      <x:c r="D1" s="4" t="str">
        <x:v>Status</x:v>
      </x:c>
      <x:c r="E1" s="4" t="str">
        <x:v>Notes</x:v>
      </x:c>
    </x:row>
    <x:row r="2" ht="40" customHeight="1">
      <x:c r="A2" s="7" t="str">
        <x:v>Total trials</x:v>
      </x:c>
      <x:c r="B2" s="7" t="n">
        <x:f>COUNTA('Evaluation Plan'!$B$2:$B$111)</x:f>
        <x:v>110</x:v>
      </x:c>
      <x:c r="C2" s="7" t="n">
        <x:v>110</x:v>
      </x:c>
      <x:c r="D2" s="7" t="str">
        <x:f>IF(B2=C2,"PASS","CHECK")</x:f>
        <x:v>PASS</x:v>
      </x:c>
      <x:c r="E2" s="7"/>
    </x:row>
    <x:row r="3" ht="40" customHeight="1">
      <x:c r="A3" s="7" t="str">
        <x:v>Concept/compositional transfer</x:v>
      </x:c>
      <x:c r="B3" s="7" t="n">
        <x:f>COUNTIF('Evaluation Plan'!$H$2:$H$111,"Concept/compositional transfer")</x:f>
        <x:v>50</x:v>
      </x:c>
      <x:c r="C3" s="7" t="n">
        <x:v>50</x:v>
      </x:c>
      <x:c r="D3" s="7" t="str">
        <x:f>IF(B3=C3,"PASS","CHECK")</x:f>
        <x:v>PASS</x:v>
      </x:c>
      <x:c r="E3" s="7" t="str">
        <x:v>Primary furthest endpoint</x:v>
      </x:c>
    </x:row>
    <x:row r="4" ht="40" customHeight="1">
      <x:c r="A4" s="7" t="str">
        <x:v>Matched manipulation control</x:v>
      </x:c>
      <x:c r="B4" s="7" t="n">
        <x:f>COUNTIF('Evaluation Plan'!$H$2:$H$111,"Matched manipulation control")</x:f>
        <x:v>20</x:v>
      </x:c>
      <x:c r="C4" s="7" t="n">
        <x:v>20</x:v>
      </x:c>
      <x:c r="D4" s="7" t="str">
        <x:f>IF(B4=C4,"PASS","CHECK")</x:f>
        <x:v>PASS</x:v>
      </x:c>
      <x:c r="E4" s="7" t="str">
        <x:v>Same far target and trajectory</x:v>
      </x:c>
    </x:row>
    <x:row r="5" ht="40" customHeight="1">
      <x:c r="A5" s="7" t="str">
        <x:v>Language robustness</x:v>
      </x:c>
      <x:c r="B5" s="7" t="n">
        <x:f>COUNTIF('Evaluation Plan'!$H$2:$H$111,"Language robustness")</x:f>
        <x:v>20</x:v>
      </x:c>
      <x:c r="C5" s="7" t="n">
        <x:v>20</x:v>
      </x:c>
      <x:c r="D5" s="7" t="str">
        <x:f>IF(B5=C5,"PASS","CHECK")</x:f>
        <x:v>PASS</x:v>
      </x:c>
      <x:c r="E5" s="7" t="str">
        <x:v>10 transfer + 10 direct-control paraphrases</x:v>
      </x:c>
    </x:row>
    <x:row r="6" ht="40" customHeight="1">
      <x:c r="A6" s="7" t="str">
        <x:v>Block closest baseline</x:v>
      </x:c>
      <x:c r="B6" s="7" t="n">
        <x:f>COUNTIF('Evaluation Plan'!$H$2:$H$111,"Block closest baseline")</x:f>
        <x:v>10</x:v>
      </x:c>
      <x:c r="C6" s="7" t="n">
        <x:v>10</x:v>
      </x:c>
      <x:c r="D6" s="7" t="str">
        <x:f>IF(B6=C6,"PASS","CHECK")</x:f>
        <x:v>PASS</x:v>
      </x:c>
      <x:c r="E6" s="7"/>
    </x:row>
    <x:row r="7" ht="40" customHeight="1">
      <x:c r="A7" s="7" t="str">
        <x:v>Block furthest transfer</x:v>
      </x:c>
      <x:c r="B7" s="7" t="n">
        <x:f>COUNTIF('Evaluation Plan'!$H$2:$H$111,"Block furthest transfer")</x:f>
        <x:v>10</x:v>
      </x:c>
      <x:c r="C7" s="7" t="n">
        <x:v>10</x:v>
      </x:c>
      <x:c r="D7" s="7" t="str">
        <x:f>IF(B7=C7,"PASS","CHECK")</x:f>
        <x:v>PASS</x:v>
      </x:c>
      <x:c r="E7" s="7"/>
    </x:row>
    <x:row r="8" ht="40" customHeight="1">
      <x:c r="A8" s="7" t="str">
        <x:v>Primary transfer: 3 objects</x:v>
      </x:c>
      <x:c r="B8" s="7" t="n">
        <x:f>COUNTIFS('Evaluation Plan'!$H$2:$H$111,"Concept/compositional transfer",'Evaluation Plan'!$M$2:$M$111,3)</x:f>
        <x:v>16</x:v>
      </x:c>
      <x:c r="C8" s="7" t="n">
        <x:v>16</x:v>
      </x:c>
      <x:c r="D8" s="7" t="str">
        <x:f>IF(B8=C8,"PASS","CHECK")</x:f>
        <x:v>PASS</x:v>
      </x:c>
      <x:c r="E8" s="7" t="str">
        <x:v>32%</x:v>
      </x:c>
    </x:row>
    <x:row r="9" ht="40" customHeight="1">
      <x:c r="A9" s="7" t="str">
        <x:v>Primary transfer: 4 objects</x:v>
      </x:c>
      <x:c r="B9" s="7" t="n">
        <x:f>COUNTIFS('Evaluation Plan'!$H$2:$H$111,"Concept/compositional transfer",'Evaluation Plan'!$M$2:$M$111,4)</x:f>
        <x:v>24</x:v>
      </x:c>
      <x:c r="C9" s="7" t="n">
        <x:v>24</x:v>
      </x:c>
      <x:c r="D9" s="7" t="str">
        <x:f>IF(B9=C9,"PASS","CHECK")</x:f>
        <x:v>PASS</x:v>
      </x:c>
      <x:c r="E9" s="7" t="str">
        <x:v>48%</x:v>
      </x:c>
    </x:row>
    <x:row r="10" ht="40" customHeight="1">
      <x:c r="A10" s="7" t="str">
        <x:v>Primary transfer: 5 objects</x:v>
      </x:c>
      <x:c r="B10" s="7" t="n">
        <x:f>COUNTIFS('Evaluation Plan'!$H$2:$H$111,"Concept/compositional transfer",'Evaluation Plan'!$M$2:$M$111,5)</x:f>
        <x:v>10</x:v>
      </x:c>
      <x:c r="C10" s="7" t="n">
        <x:v>10</x:v>
      </x:c>
      <x:c r="D10" s="7" t="str">
        <x:f>IF(B10=C10,"PASS","CHECK")</x:f>
        <x:v>PASS</x:v>
      </x:c>
      <x:c r="E10" s="7" t="str">
        <x:v>20%</x:v>
      </x:c>
    </x:row>
    <x:row r="11" ht="40" customHeight="1">
      <x:c r="A11" s="7" t="str">
        <x:v>Three-object matched controls</x:v>
      </x:c>
      <x:c r="B11" s="7" t="n">
        <x:f>COUNTIFS('Evaluation Plan'!$H$2:$H$111,"Matched manipulation control",'Evaluation Plan'!$M$2:$M$111,3)</x:f>
        <x:v>10</x:v>
      </x:c>
      <x:c r="C11" s="7" t="n">
        <x:v>10</x:v>
      </x:c>
      <x:c r="D11" s="7" t="str">
        <x:f>IF(B11=C11,"PASS","CHECK")</x:f>
        <x:v>PASS</x:v>
      </x:c>
      <x:c r="E11" s="7"/>
    </x:row>
    <x:row r="12" ht="40" customHeight="1">
      <x:c r="A12" s="7" t="str">
        <x:v>Four-object matched controls</x:v>
      </x:c>
      <x:c r="B12" s="7" t="n">
        <x:f>COUNTIFS('Evaluation Plan'!$H$2:$H$111,"Matched manipulation control",'Evaluation Plan'!$M$2:$M$111,4)</x:f>
        <x:v>10</x:v>
      </x:c>
      <x:c r="C12" s="7" t="n">
        <x:v>10</x:v>
      </x:c>
      <x:c r="D12" s="7" t="str">
        <x:f>IF(B12=C12,"PASS","CHECK")</x:f>
        <x:v>PASS</x:v>
      </x:c>
      <x:c r="E12" s="7"/>
    </x:row>
    <x:row r="13" ht="40" customHeight="1">
      <x:c r="A13" s="7" t="str">
        <x:v>Transfer-scene paraphrases</x:v>
      </x:c>
      <x:c r="B13" s="7" t="n">
        <x:f>COUNTIF('Evaluation Plan'!$N$2:$N$111,"2 — Exact-scene transfer paraphrase — Paraphrase of furthest-transfer prompt")</x:f>
        <x:v>10</x:v>
      </x:c>
      <x:c r="C13" s="7" t="n">
        <x:v>10</x:v>
      </x:c>
      <x:c r="D13" s="7" t="str">
        <x:f>IF(B13=C13,"PASS","CHECK")</x:f>
        <x:v>PASS</x:v>
      </x:c>
      <x:c r="E13" s="7"/>
    </x:row>
    <x:row r="14" ht="40" customHeight="1">
      <x:c r="A14" s="7" t="str">
        <x:v>Control-scene paraphrases</x:v>
      </x:c>
      <x:c r="B14" s="7" t="n">
        <x:f>COUNTIF('Evaluation Plan'!$N$2:$N$111,"3 — Exact-scene control paraphrase — Paraphrase of direct-name matched control")</x:f>
        <x:v>10</x:v>
      </x:c>
      <x:c r="C14" s="7" t="n">
        <x:v>10</x:v>
      </x:c>
      <x:c r="D14" s="7" t="str">
        <x:f>IF(B14=C14,"PASS","CHECK")</x:f>
        <x:v>PASS</x:v>
      </x:c>
      <x:c r="E14" s="7"/>
    </x:row>
    <x:row r="15" ht="40" customHeight="1">
      <x:c r="A15" s="7" t="str">
        <x:v>Primary crushed-soda-can trials</x:v>
      </x:c>
      <x:c r="B15" s="7" t="n">
        <x:f>COUNTIFS('Evaluation Plan'!$H$2:$H$111,"Concept/compositional transfer",'Evaluation Plan'!$K$2:$K$111,"crushed soda can")</x:f>
        <x:v>14</x:v>
      </x:c>
      <x:c r="C15" s="7" t="n">
        <x:v>14</x:v>
      </x:c>
      <x:c r="D15" s="7" t="str">
        <x:f>IF(B15=C15,"PASS","CHECK")</x:f>
        <x:v>PASS</x:v>
      </x:c>
      <x:c r="E15" s="7"/>
    </x:row>
    <x:row r="16" ht="40" customHeight="1">
      <x:c r="A16" s="7" t="str">
        <x:v>Primary pencil-sharpener trials</x:v>
      </x:c>
      <x:c r="B16" s="7" t="n">
        <x:f>COUNTIFS('Evaluation Plan'!$H$2:$H$111,"Concept/compositional transfer",'Evaluation Plan'!$K$2:$K$111,"pencil sharpener")</x:f>
        <x:v>12</x:v>
      </x:c>
      <x:c r="C16" s="7" t="n">
        <x:v>12</x:v>
      </x:c>
      <x:c r="D16" s="7" t="str">
        <x:f>IF(B16=C16,"PASS","CHECK")</x:f>
        <x:v>PASS</x:v>
      </x:c>
      <x:c r="E16" s="7"/>
    </x:row>
    <x:row r="17" ht="40" customHeight="1">
      <x:c r="A17" s="7" t="str">
        <x:v>Primary pen trials</x:v>
      </x:c>
      <x:c r="B17" s="7" t="n">
        <x:f>COUNTIFS('Evaluation Plan'!$H$2:$H$111,"Concept/compositional transfer",'Evaluation Plan'!$K$2:$K$111,"pen")</x:f>
        <x:v>12</x:v>
      </x:c>
      <x:c r="C17" s="7" t="n">
        <x:v>12</x:v>
      </x:c>
      <x:c r="D17" s="7" t="str">
        <x:f>IF(B17=C17,"PASS","CHECK")</x:f>
        <x:v>PASS</x:v>
      </x:c>
      <x:c r="E17" s="7"/>
    </x:row>
    <x:row r="18" ht="40" customHeight="1">
      <x:c r="A18" s="7" t="str">
        <x:v>Primary airplane-toy trials</x:v>
      </x:c>
      <x:c r="B18" s="7" t="n">
        <x:f>COUNTIFS('Evaluation Plan'!$H$2:$H$111,"Concept/compositional transfer",'Evaluation Plan'!$K$2:$K$111,"airplane toy")</x:f>
        <x:v>12</x:v>
      </x:c>
      <x:c r="C18" s="7" t="n">
        <x:v>12</x:v>
      </x:c>
      <x:c r="D18" s="7" t="str">
        <x:f>IF(B18=C18,"PASS","CHECK")</x:f>
        <x:v>PASS</x:v>
      </x:c>
      <x:c r="E18" s="7"/>
    </x:row>
    <x:row r="19" ht="40" customHeight="1">
      <x:c r="A19" s="7" t="str">
        <x:v>Primary furthest labels</x:v>
      </x:c>
      <x:c r="B19" s="7" t="n">
        <x:f>COUNTIFS('Evaluation Plan'!$H$2:$H$111,"Concept/compositional transfer",'Evaluation Plan'!$L$2:$L$111,"furthest")</x:f>
        <x:v>50</x:v>
      </x:c>
      <x:c r="C19" s="7" t="n">
        <x:v>50</x:v>
      </x:c>
      <x:c r="D19" s="7" t="str">
        <x:f>IF(B19=C19,"PASS","CHECK")</x:f>
        <x:v>PASS</x:v>
      </x:c>
      <x:c r="E19" s="7"/>
    </x:row>
    <x:row r="20" ht="40" customHeight="1">
      <x:c r="A20" s="7" t="str">
        <x:v>Primary rows with Counterfactual Pair ID</x:v>
      </x:c>
      <x:c r="B20" s="7" t="n">
        <x:f>COUNTIFS('Evaluation Plan'!$H$2:$H$111,"Concept/compositional transfer",'Evaluation Plan'!$J$2:$J$111,"&lt;&gt;")</x:f>
        <x:v>50</x:v>
      </x:c>
      <x:c r="C20" s="7" t="n">
        <x:v>50</x:v>
      </x:c>
      <x:c r="D20" s="7" t="str">
        <x:f>IF(B20=C20,"PASS","CHECK")</x:f>
        <x:v>PASS</x:v>
      </x:c>
      <x:c r="E20" s="7" t="str">
        <x:v>25 A/B pairs validated programmatically</x:v>
      </x:c>
    </x:row>
    <x:row r="21" ht="40" customHeight="1">
      <x:c r="A21" s="7" t="str">
        <x:v>Block furthest: blocks as candidates</x:v>
      </x:c>
      <x:c r="B21" s="7" t="n">
        <x:f>COUNTIF('Evaluation Plan'!$N$2:$N$111,"2 — Block furthest transfer — Cross-task red/blue blocks as candidate pair; held-out furthest concept")</x:f>
        <x:v>5</x:v>
      </x:c>
      <x:c r="C21" s="7" t="n">
        <x:v>5</x:v>
      </x:c>
      <x:c r="D21" s="7" t="str">
        <x:f>IF(B21=C21,"PASS","CHECK")</x:f>
        <x:v>PASS</x:v>
      </x:c>
      <x:c r="E21" s="7"/>
    </x:row>
    <x:row r="22" ht="40" customHeight="1">
      <x:c r="A22" s="7" t="str">
        <x:v>Block furthest: blocks as references</x:v>
      </x:c>
      <x:c r="B22" s="7" t="n">
        <x:f>COUNTIF('Evaluation Plan'!$N$2:$N$111,"2 — Block furthest transfer — Cross-task red/blue blocks as reference object; held-out furthest concept")</x:f>
        <x:v>5</x:v>
      </x:c>
      <x:c r="C22" s="7" t="n">
        <x:v>5</x:v>
      </x:c>
      <x:c r="D22" s="7" t="str">
        <x:f>IF(B22=C22,"PASS","CHECK")</x:f>
        <x:v>PASS</x:v>
      </x:c>
      <x:c r="E22" s="7"/>
    </x:row>
    <x:row r="23" ht="40" customHeight="1">
      <x:c r="A23" s="7" t="str">
        <x:v>Block visual rows (both colors validated)</x:v>
      </x:c>
      <x:c r="B23" s="7" t="n">
        <x:f>COUNTIF('Evaluation Plan'!$H$2:$H$111,"Block closest baseline")+COUNTIF('Evaluation Plan'!$H$2:$H$111,"Block furthest transfer")</x:f>
        <x:v>20</x:v>
      </x:c>
      <x:c r="C23" s="7" t="n">
        <x:v>20</x:v>
      </x:c>
      <x:c r="D23" s="7" t="str">
        <x:f>IF(B23=C23,"PASS","CHECK")</x:f>
        <x:v>PASS</x:v>
      </x:c>
      <x:c r="E23" s="7"/>
    </x:row>
    <x:row r="24" ht="40" customHeight="1">
      <x:c r="A24" s="7" t="str">
        <x:v>Language rows with references</x:v>
      </x:c>
      <x:c r="B24" s="7" t="n">
        <x:f>COUNTIFS('Evaluation Plan'!$H$2:$H$111,"Language robustness",'Evaluation Plan'!$E$2:$E$111,"&gt;=0")</x:f>
        <x:v>20</x:v>
      </x:c>
      <x:c r="C24" s="7" t="n">
        <x:v>20</x:v>
      </x:c>
      <x:c r="D24" s="7" t="str">
        <x:f>IF(B24=C24,"PASS","CHECK")</x:f>
        <x:v>PASS</x:v>
      </x:c>
      <x:c r="E24" s="7"/>
    </x:row>
    <x:row r="25" ht="40" customHeight="1">
      <x:c r="A25" s="7" t="str">
        <x:v>Control rows with references</x:v>
      </x:c>
      <x:c r="B25" s="7" t="n">
        <x:f>COUNTIFS('Evaluation Plan'!$H$2:$H$111,"Matched manipulation control",'Evaluation Plan'!$E$2:$E$111,"&gt;=0")</x:f>
        <x:v>20</x:v>
      </x:c>
      <x:c r="C25" s="7" t="n">
        <x:v>20</x:v>
      </x:c>
      <x:c r="D25" s="7" t="str">
        <x:f>IF(B25=C25,"PASS","CHECK")</x:f>
        <x:v>PASS</x:v>
      </x:c>
      <x:c r="E25" s="7"/>
    </x:row>
    <x:row r="26" ht="40" customHeight="1">
      <x:c r="A26" s="7" t="str">
        <x:v>Block furthest rows with references</x:v>
      </x:c>
      <x:c r="B26" s="7" t="n">
        <x:f>COUNTIFS('Evaluation Plan'!$H$2:$H$111,"Block furthest transfer",'Evaluation Plan'!$E$2:$E$111,"&gt;=0")</x:f>
        <x:v>10</x:v>
      </x:c>
      <x:c r="C26" s="7" t="n">
        <x:v>10</x:v>
      </x:c>
      <x:c r="D26" s="7" t="str">
        <x:f>IF(B26=C26,"PASS","CHECK")</x:f>
        <x:v>PASS</x:v>
      </x:c>
      <x:c r="E26" s="7"/>
    </x:row>
    <x:row r="27" ht="40" customHeight="1">
      <x:c r="A27" s="7" t="str">
        <x:v>Initial Not collected statuses</x:v>
      </x:c>
      <x:c r="B27" s="7" t="n">
        <x:f>COUNTIF('Evaluation Plan'!$A$2:$A$111,"Not collected")</x:f>
        <x:v>110</x:v>
      </x:c>
      <x:c r="C27" s="7" t="n">
        <x:v>110</x:v>
      </x:c>
      <x:c r="D27" s="7" t="str">
        <x:f>IF(B27=C27,"PASS","CHECK")</x:f>
        <x:v>PASS</x:v>
      </x:c>
      <x:c r="E27" s="7"/>
    </x:row>
  </x:sheetData>
  <x:conditionalFormatting sqref="D2:D27">
    <x:cfRule type="containsText" dxfId="6" priority="1" operator="containsText" text="PASS"/>
    <x:cfRule type="containsText" dxfId="7" priority="2" operator="containsText" text="CHECK"/>
  </x:conditionalFormatting>
  <x:pageMargins left="0.7" right="0.7" top="0.75" bottom="0.75" header="0.3" footer="0.3"/>
  <x:tableParts count="1">
    <x:tablePart xmlns:r="http://schemas.openxmlformats.org/officeDocument/2006/relationships" r:id="R27b5bf3d7ef44ed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9" hidden="0" customWidth="1"/>
    <x:col min="3" max="3" width="50" hidden="0" customWidth="1"/>
    <x:col min="4" max="4" width="92" hidden="0" customWidth="1"/>
    <x:col min="5" max="5" width="14" hidden="0" customWidth="1"/>
    <x:col min="6" max="6" width="32" hidden="0" customWidth="1"/>
    <x:col min="7" max="7" width="42" hidden="0" customWidth="1"/>
    <x:col min="8" max="8" width="31" hidden="0" customWidth="1"/>
    <x:col min="9" max="9" width="14" hidden="0" customWidth="1"/>
    <x:col min="10" max="10" width="17" hidden="0" customWidth="1"/>
    <x:col min="11" max="11" width="24" hidden="0" customWidth="1"/>
    <x:col min="12" max="12" width="20" hidden="0" customWidth="1"/>
    <x:col min="13" max="13" width="12" hidden="0" customWidth="1"/>
    <x:col min="14" max="14" width="58" hidden="0" customWidth="1"/>
    <x:col min="15" max="15" width="13" hidden="0" customWidth="1"/>
    <x:col min="16" max="16" width="70" hidden="0" customWidth="1"/>
    <x:col min="17" max="17" width="76" hidden="0" customWidth="1"/>
    <x:col min="18" max="18" width="30" hidden="0" customWidth="1"/>
  </x:cols>
  <x:sheetData>
    <x:row r="1" ht="38" customHeight="1">
      <x:c r="A1" s="5" t="str">
        <x:v>Status</x:v>
      </x:c>
      <x:c r="B1" s="5" t="str">
        <x:v>Episode</x:v>
      </x:c>
      <x:c r="C1" s="5" t="str">
        <x:v>Prompt</x:v>
      </x:c>
      <x:c r="D1" s="5" t="str">
        <x:v>Scene Setup (P1-P5)</x:v>
      </x:c>
      <x:c r="E1" s="5" t="str">
        <x:v>Reference Episode</x:v>
      </x:c>
      <x:c r="F1" s="5" t="str">
        <x:v>Expected Target</x:v>
      </x:c>
      <x:c r="G1" s="5" t="str">
        <x:v>Observations</x:v>
      </x:c>
      <x:c r="H1" s="5" t="str">
        <x:v>Condition</x:v>
      </x:c>
      <x:c r="I1" s="5" t="str">
        <x:v>Scene Family</x:v>
      </x:c>
      <x:c r="J1" s="5" t="str">
        <x:v>Counterfactual Pair</x:v>
      </x:c>
      <x:c r="K1" s="5" t="str">
        <x:v>Candidate Category</x:v>
      </x:c>
      <x:c r="L1" s="5" t="str">
        <x:v>Query Concept</x:v>
      </x:c>
      <x:c r="M1" s="5" t="str">
        <x:v>Object Count</x:v>
      </x:c>
      <x:c r="N1" s="5" t="str">
        <x:v>Comparison / Subtype</x:v>
      </x:c>
      <x:c r="O1" s="5" t="str">
        <x:v>Collection Block</x:v>
      </x:c>
      <x:c r="P1" s="5" t="str">
        <x:v>Setup Change from Previous</x:v>
      </x:c>
      <x:c r="Q1" s="5" t="str">
        <x:v>Design Note</x:v>
      </x:c>
      <x:c r="R1" s="5" t="str">
        <x:v>Reference Media Filename</x:v>
      </x:c>
    </x:row>
    <x:row r="2" ht="66" customHeight="1">
      <x:c r="A2" s="9" t="str">
        <x:v>Not collected</x:v>
      </x:c>
      <x:c r="B2" s="9" t="n">
        <x:f>'Evaluation Plan'!B2</x:f>
        <x:v>0</x:v>
      </x:c>
      <x:c r="C2" s="10" t="str">
        <x:f>'Evaluation Plan'!C2</x:f>
        <x:v>Pick up the crushed soda can furthest from the green pen and place it in the bowl.</x:v>
      </x:c>
      <x:c r="D2" s="10" t="str">
        <x:f>'Evaluation Plan'!D2</x:f>
        <x:v>P1 green pen at R1 (table center) [REFERENCE]; P2 crushed Coke can with 6 cm edge gap to the left of P1 [CLOSE CANDIDATE]; P3 crushed Pepsi can with 20 cm edge gap to the right of P1 [FAR CANDIDATE]</x:v>
      </x:c>
      <x:c r="E2" s="9" t="str">
        <x:f>IF(ISBLANK('Evaluation Plan'!E2),"",'Evaluation Plan'!E2)</x:f>
      </x:c>
      <x:c r="F2" s="9" t="str">
        <x:f>'Evaluation Plan'!F2</x:f>
        <x:v>crushed Pepsi can</x:v>
      </x:c>
      <x:c r="G2" s="10"/>
      <x:c r="H2" s="9" t="str">
        <x:f>'Evaluation Plan'!H2</x:f>
        <x:v>Concept/compositional transfer</x:v>
      </x:c>
      <x:c r="I2" s="9" t="str">
        <x:f>'Evaluation Plan'!I2</x:f>
        <x:v>RD-CF01A</x:v>
      </x:c>
      <x:c r="J2" s="9" t="str">
        <x:f>'Evaluation Plan'!J2</x:f>
        <x:v>RD-CF01</x:v>
      </x:c>
      <x:c r="K2" s="9" t="str">
        <x:f>'Evaluation Plan'!K2</x:f>
        <x:v>crushed soda can</x:v>
      </x:c>
      <x:c r="L2" s="9" t="str">
        <x:f>'Evaluation Plan'!L2</x:f>
        <x:v>furthest</x:v>
      </x:c>
      <x:c r="M2" s="9" t="n">
        <x:f>'Evaluation Plan'!M2</x:f>
        <x:v>3</x:v>
      </x:c>
      <x:c r="N2" s="9" t="str">
        <x:f>'Evaluation Plan'!N2</x:f>
        <x:v>1 — Canonical transfer — Held-out furthest concept with same-category candidates</x:v>
      </x:c>
      <x:c r="O2" s="9" t="n">
        <x:f>'Evaluation Plan'!O2</x:f>
        <x:v>1</x:v>
      </x:c>
      <x:c r="P2" s="10" t="str">
        <x:f>'Evaluation Plan'!P2</x:f>
        <x:v>Build counterfactual scene A and save a first-frame filename.</x:v>
      </x:c>
      <x:c r="Q2" s="10" t="str">
        <x:f>'Evaluation Plan'!Q2</x:f>
        <x:v>Furthest/farthest language is absent from fine-tuning. The A/B scene pair swaps which physical identity is far, preventing identity preference from solving both.</x:v>
      </x:c>
      <x:c r="R2" s="10" t="str">
        <x:f>IF(ISBLANK('Evaluation Plan'!R2),"",'Evaluation Plan'!R2)</x:f>
      </x:c>
    </x:row>
    <x:row r="3" ht="66" customHeight="1">
      <x:c r="A3" s="8" t="str">
        <x:v>Not collected</x:v>
      </x:c>
      <x:c r="B3" s="8" t="n">
        <x:f>'Evaluation Plan'!B3</x:f>
        <x:v>1</x:v>
      </x:c>
      <x:c r="C3" s="7" t="str">
        <x:f>'Evaluation Plan'!C3</x:f>
        <x:v>Pick up the crushed soda can farthest from the green pen and place it in the bowl.</x:v>
      </x:c>
      <x:c r="D3" s="7" t="str">
        <x:f>'Evaluation Plan'!D3</x:f>
        <x:v>P1 green pen at R1 (table center) [REFERENCE]; P2 crushed Coke can with 6 cm edge gap to the left of P1 [CLOSE CANDIDATE]; P3 crushed Pepsi can with 20 cm edge gap to the right of P1 [FAR CANDIDATE]</x:v>
      </x:c>
      <x:c r="E3" s="8" t="n">
        <x:f>IF(ISBLANK('Evaluation Plan'!E3),"",'Evaluation Plan'!E3)</x:f>
        <x:v>0</x:v>
      </x:c>
      <x:c r="F3" s="8" t="str">
        <x:f>'Evaluation Plan'!F3</x:f>
        <x:v>crushed Pepsi can</x:v>
      </x:c>
      <x:c r="G3" s="7"/>
      <x:c r="H3" s="8" t="str">
        <x:f>'Evaluation Plan'!H3</x:f>
        <x:v>Language robustness</x:v>
      </x:c>
      <x:c r="I3" s="8" t="str">
        <x:f>'Evaluation Plan'!I3</x:f>
        <x:v>RD-CF01A</x:v>
      </x:c>
      <x:c r="J3" s="8" t="str">
        <x:f>'Evaluation Plan'!J3</x:f>
        <x:v>RD-CF01</x:v>
      </x:c>
      <x:c r="K3" s="8" t="str">
        <x:f>'Evaluation Plan'!K3</x:f>
        <x:v>crushed soda can</x:v>
      </x:c>
      <x:c r="L3" s="8" t="str">
        <x:f>'Evaluation Plan'!L3</x:f>
        <x:v>furthest paraphrase</x:v>
      </x:c>
      <x:c r="M3" s="8" t="n">
        <x:f>'Evaluation Plan'!M3</x:f>
        <x:v>3</x:v>
      </x:c>
      <x:c r="N3" s="8" t="str">
        <x:f>'Evaluation Plan'!N3</x:f>
        <x:v>2 — Exact-scene transfer paraphrase — Paraphrase of furthest-transfer prompt</x:v>
      </x:c>
      <x:c r="O3" s="8" t="n">
        <x:f>'Evaluation Plan'!O3</x:f>
        <x:v>1</x:v>
      </x:c>
      <x:c r="P3" s="7" t="str">
        <x:f>'Evaluation Plan'!P3</x:f>
        <x:v>Reset only the far candidate to P3; change only the prompt wording.</x:v>
      </x:c>
      <x:c r="Q3" s="7" t="str">
        <x:f>'Evaluation Plan'!Q3</x:f>
        <x:v>Exact-scene language comparison for the held-out distance concept.</x:v>
      </x:c>
      <x:c r="R3" s="7" t="str">
        <x:f>IF(ISBLANK('Evaluation Plan'!R3),"",'Evaluation Plan'!R3)</x:f>
      </x:c>
    </x:row>
    <x:row r="4" ht="66" customHeight="1">
      <x:c r="A4" s="8" t="str">
        <x:v>Not collected</x:v>
      </x:c>
      <x:c r="B4" s="8" t="n">
        <x:f>'Evaluation Plan'!B4</x:f>
        <x:v>2</x:v>
      </x:c>
      <x:c r="C4" s="7" t="str">
        <x:f>'Evaluation Plan'!C4</x:f>
        <x:v>Put the crushed Pepsi can in the bowl.</x:v>
      </x:c>
      <x:c r="D4" s="7" t="str">
        <x:f>'Evaluation Plan'!D4</x:f>
        <x:v>P1 green pen at R1 (table center) [REFERENCE]; P2 crushed Coke can with 6 cm edge gap to the left of P1 [CLOSE CANDIDATE]; P3 crushed Pepsi can with 20 cm edge gap to the right of P1 [FAR CANDIDATE]</x:v>
      </x:c>
      <x:c r="E4" s="8" t="n">
        <x:f>IF(ISBLANK('Evaluation Plan'!E4),"",'Evaluation Plan'!E4)</x:f>
        <x:v>0</x:v>
      </x:c>
      <x:c r="F4" s="8" t="str">
        <x:f>'Evaluation Plan'!F4</x:f>
        <x:v>crushed Pepsi can</x:v>
      </x:c>
      <x:c r="G4" s="7"/>
      <x:c r="H4" s="8" t="str">
        <x:f>'Evaluation Plan'!H4</x:f>
        <x:v>Matched manipulation control</x:v>
      </x:c>
      <x:c r="I4" s="8" t="str">
        <x:f>'Evaluation Plan'!I4</x:f>
        <x:v>RD-CF01A</x:v>
      </x:c>
      <x:c r="J4" s="8" t="str">
        <x:f>'Evaluation Plan'!J4</x:f>
        <x:v>RD-CF01</x:v>
      </x:c>
      <x:c r="K4" s="8" t="str">
        <x:f>'Evaluation Plan'!K4</x:f>
        <x:v>crushed soda can</x:v>
      </x:c>
      <x:c r="L4" s="8" t="str">
        <x:f>'Evaluation Plan'!L4</x:f>
        <x:v>direct name</x:v>
      </x:c>
      <x:c r="M4" s="8" t="n">
        <x:f>'Evaluation Plan'!M4</x:f>
        <x:v>3</x:v>
      </x:c>
      <x:c r="N4" s="8" t="str">
        <x:f>'Evaluation Plan'!N4</x:f>
        <x:v>3 — Matched control — Direct-name control on identical target and trajectory</x:v>
      </x:c>
      <x:c r="O4" s="8" t="n">
        <x:f>'Evaluation Plan'!O4</x:f>
        <x:v>1</x:v>
      </x:c>
      <x:c r="P4" s="7" t="str">
        <x:f>'Evaluation Plan'!P4</x:f>
        <x:v>Reset only the far candidate to P3. Keep the full scene exact; replace the relational instruction with the target's direct name.</x:v>
      </x:c>
      <x:c r="Q4" s="7" t="str">
        <x:f>'Evaluation Plan'!Q4</x:f>
        <x:v>This is a true endpoint-matched manipulation control: scene, target identity, start pose and required trajectory match the furthest trial.</x:v>
      </x:c>
      <x:c r="R4" s="7" t="str">
        <x:f>IF(ISBLANK('Evaluation Plan'!R4),"",'Evaluation Plan'!R4)</x:f>
      </x:c>
    </x:row>
    <x:row r="5" ht="66" customHeight="1">
      <x:c r="A5" s="9" t="str">
        <x:v>Not collected</x:v>
      </x:c>
      <x:c r="B5" s="9" t="n">
        <x:f>'Evaluation Plan'!B5</x:f>
        <x:v>3</x:v>
      </x:c>
      <x:c r="C5" s="10" t="str">
        <x:f>'Evaluation Plan'!C5</x:f>
        <x:v>Pick up the crushed soda can furthest from the green pen and place it in the bowl.</x:v>
      </x:c>
      <x:c r="D5" s="10" t="str">
        <x:f>'Evaluation Plan'!D5</x:f>
        <x:v>P1 green pen at R1 (table center) [REFERENCE]; P2 crushed Pepsi can with 6 cm edge gap to the left of P1 [CLOSE CANDIDATE]; P3 crushed Coke can with 20 cm edge gap to the right of P1 [FAR CANDIDATE]</x:v>
      </x:c>
      <x:c r="E5" s="9" t="str">
        <x:f>IF(ISBLANK('Evaluation Plan'!E5),"",'Evaluation Plan'!E5)</x:f>
      </x:c>
      <x:c r="F5" s="9" t="str">
        <x:f>'Evaluation Plan'!F5</x:f>
        <x:v>crushed Coke can</x:v>
      </x:c>
      <x:c r="G5" s="10"/>
      <x:c r="H5" s="9" t="str">
        <x:f>'Evaluation Plan'!H5</x:f>
        <x:v>Concept/compositional transfer</x:v>
      </x:c>
      <x:c r="I5" s="9" t="str">
        <x:f>'Evaluation Plan'!I5</x:f>
        <x:v>RD-CF01B</x:v>
      </x:c>
      <x:c r="J5" s="9" t="str">
        <x:f>'Evaluation Plan'!J5</x:f>
        <x:v>RD-CF01</x:v>
      </x:c>
      <x:c r="K5" s="9" t="str">
        <x:f>'Evaluation Plan'!K5</x:f>
        <x:v>crushed soda can</x:v>
      </x:c>
      <x:c r="L5" s="9" t="str">
        <x:f>'Evaluation Plan'!L5</x:f>
        <x:v>furthest</x:v>
      </x:c>
      <x:c r="M5" s="9" t="n">
        <x:f>'Evaluation Plan'!M5</x:f>
        <x:v>3</x:v>
      </x:c>
      <x:c r="N5" s="9" t="str">
        <x:f>'Evaluation Plan'!N5</x:f>
        <x:v>1 — Canonical transfer — Held-out furthest concept with same-category candidates</x:v>
      </x:c>
      <x:c r="O5" s="9" t="n">
        <x:f>'Evaluation Plan'!O5</x:f>
        <x:v>2</x:v>
      </x:c>
      <x:c r="P5" s="10" t="str">
        <x:f>'Evaluation Plan'!P5</x:f>
        <x:v>From scene A, swap only the P2/P3 candidate identities; keep reference, distractors, camera and distances fixed. Save the new first frame.</x:v>
      </x:c>
      <x:c r="Q5" s="10" t="str">
        <x:f>'Evaluation Plan'!Q5</x:f>
        <x:v>Furthest/farthest language is absent from fine-tuning. The A/B scene pair swaps which physical identity is far, preventing identity preference from solving both.</x:v>
      </x:c>
      <x:c r="R5" s="10" t="str">
        <x:f>IF(ISBLANK('Evaluation Plan'!R5),"",'Evaluation Plan'!R5)</x:f>
      </x:c>
    </x:row>
    <x:row r="6" ht="66" customHeight="1">
      <x:c r="A6" s="8" t="str">
        <x:v>Not collected</x:v>
      </x:c>
      <x:c r="B6" s="8" t="n">
        <x:f>'Evaluation Plan'!B6</x:f>
        <x:v>4</x:v>
      </x:c>
      <x:c r="C6" s="7" t="str">
        <x:f>'Evaluation Plan'!C6</x:f>
        <x:v>Move the crushed soda can that is most distant from the green pen into the bowl.</x:v>
      </x:c>
      <x:c r="D6" s="7" t="str">
        <x:f>'Evaluation Plan'!D6</x:f>
        <x:v>P1 green pen at R1 (table center) [REFERENCE]; P2 crushed Pepsi can with 6 cm edge gap to the left of P1 [CLOSE CANDIDATE]; P3 crushed Coke can with 20 cm edge gap to the right of P1 [FAR CANDIDATE]</x:v>
      </x:c>
      <x:c r="E6" s="8" t="n">
        <x:f>IF(ISBLANK('Evaluation Plan'!E6),"",'Evaluation Plan'!E6)</x:f>
        <x:v>3</x:v>
      </x:c>
      <x:c r="F6" s="8" t="str">
        <x:f>'Evaluation Plan'!F6</x:f>
        <x:v>crushed Coke can</x:v>
      </x:c>
      <x:c r="G6" s="7"/>
      <x:c r="H6" s="8" t="str">
        <x:f>'Evaluation Plan'!H6</x:f>
        <x:v>Language robustness</x:v>
      </x:c>
      <x:c r="I6" s="8" t="str">
        <x:f>'Evaluation Plan'!I6</x:f>
        <x:v>RD-CF01B</x:v>
      </x:c>
      <x:c r="J6" s="8" t="str">
        <x:f>'Evaluation Plan'!J6</x:f>
        <x:v>RD-CF01</x:v>
      </x:c>
      <x:c r="K6" s="8" t="str">
        <x:f>'Evaluation Plan'!K6</x:f>
        <x:v>crushed soda can</x:v>
      </x:c>
      <x:c r="L6" s="8" t="str">
        <x:f>'Evaluation Plan'!L6</x:f>
        <x:v>furthest paraphrase</x:v>
      </x:c>
      <x:c r="M6" s="8" t="n">
        <x:f>'Evaluation Plan'!M6</x:f>
        <x:v>3</x:v>
      </x:c>
      <x:c r="N6" s="8" t="str">
        <x:f>'Evaluation Plan'!N6</x:f>
        <x:v>2 — Exact-scene transfer paraphrase — Paraphrase of furthest-transfer prompt</x:v>
      </x:c>
      <x:c r="O6" s="8" t="n">
        <x:f>'Evaluation Plan'!O6</x:f>
        <x:v>2</x:v>
      </x:c>
      <x:c r="P6" s="7" t="str">
        <x:f>'Evaluation Plan'!P6</x:f>
        <x:v>Reset only the far candidate to P3; change only the prompt wording.</x:v>
      </x:c>
      <x:c r="Q6" s="7" t="str">
        <x:f>'Evaluation Plan'!Q6</x:f>
        <x:v>Exact-scene language comparison for the held-out distance concept.</x:v>
      </x:c>
      <x:c r="R6" s="7" t="str">
        <x:f>IF(ISBLANK('Evaluation Plan'!R6),"",'Evaluation Plan'!R6)</x:f>
      </x:c>
    </x:row>
    <x:row r="7" ht="66" customHeight="1">
      <x:c r="A7" s="8" t="str">
        <x:v>Not collected</x:v>
      </x:c>
      <x:c r="B7" s="8" t="n">
        <x:f>'Evaluation Plan'!B7</x:f>
        <x:v>5</x:v>
      </x:c>
      <x:c r="C7" s="7" t="str">
        <x:f>'Evaluation Plan'!C7</x:f>
        <x:v>Move the crushed Coke can into the bowl.</x:v>
      </x:c>
      <x:c r="D7" s="7" t="str">
        <x:f>'Evaluation Plan'!D7</x:f>
        <x:v>P1 green pen at R1 (table center) [REFERENCE]; P2 crushed Pepsi can with 6 cm edge gap to the left of P1 [CLOSE CANDIDATE]; P3 crushed Coke can with 20 cm edge gap to the right of P1 [FAR CANDIDATE]</x:v>
      </x:c>
      <x:c r="E7" s="8" t="n">
        <x:f>IF(ISBLANK('Evaluation Plan'!E7),"",'Evaluation Plan'!E7)</x:f>
        <x:v>3</x:v>
      </x:c>
      <x:c r="F7" s="8" t="str">
        <x:f>'Evaluation Plan'!F7</x:f>
        <x:v>crushed Coke can</x:v>
      </x:c>
      <x:c r="G7" s="7"/>
      <x:c r="H7" s="8" t="str">
        <x:f>'Evaluation Plan'!H7</x:f>
        <x:v>Matched manipulation control</x:v>
      </x:c>
      <x:c r="I7" s="8" t="str">
        <x:f>'Evaluation Plan'!I7</x:f>
        <x:v>RD-CF01B</x:v>
      </x:c>
      <x:c r="J7" s="8" t="str">
        <x:f>'Evaluation Plan'!J7</x:f>
        <x:v>RD-CF01</x:v>
      </x:c>
      <x:c r="K7" s="8" t="str">
        <x:f>'Evaluation Plan'!K7</x:f>
        <x:v>crushed soda can</x:v>
      </x:c>
      <x:c r="L7" s="8" t="str">
        <x:f>'Evaluation Plan'!L7</x:f>
        <x:v>direct name</x:v>
      </x:c>
      <x:c r="M7" s="8" t="n">
        <x:f>'Evaluation Plan'!M7</x:f>
        <x:v>3</x:v>
      </x:c>
      <x:c r="N7" s="8" t="str">
        <x:f>'Evaluation Plan'!N7</x:f>
        <x:v>3 — Matched control — Direct-name control on identical target and trajectory</x:v>
      </x:c>
      <x:c r="O7" s="8" t="n">
        <x:f>'Evaluation Plan'!O7</x:f>
        <x:v>2</x:v>
      </x:c>
      <x:c r="P7" s="7" t="str">
        <x:f>'Evaluation Plan'!P7</x:f>
        <x:v>Reset only the far candidate to P3. Keep the full scene exact; replace the relational instruction with the target's direct name.</x:v>
      </x:c>
      <x:c r="Q7" s="7" t="str">
        <x:f>'Evaluation Plan'!Q7</x:f>
        <x:v>This is a true endpoint-matched manipulation control: scene, target identity, start pose and required trajectory match the furthest trial.</x:v>
      </x:c>
      <x:c r="R7" s="7" t="str">
        <x:f>IF(ISBLANK('Evaluation Plan'!R7),"",'Evaluation Plan'!R7)</x:f>
      </x:c>
    </x:row>
    <x:row r="8" ht="66" customHeight="1">
      <x:c r="A8" s="9" t="str">
        <x:v>Not collected</x:v>
      </x:c>
      <x:c r="B8" s="9" t="n">
        <x:f>'Evaluation Plan'!B8</x:f>
        <x:v>6</x:v>
      </x:c>
      <x:c r="C8" s="10" t="str">
        <x:f>'Evaluation Plan'!C8</x:f>
        <x:v>Pick up the pencil sharpener furthest from the yellow pen and place it in the bowl.</x:v>
      </x:c>
      <x:c r="D8" s="10" t="str">
        <x:f>'Evaluation Plan'!D8</x:f>
        <x:v>P1 yellow pen at R2 (5 cm left of center) [REFERENCE]; P2 red pencil sharpener with 6 cm edge gap to the right of P1 [CLOSE CANDIDATE]; P3 green pencil sharpener with 20 cm edge gap to the left of P1 [FAR CANDIDATE]</x:v>
      </x:c>
      <x:c r="E8" s="9" t="str">
        <x:f>IF(ISBLANK('Evaluation Plan'!E8),"",'Evaluation Plan'!E8)</x:f>
      </x:c>
      <x:c r="F8" s="9" t="str">
        <x:f>'Evaluation Plan'!F8</x:f>
        <x:v>green pencil sharpener</x:v>
      </x:c>
      <x:c r="G8" s="10"/>
      <x:c r="H8" s="9" t="str">
        <x:f>'Evaluation Plan'!H8</x:f>
        <x:v>Concept/compositional transfer</x:v>
      </x:c>
      <x:c r="I8" s="9" t="str">
        <x:f>'Evaluation Plan'!I8</x:f>
        <x:v>RD-CF02A</x:v>
      </x:c>
      <x:c r="J8" s="9" t="str">
        <x:f>'Evaluation Plan'!J8</x:f>
        <x:v>RD-CF02</x:v>
      </x:c>
      <x:c r="K8" s="9" t="str">
        <x:f>'Evaluation Plan'!K8</x:f>
        <x:v>pencil sharpener</x:v>
      </x:c>
      <x:c r="L8" s="9" t="str">
        <x:f>'Evaluation Plan'!L8</x:f>
        <x:v>furthest</x:v>
      </x:c>
      <x:c r="M8" s="9" t="n">
        <x:f>'Evaluation Plan'!M8</x:f>
        <x:v>3</x:v>
      </x:c>
      <x:c r="N8" s="9" t="str">
        <x:f>'Evaluation Plan'!N8</x:f>
        <x:v>1 — Canonical transfer — Held-out furthest concept with same-category candidates</x:v>
      </x:c>
      <x:c r="O8" s="9" t="n">
        <x:f>'Evaluation Plan'!O8</x:f>
        <x:v>3</x:v>
      </x:c>
      <x:c r="P8" s="10" t="str">
        <x:f>'Evaluation Plan'!P8</x:f>
        <x:v>Build counterfactual scene A and save a first-frame filename.</x:v>
      </x:c>
      <x:c r="Q8" s="10" t="str">
        <x:f>'Evaluation Plan'!Q8</x:f>
        <x:v>Furthest/farthest language is absent from fine-tuning. The A/B scene pair swaps which physical identity is far, preventing identity preference from solving both.</x:v>
      </x:c>
      <x:c r="R8" s="10" t="str">
        <x:f>IF(ISBLANK('Evaluation Plan'!R8),"",'Evaluation Plan'!R8)</x:f>
      </x:c>
    </x:row>
    <x:row r="9" ht="66" customHeight="1">
      <x:c r="A9" s="8" t="str">
        <x:v>Not collected</x:v>
      </x:c>
      <x:c r="B9" s="8" t="n">
        <x:f>'Evaluation Plan'!B9</x:f>
        <x:v>7</x:v>
      </x:c>
      <x:c r="C9" s="7" t="str">
        <x:f>'Evaluation Plan'!C9</x:f>
        <x:v>Choose whichever pencil sharpener is farther away from the yellow pen and put it in the bowl.</x:v>
      </x:c>
      <x:c r="D9" s="7" t="str">
        <x:f>'Evaluation Plan'!D9</x:f>
        <x:v>P1 yellow pen at R2 (5 cm left of center) [REFERENCE]; P2 red pencil sharpener with 6 cm edge gap to the right of P1 [CLOSE CANDIDATE]; P3 green pencil sharpener with 20 cm edge gap to the left of P1 [FAR CANDIDATE]</x:v>
      </x:c>
      <x:c r="E9" s="8" t="n">
        <x:f>IF(ISBLANK('Evaluation Plan'!E9),"",'Evaluation Plan'!E9)</x:f>
        <x:v>6</x:v>
      </x:c>
      <x:c r="F9" s="8" t="str">
        <x:f>'Evaluation Plan'!F9</x:f>
        <x:v>green pencil sharpener</x:v>
      </x:c>
      <x:c r="G9" s="7"/>
      <x:c r="H9" s="8" t="str">
        <x:f>'Evaluation Plan'!H9</x:f>
        <x:v>Language robustness</x:v>
      </x:c>
      <x:c r="I9" s="8" t="str">
        <x:f>'Evaluation Plan'!I9</x:f>
        <x:v>RD-CF02A</x:v>
      </x:c>
      <x:c r="J9" s="8" t="str">
        <x:f>'Evaluation Plan'!J9</x:f>
        <x:v>RD-CF02</x:v>
      </x:c>
      <x:c r="K9" s="8" t="str">
        <x:f>'Evaluation Plan'!K9</x:f>
        <x:v>pencil sharpener</x:v>
      </x:c>
      <x:c r="L9" s="8" t="str">
        <x:f>'Evaluation Plan'!L9</x:f>
        <x:v>furthest paraphrase</x:v>
      </x:c>
      <x:c r="M9" s="8" t="n">
        <x:f>'Evaluation Plan'!M9</x:f>
        <x:v>3</x:v>
      </x:c>
      <x:c r="N9" s="8" t="str">
        <x:f>'Evaluation Plan'!N9</x:f>
        <x:v>2 — Exact-scene transfer paraphrase — Paraphrase of furthest-transfer prompt</x:v>
      </x:c>
      <x:c r="O9" s="8" t="n">
        <x:f>'Evaluation Plan'!O9</x:f>
        <x:v>3</x:v>
      </x:c>
      <x:c r="P9" s="7" t="str">
        <x:f>'Evaluation Plan'!P9</x:f>
        <x:v>Reset only the far candidate to P3; change only the prompt wording.</x:v>
      </x:c>
      <x:c r="Q9" s="7" t="str">
        <x:f>'Evaluation Plan'!Q9</x:f>
        <x:v>Exact-scene language comparison for the held-out distance concept.</x:v>
      </x:c>
      <x:c r="R9" s="7" t="str">
        <x:f>IF(ISBLANK('Evaluation Plan'!R9),"",'Evaluation Plan'!R9)</x:f>
      </x:c>
    </x:row>
    <x:row r="10" ht="66" customHeight="1">
      <x:c r="A10" s="8" t="str">
        <x:v>Not collected</x:v>
      </x:c>
      <x:c r="B10" s="8" t="n">
        <x:f>'Evaluation Plan'!B10</x:f>
        <x:v>8</x:v>
      </x:c>
      <x:c r="C10" s="7" t="str">
        <x:f>'Evaluation Plan'!C10</x:f>
        <x:v>Pick up the green pencil sharpener and place it in the bowl.</x:v>
      </x:c>
      <x:c r="D10" s="7" t="str">
        <x:f>'Evaluation Plan'!D10</x:f>
        <x:v>P1 yellow pen at R2 (5 cm left of center) [REFERENCE]; P2 red pencil sharpener with 6 cm edge gap to the right of P1 [CLOSE CANDIDATE]; P3 green pencil sharpener with 20 cm edge gap to the left of P1 [FAR CANDIDATE]</x:v>
      </x:c>
      <x:c r="E10" s="8" t="n">
        <x:f>IF(ISBLANK('Evaluation Plan'!E10),"",'Evaluation Plan'!E10)</x:f>
        <x:v>6</x:v>
      </x:c>
      <x:c r="F10" s="8" t="str">
        <x:f>'Evaluation Plan'!F10</x:f>
        <x:v>green pencil sharpener</x:v>
      </x:c>
      <x:c r="G10" s="7"/>
      <x:c r="H10" s="8" t="str">
        <x:f>'Evaluation Plan'!H10</x:f>
        <x:v>Matched manipulation control</x:v>
      </x:c>
      <x:c r="I10" s="8" t="str">
        <x:f>'Evaluation Plan'!I10</x:f>
        <x:v>RD-CF02A</x:v>
      </x:c>
      <x:c r="J10" s="8" t="str">
        <x:f>'Evaluation Plan'!J10</x:f>
        <x:v>RD-CF02</x:v>
      </x:c>
      <x:c r="K10" s="8" t="str">
        <x:f>'Evaluation Plan'!K10</x:f>
        <x:v>pencil sharpener</x:v>
      </x:c>
      <x:c r="L10" s="8" t="str">
        <x:f>'Evaluation Plan'!L10</x:f>
        <x:v>direct name</x:v>
      </x:c>
      <x:c r="M10" s="8" t="n">
        <x:f>'Evaluation Plan'!M10</x:f>
        <x:v>3</x:v>
      </x:c>
      <x:c r="N10" s="8" t="str">
        <x:f>'Evaluation Plan'!N10</x:f>
        <x:v>3 — Matched control — Direct-name control on identical target and trajectory</x:v>
      </x:c>
      <x:c r="O10" s="8" t="n">
        <x:f>'Evaluation Plan'!O10</x:f>
        <x:v>3</x:v>
      </x:c>
      <x:c r="P10" s="7" t="str">
        <x:f>'Evaluation Plan'!P10</x:f>
        <x:v>Reset only the far candidate to P3. Keep the full scene exact; replace the relational instruction with the target's direct name.</x:v>
      </x:c>
      <x:c r="Q10" s="7" t="str">
        <x:f>'Evaluation Plan'!Q10</x:f>
        <x:v>This is a true endpoint-matched manipulation control: scene, target identity, start pose and required trajectory match the furthest trial.</x:v>
      </x:c>
      <x:c r="R10" s="7" t="str">
        <x:f>IF(ISBLANK('Evaluation Plan'!R10),"",'Evaluation Plan'!R10)</x:f>
      </x:c>
    </x:row>
    <x:row r="11" ht="66" customHeight="1">
      <x:c r="A11" s="9" t="str">
        <x:v>Not collected</x:v>
      </x:c>
      <x:c r="B11" s="9" t="n">
        <x:f>'Evaluation Plan'!B11</x:f>
        <x:v>9</x:v>
      </x:c>
      <x:c r="C11" s="10" t="str">
        <x:f>'Evaluation Plan'!C11</x:f>
        <x:v>Pick up the pencil sharpener furthest from the yellow pen and place it in the bowl.</x:v>
      </x:c>
      <x:c r="D11" s="10" t="str">
        <x:f>'Evaluation Plan'!D11</x:f>
        <x:v>P1 yellow pen at R2 (5 cm left of center) [REFERENCE]; P2 green pencil sharpener with 6 cm edge gap to the right of P1 [CLOSE CANDIDATE]; P3 red pencil sharpener with 20 cm edge gap to the left of P1 [FAR CANDIDATE]</x:v>
      </x:c>
      <x:c r="E11" s="9" t="str">
        <x:f>IF(ISBLANK('Evaluation Plan'!E11),"",'Evaluation Plan'!E11)</x:f>
      </x:c>
      <x:c r="F11" s="9" t="str">
        <x:f>'Evaluation Plan'!F11</x:f>
        <x:v>red pencil sharpener</x:v>
      </x:c>
      <x:c r="G11" s="10"/>
      <x:c r="H11" s="9" t="str">
        <x:f>'Evaluation Plan'!H11</x:f>
        <x:v>Concept/compositional transfer</x:v>
      </x:c>
      <x:c r="I11" s="9" t="str">
        <x:f>'Evaluation Plan'!I11</x:f>
        <x:v>RD-CF02B</x:v>
      </x:c>
      <x:c r="J11" s="9" t="str">
        <x:f>'Evaluation Plan'!J11</x:f>
        <x:v>RD-CF02</x:v>
      </x:c>
      <x:c r="K11" s="9" t="str">
        <x:f>'Evaluation Plan'!K11</x:f>
        <x:v>pencil sharpener</x:v>
      </x:c>
      <x:c r="L11" s="9" t="str">
        <x:f>'Evaluation Plan'!L11</x:f>
        <x:v>furthest</x:v>
      </x:c>
      <x:c r="M11" s="9" t="n">
        <x:f>'Evaluation Plan'!M11</x:f>
        <x:v>3</x:v>
      </x:c>
      <x:c r="N11" s="9" t="str">
        <x:f>'Evaluation Plan'!N11</x:f>
        <x:v>1 — Canonical transfer — Held-out furthest concept with same-category candidates</x:v>
      </x:c>
      <x:c r="O11" s="9" t="n">
        <x:f>'Evaluation Plan'!O11</x:f>
        <x:v>4</x:v>
      </x:c>
      <x:c r="P11" s="10" t="str">
        <x:f>'Evaluation Plan'!P11</x:f>
        <x:v>From scene A, swap only the P2/P3 candidate identities; keep reference, distractors, camera and distances fixed. Save the new first frame.</x:v>
      </x:c>
      <x:c r="Q11" s="10" t="str">
        <x:f>'Evaluation Plan'!Q11</x:f>
        <x:v>Furthest/farthest language is absent from fine-tuning. The A/B scene pair swaps which physical identity is far, preventing identity preference from solving both.</x:v>
      </x:c>
      <x:c r="R11" s="10" t="str">
        <x:f>IF(ISBLANK('Evaluation Plan'!R11),"",'Evaluation Plan'!R11)</x:f>
      </x:c>
    </x:row>
    <x:row r="12" ht="66" customHeight="1">
      <x:c r="A12" s="8" t="str">
        <x:v>Not collected</x:v>
      </x:c>
      <x:c r="B12" s="8" t="n">
        <x:f>'Evaluation Plan'!B12</x:f>
        <x:v>10</x:v>
      </x:c>
      <x:c r="C12" s="7" t="str">
        <x:f>'Evaluation Plan'!C12</x:f>
        <x:v>Place the pencil sharpener with the greatest distance from the yellow pen in the bowl.</x:v>
      </x:c>
      <x:c r="D12" s="7" t="str">
        <x:f>'Evaluation Plan'!D12</x:f>
        <x:v>P1 yellow pen at R2 (5 cm left of center) [REFERENCE]; P2 green pencil sharpener with 6 cm edge gap to the right of P1 [CLOSE CANDIDATE]; P3 red pencil sharpener with 20 cm edge gap to the left of P1 [FAR CANDIDATE]</x:v>
      </x:c>
      <x:c r="E12" s="8" t="n">
        <x:f>IF(ISBLANK('Evaluation Plan'!E12),"",'Evaluation Plan'!E12)</x:f>
        <x:v>9</x:v>
      </x:c>
      <x:c r="F12" s="8" t="str">
        <x:f>'Evaluation Plan'!F12</x:f>
        <x:v>red pencil sharpener</x:v>
      </x:c>
      <x:c r="G12" s="7"/>
      <x:c r="H12" s="8" t="str">
        <x:f>'Evaluation Plan'!H12</x:f>
        <x:v>Language robustness</x:v>
      </x:c>
      <x:c r="I12" s="8" t="str">
        <x:f>'Evaluation Plan'!I12</x:f>
        <x:v>RD-CF02B</x:v>
      </x:c>
      <x:c r="J12" s="8" t="str">
        <x:f>'Evaluation Plan'!J12</x:f>
        <x:v>RD-CF02</x:v>
      </x:c>
      <x:c r="K12" s="8" t="str">
        <x:f>'Evaluation Plan'!K12</x:f>
        <x:v>pencil sharpener</x:v>
      </x:c>
      <x:c r="L12" s="8" t="str">
        <x:f>'Evaluation Plan'!L12</x:f>
        <x:v>furthest paraphrase</x:v>
      </x:c>
      <x:c r="M12" s="8" t="n">
        <x:f>'Evaluation Plan'!M12</x:f>
        <x:v>3</x:v>
      </x:c>
      <x:c r="N12" s="8" t="str">
        <x:f>'Evaluation Plan'!N12</x:f>
        <x:v>2 — Exact-scene transfer paraphrase — Paraphrase of furthest-transfer prompt</x:v>
      </x:c>
      <x:c r="O12" s="8" t="n">
        <x:f>'Evaluation Plan'!O12</x:f>
        <x:v>4</x:v>
      </x:c>
      <x:c r="P12" s="7" t="str">
        <x:f>'Evaluation Plan'!P12</x:f>
        <x:v>Reset only the far candidate to P3; change only the prompt wording.</x:v>
      </x:c>
      <x:c r="Q12" s="7" t="str">
        <x:f>'Evaluation Plan'!Q12</x:f>
        <x:v>Exact-scene language comparison for the held-out distance concept.</x:v>
      </x:c>
      <x:c r="R12" s="7" t="str">
        <x:f>IF(ISBLANK('Evaluation Plan'!R12),"",'Evaluation Plan'!R12)</x:f>
      </x:c>
    </x:row>
    <x:row r="13" ht="66" customHeight="1">
      <x:c r="A13" s="8" t="str">
        <x:v>Not collected</x:v>
      </x:c>
      <x:c r="B13" s="8" t="n">
        <x:f>'Evaluation Plan'!B13</x:f>
        <x:v>11</x:v>
      </x:c>
      <x:c r="C13" s="7" t="str">
        <x:f>'Evaluation Plan'!C13</x:f>
        <x:v>Put the red pencil sharpener in the bowl.</x:v>
      </x:c>
      <x:c r="D13" s="7" t="str">
        <x:f>'Evaluation Plan'!D13</x:f>
        <x:v>P1 yellow pen at R2 (5 cm left of center) [REFERENCE]; P2 green pencil sharpener with 6 cm edge gap to the right of P1 [CLOSE CANDIDATE]; P3 red pencil sharpener with 20 cm edge gap to the left of P1 [FAR CANDIDATE]</x:v>
      </x:c>
      <x:c r="E13" s="8" t="n">
        <x:f>IF(ISBLANK('Evaluation Plan'!E13),"",'Evaluation Plan'!E13)</x:f>
        <x:v>9</x:v>
      </x:c>
      <x:c r="F13" s="8" t="str">
        <x:f>'Evaluation Plan'!F13</x:f>
        <x:v>red pencil sharpener</x:v>
      </x:c>
      <x:c r="G13" s="7"/>
      <x:c r="H13" s="8" t="str">
        <x:f>'Evaluation Plan'!H13</x:f>
        <x:v>Matched manipulation control</x:v>
      </x:c>
      <x:c r="I13" s="8" t="str">
        <x:f>'Evaluation Plan'!I13</x:f>
        <x:v>RD-CF02B</x:v>
      </x:c>
      <x:c r="J13" s="8" t="str">
        <x:f>'Evaluation Plan'!J13</x:f>
        <x:v>RD-CF02</x:v>
      </x:c>
      <x:c r="K13" s="8" t="str">
        <x:f>'Evaluation Plan'!K13</x:f>
        <x:v>pencil sharpener</x:v>
      </x:c>
      <x:c r="L13" s="8" t="str">
        <x:f>'Evaluation Plan'!L13</x:f>
        <x:v>direct name</x:v>
      </x:c>
      <x:c r="M13" s="8" t="n">
        <x:f>'Evaluation Plan'!M13</x:f>
        <x:v>3</x:v>
      </x:c>
      <x:c r="N13" s="8" t="str">
        <x:f>'Evaluation Plan'!N13</x:f>
        <x:v>3 — Matched control — Direct-name control on identical target and trajectory</x:v>
      </x:c>
      <x:c r="O13" s="8" t="n">
        <x:f>'Evaluation Plan'!O13</x:f>
        <x:v>4</x:v>
      </x:c>
      <x:c r="P13" s="7" t="str">
        <x:f>'Evaluation Plan'!P13</x:f>
        <x:v>Reset only the far candidate to P3. Keep the full scene exact; replace the relational instruction with the target's direct name.</x:v>
      </x:c>
      <x:c r="Q13" s="7" t="str">
        <x:f>'Evaluation Plan'!Q13</x:f>
        <x:v>This is a true endpoint-matched manipulation control: scene, target identity, start pose and required trajectory match the furthest trial.</x:v>
      </x:c>
      <x:c r="R13" s="7" t="str">
        <x:f>IF(ISBLANK('Evaluation Plan'!R13),"",'Evaluation Plan'!R13)</x:f>
      </x:c>
    </x:row>
    <x:row r="14" ht="66" customHeight="1">
      <x:c r="A14" s="9" t="str">
        <x:v>Not collected</x:v>
      </x:c>
      <x:c r="B14" s="9" t="n">
        <x:f>'Evaluation Plan'!B14</x:f>
        <x:v>12</x:v>
      </x:c>
      <x:c r="C14" s="10" t="str">
        <x:f>'Evaluation Plan'!C14</x:f>
        <x:v>Pick up the pen furthest from the green pencil sharpener and place it in the bowl.</x:v>
      </x:c>
      <x:c r="D14" s="10" t="str">
        <x:f>'Evaluation Plan'!D14</x:f>
        <x:v>P1 green pencil sharpener at R3 (5 cm right of center) [REFERENCE]; P2 green pen with 6 cm edge gap in front of P1 [CLOSE CANDIDATE]; P3 yellow pen with 20 cm edge gap behind P1 [FAR CANDIDATE]</x:v>
      </x:c>
      <x:c r="E14" s="9" t="str">
        <x:f>IF(ISBLANK('Evaluation Plan'!E14),"",'Evaluation Plan'!E14)</x:f>
      </x:c>
      <x:c r="F14" s="9" t="str">
        <x:f>'Evaluation Plan'!F14</x:f>
        <x:v>yellow pen</x:v>
      </x:c>
      <x:c r="G14" s="10"/>
      <x:c r="H14" s="9" t="str">
        <x:f>'Evaluation Plan'!H14</x:f>
        <x:v>Concept/compositional transfer</x:v>
      </x:c>
      <x:c r="I14" s="9" t="str">
        <x:f>'Evaluation Plan'!I14</x:f>
        <x:v>RD-CF03A</x:v>
      </x:c>
      <x:c r="J14" s="9" t="str">
        <x:f>'Evaluation Plan'!J14</x:f>
        <x:v>RD-CF03</x:v>
      </x:c>
      <x:c r="K14" s="9" t="str">
        <x:f>'Evaluation Plan'!K14</x:f>
        <x:v>pen</x:v>
      </x:c>
      <x:c r="L14" s="9" t="str">
        <x:f>'Evaluation Plan'!L14</x:f>
        <x:v>furthest</x:v>
      </x:c>
      <x:c r="M14" s="9" t="n">
        <x:f>'Evaluation Plan'!M14</x:f>
        <x:v>3</x:v>
      </x:c>
      <x:c r="N14" s="9" t="str">
        <x:f>'Evaluation Plan'!N14</x:f>
        <x:v>1 — Canonical transfer — Held-out furthest concept with same-category candidates</x:v>
      </x:c>
      <x:c r="O14" s="9" t="n">
        <x:f>'Evaluation Plan'!O14</x:f>
        <x:v>5</x:v>
      </x:c>
      <x:c r="P14" s="10" t="str">
        <x:f>'Evaluation Plan'!P14</x:f>
        <x:v>Build counterfactual scene A and save a first-frame filename.</x:v>
      </x:c>
      <x:c r="Q14" s="10" t="str">
        <x:f>'Evaluation Plan'!Q14</x:f>
        <x:v>Furthest/farthest language is absent from fine-tuning. The A/B scene pair swaps which physical identity is far, preventing identity preference from solving both.</x:v>
      </x:c>
      <x:c r="R14" s="10" t="str">
        <x:f>IF(ISBLANK('Evaluation Plan'!R14),"",'Evaluation Plan'!R14)</x:f>
      </x:c>
    </x:row>
    <x:row r="15" ht="66" customHeight="1">
      <x:c r="A15" s="8" t="str">
        <x:v>Not collected</x:v>
      </x:c>
      <x:c r="B15" s="8" t="n">
        <x:f>'Evaluation Plan'!B15</x:f>
        <x:v>13</x:v>
      </x:c>
      <x:c r="C15" s="7" t="str">
        <x:f>'Evaluation Plan'!C15</x:f>
        <x:v>Of the two candidates, put the pen farther from the green pencil sharpener in the bowl.</x:v>
      </x:c>
      <x:c r="D15" s="7" t="str">
        <x:f>'Evaluation Plan'!D15</x:f>
        <x:v>P1 green pencil sharpener at R3 (5 cm right of center) [REFERENCE]; P2 green pen with 6 cm edge gap in front of P1 [CLOSE CANDIDATE]; P3 yellow pen with 20 cm edge gap behind P1 [FAR CANDIDATE]</x:v>
      </x:c>
      <x:c r="E15" s="8" t="n">
        <x:f>IF(ISBLANK('Evaluation Plan'!E15),"",'Evaluation Plan'!E15)</x:f>
        <x:v>12</x:v>
      </x:c>
      <x:c r="F15" s="8" t="str">
        <x:f>'Evaluation Plan'!F15</x:f>
        <x:v>yellow pen</x:v>
      </x:c>
      <x:c r="G15" s="7"/>
      <x:c r="H15" s="8" t="str">
        <x:f>'Evaluation Plan'!H15</x:f>
        <x:v>Language robustness</x:v>
      </x:c>
      <x:c r="I15" s="8" t="str">
        <x:f>'Evaluation Plan'!I15</x:f>
        <x:v>RD-CF03A</x:v>
      </x:c>
      <x:c r="J15" s="8" t="str">
        <x:f>'Evaluation Plan'!J15</x:f>
        <x:v>RD-CF03</x:v>
      </x:c>
      <x:c r="K15" s="8" t="str">
        <x:f>'Evaluation Plan'!K15</x:f>
        <x:v>pen</x:v>
      </x:c>
      <x:c r="L15" s="8" t="str">
        <x:f>'Evaluation Plan'!L15</x:f>
        <x:v>furthest paraphrase</x:v>
      </x:c>
      <x:c r="M15" s="8" t="n">
        <x:f>'Evaluation Plan'!M15</x:f>
        <x:v>3</x:v>
      </x:c>
      <x:c r="N15" s="8" t="str">
        <x:f>'Evaluation Plan'!N15</x:f>
        <x:v>2 — Exact-scene transfer paraphrase — Paraphrase of furthest-transfer prompt</x:v>
      </x:c>
      <x:c r="O15" s="8" t="n">
        <x:f>'Evaluation Plan'!O15</x:f>
        <x:v>5</x:v>
      </x:c>
      <x:c r="P15" s="7" t="str">
        <x:f>'Evaluation Plan'!P15</x:f>
        <x:v>Reset only the far candidate to P3; change only the prompt wording.</x:v>
      </x:c>
      <x:c r="Q15" s="7" t="str">
        <x:f>'Evaluation Plan'!Q15</x:f>
        <x:v>Exact-scene language comparison for the held-out distance concept.</x:v>
      </x:c>
      <x:c r="R15" s="7" t="str">
        <x:f>IF(ISBLANK('Evaluation Plan'!R15),"",'Evaluation Plan'!R15)</x:f>
      </x:c>
    </x:row>
    <x:row r="16" ht="66" customHeight="1">
      <x:c r="A16" s="8" t="str">
        <x:v>Not collected</x:v>
      </x:c>
      <x:c r="B16" s="8" t="n">
        <x:f>'Evaluation Plan'!B16</x:f>
        <x:v>14</x:v>
      </x:c>
      <x:c r="C16" s="7" t="str">
        <x:f>'Evaluation Plan'!C16</x:f>
        <x:v>Move the yellow pen into the bowl.</x:v>
      </x:c>
      <x:c r="D16" s="7" t="str">
        <x:f>'Evaluation Plan'!D16</x:f>
        <x:v>P1 green pencil sharpener at R3 (5 cm right of center) [REFERENCE]; P2 green pen with 6 cm edge gap in front of P1 [CLOSE CANDIDATE]; P3 yellow pen with 20 cm edge gap behind P1 [FAR CANDIDATE]</x:v>
      </x:c>
      <x:c r="E16" s="8" t="n">
        <x:f>IF(ISBLANK('Evaluation Plan'!E16),"",'Evaluation Plan'!E16)</x:f>
        <x:v>12</x:v>
      </x:c>
      <x:c r="F16" s="8" t="str">
        <x:f>'Evaluation Plan'!F16</x:f>
        <x:v>yellow pen</x:v>
      </x:c>
      <x:c r="G16" s="7"/>
      <x:c r="H16" s="8" t="str">
        <x:f>'Evaluation Plan'!H16</x:f>
        <x:v>Matched manipulation control</x:v>
      </x:c>
      <x:c r="I16" s="8" t="str">
        <x:f>'Evaluation Plan'!I16</x:f>
        <x:v>RD-CF03A</x:v>
      </x:c>
      <x:c r="J16" s="8" t="str">
        <x:f>'Evaluation Plan'!J16</x:f>
        <x:v>RD-CF03</x:v>
      </x:c>
      <x:c r="K16" s="8" t="str">
        <x:f>'Evaluation Plan'!K16</x:f>
        <x:v>pen</x:v>
      </x:c>
      <x:c r="L16" s="8" t="str">
        <x:f>'Evaluation Plan'!L16</x:f>
        <x:v>direct name</x:v>
      </x:c>
      <x:c r="M16" s="8" t="n">
        <x:f>'Evaluation Plan'!M16</x:f>
        <x:v>3</x:v>
      </x:c>
      <x:c r="N16" s="8" t="str">
        <x:f>'Evaluation Plan'!N16</x:f>
        <x:v>3 — Matched control — Direct-name control on identical target and trajectory</x:v>
      </x:c>
      <x:c r="O16" s="8" t="n">
        <x:f>'Evaluation Plan'!O16</x:f>
        <x:v>5</x:v>
      </x:c>
      <x:c r="P16" s="7" t="str">
        <x:f>'Evaluation Plan'!P16</x:f>
        <x:v>Reset only the far candidate to P3. Keep the full scene exact; replace the relational instruction with the target's direct name.</x:v>
      </x:c>
      <x:c r="Q16" s="7" t="str">
        <x:f>'Evaluation Plan'!Q16</x:f>
        <x:v>This is a true endpoint-matched manipulation control: scene, target identity, start pose and required trajectory match the furthest trial.</x:v>
      </x:c>
      <x:c r="R16" s="7" t="str">
        <x:f>IF(ISBLANK('Evaluation Plan'!R16),"",'Evaluation Plan'!R16)</x:f>
      </x:c>
    </x:row>
    <x:row r="17" ht="66" customHeight="1">
      <x:c r="A17" s="9" t="str">
        <x:v>Not collected</x:v>
      </x:c>
      <x:c r="B17" s="9" t="n">
        <x:f>'Evaluation Plan'!B17</x:f>
        <x:v>15</x:v>
      </x:c>
      <x:c r="C17" s="10" t="str">
        <x:f>'Evaluation Plan'!C17</x:f>
        <x:v>Pick up the pen furthest from the green pencil sharpener and place it in the bowl.</x:v>
      </x:c>
      <x:c r="D17" s="10" t="str">
        <x:f>'Evaluation Plan'!D17</x:f>
        <x:v>P1 green pencil sharpener at R3 (5 cm right of center) [REFERENCE]; P2 yellow pen with 6 cm edge gap in front of P1 [CLOSE CANDIDATE]; P3 green pen with 20 cm edge gap behind P1 [FAR CANDIDATE]</x:v>
      </x:c>
      <x:c r="E17" s="9" t="str">
        <x:f>IF(ISBLANK('Evaluation Plan'!E17),"",'Evaluation Plan'!E17)</x:f>
      </x:c>
      <x:c r="F17" s="9" t="str">
        <x:f>'Evaluation Plan'!F17</x:f>
        <x:v>green pen</x:v>
      </x:c>
      <x:c r="G17" s="10"/>
      <x:c r="H17" s="9" t="str">
        <x:f>'Evaluation Plan'!H17</x:f>
        <x:v>Concept/compositional transfer</x:v>
      </x:c>
      <x:c r="I17" s="9" t="str">
        <x:f>'Evaluation Plan'!I17</x:f>
        <x:v>RD-CF03B</x:v>
      </x:c>
      <x:c r="J17" s="9" t="str">
        <x:f>'Evaluation Plan'!J17</x:f>
        <x:v>RD-CF03</x:v>
      </x:c>
      <x:c r="K17" s="9" t="str">
        <x:f>'Evaluation Plan'!K17</x:f>
        <x:v>pen</x:v>
      </x:c>
      <x:c r="L17" s="9" t="str">
        <x:f>'Evaluation Plan'!L17</x:f>
        <x:v>furthest</x:v>
      </x:c>
      <x:c r="M17" s="9" t="n">
        <x:f>'Evaluation Plan'!M17</x:f>
        <x:v>3</x:v>
      </x:c>
      <x:c r="N17" s="9" t="str">
        <x:f>'Evaluation Plan'!N17</x:f>
        <x:v>1 — Canonical transfer — Held-out furthest concept with same-category candidates</x:v>
      </x:c>
      <x:c r="O17" s="9" t="n">
        <x:f>'Evaluation Plan'!O17</x:f>
        <x:v>6</x:v>
      </x:c>
      <x:c r="P17" s="10" t="str">
        <x:f>'Evaluation Plan'!P17</x:f>
        <x:v>From scene A, swap only the P2/P3 candidate identities; keep reference, distractors, camera and distances fixed. Save the new first frame.</x:v>
      </x:c>
      <x:c r="Q17" s="10" t="str">
        <x:f>'Evaluation Plan'!Q17</x:f>
        <x:v>Furthest/farthest language is absent from fine-tuning. The A/B scene pair swaps which physical identity is far, preventing identity preference from solving both.</x:v>
      </x:c>
      <x:c r="R17" s="10" t="str">
        <x:f>IF(ISBLANK('Evaluation Plan'!R17),"",'Evaluation Plan'!R17)</x:f>
      </x:c>
    </x:row>
    <x:row r="18" ht="66" customHeight="1">
      <x:c r="A18" s="8" t="str">
        <x:v>Not collected</x:v>
      </x:c>
      <x:c r="B18" s="8" t="n">
        <x:f>'Evaluation Plan'!B18</x:f>
        <x:v>16</x:v>
      </x:c>
      <x:c r="C18" s="7" t="str">
        <x:f>'Evaluation Plan'!C18</x:f>
        <x:v>Pick up the pen farthest from the green pencil sharpener and place it in the bowl.</x:v>
      </x:c>
      <x:c r="D18" s="7" t="str">
        <x:f>'Evaluation Plan'!D18</x:f>
        <x:v>P1 green pencil sharpener at R3 (5 cm right of center) [REFERENCE]; P2 yellow pen with 6 cm edge gap in front of P1 [CLOSE CANDIDATE]; P3 green pen with 20 cm edge gap behind P1 [FAR CANDIDATE]</x:v>
      </x:c>
      <x:c r="E18" s="8" t="n">
        <x:f>IF(ISBLANK('Evaluation Plan'!E18),"",'Evaluation Plan'!E18)</x:f>
        <x:v>15</x:v>
      </x:c>
      <x:c r="F18" s="8" t="str">
        <x:f>'Evaluation Plan'!F18</x:f>
        <x:v>green pen</x:v>
      </x:c>
      <x:c r="G18" s="7"/>
      <x:c r="H18" s="8" t="str">
        <x:f>'Evaluation Plan'!H18</x:f>
        <x:v>Language robustness</x:v>
      </x:c>
      <x:c r="I18" s="8" t="str">
        <x:f>'Evaluation Plan'!I18</x:f>
        <x:v>RD-CF03B</x:v>
      </x:c>
      <x:c r="J18" s="8" t="str">
        <x:f>'Evaluation Plan'!J18</x:f>
        <x:v>RD-CF03</x:v>
      </x:c>
      <x:c r="K18" s="8" t="str">
        <x:f>'Evaluation Plan'!K18</x:f>
        <x:v>pen</x:v>
      </x:c>
      <x:c r="L18" s="8" t="str">
        <x:f>'Evaluation Plan'!L18</x:f>
        <x:v>furthest paraphrase</x:v>
      </x:c>
      <x:c r="M18" s="8" t="n">
        <x:f>'Evaluation Plan'!M18</x:f>
        <x:v>3</x:v>
      </x:c>
      <x:c r="N18" s="8" t="str">
        <x:f>'Evaluation Plan'!N18</x:f>
        <x:v>2 — Exact-scene transfer paraphrase — Paraphrase of furthest-transfer prompt</x:v>
      </x:c>
      <x:c r="O18" s="8" t="n">
        <x:f>'Evaluation Plan'!O18</x:f>
        <x:v>6</x:v>
      </x:c>
      <x:c r="P18" s="7" t="str">
        <x:f>'Evaluation Plan'!P18</x:f>
        <x:v>Reset only the far candidate to P3; change only the prompt wording.</x:v>
      </x:c>
      <x:c r="Q18" s="7" t="str">
        <x:f>'Evaluation Plan'!Q18</x:f>
        <x:v>Exact-scene language comparison for the held-out distance concept.</x:v>
      </x:c>
      <x:c r="R18" s="7" t="str">
        <x:f>IF(ISBLANK('Evaluation Plan'!R18),"",'Evaluation Plan'!R18)</x:f>
      </x:c>
    </x:row>
    <x:row r="19" ht="66" customHeight="1">
      <x:c r="A19" s="8" t="str">
        <x:v>Not collected</x:v>
      </x:c>
      <x:c r="B19" s="8" t="n">
        <x:f>'Evaluation Plan'!B19</x:f>
        <x:v>17</x:v>
      </x:c>
      <x:c r="C19" s="7" t="str">
        <x:f>'Evaluation Plan'!C19</x:f>
        <x:v>Pick up the green pen and place it in the bowl.</x:v>
      </x:c>
      <x:c r="D19" s="7" t="str">
        <x:f>'Evaluation Plan'!D19</x:f>
        <x:v>P1 green pencil sharpener at R3 (5 cm right of center) [REFERENCE]; P2 yellow pen with 6 cm edge gap in front of P1 [CLOSE CANDIDATE]; P3 green pen with 20 cm edge gap behind P1 [FAR CANDIDATE]</x:v>
      </x:c>
      <x:c r="E19" s="8" t="n">
        <x:f>IF(ISBLANK('Evaluation Plan'!E19),"",'Evaluation Plan'!E19)</x:f>
        <x:v>15</x:v>
      </x:c>
      <x:c r="F19" s="8" t="str">
        <x:f>'Evaluation Plan'!F19</x:f>
        <x:v>green pen</x:v>
      </x:c>
      <x:c r="G19" s="7"/>
      <x:c r="H19" s="8" t="str">
        <x:f>'Evaluation Plan'!H19</x:f>
        <x:v>Matched manipulation control</x:v>
      </x:c>
      <x:c r="I19" s="8" t="str">
        <x:f>'Evaluation Plan'!I19</x:f>
        <x:v>RD-CF03B</x:v>
      </x:c>
      <x:c r="J19" s="8" t="str">
        <x:f>'Evaluation Plan'!J19</x:f>
        <x:v>RD-CF03</x:v>
      </x:c>
      <x:c r="K19" s="8" t="str">
        <x:f>'Evaluation Plan'!K19</x:f>
        <x:v>pen</x:v>
      </x:c>
      <x:c r="L19" s="8" t="str">
        <x:f>'Evaluation Plan'!L19</x:f>
        <x:v>direct name</x:v>
      </x:c>
      <x:c r="M19" s="8" t="n">
        <x:f>'Evaluation Plan'!M19</x:f>
        <x:v>3</x:v>
      </x:c>
      <x:c r="N19" s="8" t="str">
        <x:f>'Evaluation Plan'!N19</x:f>
        <x:v>3 — Matched control — Direct-name control on identical target and trajectory</x:v>
      </x:c>
      <x:c r="O19" s="8" t="n">
        <x:f>'Evaluation Plan'!O19</x:f>
        <x:v>6</x:v>
      </x:c>
      <x:c r="P19" s="7" t="str">
        <x:f>'Evaluation Plan'!P19</x:f>
        <x:v>Reset only the far candidate to P3. Keep the full scene exact; replace the relational instruction with the target's direct name.</x:v>
      </x:c>
      <x:c r="Q19" s="7" t="str">
        <x:f>'Evaluation Plan'!Q19</x:f>
        <x:v>This is a true endpoint-matched manipulation control: scene, target identity, start pose and required trajectory match the furthest trial.</x:v>
      </x:c>
      <x:c r="R19" s="7" t="str">
        <x:f>IF(ISBLANK('Evaluation Plan'!R19),"",'Evaluation Plan'!R19)</x:f>
      </x:c>
    </x:row>
    <x:row r="20" ht="66" customHeight="1">
      <x:c r="A20" s="9" t="str">
        <x:v>Not collected</x:v>
      </x:c>
      <x:c r="B20" s="9" t="n">
        <x:f>'Evaluation Plan'!B20</x:f>
        <x:v>18</x:v>
      </x:c>
      <x:c r="C20" s="10" t="str">
        <x:f>'Evaluation Plan'!C20</x:f>
        <x:v>Pick up the airplane toy furthest from the red pencil sharpener and place it in the bowl.</x:v>
      </x:c>
      <x:c r="D20" s="10" t="str">
        <x:f>'Evaluation Plan'!D20</x:f>
        <x:v>P1 red pencil sharpener at R4 (5 cm toward the robot from center) [REFERENCE]; P2 airplane toy without propellers with 6 cm edge gap behind P1 [CLOSE CANDIDATE]; P3 airplane toy with propellers with 20 cm edge gap in front of P1 [FAR CANDIDATE]</x:v>
      </x:c>
      <x:c r="E20" s="9" t="str">
        <x:f>IF(ISBLANK('Evaluation Plan'!E20),"",'Evaluation Plan'!E20)</x:f>
      </x:c>
      <x:c r="F20" s="9" t="str">
        <x:f>'Evaluation Plan'!F20</x:f>
        <x:v>airplane toy with propellers</x:v>
      </x:c>
      <x:c r="G20" s="10"/>
      <x:c r="H20" s="9" t="str">
        <x:f>'Evaluation Plan'!H20</x:f>
        <x:v>Concept/compositional transfer</x:v>
      </x:c>
      <x:c r="I20" s="9" t="str">
        <x:f>'Evaluation Plan'!I20</x:f>
        <x:v>RD-CF04A</x:v>
      </x:c>
      <x:c r="J20" s="9" t="str">
        <x:f>'Evaluation Plan'!J20</x:f>
        <x:v>RD-CF04</x:v>
      </x:c>
      <x:c r="K20" s="9" t="str">
        <x:f>'Evaluation Plan'!K20</x:f>
        <x:v>airplane toy</x:v>
      </x:c>
      <x:c r="L20" s="9" t="str">
        <x:f>'Evaluation Plan'!L20</x:f>
        <x:v>furthest</x:v>
      </x:c>
      <x:c r="M20" s="9" t="n">
        <x:f>'Evaluation Plan'!M20</x:f>
        <x:v>3</x:v>
      </x:c>
      <x:c r="N20" s="9" t="str">
        <x:f>'Evaluation Plan'!N20</x:f>
        <x:v>1 — Canonical transfer — Held-out furthest concept with same-category candidates</x:v>
      </x:c>
      <x:c r="O20" s="9" t="n">
        <x:f>'Evaluation Plan'!O20</x:f>
        <x:v>7</x:v>
      </x:c>
      <x:c r="P20" s="10" t="str">
        <x:f>'Evaluation Plan'!P20</x:f>
        <x:v>Build counterfactual scene A and save a first-frame filename.</x:v>
      </x:c>
      <x:c r="Q20" s="10" t="str">
        <x:f>'Evaluation Plan'!Q20</x:f>
        <x:v>Furthest/farthest language is absent from fine-tuning. The A/B scene pair swaps which physical identity is far, preventing identity preference from solving both.</x:v>
      </x:c>
      <x:c r="R20" s="10" t="str">
        <x:f>IF(ISBLANK('Evaluation Plan'!R20),"",'Evaluation Plan'!R20)</x:f>
      </x:c>
    </x:row>
    <x:row r="21" ht="66" customHeight="1">
      <x:c r="A21" s="8" t="str">
        <x:v>Not collected</x:v>
      </x:c>
      <x:c r="B21" s="8" t="n">
        <x:f>'Evaluation Plan'!B21</x:f>
        <x:v>19</x:v>
      </x:c>
      <x:c r="C21" s="7" t="str">
        <x:f>'Evaluation Plan'!C21</x:f>
        <x:v>Move the airplane toy that is most distant from the red pencil sharpener into the bowl.</x:v>
      </x:c>
      <x:c r="D21" s="7" t="str">
        <x:f>'Evaluation Plan'!D21</x:f>
        <x:v>P1 red pencil sharpener at R4 (5 cm toward the robot from center) [REFERENCE]; P2 airplane toy without propellers with 6 cm edge gap behind P1 [CLOSE CANDIDATE]; P3 airplane toy with propellers with 20 cm edge gap in front of P1 [FAR CANDIDATE]</x:v>
      </x:c>
      <x:c r="E21" s="8" t="n">
        <x:f>IF(ISBLANK('Evaluation Plan'!E21),"",'Evaluation Plan'!E21)</x:f>
        <x:v>18</x:v>
      </x:c>
      <x:c r="F21" s="8" t="str">
        <x:f>'Evaluation Plan'!F21</x:f>
        <x:v>airplane toy with propellers</x:v>
      </x:c>
      <x:c r="G21" s="7"/>
      <x:c r="H21" s="8" t="str">
        <x:f>'Evaluation Plan'!H21</x:f>
        <x:v>Language robustness</x:v>
      </x:c>
      <x:c r="I21" s="8" t="str">
        <x:f>'Evaluation Plan'!I21</x:f>
        <x:v>RD-CF04A</x:v>
      </x:c>
      <x:c r="J21" s="8" t="str">
        <x:f>'Evaluation Plan'!J21</x:f>
        <x:v>RD-CF04</x:v>
      </x:c>
      <x:c r="K21" s="8" t="str">
        <x:f>'Evaluation Plan'!K21</x:f>
        <x:v>airplane toy</x:v>
      </x:c>
      <x:c r="L21" s="8" t="str">
        <x:f>'Evaluation Plan'!L21</x:f>
        <x:v>furthest paraphrase</x:v>
      </x:c>
      <x:c r="M21" s="8" t="n">
        <x:f>'Evaluation Plan'!M21</x:f>
        <x:v>3</x:v>
      </x:c>
      <x:c r="N21" s="8" t="str">
        <x:f>'Evaluation Plan'!N21</x:f>
        <x:v>2 — Exact-scene transfer paraphrase — Paraphrase of furthest-transfer prompt</x:v>
      </x:c>
      <x:c r="O21" s="8" t="n">
        <x:f>'Evaluation Plan'!O21</x:f>
        <x:v>7</x:v>
      </x:c>
      <x:c r="P21" s="7" t="str">
        <x:f>'Evaluation Plan'!P21</x:f>
        <x:v>Reset only the far candidate to P3; change only the prompt wording.</x:v>
      </x:c>
      <x:c r="Q21" s="7" t="str">
        <x:f>'Evaluation Plan'!Q21</x:f>
        <x:v>Exact-scene language comparison for the held-out distance concept.</x:v>
      </x:c>
      <x:c r="R21" s="7" t="str">
        <x:f>IF(ISBLANK('Evaluation Plan'!R21),"",'Evaluation Plan'!R21)</x:f>
      </x:c>
    </x:row>
    <x:row r="22" ht="66" customHeight="1">
      <x:c r="A22" s="8" t="str">
        <x:v>Not collected</x:v>
      </x:c>
      <x:c r="B22" s="8" t="n">
        <x:f>'Evaluation Plan'!B22</x:f>
        <x:v>20</x:v>
      </x:c>
      <x:c r="C22" s="7" t="str">
        <x:f>'Evaluation Plan'!C22</x:f>
        <x:v>Put the airplane toy with propellers in the bowl.</x:v>
      </x:c>
      <x:c r="D22" s="7" t="str">
        <x:f>'Evaluation Plan'!D22</x:f>
        <x:v>P1 red pencil sharpener at R4 (5 cm toward the robot from center) [REFERENCE]; P2 airplane toy without propellers with 6 cm edge gap behind P1 [CLOSE CANDIDATE]; P3 airplane toy with propellers with 20 cm edge gap in front of P1 [FAR CANDIDATE]</x:v>
      </x:c>
      <x:c r="E22" s="8" t="n">
        <x:f>IF(ISBLANK('Evaluation Plan'!E22),"",'Evaluation Plan'!E22)</x:f>
        <x:v>18</x:v>
      </x:c>
      <x:c r="F22" s="8" t="str">
        <x:f>'Evaluation Plan'!F22</x:f>
        <x:v>airplane toy with propellers</x:v>
      </x:c>
      <x:c r="G22" s="7"/>
      <x:c r="H22" s="8" t="str">
        <x:f>'Evaluation Plan'!H22</x:f>
        <x:v>Matched manipulation control</x:v>
      </x:c>
      <x:c r="I22" s="8" t="str">
        <x:f>'Evaluation Plan'!I22</x:f>
        <x:v>RD-CF04A</x:v>
      </x:c>
      <x:c r="J22" s="8" t="str">
        <x:f>'Evaluation Plan'!J22</x:f>
        <x:v>RD-CF04</x:v>
      </x:c>
      <x:c r="K22" s="8" t="str">
        <x:f>'Evaluation Plan'!K22</x:f>
        <x:v>airplane toy</x:v>
      </x:c>
      <x:c r="L22" s="8" t="str">
        <x:f>'Evaluation Plan'!L22</x:f>
        <x:v>direct name</x:v>
      </x:c>
      <x:c r="M22" s="8" t="n">
        <x:f>'Evaluation Plan'!M22</x:f>
        <x:v>3</x:v>
      </x:c>
      <x:c r="N22" s="8" t="str">
        <x:f>'Evaluation Plan'!N22</x:f>
        <x:v>3 — Matched control — Direct-name control on identical target and trajectory</x:v>
      </x:c>
      <x:c r="O22" s="8" t="n">
        <x:f>'Evaluation Plan'!O22</x:f>
        <x:v>7</x:v>
      </x:c>
      <x:c r="P22" s="7" t="str">
        <x:f>'Evaluation Plan'!P22</x:f>
        <x:v>Reset only the far candidate to P3. Keep the full scene exact; replace the relational instruction with the target's direct name.</x:v>
      </x:c>
      <x:c r="Q22" s="7" t="str">
        <x:f>'Evaluation Plan'!Q22</x:f>
        <x:v>This is a true endpoint-matched manipulation control: scene, target identity, start pose and required trajectory match the furthest trial.</x:v>
      </x:c>
      <x:c r="R22" s="7" t="str">
        <x:f>IF(ISBLANK('Evaluation Plan'!R22),"",'Evaluation Plan'!R22)</x:f>
      </x:c>
    </x:row>
    <x:row r="23" ht="66" customHeight="1">
      <x:c r="A23" s="9" t="str">
        <x:v>Not collected</x:v>
      </x:c>
      <x:c r="B23" s="9" t="n">
        <x:f>'Evaluation Plan'!B23</x:f>
        <x:v>21</x:v>
      </x:c>
      <x:c r="C23" s="10" t="str">
        <x:f>'Evaluation Plan'!C23</x:f>
        <x:v>Pick up the airplane toy furthest from the red pencil sharpener and place it in the bowl.</x:v>
      </x:c>
      <x:c r="D23" s="10" t="str">
        <x:f>'Evaluation Plan'!D23</x:f>
        <x:v>P1 red pencil sharpener at R4 (5 cm toward the robot from center) [REFERENCE]; P2 airplane toy with propellers with 6 cm edge gap behind P1 [CLOSE CANDIDATE]; P3 airplane toy without propellers with 20 cm edge gap in front of P1 [FAR CANDIDATE]</x:v>
      </x:c>
      <x:c r="E23" s="9" t="str">
        <x:f>IF(ISBLANK('Evaluation Plan'!E23),"",'Evaluation Plan'!E23)</x:f>
      </x:c>
      <x:c r="F23" s="9" t="str">
        <x:f>'Evaluation Plan'!F23</x:f>
        <x:v>airplane toy without propellers</x:v>
      </x:c>
      <x:c r="G23" s="10"/>
      <x:c r="H23" s="9" t="str">
        <x:f>'Evaluation Plan'!H23</x:f>
        <x:v>Concept/compositional transfer</x:v>
      </x:c>
      <x:c r="I23" s="9" t="str">
        <x:f>'Evaluation Plan'!I23</x:f>
        <x:v>RD-CF04B</x:v>
      </x:c>
      <x:c r="J23" s="9" t="str">
        <x:f>'Evaluation Plan'!J23</x:f>
        <x:v>RD-CF04</x:v>
      </x:c>
      <x:c r="K23" s="9" t="str">
        <x:f>'Evaluation Plan'!K23</x:f>
        <x:v>airplane toy</x:v>
      </x:c>
      <x:c r="L23" s="9" t="str">
        <x:f>'Evaluation Plan'!L23</x:f>
        <x:v>furthest</x:v>
      </x:c>
      <x:c r="M23" s="9" t="n">
        <x:f>'Evaluation Plan'!M23</x:f>
        <x:v>3</x:v>
      </x:c>
      <x:c r="N23" s="9" t="str">
        <x:f>'Evaluation Plan'!N23</x:f>
        <x:v>1 — Canonical transfer — Held-out furthest concept with same-category candidates</x:v>
      </x:c>
      <x:c r="O23" s="9" t="n">
        <x:f>'Evaluation Plan'!O23</x:f>
        <x:v>8</x:v>
      </x:c>
      <x:c r="P23" s="10" t="str">
        <x:f>'Evaluation Plan'!P23</x:f>
        <x:v>From scene A, swap only the P2/P3 candidate identities; keep reference, distractors, camera and distances fixed. Save the new first frame.</x:v>
      </x:c>
      <x:c r="Q23" s="10" t="str">
        <x:f>'Evaluation Plan'!Q23</x:f>
        <x:v>Furthest/farthest language is absent from fine-tuning. The A/B scene pair swaps which physical identity is far, preventing identity preference from solving both.</x:v>
      </x:c>
      <x:c r="R23" s="10" t="str">
        <x:f>IF(ISBLANK('Evaluation Plan'!R23),"",'Evaluation Plan'!R23)</x:f>
      </x:c>
    </x:row>
    <x:row r="24" ht="66" customHeight="1">
      <x:c r="A24" s="8" t="str">
        <x:v>Not collected</x:v>
      </x:c>
      <x:c r="B24" s="8" t="n">
        <x:f>'Evaluation Plan'!B24</x:f>
        <x:v>22</x:v>
      </x:c>
      <x:c r="C24" s="7" t="str">
        <x:f>'Evaluation Plan'!C24</x:f>
        <x:v>Choose whichever airplane toy is farther away from the red pencil sharpener and put it in the bowl.</x:v>
      </x:c>
      <x:c r="D24" s="7" t="str">
        <x:f>'Evaluation Plan'!D24</x:f>
        <x:v>P1 red pencil sharpener at R4 (5 cm toward the robot from center) [REFERENCE]; P2 airplane toy with propellers with 6 cm edge gap behind P1 [CLOSE CANDIDATE]; P3 airplane toy without propellers with 20 cm edge gap in front of P1 [FAR CANDIDATE]</x:v>
      </x:c>
      <x:c r="E24" s="8" t="n">
        <x:f>IF(ISBLANK('Evaluation Plan'!E24),"",'Evaluation Plan'!E24)</x:f>
        <x:v>21</x:v>
      </x:c>
      <x:c r="F24" s="8" t="str">
        <x:f>'Evaluation Plan'!F24</x:f>
        <x:v>airplane toy without propellers</x:v>
      </x:c>
      <x:c r="G24" s="7"/>
      <x:c r="H24" s="8" t="str">
        <x:f>'Evaluation Plan'!H24</x:f>
        <x:v>Language robustness</x:v>
      </x:c>
      <x:c r="I24" s="8" t="str">
        <x:f>'Evaluation Plan'!I24</x:f>
        <x:v>RD-CF04B</x:v>
      </x:c>
      <x:c r="J24" s="8" t="str">
        <x:f>'Evaluation Plan'!J24</x:f>
        <x:v>RD-CF04</x:v>
      </x:c>
      <x:c r="K24" s="8" t="str">
        <x:f>'Evaluation Plan'!K24</x:f>
        <x:v>airplane toy</x:v>
      </x:c>
      <x:c r="L24" s="8" t="str">
        <x:f>'Evaluation Plan'!L24</x:f>
        <x:v>furthest paraphrase</x:v>
      </x:c>
      <x:c r="M24" s="8" t="n">
        <x:f>'Evaluation Plan'!M24</x:f>
        <x:v>3</x:v>
      </x:c>
      <x:c r="N24" s="8" t="str">
        <x:f>'Evaluation Plan'!N24</x:f>
        <x:v>2 — Exact-scene transfer paraphrase — Paraphrase of furthest-transfer prompt</x:v>
      </x:c>
      <x:c r="O24" s="8" t="n">
        <x:f>'Evaluation Plan'!O24</x:f>
        <x:v>8</x:v>
      </x:c>
      <x:c r="P24" s="7" t="str">
        <x:f>'Evaluation Plan'!P24</x:f>
        <x:v>Reset only the far candidate to P3; change only the prompt wording.</x:v>
      </x:c>
      <x:c r="Q24" s="7" t="str">
        <x:f>'Evaluation Plan'!Q24</x:f>
        <x:v>Exact-scene language comparison for the held-out distance concept.</x:v>
      </x:c>
      <x:c r="R24" s="7" t="str">
        <x:f>IF(ISBLANK('Evaluation Plan'!R24),"",'Evaluation Plan'!R24)</x:f>
      </x:c>
    </x:row>
    <x:row r="25" ht="66" customHeight="1">
      <x:c r="A25" s="8" t="str">
        <x:v>Not collected</x:v>
      </x:c>
      <x:c r="B25" s="8" t="n">
        <x:f>'Evaluation Plan'!B25</x:f>
        <x:v>23</x:v>
      </x:c>
      <x:c r="C25" s="7" t="str">
        <x:f>'Evaluation Plan'!C25</x:f>
        <x:v>Move the airplane toy without propellers into the bowl.</x:v>
      </x:c>
      <x:c r="D25" s="7" t="str">
        <x:f>'Evaluation Plan'!D25</x:f>
        <x:v>P1 red pencil sharpener at R4 (5 cm toward the robot from center) [REFERENCE]; P2 airplane toy with propellers with 6 cm edge gap behind P1 [CLOSE CANDIDATE]; P3 airplane toy without propellers with 20 cm edge gap in front of P1 [FAR CANDIDATE]</x:v>
      </x:c>
      <x:c r="E25" s="8" t="n">
        <x:f>IF(ISBLANK('Evaluation Plan'!E25),"",'Evaluation Plan'!E25)</x:f>
        <x:v>21</x:v>
      </x:c>
      <x:c r="F25" s="8" t="str">
        <x:f>'Evaluation Plan'!F25</x:f>
        <x:v>airplane toy without propellers</x:v>
      </x:c>
      <x:c r="G25" s="7"/>
      <x:c r="H25" s="8" t="str">
        <x:f>'Evaluation Plan'!H25</x:f>
        <x:v>Matched manipulation control</x:v>
      </x:c>
      <x:c r="I25" s="8" t="str">
        <x:f>'Evaluation Plan'!I25</x:f>
        <x:v>RD-CF04B</x:v>
      </x:c>
      <x:c r="J25" s="8" t="str">
        <x:f>'Evaluation Plan'!J25</x:f>
        <x:v>RD-CF04</x:v>
      </x:c>
      <x:c r="K25" s="8" t="str">
        <x:f>'Evaluation Plan'!K25</x:f>
        <x:v>airplane toy</x:v>
      </x:c>
      <x:c r="L25" s="8" t="str">
        <x:f>'Evaluation Plan'!L25</x:f>
        <x:v>direct name</x:v>
      </x:c>
      <x:c r="M25" s="8" t="n">
        <x:f>'Evaluation Plan'!M25</x:f>
        <x:v>3</x:v>
      </x:c>
      <x:c r="N25" s="8" t="str">
        <x:f>'Evaluation Plan'!N25</x:f>
        <x:v>3 — Matched control — Direct-name control on identical target and trajectory</x:v>
      </x:c>
      <x:c r="O25" s="8" t="n">
        <x:f>'Evaluation Plan'!O25</x:f>
        <x:v>8</x:v>
      </x:c>
      <x:c r="P25" s="7" t="str">
        <x:f>'Evaluation Plan'!P25</x:f>
        <x:v>Reset only the far candidate to P3. Keep the full scene exact; replace the relational instruction with the target's direct name.</x:v>
      </x:c>
      <x:c r="Q25" s="7" t="str">
        <x:f>'Evaluation Plan'!Q25</x:f>
        <x:v>This is a true endpoint-matched manipulation control: scene, target identity, start pose and required trajectory match the furthest trial.</x:v>
      </x:c>
      <x:c r="R25" s="7" t="str">
        <x:f>IF(ISBLANK('Evaluation Plan'!R25),"",'Evaluation Plan'!R25)</x:f>
      </x:c>
    </x:row>
    <x:row r="26" ht="66" customHeight="1">
      <x:c r="A26" s="9" t="str">
        <x:v>Not collected</x:v>
      </x:c>
      <x:c r="B26" s="9" t="n">
        <x:f>'Evaluation Plan'!B26</x:f>
        <x:v>24</x:v>
      </x:c>
      <x:c r="C26" s="10" t="str">
        <x:f>'Evaluation Plan'!C26</x:f>
        <x:v>Pick up the crushed soda can furthest from the airplane toy with propellers and place it in the bowl.</x:v>
      </x:c>
      <x:c r="D26" s="10" t="str">
        <x:f>'Evaluation Plan'!D26</x:f>
        <x:v>P1 airplane toy with propellers at R5 (5 cm away from the robot from center) [REFERENCE]; P2 crushed Coke can with 6 cm edge gap to the left of P1 [CLOSE CANDIDATE]; P3 crushed Pepsi can with 20 cm edge gap to the right of P1 [FAR CANDIDATE]</x:v>
      </x:c>
      <x:c r="E26" s="9" t="str">
        <x:f>IF(ISBLANK('Evaluation Plan'!E26),"",'Evaluation Plan'!E26)</x:f>
      </x:c>
      <x:c r="F26" s="9" t="str">
        <x:f>'Evaluation Plan'!F26</x:f>
        <x:v>crushed Pepsi can</x:v>
      </x:c>
      <x:c r="G26" s="10"/>
      <x:c r="H26" s="9" t="str">
        <x:f>'Evaluation Plan'!H26</x:f>
        <x:v>Concept/compositional transfer</x:v>
      </x:c>
      <x:c r="I26" s="9" t="str">
        <x:f>'Evaluation Plan'!I26</x:f>
        <x:v>RD-CF05A</x:v>
      </x:c>
      <x:c r="J26" s="9" t="str">
        <x:f>'Evaluation Plan'!J26</x:f>
        <x:v>RD-CF05</x:v>
      </x:c>
      <x:c r="K26" s="9" t="str">
        <x:f>'Evaluation Plan'!K26</x:f>
        <x:v>crushed soda can</x:v>
      </x:c>
      <x:c r="L26" s="9" t="str">
        <x:f>'Evaluation Plan'!L26</x:f>
        <x:v>furthest</x:v>
      </x:c>
      <x:c r="M26" s="9" t="n">
        <x:f>'Evaluation Plan'!M26</x:f>
        <x:v>3</x:v>
      </x:c>
      <x:c r="N26" s="9" t="str">
        <x:f>'Evaluation Plan'!N26</x:f>
        <x:v>1 — Canonical transfer — Held-out furthest concept with same-category candidates</x:v>
      </x:c>
      <x:c r="O26" s="9" t="n">
        <x:f>'Evaluation Plan'!O26</x:f>
        <x:v>9</x:v>
      </x:c>
      <x:c r="P26" s="10" t="str">
        <x:f>'Evaluation Plan'!P26</x:f>
        <x:v>Build counterfactual scene A and save a first-frame filename.</x:v>
      </x:c>
      <x:c r="Q26" s="10" t="str">
        <x:f>'Evaluation Plan'!Q26</x:f>
        <x:v>Furthest/farthest language is absent from fine-tuning. The A/B scene pair swaps which physical identity is far, preventing identity preference from solving both.</x:v>
      </x:c>
      <x:c r="R26" s="10" t="str">
        <x:f>IF(ISBLANK('Evaluation Plan'!R26),"",'Evaluation Plan'!R26)</x:f>
      </x:c>
    </x:row>
    <x:row r="27" ht="66" customHeight="1">
      <x:c r="A27" s="8" t="str">
        <x:v>Not collected</x:v>
      </x:c>
      <x:c r="B27" s="8" t="n">
        <x:f>'Evaluation Plan'!B27</x:f>
        <x:v>25</x:v>
      </x:c>
      <x:c r="C27" s="7" t="str">
        <x:f>'Evaluation Plan'!C27</x:f>
        <x:v>Place the crushed soda can with the greatest distance from the airplane toy with propellers in the bowl.</x:v>
      </x:c>
      <x:c r="D27" s="7" t="str">
        <x:f>'Evaluation Plan'!D27</x:f>
        <x:v>P1 airplane toy with propellers at R5 (5 cm away from the robot from center) [REFERENCE]; P2 crushed Coke can with 6 cm edge gap to the left of P1 [CLOSE CANDIDATE]; P3 crushed Pepsi can with 20 cm edge gap to the right of P1 [FAR CANDIDATE]</x:v>
      </x:c>
      <x:c r="E27" s="8" t="n">
        <x:f>IF(ISBLANK('Evaluation Plan'!E27),"",'Evaluation Plan'!E27)</x:f>
        <x:v>24</x:v>
      </x:c>
      <x:c r="F27" s="8" t="str">
        <x:f>'Evaluation Plan'!F27</x:f>
        <x:v>crushed Pepsi can</x:v>
      </x:c>
      <x:c r="G27" s="7"/>
      <x:c r="H27" s="8" t="str">
        <x:f>'Evaluation Plan'!H27</x:f>
        <x:v>Language robustness</x:v>
      </x:c>
      <x:c r="I27" s="8" t="str">
        <x:f>'Evaluation Plan'!I27</x:f>
        <x:v>RD-CF05A</x:v>
      </x:c>
      <x:c r="J27" s="8" t="str">
        <x:f>'Evaluation Plan'!J27</x:f>
        <x:v>RD-CF05</x:v>
      </x:c>
      <x:c r="K27" s="8" t="str">
        <x:f>'Evaluation Plan'!K27</x:f>
        <x:v>crushed soda can</x:v>
      </x:c>
      <x:c r="L27" s="8" t="str">
        <x:f>'Evaluation Plan'!L27</x:f>
        <x:v>furthest paraphrase</x:v>
      </x:c>
      <x:c r="M27" s="8" t="n">
        <x:f>'Evaluation Plan'!M27</x:f>
        <x:v>3</x:v>
      </x:c>
      <x:c r="N27" s="8" t="str">
        <x:f>'Evaluation Plan'!N27</x:f>
        <x:v>2 — Exact-scene transfer paraphrase — Paraphrase of furthest-transfer prompt</x:v>
      </x:c>
      <x:c r="O27" s="8" t="n">
        <x:f>'Evaluation Plan'!O27</x:f>
        <x:v>9</x:v>
      </x:c>
      <x:c r="P27" s="7" t="str">
        <x:f>'Evaluation Plan'!P27</x:f>
        <x:v>Reset only the far candidate to P3; change only the prompt wording.</x:v>
      </x:c>
      <x:c r="Q27" s="7" t="str">
        <x:f>'Evaluation Plan'!Q27</x:f>
        <x:v>Exact-scene language comparison for the held-out distance concept.</x:v>
      </x:c>
      <x:c r="R27" s="7" t="str">
        <x:f>IF(ISBLANK('Evaluation Plan'!R27),"",'Evaluation Plan'!R27)</x:f>
      </x:c>
    </x:row>
    <x:row r="28" ht="66" customHeight="1">
      <x:c r="A28" s="8" t="str">
        <x:v>Not collected</x:v>
      </x:c>
      <x:c r="B28" s="8" t="n">
        <x:f>'Evaluation Plan'!B28</x:f>
        <x:v>26</x:v>
      </x:c>
      <x:c r="C28" s="7" t="str">
        <x:f>'Evaluation Plan'!C28</x:f>
        <x:v>Pick up the crushed Pepsi can and place it in the bowl.</x:v>
      </x:c>
      <x:c r="D28" s="7" t="str">
        <x:f>'Evaluation Plan'!D28</x:f>
        <x:v>P1 airplane toy with propellers at R5 (5 cm away from the robot from center) [REFERENCE]; P2 crushed Coke can with 6 cm edge gap to the left of P1 [CLOSE CANDIDATE]; P3 crushed Pepsi can with 20 cm edge gap to the right of P1 [FAR CANDIDATE]</x:v>
      </x:c>
      <x:c r="E28" s="8" t="n">
        <x:f>IF(ISBLANK('Evaluation Plan'!E28),"",'Evaluation Plan'!E28)</x:f>
        <x:v>24</x:v>
      </x:c>
      <x:c r="F28" s="8" t="str">
        <x:f>'Evaluation Plan'!F28</x:f>
        <x:v>crushed Pepsi can</x:v>
      </x:c>
      <x:c r="G28" s="7"/>
      <x:c r="H28" s="8" t="str">
        <x:f>'Evaluation Plan'!H28</x:f>
        <x:v>Matched manipulation control</x:v>
      </x:c>
      <x:c r="I28" s="8" t="str">
        <x:f>'Evaluation Plan'!I28</x:f>
        <x:v>RD-CF05A</x:v>
      </x:c>
      <x:c r="J28" s="8" t="str">
        <x:f>'Evaluation Plan'!J28</x:f>
        <x:v>RD-CF05</x:v>
      </x:c>
      <x:c r="K28" s="8" t="str">
        <x:f>'Evaluation Plan'!K28</x:f>
        <x:v>crushed soda can</x:v>
      </x:c>
      <x:c r="L28" s="8" t="str">
        <x:f>'Evaluation Plan'!L28</x:f>
        <x:v>direct name</x:v>
      </x:c>
      <x:c r="M28" s="8" t="n">
        <x:f>'Evaluation Plan'!M28</x:f>
        <x:v>3</x:v>
      </x:c>
      <x:c r="N28" s="8" t="str">
        <x:f>'Evaluation Plan'!N28</x:f>
        <x:v>3 — Matched control — Direct-name control on identical target and trajectory</x:v>
      </x:c>
      <x:c r="O28" s="8" t="n">
        <x:f>'Evaluation Plan'!O28</x:f>
        <x:v>9</x:v>
      </x:c>
      <x:c r="P28" s="7" t="str">
        <x:f>'Evaluation Plan'!P28</x:f>
        <x:v>Reset only the far candidate to P3. Keep the full scene exact; replace the relational instruction with the target's direct name.</x:v>
      </x:c>
      <x:c r="Q28" s="7" t="str">
        <x:f>'Evaluation Plan'!Q28</x:f>
        <x:v>This is a true endpoint-matched manipulation control: scene, target identity, start pose and required trajectory match the furthest trial.</x:v>
      </x:c>
      <x:c r="R28" s="7" t="str">
        <x:f>IF(ISBLANK('Evaluation Plan'!R28),"",'Evaluation Plan'!R28)</x:f>
      </x:c>
    </x:row>
    <x:row r="29" ht="66" customHeight="1">
      <x:c r="A29" s="9" t="str">
        <x:v>Not collected</x:v>
      </x:c>
      <x:c r="B29" s="9" t="n">
        <x:f>'Evaluation Plan'!B29</x:f>
        <x:v>27</x:v>
      </x:c>
      <x:c r="C29" s="10" t="str">
        <x:f>'Evaluation Plan'!C29</x:f>
        <x:v>Pick up the crushed soda can furthest from the airplane toy with propellers and place it in the bowl.</x:v>
      </x:c>
      <x:c r="D29" s="10" t="str">
        <x:f>'Evaluation Plan'!D29</x:f>
        <x:v>P1 airplane toy with propellers at R5 (5 cm away from the robot from center) [REFERENCE]; P2 crushed Pepsi can with 6 cm edge gap to the left of P1 [CLOSE CANDIDATE]; P3 crushed Coke can with 20 cm edge gap to the right of P1 [FAR CANDIDATE]</x:v>
      </x:c>
      <x:c r="E29" s="9" t="str">
        <x:f>IF(ISBLANK('Evaluation Plan'!E29),"",'Evaluation Plan'!E29)</x:f>
      </x:c>
      <x:c r="F29" s="9" t="str">
        <x:f>'Evaluation Plan'!F29</x:f>
        <x:v>crushed Coke can</x:v>
      </x:c>
      <x:c r="G29" s="10"/>
      <x:c r="H29" s="9" t="str">
        <x:f>'Evaluation Plan'!H29</x:f>
        <x:v>Concept/compositional transfer</x:v>
      </x:c>
      <x:c r="I29" s="9" t="str">
        <x:f>'Evaluation Plan'!I29</x:f>
        <x:v>RD-CF05B</x:v>
      </x:c>
      <x:c r="J29" s="9" t="str">
        <x:f>'Evaluation Plan'!J29</x:f>
        <x:v>RD-CF05</x:v>
      </x:c>
      <x:c r="K29" s="9" t="str">
        <x:f>'Evaluation Plan'!K29</x:f>
        <x:v>crushed soda can</x:v>
      </x:c>
      <x:c r="L29" s="9" t="str">
        <x:f>'Evaluation Plan'!L29</x:f>
        <x:v>furthest</x:v>
      </x:c>
      <x:c r="M29" s="9" t="n">
        <x:f>'Evaluation Plan'!M29</x:f>
        <x:v>3</x:v>
      </x:c>
      <x:c r="N29" s="9" t="str">
        <x:f>'Evaluation Plan'!N29</x:f>
        <x:v>1 — Canonical transfer — Held-out furthest concept with same-category candidates</x:v>
      </x:c>
      <x:c r="O29" s="9" t="n">
        <x:f>'Evaluation Plan'!O29</x:f>
        <x:v>10</x:v>
      </x:c>
      <x:c r="P29" s="10" t="str">
        <x:f>'Evaluation Plan'!P29</x:f>
        <x:v>From scene A, swap only the P2/P3 candidate identities; keep reference, distractors, camera and distances fixed. Save the new first frame.</x:v>
      </x:c>
      <x:c r="Q29" s="10" t="str">
        <x:f>'Evaluation Plan'!Q29</x:f>
        <x:v>Furthest/farthest language is absent from fine-tuning. The A/B scene pair swaps which physical identity is far, preventing identity preference from solving both.</x:v>
      </x:c>
      <x:c r="R29" s="10" t="str">
        <x:f>IF(ISBLANK('Evaluation Plan'!R29),"",'Evaluation Plan'!R29)</x:f>
      </x:c>
    </x:row>
    <x:row r="30" ht="66" customHeight="1">
      <x:c r="A30" s="8" t="str">
        <x:v>Not collected</x:v>
      </x:c>
      <x:c r="B30" s="8" t="n">
        <x:f>'Evaluation Plan'!B30</x:f>
        <x:v>28</x:v>
      </x:c>
      <x:c r="C30" s="7" t="str">
        <x:f>'Evaluation Plan'!C30</x:f>
        <x:v>Of the two candidates, put the crushed soda can farther from the airplane toy with propellers in the bowl.</x:v>
      </x:c>
      <x:c r="D30" s="7" t="str">
        <x:f>'Evaluation Plan'!D30</x:f>
        <x:v>P1 airplane toy with propellers at R5 (5 cm away from the robot from center) [REFERENCE]; P2 crushed Pepsi can with 6 cm edge gap to the left of P1 [CLOSE CANDIDATE]; P3 crushed Coke can with 20 cm edge gap to the right of P1 [FAR CANDIDATE]</x:v>
      </x:c>
      <x:c r="E30" s="8" t="n">
        <x:f>IF(ISBLANK('Evaluation Plan'!E30),"",'Evaluation Plan'!E30)</x:f>
        <x:v>27</x:v>
      </x:c>
      <x:c r="F30" s="8" t="str">
        <x:f>'Evaluation Plan'!F30</x:f>
        <x:v>crushed Coke can</x:v>
      </x:c>
      <x:c r="G30" s="7"/>
      <x:c r="H30" s="8" t="str">
        <x:f>'Evaluation Plan'!H30</x:f>
        <x:v>Language robustness</x:v>
      </x:c>
      <x:c r="I30" s="8" t="str">
        <x:f>'Evaluation Plan'!I30</x:f>
        <x:v>RD-CF05B</x:v>
      </x:c>
      <x:c r="J30" s="8" t="str">
        <x:f>'Evaluation Plan'!J30</x:f>
        <x:v>RD-CF05</x:v>
      </x:c>
      <x:c r="K30" s="8" t="str">
        <x:f>'Evaluation Plan'!K30</x:f>
        <x:v>crushed soda can</x:v>
      </x:c>
      <x:c r="L30" s="8" t="str">
        <x:f>'Evaluation Plan'!L30</x:f>
        <x:v>furthest paraphrase</x:v>
      </x:c>
      <x:c r="M30" s="8" t="n">
        <x:f>'Evaluation Plan'!M30</x:f>
        <x:v>3</x:v>
      </x:c>
      <x:c r="N30" s="8" t="str">
        <x:f>'Evaluation Plan'!N30</x:f>
        <x:v>2 — Exact-scene transfer paraphrase — Paraphrase of furthest-transfer prompt</x:v>
      </x:c>
      <x:c r="O30" s="8" t="n">
        <x:f>'Evaluation Plan'!O30</x:f>
        <x:v>10</x:v>
      </x:c>
      <x:c r="P30" s="7" t="str">
        <x:f>'Evaluation Plan'!P30</x:f>
        <x:v>Reset only the far candidate to P3; change only the prompt wording.</x:v>
      </x:c>
      <x:c r="Q30" s="7" t="str">
        <x:f>'Evaluation Plan'!Q30</x:f>
        <x:v>Exact-scene language comparison for the held-out distance concept.</x:v>
      </x:c>
      <x:c r="R30" s="7" t="str">
        <x:f>IF(ISBLANK('Evaluation Plan'!R30),"",'Evaluation Plan'!R30)</x:f>
      </x:c>
    </x:row>
    <x:row r="31" ht="66" customHeight="1">
      <x:c r="A31" s="8" t="str">
        <x:v>Not collected</x:v>
      </x:c>
      <x:c r="B31" s="8" t="n">
        <x:f>'Evaluation Plan'!B31</x:f>
        <x:v>29</x:v>
      </x:c>
      <x:c r="C31" s="7" t="str">
        <x:f>'Evaluation Plan'!C31</x:f>
        <x:v>Put the crushed Coke can in the bowl.</x:v>
      </x:c>
      <x:c r="D31" s="7" t="str">
        <x:f>'Evaluation Plan'!D31</x:f>
        <x:v>P1 airplane toy with propellers at R5 (5 cm away from the robot from center) [REFERENCE]; P2 crushed Pepsi can with 6 cm edge gap to the left of P1 [CLOSE CANDIDATE]; P3 crushed Coke can with 20 cm edge gap to the right of P1 [FAR CANDIDATE]</x:v>
      </x:c>
      <x:c r="E31" s="8" t="n">
        <x:f>IF(ISBLANK('Evaluation Plan'!E31),"",'Evaluation Plan'!E31)</x:f>
        <x:v>27</x:v>
      </x:c>
      <x:c r="F31" s="8" t="str">
        <x:f>'Evaluation Plan'!F31</x:f>
        <x:v>crushed Coke can</x:v>
      </x:c>
      <x:c r="G31" s="7"/>
      <x:c r="H31" s="8" t="str">
        <x:f>'Evaluation Plan'!H31</x:f>
        <x:v>Matched manipulation control</x:v>
      </x:c>
      <x:c r="I31" s="8" t="str">
        <x:f>'Evaluation Plan'!I31</x:f>
        <x:v>RD-CF05B</x:v>
      </x:c>
      <x:c r="J31" s="8" t="str">
        <x:f>'Evaluation Plan'!J31</x:f>
        <x:v>RD-CF05</x:v>
      </x:c>
      <x:c r="K31" s="8" t="str">
        <x:f>'Evaluation Plan'!K31</x:f>
        <x:v>crushed soda can</x:v>
      </x:c>
      <x:c r="L31" s="8" t="str">
        <x:f>'Evaluation Plan'!L31</x:f>
        <x:v>direct name</x:v>
      </x:c>
      <x:c r="M31" s="8" t="n">
        <x:f>'Evaluation Plan'!M31</x:f>
        <x:v>3</x:v>
      </x:c>
      <x:c r="N31" s="8" t="str">
        <x:f>'Evaluation Plan'!N31</x:f>
        <x:v>3 — Matched control — Direct-name control on identical target and trajectory</x:v>
      </x:c>
      <x:c r="O31" s="8" t="n">
        <x:f>'Evaluation Plan'!O31</x:f>
        <x:v>10</x:v>
      </x:c>
      <x:c r="P31" s="7" t="str">
        <x:f>'Evaluation Plan'!P31</x:f>
        <x:v>Reset only the far candidate to P3. Keep the full scene exact; replace the relational instruction with the target's direct name.</x:v>
      </x:c>
      <x:c r="Q31" s="7" t="str">
        <x:f>'Evaluation Plan'!Q31</x:f>
        <x:v>This is a true endpoint-matched manipulation control: scene, target identity, start pose and required trajectory match the furthest trial.</x:v>
      </x:c>
      <x:c r="R31" s="7" t="str">
        <x:f>IF(ISBLANK('Evaluation Plan'!R31),"",'Evaluation Plan'!R31)</x:f>
      </x:c>
    </x:row>
    <x:row r="32" ht="66" customHeight="1">
      <x:c r="A32" s="9" t="str">
        <x:v>Not collected</x:v>
      </x:c>
      <x:c r="B32" s="9" t="n">
        <x:f>'Evaluation Plan'!B32</x:f>
        <x:v>30</x:v>
      </x:c>
      <x:c r="C32" s="10" t="str">
        <x:f>'Evaluation Plan'!C32</x:f>
        <x:v>Pick up the pencil sharpener furthest from the airplane toy without propellers and place it in the bowl.</x:v>
      </x:c>
      <x:c r="D32" s="10" t="str">
        <x:f>'Evaluation Plan'!D32</x:f>
        <x:v>P1 airplane toy without propellers at R1 (table center) [REFERENCE]; P2 red pencil sharpener with 6 cm edge gap to the right of P1 [CLOSE CANDIDATE]; P3 green pencil sharpener with 20 cm edge gap to the left of P1 [FAR CANDIDATE]; P4 crushed Coke can with 14 cm edge gap behind P1 [DISTRACTOR]</x:v>
      </x:c>
      <x:c r="E32" s="9" t="str">
        <x:f>IF(ISBLANK('Evaluation Plan'!E32),"",'Evaluation Plan'!E32)</x:f>
      </x:c>
      <x:c r="F32" s="9" t="str">
        <x:f>'Evaluation Plan'!F32</x:f>
        <x:v>green pencil sharpener</x:v>
      </x:c>
      <x:c r="G32" s="10"/>
      <x:c r="H32" s="9" t="str">
        <x:f>'Evaluation Plan'!H32</x:f>
        <x:v>Concept/compositional transfer</x:v>
      </x:c>
      <x:c r="I32" s="9" t="str">
        <x:f>'Evaluation Plan'!I32</x:f>
        <x:v>RD-CF06A</x:v>
      </x:c>
      <x:c r="J32" s="9" t="str">
        <x:f>'Evaluation Plan'!J32</x:f>
        <x:v>RD-CF06</x:v>
      </x:c>
      <x:c r="K32" s="9" t="str">
        <x:f>'Evaluation Plan'!K32</x:f>
        <x:v>pencil sharpener</x:v>
      </x:c>
      <x:c r="L32" s="9" t="str">
        <x:f>'Evaluation Plan'!L32</x:f>
        <x:v>furthest</x:v>
      </x:c>
      <x:c r="M32" s="9" t="n">
        <x:f>'Evaluation Plan'!M32</x:f>
        <x:v>4</x:v>
      </x:c>
      <x:c r="N32" s="9" t="str">
        <x:f>'Evaluation Plan'!N32</x:f>
        <x:v>1 — Canonical transfer — Held-out furthest concept with same-category candidates</x:v>
      </x:c>
      <x:c r="O32" s="9" t="n">
        <x:f>'Evaluation Plan'!O32</x:f>
        <x:v>11</x:v>
      </x:c>
      <x:c r="P32" s="10" t="str">
        <x:f>'Evaluation Plan'!P32</x:f>
        <x:v>Build counterfactual scene A and save a first-frame filename.</x:v>
      </x:c>
      <x:c r="Q32" s="10" t="str">
        <x:f>'Evaluation Plan'!Q32</x:f>
        <x:v>Furthest/farthest language is absent from fine-tuning. The A/B scene pair swaps which physical identity is far, preventing identity preference from solving both.</x:v>
      </x:c>
      <x:c r="R32" s="10" t="str">
        <x:f>IF(ISBLANK('Evaluation Plan'!R32),"",'Evaluation Plan'!R32)</x:f>
      </x:c>
    </x:row>
    <x:row r="33" ht="66" customHeight="1">
      <x:c r="A33" s="8" t="str">
        <x:v>Not collected</x:v>
      </x:c>
      <x:c r="B33" s="8" t="n">
        <x:f>'Evaluation Plan'!B33</x:f>
        <x:v>31</x:v>
      </x:c>
      <x:c r="C33" s="7" t="str">
        <x:f>'Evaluation Plan'!C33</x:f>
        <x:v>Move the green pencil sharpener into the bowl.</x:v>
      </x:c>
      <x:c r="D33" s="7" t="str">
        <x:f>'Evaluation Plan'!D33</x:f>
        <x:v>P1 airplane toy without propellers at R1 (table center) [REFERENCE]; P2 red pencil sharpener with 6 cm edge gap to the right of P1 [CLOSE CANDIDATE]; P3 green pencil sharpener with 20 cm edge gap to the left of P1 [FAR CANDIDATE]; P4 crushed Coke can with 14 cm edge gap behind P1 [DISTRACTOR]</x:v>
      </x:c>
      <x:c r="E33" s="8" t="n">
        <x:f>IF(ISBLANK('Evaluation Plan'!E33),"",'Evaluation Plan'!E33)</x:f>
        <x:v>30</x:v>
      </x:c>
      <x:c r="F33" s="8" t="str">
        <x:f>'Evaluation Plan'!F33</x:f>
        <x:v>green pencil sharpener</x:v>
      </x:c>
      <x:c r="G33" s="7"/>
      <x:c r="H33" s="8" t="str">
        <x:f>'Evaluation Plan'!H33</x:f>
        <x:v>Matched manipulation control</x:v>
      </x:c>
      <x:c r="I33" s="8" t="str">
        <x:f>'Evaluation Plan'!I33</x:f>
        <x:v>RD-CF06A</x:v>
      </x:c>
      <x:c r="J33" s="8" t="str">
        <x:f>'Evaluation Plan'!J33</x:f>
        <x:v>RD-CF06</x:v>
      </x:c>
      <x:c r="K33" s="8" t="str">
        <x:f>'Evaluation Plan'!K33</x:f>
        <x:v>pencil sharpener</x:v>
      </x:c>
      <x:c r="L33" s="8" t="str">
        <x:f>'Evaluation Plan'!L33</x:f>
        <x:v>direct name</x:v>
      </x:c>
      <x:c r="M33" s="8" t="n">
        <x:f>'Evaluation Plan'!M33</x:f>
        <x:v>4</x:v>
      </x:c>
      <x:c r="N33" s="8" t="str">
        <x:f>'Evaluation Plan'!N33</x:f>
        <x:v>2 — Matched control — Direct-name control on identical target and trajectory</x:v>
      </x:c>
      <x:c r="O33" s="8" t="n">
        <x:f>'Evaluation Plan'!O33</x:f>
        <x:v>11</x:v>
      </x:c>
      <x:c r="P33" s="7" t="str">
        <x:f>'Evaluation Plan'!P33</x:f>
        <x:v>Reset only the far candidate to P3. Keep the full scene exact; replace the relational instruction with the target's direct name.</x:v>
      </x:c>
      <x:c r="Q33" s="7" t="str">
        <x:f>'Evaluation Plan'!Q33</x:f>
        <x:v>This is a true endpoint-matched manipulation control: scene, target identity, start pose and required trajectory match the furthest trial.</x:v>
      </x:c>
      <x:c r="R33" s="7" t="str">
        <x:f>IF(ISBLANK('Evaluation Plan'!R33),"",'Evaluation Plan'!R33)</x:f>
      </x:c>
    </x:row>
    <x:row r="34" ht="66" customHeight="1">
      <x:c r="A34" s="8" t="str">
        <x:v>Not collected</x:v>
      </x:c>
      <x:c r="B34" s="8" t="n">
        <x:f>'Evaluation Plan'!B34</x:f>
        <x:v>32</x:v>
      </x:c>
      <x:c r="C34" s="7" t="str">
        <x:f>'Evaluation Plan'!C34</x:f>
        <x:v>Take the green pencil sharpener and set it in the bowl.</x:v>
      </x:c>
      <x:c r="D34" s="7" t="str">
        <x:f>'Evaluation Plan'!D34</x:f>
        <x:v>P1 airplane toy without propellers at R1 (table center) [REFERENCE]; P2 red pencil sharpener with 6 cm edge gap to the right of P1 [CLOSE CANDIDATE]; P3 green pencil sharpener with 20 cm edge gap to the left of P1 [FAR CANDIDATE]; P4 crushed Coke can with 14 cm edge gap behind P1 [DISTRACTOR]</x:v>
      </x:c>
      <x:c r="E34" s="8" t="n">
        <x:f>IF(ISBLANK('Evaluation Plan'!E34),"",'Evaluation Plan'!E34)</x:f>
        <x:v>31</x:v>
      </x:c>
      <x:c r="F34" s="8" t="str">
        <x:f>'Evaluation Plan'!F34</x:f>
        <x:v>green pencil sharpener</x:v>
      </x:c>
      <x:c r="G34" s="7"/>
      <x:c r="H34" s="8" t="str">
        <x:f>'Evaluation Plan'!H34</x:f>
        <x:v>Language robustness</x:v>
      </x:c>
      <x:c r="I34" s="8" t="str">
        <x:f>'Evaluation Plan'!I34</x:f>
        <x:v>RD-CF06A</x:v>
      </x:c>
      <x:c r="J34" s="8" t="str">
        <x:f>'Evaluation Plan'!J34</x:f>
        <x:v>RD-CF06</x:v>
      </x:c>
      <x:c r="K34" s="8" t="str">
        <x:f>'Evaluation Plan'!K34</x:f>
        <x:v>pencil sharpener</x:v>
      </x:c>
      <x:c r="L34" s="8" t="str">
        <x:f>'Evaluation Plan'!L34</x:f>
        <x:v>direct-name paraphrase</x:v>
      </x:c>
      <x:c r="M34" s="8" t="n">
        <x:f>'Evaluation Plan'!M34</x:f>
        <x:v>4</x:v>
      </x:c>
      <x:c r="N34" s="8" t="str">
        <x:f>'Evaluation Plan'!N34</x:f>
        <x:v>3 — Exact-scene control paraphrase — Paraphrase of direct-name matched control</x:v>
      </x:c>
      <x:c r="O34" s="8" t="n">
        <x:f>'Evaluation Plan'!O34</x:f>
        <x:v>11</x:v>
      </x:c>
      <x:c r="P34" s="7" t="str">
        <x:f>'Evaluation Plan'!P34</x:f>
        <x:v>Reset only the far candidate to P3; change only the direct-name prompt wording.</x:v>
      </x:c>
      <x:c r="Q34" s="7" t="str">
        <x:f>'Evaluation Plan'!Q34</x:f>
        <x:v>Exact-scene language comparison for the endpoint-matched skill control.</x:v>
      </x:c>
      <x:c r="R34" s="7" t="str">
        <x:f>IF(ISBLANK('Evaluation Plan'!R34),"",'Evaluation Plan'!R34)</x:f>
      </x:c>
    </x:row>
    <x:row r="35" ht="66" customHeight="1">
      <x:c r="A35" s="9" t="str">
        <x:v>Not collected</x:v>
      </x:c>
      <x:c r="B35" s="9" t="n">
        <x:f>'Evaluation Plan'!B35</x:f>
        <x:v>33</x:v>
      </x:c>
      <x:c r="C35" s="10" t="str">
        <x:f>'Evaluation Plan'!C35</x:f>
        <x:v>Pick up the pencil sharpener furthest from the airplane toy without propellers and place it in the bowl.</x:v>
      </x:c>
      <x:c r="D35" s="10" t="str">
        <x:f>'Evaluation Plan'!D35</x:f>
        <x:v>P1 airplane toy without propellers at R1 (table center) [REFERENCE]; P2 green pencil sharpener with 6 cm edge gap to the right of P1 [CLOSE CANDIDATE]; P3 red pencil sharpener with 20 cm edge gap to the left of P1 [FAR CANDIDATE]; P4 crushed Coke can with 14 cm edge gap behind P1 [DISTRACTOR]</x:v>
      </x:c>
      <x:c r="E35" s="9" t="str">
        <x:f>IF(ISBLANK('Evaluation Plan'!E35),"",'Evaluation Plan'!E35)</x:f>
      </x:c>
      <x:c r="F35" s="9" t="str">
        <x:f>'Evaluation Plan'!F35</x:f>
        <x:v>red pencil sharpener</x:v>
      </x:c>
      <x:c r="G35" s="10"/>
      <x:c r="H35" s="9" t="str">
        <x:f>'Evaluation Plan'!H35</x:f>
        <x:v>Concept/compositional transfer</x:v>
      </x:c>
      <x:c r="I35" s="9" t="str">
        <x:f>'Evaluation Plan'!I35</x:f>
        <x:v>RD-CF06B</x:v>
      </x:c>
      <x:c r="J35" s="9" t="str">
        <x:f>'Evaluation Plan'!J35</x:f>
        <x:v>RD-CF06</x:v>
      </x:c>
      <x:c r="K35" s="9" t="str">
        <x:f>'Evaluation Plan'!K35</x:f>
        <x:v>pencil sharpener</x:v>
      </x:c>
      <x:c r="L35" s="9" t="str">
        <x:f>'Evaluation Plan'!L35</x:f>
        <x:v>furthest</x:v>
      </x:c>
      <x:c r="M35" s="9" t="n">
        <x:f>'Evaluation Plan'!M35</x:f>
        <x:v>4</x:v>
      </x:c>
      <x:c r="N35" s="9" t="str">
        <x:f>'Evaluation Plan'!N35</x:f>
        <x:v>1 — Canonical transfer — Held-out furthest concept with same-category candidates</x:v>
      </x:c>
      <x:c r="O35" s="9" t="n">
        <x:f>'Evaluation Plan'!O35</x:f>
        <x:v>12</x:v>
      </x:c>
      <x:c r="P35" s="10" t="str">
        <x:f>'Evaluation Plan'!P35</x:f>
        <x:v>From scene A, swap only the P2/P3 candidate identities; keep reference, distractors, camera and distances fixed. Save the new first frame.</x:v>
      </x:c>
      <x:c r="Q35" s="10" t="str">
        <x:f>'Evaluation Plan'!Q35</x:f>
        <x:v>Furthest/farthest language is absent from fine-tuning. The A/B scene pair swaps which physical identity is far, preventing identity preference from solving both.</x:v>
      </x:c>
      <x:c r="R35" s="10" t="str">
        <x:f>IF(ISBLANK('Evaluation Plan'!R35),"",'Evaluation Plan'!R35)</x:f>
      </x:c>
    </x:row>
    <x:row r="36" ht="66" customHeight="1">
      <x:c r="A36" s="8" t="str">
        <x:v>Not collected</x:v>
      </x:c>
      <x:c r="B36" s="8" t="n">
        <x:f>'Evaluation Plan'!B36</x:f>
        <x:v>34</x:v>
      </x:c>
      <x:c r="C36" s="7" t="str">
        <x:f>'Evaluation Plan'!C36</x:f>
        <x:v>Pick up the red pencil sharpener and place it in the bowl.</x:v>
      </x:c>
      <x:c r="D36" s="7" t="str">
        <x:f>'Evaluation Plan'!D36</x:f>
        <x:v>P1 airplane toy without propellers at R1 (table center) [REFERENCE]; P2 green pencil sharpener with 6 cm edge gap to the right of P1 [CLOSE CANDIDATE]; P3 red pencil sharpener with 20 cm edge gap to the left of P1 [FAR CANDIDATE]; P4 crushed Coke can with 14 cm edge gap behind P1 [DISTRACTOR]</x:v>
      </x:c>
      <x:c r="E36" s="8" t="n">
        <x:f>IF(ISBLANK('Evaluation Plan'!E36),"",'Evaluation Plan'!E36)</x:f>
        <x:v>33</x:v>
      </x:c>
      <x:c r="F36" s="8" t="str">
        <x:f>'Evaluation Plan'!F36</x:f>
        <x:v>red pencil sharpener</x:v>
      </x:c>
      <x:c r="G36" s="7"/>
      <x:c r="H36" s="8" t="str">
        <x:f>'Evaluation Plan'!H36</x:f>
        <x:v>Matched manipulation control</x:v>
      </x:c>
      <x:c r="I36" s="8" t="str">
        <x:f>'Evaluation Plan'!I36</x:f>
        <x:v>RD-CF06B</x:v>
      </x:c>
      <x:c r="J36" s="8" t="str">
        <x:f>'Evaluation Plan'!J36</x:f>
        <x:v>RD-CF06</x:v>
      </x:c>
      <x:c r="K36" s="8" t="str">
        <x:f>'Evaluation Plan'!K36</x:f>
        <x:v>pencil sharpener</x:v>
      </x:c>
      <x:c r="L36" s="8" t="str">
        <x:f>'Evaluation Plan'!L36</x:f>
        <x:v>direct name</x:v>
      </x:c>
      <x:c r="M36" s="8" t="n">
        <x:f>'Evaluation Plan'!M36</x:f>
        <x:v>4</x:v>
      </x:c>
      <x:c r="N36" s="8" t="str">
        <x:f>'Evaluation Plan'!N36</x:f>
        <x:v>2 — Matched control — Direct-name control on identical target and trajectory</x:v>
      </x:c>
      <x:c r="O36" s="8" t="n">
        <x:f>'Evaluation Plan'!O36</x:f>
        <x:v>12</x:v>
      </x:c>
      <x:c r="P36" s="7" t="str">
        <x:f>'Evaluation Plan'!P36</x:f>
        <x:v>Reset only the far candidate to P3. Keep the full scene exact; replace the relational instruction with the target's direct name.</x:v>
      </x:c>
      <x:c r="Q36" s="7" t="str">
        <x:f>'Evaluation Plan'!Q36</x:f>
        <x:v>This is a true endpoint-matched manipulation control: scene, target identity, start pose and required trajectory match the furthest trial.</x:v>
      </x:c>
      <x:c r="R36" s="7" t="str">
        <x:f>IF(ISBLANK('Evaluation Plan'!R36),"",'Evaluation Plan'!R36)</x:f>
      </x:c>
    </x:row>
    <x:row r="37" ht="66" customHeight="1">
      <x:c r="A37" s="8" t="str">
        <x:v>Not collected</x:v>
      </x:c>
      <x:c r="B37" s="8" t="n">
        <x:f>'Evaluation Plan'!B37</x:f>
        <x:v>35</x:v>
      </x:c>
      <x:c r="C37" s="7" t="str">
        <x:f>'Evaluation Plan'!C37</x:f>
        <x:v>Transfer the red pencil sharpener into the bowl.</x:v>
      </x:c>
      <x:c r="D37" s="7" t="str">
        <x:f>'Evaluation Plan'!D37</x:f>
        <x:v>P1 airplane toy without propellers at R1 (table center) [REFERENCE]; P2 green pencil sharpener with 6 cm edge gap to the right of P1 [CLOSE CANDIDATE]; P3 red pencil sharpener with 20 cm edge gap to the left of P1 [FAR CANDIDATE]; P4 crushed Coke can with 14 cm edge gap behind P1 [DISTRACTOR]</x:v>
      </x:c>
      <x:c r="E37" s="8" t="n">
        <x:f>IF(ISBLANK('Evaluation Plan'!E37),"",'Evaluation Plan'!E37)</x:f>
        <x:v>34</x:v>
      </x:c>
      <x:c r="F37" s="8" t="str">
        <x:f>'Evaluation Plan'!F37</x:f>
        <x:v>red pencil sharpener</x:v>
      </x:c>
      <x:c r="G37" s="7"/>
      <x:c r="H37" s="8" t="str">
        <x:f>'Evaluation Plan'!H37</x:f>
        <x:v>Language robustness</x:v>
      </x:c>
      <x:c r="I37" s="8" t="str">
        <x:f>'Evaluation Plan'!I37</x:f>
        <x:v>RD-CF06B</x:v>
      </x:c>
      <x:c r="J37" s="8" t="str">
        <x:f>'Evaluation Plan'!J37</x:f>
        <x:v>RD-CF06</x:v>
      </x:c>
      <x:c r="K37" s="8" t="str">
        <x:f>'Evaluation Plan'!K37</x:f>
        <x:v>pencil sharpener</x:v>
      </x:c>
      <x:c r="L37" s="8" t="str">
        <x:f>'Evaluation Plan'!L37</x:f>
        <x:v>direct-name paraphrase</x:v>
      </x:c>
      <x:c r="M37" s="8" t="n">
        <x:f>'Evaluation Plan'!M37</x:f>
        <x:v>4</x:v>
      </x:c>
      <x:c r="N37" s="8" t="str">
        <x:f>'Evaluation Plan'!N37</x:f>
        <x:v>3 — Exact-scene control paraphrase — Paraphrase of direct-name matched control</x:v>
      </x:c>
      <x:c r="O37" s="8" t="n">
        <x:f>'Evaluation Plan'!O37</x:f>
        <x:v>12</x:v>
      </x:c>
      <x:c r="P37" s="7" t="str">
        <x:f>'Evaluation Plan'!P37</x:f>
        <x:v>Reset only the far candidate to P3; change only the direct-name prompt wording.</x:v>
      </x:c>
      <x:c r="Q37" s="7" t="str">
        <x:f>'Evaluation Plan'!Q37</x:f>
        <x:v>Exact-scene language comparison for the endpoint-matched skill control.</x:v>
      </x:c>
      <x:c r="R37" s="7" t="str">
        <x:f>IF(ISBLANK('Evaluation Plan'!R37),"",'Evaluation Plan'!R37)</x:f>
      </x:c>
    </x:row>
    <x:row r="38" ht="66" customHeight="1">
      <x:c r="A38" s="9" t="str">
        <x:v>Not collected</x:v>
      </x:c>
      <x:c r="B38" s="9" t="n">
        <x:f>'Evaluation Plan'!B38</x:f>
        <x:v>36</x:v>
      </x:c>
      <x:c r="C38" s="10" t="str">
        <x:f>'Evaluation Plan'!C38</x:f>
        <x:v>Pick up the pen furthest from the crushed Coke can and place it in the bowl.</x:v>
      </x:c>
      <x:c r="D38" s="10" t="str">
        <x:f>'Evaluation Plan'!D38</x:f>
        <x:v>P1 crushed Coke can at R2 (5 cm left of center) [REFERENCE]; P2 green pen with 6 cm edge gap in front of P1 [CLOSE CANDIDATE]; P3 yellow pen with 20 cm edge gap behind P1 [FAR CANDIDATE]; P4 green pencil sharpener with 14 cm edge gap to the left of P1 [DISTRACTOR]</x:v>
      </x:c>
      <x:c r="E38" s="9" t="str">
        <x:f>IF(ISBLANK('Evaluation Plan'!E38),"",'Evaluation Plan'!E38)</x:f>
      </x:c>
      <x:c r="F38" s="9" t="str">
        <x:f>'Evaluation Plan'!F38</x:f>
        <x:v>yellow pen</x:v>
      </x:c>
      <x:c r="G38" s="10"/>
      <x:c r="H38" s="9" t="str">
        <x:f>'Evaluation Plan'!H38</x:f>
        <x:v>Concept/compositional transfer</x:v>
      </x:c>
      <x:c r="I38" s="9" t="str">
        <x:f>'Evaluation Plan'!I38</x:f>
        <x:v>RD-CF07A</x:v>
      </x:c>
      <x:c r="J38" s="9" t="str">
        <x:f>'Evaluation Plan'!J38</x:f>
        <x:v>RD-CF07</x:v>
      </x:c>
      <x:c r="K38" s="9" t="str">
        <x:f>'Evaluation Plan'!K38</x:f>
        <x:v>pen</x:v>
      </x:c>
      <x:c r="L38" s="9" t="str">
        <x:f>'Evaluation Plan'!L38</x:f>
        <x:v>furthest</x:v>
      </x:c>
      <x:c r="M38" s="9" t="n">
        <x:f>'Evaluation Plan'!M38</x:f>
        <x:v>4</x:v>
      </x:c>
      <x:c r="N38" s="9" t="str">
        <x:f>'Evaluation Plan'!N38</x:f>
        <x:v>1 — Canonical transfer — Held-out furthest concept with same-category candidates</x:v>
      </x:c>
      <x:c r="O38" s="9" t="n">
        <x:f>'Evaluation Plan'!O38</x:f>
        <x:v>13</x:v>
      </x:c>
      <x:c r="P38" s="10" t="str">
        <x:f>'Evaluation Plan'!P38</x:f>
        <x:v>Build counterfactual scene A and save a first-frame filename.</x:v>
      </x:c>
      <x:c r="Q38" s="10" t="str">
        <x:f>'Evaluation Plan'!Q38</x:f>
        <x:v>Furthest/farthest language is absent from fine-tuning. The A/B scene pair swaps which physical identity is far, preventing identity preference from solving both.</x:v>
      </x:c>
      <x:c r="R38" s="10" t="str">
        <x:f>IF(ISBLANK('Evaluation Plan'!R38),"",'Evaluation Plan'!R38)</x:f>
      </x:c>
    </x:row>
    <x:row r="39" ht="66" customHeight="1">
      <x:c r="A39" s="8" t="str">
        <x:v>Not collected</x:v>
      </x:c>
      <x:c r="B39" s="8" t="n">
        <x:f>'Evaluation Plan'!B39</x:f>
        <x:v>37</x:v>
      </x:c>
      <x:c r="C39" s="7" t="str">
        <x:f>'Evaluation Plan'!C39</x:f>
        <x:v>Put the yellow pen in the bowl.</x:v>
      </x:c>
      <x:c r="D39" s="7" t="str">
        <x:f>'Evaluation Plan'!D39</x:f>
        <x:v>P1 crushed Coke can at R2 (5 cm left of center) [REFERENCE]; P2 green pen with 6 cm edge gap in front of P1 [CLOSE CANDIDATE]; P3 yellow pen with 20 cm edge gap behind P1 [FAR CANDIDATE]; P4 green pencil sharpener with 14 cm edge gap to the left of P1 [DISTRACTOR]</x:v>
      </x:c>
      <x:c r="E39" s="8" t="n">
        <x:f>IF(ISBLANK('Evaluation Plan'!E39),"",'Evaluation Plan'!E39)</x:f>
        <x:v>36</x:v>
      </x:c>
      <x:c r="F39" s="8" t="str">
        <x:f>'Evaluation Plan'!F39</x:f>
        <x:v>yellow pen</x:v>
      </x:c>
      <x:c r="G39" s="7"/>
      <x:c r="H39" s="8" t="str">
        <x:f>'Evaluation Plan'!H39</x:f>
        <x:v>Matched manipulation control</x:v>
      </x:c>
      <x:c r="I39" s="8" t="str">
        <x:f>'Evaluation Plan'!I39</x:f>
        <x:v>RD-CF07A</x:v>
      </x:c>
      <x:c r="J39" s="8" t="str">
        <x:f>'Evaluation Plan'!J39</x:f>
        <x:v>RD-CF07</x:v>
      </x:c>
      <x:c r="K39" s="8" t="str">
        <x:f>'Evaluation Plan'!K39</x:f>
        <x:v>pen</x:v>
      </x:c>
      <x:c r="L39" s="8" t="str">
        <x:f>'Evaluation Plan'!L39</x:f>
        <x:v>direct name</x:v>
      </x:c>
      <x:c r="M39" s="8" t="n">
        <x:f>'Evaluation Plan'!M39</x:f>
        <x:v>4</x:v>
      </x:c>
      <x:c r="N39" s="8" t="str">
        <x:f>'Evaluation Plan'!N39</x:f>
        <x:v>2 — Matched control — Direct-name control on identical target and trajectory</x:v>
      </x:c>
      <x:c r="O39" s="8" t="n">
        <x:f>'Evaluation Plan'!O39</x:f>
        <x:v>13</x:v>
      </x:c>
      <x:c r="P39" s="7" t="str">
        <x:f>'Evaluation Plan'!P39</x:f>
        <x:v>Reset only the far candidate to P3. Keep the full scene exact; replace the relational instruction with the target's direct name.</x:v>
      </x:c>
      <x:c r="Q39" s="7" t="str">
        <x:f>'Evaluation Plan'!Q39</x:f>
        <x:v>This is a true endpoint-matched manipulation control: scene, target identity, start pose and required trajectory match the furthest trial.</x:v>
      </x:c>
      <x:c r="R39" s="7" t="str">
        <x:f>IF(ISBLANK('Evaluation Plan'!R39),"",'Evaluation Plan'!R39)</x:f>
      </x:c>
    </x:row>
    <x:row r="40" ht="66" customHeight="1">
      <x:c r="A40" s="8" t="str">
        <x:v>Not collected</x:v>
      </x:c>
      <x:c r="B40" s="8" t="n">
        <x:f>'Evaluation Plan'!B40</x:f>
        <x:v>38</x:v>
      </x:c>
      <x:c r="C40" s="7" t="str">
        <x:f>'Evaluation Plan'!C40</x:f>
        <x:v>Move the yellow pen over to the bowl.</x:v>
      </x:c>
      <x:c r="D40" s="7" t="str">
        <x:f>'Evaluation Plan'!D40</x:f>
        <x:v>P1 crushed Coke can at R2 (5 cm left of center) [REFERENCE]; P2 green pen with 6 cm edge gap in front of P1 [CLOSE CANDIDATE]; P3 yellow pen with 20 cm edge gap behind P1 [FAR CANDIDATE]; P4 green pencil sharpener with 14 cm edge gap to the left of P1 [DISTRACTOR]</x:v>
      </x:c>
      <x:c r="E40" s="8" t="n">
        <x:f>IF(ISBLANK('Evaluation Plan'!E40),"",'Evaluation Plan'!E40)</x:f>
        <x:v>37</x:v>
      </x:c>
      <x:c r="F40" s="8" t="str">
        <x:f>'Evaluation Plan'!F40</x:f>
        <x:v>yellow pen</x:v>
      </x:c>
      <x:c r="G40" s="7"/>
      <x:c r="H40" s="8" t="str">
        <x:f>'Evaluation Plan'!H40</x:f>
        <x:v>Language robustness</x:v>
      </x:c>
      <x:c r="I40" s="8" t="str">
        <x:f>'Evaluation Plan'!I40</x:f>
        <x:v>RD-CF07A</x:v>
      </x:c>
      <x:c r="J40" s="8" t="str">
        <x:f>'Evaluation Plan'!J40</x:f>
        <x:v>RD-CF07</x:v>
      </x:c>
      <x:c r="K40" s="8" t="str">
        <x:f>'Evaluation Plan'!K40</x:f>
        <x:v>pen</x:v>
      </x:c>
      <x:c r="L40" s="8" t="str">
        <x:f>'Evaluation Plan'!L40</x:f>
        <x:v>direct-name paraphrase</x:v>
      </x:c>
      <x:c r="M40" s="8" t="n">
        <x:f>'Evaluation Plan'!M40</x:f>
        <x:v>4</x:v>
      </x:c>
      <x:c r="N40" s="8" t="str">
        <x:f>'Evaluation Plan'!N40</x:f>
        <x:v>3 — Exact-scene control paraphrase — Paraphrase of direct-name matched control</x:v>
      </x:c>
      <x:c r="O40" s="8" t="n">
        <x:f>'Evaluation Plan'!O40</x:f>
        <x:v>13</x:v>
      </x:c>
      <x:c r="P40" s="7" t="str">
        <x:f>'Evaluation Plan'!P40</x:f>
        <x:v>Reset only the far candidate to P3; change only the direct-name prompt wording.</x:v>
      </x:c>
      <x:c r="Q40" s="7" t="str">
        <x:f>'Evaluation Plan'!Q40</x:f>
        <x:v>Exact-scene language comparison for the endpoint-matched skill control.</x:v>
      </x:c>
      <x:c r="R40" s="7" t="str">
        <x:f>IF(ISBLANK('Evaluation Plan'!R40),"",'Evaluation Plan'!R40)</x:f>
      </x:c>
    </x:row>
    <x:row r="41" ht="66" customHeight="1">
      <x:c r="A41" s="9" t="str">
        <x:v>Not collected</x:v>
      </x:c>
      <x:c r="B41" s="9" t="n">
        <x:f>'Evaluation Plan'!B41</x:f>
        <x:v>39</x:v>
      </x:c>
      <x:c r="C41" s="10" t="str">
        <x:f>'Evaluation Plan'!C41</x:f>
        <x:v>Pick up the pen furthest from the crushed Coke can and place it in the bowl.</x:v>
      </x:c>
      <x:c r="D41" s="10" t="str">
        <x:f>'Evaluation Plan'!D41</x:f>
        <x:v>P1 crushed Coke can at R2 (5 cm left of center) [REFERENCE]; P2 yellow pen with 6 cm edge gap in front of P1 [CLOSE CANDIDATE]; P3 green pen with 20 cm edge gap behind P1 [FAR CANDIDATE]; P4 green pencil sharpener with 14 cm edge gap to the left of P1 [DISTRACTOR]</x:v>
      </x:c>
      <x:c r="E41" s="9" t="str">
        <x:f>IF(ISBLANK('Evaluation Plan'!E41),"",'Evaluation Plan'!E41)</x:f>
      </x:c>
      <x:c r="F41" s="9" t="str">
        <x:f>'Evaluation Plan'!F41</x:f>
        <x:v>green pen</x:v>
      </x:c>
      <x:c r="G41" s="10"/>
      <x:c r="H41" s="9" t="str">
        <x:f>'Evaluation Plan'!H41</x:f>
        <x:v>Concept/compositional transfer</x:v>
      </x:c>
      <x:c r="I41" s="9" t="str">
        <x:f>'Evaluation Plan'!I41</x:f>
        <x:v>RD-CF07B</x:v>
      </x:c>
      <x:c r="J41" s="9" t="str">
        <x:f>'Evaluation Plan'!J41</x:f>
        <x:v>RD-CF07</x:v>
      </x:c>
      <x:c r="K41" s="9" t="str">
        <x:f>'Evaluation Plan'!K41</x:f>
        <x:v>pen</x:v>
      </x:c>
      <x:c r="L41" s="9" t="str">
        <x:f>'Evaluation Plan'!L41</x:f>
        <x:v>furthest</x:v>
      </x:c>
      <x:c r="M41" s="9" t="n">
        <x:f>'Evaluation Plan'!M41</x:f>
        <x:v>4</x:v>
      </x:c>
      <x:c r="N41" s="9" t="str">
        <x:f>'Evaluation Plan'!N41</x:f>
        <x:v>1 — Canonical transfer — Held-out furthest concept with same-category candidates</x:v>
      </x:c>
      <x:c r="O41" s="9" t="n">
        <x:f>'Evaluation Plan'!O41</x:f>
        <x:v>14</x:v>
      </x:c>
      <x:c r="P41" s="10" t="str">
        <x:f>'Evaluation Plan'!P41</x:f>
        <x:v>From scene A, swap only the P2/P3 candidate identities; keep reference, distractors, camera and distances fixed. Save the new first frame.</x:v>
      </x:c>
      <x:c r="Q41" s="10" t="str">
        <x:f>'Evaluation Plan'!Q41</x:f>
        <x:v>Furthest/farthest language is absent from fine-tuning. The A/B scene pair swaps which physical identity is far, preventing identity preference from solving both.</x:v>
      </x:c>
      <x:c r="R41" s="10" t="str">
        <x:f>IF(ISBLANK('Evaluation Plan'!R41),"",'Evaluation Plan'!R41)</x:f>
      </x:c>
    </x:row>
    <x:row r="42" ht="66" customHeight="1">
      <x:c r="A42" s="8" t="str">
        <x:v>Not collected</x:v>
      </x:c>
      <x:c r="B42" s="8" t="n">
        <x:f>'Evaluation Plan'!B42</x:f>
        <x:v>40</x:v>
      </x:c>
      <x:c r="C42" s="7" t="str">
        <x:f>'Evaluation Plan'!C42</x:f>
        <x:v>Move the green pen into the bowl.</x:v>
      </x:c>
      <x:c r="D42" s="7" t="str">
        <x:f>'Evaluation Plan'!D42</x:f>
        <x:v>P1 crushed Coke can at R2 (5 cm left of center) [REFERENCE]; P2 yellow pen with 6 cm edge gap in front of P1 [CLOSE CANDIDATE]; P3 green pen with 20 cm edge gap behind P1 [FAR CANDIDATE]; P4 green pencil sharpener with 14 cm edge gap to the left of P1 [DISTRACTOR]</x:v>
      </x:c>
      <x:c r="E42" s="8" t="n">
        <x:f>IF(ISBLANK('Evaluation Plan'!E42),"",'Evaluation Plan'!E42)</x:f>
        <x:v>39</x:v>
      </x:c>
      <x:c r="F42" s="8" t="str">
        <x:f>'Evaluation Plan'!F42</x:f>
        <x:v>green pen</x:v>
      </x:c>
      <x:c r="G42" s="7"/>
      <x:c r="H42" s="8" t="str">
        <x:f>'Evaluation Plan'!H42</x:f>
        <x:v>Matched manipulation control</x:v>
      </x:c>
      <x:c r="I42" s="8" t="str">
        <x:f>'Evaluation Plan'!I42</x:f>
        <x:v>RD-CF07B</x:v>
      </x:c>
      <x:c r="J42" s="8" t="str">
        <x:f>'Evaluation Plan'!J42</x:f>
        <x:v>RD-CF07</x:v>
      </x:c>
      <x:c r="K42" s="8" t="str">
        <x:f>'Evaluation Plan'!K42</x:f>
        <x:v>pen</x:v>
      </x:c>
      <x:c r="L42" s="8" t="str">
        <x:f>'Evaluation Plan'!L42</x:f>
        <x:v>direct name</x:v>
      </x:c>
      <x:c r="M42" s="8" t="n">
        <x:f>'Evaluation Plan'!M42</x:f>
        <x:v>4</x:v>
      </x:c>
      <x:c r="N42" s="8" t="str">
        <x:f>'Evaluation Plan'!N42</x:f>
        <x:v>2 — Matched control — Direct-name control on identical target and trajectory</x:v>
      </x:c>
      <x:c r="O42" s="8" t="n">
        <x:f>'Evaluation Plan'!O42</x:f>
        <x:v>14</x:v>
      </x:c>
      <x:c r="P42" s="7" t="str">
        <x:f>'Evaluation Plan'!P42</x:f>
        <x:v>Reset only the far candidate to P3. Keep the full scene exact; replace the relational instruction with the target's direct name.</x:v>
      </x:c>
      <x:c r="Q42" s="7" t="str">
        <x:f>'Evaluation Plan'!Q42</x:f>
        <x:v>This is a true endpoint-matched manipulation control: scene, target identity, start pose and required trajectory match the furthest trial.</x:v>
      </x:c>
      <x:c r="R42" s="7" t="str">
        <x:f>IF(ISBLANK('Evaluation Plan'!R42),"",'Evaluation Plan'!R42)</x:f>
      </x:c>
    </x:row>
    <x:row r="43" ht="66" customHeight="1">
      <x:c r="A43" s="8" t="str">
        <x:v>Not collected</x:v>
      </x:c>
      <x:c r="B43" s="8" t="n">
        <x:f>'Evaluation Plan'!B43</x:f>
        <x:v>41</x:v>
      </x:c>
      <x:c r="C43" s="7" t="str">
        <x:f>'Evaluation Plan'!C43</x:f>
        <x:v>Set the green pen inside the bowl.</x:v>
      </x:c>
      <x:c r="D43" s="7" t="str">
        <x:f>'Evaluation Plan'!D43</x:f>
        <x:v>P1 crushed Coke can at R2 (5 cm left of center) [REFERENCE]; P2 yellow pen with 6 cm edge gap in front of P1 [CLOSE CANDIDATE]; P3 green pen with 20 cm edge gap behind P1 [FAR CANDIDATE]; P4 green pencil sharpener with 14 cm edge gap to the left of P1 [DISTRACTOR]</x:v>
      </x:c>
      <x:c r="E43" s="8" t="n">
        <x:f>IF(ISBLANK('Evaluation Plan'!E43),"",'Evaluation Plan'!E43)</x:f>
        <x:v>40</x:v>
      </x:c>
      <x:c r="F43" s="8" t="str">
        <x:f>'Evaluation Plan'!F43</x:f>
        <x:v>green pen</x:v>
      </x:c>
      <x:c r="G43" s="7"/>
      <x:c r="H43" s="8" t="str">
        <x:f>'Evaluation Plan'!H43</x:f>
        <x:v>Language robustness</x:v>
      </x:c>
      <x:c r="I43" s="8" t="str">
        <x:f>'Evaluation Plan'!I43</x:f>
        <x:v>RD-CF07B</x:v>
      </x:c>
      <x:c r="J43" s="8" t="str">
        <x:f>'Evaluation Plan'!J43</x:f>
        <x:v>RD-CF07</x:v>
      </x:c>
      <x:c r="K43" s="8" t="str">
        <x:f>'Evaluation Plan'!K43</x:f>
        <x:v>pen</x:v>
      </x:c>
      <x:c r="L43" s="8" t="str">
        <x:f>'Evaluation Plan'!L43</x:f>
        <x:v>direct-name paraphrase</x:v>
      </x:c>
      <x:c r="M43" s="8" t="n">
        <x:f>'Evaluation Plan'!M43</x:f>
        <x:v>4</x:v>
      </x:c>
      <x:c r="N43" s="8" t="str">
        <x:f>'Evaluation Plan'!N43</x:f>
        <x:v>3 — Exact-scene control paraphrase — Paraphrase of direct-name matched control</x:v>
      </x:c>
      <x:c r="O43" s="8" t="n">
        <x:f>'Evaluation Plan'!O43</x:f>
        <x:v>14</x:v>
      </x:c>
      <x:c r="P43" s="7" t="str">
        <x:f>'Evaluation Plan'!P43</x:f>
        <x:v>Reset only the far candidate to P3; change only the direct-name prompt wording.</x:v>
      </x:c>
      <x:c r="Q43" s="7" t="str">
        <x:f>'Evaluation Plan'!Q43</x:f>
        <x:v>Exact-scene language comparison for the endpoint-matched skill control.</x:v>
      </x:c>
      <x:c r="R43" s="7" t="str">
        <x:f>IF(ISBLANK('Evaluation Plan'!R43),"",'Evaluation Plan'!R43)</x:f>
      </x:c>
    </x:row>
    <x:row r="44" ht="66" customHeight="1">
      <x:c r="A44" s="9" t="str">
        <x:v>Not collected</x:v>
      </x:c>
      <x:c r="B44" s="9" t="n">
        <x:f>'Evaluation Plan'!B44</x:f>
        <x:v>42</x:v>
      </x:c>
      <x:c r="C44" s="10" t="str">
        <x:f>'Evaluation Plan'!C44</x:f>
        <x:v>Pick up the airplane toy furthest from the yellow pen and place it in the bowl.</x:v>
      </x:c>
      <x:c r="D44" s="10" t="str">
        <x:f>'Evaluation Plan'!D44</x:f>
        <x:v>P1 yellow pen at R3 (5 cm right of center) [REFERENCE]; P2 airplane toy without propellers with 6 cm edge gap behind P1 [CLOSE CANDIDATE]; P3 airplane toy with propellers with 20 cm edge gap in front of P1 [FAR CANDIDATE]; P4 green pencil sharpener with 14 cm edge gap to the right of P1 [DISTRACTOR]</x:v>
      </x:c>
      <x:c r="E44" s="9" t="str">
        <x:f>IF(ISBLANK('Evaluation Plan'!E44),"",'Evaluation Plan'!E44)</x:f>
      </x:c>
      <x:c r="F44" s="9" t="str">
        <x:f>'Evaluation Plan'!F44</x:f>
        <x:v>airplane toy with propellers</x:v>
      </x:c>
      <x:c r="G44" s="10"/>
      <x:c r="H44" s="9" t="str">
        <x:f>'Evaluation Plan'!H44</x:f>
        <x:v>Concept/compositional transfer</x:v>
      </x:c>
      <x:c r="I44" s="9" t="str">
        <x:f>'Evaluation Plan'!I44</x:f>
        <x:v>RD-CF08A</x:v>
      </x:c>
      <x:c r="J44" s="9" t="str">
        <x:f>'Evaluation Plan'!J44</x:f>
        <x:v>RD-CF08</x:v>
      </x:c>
      <x:c r="K44" s="9" t="str">
        <x:f>'Evaluation Plan'!K44</x:f>
        <x:v>airplane toy</x:v>
      </x:c>
      <x:c r="L44" s="9" t="str">
        <x:f>'Evaluation Plan'!L44</x:f>
        <x:v>furthest</x:v>
      </x:c>
      <x:c r="M44" s="9" t="n">
        <x:f>'Evaluation Plan'!M44</x:f>
        <x:v>4</x:v>
      </x:c>
      <x:c r="N44" s="9" t="str">
        <x:f>'Evaluation Plan'!N44</x:f>
        <x:v>1 — Canonical transfer — Held-out furthest concept with same-category candidates</x:v>
      </x:c>
      <x:c r="O44" s="9" t="n">
        <x:f>'Evaluation Plan'!O44</x:f>
        <x:v>15</x:v>
      </x:c>
      <x:c r="P44" s="10" t="str">
        <x:f>'Evaluation Plan'!P44</x:f>
        <x:v>Build counterfactual scene A and save a first-frame filename.</x:v>
      </x:c>
      <x:c r="Q44" s="10" t="str">
        <x:f>'Evaluation Plan'!Q44</x:f>
        <x:v>Furthest/farthest language is absent from fine-tuning. The A/B scene pair swaps which physical identity is far, preventing identity preference from solving both.</x:v>
      </x:c>
      <x:c r="R44" s="10" t="str">
        <x:f>IF(ISBLANK('Evaluation Plan'!R44),"",'Evaluation Plan'!R44)</x:f>
      </x:c>
    </x:row>
    <x:row r="45" ht="66" customHeight="1">
      <x:c r="A45" s="8" t="str">
        <x:v>Not collected</x:v>
      </x:c>
      <x:c r="B45" s="8" t="n">
        <x:f>'Evaluation Plan'!B45</x:f>
        <x:v>43</x:v>
      </x:c>
      <x:c r="C45" s="7" t="str">
        <x:f>'Evaluation Plan'!C45</x:f>
        <x:v>Pick up the airplane toy with propellers and place it in the bowl.</x:v>
      </x:c>
      <x:c r="D45" s="7" t="str">
        <x:f>'Evaluation Plan'!D45</x:f>
        <x:v>P1 yellow pen at R3 (5 cm right of center) [REFERENCE]; P2 airplane toy without propellers with 6 cm edge gap behind P1 [CLOSE CANDIDATE]; P3 airplane toy with propellers with 20 cm edge gap in front of P1 [FAR CANDIDATE]; P4 green pencil sharpener with 14 cm edge gap to the right of P1 [DISTRACTOR]</x:v>
      </x:c>
      <x:c r="E45" s="8" t="n">
        <x:f>IF(ISBLANK('Evaluation Plan'!E45),"",'Evaluation Plan'!E45)</x:f>
        <x:v>42</x:v>
      </x:c>
      <x:c r="F45" s="8" t="str">
        <x:f>'Evaluation Plan'!F45</x:f>
        <x:v>airplane toy with propellers</x:v>
      </x:c>
      <x:c r="G45" s="7"/>
      <x:c r="H45" s="8" t="str">
        <x:f>'Evaluation Plan'!H45</x:f>
        <x:v>Matched manipulation control</x:v>
      </x:c>
      <x:c r="I45" s="8" t="str">
        <x:f>'Evaluation Plan'!I45</x:f>
        <x:v>RD-CF08A</x:v>
      </x:c>
      <x:c r="J45" s="8" t="str">
        <x:f>'Evaluation Plan'!J45</x:f>
        <x:v>RD-CF08</x:v>
      </x:c>
      <x:c r="K45" s="8" t="str">
        <x:f>'Evaluation Plan'!K45</x:f>
        <x:v>airplane toy</x:v>
      </x:c>
      <x:c r="L45" s="8" t="str">
        <x:f>'Evaluation Plan'!L45</x:f>
        <x:v>direct name</x:v>
      </x:c>
      <x:c r="M45" s="8" t="n">
        <x:f>'Evaluation Plan'!M45</x:f>
        <x:v>4</x:v>
      </x:c>
      <x:c r="N45" s="8" t="str">
        <x:f>'Evaluation Plan'!N45</x:f>
        <x:v>2 — Matched control — Direct-name control on identical target and trajectory</x:v>
      </x:c>
      <x:c r="O45" s="8" t="n">
        <x:f>'Evaluation Plan'!O45</x:f>
        <x:v>15</x:v>
      </x:c>
      <x:c r="P45" s="7" t="str">
        <x:f>'Evaluation Plan'!P45</x:f>
        <x:v>Reset only the far candidate to P3. Keep the full scene exact; replace the relational instruction with the target's direct name.</x:v>
      </x:c>
      <x:c r="Q45" s="7" t="str">
        <x:f>'Evaluation Plan'!Q45</x:f>
        <x:v>This is a true endpoint-matched manipulation control: scene, target identity, start pose and required trajectory match the furthest trial.</x:v>
      </x:c>
      <x:c r="R45" s="7" t="str">
        <x:f>IF(ISBLANK('Evaluation Plan'!R45),"",'Evaluation Plan'!R45)</x:f>
      </x:c>
    </x:row>
    <x:row r="46" ht="66" customHeight="1">
      <x:c r="A46" s="8" t="str">
        <x:v>Not collected</x:v>
      </x:c>
      <x:c r="B46" s="8" t="n">
        <x:f>'Evaluation Plan'!B46</x:f>
        <x:v>44</x:v>
      </x:c>
      <x:c r="C46" s="7" t="str">
        <x:f>'Evaluation Plan'!C46</x:f>
        <x:v>Lift the airplane toy with propellers and place it in the bowl.</x:v>
      </x:c>
      <x:c r="D46" s="7" t="str">
        <x:f>'Evaluation Plan'!D46</x:f>
        <x:v>P1 yellow pen at R3 (5 cm right of center) [REFERENCE]; P2 airplane toy without propellers with 6 cm edge gap behind P1 [CLOSE CANDIDATE]; P3 airplane toy with propellers with 20 cm edge gap in front of P1 [FAR CANDIDATE]; P4 green pencil sharpener with 14 cm edge gap to the right of P1 [DISTRACTOR]</x:v>
      </x:c>
      <x:c r="E46" s="8" t="n">
        <x:f>IF(ISBLANK('Evaluation Plan'!E46),"",'Evaluation Plan'!E46)</x:f>
        <x:v>43</x:v>
      </x:c>
      <x:c r="F46" s="8" t="str">
        <x:f>'Evaluation Plan'!F46</x:f>
        <x:v>airplane toy with propellers</x:v>
      </x:c>
      <x:c r="G46" s="7"/>
      <x:c r="H46" s="8" t="str">
        <x:f>'Evaluation Plan'!H46</x:f>
        <x:v>Language robustness</x:v>
      </x:c>
      <x:c r="I46" s="8" t="str">
        <x:f>'Evaluation Plan'!I46</x:f>
        <x:v>RD-CF08A</x:v>
      </x:c>
      <x:c r="J46" s="8" t="str">
        <x:f>'Evaluation Plan'!J46</x:f>
        <x:v>RD-CF08</x:v>
      </x:c>
      <x:c r="K46" s="8" t="str">
        <x:f>'Evaluation Plan'!K46</x:f>
        <x:v>airplane toy</x:v>
      </x:c>
      <x:c r="L46" s="8" t="str">
        <x:f>'Evaluation Plan'!L46</x:f>
        <x:v>direct-name paraphrase</x:v>
      </x:c>
      <x:c r="M46" s="8" t="n">
        <x:f>'Evaluation Plan'!M46</x:f>
        <x:v>4</x:v>
      </x:c>
      <x:c r="N46" s="8" t="str">
        <x:f>'Evaluation Plan'!N46</x:f>
        <x:v>3 — Exact-scene control paraphrase — Paraphrase of direct-name matched control</x:v>
      </x:c>
      <x:c r="O46" s="8" t="n">
        <x:f>'Evaluation Plan'!O46</x:f>
        <x:v>15</x:v>
      </x:c>
      <x:c r="P46" s="7" t="str">
        <x:f>'Evaluation Plan'!P46</x:f>
        <x:v>Reset only the far candidate to P3; change only the direct-name prompt wording.</x:v>
      </x:c>
      <x:c r="Q46" s="7" t="str">
        <x:f>'Evaluation Plan'!Q46</x:f>
        <x:v>Exact-scene language comparison for the endpoint-matched skill control.</x:v>
      </x:c>
      <x:c r="R46" s="7" t="str">
        <x:f>IF(ISBLANK('Evaluation Plan'!R46),"",'Evaluation Plan'!R46)</x:f>
      </x:c>
    </x:row>
    <x:row r="47" ht="66" customHeight="1">
      <x:c r="A47" s="9" t="str">
        <x:v>Not collected</x:v>
      </x:c>
      <x:c r="B47" s="9" t="n">
        <x:f>'Evaluation Plan'!B47</x:f>
        <x:v>45</x:v>
      </x:c>
      <x:c r="C47" s="10" t="str">
        <x:f>'Evaluation Plan'!C47</x:f>
        <x:v>Pick up the airplane toy furthest from the yellow pen and place it in the bowl.</x:v>
      </x:c>
      <x:c r="D47" s="10" t="str">
        <x:f>'Evaluation Plan'!D47</x:f>
        <x:v>P1 yellow pen at R3 (5 cm right of center) [REFERENCE]; P2 airplane toy with propellers with 6 cm edge gap behind P1 [CLOSE CANDIDATE]; P3 airplane toy without propellers with 20 cm edge gap in front of P1 [FAR CANDIDATE]; P4 green pencil sharpener with 14 cm edge gap to the right of P1 [DISTRACTOR]</x:v>
      </x:c>
      <x:c r="E47" s="9" t="str">
        <x:f>IF(ISBLANK('Evaluation Plan'!E47),"",'Evaluation Plan'!E47)</x:f>
      </x:c>
      <x:c r="F47" s="9" t="str">
        <x:f>'Evaluation Plan'!F47</x:f>
        <x:v>airplane toy without propellers</x:v>
      </x:c>
      <x:c r="G47" s="10"/>
      <x:c r="H47" s="9" t="str">
        <x:f>'Evaluation Plan'!H47</x:f>
        <x:v>Concept/compositional transfer</x:v>
      </x:c>
      <x:c r="I47" s="9" t="str">
        <x:f>'Evaluation Plan'!I47</x:f>
        <x:v>RD-CF08B</x:v>
      </x:c>
      <x:c r="J47" s="9" t="str">
        <x:f>'Evaluation Plan'!J47</x:f>
        <x:v>RD-CF08</x:v>
      </x:c>
      <x:c r="K47" s="9" t="str">
        <x:f>'Evaluation Plan'!K47</x:f>
        <x:v>airplane toy</x:v>
      </x:c>
      <x:c r="L47" s="9" t="str">
        <x:f>'Evaluation Plan'!L47</x:f>
        <x:v>furthest</x:v>
      </x:c>
      <x:c r="M47" s="9" t="n">
        <x:f>'Evaluation Plan'!M47</x:f>
        <x:v>4</x:v>
      </x:c>
      <x:c r="N47" s="9" t="str">
        <x:f>'Evaluation Plan'!N47</x:f>
        <x:v>1 — Canonical transfer — Held-out furthest concept with same-category candidates</x:v>
      </x:c>
      <x:c r="O47" s="9" t="n">
        <x:f>'Evaluation Plan'!O47</x:f>
        <x:v>16</x:v>
      </x:c>
      <x:c r="P47" s="10" t="str">
        <x:f>'Evaluation Plan'!P47</x:f>
        <x:v>From scene A, swap only the P2/P3 candidate identities; keep reference, distractors, camera and distances fixed. Save the new first frame.</x:v>
      </x:c>
      <x:c r="Q47" s="10" t="str">
        <x:f>'Evaluation Plan'!Q47</x:f>
        <x:v>Furthest/farthest language is absent from fine-tuning. The A/B scene pair swaps which physical identity is far, preventing identity preference from solving both.</x:v>
      </x:c>
      <x:c r="R47" s="10" t="str">
        <x:f>IF(ISBLANK('Evaluation Plan'!R47),"",'Evaluation Plan'!R47)</x:f>
      </x:c>
    </x:row>
    <x:row r="48" ht="66" customHeight="1">
      <x:c r="A48" s="8" t="str">
        <x:v>Not collected</x:v>
      </x:c>
      <x:c r="B48" s="8" t="n">
        <x:f>'Evaluation Plan'!B48</x:f>
        <x:v>46</x:v>
      </x:c>
      <x:c r="C48" s="7" t="str">
        <x:f>'Evaluation Plan'!C48</x:f>
        <x:v>Put the airplane toy without propellers in the bowl.</x:v>
      </x:c>
      <x:c r="D48" s="7" t="str">
        <x:f>'Evaluation Plan'!D48</x:f>
        <x:v>P1 yellow pen at R3 (5 cm right of center) [REFERENCE]; P2 airplane toy with propellers with 6 cm edge gap behind P1 [CLOSE CANDIDATE]; P3 airplane toy without propellers with 20 cm edge gap in front of P1 [FAR CANDIDATE]; P4 green pencil sharpener with 14 cm edge gap to the right of P1 [DISTRACTOR]</x:v>
      </x:c>
      <x:c r="E48" s="8" t="n">
        <x:f>IF(ISBLANK('Evaluation Plan'!E48),"",'Evaluation Plan'!E48)</x:f>
        <x:v>45</x:v>
      </x:c>
      <x:c r="F48" s="8" t="str">
        <x:f>'Evaluation Plan'!F48</x:f>
        <x:v>airplane toy without propellers</x:v>
      </x:c>
      <x:c r="G48" s="7"/>
      <x:c r="H48" s="8" t="str">
        <x:f>'Evaluation Plan'!H48</x:f>
        <x:v>Matched manipulation control</x:v>
      </x:c>
      <x:c r="I48" s="8" t="str">
        <x:f>'Evaluation Plan'!I48</x:f>
        <x:v>RD-CF08B</x:v>
      </x:c>
      <x:c r="J48" s="8" t="str">
        <x:f>'Evaluation Plan'!J48</x:f>
        <x:v>RD-CF08</x:v>
      </x:c>
      <x:c r="K48" s="8" t="str">
        <x:f>'Evaluation Plan'!K48</x:f>
        <x:v>airplane toy</x:v>
      </x:c>
      <x:c r="L48" s="8" t="str">
        <x:f>'Evaluation Plan'!L48</x:f>
        <x:v>direct name</x:v>
      </x:c>
      <x:c r="M48" s="8" t="n">
        <x:f>'Evaluation Plan'!M48</x:f>
        <x:v>4</x:v>
      </x:c>
      <x:c r="N48" s="8" t="str">
        <x:f>'Evaluation Plan'!N48</x:f>
        <x:v>2 — Matched control — Direct-name control on identical target and trajectory</x:v>
      </x:c>
      <x:c r="O48" s="8" t="n">
        <x:f>'Evaluation Plan'!O48</x:f>
        <x:v>16</x:v>
      </x:c>
      <x:c r="P48" s="7" t="str">
        <x:f>'Evaluation Plan'!P48</x:f>
        <x:v>Reset only the far candidate to P3. Keep the full scene exact; replace the relational instruction with the target's direct name.</x:v>
      </x:c>
      <x:c r="Q48" s="7" t="str">
        <x:f>'Evaluation Plan'!Q48</x:f>
        <x:v>This is a true endpoint-matched manipulation control: scene, target identity, start pose and required trajectory match the furthest trial.</x:v>
      </x:c>
      <x:c r="R48" s="7" t="str">
        <x:f>IF(ISBLANK('Evaluation Plan'!R48),"",'Evaluation Plan'!R48)</x:f>
      </x:c>
    </x:row>
    <x:row r="49" ht="66" customHeight="1">
      <x:c r="A49" s="8" t="str">
        <x:v>Not collected</x:v>
      </x:c>
      <x:c r="B49" s="8" t="n">
        <x:f>'Evaluation Plan'!B49</x:f>
        <x:v>47</x:v>
      </x:c>
      <x:c r="C49" s="7" t="str">
        <x:f>'Evaluation Plan'!C49</x:f>
        <x:v>Take the airplane toy without propellers and set it in the bowl.</x:v>
      </x:c>
      <x:c r="D49" s="7" t="str">
        <x:f>'Evaluation Plan'!D49</x:f>
        <x:v>P1 yellow pen at R3 (5 cm right of center) [REFERENCE]; P2 airplane toy with propellers with 6 cm edge gap behind P1 [CLOSE CANDIDATE]; P3 airplane toy without propellers with 20 cm edge gap in front of P1 [FAR CANDIDATE]; P4 green pencil sharpener with 14 cm edge gap to the right of P1 [DISTRACTOR]</x:v>
      </x:c>
      <x:c r="E49" s="8" t="n">
        <x:f>IF(ISBLANK('Evaluation Plan'!E49),"",'Evaluation Plan'!E49)</x:f>
        <x:v>46</x:v>
      </x:c>
      <x:c r="F49" s="8" t="str">
        <x:f>'Evaluation Plan'!F49</x:f>
        <x:v>airplane toy without propellers</x:v>
      </x:c>
      <x:c r="G49" s="7"/>
      <x:c r="H49" s="8" t="str">
        <x:f>'Evaluation Plan'!H49</x:f>
        <x:v>Language robustness</x:v>
      </x:c>
      <x:c r="I49" s="8" t="str">
        <x:f>'Evaluation Plan'!I49</x:f>
        <x:v>RD-CF08B</x:v>
      </x:c>
      <x:c r="J49" s="8" t="str">
        <x:f>'Evaluation Plan'!J49</x:f>
        <x:v>RD-CF08</x:v>
      </x:c>
      <x:c r="K49" s="8" t="str">
        <x:f>'Evaluation Plan'!K49</x:f>
        <x:v>airplane toy</x:v>
      </x:c>
      <x:c r="L49" s="8" t="str">
        <x:f>'Evaluation Plan'!L49</x:f>
        <x:v>direct-name paraphrase</x:v>
      </x:c>
      <x:c r="M49" s="8" t="n">
        <x:f>'Evaluation Plan'!M49</x:f>
        <x:v>4</x:v>
      </x:c>
      <x:c r="N49" s="8" t="str">
        <x:f>'Evaluation Plan'!N49</x:f>
        <x:v>3 — Exact-scene control paraphrase — Paraphrase of direct-name matched control</x:v>
      </x:c>
      <x:c r="O49" s="8" t="n">
        <x:f>'Evaluation Plan'!O49</x:f>
        <x:v>16</x:v>
      </x:c>
      <x:c r="P49" s="7" t="str">
        <x:f>'Evaluation Plan'!P49</x:f>
        <x:v>Reset only the far candidate to P3; change only the direct-name prompt wording.</x:v>
      </x:c>
      <x:c r="Q49" s="7" t="str">
        <x:f>'Evaluation Plan'!Q49</x:f>
        <x:v>Exact-scene language comparison for the endpoint-matched skill control.</x:v>
      </x:c>
      <x:c r="R49" s="7" t="str">
        <x:f>IF(ISBLANK('Evaluation Plan'!R49),"",'Evaluation Plan'!R49)</x:f>
      </x:c>
    </x:row>
    <x:row r="50" ht="66" customHeight="1">
      <x:c r="A50" s="9" t="str">
        <x:v>Not collected</x:v>
      </x:c>
      <x:c r="B50" s="9" t="n">
        <x:f>'Evaluation Plan'!B50</x:f>
        <x:v>48</x:v>
      </x:c>
      <x:c r="C50" s="10" t="str">
        <x:f>'Evaluation Plan'!C50</x:f>
        <x:v>Pick up the crushed soda can furthest from the green pencil sharpener and place it in the bowl.</x:v>
      </x:c>
      <x:c r="D50" s="10" t="str">
        <x:f>'Evaluation Plan'!D50</x:f>
        <x:v>P1 green pencil sharpener at R4 (5 cm toward the robot from center) [REFERENCE]; P2 crushed Coke can with 6 cm edge gap to the left of P1 [CLOSE CANDIDATE]; P3 crushed Pepsi can with 20 cm edge gap to the right of P1 [FAR CANDIDATE]; P4 airplane toy with propellers with 14 cm edge gap in front of P1 [DISTRACTOR]</x:v>
      </x:c>
      <x:c r="E50" s="9" t="str">
        <x:f>IF(ISBLANK('Evaluation Plan'!E50),"",'Evaluation Plan'!E50)</x:f>
      </x:c>
      <x:c r="F50" s="9" t="str">
        <x:f>'Evaluation Plan'!F50</x:f>
        <x:v>crushed Pepsi can</x:v>
      </x:c>
      <x:c r="G50" s="10"/>
      <x:c r="H50" s="9" t="str">
        <x:f>'Evaluation Plan'!H50</x:f>
        <x:v>Concept/compositional transfer</x:v>
      </x:c>
      <x:c r="I50" s="9" t="str">
        <x:f>'Evaluation Plan'!I50</x:f>
        <x:v>RD-CF09A</x:v>
      </x:c>
      <x:c r="J50" s="9" t="str">
        <x:f>'Evaluation Plan'!J50</x:f>
        <x:v>RD-CF09</x:v>
      </x:c>
      <x:c r="K50" s="9" t="str">
        <x:f>'Evaluation Plan'!K50</x:f>
        <x:v>crushed soda can</x:v>
      </x:c>
      <x:c r="L50" s="9" t="str">
        <x:f>'Evaluation Plan'!L50</x:f>
        <x:v>furthest</x:v>
      </x:c>
      <x:c r="M50" s="9" t="n">
        <x:f>'Evaluation Plan'!M50</x:f>
        <x:v>4</x:v>
      </x:c>
      <x:c r="N50" s="9" t="str">
        <x:f>'Evaluation Plan'!N50</x:f>
        <x:v>1 — Canonical transfer — Held-out furthest concept with same-category candidates</x:v>
      </x:c>
      <x:c r="O50" s="9" t="n">
        <x:f>'Evaluation Plan'!O50</x:f>
        <x:v>17</x:v>
      </x:c>
      <x:c r="P50" s="10" t="str">
        <x:f>'Evaluation Plan'!P50</x:f>
        <x:v>Build counterfactual scene A and save a first-frame filename.</x:v>
      </x:c>
      <x:c r="Q50" s="10" t="str">
        <x:f>'Evaluation Plan'!Q50</x:f>
        <x:v>Furthest/farthest language is absent from fine-tuning. The A/B scene pair swaps which physical identity is far, preventing identity preference from solving both.</x:v>
      </x:c>
      <x:c r="R50" s="10" t="str">
        <x:f>IF(ISBLANK('Evaluation Plan'!R50),"",'Evaluation Plan'!R50)</x:f>
      </x:c>
    </x:row>
    <x:row r="51" ht="66" customHeight="1">
      <x:c r="A51" s="8" t="str">
        <x:v>Not collected</x:v>
      </x:c>
      <x:c r="B51" s="8" t="n">
        <x:f>'Evaluation Plan'!B51</x:f>
        <x:v>49</x:v>
      </x:c>
      <x:c r="C51" s="7" t="str">
        <x:f>'Evaluation Plan'!C51</x:f>
        <x:v>Move the crushed Pepsi can into the bowl.</x:v>
      </x:c>
      <x:c r="D51" s="7" t="str">
        <x:f>'Evaluation Plan'!D51</x:f>
        <x:v>P1 green pencil sharpener at R4 (5 cm toward the robot from center) [REFERENCE]; P2 crushed Coke can with 6 cm edge gap to the left of P1 [CLOSE CANDIDATE]; P3 crushed Pepsi can with 20 cm edge gap to the right of P1 [FAR CANDIDATE]; P4 airplane toy with propellers with 14 cm edge gap in front of P1 [DISTRACTOR]</x:v>
      </x:c>
      <x:c r="E51" s="8" t="n">
        <x:f>IF(ISBLANK('Evaluation Plan'!E51),"",'Evaluation Plan'!E51)</x:f>
        <x:v>48</x:v>
      </x:c>
      <x:c r="F51" s="8" t="str">
        <x:f>'Evaluation Plan'!F51</x:f>
        <x:v>crushed Pepsi can</x:v>
      </x:c>
      <x:c r="G51" s="7"/>
      <x:c r="H51" s="8" t="str">
        <x:f>'Evaluation Plan'!H51</x:f>
        <x:v>Matched manipulation control</x:v>
      </x:c>
      <x:c r="I51" s="8" t="str">
        <x:f>'Evaluation Plan'!I51</x:f>
        <x:v>RD-CF09A</x:v>
      </x:c>
      <x:c r="J51" s="8" t="str">
        <x:f>'Evaluation Plan'!J51</x:f>
        <x:v>RD-CF09</x:v>
      </x:c>
      <x:c r="K51" s="8" t="str">
        <x:f>'Evaluation Plan'!K51</x:f>
        <x:v>crushed soda can</x:v>
      </x:c>
      <x:c r="L51" s="8" t="str">
        <x:f>'Evaluation Plan'!L51</x:f>
        <x:v>direct name</x:v>
      </x:c>
      <x:c r="M51" s="8" t="n">
        <x:f>'Evaluation Plan'!M51</x:f>
        <x:v>4</x:v>
      </x:c>
      <x:c r="N51" s="8" t="str">
        <x:f>'Evaluation Plan'!N51</x:f>
        <x:v>2 — Matched control — Direct-name control on identical target and trajectory</x:v>
      </x:c>
      <x:c r="O51" s="8" t="n">
        <x:f>'Evaluation Plan'!O51</x:f>
        <x:v>17</x:v>
      </x:c>
      <x:c r="P51" s="7" t="str">
        <x:f>'Evaluation Plan'!P51</x:f>
        <x:v>Reset only the far candidate to P3. Keep the full scene exact; replace the relational instruction with the target's direct name.</x:v>
      </x:c>
      <x:c r="Q51" s="7" t="str">
        <x:f>'Evaluation Plan'!Q51</x:f>
        <x:v>This is a true endpoint-matched manipulation control: scene, target identity, start pose and required trajectory match the furthest trial.</x:v>
      </x:c>
      <x:c r="R51" s="7" t="str">
        <x:f>IF(ISBLANK('Evaluation Plan'!R51),"",'Evaluation Plan'!R51)</x:f>
      </x:c>
    </x:row>
    <x:row r="52" ht="66" customHeight="1">
      <x:c r="A52" s="8" t="str">
        <x:v>Not collected</x:v>
      </x:c>
      <x:c r="B52" s="8" t="n">
        <x:f>'Evaluation Plan'!B52</x:f>
        <x:v>50</x:v>
      </x:c>
      <x:c r="C52" s="7" t="str">
        <x:f>'Evaluation Plan'!C52</x:f>
        <x:v>Transfer the crushed Pepsi can into the bowl.</x:v>
      </x:c>
      <x:c r="D52" s="7" t="str">
        <x:f>'Evaluation Plan'!D52</x:f>
        <x:v>P1 green pencil sharpener at R4 (5 cm toward the robot from center) [REFERENCE]; P2 crushed Coke can with 6 cm edge gap to the left of P1 [CLOSE CANDIDATE]; P3 crushed Pepsi can with 20 cm edge gap to the right of P1 [FAR CANDIDATE]; P4 airplane toy with propellers with 14 cm edge gap in front of P1 [DISTRACTOR]</x:v>
      </x:c>
      <x:c r="E52" s="8" t="n">
        <x:f>IF(ISBLANK('Evaluation Plan'!E52),"",'Evaluation Plan'!E52)</x:f>
        <x:v>49</x:v>
      </x:c>
      <x:c r="F52" s="8" t="str">
        <x:f>'Evaluation Plan'!F52</x:f>
        <x:v>crushed Pepsi can</x:v>
      </x:c>
      <x:c r="G52" s="7"/>
      <x:c r="H52" s="8" t="str">
        <x:f>'Evaluation Plan'!H52</x:f>
        <x:v>Language robustness</x:v>
      </x:c>
      <x:c r="I52" s="8" t="str">
        <x:f>'Evaluation Plan'!I52</x:f>
        <x:v>RD-CF09A</x:v>
      </x:c>
      <x:c r="J52" s="8" t="str">
        <x:f>'Evaluation Plan'!J52</x:f>
        <x:v>RD-CF09</x:v>
      </x:c>
      <x:c r="K52" s="8" t="str">
        <x:f>'Evaluation Plan'!K52</x:f>
        <x:v>crushed soda can</x:v>
      </x:c>
      <x:c r="L52" s="8" t="str">
        <x:f>'Evaluation Plan'!L52</x:f>
        <x:v>direct-name paraphrase</x:v>
      </x:c>
      <x:c r="M52" s="8" t="n">
        <x:f>'Evaluation Plan'!M52</x:f>
        <x:v>4</x:v>
      </x:c>
      <x:c r="N52" s="8" t="str">
        <x:f>'Evaluation Plan'!N52</x:f>
        <x:v>3 — Exact-scene control paraphrase — Paraphrase of direct-name matched control</x:v>
      </x:c>
      <x:c r="O52" s="8" t="n">
        <x:f>'Evaluation Plan'!O52</x:f>
        <x:v>17</x:v>
      </x:c>
      <x:c r="P52" s="7" t="str">
        <x:f>'Evaluation Plan'!P52</x:f>
        <x:v>Reset only the far candidate to P3; change only the direct-name prompt wording.</x:v>
      </x:c>
      <x:c r="Q52" s="7" t="str">
        <x:f>'Evaluation Plan'!Q52</x:f>
        <x:v>Exact-scene language comparison for the endpoint-matched skill control.</x:v>
      </x:c>
      <x:c r="R52" s="7" t="str">
        <x:f>IF(ISBLANK('Evaluation Plan'!R52),"",'Evaluation Plan'!R52)</x:f>
      </x:c>
    </x:row>
    <x:row r="53" ht="66" customHeight="1">
      <x:c r="A53" s="9" t="str">
        <x:v>Not collected</x:v>
      </x:c>
      <x:c r="B53" s="9" t="n">
        <x:f>'Evaluation Plan'!B53</x:f>
        <x:v>51</x:v>
      </x:c>
      <x:c r="C53" s="10" t="str">
        <x:f>'Evaluation Plan'!C53</x:f>
        <x:v>Pick up the crushed soda can furthest from the green pencil sharpener and place it in the bowl.</x:v>
      </x:c>
      <x:c r="D53" s="10" t="str">
        <x:f>'Evaluation Plan'!D53</x:f>
        <x:v>P1 green pencil sharpener at R4 (5 cm toward the robot from center) [REFERENCE]; P2 crushed Pepsi can with 6 cm edge gap to the left of P1 [CLOSE CANDIDATE]; P3 crushed Coke can with 20 cm edge gap to the right of P1 [FAR CANDIDATE]; P4 airplane toy with propellers with 14 cm edge gap in front of P1 [DISTRACTOR]</x:v>
      </x:c>
      <x:c r="E53" s="9" t="str">
        <x:f>IF(ISBLANK('Evaluation Plan'!E53),"",'Evaluation Plan'!E53)</x:f>
      </x:c>
      <x:c r="F53" s="9" t="str">
        <x:f>'Evaluation Plan'!F53</x:f>
        <x:v>crushed Coke can</x:v>
      </x:c>
      <x:c r="G53" s="10"/>
      <x:c r="H53" s="9" t="str">
        <x:f>'Evaluation Plan'!H53</x:f>
        <x:v>Concept/compositional transfer</x:v>
      </x:c>
      <x:c r="I53" s="9" t="str">
        <x:f>'Evaluation Plan'!I53</x:f>
        <x:v>RD-CF09B</x:v>
      </x:c>
      <x:c r="J53" s="9" t="str">
        <x:f>'Evaluation Plan'!J53</x:f>
        <x:v>RD-CF09</x:v>
      </x:c>
      <x:c r="K53" s="9" t="str">
        <x:f>'Evaluation Plan'!K53</x:f>
        <x:v>crushed soda can</x:v>
      </x:c>
      <x:c r="L53" s="9" t="str">
        <x:f>'Evaluation Plan'!L53</x:f>
        <x:v>furthest</x:v>
      </x:c>
      <x:c r="M53" s="9" t="n">
        <x:f>'Evaluation Plan'!M53</x:f>
        <x:v>4</x:v>
      </x:c>
      <x:c r="N53" s="9" t="str">
        <x:f>'Evaluation Plan'!N53</x:f>
        <x:v>1 — Canonical transfer — Held-out furthest concept with same-category candidates</x:v>
      </x:c>
      <x:c r="O53" s="9" t="n">
        <x:f>'Evaluation Plan'!O53</x:f>
        <x:v>18</x:v>
      </x:c>
      <x:c r="P53" s="10" t="str">
        <x:f>'Evaluation Plan'!P53</x:f>
        <x:v>From scene A, swap only the P2/P3 candidate identities; keep reference, distractors, camera and distances fixed. Save the new first frame.</x:v>
      </x:c>
      <x:c r="Q53" s="10" t="str">
        <x:f>'Evaluation Plan'!Q53</x:f>
        <x:v>Furthest/farthest language is absent from fine-tuning. The A/B scene pair swaps which physical identity is far, preventing identity preference from solving both.</x:v>
      </x:c>
      <x:c r="R53" s="10" t="str">
        <x:f>IF(ISBLANK('Evaluation Plan'!R53),"",'Evaluation Plan'!R53)</x:f>
      </x:c>
    </x:row>
    <x:row r="54" ht="66" customHeight="1">
      <x:c r="A54" s="8" t="str">
        <x:v>Not collected</x:v>
      </x:c>
      <x:c r="B54" s="8" t="n">
        <x:f>'Evaluation Plan'!B54</x:f>
        <x:v>52</x:v>
      </x:c>
      <x:c r="C54" s="7" t="str">
        <x:f>'Evaluation Plan'!C54</x:f>
        <x:v>Pick up the crushed Coke can and place it in the bowl.</x:v>
      </x:c>
      <x:c r="D54" s="7" t="str">
        <x:f>'Evaluation Plan'!D54</x:f>
        <x:v>P1 green pencil sharpener at R4 (5 cm toward the robot from center) [REFERENCE]; P2 crushed Pepsi can with 6 cm edge gap to the left of P1 [CLOSE CANDIDATE]; P3 crushed Coke can with 20 cm edge gap to the right of P1 [FAR CANDIDATE]; P4 airplane toy with propellers with 14 cm edge gap in front of P1 [DISTRACTOR]</x:v>
      </x:c>
      <x:c r="E54" s="8" t="n">
        <x:f>IF(ISBLANK('Evaluation Plan'!E54),"",'Evaluation Plan'!E54)</x:f>
        <x:v>51</x:v>
      </x:c>
      <x:c r="F54" s="8" t="str">
        <x:f>'Evaluation Plan'!F54</x:f>
        <x:v>crushed Coke can</x:v>
      </x:c>
      <x:c r="G54" s="7"/>
      <x:c r="H54" s="8" t="str">
        <x:f>'Evaluation Plan'!H54</x:f>
        <x:v>Matched manipulation control</x:v>
      </x:c>
      <x:c r="I54" s="8" t="str">
        <x:f>'Evaluation Plan'!I54</x:f>
        <x:v>RD-CF09B</x:v>
      </x:c>
      <x:c r="J54" s="8" t="str">
        <x:f>'Evaluation Plan'!J54</x:f>
        <x:v>RD-CF09</x:v>
      </x:c>
      <x:c r="K54" s="8" t="str">
        <x:f>'Evaluation Plan'!K54</x:f>
        <x:v>crushed soda can</x:v>
      </x:c>
      <x:c r="L54" s="8" t="str">
        <x:f>'Evaluation Plan'!L54</x:f>
        <x:v>direct name</x:v>
      </x:c>
      <x:c r="M54" s="8" t="n">
        <x:f>'Evaluation Plan'!M54</x:f>
        <x:v>4</x:v>
      </x:c>
      <x:c r="N54" s="8" t="str">
        <x:f>'Evaluation Plan'!N54</x:f>
        <x:v>2 — Matched control — Direct-name control on identical target and trajectory</x:v>
      </x:c>
      <x:c r="O54" s="8" t="n">
        <x:f>'Evaluation Plan'!O54</x:f>
        <x:v>18</x:v>
      </x:c>
      <x:c r="P54" s="7" t="str">
        <x:f>'Evaluation Plan'!P54</x:f>
        <x:v>Reset only the far candidate to P3. Keep the full scene exact; replace the relational instruction with the target's direct name.</x:v>
      </x:c>
      <x:c r="Q54" s="7" t="str">
        <x:f>'Evaluation Plan'!Q54</x:f>
        <x:v>This is a true endpoint-matched manipulation control: scene, target identity, start pose and required trajectory match the furthest trial.</x:v>
      </x:c>
      <x:c r="R54" s="7" t="str">
        <x:f>IF(ISBLANK('Evaluation Plan'!R54),"",'Evaluation Plan'!R54)</x:f>
      </x:c>
    </x:row>
    <x:row r="55" ht="66" customHeight="1">
      <x:c r="A55" s="8" t="str">
        <x:v>Not collected</x:v>
      </x:c>
      <x:c r="B55" s="8" t="n">
        <x:f>'Evaluation Plan'!B55</x:f>
        <x:v>53</x:v>
      </x:c>
      <x:c r="C55" s="7" t="str">
        <x:f>'Evaluation Plan'!C55</x:f>
        <x:v>Move the crushed Coke can over to the bowl.</x:v>
      </x:c>
      <x:c r="D55" s="7" t="str">
        <x:f>'Evaluation Plan'!D55</x:f>
        <x:v>P1 green pencil sharpener at R4 (5 cm toward the robot from center) [REFERENCE]; P2 crushed Pepsi can with 6 cm edge gap to the left of P1 [CLOSE CANDIDATE]; P3 crushed Coke can with 20 cm edge gap to the right of P1 [FAR CANDIDATE]; P4 airplane toy with propellers with 14 cm edge gap in front of P1 [DISTRACTOR]</x:v>
      </x:c>
      <x:c r="E55" s="8" t="n">
        <x:f>IF(ISBLANK('Evaluation Plan'!E55),"",'Evaluation Plan'!E55)</x:f>
        <x:v>52</x:v>
      </x:c>
      <x:c r="F55" s="8" t="str">
        <x:f>'Evaluation Plan'!F55</x:f>
        <x:v>crushed Coke can</x:v>
      </x:c>
      <x:c r="G55" s="7"/>
      <x:c r="H55" s="8" t="str">
        <x:f>'Evaluation Plan'!H55</x:f>
        <x:v>Language robustness</x:v>
      </x:c>
      <x:c r="I55" s="8" t="str">
        <x:f>'Evaluation Plan'!I55</x:f>
        <x:v>RD-CF09B</x:v>
      </x:c>
      <x:c r="J55" s="8" t="str">
        <x:f>'Evaluation Plan'!J55</x:f>
        <x:v>RD-CF09</x:v>
      </x:c>
      <x:c r="K55" s="8" t="str">
        <x:f>'Evaluation Plan'!K55</x:f>
        <x:v>crushed soda can</x:v>
      </x:c>
      <x:c r="L55" s="8" t="str">
        <x:f>'Evaluation Plan'!L55</x:f>
        <x:v>direct-name paraphrase</x:v>
      </x:c>
      <x:c r="M55" s="8" t="n">
        <x:f>'Evaluation Plan'!M55</x:f>
        <x:v>4</x:v>
      </x:c>
      <x:c r="N55" s="8" t="str">
        <x:f>'Evaluation Plan'!N55</x:f>
        <x:v>3 — Exact-scene control paraphrase — Paraphrase of direct-name matched control</x:v>
      </x:c>
      <x:c r="O55" s="8" t="n">
        <x:f>'Evaluation Plan'!O55</x:f>
        <x:v>18</x:v>
      </x:c>
      <x:c r="P55" s="7" t="str">
        <x:f>'Evaluation Plan'!P55</x:f>
        <x:v>Reset only the far candidate to P3; change only the direct-name prompt wording.</x:v>
      </x:c>
      <x:c r="Q55" s="7" t="str">
        <x:f>'Evaluation Plan'!Q55</x:f>
        <x:v>Exact-scene language comparison for the endpoint-matched skill control.</x:v>
      </x:c>
      <x:c r="R55" s="7" t="str">
        <x:f>IF(ISBLANK('Evaluation Plan'!R55),"",'Evaluation Plan'!R55)</x:f>
      </x:c>
    </x:row>
    <x:row r="56" ht="66" customHeight="1">
      <x:c r="A56" s="9" t="str">
        <x:v>Not collected</x:v>
      </x:c>
      <x:c r="B56" s="9" t="n">
        <x:f>'Evaluation Plan'!B56</x:f>
        <x:v>54</x:v>
      </x:c>
      <x:c r="C56" s="10" t="str">
        <x:f>'Evaluation Plan'!C56</x:f>
        <x:v>Pick up the pencil sharpener furthest from the crushed Pepsi can and place it in the bowl.</x:v>
      </x:c>
      <x:c r="D56" s="10" t="str">
        <x:f>'Evaluation Plan'!D56</x:f>
        <x:v>P1 crushed Pepsi can at R5 (5 cm away from the robot from center) [REFERENCE]; P2 red pencil sharpener with 6 cm edge gap to the right of P1 [CLOSE CANDIDATE]; P3 green pencil sharpener with 20 cm edge gap to the left of P1 [FAR CANDIDATE]; P4 airplane toy without propellers with 14 cm edge gap behind P1 [DISTRACTOR]</x:v>
      </x:c>
      <x:c r="E56" s="9" t="str">
        <x:f>IF(ISBLANK('Evaluation Plan'!E56),"",'Evaluation Plan'!E56)</x:f>
      </x:c>
      <x:c r="F56" s="9" t="str">
        <x:f>'Evaluation Plan'!F56</x:f>
        <x:v>green pencil sharpener</x:v>
      </x:c>
      <x:c r="G56" s="10"/>
      <x:c r="H56" s="9" t="str">
        <x:f>'Evaluation Plan'!H56</x:f>
        <x:v>Concept/compositional transfer</x:v>
      </x:c>
      <x:c r="I56" s="9" t="str">
        <x:f>'Evaluation Plan'!I56</x:f>
        <x:v>RD-CF10A</x:v>
      </x:c>
      <x:c r="J56" s="9" t="str">
        <x:f>'Evaluation Plan'!J56</x:f>
        <x:v>RD-CF10</x:v>
      </x:c>
      <x:c r="K56" s="9" t="str">
        <x:f>'Evaluation Plan'!K56</x:f>
        <x:v>pencil sharpener</x:v>
      </x:c>
      <x:c r="L56" s="9" t="str">
        <x:f>'Evaluation Plan'!L56</x:f>
        <x:v>furthest</x:v>
      </x:c>
      <x:c r="M56" s="9" t="n">
        <x:f>'Evaluation Plan'!M56</x:f>
        <x:v>4</x:v>
      </x:c>
      <x:c r="N56" s="9" t="str">
        <x:f>'Evaluation Plan'!N56</x:f>
        <x:v>1 — Canonical transfer — Held-out furthest concept with same-category candidates</x:v>
      </x:c>
      <x:c r="O56" s="9" t="n">
        <x:f>'Evaluation Plan'!O56</x:f>
        <x:v>19</x:v>
      </x:c>
      <x:c r="P56" s="10" t="str">
        <x:f>'Evaluation Plan'!P56</x:f>
        <x:v>Build counterfactual scene A and save a first-frame filename.</x:v>
      </x:c>
      <x:c r="Q56" s="10" t="str">
        <x:f>'Evaluation Plan'!Q56</x:f>
        <x:v>Furthest/farthest language is absent from fine-tuning. The A/B scene pair swaps which physical identity is far, preventing identity preference from solving both.</x:v>
      </x:c>
      <x:c r="R56" s="10" t="str">
        <x:f>IF(ISBLANK('Evaluation Plan'!R56),"",'Evaluation Plan'!R56)</x:f>
      </x:c>
    </x:row>
    <x:row r="57" ht="66" customHeight="1">
      <x:c r="A57" s="8" t="str">
        <x:v>Not collected</x:v>
      </x:c>
      <x:c r="B57" s="8" t="n">
        <x:f>'Evaluation Plan'!B57</x:f>
        <x:v>55</x:v>
      </x:c>
      <x:c r="C57" s="7" t="str">
        <x:f>'Evaluation Plan'!C57</x:f>
        <x:v>Put the green pencil sharpener in the bowl.</x:v>
      </x:c>
      <x:c r="D57" s="7" t="str">
        <x:f>'Evaluation Plan'!D57</x:f>
        <x:v>P1 crushed Pepsi can at R5 (5 cm away from the robot from center) [REFERENCE]; P2 red pencil sharpener with 6 cm edge gap to the right of P1 [CLOSE CANDIDATE]; P3 green pencil sharpener with 20 cm edge gap to the left of P1 [FAR CANDIDATE]; P4 airplane toy without propellers with 14 cm edge gap behind P1 [DISTRACTOR]</x:v>
      </x:c>
      <x:c r="E57" s="8" t="n">
        <x:f>IF(ISBLANK('Evaluation Plan'!E57),"",'Evaluation Plan'!E57)</x:f>
        <x:v>54</x:v>
      </x:c>
      <x:c r="F57" s="8" t="str">
        <x:f>'Evaluation Plan'!F57</x:f>
        <x:v>green pencil sharpener</x:v>
      </x:c>
      <x:c r="G57" s="7"/>
      <x:c r="H57" s="8" t="str">
        <x:f>'Evaluation Plan'!H57</x:f>
        <x:v>Matched manipulation control</x:v>
      </x:c>
      <x:c r="I57" s="8" t="str">
        <x:f>'Evaluation Plan'!I57</x:f>
        <x:v>RD-CF10A</x:v>
      </x:c>
      <x:c r="J57" s="8" t="str">
        <x:f>'Evaluation Plan'!J57</x:f>
        <x:v>RD-CF10</x:v>
      </x:c>
      <x:c r="K57" s="8" t="str">
        <x:f>'Evaluation Plan'!K57</x:f>
        <x:v>pencil sharpener</x:v>
      </x:c>
      <x:c r="L57" s="8" t="str">
        <x:f>'Evaluation Plan'!L57</x:f>
        <x:v>direct name</x:v>
      </x:c>
      <x:c r="M57" s="8" t="n">
        <x:f>'Evaluation Plan'!M57</x:f>
        <x:v>4</x:v>
      </x:c>
      <x:c r="N57" s="8" t="str">
        <x:f>'Evaluation Plan'!N57</x:f>
        <x:v>2 — Matched control — Direct-name control on identical target and trajectory</x:v>
      </x:c>
      <x:c r="O57" s="8" t="n">
        <x:f>'Evaluation Plan'!O57</x:f>
        <x:v>19</x:v>
      </x:c>
      <x:c r="P57" s="7" t="str">
        <x:f>'Evaluation Plan'!P57</x:f>
        <x:v>Reset only the far candidate to P3. Keep the full scene exact; replace the relational instruction with the target's direct name.</x:v>
      </x:c>
      <x:c r="Q57" s="7" t="str">
        <x:f>'Evaluation Plan'!Q57</x:f>
        <x:v>This is a true endpoint-matched manipulation control: scene, target identity, start pose and required trajectory match the furthest trial.</x:v>
      </x:c>
      <x:c r="R57" s="7" t="str">
        <x:f>IF(ISBLANK('Evaluation Plan'!R57),"",'Evaluation Plan'!R57)</x:f>
      </x:c>
    </x:row>
    <x:row r="58" ht="66" customHeight="1">
      <x:c r="A58" s="8" t="str">
        <x:v>Not collected</x:v>
      </x:c>
      <x:c r="B58" s="8" t="n">
        <x:f>'Evaluation Plan'!B58</x:f>
        <x:v>56</x:v>
      </x:c>
      <x:c r="C58" s="7" t="str">
        <x:f>'Evaluation Plan'!C58</x:f>
        <x:v>Set the green pencil sharpener inside the bowl.</x:v>
      </x:c>
      <x:c r="D58" s="7" t="str">
        <x:f>'Evaluation Plan'!D58</x:f>
        <x:v>P1 crushed Pepsi can at R5 (5 cm away from the robot from center) [REFERENCE]; P2 red pencil sharpener with 6 cm edge gap to the right of P1 [CLOSE CANDIDATE]; P3 green pencil sharpener with 20 cm edge gap to the left of P1 [FAR CANDIDATE]; P4 airplane toy without propellers with 14 cm edge gap behind P1 [DISTRACTOR]</x:v>
      </x:c>
      <x:c r="E58" s="8" t="n">
        <x:f>IF(ISBLANK('Evaluation Plan'!E58),"",'Evaluation Plan'!E58)</x:f>
        <x:v>55</x:v>
      </x:c>
      <x:c r="F58" s="8" t="str">
        <x:f>'Evaluation Plan'!F58</x:f>
        <x:v>green pencil sharpener</x:v>
      </x:c>
      <x:c r="G58" s="7"/>
      <x:c r="H58" s="8" t="str">
        <x:f>'Evaluation Plan'!H58</x:f>
        <x:v>Language robustness</x:v>
      </x:c>
      <x:c r="I58" s="8" t="str">
        <x:f>'Evaluation Plan'!I58</x:f>
        <x:v>RD-CF10A</x:v>
      </x:c>
      <x:c r="J58" s="8" t="str">
        <x:f>'Evaluation Plan'!J58</x:f>
        <x:v>RD-CF10</x:v>
      </x:c>
      <x:c r="K58" s="8" t="str">
        <x:f>'Evaluation Plan'!K58</x:f>
        <x:v>pencil sharpener</x:v>
      </x:c>
      <x:c r="L58" s="8" t="str">
        <x:f>'Evaluation Plan'!L58</x:f>
        <x:v>direct-name paraphrase</x:v>
      </x:c>
      <x:c r="M58" s="8" t="n">
        <x:f>'Evaluation Plan'!M58</x:f>
        <x:v>4</x:v>
      </x:c>
      <x:c r="N58" s="8" t="str">
        <x:f>'Evaluation Plan'!N58</x:f>
        <x:v>3 — Exact-scene control paraphrase — Paraphrase of direct-name matched control</x:v>
      </x:c>
      <x:c r="O58" s="8" t="n">
        <x:f>'Evaluation Plan'!O58</x:f>
        <x:v>19</x:v>
      </x:c>
      <x:c r="P58" s="7" t="str">
        <x:f>'Evaluation Plan'!P58</x:f>
        <x:v>Reset only the far candidate to P3; change only the direct-name prompt wording.</x:v>
      </x:c>
      <x:c r="Q58" s="7" t="str">
        <x:f>'Evaluation Plan'!Q58</x:f>
        <x:v>Exact-scene language comparison for the endpoint-matched skill control.</x:v>
      </x:c>
      <x:c r="R58" s="7" t="str">
        <x:f>IF(ISBLANK('Evaluation Plan'!R58),"",'Evaluation Plan'!R58)</x:f>
      </x:c>
    </x:row>
    <x:row r="59" ht="66" customHeight="1">
      <x:c r="A59" s="9" t="str">
        <x:v>Not collected</x:v>
      </x:c>
      <x:c r="B59" s="9" t="n">
        <x:f>'Evaluation Plan'!B59</x:f>
        <x:v>57</x:v>
      </x:c>
      <x:c r="C59" s="10" t="str">
        <x:f>'Evaluation Plan'!C59</x:f>
        <x:v>Pick up the pencil sharpener furthest from the crushed Pepsi can and place it in the bowl.</x:v>
      </x:c>
      <x:c r="D59" s="10" t="str">
        <x:f>'Evaluation Plan'!D59</x:f>
        <x:v>P1 crushed Pepsi can at R5 (5 cm away from the robot from center) [REFERENCE]; P2 green pencil sharpener with 6 cm edge gap to the right of P1 [CLOSE CANDIDATE]; P3 red pencil sharpener with 20 cm edge gap to the left of P1 [FAR CANDIDATE]; P4 airplane toy without propellers with 14 cm edge gap behind P1 [DISTRACTOR]</x:v>
      </x:c>
      <x:c r="E59" s="9" t="str">
        <x:f>IF(ISBLANK('Evaluation Plan'!E59),"",'Evaluation Plan'!E59)</x:f>
      </x:c>
      <x:c r="F59" s="9" t="str">
        <x:f>'Evaluation Plan'!F59</x:f>
        <x:v>red pencil sharpener</x:v>
      </x:c>
      <x:c r="G59" s="10"/>
      <x:c r="H59" s="9" t="str">
        <x:f>'Evaluation Plan'!H59</x:f>
        <x:v>Concept/compositional transfer</x:v>
      </x:c>
      <x:c r="I59" s="9" t="str">
        <x:f>'Evaluation Plan'!I59</x:f>
        <x:v>RD-CF10B</x:v>
      </x:c>
      <x:c r="J59" s="9" t="str">
        <x:f>'Evaluation Plan'!J59</x:f>
        <x:v>RD-CF10</x:v>
      </x:c>
      <x:c r="K59" s="9" t="str">
        <x:f>'Evaluation Plan'!K59</x:f>
        <x:v>pencil sharpener</x:v>
      </x:c>
      <x:c r="L59" s="9" t="str">
        <x:f>'Evaluation Plan'!L59</x:f>
        <x:v>furthest</x:v>
      </x:c>
      <x:c r="M59" s="9" t="n">
        <x:f>'Evaluation Plan'!M59</x:f>
        <x:v>4</x:v>
      </x:c>
      <x:c r="N59" s="9" t="str">
        <x:f>'Evaluation Plan'!N59</x:f>
        <x:v>1 — Canonical transfer — Held-out furthest concept with same-category candidates</x:v>
      </x:c>
      <x:c r="O59" s="9" t="n">
        <x:f>'Evaluation Plan'!O59</x:f>
        <x:v>20</x:v>
      </x:c>
      <x:c r="P59" s="10" t="str">
        <x:f>'Evaluation Plan'!P59</x:f>
        <x:v>From scene A, swap only the P2/P3 candidate identities; keep reference, distractors, camera and distances fixed. Save the new first frame.</x:v>
      </x:c>
      <x:c r="Q59" s="10" t="str">
        <x:f>'Evaluation Plan'!Q59</x:f>
        <x:v>Furthest/farthest language is absent from fine-tuning. The A/B scene pair swaps which physical identity is far, preventing identity preference from solving both.</x:v>
      </x:c>
      <x:c r="R59" s="10" t="str">
        <x:f>IF(ISBLANK('Evaluation Plan'!R59),"",'Evaluation Plan'!R59)</x:f>
      </x:c>
    </x:row>
    <x:row r="60" ht="66" customHeight="1">
      <x:c r="A60" s="8" t="str">
        <x:v>Not collected</x:v>
      </x:c>
      <x:c r="B60" s="8" t="n">
        <x:f>'Evaluation Plan'!B60</x:f>
        <x:v>58</x:v>
      </x:c>
      <x:c r="C60" s="7" t="str">
        <x:f>'Evaluation Plan'!C60</x:f>
        <x:v>Move the red pencil sharpener into the bowl.</x:v>
      </x:c>
      <x:c r="D60" s="7" t="str">
        <x:f>'Evaluation Plan'!D60</x:f>
        <x:v>P1 crushed Pepsi can at R5 (5 cm away from the robot from center) [REFERENCE]; P2 green pencil sharpener with 6 cm edge gap to the right of P1 [CLOSE CANDIDATE]; P3 red pencil sharpener with 20 cm edge gap to the left of P1 [FAR CANDIDATE]; P4 airplane toy without propellers with 14 cm edge gap behind P1 [DISTRACTOR]</x:v>
      </x:c>
      <x:c r="E60" s="8" t="n">
        <x:f>IF(ISBLANK('Evaluation Plan'!E60),"",'Evaluation Plan'!E60)</x:f>
        <x:v>57</x:v>
      </x:c>
      <x:c r="F60" s="8" t="str">
        <x:f>'Evaluation Plan'!F60</x:f>
        <x:v>red pencil sharpener</x:v>
      </x:c>
      <x:c r="G60" s="7"/>
      <x:c r="H60" s="8" t="str">
        <x:f>'Evaluation Plan'!H60</x:f>
        <x:v>Matched manipulation control</x:v>
      </x:c>
      <x:c r="I60" s="8" t="str">
        <x:f>'Evaluation Plan'!I60</x:f>
        <x:v>RD-CF10B</x:v>
      </x:c>
      <x:c r="J60" s="8" t="str">
        <x:f>'Evaluation Plan'!J60</x:f>
        <x:v>RD-CF10</x:v>
      </x:c>
      <x:c r="K60" s="8" t="str">
        <x:f>'Evaluation Plan'!K60</x:f>
        <x:v>pencil sharpener</x:v>
      </x:c>
      <x:c r="L60" s="8" t="str">
        <x:f>'Evaluation Plan'!L60</x:f>
        <x:v>direct name</x:v>
      </x:c>
      <x:c r="M60" s="8" t="n">
        <x:f>'Evaluation Plan'!M60</x:f>
        <x:v>4</x:v>
      </x:c>
      <x:c r="N60" s="8" t="str">
        <x:f>'Evaluation Plan'!N60</x:f>
        <x:v>2 — Matched control — Direct-name control on identical target and trajectory</x:v>
      </x:c>
      <x:c r="O60" s="8" t="n">
        <x:f>'Evaluation Plan'!O60</x:f>
        <x:v>20</x:v>
      </x:c>
      <x:c r="P60" s="7" t="str">
        <x:f>'Evaluation Plan'!P60</x:f>
        <x:v>Reset only the far candidate to P3. Keep the full scene exact; replace the relational instruction with the target's direct name.</x:v>
      </x:c>
      <x:c r="Q60" s="7" t="str">
        <x:f>'Evaluation Plan'!Q60</x:f>
        <x:v>This is a true endpoint-matched manipulation control: scene, target identity, start pose and required trajectory match the furthest trial.</x:v>
      </x:c>
      <x:c r="R60" s="7" t="str">
        <x:f>IF(ISBLANK('Evaluation Plan'!R60),"",'Evaluation Plan'!R60)</x:f>
      </x:c>
    </x:row>
    <x:row r="61" ht="66" customHeight="1">
      <x:c r="A61" s="8" t="str">
        <x:v>Not collected</x:v>
      </x:c>
      <x:c r="B61" s="8" t="n">
        <x:f>'Evaluation Plan'!B61</x:f>
        <x:v>59</x:v>
      </x:c>
      <x:c r="C61" s="7" t="str">
        <x:f>'Evaluation Plan'!C61</x:f>
        <x:v>Lift the red pencil sharpener and place it in the bowl.</x:v>
      </x:c>
      <x:c r="D61" s="7" t="str">
        <x:f>'Evaluation Plan'!D61</x:f>
        <x:v>P1 crushed Pepsi can at R5 (5 cm away from the robot from center) [REFERENCE]; P2 green pencil sharpener with 6 cm edge gap to the right of P1 [CLOSE CANDIDATE]; P3 red pencil sharpener with 20 cm edge gap to the left of P1 [FAR CANDIDATE]; P4 airplane toy without propellers with 14 cm edge gap behind P1 [DISTRACTOR]</x:v>
      </x:c>
      <x:c r="E61" s="8" t="n">
        <x:f>IF(ISBLANK('Evaluation Plan'!E61),"",'Evaluation Plan'!E61)</x:f>
        <x:v>58</x:v>
      </x:c>
      <x:c r="F61" s="8" t="str">
        <x:f>'Evaluation Plan'!F61</x:f>
        <x:v>red pencil sharpener</x:v>
      </x:c>
      <x:c r="G61" s="7"/>
      <x:c r="H61" s="8" t="str">
        <x:f>'Evaluation Plan'!H61</x:f>
        <x:v>Language robustness</x:v>
      </x:c>
      <x:c r="I61" s="8" t="str">
        <x:f>'Evaluation Plan'!I61</x:f>
        <x:v>RD-CF10B</x:v>
      </x:c>
      <x:c r="J61" s="8" t="str">
        <x:f>'Evaluation Plan'!J61</x:f>
        <x:v>RD-CF10</x:v>
      </x:c>
      <x:c r="K61" s="8" t="str">
        <x:f>'Evaluation Plan'!K61</x:f>
        <x:v>pencil sharpener</x:v>
      </x:c>
      <x:c r="L61" s="8" t="str">
        <x:f>'Evaluation Plan'!L61</x:f>
        <x:v>direct-name paraphrase</x:v>
      </x:c>
      <x:c r="M61" s="8" t="n">
        <x:f>'Evaluation Plan'!M61</x:f>
        <x:v>4</x:v>
      </x:c>
      <x:c r="N61" s="8" t="str">
        <x:f>'Evaluation Plan'!N61</x:f>
        <x:v>3 — Exact-scene control paraphrase — Paraphrase of direct-name matched control</x:v>
      </x:c>
      <x:c r="O61" s="8" t="n">
        <x:f>'Evaluation Plan'!O61</x:f>
        <x:v>20</x:v>
      </x:c>
      <x:c r="P61" s="7" t="str">
        <x:f>'Evaluation Plan'!P61</x:f>
        <x:v>Reset only the far candidate to P3; change only the direct-name prompt wording.</x:v>
      </x:c>
      <x:c r="Q61" s="7" t="str">
        <x:f>'Evaluation Plan'!Q61</x:f>
        <x:v>Exact-scene language comparison for the endpoint-matched skill control.</x:v>
      </x:c>
      <x:c r="R61" s="7" t="str">
        <x:f>IF(ISBLANK('Evaluation Plan'!R61),"",'Evaluation Plan'!R61)</x:f>
      </x:c>
    </x:row>
    <x:row r="62" ht="66" customHeight="1">
      <x:c r="A62" s="9" t="str">
        <x:v>Not collected</x:v>
      </x:c>
      <x:c r="B62" s="9" t="n">
        <x:f>'Evaluation Plan'!B62</x:f>
        <x:v>60</x:v>
      </x:c>
      <x:c r="C62" s="10" t="str">
        <x:f>'Evaluation Plan'!C62</x:f>
        <x:v>Pick up the pen furthest from the airplane toy with propellers and place it in the bowl.</x:v>
      </x:c>
      <x:c r="D62" s="10" t="str">
        <x:f>'Evaluation Plan'!D62</x:f>
        <x:v>P1 airplane toy with propellers at R1 (table center) [REFERENCE]; P2 green pen with 6 cm edge gap in front of P1 [CLOSE CANDIDATE]; P3 yellow pen with 20 cm edge gap behind P1 [FAR CANDIDATE]</x:v>
      </x:c>
      <x:c r="E62" s="9" t="str">
        <x:f>IF(ISBLANK('Evaluation Plan'!E62),"",'Evaluation Plan'!E62)</x:f>
      </x:c>
      <x:c r="F62" s="9" t="str">
        <x:f>'Evaluation Plan'!F62</x:f>
        <x:v>yellow pen</x:v>
      </x:c>
      <x:c r="G62" s="10"/>
      <x:c r="H62" s="9" t="str">
        <x:f>'Evaluation Plan'!H62</x:f>
        <x:v>Concept/compositional transfer</x:v>
      </x:c>
      <x:c r="I62" s="9" t="str">
        <x:f>'Evaluation Plan'!I62</x:f>
        <x:v>RD-CF11A</x:v>
      </x:c>
      <x:c r="J62" s="9" t="str">
        <x:f>'Evaluation Plan'!J62</x:f>
        <x:v>RD-CF11</x:v>
      </x:c>
      <x:c r="K62" s="9" t="str">
        <x:f>'Evaluation Plan'!K62</x:f>
        <x:v>pen</x:v>
      </x:c>
      <x:c r="L62" s="9" t="str">
        <x:f>'Evaluation Plan'!L62</x:f>
        <x:v>furthest</x:v>
      </x:c>
      <x:c r="M62" s="9" t="n">
        <x:f>'Evaluation Plan'!M62</x:f>
        <x:v>3</x:v>
      </x:c>
      <x:c r="N62" s="9" t="str">
        <x:f>'Evaluation Plan'!N62</x:f>
        <x:v>Additional transfer — Additional held-out furthest counterfactual</x:v>
      </x:c>
      <x:c r="O62" s="9" t="n">
        <x:f>'Evaluation Plan'!O62</x:f>
        <x:v>21</x:v>
      </x:c>
      <x:c r="P62" s="10" t="str">
        <x:f>'Evaluation Plan'!P62</x:f>
        <x:v>Build counterfactual scene A and save a first-frame filename.</x:v>
      </x:c>
      <x:c r="Q62" s="10" t="str">
        <x:f>'Evaluation Plan'!Q62</x:f>
        <x:v>Unpaired primary-endpoint coverage. Each A/B pair reverses the far physical identity with matched geometry.</x:v>
      </x:c>
      <x:c r="R62" s="10" t="str">
        <x:f>IF(ISBLANK('Evaluation Plan'!R62),"",'Evaluation Plan'!R62)</x:f>
      </x:c>
    </x:row>
    <x:row r="63" ht="66" customHeight="1">
      <x:c r="A63" s="8" t="str">
        <x:v>Not collected</x:v>
      </x:c>
      <x:c r="B63" s="8" t="n">
        <x:f>'Evaluation Plan'!B63</x:f>
        <x:v>61</x:v>
      </x:c>
      <x:c r="C63" s="7" t="str">
        <x:f>'Evaluation Plan'!C63</x:f>
        <x:v>Pick up the pen furthest from the airplane toy with propellers and place it in the bowl.</x:v>
      </x:c>
      <x:c r="D63" s="7" t="str">
        <x:f>'Evaluation Plan'!D63</x:f>
        <x:v>P1 airplane toy with propellers at R1 (table center) [REFERENCE]; P2 yellow pen with 6 cm edge gap in front of P1 [CLOSE CANDIDATE]; P3 green pen with 20 cm edge gap behind P1 [FAR CANDIDATE]</x:v>
      </x:c>
      <x:c r="E63" s="8" t="str">
        <x:f>IF(ISBLANK('Evaluation Plan'!E63),"",'Evaluation Plan'!E63)</x:f>
      </x:c>
      <x:c r="F63" s="8" t="str">
        <x:f>'Evaluation Plan'!F63</x:f>
        <x:v>green pen</x:v>
      </x:c>
      <x:c r="G63" s="7"/>
      <x:c r="H63" s="8" t="str">
        <x:f>'Evaluation Plan'!H63</x:f>
        <x:v>Concept/compositional transfer</x:v>
      </x:c>
      <x:c r="I63" s="8" t="str">
        <x:f>'Evaluation Plan'!I63</x:f>
        <x:v>RD-CF11B</x:v>
      </x:c>
      <x:c r="J63" s="8" t="str">
        <x:f>'Evaluation Plan'!J63</x:f>
        <x:v>RD-CF11</x:v>
      </x:c>
      <x:c r="K63" s="8" t="str">
        <x:f>'Evaluation Plan'!K63</x:f>
        <x:v>pen</x:v>
      </x:c>
      <x:c r="L63" s="8" t="str">
        <x:f>'Evaluation Plan'!L63</x:f>
        <x:v>furthest</x:v>
      </x:c>
      <x:c r="M63" s="8" t="n">
        <x:f>'Evaluation Plan'!M63</x:f>
        <x:v>3</x:v>
      </x:c>
      <x:c r="N63" s="8" t="str">
        <x:f>'Evaluation Plan'!N63</x:f>
        <x:v>Additional transfer — Additional held-out furthest counterfactual</x:v>
      </x:c>
      <x:c r="O63" s="8" t="n">
        <x:f>'Evaluation Plan'!O63</x:f>
        <x:v>22</x:v>
      </x:c>
      <x:c r="P63" s="7" t="str">
        <x:f>'Evaluation Plan'!P63</x:f>
        <x:v>Swap only the P2/P3 candidate identities from the preceding A scene; preserve all geometry and other objects.</x:v>
      </x:c>
      <x:c r="Q63" s="7" t="str">
        <x:f>'Evaluation Plan'!Q63</x:f>
        <x:v>Unpaired primary-endpoint coverage. Each A/B pair reverses the far physical identity with matched geometry.</x:v>
      </x:c>
      <x:c r="R63" s="7" t="str">
        <x:f>IF(ISBLANK('Evaluation Plan'!R63),"",'Evaluation Plan'!R63)</x:f>
      </x:c>
    </x:row>
    <x:row r="64" ht="66" customHeight="1">
      <x:c r="A64" s="9" t="str">
        <x:v>Not collected</x:v>
      </x:c>
      <x:c r="B64" s="9" t="n">
        <x:f>'Evaluation Plan'!B64</x:f>
        <x:v>62</x:v>
      </x:c>
      <x:c r="C64" s="10" t="str">
        <x:f>'Evaluation Plan'!C64</x:f>
        <x:v>Pick up the airplane toy furthest from the crushed Pepsi can and place it in the bowl.</x:v>
      </x:c>
      <x:c r="D64" s="10" t="str">
        <x:f>'Evaluation Plan'!D64</x:f>
        <x:v>P1 crushed Pepsi can at R2 (5 cm left of center) [REFERENCE]; P2 airplane toy without propellers with 6 cm edge gap behind P1 [CLOSE CANDIDATE]; P3 airplane toy with propellers with 20 cm edge gap in front of P1 [FAR CANDIDATE]</x:v>
      </x:c>
      <x:c r="E64" s="9" t="str">
        <x:f>IF(ISBLANK('Evaluation Plan'!E64),"",'Evaluation Plan'!E64)</x:f>
      </x:c>
      <x:c r="F64" s="9" t="str">
        <x:f>'Evaluation Plan'!F64</x:f>
        <x:v>airplane toy with propellers</x:v>
      </x:c>
      <x:c r="G64" s="10"/>
      <x:c r="H64" s="9" t="str">
        <x:f>'Evaluation Plan'!H64</x:f>
        <x:v>Concept/compositional transfer</x:v>
      </x:c>
      <x:c r="I64" s="9" t="str">
        <x:f>'Evaluation Plan'!I64</x:f>
        <x:v>RD-CF12A</x:v>
      </x:c>
      <x:c r="J64" s="9" t="str">
        <x:f>'Evaluation Plan'!J64</x:f>
        <x:v>RD-CF12</x:v>
      </x:c>
      <x:c r="K64" s="9" t="str">
        <x:f>'Evaluation Plan'!K64</x:f>
        <x:v>airplane toy</x:v>
      </x:c>
      <x:c r="L64" s="9" t="str">
        <x:f>'Evaluation Plan'!L64</x:f>
        <x:v>furthest</x:v>
      </x:c>
      <x:c r="M64" s="9" t="n">
        <x:f>'Evaluation Plan'!M64</x:f>
        <x:v>3</x:v>
      </x:c>
      <x:c r="N64" s="9" t="str">
        <x:f>'Evaluation Plan'!N64</x:f>
        <x:v>Additional transfer — Additional held-out furthest counterfactual</x:v>
      </x:c>
      <x:c r="O64" s="9" t="n">
        <x:f>'Evaluation Plan'!O64</x:f>
        <x:v>23</x:v>
      </x:c>
      <x:c r="P64" s="10" t="str">
        <x:f>'Evaluation Plan'!P64</x:f>
        <x:v>Build counterfactual scene A and save a first-frame filename.</x:v>
      </x:c>
      <x:c r="Q64" s="10" t="str">
        <x:f>'Evaluation Plan'!Q64</x:f>
        <x:v>Unpaired primary-endpoint coverage. Each A/B pair reverses the far physical identity with matched geometry.</x:v>
      </x:c>
      <x:c r="R64" s="10" t="str">
        <x:f>IF(ISBLANK('Evaluation Plan'!R64),"",'Evaluation Plan'!R64)</x:f>
      </x:c>
    </x:row>
    <x:row r="65" ht="66" customHeight="1">
      <x:c r="A65" s="8" t="str">
        <x:v>Not collected</x:v>
      </x:c>
      <x:c r="B65" s="8" t="n">
        <x:f>'Evaluation Plan'!B65</x:f>
        <x:v>63</x:v>
      </x:c>
      <x:c r="C65" s="7" t="str">
        <x:f>'Evaluation Plan'!C65</x:f>
        <x:v>Pick up the airplane toy furthest from the crushed Pepsi can and place it in the bowl.</x:v>
      </x:c>
      <x:c r="D65" s="7" t="str">
        <x:f>'Evaluation Plan'!D65</x:f>
        <x:v>P1 crushed Pepsi can at R2 (5 cm left of center) [REFERENCE]; P2 airplane toy with propellers with 6 cm edge gap behind P1 [CLOSE CANDIDATE]; P3 airplane toy without propellers with 20 cm edge gap in front of P1 [FAR CANDIDATE]</x:v>
      </x:c>
      <x:c r="E65" s="8" t="str">
        <x:f>IF(ISBLANK('Evaluation Plan'!E65),"",'Evaluation Plan'!E65)</x:f>
      </x:c>
      <x:c r="F65" s="8" t="str">
        <x:f>'Evaluation Plan'!F65</x:f>
        <x:v>airplane toy without propellers</x:v>
      </x:c>
      <x:c r="G65" s="7"/>
      <x:c r="H65" s="8" t="str">
        <x:f>'Evaluation Plan'!H65</x:f>
        <x:v>Concept/compositional transfer</x:v>
      </x:c>
      <x:c r="I65" s="8" t="str">
        <x:f>'Evaluation Plan'!I65</x:f>
        <x:v>RD-CF12B</x:v>
      </x:c>
      <x:c r="J65" s="8" t="str">
        <x:f>'Evaluation Plan'!J65</x:f>
        <x:v>RD-CF12</x:v>
      </x:c>
      <x:c r="K65" s="8" t="str">
        <x:f>'Evaluation Plan'!K65</x:f>
        <x:v>airplane toy</x:v>
      </x:c>
      <x:c r="L65" s="8" t="str">
        <x:f>'Evaluation Plan'!L65</x:f>
        <x:v>furthest</x:v>
      </x:c>
      <x:c r="M65" s="8" t="n">
        <x:f>'Evaluation Plan'!M65</x:f>
        <x:v>3</x:v>
      </x:c>
      <x:c r="N65" s="8" t="str">
        <x:f>'Evaluation Plan'!N65</x:f>
        <x:v>Additional transfer — Additional held-out furthest counterfactual</x:v>
      </x:c>
      <x:c r="O65" s="8" t="n">
        <x:f>'Evaluation Plan'!O65</x:f>
        <x:v>24</x:v>
      </x:c>
      <x:c r="P65" s="7" t="str">
        <x:f>'Evaluation Plan'!P65</x:f>
        <x:v>Swap only the P2/P3 candidate identities from the preceding A scene; preserve all geometry and other objects.</x:v>
      </x:c>
      <x:c r="Q65" s="7" t="str">
        <x:f>'Evaluation Plan'!Q65</x:f>
        <x:v>Unpaired primary-endpoint coverage. Each A/B pair reverses the far physical identity with matched geometry.</x:v>
      </x:c>
      <x:c r="R65" s="7" t="str">
        <x:f>IF(ISBLANK('Evaluation Plan'!R65),"",'Evaluation Plan'!R65)</x:f>
      </x:c>
    </x:row>
    <x:row r="66" ht="66" customHeight="1">
      <x:c r="A66" s="9" t="str">
        <x:v>Not collected</x:v>
      </x:c>
      <x:c r="B66" s="9" t="n">
        <x:f>'Evaluation Plan'!B66</x:f>
        <x:v>64</x:v>
      </x:c>
      <x:c r="C66" s="10" t="str">
        <x:f>'Evaluation Plan'!C66</x:f>
        <x:v>Pick up the crushed soda can furthest from the green pen and place it in the bowl.</x:v>
      </x:c>
      <x:c r="D66" s="10" t="str">
        <x:f>'Evaluation Plan'!D66</x:f>
        <x:v>P1 green pen at R3 (5 cm right of center) [REFERENCE]; P2 crushed Coke can with 6 cm edge gap to the left of P1 [CLOSE CANDIDATE]; P3 crushed Pepsi can with 20 cm edge gap to the right of P1 [FAR CANDIDATE]</x:v>
      </x:c>
      <x:c r="E66" s="9" t="str">
        <x:f>IF(ISBLANK('Evaluation Plan'!E66),"",'Evaluation Plan'!E66)</x:f>
      </x:c>
      <x:c r="F66" s="9" t="str">
        <x:f>'Evaluation Plan'!F66</x:f>
        <x:v>crushed Pepsi can</x:v>
      </x:c>
      <x:c r="G66" s="10"/>
      <x:c r="H66" s="9" t="str">
        <x:f>'Evaluation Plan'!H66</x:f>
        <x:v>Concept/compositional transfer</x:v>
      </x:c>
      <x:c r="I66" s="9" t="str">
        <x:f>'Evaluation Plan'!I66</x:f>
        <x:v>RD-CF13A</x:v>
      </x:c>
      <x:c r="J66" s="9" t="str">
        <x:f>'Evaluation Plan'!J66</x:f>
        <x:v>RD-CF13</x:v>
      </x:c>
      <x:c r="K66" s="9" t="str">
        <x:f>'Evaluation Plan'!K66</x:f>
        <x:v>crushed soda can</x:v>
      </x:c>
      <x:c r="L66" s="9" t="str">
        <x:f>'Evaluation Plan'!L66</x:f>
        <x:v>furthest</x:v>
      </x:c>
      <x:c r="M66" s="9" t="n">
        <x:f>'Evaluation Plan'!M66</x:f>
        <x:v>3</x:v>
      </x:c>
      <x:c r="N66" s="9" t="str">
        <x:f>'Evaluation Plan'!N66</x:f>
        <x:v>Additional transfer — Additional held-out furthest counterfactual</x:v>
      </x:c>
      <x:c r="O66" s="9" t="n">
        <x:f>'Evaluation Plan'!O66</x:f>
        <x:v>25</x:v>
      </x:c>
      <x:c r="P66" s="10" t="str">
        <x:f>'Evaluation Plan'!P66</x:f>
        <x:v>Build counterfactual scene A and save a first-frame filename.</x:v>
      </x:c>
      <x:c r="Q66" s="10" t="str">
        <x:f>'Evaluation Plan'!Q66</x:f>
        <x:v>Unpaired primary-endpoint coverage. Each A/B pair reverses the far physical identity with matched geometry.</x:v>
      </x:c>
      <x:c r="R66" s="10" t="str">
        <x:f>IF(ISBLANK('Evaluation Plan'!R66),"",'Evaluation Plan'!R66)</x:f>
      </x:c>
    </x:row>
    <x:row r="67" ht="66" customHeight="1">
      <x:c r="A67" s="8" t="str">
        <x:v>Not collected</x:v>
      </x:c>
      <x:c r="B67" s="8" t="n">
        <x:f>'Evaluation Plan'!B67</x:f>
        <x:v>65</x:v>
      </x:c>
      <x:c r="C67" s="7" t="str">
        <x:f>'Evaluation Plan'!C67</x:f>
        <x:v>Pick up the crushed soda can furthest from the green pen and place it in the bowl.</x:v>
      </x:c>
      <x:c r="D67" s="7" t="str">
        <x:f>'Evaluation Plan'!D67</x:f>
        <x:v>P1 green pen at R3 (5 cm right of center) [REFERENCE]; P2 crushed Pepsi can with 6 cm edge gap to the left of P1 [CLOSE CANDIDATE]; P3 crushed Coke can with 20 cm edge gap to the right of P1 [FAR CANDIDATE]</x:v>
      </x:c>
      <x:c r="E67" s="8" t="str">
        <x:f>IF(ISBLANK('Evaluation Plan'!E67),"",'Evaluation Plan'!E67)</x:f>
      </x:c>
      <x:c r="F67" s="8" t="str">
        <x:f>'Evaluation Plan'!F67</x:f>
        <x:v>crushed Coke can</x:v>
      </x:c>
      <x:c r="G67" s="7"/>
      <x:c r="H67" s="8" t="str">
        <x:f>'Evaluation Plan'!H67</x:f>
        <x:v>Concept/compositional transfer</x:v>
      </x:c>
      <x:c r="I67" s="8" t="str">
        <x:f>'Evaluation Plan'!I67</x:f>
        <x:v>RD-CF13B</x:v>
      </x:c>
      <x:c r="J67" s="8" t="str">
        <x:f>'Evaluation Plan'!J67</x:f>
        <x:v>RD-CF13</x:v>
      </x:c>
      <x:c r="K67" s="8" t="str">
        <x:f>'Evaluation Plan'!K67</x:f>
        <x:v>crushed soda can</x:v>
      </x:c>
      <x:c r="L67" s="8" t="str">
        <x:f>'Evaluation Plan'!L67</x:f>
        <x:v>furthest</x:v>
      </x:c>
      <x:c r="M67" s="8" t="n">
        <x:f>'Evaluation Plan'!M67</x:f>
        <x:v>3</x:v>
      </x:c>
      <x:c r="N67" s="8" t="str">
        <x:f>'Evaluation Plan'!N67</x:f>
        <x:v>Additional transfer — Additional held-out furthest counterfactual</x:v>
      </x:c>
      <x:c r="O67" s="8" t="n">
        <x:f>'Evaluation Plan'!O67</x:f>
        <x:v>26</x:v>
      </x:c>
      <x:c r="P67" s="7" t="str">
        <x:f>'Evaluation Plan'!P67</x:f>
        <x:v>Swap only the P2/P3 candidate identities from the preceding A scene; preserve all geometry and other objects.</x:v>
      </x:c>
      <x:c r="Q67" s="7" t="str">
        <x:f>'Evaluation Plan'!Q67</x:f>
        <x:v>Unpaired primary-endpoint coverage. Each A/B pair reverses the far physical identity with matched geometry.</x:v>
      </x:c>
      <x:c r="R67" s="7" t="str">
        <x:f>IF(ISBLANK('Evaluation Plan'!R67),"",'Evaluation Plan'!R67)</x:f>
      </x:c>
    </x:row>
    <x:row r="68" ht="66" customHeight="1">
      <x:c r="A68" s="9" t="str">
        <x:v>Not collected</x:v>
      </x:c>
      <x:c r="B68" s="9" t="n">
        <x:f>'Evaluation Plan'!B68</x:f>
        <x:v>66</x:v>
      </x:c>
      <x:c r="C68" s="10" t="str">
        <x:f>'Evaluation Plan'!C68</x:f>
        <x:v>Pick up the pencil sharpener furthest from the yellow pen and place it in the bowl.</x:v>
      </x:c>
      <x:c r="D68" s="10" t="str">
        <x:f>'Evaluation Plan'!D68</x:f>
        <x:v>P1 yellow pen at R4 (5 cm toward the robot from center) [REFERENCE]; P2 red pencil sharpener with 6 cm edge gap to the right of P1 [CLOSE CANDIDATE]; P3 green pencil sharpener with 20 cm edge gap to the left of P1 [FAR CANDIDATE]; P4 airplane toy with propellers with 14 cm edge gap behind P1 [DISTRACTOR]</x:v>
      </x:c>
      <x:c r="E68" s="9" t="str">
        <x:f>IF(ISBLANK('Evaluation Plan'!E68),"",'Evaluation Plan'!E68)</x:f>
      </x:c>
      <x:c r="F68" s="9" t="str">
        <x:f>'Evaluation Plan'!F68</x:f>
        <x:v>green pencil sharpener</x:v>
      </x:c>
      <x:c r="G68" s="10"/>
      <x:c r="H68" s="9" t="str">
        <x:f>'Evaluation Plan'!H68</x:f>
        <x:v>Concept/compositional transfer</x:v>
      </x:c>
      <x:c r="I68" s="9" t="str">
        <x:f>'Evaluation Plan'!I68</x:f>
        <x:v>RD-CF14A</x:v>
      </x:c>
      <x:c r="J68" s="9" t="str">
        <x:f>'Evaluation Plan'!J68</x:f>
        <x:v>RD-CF14</x:v>
      </x:c>
      <x:c r="K68" s="9" t="str">
        <x:f>'Evaluation Plan'!K68</x:f>
        <x:v>pencil sharpener</x:v>
      </x:c>
      <x:c r="L68" s="9" t="str">
        <x:f>'Evaluation Plan'!L68</x:f>
        <x:v>furthest</x:v>
      </x:c>
      <x:c r="M68" s="9" t="n">
        <x:f>'Evaluation Plan'!M68</x:f>
        <x:v>4</x:v>
      </x:c>
      <x:c r="N68" s="9" t="str">
        <x:f>'Evaluation Plan'!N68</x:f>
        <x:v>Additional transfer — Additional held-out furthest counterfactual</x:v>
      </x:c>
      <x:c r="O68" s="9" t="n">
        <x:f>'Evaluation Plan'!O68</x:f>
        <x:v>27</x:v>
      </x:c>
      <x:c r="P68" s="10" t="str">
        <x:f>'Evaluation Plan'!P68</x:f>
        <x:v>Build counterfactual scene A and save a first-frame filename.</x:v>
      </x:c>
      <x:c r="Q68" s="10" t="str">
        <x:f>'Evaluation Plan'!Q68</x:f>
        <x:v>Unpaired primary-endpoint coverage. Each A/B pair reverses the far physical identity with matched geometry.</x:v>
      </x:c>
      <x:c r="R68" s="10" t="str">
        <x:f>IF(ISBLANK('Evaluation Plan'!R68),"",'Evaluation Plan'!R68)</x:f>
      </x:c>
    </x:row>
    <x:row r="69" ht="66" customHeight="1">
      <x:c r="A69" s="8" t="str">
        <x:v>Not collected</x:v>
      </x:c>
      <x:c r="B69" s="8" t="n">
        <x:f>'Evaluation Plan'!B69</x:f>
        <x:v>67</x:v>
      </x:c>
      <x:c r="C69" s="7" t="str">
        <x:f>'Evaluation Plan'!C69</x:f>
        <x:v>Pick up the pencil sharpener furthest from the yellow pen and place it in the bowl.</x:v>
      </x:c>
      <x:c r="D69" s="7" t="str">
        <x:f>'Evaluation Plan'!D69</x:f>
        <x:v>P1 yellow pen at R4 (5 cm toward the robot from center) [REFERENCE]; P2 green pencil sharpener with 6 cm edge gap to the right of P1 [CLOSE CANDIDATE]; P3 red pencil sharpener with 20 cm edge gap to the left of P1 [FAR CANDIDATE]; P4 airplane toy with propellers with 14 cm edge gap behind P1 [DISTRACTOR]</x:v>
      </x:c>
      <x:c r="E69" s="8" t="str">
        <x:f>IF(ISBLANK('Evaluation Plan'!E69),"",'Evaluation Plan'!E69)</x:f>
      </x:c>
      <x:c r="F69" s="8" t="str">
        <x:f>'Evaluation Plan'!F69</x:f>
        <x:v>red pencil sharpener</x:v>
      </x:c>
      <x:c r="G69" s="7"/>
      <x:c r="H69" s="8" t="str">
        <x:f>'Evaluation Plan'!H69</x:f>
        <x:v>Concept/compositional transfer</x:v>
      </x:c>
      <x:c r="I69" s="8" t="str">
        <x:f>'Evaluation Plan'!I69</x:f>
        <x:v>RD-CF14B</x:v>
      </x:c>
      <x:c r="J69" s="8" t="str">
        <x:f>'Evaluation Plan'!J69</x:f>
        <x:v>RD-CF14</x:v>
      </x:c>
      <x:c r="K69" s="8" t="str">
        <x:f>'Evaluation Plan'!K69</x:f>
        <x:v>pencil sharpener</x:v>
      </x:c>
      <x:c r="L69" s="8" t="str">
        <x:f>'Evaluation Plan'!L69</x:f>
        <x:v>furthest</x:v>
      </x:c>
      <x:c r="M69" s="8" t="n">
        <x:f>'Evaluation Plan'!M69</x:f>
        <x:v>4</x:v>
      </x:c>
      <x:c r="N69" s="8" t="str">
        <x:f>'Evaluation Plan'!N69</x:f>
        <x:v>Additional transfer — Additional held-out furthest counterfactual</x:v>
      </x:c>
      <x:c r="O69" s="8" t="n">
        <x:f>'Evaluation Plan'!O69</x:f>
        <x:v>28</x:v>
      </x:c>
      <x:c r="P69" s="7" t="str">
        <x:f>'Evaluation Plan'!P69</x:f>
        <x:v>Swap only the P2/P3 candidate identities from the preceding A scene; preserve all geometry and other objects.</x:v>
      </x:c>
      <x:c r="Q69" s="7" t="str">
        <x:f>'Evaluation Plan'!Q69</x:f>
        <x:v>Unpaired primary-endpoint coverage. Each A/B pair reverses the far physical identity with matched geometry.</x:v>
      </x:c>
      <x:c r="R69" s="7" t="str">
        <x:f>IF(ISBLANK('Evaluation Plan'!R69),"",'Evaluation Plan'!R69)</x:f>
      </x:c>
    </x:row>
    <x:row r="70" ht="66" customHeight="1">
      <x:c r="A70" s="9" t="str">
        <x:v>Not collected</x:v>
      </x:c>
      <x:c r="B70" s="9" t="n">
        <x:f>'Evaluation Plan'!B70</x:f>
        <x:v>68</x:v>
      </x:c>
      <x:c r="C70" s="10" t="str">
        <x:f>'Evaluation Plan'!C70</x:f>
        <x:v>Pick up the pen furthest from the green pencil sharpener and place it in the bowl.</x:v>
      </x:c>
      <x:c r="D70" s="10" t="str">
        <x:f>'Evaluation Plan'!D70</x:f>
        <x:v>P1 green pencil sharpener at R5 (5 cm away from the robot from center) [REFERENCE]; P2 green pen with 6 cm edge gap in front of P1 [CLOSE CANDIDATE]; P3 yellow pen with 20 cm edge gap behind P1 [FAR CANDIDATE]; P4 airplane toy without propellers with 14 cm edge gap to the left of P1 [DISTRACTOR]</x:v>
      </x:c>
      <x:c r="E70" s="9" t="str">
        <x:f>IF(ISBLANK('Evaluation Plan'!E70),"",'Evaluation Plan'!E70)</x:f>
      </x:c>
      <x:c r="F70" s="9" t="str">
        <x:f>'Evaluation Plan'!F70</x:f>
        <x:v>yellow pen</x:v>
      </x:c>
      <x:c r="G70" s="10"/>
      <x:c r="H70" s="9" t="str">
        <x:f>'Evaluation Plan'!H70</x:f>
        <x:v>Concept/compositional transfer</x:v>
      </x:c>
      <x:c r="I70" s="9" t="str">
        <x:f>'Evaluation Plan'!I70</x:f>
        <x:v>RD-CF15A</x:v>
      </x:c>
      <x:c r="J70" s="9" t="str">
        <x:f>'Evaluation Plan'!J70</x:f>
        <x:v>RD-CF15</x:v>
      </x:c>
      <x:c r="K70" s="9" t="str">
        <x:f>'Evaluation Plan'!K70</x:f>
        <x:v>pen</x:v>
      </x:c>
      <x:c r="L70" s="9" t="str">
        <x:f>'Evaluation Plan'!L70</x:f>
        <x:v>furthest</x:v>
      </x:c>
      <x:c r="M70" s="9" t="n">
        <x:f>'Evaluation Plan'!M70</x:f>
        <x:v>4</x:v>
      </x:c>
      <x:c r="N70" s="9" t="str">
        <x:f>'Evaluation Plan'!N70</x:f>
        <x:v>Additional transfer — Additional held-out furthest counterfactual</x:v>
      </x:c>
      <x:c r="O70" s="9" t="n">
        <x:f>'Evaluation Plan'!O70</x:f>
        <x:v>29</x:v>
      </x:c>
      <x:c r="P70" s="10" t="str">
        <x:f>'Evaluation Plan'!P70</x:f>
        <x:v>Build counterfactual scene A and save a first-frame filename.</x:v>
      </x:c>
      <x:c r="Q70" s="10" t="str">
        <x:f>'Evaluation Plan'!Q70</x:f>
        <x:v>Unpaired primary-endpoint coverage. Each A/B pair reverses the far physical identity with matched geometry.</x:v>
      </x:c>
      <x:c r="R70" s="10" t="str">
        <x:f>IF(ISBLANK('Evaluation Plan'!R70),"",'Evaluation Plan'!R70)</x:f>
      </x:c>
    </x:row>
    <x:row r="71" ht="66" customHeight="1">
      <x:c r="A71" s="8" t="str">
        <x:v>Not collected</x:v>
      </x:c>
      <x:c r="B71" s="8" t="n">
        <x:f>'Evaluation Plan'!B71</x:f>
        <x:v>69</x:v>
      </x:c>
      <x:c r="C71" s="7" t="str">
        <x:f>'Evaluation Plan'!C71</x:f>
        <x:v>Pick up the pen furthest from the green pencil sharpener and place it in the bowl.</x:v>
      </x:c>
      <x:c r="D71" s="7" t="str">
        <x:f>'Evaluation Plan'!D71</x:f>
        <x:v>P1 green pencil sharpener at R5 (5 cm away from the robot from center) [REFERENCE]; P2 yellow pen with 6 cm edge gap in front of P1 [CLOSE CANDIDATE]; P3 green pen with 20 cm edge gap behind P1 [FAR CANDIDATE]; P4 airplane toy without propellers with 14 cm edge gap to the left of P1 [DISTRACTOR]</x:v>
      </x:c>
      <x:c r="E71" s="8" t="str">
        <x:f>IF(ISBLANK('Evaluation Plan'!E71),"",'Evaluation Plan'!E71)</x:f>
      </x:c>
      <x:c r="F71" s="8" t="str">
        <x:f>'Evaluation Plan'!F71</x:f>
        <x:v>green pen</x:v>
      </x:c>
      <x:c r="G71" s="7"/>
      <x:c r="H71" s="8" t="str">
        <x:f>'Evaluation Plan'!H71</x:f>
        <x:v>Concept/compositional transfer</x:v>
      </x:c>
      <x:c r="I71" s="8" t="str">
        <x:f>'Evaluation Plan'!I71</x:f>
        <x:v>RD-CF15B</x:v>
      </x:c>
      <x:c r="J71" s="8" t="str">
        <x:f>'Evaluation Plan'!J71</x:f>
        <x:v>RD-CF15</x:v>
      </x:c>
      <x:c r="K71" s="8" t="str">
        <x:f>'Evaluation Plan'!K71</x:f>
        <x:v>pen</x:v>
      </x:c>
      <x:c r="L71" s="8" t="str">
        <x:f>'Evaluation Plan'!L71</x:f>
        <x:v>furthest</x:v>
      </x:c>
      <x:c r="M71" s="8" t="n">
        <x:f>'Evaluation Plan'!M71</x:f>
        <x:v>4</x:v>
      </x:c>
      <x:c r="N71" s="8" t="str">
        <x:f>'Evaluation Plan'!N71</x:f>
        <x:v>Additional transfer — Additional held-out furthest counterfactual</x:v>
      </x:c>
      <x:c r="O71" s="8" t="n">
        <x:f>'Evaluation Plan'!O71</x:f>
        <x:v>30</x:v>
      </x:c>
      <x:c r="P71" s="7" t="str">
        <x:f>'Evaluation Plan'!P71</x:f>
        <x:v>Swap only the P2/P3 candidate identities from the preceding A scene; preserve all geometry and other objects.</x:v>
      </x:c>
      <x:c r="Q71" s="7" t="str">
        <x:f>'Evaluation Plan'!Q71</x:f>
        <x:v>Unpaired primary-endpoint coverage. Each A/B pair reverses the far physical identity with matched geometry.</x:v>
      </x:c>
      <x:c r="R71" s="7" t="str">
        <x:f>IF(ISBLANK('Evaluation Plan'!R71),"",'Evaluation Plan'!R71)</x:f>
      </x:c>
    </x:row>
    <x:row r="72" ht="66" customHeight="1">
      <x:c r="A72" s="9" t="str">
        <x:v>Not collected</x:v>
      </x:c>
      <x:c r="B72" s="9" t="n">
        <x:f>'Evaluation Plan'!B72</x:f>
        <x:v>70</x:v>
      </x:c>
      <x:c r="C72" s="10" t="str">
        <x:f>'Evaluation Plan'!C72</x:f>
        <x:v>Pick up the airplane toy furthest from the red pencil sharpener and place it in the bowl.</x:v>
      </x:c>
      <x:c r="D72" s="10" t="str">
        <x:f>'Evaluation Plan'!D72</x:f>
        <x:v>P1 red pencil sharpener at R1 (table center) [REFERENCE]; P2 airplane toy without propellers with 6 cm edge gap behind P1 [CLOSE CANDIDATE]; P3 airplane toy with propellers with 20 cm edge gap in front of P1 [FAR CANDIDATE]; P4 crushed Coke can with 14 cm edge gap to the right of P1 [DISTRACTOR]</x:v>
      </x:c>
      <x:c r="E72" s="9" t="str">
        <x:f>IF(ISBLANK('Evaluation Plan'!E72),"",'Evaluation Plan'!E72)</x:f>
      </x:c>
      <x:c r="F72" s="9" t="str">
        <x:f>'Evaluation Plan'!F72</x:f>
        <x:v>airplane toy with propellers</x:v>
      </x:c>
      <x:c r="G72" s="10"/>
      <x:c r="H72" s="9" t="str">
        <x:f>'Evaluation Plan'!H72</x:f>
        <x:v>Concept/compositional transfer</x:v>
      </x:c>
      <x:c r="I72" s="9" t="str">
        <x:f>'Evaluation Plan'!I72</x:f>
        <x:v>RD-CF16A</x:v>
      </x:c>
      <x:c r="J72" s="9" t="str">
        <x:f>'Evaluation Plan'!J72</x:f>
        <x:v>RD-CF16</x:v>
      </x:c>
      <x:c r="K72" s="9" t="str">
        <x:f>'Evaluation Plan'!K72</x:f>
        <x:v>airplane toy</x:v>
      </x:c>
      <x:c r="L72" s="9" t="str">
        <x:f>'Evaluation Plan'!L72</x:f>
        <x:v>furthest</x:v>
      </x:c>
      <x:c r="M72" s="9" t="n">
        <x:f>'Evaluation Plan'!M72</x:f>
        <x:v>4</x:v>
      </x:c>
      <x:c r="N72" s="9" t="str">
        <x:f>'Evaluation Plan'!N72</x:f>
        <x:v>Additional transfer — Additional held-out furthest counterfactual</x:v>
      </x:c>
      <x:c r="O72" s="9" t="n">
        <x:f>'Evaluation Plan'!O72</x:f>
        <x:v>31</x:v>
      </x:c>
      <x:c r="P72" s="10" t="str">
        <x:f>'Evaluation Plan'!P72</x:f>
        <x:v>Build counterfactual scene A and save a first-frame filename.</x:v>
      </x:c>
      <x:c r="Q72" s="10" t="str">
        <x:f>'Evaluation Plan'!Q72</x:f>
        <x:v>Unpaired primary-endpoint coverage. Each A/B pair reverses the far physical identity with matched geometry.</x:v>
      </x:c>
      <x:c r="R72" s="10" t="str">
        <x:f>IF(ISBLANK('Evaluation Plan'!R72),"",'Evaluation Plan'!R72)</x:f>
      </x:c>
    </x:row>
    <x:row r="73" ht="66" customHeight="1">
      <x:c r="A73" s="8" t="str">
        <x:v>Not collected</x:v>
      </x:c>
      <x:c r="B73" s="8" t="n">
        <x:f>'Evaluation Plan'!B73</x:f>
        <x:v>71</x:v>
      </x:c>
      <x:c r="C73" s="7" t="str">
        <x:f>'Evaluation Plan'!C73</x:f>
        <x:v>Pick up the airplane toy furthest from the red pencil sharpener and place it in the bowl.</x:v>
      </x:c>
      <x:c r="D73" s="7" t="str">
        <x:f>'Evaluation Plan'!D73</x:f>
        <x:v>P1 red pencil sharpener at R1 (table center) [REFERENCE]; P2 airplane toy with propellers with 6 cm edge gap behind P1 [CLOSE CANDIDATE]; P3 airplane toy without propellers with 20 cm edge gap in front of P1 [FAR CANDIDATE]; P4 crushed Coke can with 14 cm edge gap to the right of P1 [DISTRACTOR]</x:v>
      </x:c>
      <x:c r="E73" s="8" t="str">
        <x:f>IF(ISBLANK('Evaluation Plan'!E73),"",'Evaluation Plan'!E73)</x:f>
      </x:c>
      <x:c r="F73" s="8" t="str">
        <x:f>'Evaluation Plan'!F73</x:f>
        <x:v>airplane toy without propellers</x:v>
      </x:c>
      <x:c r="G73" s="7"/>
      <x:c r="H73" s="8" t="str">
        <x:f>'Evaluation Plan'!H73</x:f>
        <x:v>Concept/compositional transfer</x:v>
      </x:c>
      <x:c r="I73" s="8" t="str">
        <x:f>'Evaluation Plan'!I73</x:f>
        <x:v>RD-CF16B</x:v>
      </x:c>
      <x:c r="J73" s="8" t="str">
        <x:f>'Evaluation Plan'!J73</x:f>
        <x:v>RD-CF16</x:v>
      </x:c>
      <x:c r="K73" s="8" t="str">
        <x:f>'Evaluation Plan'!K73</x:f>
        <x:v>airplane toy</x:v>
      </x:c>
      <x:c r="L73" s="8" t="str">
        <x:f>'Evaluation Plan'!L73</x:f>
        <x:v>furthest</x:v>
      </x:c>
      <x:c r="M73" s="8" t="n">
        <x:f>'Evaluation Plan'!M73</x:f>
        <x:v>4</x:v>
      </x:c>
      <x:c r="N73" s="8" t="str">
        <x:f>'Evaluation Plan'!N73</x:f>
        <x:v>Additional transfer — Additional held-out furthest counterfactual</x:v>
      </x:c>
      <x:c r="O73" s="8" t="n">
        <x:f>'Evaluation Plan'!O73</x:f>
        <x:v>32</x:v>
      </x:c>
      <x:c r="P73" s="7" t="str">
        <x:f>'Evaluation Plan'!P73</x:f>
        <x:v>Swap only the P2/P3 candidate identities from the preceding A scene; preserve all geometry and other objects.</x:v>
      </x:c>
      <x:c r="Q73" s="7" t="str">
        <x:f>'Evaluation Plan'!Q73</x:f>
        <x:v>Unpaired primary-endpoint coverage. Each A/B pair reverses the far physical identity with matched geometry.</x:v>
      </x:c>
      <x:c r="R73" s="7" t="str">
        <x:f>IF(ISBLANK('Evaluation Plan'!R73),"",'Evaluation Plan'!R73)</x:f>
      </x:c>
    </x:row>
    <x:row r="74" ht="66" customHeight="1">
      <x:c r="A74" s="9" t="str">
        <x:v>Not collected</x:v>
      </x:c>
      <x:c r="B74" s="9" t="n">
        <x:f>'Evaluation Plan'!B74</x:f>
        <x:v>72</x:v>
      </x:c>
      <x:c r="C74" s="10" t="str">
        <x:f>'Evaluation Plan'!C74</x:f>
        <x:v>Pick up the crushed soda can furthest from the airplane toy with propellers and place it in the bowl.</x:v>
      </x:c>
      <x:c r="D74" s="10" t="str">
        <x:f>'Evaluation Plan'!D74</x:f>
        <x:v>P1 airplane toy with propellers at R2 (5 cm left of center) [REFERENCE]; P2 crushed Coke can with 6 cm edge gap to the left of P1 [CLOSE CANDIDATE]; P3 crushed Pepsi can with 20 cm edge gap to the right of P1 [FAR CANDIDATE]; P4 red pencil sharpener with 14 cm edge gap in front of P1 [DISTRACTOR]</x:v>
      </x:c>
      <x:c r="E74" s="9" t="str">
        <x:f>IF(ISBLANK('Evaluation Plan'!E74),"",'Evaluation Plan'!E74)</x:f>
      </x:c>
      <x:c r="F74" s="9" t="str">
        <x:f>'Evaluation Plan'!F74</x:f>
        <x:v>crushed Pepsi can</x:v>
      </x:c>
      <x:c r="G74" s="10"/>
      <x:c r="H74" s="9" t="str">
        <x:f>'Evaluation Plan'!H74</x:f>
        <x:v>Concept/compositional transfer</x:v>
      </x:c>
      <x:c r="I74" s="9" t="str">
        <x:f>'Evaluation Plan'!I74</x:f>
        <x:v>RD-CF17A</x:v>
      </x:c>
      <x:c r="J74" s="9" t="str">
        <x:f>'Evaluation Plan'!J74</x:f>
        <x:v>RD-CF17</x:v>
      </x:c>
      <x:c r="K74" s="9" t="str">
        <x:f>'Evaluation Plan'!K74</x:f>
        <x:v>crushed soda can</x:v>
      </x:c>
      <x:c r="L74" s="9" t="str">
        <x:f>'Evaluation Plan'!L74</x:f>
        <x:v>furthest</x:v>
      </x:c>
      <x:c r="M74" s="9" t="n">
        <x:f>'Evaluation Plan'!M74</x:f>
        <x:v>4</x:v>
      </x:c>
      <x:c r="N74" s="9" t="str">
        <x:f>'Evaluation Plan'!N74</x:f>
        <x:v>Additional transfer — Additional held-out furthest counterfactual</x:v>
      </x:c>
      <x:c r="O74" s="9" t="n">
        <x:f>'Evaluation Plan'!O74</x:f>
        <x:v>33</x:v>
      </x:c>
      <x:c r="P74" s="10" t="str">
        <x:f>'Evaluation Plan'!P74</x:f>
        <x:v>Build counterfactual scene A and save a first-frame filename.</x:v>
      </x:c>
      <x:c r="Q74" s="10" t="str">
        <x:f>'Evaluation Plan'!Q74</x:f>
        <x:v>Unpaired primary-endpoint coverage. Each A/B pair reverses the far physical identity with matched geometry.</x:v>
      </x:c>
      <x:c r="R74" s="10" t="str">
        <x:f>IF(ISBLANK('Evaluation Plan'!R74),"",'Evaluation Plan'!R74)</x:f>
      </x:c>
    </x:row>
    <x:row r="75" ht="66" customHeight="1">
      <x:c r="A75" s="8" t="str">
        <x:v>Not collected</x:v>
      </x:c>
      <x:c r="B75" s="8" t="n">
        <x:f>'Evaluation Plan'!B75</x:f>
        <x:v>73</x:v>
      </x:c>
      <x:c r="C75" s="7" t="str">
        <x:f>'Evaluation Plan'!C75</x:f>
        <x:v>Pick up the crushed soda can furthest from the airplane toy with propellers and place it in the bowl.</x:v>
      </x:c>
      <x:c r="D75" s="7" t="str">
        <x:f>'Evaluation Plan'!D75</x:f>
        <x:v>P1 airplane toy with propellers at R2 (5 cm left of center) [REFERENCE]; P2 crushed Pepsi can with 6 cm edge gap to the left of P1 [CLOSE CANDIDATE]; P3 crushed Coke can with 20 cm edge gap to the right of P1 [FAR CANDIDATE]; P4 red pencil sharpener with 14 cm edge gap in front of P1 [DISTRACTOR]</x:v>
      </x:c>
      <x:c r="E75" s="8" t="str">
        <x:f>IF(ISBLANK('Evaluation Plan'!E75),"",'Evaluation Plan'!E75)</x:f>
      </x:c>
      <x:c r="F75" s="8" t="str">
        <x:f>'Evaluation Plan'!F75</x:f>
        <x:v>crushed Coke can</x:v>
      </x:c>
      <x:c r="G75" s="7"/>
      <x:c r="H75" s="8" t="str">
        <x:f>'Evaluation Plan'!H75</x:f>
        <x:v>Concept/compositional transfer</x:v>
      </x:c>
      <x:c r="I75" s="8" t="str">
        <x:f>'Evaluation Plan'!I75</x:f>
        <x:v>RD-CF17B</x:v>
      </x:c>
      <x:c r="J75" s="8" t="str">
        <x:f>'Evaluation Plan'!J75</x:f>
        <x:v>RD-CF17</x:v>
      </x:c>
      <x:c r="K75" s="8" t="str">
        <x:f>'Evaluation Plan'!K75</x:f>
        <x:v>crushed soda can</x:v>
      </x:c>
      <x:c r="L75" s="8" t="str">
        <x:f>'Evaluation Plan'!L75</x:f>
        <x:v>furthest</x:v>
      </x:c>
      <x:c r="M75" s="8" t="n">
        <x:f>'Evaluation Plan'!M75</x:f>
        <x:v>4</x:v>
      </x:c>
      <x:c r="N75" s="8" t="str">
        <x:f>'Evaluation Plan'!N75</x:f>
        <x:v>Additional transfer — Additional held-out furthest counterfactual</x:v>
      </x:c>
      <x:c r="O75" s="8" t="n">
        <x:f>'Evaluation Plan'!O75</x:f>
        <x:v>34</x:v>
      </x:c>
      <x:c r="P75" s="7" t="str">
        <x:f>'Evaluation Plan'!P75</x:f>
        <x:v>Swap only the P2/P3 candidate identities from the preceding A scene; preserve all geometry and other objects.</x:v>
      </x:c>
      <x:c r="Q75" s="7" t="str">
        <x:f>'Evaluation Plan'!Q75</x:f>
        <x:v>Unpaired primary-endpoint coverage. Each A/B pair reverses the far physical identity with matched geometry.</x:v>
      </x:c>
      <x:c r="R75" s="7" t="str">
        <x:f>IF(ISBLANK('Evaluation Plan'!R75),"",'Evaluation Plan'!R75)</x:f>
      </x:c>
    </x:row>
    <x:row r="76" ht="66" customHeight="1">
      <x:c r="A76" s="9" t="str">
        <x:v>Not collected</x:v>
      </x:c>
      <x:c r="B76" s="9" t="n">
        <x:f>'Evaluation Plan'!B76</x:f>
        <x:v>74</x:v>
      </x:c>
      <x:c r="C76" s="10" t="str">
        <x:f>'Evaluation Plan'!C76</x:f>
        <x:v>Pick up the pencil sharpener furthest from the airplane toy without propellers and place it in the bowl.</x:v>
      </x:c>
      <x:c r="D76" s="10" t="str">
        <x:f>'Evaluation Plan'!D76</x:f>
        <x:v>P1 airplane toy without propellers at R3 (5 cm right of center) [REFERENCE]; P2 red pencil sharpener with 6 cm edge gap to the right of P1 [CLOSE CANDIDATE]; P3 green pencil sharpener with 20 cm edge gap to the left of P1 [FAR CANDIDATE]; P4 green pen with 14 cm edge gap behind P1 [DISTRACTOR]</x:v>
      </x:c>
      <x:c r="E76" s="9" t="str">
        <x:f>IF(ISBLANK('Evaluation Plan'!E76),"",'Evaluation Plan'!E76)</x:f>
      </x:c>
      <x:c r="F76" s="9" t="str">
        <x:f>'Evaluation Plan'!F76</x:f>
        <x:v>green pencil sharpener</x:v>
      </x:c>
      <x:c r="G76" s="10"/>
      <x:c r="H76" s="9" t="str">
        <x:f>'Evaluation Plan'!H76</x:f>
        <x:v>Concept/compositional transfer</x:v>
      </x:c>
      <x:c r="I76" s="9" t="str">
        <x:f>'Evaluation Plan'!I76</x:f>
        <x:v>RD-CF18A</x:v>
      </x:c>
      <x:c r="J76" s="9" t="str">
        <x:f>'Evaluation Plan'!J76</x:f>
        <x:v>RD-CF18</x:v>
      </x:c>
      <x:c r="K76" s="9" t="str">
        <x:f>'Evaluation Plan'!K76</x:f>
        <x:v>pencil sharpener</x:v>
      </x:c>
      <x:c r="L76" s="9" t="str">
        <x:f>'Evaluation Plan'!L76</x:f>
        <x:v>furthest</x:v>
      </x:c>
      <x:c r="M76" s="9" t="n">
        <x:f>'Evaluation Plan'!M76</x:f>
        <x:v>4</x:v>
      </x:c>
      <x:c r="N76" s="9" t="str">
        <x:f>'Evaluation Plan'!N76</x:f>
        <x:v>Additional transfer — Additional held-out furthest counterfactual</x:v>
      </x:c>
      <x:c r="O76" s="9" t="n">
        <x:f>'Evaluation Plan'!O76</x:f>
        <x:v>35</x:v>
      </x:c>
      <x:c r="P76" s="10" t="str">
        <x:f>'Evaluation Plan'!P76</x:f>
        <x:v>Build counterfactual scene A and save a first-frame filename.</x:v>
      </x:c>
      <x:c r="Q76" s="10" t="str">
        <x:f>'Evaluation Plan'!Q76</x:f>
        <x:v>Unpaired primary-endpoint coverage. Each A/B pair reverses the far physical identity with matched geometry.</x:v>
      </x:c>
      <x:c r="R76" s="10" t="str">
        <x:f>IF(ISBLANK('Evaluation Plan'!R76),"",'Evaluation Plan'!R76)</x:f>
      </x:c>
    </x:row>
    <x:row r="77" ht="66" customHeight="1">
      <x:c r="A77" s="8" t="str">
        <x:v>Not collected</x:v>
      </x:c>
      <x:c r="B77" s="8" t="n">
        <x:f>'Evaluation Plan'!B77</x:f>
        <x:v>75</x:v>
      </x:c>
      <x:c r="C77" s="7" t="str">
        <x:f>'Evaluation Plan'!C77</x:f>
        <x:v>Pick up the pencil sharpener furthest from the airplane toy without propellers and place it in the bowl.</x:v>
      </x:c>
      <x:c r="D77" s="7" t="str">
        <x:f>'Evaluation Plan'!D77</x:f>
        <x:v>P1 airplane toy without propellers at R3 (5 cm right of center) [REFERENCE]; P2 green pencil sharpener with 6 cm edge gap to the right of P1 [CLOSE CANDIDATE]; P3 red pencil sharpener with 20 cm edge gap to the left of P1 [FAR CANDIDATE]; P4 green pen with 14 cm edge gap behind P1 [DISTRACTOR]</x:v>
      </x:c>
      <x:c r="E77" s="8" t="str">
        <x:f>IF(ISBLANK('Evaluation Plan'!E77),"",'Evaluation Plan'!E77)</x:f>
      </x:c>
      <x:c r="F77" s="8" t="str">
        <x:f>'Evaluation Plan'!F77</x:f>
        <x:v>red pencil sharpener</x:v>
      </x:c>
      <x:c r="G77" s="7"/>
      <x:c r="H77" s="8" t="str">
        <x:f>'Evaluation Plan'!H77</x:f>
        <x:v>Concept/compositional transfer</x:v>
      </x:c>
      <x:c r="I77" s="8" t="str">
        <x:f>'Evaluation Plan'!I77</x:f>
        <x:v>RD-CF18B</x:v>
      </x:c>
      <x:c r="J77" s="8" t="str">
        <x:f>'Evaluation Plan'!J77</x:f>
        <x:v>RD-CF18</x:v>
      </x:c>
      <x:c r="K77" s="8" t="str">
        <x:f>'Evaluation Plan'!K77</x:f>
        <x:v>pencil sharpener</x:v>
      </x:c>
      <x:c r="L77" s="8" t="str">
        <x:f>'Evaluation Plan'!L77</x:f>
        <x:v>furthest</x:v>
      </x:c>
      <x:c r="M77" s="8" t="n">
        <x:f>'Evaluation Plan'!M77</x:f>
        <x:v>4</x:v>
      </x:c>
      <x:c r="N77" s="8" t="str">
        <x:f>'Evaluation Plan'!N77</x:f>
        <x:v>Additional transfer — Additional held-out furthest counterfactual</x:v>
      </x:c>
      <x:c r="O77" s="8" t="n">
        <x:f>'Evaluation Plan'!O77</x:f>
        <x:v>36</x:v>
      </x:c>
      <x:c r="P77" s="7" t="str">
        <x:f>'Evaluation Plan'!P77</x:f>
        <x:v>Swap only the P2/P3 candidate identities from the preceding A scene; preserve all geometry and other objects.</x:v>
      </x:c>
      <x:c r="Q77" s="7" t="str">
        <x:f>'Evaluation Plan'!Q77</x:f>
        <x:v>Unpaired primary-endpoint coverage. Each A/B pair reverses the far physical identity with matched geometry.</x:v>
      </x:c>
      <x:c r="R77" s="7" t="str">
        <x:f>IF(ISBLANK('Evaluation Plan'!R77),"",'Evaluation Plan'!R77)</x:f>
      </x:c>
    </x:row>
    <x:row r="78" ht="66" customHeight="1">
      <x:c r="A78" s="9" t="str">
        <x:v>Not collected</x:v>
      </x:c>
      <x:c r="B78" s="9" t="n">
        <x:f>'Evaluation Plan'!B78</x:f>
        <x:v>76</x:v>
      </x:c>
      <x:c r="C78" s="10" t="str">
        <x:f>'Evaluation Plan'!C78</x:f>
        <x:v>Pick up the pen furthest from the crushed Coke can and place it in the bowl.</x:v>
      </x:c>
      <x:c r="D78" s="10" t="str">
        <x:f>'Evaluation Plan'!D78</x:f>
        <x:v>P1 crushed Coke can at R4 (5 cm toward the robot from center) [REFERENCE]; P2 green pen with 6 cm edge gap in front of P1 [CLOSE CANDIDATE]; P3 yellow pen with 20 cm edge gap behind P1 [FAR CANDIDATE]; P4 airplane toy with propellers with 14 cm edge gap to the left of P1 [DISTRACTOR]</x:v>
      </x:c>
      <x:c r="E78" s="9" t="str">
        <x:f>IF(ISBLANK('Evaluation Plan'!E78),"",'Evaluation Plan'!E78)</x:f>
      </x:c>
      <x:c r="F78" s="9" t="str">
        <x:f>'Evaluation Plan'!F78</x:f>
        <x:v>yellow pen</x:v>
      </x:c>
      <x:c r="G78" s="10"/>
      <x:c r="H78" s="9" t="str">
        <x:f>'Evaluation Plan'!H78</x:f>
        <x:v>Concept/compositional transfer</x:v>
      </x:c>
      <x:c r="I78" s="9" t="str">
        <x:f>'Evaluation Plan'!I78</x:f>
        <x:v>RD-CF19A</x:v>
      </x:c>
      <x:c r="J78" s="9" t="str">
        <x:f>'Evaluation Plan'!J78</x:f>
        <x:v>RD-CF19</x:v>
      </x:c>
      <x:c r="K78" s="9" t="str">
        <x:f>'Evaluation Plan'!K78</x:f>
        <x:v>pen</x:v>
      </x:c>
      <x:c r="L78" s="9" t="str">
        <x:f>'Evaluation Plan'!L78</x:f>
        <x:v>furthest</x:v>
      </x:c>
      <x:c r="M78" s="9" t="n">
        <x:f>'Evaluation Plan'!M78</x:f>
        <x:v>4</x:v>
      </x:c>
      <x:c r="N78" s="9" t="str">
        <x:f>'Evaluation Plan'!N78</x:f>
        <x:v>Additional transfer — Additional held-out furthest counterfactual</x:v>
      </x:c>
      <x:c r="O78" s="9" t="n">
        <x:f>'Evaluation Plan'!O78</x:f>
        <x:v>37</x:v>
      </x:c>
      <x:c r="P78" s="10" t="str">
        <x:f>'Evaluation Plan'!P78</x:f>
        <x:v>Build counterfactual scene A and save a first-frame filename.</x:v>
      </x:c>
      <x:c r="Q78" s="10" t="str">
        <x:f>'Evaluation Plan'!Q78</x:f>
        <x:v>Unpaired primary-endpoint coverage. Each A/B pair reverses the far physical identity with matched geometry.</x:v>
      </x:c>
      <x:c r="R78" s="10" t="str">
        <x:f>IF(ISBLANK('Evaluation Plan'!R78),"",'Evaluation Plan'!R78)</x:f>
      </x:c>
    </x:row>
    <x:row r="79" ht="66" customHeight="1">
      <x:c r="A79" s="8" t="str">
        <x:v>Not collected</x:v>
      </x:c>
      <x:c r="B79" s="8" t="n">
        <x:f>'Evaluation Plan'!B79</x:f>
        <x:v>77</x:v>
      </x:c>
      <x:c r="C79" s="7" t="str">
        <x:f>'Evaluation Plan'!C79</x:f>
        <x:v>Pick up the pen furthest from the crushed Coke can and place it in the bowl.</x:v>
      </x:c>
      <x:c r="D79" s="7" t="str">
        <x:f>'Evaluation Plan'!D79</x:f>
        <x:v>P1 crushed Coke can at R4 (5 cm toward the robot from center) [REFERENCE]; P2 yellow pen with 6 cm edge gap in front of P1 [CLOSE CANDIDATE]; P3 green pen with 20 cm edge gap behind P1 [FAR CANDIDATE]; P4 airplane toy with propellers with 14 cm edge gap to the left of P1 [DISTRACTOR]</x:v>
      </x:c>
      <x:c r="E79" s="8" t="str">
        <x:f>IF(ISBLANK('Evaluation Plan'!E79),"",'Evaluation Plan'!E79)</x:f>
      </x:c>
      <x:c r="F79" s="8" t="str">
        <x:f>'Evaluation Plan'!F79</x:f>
        <x:v>green pen</x:v>
      </x:c>
      <x:c r="G79" s="7"/>
      <x:c r="H79" s="8" t="str">
        <x:f>'Evaluation Plan'!H79</x:f>
        <x:v>Concept/compositional transfer</x:v>
      </x:c>
      <x:c r="I79" s="8" t="str">
        <x:f>'Evaluation Plan'!I79</x:f>
        <x:v>RD-CF19B</x:v>
      </x:c>
      <x:c r="J79" s="8" t="str">
        <x:f>'Evaluation Plan'!J79</x:f>
        <x:v>RD-CF19</x:v>
      </x:c>
      <x:c r="K79" s="8" t="str">
        <x:f>'Evaluation Plan'!K79</x:f>
        <x:v>pen</x:v>
      </x:c>
      <x:c r="L79" s="8" t="str">
        <x:f>'Evaluation Plan'!L79</x:f>
        <x:v>furthest</x:v>
      </x:c>
      <x:c r="M79" s="8" t="n">
        <x:f>'Evaluation Plan'!M79</x:f>
        <x:v>4</x:v>
      </x:c>
      <x:c r="N79" s="8" t="str">
        <x:f>'Evaluation Plan'!N79</x:f>
        <x:v>Additional transfer — Additional held-out furthest counterfactual</x:v>
      </x:c>
      <x:c r="O79" s="8" t="n">
        <x:f>'Evaluation Plan'!O79</x:f>
        <x:v>38</x:v>
      </x:c>
      <x:c r="P79" s="7" t="str">
        <x:f>'Evaluation Plan'!P79</x:f>
        <x:v>Swap only the P2/P3 candidate identities from the preceding A scene; preserve all geometry and other objects.</x:v>
      </x:c>
      <x:c r="Q79" s="7" t="str">
        <x:f>'Evaluation Plan'!Q79</x:f>
        <x:v>Unpaired primary-endpoint coverage. Each A/B pair reverses the far physical identity with matched geometry.</x:v>
      </x:c>
      <x:c r="R79" s="7" t="str">
        <x:f>IF(ISBLANK('Evaluation Plan'!R79),"",'Evaluation Plan'!R79)</x:f>
      </x:c>
    </x:row>
    <x:row r="80" ht="66" customHeight="1">
      <x:c r="A80" s="9" t="str">
        <x:v>Not collected</x:v>
      </x:c>
      <x:c r="B80" s="9" t="n">
        <x:f>'Evaluation Plan'!B80</x:f>
        <x:v>78</x:v>
      </x:c>
      <x:c r="C80" s="10" t="str">
        <x:f>'Evaluation Plan'!C80</x:f>
        <x:v>Pick up the airplane toy furthest from the yellow pen and place it in the bowl.</x:v>
      </x:c>
      <x:c r="D80" s="10" t="str">
        <x:f>'Evaluation Plan'!D80</x:f>
        <x:v>P1 yellow pen at R5 (5 cm away from the robot from center) [REFERENCE]; P2 airplane toy without propellers with 6 cm edge gap behind P1 [CLOSE CANDIDATE]; P3 airplane toy with propellers with 20 cm edge gap in front of P1 [FAR CANDIDATE]; P4 green pen with 14 cm edge gap to the right of P1 [DISTRACTOR]</x:v>
      </x:c>
      <x:c r="E80" s="9" t="str">
        <x:f>IF(ISBLANK('Evaluation Plan'!E80),"",'Evaluation Plan'!E80)</x:f>
      </x:c>
      <x:c r="F80" s="9" t="str">
        <x:f>'Evaluation Plan'!F80</x:f>
        <x:v>airplane toy with propellers</x:v>
      </x:c>
      <x:c r="G80" s="10"/>
      <x:c r="H80" s="9" t="str">
        <x:f>'Evaluation Plan'!H80</x:f>
        <x:v>Concept/compositional transfer</x:v>
      </x:c>
      <x:c r="I80" s="9" t="str">
        <x:f>'Evaluation Plan'!I80</x:f>
        <x:v>RD-CF20A</x:v>
      </x:c>
      <x:c r="J80" s="9" t="str">
        <x:f>'Evaluation Plan'!J80</x:f>
        <x:v>RD-CF20</x:v>
      </x:c>
      <x:c r="K80" s="9" t="str">
        <x:f>'Evaluation Plan'!K80</x:f>
        <x:v>airplane toy</x:v>
      </x:c>
      <x:c r="L80" s="9" t="str">
        <x:f>'Evaluation Plan'!L80</x:f>
        <x:v>furthest</x:v>
      </x:c>
      <x:c r="M80" s="9" t="n">
        <x:f>'Evaluation Plan'!M80</x:f>
        <x:v>4</x:v>
      </x:c>
      <x:c r="N80" s="9" t="str">
        <x:f>'Evaluation Plan'!N80</x:f>
        <x:v>Additional transfer — Additional held-out furthest counterfactual</x:v>
      </x:c>
      <x:c r="O80" s="9" t="n">
        <x:f>'Evaluation Plan'!O80</x:f>
        <x:v>39</x:v>
      </x:c>
      <x:c r="P80" s="10" t="str">
        <x:f>'Evaluation Plan'!P80</x:f>
        <x:v>Build counterfactual scene A and save a first-frame filename.</x:v>
      </x:c>
      <x:c r="Q80" s="10" t="str">
        <x:f>'Evaluation Plan'!Q80</x:f>
        <x:v>Unpaired primary-endpoint coverage. Each A/B pair reverses the far physical identity with matched geometry.</x:v>
      </x:c>
      <x:c r="R80" s="10" t="str">
        <x:f>IF(ISBLANK('Evaluation Plan'!R80),"",'Evaluation Plan'!R80)</x:f>
      </x:c>
    </x:row>
    <x:row r="81" ht="66" customHeight="1">
      <x:c r="A81" s="8" t="str">
        <x:v>Not collected</x:v>
      </x:c>
      <x:c r="B81" s="8" t="n">
        <x:f>'Evaluation Plan'!B81</x:f>
        <x:v>79</x:v>
      </x:c>
      <x:c r="C81" s="7" t="str">
        <x:f>'Evaluation Plan'!C81</x:f>
        <x:v>Pick up the airplane toy furthest from the yellow pen and place it in the bowl.</x:v>
      </x:c>
      <x:c r="D81" s="7" t="str">
        <x:f>'Evaluation Plan'!D81</x:f>
        <x:v>P1 yellow pen at R5 (5 cm away from the robot from center) [REFERENCE]; P2 airplane toy with propellers with 6 cm edge gap behind P1 [CLOSE CANDIDATE]; P3 airplane toy without propellers with 20 cm edge gap in front of P1 [FAR CANDIDATE]; P4 green pen with 14 cm edge gap to the right of P1 [DISTRACTOR]</x:v>
      </x:c>
      <x:c r="E81" s="8" t="str">
        <x:f>IF(ISBLANK('Evaluation Plan'!E81),"",'Evaluation Plan'!E81)</x:f>
      </x:c>
      <x:c r="F81" s="8" t="str">
        <x:f>'Evaluation Plan'!F81</x:f>
        <x:v>airplane toy without propellers</x:v>
      </x:c>
      <x:c r="G81" s="7"/>
      <x:c r="H81" s="8" t="str">
        <x:f>'Evaluation Plan'!H81</x:f>
        <x:v>Concept/compositional transfer</x:v>
      </x:c>
      <x:c r="I81" s="8" t="str">
        <x:f>'Evaluation Plan'!I81</x:f>
        <x:v>RD-CF20B</x:v>
      </x:c>
      <x:c r="J81" s="8" t="str">
        <x:f>'Evaluation Plan'!J81</x:f>
        <x:v>RD-CF20</x:v>
      </x:c>
      <x:c r="K81" s="8" t="str">
        <x:f>'Evaluation Plan'!K81</x:f>
        <x:v>airplane toy</x:v>
      </x:c>
      <x:c r="L81" s="8" t="str">
        <x:f>'Evaluation Plan'!L81</x:f>
        <x:v>furthest</x:v>
      </x:c>
      <x:c r="M81" s="8" t="n">
        <x:f>'Evaluation Plan'!M81</x:f>
        <x:v>4</x:v>
      </x:c>
      <x:c r="N81" s="8" t="str">
        <x:f>'Evaluation Plan'!N81</x:f>
        <x:v>Additional transfer — Additional held-out furthest counterfactual</x:v>
      </x:c>
      <x:c r="O81" s="8" t="n">
        <x:f>'Evaluation Plan'!O81</x:f>
        <x:v>40</x:v>
      </x:c>
      <x:c r="P81" s="7" t="str">
        <x:f>'Evaluation Plan'!P81</x:f>
        <x:v>Swap only the P2/P3 candidate identities from the preceding A scene; preserve all geometry and other objects.</x:v>
      </x:c>
      <x:c r="Q81" s="7" t="str">
        <x:f>'Evaluation Plan'!Q81</x:f>
        <x:v>Unpaired primary-endpoint coverage. Each A/B pair reverses the far physical identity with matched geometry.</x:v>
      </x:c>
      <x:c r="R81" s="7" t="str">
        <x:f>IF(ISBLANK('Evaluation Plan'!R81),"",'Evaluation Plan'!R81)</x:f>
      </x:c>
    </x:row>
    <x:row r="82" ht="66" customHeight="1">
      <x:c r="A82" s="9" t="str">
        <x:v>Not collected</x:v>
      </x:c>
      <x:c r="B82" s="9" t="n">
        <x:f>'Evaluation Plan'!B82</x:f>
        <x:v>80</x:v>
      </x:c>
      <x:c r="C82" s="10" t="str">
        <x:f>'Evaluation Plan'!C82</x:f>
        <x:v>Pick up the crushed soda can furthest from the green pencil sharpener and place it in the bowl.</x:v>
      </x:c>
      <x:c r="D82" s="10" t="str">
        <x:f>'Evaluation Plan'!D82</x:f>
        <x:v>P1 green pencil sharpener at R1 (table center) [REFERENCE]; P2 crushed Coke can with 6 cm edge gap to the left of P1 [CLOSE CANDIDATE]; P3 crushed Pepsi can with 20 cm edge gap to the right of P1 [FAR CANDIDATE]; P4 red pencil sharpener with 14 cm edge gap in front of P1 [DISTRACTOR]; P5 green pen with 14 cm edge gap behind P1 [DISTRACTOR]</x:v>
      </x:c>
      <x:c r="E82" s="9" t="str">
        <x:f>IF(ISBLANK('Evaluation Plan'!E82),"",'Evaluation Plan'!E82)</x:f>
      </x:c>
      <x:c r="F82" s="9" t="str">
        <x:f>'Evaluation Plan'!F82</x:f>
        <x:v>crushed Pepsi can</x:v>
      </x:c>
      <x:c r="G82" s="10"/>
      <x:c r="H82" s="9" t="str">
        <x:f>'Evaluation Plan'!H82</x:f>
        <x:v>Concept/compositional transfer</x:v>
      </x:c>
      <x:c r="I82" s="9" t="str">
        <x:f>'Evaluation Plan'!I82</x:f>
        <x:v>RD-CF21A</x:v>
      </x:c>
      <x:c r="J82" s="9" t="str">
        <x:f>'Evaluation Plan'!J82</x:f>
        <x:v>RD-CF21</x:v>
      </x:c>
      <x:c r="K82" s="9" t="str">
        <x:f>'Evaluation Plan'!K82</x:f>
        <x:v>crushed soda can</x:v>
      </x:c>
      <x:c r="L82" s="9" t="str">
        <x:f>'Evaluation Plan'!L82</x:f>
        <x:v>furthest</x:v>
      </x:c>
      <x:c r="M82" s="9" t="n">
        <x:f>'Evaluation Plan'!M82</x:f>
        <x:v>5</x:v>
      </x:c>
      <x:c r="N82" s="9" t="str">
        <x:f>'Evaluation Plan'!N82</x:f>
        <x:v>Additional transfer — Additional held-out furthest counterfactual</x:v>
      </x:c>
      <x:c r="O82" s="9" t="n">
        <x:f>'Evaluation Plan'!O82</x:f>
        <x:v>41</x:v>
      </x:c>
      <x:c r="P82" s="10" t="str">
        <x:f>'Evaluation Plan'!P82</x:f>
        <x:v>Build counterfactual scene A and save a first-frame filename.</x:v>
      </x:c>
      <x:c r="Q82" s="10" t="str">
        <x:f>'Evaluation Plan'!Q82</x:f>
        <x:v>Unpaired primary-endpoint coverage. Each A/B pair reverses the far physical identity with matched geometry.</x:v>
      </x:c>
      <x:c r="R82" s="10" t="str">
        <x:f>IF(ISBLANK('Evaluation Plan'!R82),"",'Evaluation Plan'!R82)</x:f>
      </x:c>
    </x:row>
    <x:row r="83" ht="66" customHeight="1">
      <x:c r="A83" s="8" t="str">
        <x:v>Not collected</x:v>
      </x:c>
      <x:c r="B83" s="8" t="n">
        <x:f>'Evaluation Plan'!B83</x:f>
        <x:v>81</x:v>
      </x:c>
      <x:c r="C83" s="7" t="str">
        <x:f>'Evaluation Plan'!C83</x:f>
        <x:v>Pick up the crushed soda can furthest from the green pencil sharpener and place it in the bowl.</x:v>
      </x:c>
      <x:c r="D83" s="7" t="str">
        <x:f>'Evaluation Plan'!D83</x:f>
        <x:v>P1 green pencil sharpener at R1 (table center) [REFERENCE]; P2 crushed Pepsi can with 6 cm edge gap to the left of P1 [CLOSE CANDIDATE]; P3 crushed Coke can with 20 cm edge gap to the right of P1 [FAR CANDIDATE]; P4 red pencil sharpener with 14 cm edge gap in front of P1 [DISTRACTOR]; P5 green pen with 14 cm edge gap behind P1 [DISTRACTOR]</x:v>
      </x:c>
      <x:c r="E83" s="8" t="str">
        <x:f>IF(ISBLANK('Evaluation Plan'!E83),"",'Evaluation Plan'!E83)</x:f>
      </x:c>
      <x:c r="F83" s="8" t="str">
        <x:f>'Evaluation Plan'!F83</x:f>
        <x:v>crushed Coke can</x:v>
      </x:c>
      <x:c r="G83" s="7"/>
      <x:c r="H83" s="8" t="str">
        <x:f>'Evaluation Plan'!H83</x:f>
        <x:v>Concept/compositional transfer</x:v>
      </x:c>
      <x:c r="I83" s="8" t="str">
        <x:f>'Evaluation Plan'!I83</x:f>
        <x:v>RD-CF21B</x:v>
      </x:c>
      <x:c r="J83" s="8" t="str">
        <x:f>'Evaluation Plan'!J83</x:f>
        <x:v>RD-CF21</x:v>
      </x:c>
      <x:c r="K83" s="8" t="str">
        <x:f>'Evaluation Plan'!K83</x:f>
        <x:v>crushed soda can</x:v>
      </x:c>
      <x:c r="L83" s="8" t="str">
        <x:f>'Evaluation Plan'!L83</x:f>
        <x:v>furthest</x:v>
      </x:c>
      <x:c r="M83" s="8" t="n">
        <x:f>'Evaluation Plan'!M83</x:f>
        <x:v>5</x:v>
      </x:c>
      <x:c r="N83" s="8" t="str">
        <x:f>'Evaluation Plan'!N83</x:f>
        <x:v>Additional transfer — Additional held-out furthest counterfactual</x:v>
      </x:c>
      <x:c r="O83" s="8" t="n">
        <x:f>'Evaluation Plan'!O83</x:f>
        <x:v>42</x:v>
      </x:c>
      <x:c r="P83" s="7" t="str">
        <x:f>'Evaluation Plan'!P83</x:f>
        <x:v>Swap only the P2/P3 candidate identities from the preceding A scene; preserve all geometry and other objects.</x:v>
      </x:c>
      <x:c r="Q83" s="7" t="str">
        <x:f>'Evaluation Plan'!Q83</x:f>
        <x:v>Unpaired primary-endpoint coverage. Each A/B pair reverses the far physical identity with matched geometry.</x:v>
      </x:c>
      <x:c r="R83" s="7" t="str">
        <x:f>IF(ISBLANK('Evaluation Plan'!R83),"",'Evaluation Plan'!R83)</x:f>
      </x:c>
    </x:row>
    <x:row r="84" ht="66" customHeight="1">
      <x:c r="A84" s="9" t="str">
        <x:v>Not collected</x:v>
      </x:c>
      <x:c r="B84" s="9" t="n">
        <x:f>'Evaluation Plan'!B84</x:f>
        <x:v>82</x:v>
      </x:c>
      <x:c r="C84" s="10" t="str">
        <x:f>'Evaluation Plan'!C84</x:f>
        <x:v>Pick up the pencil sharpener furthest from the crushed Pepsi can and place it in the bowl.</x:v>
      </x:c>
      <x:c r="D84" s="10" t="str">
        <x:f>'Evaluation Plan'!D84</x:f>
        <x:v>P1 crushed Pepsi can at R2 (5 cm left of center) [REFERENCE]; P2 red pencil sharpener with 6 cm edge gap to the right of P1 [CLOSE CANDIDATE]; P3 green pencil sharpener with 20 cm edge gap to the left of P1 [FAR CANDIDATE]; P4 green pen with 14 cm edge gap behind P1 [DISTRACTOR]; P5 yellow pen with 14 cm edge gap in front of P1 [DISTRACTOR]</x:v>
      </x:c>
      <x:c r="E84" s="9" t="str">
        <x:f>IF(ISBLANK('Evaluation Plan'!E84),"",'Evaluation Plan'!E84)</x:f>
      </x:c>
      <x:c r="F84" s="9" t="str">
        <x:f>'Evaluation Plan'!F84</x:f>
        <x:v>green pencil sharpener</x:v>
      </x:c>
      <x:c r="G84" s="10"/>
      <x:c r="H84" s="9" t="str">
        <x:f>'Evaluation Plan'!H84</x:f>
        <x:v>Concept/compositional transfer</x:v>
      </x:c>
      <x:c r="I84" s="9" t="str">
        <x:f>'Evaluation Plan'!I84</x:f>
        <x:v>RD-CF22A</x:v>
      </x:c>
      <x:c r="J84" s="9" t="str">
        <x:f>'Evaluation Plan'!J84</x:f>
        <x:v>RD-CF22</x:v>
      </x:c>
      <x:c r="K84" s="9" t="str">
        <x:f>'Evaluation Plan'!K84</x:f>
        <x:v>pencil sharpener</x:v>
      </x:c>
      <x:c r="L84" s="9" t="str">
        <x:f>'Evaluation Plan'!L84</x:f>
        <x:v>furthest</x:v>
      </x:c>
      <x:c r="M84" s="9" t="n">
        <x:f>'Evaluation Plan'!M84</x:f>
        <x:v>5</x:v>
      </x:c>
      <x:c r="N84" s="9" t="str">
        <x:f>'Evaluation Plan'!N84</x:f>
        <x:v>Additional transfer — Additional held-out furthest counterfactual</x:v>
      </x:c>
      <x:c r="O84" s="9" t="n">
        <x:f>'Evaluation Plan'!O84</x:f>
        <x:v>43</x:v>
      </x:c>
      <x:c r="P84" s="10" t="str">
        <x:f>'Evaluation Plan'!P84</x:f>
        <x:v>Build counterfactual scene A and save a first-frame filename.</x:v>
      </x:c>
      <x:c r="Q84" s="10" t="str">
        <x:f>'Evaluation Plan'!Q84</x:f>
        <x:v>Unpaired primary-endpoint coverage. Each A/B pair reverses the far physical identity with matched geometry.</x:v>
      </x:c>
      <x:c r="R84" s="10" t="str">
        <x:f>IF(ISBLANK('Evaluation Plan'!R84),"",'Evaluation Plan'!R84)</x:f>
      </x:c>
    </x:row>
    <x:row r="85" ht="66" customHeight="1">
      <x:c r="A85" s="8" t="str">
        <x:v>Not collected</x:v>
      </x:c>
      <x:c r="B85" s="8" t="n">
        <x:f>'Evaluation Plan'!B85</x:f>
        <x:v>83</x:v>
      </x:c>
      <x:c r="C85" s="7" t="str">
        <x:f>'Evaluation Plan'!C85</x:f>
        <x:v>Pick up the pencil sharpener furthest from the crushed Pepsi can and place it in the bowl.</x:v>
      </x:c>
      <x:c r="D85" s="7" t="str">
        <x:f>'Evaluation Plan'!D85</x:f>
        <x:v>P1 crushed Pepsi can at R2 (5 cm left of center) [REFERENCE]; P2 green pencil sharpener with 6 cm edge gap to the right of P1 [CLOSE CANDIDATE]; P3 red pencil sharpener with 20 cm edge gap to the left of P1 [FAR CANDIDATE]; P4 green pen with 14 cm edge gap behind P1 [DISTRACTOR]; P5 yellow pen with 14 cm edge gap in front of P1 [DISTRACTOR]</x:v>
      </x:c>
      <x:c r="E85" s="8" t="str">
        <x:f>IF(ISBLANK('Evaluation Plan'!E85),"",'Evaluation Plan'!E85)</x:f>
      </x:c>
      <x:c r="F85" s="8" t="str">
        <x:f>'Evaluation Plan'!F85</x:f>
        <x:v>red pencil sharpener</x:v>
      </x:c>
      <x:c r="G85" s="7"/>
      <x:c r="H85" s="8" t="str">
        <x:f>'Evaluation Plan'!H85</x:f>
        <x:v>Concept/compositional transfer</x:v>
      </x:c>
      <x:c r="I85" s="8" t="str">
        <x:f>'Evaluation Plan'!I85</x:f>
        <x:v>RD-CF22B</x:v>
      </x:c>
      <x:c r="J85" s="8" t="str">
        <x:f>'Evaluation Plan'!J85</x:f>
        <x:v>RD-CF22</x:v>
      </x:c>
      <x:c r="K85" s="8" t="str">
        <x:f>'Evaluation Plan'!K85</x:f>
        <x:v>pencil sharpener</x:v>
      </x:c>
      <x:c r="L85" s="8" t="str">
        <x:f>'Evaluation Plan'!L85</x:f>
        <x:v>furthest</x:v>
      </x:c>
      <x:c r="M85" s="8" t="n">
        <x:f>'Evaluation Plan'!M85</x:f>
        <x:v>5</x:v>
      </x:c>
      <x:c r="N85" s="8" t="str">
        <x:f>'Evaluation Plan'!N85</x:f>
        <x:v>Additional transfer — Additional held-out furthest counterfactual</x:v>
      </x:c>
      <x:c r="O85" s="8" t="n">
        <x:f>'Evaluation Plan'!O85</x:f>
        <x:v>44</x:v>
      </x:c>
      <x:c r="P85" s="7" t="str">
        <x:f>'Evaluation Plan'!P85</x:f>
        <x:v>Swap only the P2/P3 candidate identities from the preceding A scene; preserve all geometry and other objects.</x:v>
      </x:c>
      <x:c r="Q85" s="7" t="str">
        <x:f>'Evaluation Plan'!Q85</x:f>
        <x:v>Unpaired primary-endpoint coverage. Each A/B pair reverses the far physical identity with matched geometry.</x:v>
      </x:c>
      <x:c r="R85" s="7" t="str">
        <x:f>IF(ISBLANK('Evaluation Plan'!R85),"",'Evaluation Plan'!R85)</x:f>
      </x:c>
    </x:row>
    <x:row r="86" ht="66" customHeight="1">
      <x:c r="A86" s="9" t="str">
        <x:v>Not collected</x:v>
      </x:c>
      <x:c r="B86" s="9" t="n">
        <x:f>'Evaluation Plan'!B86</x:f>
        <x:v>84</x:v>
      </x:c>
      <x:c r="C86" s="10" t="str">
        <x:f>'Evaluation Plan'!C86</x:f>
        <x:v>Pick up the pen furthest from the airplane toy with propellers and place it in the bowl.</x:v>
      </x:c>
      <x:c r="D86" s="10" t="str">
        <x:f>'Evaluation Plan'!D86</x:f>
        <x:v>P1 airplane toy with propellers at R3 (5 cm right of center) [REFERENCE]; P2 green pen with 6 cm edge gap in front of P1 [CLOSE CANDIDATE]; P3 yellow pen with 20 cm edge gap behind P1 [FAR CANDIDATE]; P4 green pencil sharpener with 14 cm edge gap to the left of P1 [DISTRACTOR]; P5 red pencil sharpener with 14 cm edge gap to the right of P1 [DISTRACTOR]</x:v>
      </x:c>
      <x:c r="E86" s="9" t="str">
        <x:f>IF(ISBLANK('Evaluation Plan'!E86),"",'Evaluation Plan'!E86)</x:f>
      </x:c>
      <x:c r="F86" s="9" t="str">
        <x:f>'Evaluation Plan'!F86</x:f>
        <x:v>yellow pen</x:v>
      </x:c>
      <x:c r="G86" s="10"/>
      <x:c r="H86" s="9" t="str">
        <x:f>'Evaluation Plan'!H86</x:f>
        <x:v>Concept/compositional transfer</x:v>
      </x:c>
      <x:c r="I86" s="9" t="str">
        <x:f>'Evaluation Plan'!I86</x:f>
        <x:v>RD-CF23A</x:v>
      </x:c>
      <x:c r="J86" s="9" t="str">
        <x:f>'Evaluation Plan'!J86</x:f>
        <x:v>RD-CF23</x:v>
      </x:c>
      <x:c r="K86" s="9" t="str">
        <x:f>'Evaluation Plan'!K86</x:f>
        <x:v>pen</x:v>
      </x:c>
      <x:c r="L86" s="9" t="str">
        <x:f>'Evaluation Plan'!L86</x:f>
        <x:v>furthest</x:v>
      </x:c>
      <x:c r="M86" s="9" t="n">
        <x:f>'Evaluation Plan'!M86</x:f>
        <x:v>5</x:v>
      </x:c>
      <x:c r="N86" s="9" t="str">
        <x:f>'Evaluation Plan'!N86</x:f>
        <x:v>Additional transfer — Additional held-out furthest counterfactual</x:v>
      </x:c>
      <x:c r="O86" s="9" t="n">
        <x:f>'Evaluation Plan'!O86</x:f>
        <x:v>45</x:v>
      </x:c>
      <x:c r="P86" s="10" t="str">
        <x:f>'Evaluation Plan'!P86</x:f>
        <x:v>Build counterfactual scene A and save a first-frame filename.</x:v>
      </x:c>
      <x:c r="Q86" s="10" t="str">
        <x:f>'Evaluation Plan'!Q86</x:f>
        <x:v>Unpaired primary-endpoint coverage. Each A/B pair reverses the far physical identity with matched geometry.</x:v>
      </x:c>
      <x:c r="R86" s="10" t="str">
        <x:f>IF(ISBLANK('Evaluation Plan'!R86),"",'Evaluation Plan'!R86)</x:f>
      </x:c>
    </x:row>
    <x:row r="87" ht="66" customHeight="1">
      <x:c r="A87" s="8" t="str">
        <x:v>Not collected</x:v>
      </x:c>
      <x:c r="B87" s="8" t="n">
        <x:f>'Evaluation Plan'!B87</x:f>
        <x:v>85</x:v>
      </x:c>
      <x:c r="C87" s="7" t="str">
        <x:f>'Evaluation Plan'!C87</x:f>
        <x:v>Pick up the pen furthest from the airplane toy with propellers and place it in the bowl.</x:v>
      </x:c>
      <x:c r="D87" s="7" t="str">
        <x:f>'Evaluation Plan'!D87</x:f>
        <x:v>P1 airplane toy with propellers at R3 (5 cm right of center) [REFERENCE]; P2 yellow pen with 6 cm edge gap in front of P1 [CLOSE CANDIDATE]; P3 green pen with 20 cm edge gap behind P1 [FAR CANDIDATE]; P4 green pencil sharpener with 14 cm edge gap to the left of P1 [DISTRACTOR]; P5 red pencil sharpener with 14 cm edge gap to the right of P1 [DISTRACTOR]</x:v>
      </x:c>
      <x:c r="E87" s="8" t="str">
        <x:f>IF(ISBLANK('Evaluation Plan'!E87),"",'Evaluation Plan'!E87)</x:f>
      </x:c>
      <x:c r="F87" s="8" t="str">
        <x:f>'Evaluation Plan'!F87</x:f>
        <x:v>green pen</x:v>
      </x:c>
      <x:c r="G87" s="7"/>
      <x:c r="H87" s="8" t="str">
        <x:f>'Evaluation Plan'!H87</x:f>
        <x:v>Concept/compositional transfer</x:v>
      </x:c>
      <x:c r="I87" s="8" t="str">
        <x:f>'Evaluation Plan'!I87</x:f>
        <x:v>RD-CF23B</x:v>
      </x:c>
      <x:c r="J87" s="8" t="str">
        <x:f>'Evaluation Plan'!J87</x:f>
        <x:v>RD-CF23</x:v>
      </x:c>
      <x:c r="K87" s="8" t="str">
        <x:f>'Evaluation Plan'!K87</x:f>
        <x:v>pen</x:v>
      </x:c>
      <x:c r="L87" s="8" t="str">
        <x:f>'Evaluation Plan'!L87</x:f>
        <x:v>furthest</x:v>
      </x:c>
      <x:c r="M87" s="8" t="n">
        <x:f>'Evaluation Plan'!M87</x:f>
        <x:v>5</x:v>
      </x:c>
      <x:c r="N87" s="8" t="str">
        <x:f>'Evaluation Plan'!N87</x:f>
        <x:v>Additional transfer — Additional held-out furthest counterfactual</x:v>
      </x:c>
      <x:c r="O87" s="8" t="n">
        <x:f>'Evaluation Plan'!O87</x:f>
        <x:v>46</x:v>
      </x:c>
      <x:c r="P87" s="7" t="str">
        <x:f>'Evaluation Plan'!P87</x:f>
        <x:v>Swap only the P2/P3 candidate identities from the preceding A scene; preserve all geometry and other objects.</x:v>
      </x:c>
      <x:c r="Q87" s="7" t="str">
        <x:f>'Evaluation Plan'!Q87</x:f>
        <x:v>Unpaired primary-endpoint coverage. Each A/B pair reverses the far physical identity with matched geometry.</x:v>
      </x:c>
      <x:c r="R87" s="7" t="str">
        <x:f>IF(ISBLANK('Evaluation Plan'!R87),"",'Evaluation Plan'!R87)</x:f>
      </x:c>
    </x:row>
    <x:row r="88" ht="66" customHeight="1">
      <x:c r="A88" s="9" t="str">
        <x:v>Not collected</x:v>
      </x:c>
      <x:c r="B88" s="9" t="n">
        <x:f>'Evaluation Plan'!B88</x:f>
        <x:v>86</x:v>
      </x:c>
      <x:c r="C88" s="10" t="str">
        <x:f>'Evaluation Plan'!C88</x:f>
        <x:v>Pick up the airplane toy furthest from the crushed Pepsi can and place it in the bowl.</x:v>
      </x:c>
      <x:c r="D88" s="10" t="str">
        <x:f>'Evaluation Plan'!D88</x:f>
        <x:v>P1 crushed Pepsi can at R4 (5 cm toward the robot from center) [REFERENCE]; P2 airplane toy without propellers with 6 cm edge gap behind P1 [CLOSE CANDIDATE]; P3 airplane toy with propellers with 20 cm edge gap in front of P1 [FAR CANDIDATE]; P4 green pen with 14 cm edge gap to the right of P1 [DISTRACTOR]; P5 yellow pen with 14 cm edge gap to the left of P1 [DISTRACTOR]</x:v>
      </x:c>
      <x:c r="E88" s="9" t="str">
        <x:f>IF(ISBLANK('Evaluation Plan'!E88),"",'Evaluation Plan'!E88)</x:f>
      </x:c>
      <x:c r="F88" s="9" t="str">
        <x:f>'Evaluation Plan'!F88</x:f>
        <x:v>airplane toy with propellers</x:v>
      </x:c>
      <x:c r="G88" s="10"/>
      <x:c r="H88" s="9" t="str">
        <x:f>'Evaluation Plan'!H88</x:f>
        <x:v>Concept/compositional transfer</x:v>
      </x:c>
      <x:c r="I88" s="9" t="str">
        <x:f>'Evaluation Plan'!I88</x:f>
        <x:v>RD-CF24A</x:v>
      </x:c>
      <x:c r="J88" s="9" t="str">
        <x:f>'Evaluation Plan'!J88</x:f>
        <x:v>RD-CF24</x:v>
      </x:c>
      <x:c r="K88" s="9" t="str">
        <x:f>'Evaluation Plan'!K88</x:f>
        <x:v>airplane toy</x:v>
      </x:c>
      <x:c r="L88" s="9" t="str">
        <x:f>'Evaluation Plan'!L88</x:f>
        <x:v>furthest</x:v>
      </x:c>
      <x:c r="M88" s="9" t="n">
        <x:f>'Evaluation Plan'!M88</x:f>
        <x:v>5</x:v>
      </x:c>
      <x:c r="N88" s="9" t="str">
        <x:f>'Evaluation Plan'!N88</x:f>
        <x:v>Additional transfer — Additional held-out furthest counterfactual</x:v>
      </x:c>
      <x:c r="O88" s="9" t="n">
        <x:f>'Evaluation Plan'!O88</x:f>
        <x:v>47</x:v>
      </x:c>
      <x:c r="P88" s="10" t="str">
        <x:f>'Evaluation Plan'!P88</x:f>
        <x:v>Build counterfactual scene A and save a first-frame filename.</x:v>
      </x:c>
      <x:c r="Q88" s="10" t="str">
        <x:f>'Evaluation Plan'!Q88</x:f>
        <x:v>Unpaired primary-endpoint coverage. Each A/B pair reverses the far physical identity with matched geometry.</x:v>
      </x:c>
      <x:c r="R88" s="10" t="str">
        <x:f>IF(ISBLANK('Evaluation Plan'!R88),"",'Evaluation Plan'!R88)</x:f>
      </x:c>
    </x:row>
    <x:row r="89" ht="66" customHeight="1">
      <x:c r="A89" s="8" t="str">
        <x:v>Not collected</x:v>
      </x:c>
      <x:c r="B89" s="8" t="n">
        <x:f>'Evaluation Plan'!B89</x:f>
        <x:v>87</x:v>
      </x:c>
      <x:c r="C89" s="7" t="str">
        <x:f>'Evaluation Plan'!C89</x:f>
        <x:v>Pick up the airplane toy furthest from the crushed Pepsi can and place it in the bowl.</x:v>
      </x:c>
      <x:c r="D89" s="7" t="str">
        <x:f>'Evaluation Plan'!D89</x:f>
        <x:v>P1 crushed Pepsi can at R4 (5 cm toward the robot from center) [REFERENCE]; P2 airplane toy with propellers with 6 cm edge gap behind P1 [CLOSE CANDIDATE]; P3 airplane toy without propellers with 20 cm edge gap in front of P1 [FAR CANDIDATE]; P4 green pen with 14 cm edge gap to the right of P1 [DISTRACTOR]; P5 yellow pen with 14 cm edge gap to the left of P1 [DISTRACTOR]</x:v>
      </x:c>
      <x:c r="E89" s="8" t="str">
        <x:f>IF(ISBLANK('Evaluation Plan'!E89),"",'Evaluation Plan'!E89)</x:f>
      </x:c>
      <x:c r="F89" s="8" t="str">
        <x:f>'Evaluation Plan'!F89</x:f>
        <x:v>airplane toy without propellers</x:v>
      </x:c>
      <x:c r="G89" s="7"/>
      <x:c r="H89" s="8" t="str">
        <x:f>'Evaluation Plan'!H89</x:f>
        <x:v>Concept/compositional transfer</x:v>
      </x:c>
      <x:c r="I89" s="8" t="str">
        <x:f>'Evaluation Plan'!I89</x:f>
        <x:v>RD-CF24B</x:v>
      </x:c>
      <x:c r="J89" s="8" t="str">
        <x:f>'Evaluation Plan'!J89</x:f>
        <x:v>RD-CF24</x:v>
      </x:c>
      <x:c r="K89" s="8" t="str">
        <x:f>'Evaluation Plan'!K89</x:f>
        <x:v>airplane toy</x:v>
      </x:c>
      <x:c r="L89" s="8" t="str">
        <x:f>'Evaluation Plan'!L89</x:f>
        <x:v>furthest</x:v>
      </x:c>
      <x:c r="M89" s="8" t="n">
        <x:f>'Evaluation Plan'!M89</x:f>
        <x:v>5</x:v>
      </x:c>
      <x:c r="N89" s="8" t="str">
        <x:f>'Evaluation Plan'!N89</x:f>
        <x:v>Additional transfer — Additional held-out furthest counterfactual</x:v>
      </x:c>
      <x:c r="O89" s="8" t="n">
        <x:f>'Evaluation Plan'!O89</x:f>
        <x:v>48</x:v>
      </x:c>
      <x:c r="P89" s="7" t="str">
        <x:f>'Evaluation Plan'!P89</x:f>
        <x:v>Swap only the P2/P3 candidate identities from the preceding A scene; preserve all geometry and other objects.</x:v>
      </x:c>
      <x:c r="Q89" s="7" t="str">
        <x:f>'Evaluation Plan'!Q89</x:f>
        <x:v>Unpaired primary-endpoint coverage. Each A/B pair reverses the far physical identity with matched geometry.</x:v>
      </x:c>
      <x:c r="R89" s="7" t="str">
        <x:f>IF(ISBLANK('Evaluation Plan'!R89),"",'Evaluation Plan'!R89)</x:f>
      </x:c>
    </x:row>
    <x:row r="90" ht="66" customHeight="1">
      <x:c r="A90" s="9" t="str">
        <x:v>Not collected</x:v>
      </x:c>
      <x:c r="B90" s="9" t="n">
        <x:f>'Evaluation Plan'!B90</x:f>
        <x:v>88</x:v>
      </x:c>
      <x:c r="C90" s="10" t="str">
        <x:f>'Evaluation Plan'!C90</x:f>
        <x:v>Pick up the crushed soda can furthest from the green pen and place it in the bowl.</x:v>
      </x:c>
      <x:c r="D90" s="10" t="str">
        <x:f>'Evaluation Plan'!D90</x:f>
        <x:v>P1 green pen at R5 (5 cm away from the robot from center) [REFERENCE]; P2 crushed Coke can with 6 cm edge gap to the left of P1 [CLOSE CANDIDATE]; P3 crushed Pepsi can with 20 cm edge gap to the right of P1 [FAR CANDIDATE]; P4 airplane toy without propellers with 14 cm edge gap in front of P1 [DISTRACTOR]; P5 green pencil sharpener with 14 cm edge gap behind P1 [DISTRACTOR]</x:v>
      </x:c>
      <x:c r="E90" s="9" t="str">
        <x:f>IF(ISBLANK('Evaluation Plan'!E90),"",'Evaluation Plan'!E90)</x:f>
      </x:c>
      <x:c r="F90" s="9" t="str">
        <x:f>'Evaluation Plan'!F90</x:f>
        <x:v>crushed Pepsi can</x:v>
      </x:c>
      <x:c r="G90" s="10"/>
      <x:c r="H90" s="9" t="str">
        <x:f>'Evaluation Plan'!H90</x:f>
        <x:v>Concept/compositional transfer</x:v>
      </x:c>
      <x:c r="I90" s="9" t="str">
        <x:f>'Evaluation Plan'!I90</x:f>
        <x:v>RD-CF25A</x:v>
      </x:c>
      <x:c r="J90" s="9" t="str">
        <x:f>'Evaluation Plan'!J90</x:f>
        <x:v>RD-CF25</x:v>
      </x:c>
      <x:c r="K90" s="9" t="str">
        <x:f>'Evaluation Plan'!K90</x:f>
        <x:v>crushed soda can</x:v>
      </x:c>
      <x:c r="L90" s="9" t="str">
        <x:f>'Evaluation Plan'!L90</x:f>
        <x:v>furthest</x:v>
      </x:c>
      <x:c r="M90" s="9" t="n">
        <x:f>'Evaluation Plan'!M90</x:f>
        <x:v>5</x:v>
      </x:c>
      <x:c r="N90" s="9" t="str">
        <x:f>'Evaluation Plan'!N90</x:f>
        <x:v>Additional transfer — Additional held-out furthest counterfactual</x:v>
      </x:c>
      <x:c r="O90" s="9" t="n">
        <x:f>'Evaluation Plan'!O90</x:f>
        <x:v>49</x:v>
      </x:c>
      <x:c r="P90" s="10" t="str">
        <x:f>'Evaluation Plan'!P90</x:f>
        <x:v>Build counterfactual scene A and save a first-frame filename.</x:v>
      </x:c>
      <x:c r="Q90" s="10" t="str">
        <x:f>'Evaluation Plan'!Q90</x:f>
        <x:v>Unpaired primary-endpoint coverage. Each A/B pair reverses the far physical identity with matched geometry.</x:v>
      </x:c>
      <x:c r="R90" s="10" t="str">
        <x:f>IF(ISBLANK('Evaluation Plan'!R90),"",'Evaluation Plan'!R90)</x:f>
      </x:c>
    </x:row>
    <x:row r="91" ht="66" customHeight="1">
      <x:c r="A91" s="8" t="str">
        <x:v>Not collected</x:v>
      </x:c>
      <x:c r="B91" s="8" t="n">
        <x:f>'Evaluation Plan'!B91</x:f>
        <x:v>89</x:v>
      </x:c>
      <x:c r="C91" s="7" t="str">
        <x:f>'Evaluation Plan'!C91</x:f>
        <x:v>Pick up the crushed soda can furthest from the green pen and place it in the bowl.</x:v>
      </x:c>
      <x:c r="D91" s="7" t="str">
        <x:f>'Evaluation Plan'!D91</x:f>
        <x:v>P1 green pen at R5 (5 cm away from the robot from center) [REFERENCE]; P2 crushed Pepsi can with 6 cm edge gap to the left of P1 [CLOSE CANDIDATE]; P3 crushed Coke can with 20 cm edge gap to the right of P1 [FAR CANDIDATE]; P4 airplane toy without propellers with 14 cm edge gap in front of P1 [DISTRACTOR]; P5 green pencil sharpener with 14 cm edge gap behind P1 [DISTRACTOR]</x:v>
      </x:c>
      <x:c r="E91" s="8" t="str">
        <x:f>IF(ISBLANK('Evaluation Plan'!E91),"",'Evaluation Plan'!E91)</x:f>
      </x:c>
      <x:c r="F91" s="8" t="str">
        <x:f>'Evaluation Plan'!F91</x:f>
        <x:v>crushed Coke can</x:v>
      </x:c>
      <x:c r="G91" s="7"/>
      <x:c r="H91" s="8" t="str">
        <x:f>'Evaluation Plan'!H91</x:f>
        <x:v>Concept/compositional transfer</x:v>
      </x:c>
      <x:c r="I91" s="8" t="str">
        <x:f>'Evaluation Plan'!I91</x:f>
        <x:v>RD-CF25B</x:v>
      </x:c>
      <x:c r="J91" s="8" t="str">
        <x:f>'Evaluation Plan'!J91</x:f>
        <x:v>RD-CF25</x:v>
      </x:c>
      <x:c r="K91" s="8" t="str">
        <x:f>'Evaluation Plan'!K91</x:f>
        <x:v>crushed soda can</x:v>
      </x:c>
      <x:c r="L91" s="8" t="str">
        <x:f>'Evaluation Plan'!L91</x:f>
        <x:v>furthest</x:v>
      </x:c>
      <x:c r="M91" s="8" t="n">
        <x:f>'Evaluation Plan'!M91</x:f>
        <x:v>5</x:v>
      </x:c>
      <x:c r="N91" s="8" t="str">
        <x:f>'Evaluation Plan'!N91</x:f>
        <x:v>Additional transfer — Additional held-out furthest counterfactual</x:v>
      </x:c>
      <x:c r="O91" s="8" t="n">
        <x:f>'Evaluation Plan'!O91</x:f>
        <x:v>50</x:v>
      </x:c>
      <x:c r="P91" s="7" t="str">
        <x:f>'Evaluation Plan'!P91</x:f>
        <x:v>Swap only the P2/P3 candidate identities from the preceding A scene; preserve all geometry and other objects.</x:v>
      </x:c>
      <x:c r="Q91" s="7" t="str">
        <x:f>'Evaluation Plan'!Q91</x:f>
        <x:v>Unpaired primary-endpoint coverage. Each A/B pair reverses the far physical identity with matched geometry.</x:v>
      </x:c>
      <x:c r="R91" s="7" t="str">
        <x:f>IF(ISBLANK('Evaluation Plan'!R91),"",'Evaluation Plan'!R91)</x:f>
      </x:c>
    </x:row>
    <x:row r="92" ht="66" customHeight="1">
      <x:c r="A92" s="9" t="str">
        <x:v>Not collected</x:v>
      </x:c>
      <x:c r="B92" s="9" t="n">
        <x:f>'Evaluation Plan'!B92</x:f>
        <x:v>90</x:v>
      </x:c>
      <x:c r="C92" s="10" t="str">
        <x:f>'Evaluation Plan'!C92</x:f>
        <x:v>Pick up the block nearest to the green pen and place it in the bowl.</x:v>
      </x:c>
      <x:c r="D92" s="10" t="str">
        <x:f>'Evaluation Plan'!D92</x:f>
        <x:v>P1 green pen at R1 (table center) [REFERENCE]; P2 red block with 6 cm edge gap in front of P1 [CLOSE CANDIDATE]; P3 blue block with 20 cm edge gap behind P1 [FAR CANDIDATE]</x:v>
      </x:c>
      <x:c r="E92" s="9" t="str">
        <x:f>IF(ISBLANK('Evaluation Plan'!E92),"",'Evaluation Plan'!E92)</x:f>
      </x:c>
      <x:c r="F92" s="9" t="str">
        <x:f>'Evaluation Plan'!F92</x:f>
        <x:v>red block</x:v>
      </x:c>
      <x:c r="G92" s="10"/>
      <x:c r="H92" s="9" t="str">
        <x:f>'Evaluation Plan'!H92</x:f>
        <x:v>Block closest baseline</x:v>
      </x:c>
      <x:c r="I92" s="9" t="str">
        <x:f>'Evaluation Plan'!I92</x:f>
        <x:v>RD-BLK01</x:v>
      </x:c>
      <x:c r="J92" s="9" t="str">
        <x:f>'Evaluation Plan'!J92</x:f>
        <x:v>RD-BLK01</x:v>
      </x:c>
      <x:c r="K92" s="9" t="str">
        <x:f>'Evaluation Plan'!K92</x:f>
        <x:v>block</x:v>
      </x:c>
      <x:c r="L92" s="9" t="str">
        <x:f>'Evaluation Plan'!L92</x:f>
        <x:v>closest</x:v>
      </x:c>
      <x:c r="M92" s="9" t="n">
        <x:f>'Evaluation Plan'!M92</x:f>
        <x:v>3</x:v>
      </x:c>
      <x:c r="N92" s="9" t="str">
        <x:f>'Evaluation Plan'!N92</x:f>
        <x:v>1 — Block closest baseline — Cross-task red/blue blocks as candidate pair; seen closest concept</x:v>
      </x:c>
      <x:c r="O92" s="9" t="n">
        <x:f>'Evaluation Plan'!O92</x:f>
        <x:v>51</x:v>
      </x:c>
      <x:c r="P92" s="10" t="str">
        <x:f>'Evaluation Plan'!P92</x:f>
        <x:v>Build the listed scene with both red and blue blocks present. Save a first-frame filename before the baseline.</x:v>
      </x:c>
      <x:c r="Q92" s="10" t="str">
        <x:f>'Evaluation Plan'!Q92</x:f>
        <x:v>Red and blue blocks are equally trained in Relational Placement but absent from Referential Disambiguation. The closest baseline checks the relevant cross-task visual role.</x:v>
      </x:c>
      <x:c r="R92" s="10" t="str">
        <x:f>IF(ISBLANK('Evaluation Plan'!R92),"",'Evaluation Plan'!R92)</x:f>
      </x:c>
    </x:row>
    <x:row r="93" ht="66" customHeight="1">
      <x:c r="A93" s="8" t="str">
        <x:v>Not collected</x:v>
      </x:c>
      <x:c r="B93" s="8" t="n">
        <x:f>'Evaluation Plan'!B93</x:f>
        <x:v>91</x:v>
      </x:c>
      <x:c r="C93" s="7" t="str">
        <x:f>'Evaluation Plan'!C93</x:f>
        <x:v>Pick up the block furthest from the green pen and place it in the bowl.</x:v>
      </x:c>
      <x:c r="D93" s="7" t="str">
        <x:f>'Evaluation Plan'!D93</x:f>
        <x:v>P1 green pen at R1 (table center) [REFERENCE]; P2 red block with 6 cm edge gap in front of P1 [CLOSE CANDIDATE]; P3 blue block with 20 cm edge gap behind P1 [FAR CANDIDATE]</x:v>
      </x:c>
      <x:c r="E93" s="8" t="n">
        <x:f>IF(ISBLANK('Evaluation Plan'!E93),"",'Evaluation Plan'!E93)</x:f>
        <x:v>90</x:v>
      </x:c>
      <x:c r="F93" s="8" t="str">
        <x:f>'Evaluation Plan'!F93</x:f>
        <x:v>blue block</x:v>
      </x:c>
      <x:c r="G93" s="7"/>
      <x:c r="H93" s="8" t="str">
        <x:f>'Evaluation Plan'!H93</x:f>
        <x:v>Block furthest transfer</x:v>
      </x:c>
      <x:c r="I93" s="8" t="str">
        <x:f>'Evaluation Plan'!I93</x:f>
        <x:v>RD-BLK01</x:v>
      </x:c>
      <x:c r="J93" s="8" t="str">
        <x:f>'Evaluation Plan'!J93</x:f>
        <x:v>RD-BLK01</x:v>
      </x:c>
      <x:c r="K93" s="8" t="str">
        <x:f>'Evaluation Plan'!K93</x:f>
        <x:v>block</x:v>
      </x:c>
      <x:c r="L93" s="8" t="str">
        <x:f>'Evaluation Plan'!L93</x:f>
        <x:v>furthest</x:v>
      </x:c>
      <x:c r="M93" s="8" t="n">
        <x:f>'Evaluation Plan'!M93</x:f>
        <x:v>3</x:v>
      </x:c>
      <x:c r="N93" s="8" t="str">
        <x:f>'Evaluation Plan'!N93</x:f>
        <x:v>2 — Block furthest transfer — Cross-task red/blue blocks as candidate pair; held-out furthest concept</x:v>
      </x:c>
      <x:c r="O93" s="8" t="n">
        <x:f>'Evaluation Plan'!O93</x:f>
        <x:v>51</x:v>
      </x:c>
      <x:c r="P93" s="7" t="str">
        <x:f>'Evaluation Plan'!P93</x:f>
        <x:v>Reset only the P2 closest target. Keep the scene exact; change only the query and expected target from closest to furthest.</x:v>
      </x:c>
      <x:c r="Q93" s="7" t="str">
        <x:f>'Evaluation Plan'!Q93</x:f>
        <x:v>Exact-scene closest→furthest comparison. Analyze block-as-candidate and block-as-reference families separately; this is cross-task visual transfer, not global novelty.</x:v>
      </x:c>
      <x:c r="R93" s="7" t="str">
        <x:f>IF(ISBLANK('Evaluation Plan'!R93),"",'Evaluation Plan'!R93)</x:f>
      </x:c>
    </x:row>
    <x:row r="94" ht="66" customHeight="1">
      <x:c r="A94" s="9" t="str">
        <x:v>Not collected</x:v>
      </x:c>
      <x:c r="B94" s="9" t="n">
        <x:f>'Evaluation Plan'!B94</x:f>
        <x:v>92</x:v>
      </x:c>
      <x:c r="C94" s="10" t="str">
        <x:f>'Evaluation Plan'!C94</x:f>
        <x:v>Put the block closest to the red pencil sharpener in the bowl.</x:v>
      </x:c>
      <x:c r="D94" s="10" t="str">
        <x:f>'Evaluation Plan'!D94</x:f>
        <x:v>P1 red pencil sharpener at R2 (5 cm left of center) [REFERENCE]; P2 blue block with 6 cm edge gap behind P1 [CLOSE CANDIDATE]; P3 red block with 20 cm edge gap in front of P1 [FAR CANDIDATE]; P4 green pencil sharpener with 14 cm edge gap to the right of P1 [DISTRACTOR]</x:v>
      </x:c>
      <x:c r="E94" s="9" t="str">
        <x:f>IF(ISBLANK('Evaluation Plan'!E94),"",'Evaluation Plan'!E94)</x:f>
      </x:c>
      <x:c r="F94" s="9" t="str">
        <x:f>'Evaluation Plan'!F94</x:f>
        <x:v>blue block</x:v>
      </x:c>
      <x:c r="G94" s="10"/>
      <x:c r="H94" s="9" t="str">
        <x:f>'Evaluation Plan'!H94</x:f>
        <x:v>Block closest baseline</x:v>
      </x:c>
      <x:c r="I94" s="9" t="str">
        <x:f>'Evaluation Plan'!I94</x:f>
        <x:v>RD-BLK02</x:v>
      </x:c>
      <x:c r="J94" s="9" t="str">
        <x:f>'Evaluation Plan'!J94</x:f>
        <x:v>RD-BLK02</x:v>
      </x:c>
      <x:c r="K94" s="9" t="str">
        <x:f>'Evaluation Plan'!K94</x:f>
        <x:v>block</x:v>
      </x:c>
      <x:c r="L94" s="9" t="str">
        <x:f>'Evaluation Plan'!L94</x:f>
        <x:v>closest</x:v>
      </x:c>
      <x:c r="M94" s="9" t="n">
        <x:f>'Evaluation Plan'!M94</x:f>
        <x:v>4</x:v>
      </x:c>
      <x:c r="N94" s="9" t="str">
        <x:f>'Evaluation Plan'!N94</x:f>
        <x:v>1 — Block closest baseline — Cross-task red/blue blocks as candidate pair; seen closest concept</x:v>
      </x:c>
      <x:c r="O94" s="9" t="n">
        <x:f>'Evaluation Plan'!O94</x:f>
        <x:v>52</x:v>
      </x:c>
      <x:c r="P94" s="10" t="str">
        <x:f>'Evaluation Plan'!P94</x:f>
        <x:v>Build the listed scene with both red and blue blocks present. Save a first-frame filename before the baseline.</x:v>
      </x:c>
      <x:c r="Q94" s="10" t="str">
        <x:f>'Evaluation Plan'!Q94</x:f>
        <x:v>Red and blue blocks are equally trained in Relational Placement but absent from Referential Disambiguation. The closest baseline checks the relevant cross-task visual role.</x:v>
      </x:c>
      <x:c r="R94" s="10" t="str">
        <x:f>IF(ISBLANK('Evaluation Plan'!R94),"",'Evaluation Plan'!R94)</x:f>
      </x:c>
    </x:row>
    <x:row r="95" ht="66" customHeight="1">
      <x:c r="A95" s="8" t="str">
        <x:v>Not collected</x:v>
      </x:c>
      <x:c r="B95" s="8" t="n">
        <x:f>'Evaluation Plan'!B95</x:f>
        <x:v>93</x:v>
      </x:c>
      <x:c r="C95" s="7" t="str">
        <x:f>'Evaluation Plan'!C95</x:f>
        <x:v>Pick up the block furthest from the red pencil sharpener and place it in the bowl.</x:v>
      </x:c>
      <x:c r="D95" s="7" t="str">
        <x:f>'Evaluation Plan'!D95</x:f>
        <x:v>P1 red pencil sharpener at R2 (5 cm left of center) [REFERENCE]; P2 blue block with 6 cm edge gap behind P1 [CLOSE CANDIDATE]; P3 red block with 20 cm edge gap in front of P1 [FAR CANDIDATE]; P4 green pencil sharpener with 14 cm edge gap to the right of P1 [DISTRACTOR]</x:v>
      </x:c>
      <x:c r="E95" s="8" t="n">
        <x:f>IF(ISBLANK('Evaluation Plan'!E95),"",'Evaluation Plan'!E95)</x:f>
        <x:v>92</x:v>
      </x:c>
      <x:c r="F95" s="8" t="str">
        <x:f>'Evaluation Plan'!F95</x:f>
        <x:v>red block</x:v>
      </x:c>
      <x:c r="G95" s="7"/>
      <x:c r="H95" s="8" t="str">
        <x:f>'Evaluation Plan'!H95</x:f>
        <x:v>Block furthest transfer</x:v>
      </x:c>
      <x:c r="I95" s="8" t="str">
        <x:f>'Evaluation Plan'!I95</x:f>
        <x:v>RD-BLK02</x:v>
      </x:c>
      <x:c r="J95" s="8" t="str">
        <x:f>'Evaluation Plan'!J95</x:f>
        <x:v>RD-BLK02</x:v>
      </x:c>
      <x:c r="K95" s="8" t="str">
        <x:f>'Evaluation Plan'!K95</x:f>
        <x:v>block</x:v>
      </x:c>
      <x:c r="L95" s="8" t="str">
        <x:f>'Evaluation Plan'!L95</x:f>
        <x:v>furthest</x:v>
      </x:c>
      <x:c r="M95" s="8" t="n">
        <x:f>'Evaluation Plan'!M95</x:f>
        <x:v>4</x:v>
      </x:c>
      <x:c r="N95" s="8" t="str">
        <x:f>'Evaluation Plan'!N95</x:f>
        <x:v>2 — Block furthest transfer — Cross-task red/blue blocks as candidate pair; held-out furthest concept</x:v>
      </x:c>
      <x:c r="O95" s="8" t="n">
        <x:f>'Evaluation Plan'!O95</x:f>
        <x:v>52</x:v>
      </x:c>
      <x:c r="P95" s="7" t="str">
        <x:f>'Evaluation Plan'!P95</x:f>
        <x:v>Reset only the P2 closest target. Keep the scene exact; change only the query and expected target from closest to furthest.</x:v>
      </x:c>
      <x:c r="Q95" s="7" t="str">
        <x:f>'Evaluation Plan'!Q95</x:f>
        <x:v>Exact-scene closest→furthest comparison. Analyze block-as-candidate and block-as-reference families separately; this is cross-task visual transfer, not global novelty.</x:v>
      </x:c>
      <x:c r="R95" s="7" t="str">
        <x:f>IF(ISBLANK('Evaluation Plan'!R95),"",'Evaluation Plan'!R95)</x:f>
      </x:c>
    </x:row>
    <x:row r="96" ht="66" customHeight="1">
      <x:c r="A96" s="9" t="str">
        <x:v>Not collected</x:v>
      </x:c>
      <x:c r="B96" s="9" t="n">
        <x:f>'Evaluation Plan'!B96</x:f>
        <x:v>94</x:v>
      </x:c>
      <x:c r="C96" s="10" t="str">
        <x:f>'Evaluation Plan'!C96</x:f>
        <x:v>Move the block that is closest to the yellow pen into the bowl.</x:v>
      </x:c>
      <x:c r="D96" s="10" t="str">
        <x:f>'Evaluation Plan'!D96</x:f>
        <x:v>P1 yellow pen at R3 (5 cm right of center) [REFERENCE]; P2 red block with 6 cm edge gap to the left of P1 [CLOSE CANDIDATE]; P3 blue block with 20 cm edge gap to the right of P1 [FAR CANDIDATE]</x:v>
      </x:c>
      <x:c r="E96" s="9" t="str">
        <x:f>IF(ISBLANK('Evaluation Plan'!E96),"",'Evaluation Plan'!E96)</x:f>
      </x:c>
      <x:c r="F96" s="9" t="str">
        <x:f>'Evaluation Plan'!F96</x:f>
        <x:v>red block</x:v>
      </x:c>
      <x:c r="G96" s="10"/>
      <x:c r="H96" s="9" t="str">
        <x:f>'Evaluation Plan'!H96</x:f>
        <x:v>Block closest baseline</x:v>
      </x:c>
      <x:c r="I96" s="9" t="str">
        <x:f>'Evaluation Plan'!I96</x:f>
        <x:v>RD-BLK03</x:v>
      </x:c>
      <x:c r="J96" s="9" t="str">
        <x:f>'Evaluation Plan'!J96</x:f>
        <x:v>RD-BLK03</x:v>
      </x:c>
      <x:c r="K96" s="9" t="str">
        <x:f>'Evaluation Plan'!K96</x:f>
        <x:v>block</x:v>
      </x:c>
      <x:c r="L96" s="9" t="str">
        <x:f>'Evaluation Plan'!L96</x:f>
        <x:v>closest</x:v>
      </x:c>
      <x:c r="M96" s="9" t="n">
        <x:f>'Evaluation Plan'!M96</x:f>
        <x:v>3</x:v>
      </x:c>
      <x:c r="N96" s="9" t="str">
        <x:f>'Evaluation Plan'!N96</x:f>
        <x:v>1 — Block closest baseline — Cross-task red/blue blocks as candidate pair; seen closest concept</x:v>
      </x:c>
      <x:c r="O96" s="9" t="n">
        <x:f>'Evaluation Plan'!O96</x:f>
        <x:v>53</x:v>
      </x:c>
      <x:c r="P96" s="10" t="str">
        <x:f>'Evaluation Plan'!P96</x:f>
        <x:v>Build the listed scene with both red and blue blocks present. Save a first-frame filename before the baseline.</x:v>
      </x:c>
      <x:c r="Q96" s="10" t="str">
        <x:f>'Evaluation Plan'!Q96</x:f>
        <x:v>Red and blue blocks are equally trained in Relational Placement but absent from Referential Disambiguation. The closest baseline checks the relevant cross-task visual role.</x:v>
      </x:c>
      <x:c r="R96" s="10" t="str">
        <x:f>IF(ISBLANK('Evaluation Plan'!R96),"",'Evaluation Plan'!R96)</x:f>
      </x:c>
    </x:row>
    <x:row r="97" ht="66" customHeight="1">
      <x:c r="A97" s="8" t="str">
        <x:v>Not collected</x:v>
      </x:c>
      <x:c r="B97" s="8" t="n">
        <x:f>'Evaluation Plan'!B97</x:f>
        <x:v>95</x:v>
      </x:c>
      <x:c r="C97" s="7" t="str">
        <x:f>'Evaluation Plan'!C97</x:f>
        <x:v>Pick up the block furthest from the yellow pen and place it in the bowl.</x:v>
      </x:c>
      <x:c r="D97" s="7" t="str">
        <x:f>'Evaluation Plan'!D97</x:f>
        <x:v>P1 yellow pen at R3 (5 cm right of center) [REFERENCE]; P2 red block with 6 cm edge gap to the left of P1 [CLOSE CANDIDATE]; P3 blue block with 20 cm edge gap to the right of P1 [FAR CANDIDATE]</x:v>
      </x:c>
      <x:c r="E97" s="8" t="n">
        <x:f>IF(ISBLANK('Evaluation Plan'!E97),"",'Evaluation Plan'!E97)</x:f>
        <x:v>94</x:v>
      </x:c>
      <x:c r="F97" s="8" t="str">
        <x:f>'Evaluation Plan'!F97</x:f>
        <x:v>blue block</x:v>
      </x:c>
      <x:c r="G97" s="7"/>
      <x:c r="H97" s="8" t="str">
        <x:f>'Evaluation Plan'!H97</x:f>
        <x:v>Block furthest transfer</x:v>
      </x:c>
      <x:c r="I97" s="8" t="str">
        <x:f>'Evaluation Plan'!I97</x:f>
        <x:v>RD-BLK03</x:v>
      </x:c>
      <x:c r="J97" s="8" t="str">
        <x:f>'Evaluation Plan'!J97</x:f>
        <x:v>RD-BLK03</x:v>
      </x:c>
      <x:c r="K97" s="8" t="str">
        <x:f>'Evaluation Plan'!K97</x:f>
        <x:v>block</x:v>
      </x:c>
      <x:c r="L97" s="8" t="str">
        <x:f>'Evaluation Plan'!L97</x:f>
        <x:v>furthest</x:v>
      </x:c>
      <x:c r="M97" s="8" t="n">
        <x:f>'Evaluation Plan'!M97</x:f>
        <x:v>3</x:v>
      </x:c>
      <x:c r="N97" s="8" t="str">
        <x:f>'Evaluation Plan'!N97</x:f>
        <x:v>2 — Block furthest transfer — Cross-task red/blue blocks as candidate pair; held-out furthest concept</x:v>
      </x:c>
      <x:c r="O97" s="8" t="n">
        <x:f>'Evaluation Plan'!O97</x:f>
        <x:v>53</x:v>
      </x:c>
      <x:c r="P97" s="7" t="str">
        <x:f>'Evaluation Plan'!P97</x:f>
        <x:v>Reset only the P2 closest target. Keep the scene exact; change only the query and expected target from closest to furthest.</x:v>
      </x:c>
      <x:c r="Q97" s="7" t="str">
        <x:f>'Evaluation Plan'!Q97</x:f>
        <x:v>Exact-scene closest→furthest comparison. Analyze block-as-candidate and block-as-reference families separately; this is cross-task visual transfer, not global novelty.</x:v>
      </x:c>
      <x:c r="R97" s="7" t="str">
        <x:f>IF(ISBLANK('Evaluation Plan'!R97),"",'Evaluation Plan'!R97)</x:f>
      </x:c>
    </x:row>
    <x:row r="98" ht="66" customHeight="1">
      <x:c r="A98" s="9" t="str">
        <x:v>Not collected</x:v>
      </x:c>
      <x:c r="B98" s="9" t="n">
        <x:f>'Evaluation Plan'!B98</x:f>
        <x:v>96</x:v>
      </x:c>
      <x:c r="C98" s="10" t="str">
        <x:f>'Evaluation Plan'!C98</x:f>
        <x:v>Pick up the block nearest to the crushed Coke can and place it in the bowl.</x:v>
      </x:c>
      <x:c r="D98" s="10" t="str">
        <x:f>'Evaluation Plan'!D98</x:f>
        <x:v>P1 crushed Coke can at R4 (5 cm toward the robot from center) [REFERENCE]; P2 blue block with 6 cm edge gap to the right of P1 [CLOSE CANDIDATE]; P3 red block with 20 cm edge gap to the left of P1 [FAR CANDIDATE]; P4 yellow pen with 14 cm edge gap behind P1 [DISTRACTOR]</x:v>
      </x:c>
      <x:c r="E98" s="9" t="str">
        <x:f>IF(ISBLANK('Evaluation Plan'!E98),"",'Evaluation Plan'!E98)</x:f>
      </x:c>
      <x:c r="F98" s="9" t="str">
        <x:f>'Evaluation Plan'!F98</x:f>
        <x:v>blue block</x:v>
      </x:c>
      <x:c r="G98" s="10"/>
      <x:c r="H98" s="9" t="str">
        <x:f>'Evaluation Plan'!H98</x:f>
        <x:v>Block closest baseline</x:v>
      </x:c>
      <x:c r="I98" s="9" t="str">
        <x:f>'Evaluation Plan'!I98</x:f>
        <x:v>RD-BLK04</x:v>
      </x:c>
      <x:c r="J98" s="9" t="str">
        <x:f>'Evaluation Plan'!J98</x:f>
        <x:v>RD-BLK04</x:v>
      </x:c>
      <x:c r="K98" s="9" t="str">
        <x:f>'Evaluation Plan'!K98</x:f>
        <x:v>block</x:v>
      </x:c>
      <x:c r="L98" s="9" t="str">
        <x:f>'Evaluation Plan'!L98</x:f>
        <x:v>closest</x:v>
      </x:c>
      <x:c r="M98" s="9" t="n">
        <x:f>'Evaluation Plan'!M98</x:f>
        <x:v>4</x:v>
      </x:c>
      <x:c r="N98" s="9" t="str">
        <x:f>'Evaluation Plan'!N98</x:f>
        <x:v>1 — Block closest baseline — Cross-task red/blue blocks as candidate pair; seen closest concept</x:v>
      </x:c>
      <x:c r="O98" s="9" t="n">
        <x:f>'Evaluation Plan'!O98</x:f>
        <x:v>54</x:v>
      </x:c>
      <x:c r="P98" s="10" t="str">
        <x:f>'Evaluation Plan'!P98</x:f>
        <x:v>Build the listed scene with both red and blue blocks present. Save a first-frame filename before the baseline.</x:v>
      </x:c>
      <x:c r="Q98" s="10" t="str">
        <x:f>'Evaluation Plan'!Q98</x:f>
        <x:v>Red and blue blocks are equally trained in Relational Placement but absent from Referential Disambiguation. The closest baseline checks the relevant cross-task visual role.</x:v>
      </x:c>
      <x:c r="R98" s="10" t="str">
        <x:f>IF(ISBLANK('Evaluation Plan'!R98),"",'Evaluation Plan'!R98)</x:f>
      </x:c>
    </x:row>
    <x:row r="99" ht="66" customHeight="1">
      <x:c r="A99" s="8" t="str">
        <x:v>Not collected</x:v>
      </x:c>
      <x:c r="B99" s="8" t="n">
        <x:f>'Evaluation Plan'!B99</x:f>
        <x:v>97</x:v>
      </x:c>
      <x:c r="C99" s="7" t="str">
        <x:f>'Evaluation Plan'!C99</x:f>
        <x:v>Pick up the block furthest from the crushed Coke can and place it in the bowl.</x:v>
      </x:c>
      <x:c r="D99" s="7" t="str">
        <x:f>'Evaluation Plan'!D99</x:f>
        <x:v>P1 crushed Coke can at R4 (5 cm toward the robot from center) [REFERENCE]; P2 blue block with 6 cm edge gap to the right of P1 [CLOSE CANDIDATE]; P3 red block with 20 cm edge gap to the left of P1 [FAR CANDIDATE]; P4 yellow pen with 14 cm edge gap behind P1 [DISTRACTOR]</x:v>
      </x:c>
      <x:c r="E99" s="8" t="n">
        <x:f>IF(ISBLANK('Evaluation Plan'!E99),"",'Evaluation Plan'!E99)</x:f>
        <x:v>96</x:v>
      </x:c>
      <x:c r="F99" s="8" t="str">
        <x:f>'Evaluation Plan'!F99</x:f>
        <x:v>red block</x:v>
      </x:c>
      <x:c r="G99" s="7"/>
      <x:c r="H99" s="8" t="str">
        <x:f>'Evaluation Plan'!H99</x:f>
        <x:v>Block furthest transfer</x:v>
      </x:c>
      <x:c r="I99" s="8" t="str">
        <x:f>'Evaluation Plan'!I99</x:f>
        <x:v>RD-BLK04</x:v>
      </x:c>
      <x:c r="J99" s="8" t="str">
        <x:f>'Evaluation Plan'!J99</x:f>
        <x:v>RD-BLK04</x:v>
      </x:c>
      <x:c r="K99" s="8" t="str">
        <x:f>'Evaluation Plan'!K99</x:f>
        <x:v>block</x:v>
      </x:c>
      <x:c r="L99" s="8" t="str">
        <x:f>'Evaluation Plan'!L99</x:f>
        <x:v>furthest</x:v>
      </x:c>
      <x:c r="M99" s="8" t="n">
        <x:f>'Evaluation Plan'!M99</x:f>
        <x:v>4</x:v>
      </x:c>
      <x:c r="N99" s="8" t="str">
        <x:f>'Evaluation Plan'!N99</x:f>
        <x:v>2 — Block furthest transfer — Cross-task red/blue blocks as candidate pair; held-out furthest concept</x:v>
      </x:c>
      <x:c r="O99" s="8" t="n">
        <x:f>'Evaluation Plan'!O99</x:f>
        <x:v>54</x:v>
      </x:c>
      <x:c r="P99" s="7" t="str">
        <x:f>'Evaluation Plan'!P99</x:f>
        <x:v>Reset only the P2 closest target. Keep the scene exact; change only the query and expected target from closest to furthest.</x:v>
      </x:c>
      <x:c r="Q99" s="7" t="str">
        <x:f>'Evaluation Plan'!Q99</x:f>
        <x:v>Exact-scene closest→furthest comparison. Analyze block-as-candidate and block-as-reference families separately; this is cross-task visual transfer, not global novelty.</x:v>
      </x:c>
      <x:c r="R99" s="7" t="str">
        <x:f>IF(ISBLANK('Evaluation Plan'!R99),"",'Evaluation Plan'!R99)</x:f>
      </x:c>
    </x:row>
    <x:row r="100" ht="66" customHeight="1">
      <x:c r="A100" s="9" t="str">
        <x:v>Not collected</x:v>
      </x:c>
      <x:c r="B100" s="9" t="n">
        <x:f>'Evaluation Plan'!B100</x:f>
        <x:v>98</x:v>
      </x:c>
      <x:c r="C100" s="10" t="str">
        <x:f>'Evaluation Plan'!C100</x:f>
        <x:v>Put the block closest to the airplane toy with propellers in the bowl.</x:v>
      </x:c>
      <x:c r="D100" s="10" t="str">
        <x:f>'Evaluation Plan'!D100</x:f>
        <x:v>P1 airplane toy with propellers at R5 (5 cm away from the robot from center) [REFERENCE]; P2 red block with 6 cm edge gap in front of P1 [CLOSE CANDIDATE]; P3 blue block with 20 cm edge gap behind P1 [FAR CANDIDATE]</x:v>
      </x:c>
      <x:c r="E100" s="9" t="str">
        <x:f>IF(ISBLANK('Evaluation Plan'!E100),"",'Evaluation Plan'!E100)</x:f>
      </x:c>
      <x:c r="F100" s="9" t="str">
        <x:f>'Evaluation Plan'!F100</x:f>
        <x:v>red block</x:v>
      </x:c>
      <x:c r="G100" s="10"/>
      <x:c r="H100" s="9" t="str">
        <x:f>'Evaluation Plan'!H100</x:f>
        <x:v>Block closest baseline</x:v>
      </x:c>
      <x:c r="I100" s="9" t="str">
        <x:f>'Evaluation Plan'!I100</x:f>
        <x:v>RD-BLK05</x:v>
      </x:c>
      <x:c r="J100" s="9" t="str">
        <x:f>'Evaluation Plan'!J100</x:f>
        <x:v>RD-BLK05</x:v>
      </x:c>
      <x:c r="K100" s="9" t="str">
        <x:f>'Evaluation Plan'!K100</x:f>
        <x:v>block</x:v>
      </x:c>
      <x:c r="L100" s="9" t="str">
        <x:f>'Evaluation Plan'!L100</x:f>
        <x:v>closest</x:v>
      </x:c>
      <x:c r="M100" s="9" t="n">
        <x:f>'Evaluation Plan'!M100</x:f>
        <x:v>3</x:v>
      </x:c>
      <x:c r="N100" s="9" t="str">
        <x:f>'Evaluation Plan'!N100</x:f>
        <x:v>1 — Block closest baseline — Cross-task red/blue blocks as candidate pair; seen closest concept</x:v>
      </x:c>
      <x:c r="O100" s="9" t="n">
        <x:f>'Evaluation Plan'!O100</x:f>
        <x:v>55</x:v>
      </x:c>
      <x:c r="P100" s="10" t="str">
        <x:f>'Evaluation Plan'!P100</x:f>
        <x:v>Build the listed scene with both red and blue blocks present. Save a first-frame filename before the baseline.</x:v>
      </x:c>
      <x:c r="Q100" s="10" t="str">
        <x:f>'Evaluation Plan'!Q100</x:f>
        <x:v>Red and blue blocks are equally trained in Relational Placement but absent from Referential Disambiguation. The closest baseline checks the relevant cross-task visual role.</x:v>
      </x:c>
      <x:c r="R100" s="10" t="str">
        <x:f>IF(ISBLANK('Evaluation Plan'!R100),"",'Evaluation Plan'!R100)</x:f>
      </x:c>
    </x:row>
    <x:row r="101" ht="66" customHeight="1">
      <x:c r="A101" s="8" t="str">
        <x:v>Not collected</x:v>
      </x:c>
      <x:c r="B101" s="8" t="n">
        <x:f>'Evaluation Plan'!B101</x:f>
        <x:v>99</x:v>
      </x:c>
      <x:c r="C101" s="7" t="str">
        <x:f>'Evaluation Plan'!C101</x:f>
        <x:v>Pick up the block furthest from the airplane toy with propellers and place it in the bowl.</x:v>
      </x:c>
      <x:c r="D101" s="7" t="str">
        <x:f>'Evaluation Plan'!D101</x:f>
        <x:v>P1 airplane toy with propellers at R5 (5 cm away from the robot from center) [REFERENCE]; P2 red block with 6 cm edge gap in front of P1 [CLOSE CANDIDATE]; P3 blue block with 20 cm edge gap behind P1 [FAR CANDIDATE]</x:v>
      </x:c>
      <x:c r="E101" s="8" t="n">
        <x:f>IF(ISBLANK('Evaluation Plan'!E101),"",'Evaluation Plan'!E101)</x:f>
        <x:v>98</x:v>
      </x:c>
      <x:c r="F101" s="8" t="str">
        <x:f>'Evaluation Plan'!F101</x:f>
        <x:v>blue block</x:v>
      </x:c>
      <x:c r="G101" s="7"/>
      <x:c r="H101" s="8" t="str">
        <x:f>'Evaluation Plan'!H101</x:f>
        <x:v>Block furthest transfer</x:v>
      </x:c>
      <x:c r="I101" s="8" t="str">
        <x:f>'Evaluation Plan'!I101</x:f>
        <x:v>RD-BLK05</x:v>
      </x:c>
      <x:c r="J101" s="8" t="str">
        <x:f>'Evaluation Plan'!J101</x:f>
        <x:v>RD-BLK05</x:v>
      </x:c>
      <x:c r="K101" s="8" t="str">
        <x:f>'Evaluation Plan'!K101</x:f>
        <x:v>block</x:v>
      </x:c>
      <x:c r="L101" s="8" t="str">
        <x:f>'Evaluation Plan'!L101</x:f>
        <x:v>furthest</x:v>
      </x:c>
      <x:c r="M101" s="8" t="n">
        <x:f>'Evaluation Plan'!M101</x:f>
        <x:v>3</x:v>
      </x:c>
      <x:c r="N101" s="8" t="str">
        <x:f>'Evaluation Plan'!N101</x:f>
        <x:v>2 — Block furthest transfer — Cross-task red/blue blocks as candidate pair; held-out furthest concept</x:v>
      </x:c>
      <x:c r="O101" s="8" t="n">
        <x:f>'Evaluation Plan'!O101</x:f>
        <x:v>55</x:v>
      </x:c>
      <x:c r="P101" s="7" t="str">
        <x:f>'Evaluation Plan'!P101</x:f>
        <x:v>Reset only the P2 closest target. Keep the scene exact; change only the query and expected target from closest to furthest.</x:v>
      </x:c>
      <x:c r="Q101" s="7" t="str">
        <x:f>'Evaluation Plan'!Q101</x:f>
        <x:v>Exact-scene closest→furthest comparison. Analyze block-as-candidate and block-as-reference families separately; this is cross-task visual transfer, not global novelty.</x:v>
      </x:c>
      <x:c r="R101" s="7" t="str">
        <x:f>IF(ISBLANK('Evaluation Plan'!R101),"",'Evaluation Plan'!R101)</x:f>
      </x:c>
    </x:row>
    <x:row r="102" ht="66" customHeight="1">
      <x:c r="A102" s="9" t="str">
        <x:v>Not collected</x:v>
      </x:c>
      <x:c r="B102" s="9" t="n">
        <x:f>'Evaluation Plan'!B102</x:f>
        <x:v>100</x:v>
      </x:c>
      <x:c r="C102" s="10" t="str">
        <x:f>'Evaluation Plan'!C102</x:f>
        <x:v>Move the crushed soda can that is closest to the red block into the bowl.</x:v>
      </x:c>
      <x:c r="D102" s="10" t="str">
        <x:f>'Evaluation Plan'!D102</x:f>
        <x:v>P1 red block at R1 (table center) [REFERENCE]; P2 crushed Coke can with 6 cm edge gap behind P1 [CLOSE CANDIDATE]; P3 crushed Pepsi can with 20 cm edge gap in front of P1 [FAR CANDIDATE]; P4 blue block with 14 cm edge gap to the right of P1 [VISUAL COMPETITOR]</x:v>
      </x:c>
      <x:c r="E102" s="9" t="str">
        <x:f>IF(ISBLANK('Evaluation Plan'!E102),"",'Evaluation Plan'!E102)</x:f>
      </x:c>
      <x:c r="F102" s="9" t="str">
        <x:f>'Evaluation Plan'!F102</x:f>
        <x:v>crushed Coke can</x:v>
      </x:c>
      <x:c r="G102" s="10"/>
      <x:c r="H102" s="9" t="str">
        <x:f>'Evaluation Plan'!H102</x:f>
        <x:v>Block closest baseline</x:v>
      </x:c>
      <x:c r="I102" s="9" t="str">
        <x:f>'Evaluation Plan'!I102</x:f>
        <x:v>RD-BLK06</x:v>
      </x:c>
      <x:c r="J102" s="9" t="str">
        <x:f>'Evaluation Plan'!J102</x:f>
        <x:v>RD-BLK06</x:v>
      </x:c>
      <x:c r="K102" s="9" t="str">
        <x:f>'Evaluation Plan'!K102</x:f>
        <x:v>crushed soda can</x:v>
      </x:c>
      <x:c r="L102" s="9" t="str">
        <x:f>'Evaluation Plan'!L102</x:f>
        <x:v>closest</x:v>
      </x:c>
      <x:c r="M102" s="9" t="n">
        <x:f>'Evaluation Plan'!M102</x:f>
        <x:v>4</x:v>
      </x:c>
      <x:c r="N102" s="9" t="str">
        <x:f>'Evaluation Plan'!N102</x:f>
        <x:v>1 — Block closest baseline — Cross-task red/blue blocks as reference object; seen closest concept</x:v>
      </x:c>
      <x:c r="O102" s="9" t="n">
        <x:f>'Evaluation Plan'!O102</x:f>
        <x:v>56</x:v>
      </x:c>
      <x:c r="P102" s="10" t="str">
        <x:f>'Evaluation Plan'!P102</x:f>
        <x:v>Build the listed scene with both red and blue blocks present. Save a first-frame filename before the baseline.</x:v>
      </x:c>
      <x:c r="Q102" s="10" t="str">
        <x:f>'Evaluation Plan'!Q102</x:f>
        <x:v>Red and blue blocks are equally trained in Relational Placement but absent from Referential Disambiguation. The closest baseline checks the relevant cross-task visual role.</x:v>
      </x:c>
      <x:c r="R102" s="10" t="str">
        <x:f>IF(ISBLANK('Evaluation Plan'!R102),"",'Evaluation Plan'!R102)</x:f>
      </x:c>
    </x:row>
    <x:row r="103" ht="66" customHeight="1">
      <x:c r="A103" s="8" t="str">
        <x:v>Not collected</x:v>
      </x:c>
      <x:c r="B103" s="8" t="n">
        <x:f>'Evaluation Plan'!B103</x:f>
        <x:v>101</x:v>
      </x:c>
      <x:c r="C103" s="7" t="str">
        <x:f>'Evaluation Plan'!C103</x:f>
        <x:v>Pick up the crushed soda can furthest from the red block and place it in the bowl.</x:v>
      </x:c>
      <x:c r="D103" s="7" t="str">
        <x:f>'Evaluation Plan'!D103</x:f>
        <x:v>P1 red block at R1 (table center) [REFERENCE]; P2 crushed Coke can with 6 cm edge gap behind P1 [CLOSE CANDIDATE]; P3 crushed Pepsi can with 20 cm edge gap in front of P1 [FAR CANDIDATE]; P4 blue block with 14 cm edge gap to the right of P1 [VISUAL COMPETITOR]</x:v>
      </x:c>
      <x:c r="E103" s="8" t="n">
        <x:f>IF(ISBLANK('Evaluation Plan'!E103),"",'Evaluation Plan'!E103)</x:f>
        <x:v>100</x:v>
      </x:c>
      <x:c r="F103" s="8" t="str">
        <x:f>'Evaluation Plan'!F103</x:f>
        <x:v>crushed Pepsi can</x:v>
      </x:c>
      <x:c r="G103" s="7"/>
      <x:c r="H103" s="8" t="str">
        <x:f>'Evaluation Plan'!H103</x:f>
        <x:v>Block furthest transfer</x:v>
      </x:c>
      <x:c r="I103" s="8" t="str">
        <x:f>'Evaluation Plan'!I103</x:f>
        <x:v>RD-BLK06</x:v>
      </x:c>
      <x:c r="J103" s="8" t="str">
        <x:f>'Evaluation Plan'!J103</x:f>
        <x:v>RD-BLK06</x:v>
      </x:c>
      <x:c r="K103" s="8" t="str">
        <x:f>'Evaluation Plan'!K103</x:f>
        <x:v>crushed soda can</x:v>
      </x:c>
      <x:c r="L103" s="8" t="str">
        <x:f>'Evaluation Plan'!L103</x:f>
        <x:v>furthest</x:v>
      </x:c>
      <x:c r="M103" s="8" t="n">
        <x:f>'Evaluation Plan'!M103</x:f>
        <x:v>4</x:v>
      </x:c>
      <x:c r="N103" s="8" t="str">
        <x:f>'Evaluation Plan'!N103</x:f>
        <x:v>2 — Block furthest transfer — Cross-task red/blue blocks as reference object; held-out furthest concept</x:v>
      </x:c>
      <x:c r="O103" s="8" t="n">
        <x:f>'Evaluation Plan'!O103</x:f>
        <x:v>56</x:v>
      </x:c>
      <x:c r="P103" s="7" t="str">
        <x:f>'Evaluation Plan'!P103</x:f>
        <x:v>Reset only the P2 closest target. Keep the scene exact; change only the query and expected target from closest to furthest.</x:v>
      </x:c>
      <x:c r="Q103" s="7" t="str">
        <x:f>'Evaluation Plan'!Q103</x:f>
        <x:v>Exact-scene closest→furthest comparison. Analyze block-as-candidate and block-as-reference families separately; this is cross-task visual transfer, not global novelty.</x:v>
      </x:c>
      <x:c r="R103" s="7" t="str">
        <x:f>IF(ISBLANK('Evaluation Plan'!R103),"",'Evaluation Plan'!R103)</x:f>
      </x:c>
    </x:row>
    <x:row r="104" ht="66" customHeight="1">
      <x:c r="A104" s="9" t="str">
        <x:v>Not collected</x:v>
      </x:c>
      <x:c r="B104" s="9" t="n">
        <x:f>'Evaluation Plan'!B104</x:f>
        <x:v>102</x:v>
      </x:c>
      <x:c r="C104" s="10" t="str">
        <x:f>'Evaluation Plan'!C104</x:f>
        <x:v>Pick up the pencil sharpener nearest to the blue block and place it in the bowl.</x:v>
      </x:c>
      <x:c r="D104" s="10" t="str">
        <x:f>'Evaluation Plan'!D104</x:f>
        <x:v>P1 blue block at R2 (5 cm left of center) [REFERENCE]; P2 red pencil sharpener with 6 cm edge gap to the left of P1 [CLOSE CANDIDATE]; P3 green pencil sharpener with 20 cm edge gap to the right of P1 [FAR CANDIDATE]; P4 red block with 14 cm edge gap in front of P1 [VISUAL COMPETITOR]; P5 green pen with 14 cm edge gap behind P1 [DISTRACTOR]</x:v>
      </x:c>
      <x:c r="E104" s="9" t="str">
        <x:f>IF(ISBLANK('Evaluation Plan'!E104),"",'Evaluation Plan'!E104)</x:f>
      </x:c>
      <x:c r="F104" s="9" t="str">
        <x:f>'Evaluation Plan'!F104</x:f>
        <x:v>red pencil sharpener</x:v>
      </x:c>
      <x:c r="G104" s="10"/>
      <x:c r="H104" s="9" t="str">
        <x:f>'Evaluation Plan'!H104</x:f>
        <x:v>Block closest baseline</x:v>
      </x:c>
      <x:c r="I104" s="9" t="str">
        <x:f>'Evaluation Plan'!I104</x:f>
        <x:v>RD-BLK07</x:v>
      </x:c>
      <x:c r="J104" s="9" t="str">
        <x:f>'Evaluation Plan'!J104</x:f>
        <x:v>RD-BLK07</x:v>
      </x:c>
      <x:c r="K104" s="9" t="str">
        <x:f>'Evaluation Plan'!K104</x:f>
        <x:v>pencil sharpener</x:v>
      </x:c>
      <x:c r="L104" s="9" t="str">
        <x:f>'Evaluation Plan'!L104</x:f>
        <x:v>closest</x:v>
      </x:c>
      <x:c r="M104" s="9" t="n">
        <x:f>'Evaluation Plan'!M104</x:f>
        <x:v>5</x:v>
      </x:c>
      <x:c r="N104" s="9" t="str">
        <x:f>'Evaluation Plan'!N104</x:f>
        <x:v>1 — Block closest baseline — Cross-task red/blue blocks as reference object; seen closest concept</x:v>
      </x:c>
      <x:c r="O104" s="9" t="n">
        <x:f>'Evaluation Plan'!O104</x:f>
        <x:v>57</x:v>
      </x:c>
      <x:c r="P104" s="10" t="str">
        <x:f>'Evaluation Plan'!P104</x:f>
        <x:v>Build the listed scene with both red and blue blocks present. Save a first-frame filename before the baseline.</x:v>
      </x:c>
      <x:c r="Q104" s="10" t="str">
        <x:f>'Evaluation Plan'!Q104</x:f>
        <x:v>Red and blue blocks are equally trained in Relational Placement but absent from Referential Disambiguation. The closest baseline checks the relevant cross-task visual role.</x:v>
      </x:c>
      <x:c r="R104" s="10" t="str">
        <x:f>IF(ISBLANK('Evaluation Plan'!R104),"",'Evaluation Plan'!R104)</x:f>
      </x:c>
    </x:row>
    <x:row r="105" ht="66" customHeight="1">
      <x:c r="A105" s="8" t="str">
        <x:v>Not collected</x:v>
      </x:c>
      <x:c r="B105" s="8" t="n">
        <x:f>'Evaluation Plan'!B105</x:f>
        <x:v>103</x:v>
      </x:c>
      <x:c r="C105" s="7" t="str">
        <x:f>'Evaluation Plan'!C105</x:f>
        <x:v>Pick up the pencil sharpener furthest from the blue block and place it in the bowl.</x:v>
      </x:c>
      <x:c r="D105" s="7" t="str">
        <x:f>'Evaluation Plan'!D105</x:f>
        <x:v>P1 blue block at R2 (5 cm left of center) [REFERENCE]; P2 red pencil sharpener with 6 cm edge gap to the left of P1 [CLOSE CANDIDATE]; P3 green pencil sharpener with 20 cm edge gap to the right of P1 [FAR CANDIDATE]; P4 red block with 14 cm edge gap in front of P1 [VISUAL COMPETITOR]; P5 green pen with 14 cm edge gap behind P1 [DISTRACTOR]</x:v>
      </x:c>
      <x:c r="E105" s="8" t="n">
        <x:f>IF(ISBLANK('Evaluation Plan'!E105),"",'Evaluation Plan'!E105)</x:f>
        <x:v>102</x:v>
      </x:c>
      <x:c r="F105" s="8" t="str">
        <x:f>'Evaluation Plan'!F105</x:f>
        <x:v>green pencil sharpener</x:v>
      </x:c>
      <x:c r="G105" s="7"/>
      <x:c r="H105" s="8" t="str">
        <x:f>'Evaluation Plan'!H105</x:f>
        <x:v>Block furthest transfer</x:v>
      </x:c>
      <x:c r="I105" s="8" t="str">
        <x:f>'Evaluation Plan'!I105</x:f>
        <x:v>RD-BLK07</x:v>
      </x:c>
      <x:c r="J105" s="8" t="str">
        <x:f>'Evaluation Plan'!J105</x:f>
        <x:v>RD-BLK07</x:v>
      </x:c>
      <x:c r="K105" s="8" t="str">
        <x:f>'Evaluation Plan'!K105</x:f>
        <x:v>pencil sharpener</x:v>
      </x:c>
      <x:c r="L105" s="8" t="str">
        <x:f>'Evaluation Plan'!L105</x:f>
        <x:v>furthest</x:v>
      </x:c>
      <x:c r="M105" s="8" t="n">
        <x:f>'Evaluation Plan'!M105</x:f>
        <x:v>5</x:v>
      </x:c>
      <x:c r="N105" s="8" t="str">
        <x:f>'Evaluation Plan'!N105</x:f>
        <x:v>2 — Block furthest transfer — Cross-task red/blue blocks as reference object; held-out furthest concept</x:v>
      </x:c>
      <x:c r="O105" s="8" t="n">
        <x:f>'Evaluation Plan'!O105</x:f>
        <x:v>57</x:v>
      </x:c>
      <x:c r="P105" s="7" t="str">
        <x:f>'Evaluation Plan'!P105</x:f>
        <x:v>Reset only the P2 closest target. Keep the scene exact; change only the query and expected target from closest to furthest.</x:v>
      </x:c>
      <x:c r="Q105" s="7" t="str">
        <x:f>'Evaluation Plan'!Q105</x:f>
        <x:v>Exact-scene closest→furthest comparison. Analyze block-as-candidate and block-as-reference families separately; this is cross-task visual transfer, not global novelty.</x:v>
      </x:c>
      <x:c r="R105" s="7" t="str">
        <x:f>IF(ISBLANK('Evaluation Plan'!R105),"",'Evaluation Plan'!R105)</x:f>
      </x:c>
    </x:row>
    <x:row r="106" ht="66" customHeight="1">
      <x:c r="A106" s="9" t="str">
        <x:v>Not collected</x:v>
      </x:c>
      <x:c r="B106" s="9" t="n">
        <x:f>'Evaluation Plan'!B106</x:f>
        <x:v>104</x:v>
      </x:c>
      <x:c r="C106" s="10" t="str">
        <x:f>'Evaluation Plan'!C106</x:f>
        <x:v>Put the pen closest to the red block in the bowl.</x:v>
      </x:c>
      <x:c r="D106" s="10" t="str">
        <x:f>'Evaluation Plan'!D106</x:f>
        <x:v>P1 red block at R3 (5 cm right of center) [REFERENCE]; P2 green pen with 6 cm edge gap to the right of P1 [CLOSE CANDIDATE]; P3 yellow pen with 20 cm edge gap to the left of P1 [FAR CANDIDATE]; P4 blue block with 14 cm edge gap behind P1 [VISUAL COMPETITOR]</x:v>
      </x:c>
      <x:c r="E106" s="9" t="str">
        <x:f>IF(ISBLANK('Evaluation Plan'!E106),"",'Evaluation Plan'!E106)</x:f>
      </x:c>
      <x:c r="F106" s="9" t="str">
        <x:f>'Evaluation Plan'!F106</x:f>
        <x:v>green pen</x:v>
      </x:c>
      <x:c r="G106" s="10"/>
      <x:c r="H106" s="9" t="str">
        <x:f>'Evaluation Plan'!H106</x:f>
        <x:v>Block closest baseline</x:v>
      </x:c>
      <x:c r="I106" s="9" t="str">
        <x:f>'Evaluation Plan'!I106</x:f>
        <x:v>RD-BLK08</x:v>
      </x:c>
      <x:c r="J106" s="9" t="str">
        <x:f>'Evaluation Plan'!J106</x:f>
        <x:v>RD-BLK08</x:v>
      </x:c>
      <x:c r="K106" s="9" t="str">
        <x:f>'Evaluation Plan'!K106</x:f>
        <x:v>pen</x:v>
      </x:c>
      <x:c r="L106" s="9" t="str">
        <x:f>'Evaluation Plan'!L106</x:f>
        <x:v>closest</x:v>
      </x:c>
      <x:c r="M106" s="9" t="n">
        <x:f>'Evaluation Plan'!M106</x:f>
        <x:v>4</x:v>
      </x:c>
      <x:c r="N106" s="9" t="str">
        <x:f>'Evaluation Plan'!N106</x:f>
        <x:v>1 — Block closest baseline — Cross-task red/blue blocks as reference object; seen closest concept</x:v>
      </x:c>
      <x:c r="O106" s="9" t="n">
        <x:f>'Evaluation Plan'!O106</x:f>
        <x:v>58</x:v>
      </x:c>
      <x:c r="P106" s="10" t="str">
        <x:f>'Evaluation Plan'!P106</x:f>
        <x:v>Build the listed scene with both red and blue blocks present. Save a first-frame filename before the baseline.</x:v>
      </x:c>
      <x:c r="Q106" s="10" t="str">
        <x:f>'Evaluation Plan'!Q106</x:f>
        <x:v>Red and blue blocks are equally trained in Relational Placement but absent from Referential Disambiguation. The closest baseline checks the relevant cross-task visual role.</x:v>
      </x:c>
      <x:c r="R106" s="10" t="str">
        <x:f>IF(ISBLANK('Evaluation Plan'!R106),"",'Evaluation Plan'!R106)</x:f>
      </x:c>
    </x:row>
    <x:row r="107" ht="66" customHeight="1">
      <x:c r="A107" s="8" t="str">
        <x:v>Not collected</x:v>
      </x:c>
      <x:c r="B107" s="8" t="n">
        <x:f>'Evaluation Plan'!B107</x:f>
        <x:v>105</x:v>
      </x:c>
      <x:c r="C107" s="7" t="str">
        <x:f>'Evaluation Plan'!C107</x:f>
        <x:v>Pick up the pen furthest from the red block and place it in the bowl.</x:v>
      </x:c>
      <x:c r="D107" s="7" t="str">
        <x:f>'Evaluation Plan'!D107</x:f>
        <x:v>P1 red block at R3 (5 cm right of center) [REFERENCE]; P2 green pen with 6 cm edge gap to the right of P1 [CLOSE CANDIDATE]; P3 yellow pen with 20 cm edge gap to the left of P1 [FAR CANDIDATE]; P4 blue block with 14 cm edge gap behind P1 [VISUAL COMPETITOR]</x:v>
      </x:c>
      <x:c r="E107" s="8" t="n">
        <x:f>IF(ISBLANK('Evaluation Plan'!E107),"",'Evaluation Plan'!E107)</x:f>
        <x:v>104</x:v>
      </x:c>
      <x:c r="F107" s="8" t="str">
        <x:f>'Evaluation Plan'!F107</x:f>
        <x:v>yellow pen</x:v>
      </x:c>
      <x:c r="G107" s="7"/>
      <x:c r="H107" s="8" t="str">
        <x:f>'Evaluation Plan'!H107</x:f>
        <x:v>Block furthest transfer</x:v>
      </x:c>
      <x:c r="I107" s="8" t="str">
        <x:f>'Evaluation Plan'!I107</x:f>
        <x:v>RD-BLK08</x:v>
      </x:c>
      <x:c r="J107" s="8" t="str">
        <x:f>'Evaluation Plan'!J107</x:f>
        <x:v>RD-BLK08</x:v>
      </x:c>
      <x:c r="K107" s="8" t="str">
        <x:f>'Evaluation Plan'!K107</x:f>
        <x:v>pen</x:v>
      </x:c>
      <x:c r="L107" s="8" t="str">
        <x:f>'Evaluation Plan'!L107</x:f>
        <x:v>furthest</x:v>
      </x:c>
      <x:c r="M107" s="8" t="n">
        <x:f>'Evaluation Plan'!M107</x:f>
        <x:v>4</x:v>
      </x:c>
      <x:c r="N107" s="8" t="str">
        <x:f>'Evaluation Plan'!N107</x:f>
        <x:v>2 — Block furthest transfer — Cross-task red/blue blocks as reference object; held-out furthest concept</x:v>
      </x:c>
      <x:c r="O107" s="8" t="n">
        <x:f>'Evaluation Plan'!O107</x:f>
        <x:v>58</x:v>
      </x:c>
      <x:c r="P107" s="7" t="str">
        <x:f>'Evaluation Plan'!P107</x:f>
        <x:v>Reset only the P2 closest target. Keep the scene exact; change only the query and expected target from closest to furthest.</x:v>
      </x:c>
      <x:c r="Q107" s="7" t="str">
        <x:f>'Evaluation Plan'!Q107</x:f>
        <x:v>Exact-scene closest→furthest comparison. Analyze block-as-candidate and block-as-reference families separately; this is cross-task visual transfer, not global novelty.</x:v>
      </x:c>
      <x:c r="R107" s="7" t="str">
        <x:f>IF(ISBLANK('Evaluation Plan'!R107),"",'Evaluation Plan'!R107)</x:f>
      </x:c>
    </x:row>
    <x:row r="108" ht="66" customHeight="1">
      <x:c r="A108" s="9" t="str">
        <x:v>Not collected</x:v>
      </x:c>
      <x:c r="B108" s="9" t="n">
        <x:f>'Evaluation Plan'!B108</x:f>
        <x:v>106</x:v>
      </x:c>
      <x:c r="C108" s="10" t="str">
        <x:f>'Evaluation Plan'!C108</x:f>
        <x:v>Move the airplane toy that is closest to the blue block into the bowl.</x:v>
      </x:c>
      <x:c r="D108" s="10" t="str">
        <x:f>'Evaluation Plan'!D108</x:f>
        <x:v>P1 blue block at R4 (5 cm toward the robot from center) [REFERENCE]; P2 airplane toy without propellers with 6 cm edge gap in front of P1 [CLOSE CANDIDATE]; P3 airplane toy with propellers with 20 cm edge gap behind P1 [FAR CANDIDATE]; P4 red block with 14 cm edge gap to the left of P1 [VISUAL COMPETITOR]; P5 green pen with 14 cm edge gap to the right of P1 [DISTRACTOR]</x:v>
      </x:c>
      <x:c r="E108" s="9" t="str">
        <x:f>IF(ISBLANK('Evaluation Plan'!E108),"",'Evaluation Plan'!E108)</x:f>
      </x:c>
      <x:c r="F108" s="9" t="str">
        <x:f>'Evaluation Plan'!F108</x:f>
        <x:v>airplane toy without propellers</x:v>
      </x:c>
      <x:c r="G108" s="10"/>
      <x:c r="H108" s="9" t="str">
        <x:f>'Evaluation Plan'!H108</x:f>
        <x:v>Block closest baseline</x:v>
      </x:c>
      <x:c r="I108" s="9" t="str">
        <x:f>'Evaluation Plan'!I108</x:f>
        <x:v>RD-BLK09</x:v>
      </x:c>
      <x:c r="J108" s="9" t="str">
        <x:f>'Evaluation Plan'!J108</x:f>
        <x:v>RD-BLK09</x:v>
      </x:c>
      <x:c r="K108" s="9" t="str">
        <x:f>'Evaluation Plan'!K108</x:f>
        <x:v>airplane toy</x:v>
      </x:c>
      <x:c r="L108" s="9" t="str">
        <x:f>'Evaluation Plan'!L108</x:f>
        <x:v>closest</x:v>
      </x:c>
      <x:c r="M108" s="9" t="n">
        <x:f>'Evaluation Plan'!M108</x:f>
        <x:v>5</x:v>
      </x:c>
      <x:c r="N108" s="9" t="str">
        <x:f>'Evaluation Plan'!N108</x:f>
        <x:v>1 — Block closest baseline — Cross-task red/blue blocks as reference object; seen closest concept</x:v>
      </x:c>
      <x:c r="O108" s="9" t="n">
        <x:f>'Evaluation Plan'!O108</x:f>
        <x:v>59</x:v>
      </x:c>
      <x:c r="P108" s="10" t="str">
        <x:f>'Evaluation Plan'!P108</x:f>
        <x:v>Build the listed scene with both red and blue blocks present. Save a first-frame filename before the baseline.</x:v>
      </x:c>
      <x:c r="Q108" s="10" t="str">
        <x:f>'Evaluation Plan'!Q108</x:f>
        <x:v>Red and blue blocks are equally trained in Relational Placement but absent from Referential Disambiguation. The closest baseline checks the relevant cross-task visual role.</x:v>
      </x:c>
      <x:c r="R108" s="10" t="str">
        <x:f>IF(ISBLANK('Evaluation Plan'!R108),"",'Evaluation Plan'!R108)</x:f>
      </x:c>
    </x:row>
    <x:row r="109" ht="66" customHeight="1">
      <x:c r="A109" s="8" t="str">
        <x:v>Not collected</x:v>
      </x:c>
      <x:c r="B109" s="8" t="n">
        <x:f>'Evaluation Plan'!B109</x:f>
        <x:v>107</x:v>
      </x:c>
      <x:c r="C109" s="7" t="str">
        <x:f>'Evaluation Plan'!C109</x:f>
        <x:v>Pick up the airplane toy furthest from the blue block and place it in the bowl.</x:v>
      </x:c>
      <x:c r="D109" s="7" t="str">
        <x:f>'Evaluation Plan'!D109</x:f>
        <x:v>P1 blue block at R4 (5 cm toward the robot from center) [REFERENCE]; P2 airplane toy without propellers with 6 cm edge gap in front of P1 [CLOSE CANDIDATE]; P3 airplane toy with propellers with 20 cm edge gap behind P1 [FAR CANDIDATE]; P4 red block with 14 cm edge gap to the left of P1 [VISUAL COMPETITOR]; P5 green pen with 14 cm edge gap to the right of P1 [DISTRACTOR]</x:v>
      </x:c>
      <x:c r="E109" s="8" t="n">
        <x:f>IF(ISBLANK('Evaluation Plan'!E109),"",'Evaluation Plan'!E109)</x:f>
        <x:v>106</x:v>
      </x:c>
      <x:c r="F109" s="8" t="str">
        <x:f>'Evaluation Plan'!F109</x:f>
        <x:v>airplane toy with propellers</x:v>
      </x:c>
      <x:c r="G109" s="7"/>
      <x:c r="H109" s="8" t="str">
        <x:f>'Evaluation Plan'!H109</x:f>
        <x:v>Block furthest transfer</x:v>
      </x:c>
      <x:c r="I109" s="8" t="str">
        <x:f>'Evaluation Plan'!I109</x:f>
        <x:v>RD-BLK09</x:v>
      </x:c>
      <x:c r="J109" s="8" t="str">
        <x:f>'Evaluation Plan'!J109</x:f>
        <x:v>RD-BLK09</x:v>
      </x:c>
      <x:c r="K109" s="8" t="str">
        <x:f>'Evaluation Plan'!K109</x:f>
        <x:v>airplane toy</x:v>
      </x:c>
      <x:c r="L109" s="8" t="str">
        <x:f>'Evaluation Plan'!L109</x:f>
        <x:v>furthest</x:v>
      </x:c>
      <x:c r="M109" s="8" t="n">
        <x:f>'Evaluation Plan'!M109</x:f>
        <x:v>5</x:v>
      </x:c>
      <x:c r="N109" s="8" t="str">
        <x:f>'Evaluation Plan'!N109</x:f>
        <x:v>2 — Block furthest transfer — Cross-task red/blue blocks as reference object; held-out furthest concept</x:v>
      </x:c>
      <x:c r="O109" s="8" t="n">
        <x:f>'Evaluation Plan'!O109</x:f>
        <x:v>59</x:v>
      </x:c>
      <x:c r="P109" s="7" t="str">
        <x:f>'Evaluation Plan'!P109</x:f>
        <x:v>Reset only the P2 closest target. Keep the scene exact; change only the query and expected target from closest to furthest.</x:v>
      </x:c>
      <x:c r="Q109" s="7" t="str">
        <x:f>'Evaluation Plan'!Q109</x:f>
        <x:v>Exact-scene closest→furthest comparison. Analyze block-as-candidate and block-as-reference families separately; this is cross-task visual transfer, not global novelty.</x:v>
      </x:c>
      <x:c r="R109" s="7" t="str">
        <x:f>IF(ISBLANK('Evaluation Plan'!R109),"",'Evaluation Plan'!R109)</x:f>
      </x:c>
    </x:row>
    <x:row r="110" ht="66" customHeight="1">
      <x:c r="A110" s="9" t="str">
        <x:v>Not collected</x:v>
      </x:c>
      <x:c r="B110" s="9" t="n">
        <x:f>'Evaluation Plan'!B110</x:f>
        <x:v>108</x:v>
      </x:c>
      <x:c r="C110" s="10" t="str">
        <x:f>'Evaluation Plan'!C110</x:f>
        <x:v>Pick up the crushed soda can nearest to the red block and place it in the bowl.</x:v>
      </x:c>
      <x:c r="D110" s="10" t="str">
        <x:f>'Evaluation Plan'!D110</x:f>
        <x:v>P1 red block at R5 (5 cm away from the robot from center) [REFERENCE]; P2 crushed Coke can with 6 cm edge gap behind P1 [CLOSE CANDIDATE]; P3 crushed Pepsi can with 20 cm edge gap in front of P1 [FAR CANDIDATE]; P4 blue block with 14 cm edge gap to the right of P1 [VISUAL COMPETITOR]</x:v>
      </x:c>
      <x:c r="E110" s="9" t="str">
        <x:f>IF(ISBLANK('Evaluation Plan'!E110),"",'Evaluation Plan'!E110)</x:f>
      </x:c>
      <x:c r="F110" s="9" t="str">
        <x:f>'Evaluation Plan'!F110</x:f>
        <x:v>crushed Coke can</x:v>
      </x:c>
      <x:c r="G110" s="10"/>
      <x:c r="H110" s="9" t="str">
        <x:f>'Evaluation Plan'!H110</x:f>
        <x:v>Block closest baseline</x:v>
      </x:c>
      <x:c r="I110" s="9" t="str">
        <x:f>'Evaluation Plan'!I110</x:f>
        <x:v>RD-BLK10</x:v>
      </x:c>
      <x:c r="J110" s="9" t="str">
        <x:f>'Evaluation Plan'!J110</x:f>
        <x:v>RD-BLK10</x:v>
      </x:c>
      <x:c r="K110" s="9" t="str">
        <x:f>'Evaluation Plan'!K110</x:f>
        <x:v>crushed soda can</x:v>
      </x:c>
      <x:c r="L110" s="9" t="str">
        <x:f>'Evaluation Plan'!L110</x:f>
        <x:v>closest</x:v>
      </x:c>
      <x:c r="M110" s="9" t="n">
        <x:f>'Evaluation Plan'!M110</x:f>
        <x:v>4</x:v>
      </x:c>
      <x:c r="N110" s="9" t="str">
        <x:f>'Evaluation Plan'!N110</x:f>
        <x:v>1 — Block closest baseline — Cross-task red/blue blocks as reference object; seen closest concept</x:v>
      </x:c>
      <x:c r="O110" s="9" t="n">
        <x:f>'Evaluation Plan'!O110</x:f>
        <x:v>60</x:v>
      </x:c>
      <x:c r="P110" s="10" t="str">
        <x:f>'Evaluation Plan'!P110</x:f>
        <x:v>Build the listed scene with both red and blue blocks present. Save a first-frame filename before the baseline.</x:v>
      </x:c>
      <x:c r="Q110" s="10" t="str">
        <x:f>'Evaluation Plan'!Q110</x:f>
        <x:v>Red and blue blocks are equally trained in Relational Placement but absent from Referential Disambiguation. The closest baseline checks the relevant cross-task visual role.</x:v>
      </x:c>
      <x:c r="R110" s="10" t="str">
        <x:f>IF(ISBLANK('Evaluation Plan'!R110),"",'Evaluation Plan'!R110)</x:f>
      </x:c>
    </x:row>
    <x:row r="111" ht="66" customHeight="1">
      <x:c r="A111" s="8" t="str">
        <x:v>Not collected</x:v>
      </x:c>
      <x:c r="B111" s="8" t="n">
        <x:f>'Evaluation Plan'!B111</x:f>
        <x:v>109</x:v>
      </x:c>
      <x:c r="C111" s="7" t="str">
        <x:f>'Evaluation Plan'!C111</x:f>
        <x:v>Pick up the crushed soda can furthest from the red block and place it in the bowl.</x:v>
      </x:c>
      <x:c r="D111" s="7" t="str">
        <x:f>'Evaluation Plan'!D111</x:f>
        <x:v>P1 red block at R5 (5 cm away from the robot from center) [REFERENCE]; P2 crushed Coke can with 6 cm edge gap behind P1 [CLOSE CANDIDATE]; P3 crushed Pepsi can with 20 cm edge gap in front of P1 [FAR CANDIDATE]; P4 blue block with 14 cm edge gap to the right of P1 [VISUAL COMPETITOR]</x:v>
      </x:c>
      <x:c r="E111" s="8" t="n">
        <x:f>IF(ISBLANK('Evaluation Plan'!E111),"",'Evaluation Plan'!E111)</x:f>
        <x:v>108</x:v>
      </x:c>
      <x:c r="F111" s="8" t="str">
        <x:f>'Evaluation Plan'!F111</x:f>
        <x:v>crushed Pepsi can</x:v>
      </x:c>
      <x:c r="G111" s="7"/>
      <x:c r="H111" s="8" t="str">
        <x:f>'Evaluation Plan'!H111</x:f>
        <x:v>Block furthest transfer</x:v>
      </x:c>
      <x:c r="I111" s="8" t="str">
        <x:f>'Evaluation Plan'!I111</x:f>
        <x:v>RD-BLK10</x:v>
      </x:c>
      <x:c r="J111" s="8" t="str">
        <x:f>'Evaluation Plan'!J111</x:f>
        <x:v>RD-BLK10</x:v>
      </x:c>
      <x:c r="K111" s="8" t="str">
        <x:f>'Evaluation Plan'!K111</x:f>
        <x:v>crushed soda can</x:v>
      </x:c>
      <x:c r="L111" s="8" t="str">
        <x:f>'Evaluation Plan'!L111</x:f>
        <x:v>furthest</x:v>
      </x:c>
      <x:c r="M111" s="8" t="n">
        <x:f>'Evaluation Plan'!M111</x:f>
        <x:v>4</x:v>
      </x:c>
      <x:c r="N111" s="8" t="str">
        <x:f>'Evaluation Plan'!N111</x:f>
        <x:v>2 — Block furthest transfer — Cross-task red/blue blocks as reference object; held-out furthest concept</x:v>
      </x:c>
      <x:c r="O111" s="8" t="n">
        <x:f>'Evaluation Plan'!O111</x:f>
        <x:v>60</x:v>
      </x:c>
      <x:c r="P111" s="7" t="str">
        <x:f>'Evaluation Plan'!P111</x:f>
        <x:v>Reset only the P2 closest target. Keep the scene exact; change only the query and expected target from closest to furthest.</x:v>
      </x:c>
      <x:c r="Q111" s="7" t="str">
        <x:f>'Evaluation Plan'!Q111</x:f>
        <x:v>Exact-scene closest→furthest comparison. Analyze block-as-candidate and block-as-reference families separately; this is cross-task visual transfer, not global novelty.</x:v>
      </x:c>
      <x:c r="R111" s="7" t="str">
        <x:f>IF(ISBLANK('Evaluation Plan'!R111),"",'Evaluation Plan'!R111)</x:f>
      </x:c>
    </x:row>
  </x:sheetData>
  <x:conditionalFormatting sqref="A2:R111">
    <x:cfRule type="expression" dxfId="8" priority="1">
      <x:formula>$A2="Success"</x:formula>
    </x:cfRule>
    <x:cfRule type="expression" dxfId="9" priority="2">
      <x:formula>$A2="Failure"</x:formula>
    </x:cfRule>
  </x:conditionalFormatting>
  <x:conditionalFormatting sqref="H2:H111">
    <x:cfRule type="containsText" dxfId="10" priority="3" operator="containsText" text="Concept/compositional transfer"/>
    <x:cfRule type="containsText" dxfId="11" priority="4" operator="containsText" text="Matched manipulation control"/>
    <x:cfRule type="containsText" dxfId="12" priority="5" operator="containsText" text="Block"/>
    <x:cfRule type="containsText" dxfId="13" priority="6" operator="containsText" text="Language robustness"/>
  </x:conditionalFormatting>
  <x:dataValidations count="1">
    <x:dataValidation type="list" sqref="A2:A111">
      <x:formula1>"Not collected,Success,Failure"</x:formula1>
    </x:dataValidation>
  </x:dataValidations>
  <x:pageMargins left="0.7" right="0.7" top="0.75" bottom="0.75" header="0.3" footer="0.3"/>
  <x:tableParts count="1">
    <x:tablePart xmlns:r="http://schemas.openxmlformats.org/officeDocument/2006/relationships" r:id="R861e4bff8ced4f3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9" hidden="0" customWidth="1"/>
    <x:col min="3" max="3" width="50" hidden="0" customWidth="1"/>
    <x:col min="4" max="4" width="92" hidden="0" customWidth="1"/>
    <x:col min="5" max="5" width="14" hidden="0" customWidth="1"/>
    <x:col min="6" max="6" width="32" hidden="0" customWidth="1"/>
    <x:col min="7" max="7" width="42" hidden="0" customWidth="1"/>
    <x:col min="8" max="8" width="31" hidden="0" customWidth="1"/>
    <x:col min="9" max="9" width="14" hidden="0" customWidth="1"/>
    <x:col min="10" max="10" width="17" hidden="0" customWidth="1"/>
    <x:col min="11" max="11" width="24" hidden="0" customWidth="1"/>
    <x:col min="12" max="12" width="20" hidden="0" customWidth="1"/>
    <x:col min="13" max="13" width="12" hidden="0" customWidth="1"/>
    <x:col min="14" max="14" width="58" hidden="0" customWidth="1"/>
    <x:col min="15" max="15" width="13" hidden="0" customWidth="1"/>
    <x:col min="16" max="16" width="70" hidden="0" customWidth="1"/>
    <x:col min="17" max="17" width="76" hidden="0" customWidth="1"/>
    <x:col min="18" max="18" width="30" hidden="0" customWidth="1"/>
  </x:cols>
  <x:sheetData>
    <x:row r="1" ht="38" customHeight="1">
      <x:c r="A1" s="5" t="str">
        <x:v>Status</x:v>
      </x:c>
      <x:c r="B1" s="5" t="str">
        <x:v>Episode</x:v>
      </x:c>
      <x:c r="C1" s="5" t="str">
        <x:v>Prompt</x:v>
      </x:c>
      <x:c r="D1" s="5" t="str">
        <x:v>Scene Setup (P1-P5)</x:v>
      </x:c>
      <x:c r="E1" s="5" t="str">
        <x:v>Reference Episode</x:v>
      </x:c>
      <x:c r="F1" s="5" t="str">
        <x:v>Expected Target</x:v>
      </x:c>
      <x:c r="G1" s="5" t="str">
        <x:v>Observations</x:v>
      </x:c>
      <x:c r="H1" s="5" t="str">
        <x:v>Condition</x:v>
      </x:c>
      <x:c r="I1" s="5" t="str">
        <x:v>Scene Family</x:v>
      </x:c>
      <x:c r="J1" s="5" t="str">
        <x:v>Counterfactual Pair</x:v>
      </x:c>
      <x:c r="K1" s="5" t="str">
        <x:v>Candidate Category</x:v>
      </x:c>
      <x:c r="L1" s="5" t="str">
        <x:v>Query Concept</x:v>
      </x:c>
      <x:c r="M1" s="5" t="str">
        <x:v>Object Count</x:v>
      </x:c>
      <x:c r="N1" s="5" t="str">
        <x:v>Comparison / Subtype</x:v>
      </x:c>
      <x:c r="O1" s="5" t="str">
        <x:v>Collection Block</x:v>
      </x:c>
      <x:c r="P1" s="5" t="str">
        <x:v>Setup Change from Previous</x:v>
      </x:c>
      <x:c r="Q1" s="5" t="str">
        <x:v>Design Note</x:v>
      </x:c>
      <x:c r="R1" s="5" t="str">
        <x:v>Reference Media Filename</x:v>
      </x:c>
    </x:row>
    <x:row r="2" ht="66" customHeight="1">
      <x:c r="A2" s="9" t="str">
        <x:v>Not collected</x:v>
      </x:c>
      <x:c r="B2" s="9" t="n">
        <x:f>'Evaluation Plan'!B2</x:f>
        <x:v>0</x:v>
      </x:c>
      <x:c r="C2" s="10" t="str">
        <x:f>'Evaluation Plan'!C2</x:f>
        <x:v>Pick up the crushed soda can furthest from the green pen and place it in the bowl.</x:v>
      </x:c>
      <x:c r="D2" s="10" t="str">
        <x:f>'Evaluation Plan'!D2</x:f>
        <x:v>P1 green pen at R1 (table center) [REFERENCE]; P2 crushed Coke can with 6 cm edge gap to the left of P1 [CLOSE CANDIDATE]; P3 crushed Pepsi can with 20 cm edge gap to the right of P1 [FAR CANDIDATE]</x:v>
      </x:c>
      <x:c r="E2" s="9" t="str">
        <x:f>IF(ISBLANK('Evaluation Plan'!E2),"",'Evaluation Plan'!E2)</x:f>
      </x:c>
      <x:c r="F2" s="9" t="str">
        <x:f>'Evaluation Plan'!F2</x:f>
        <x:v>crushed Pepsi can</x:v>
      </x:c>
      <x:c r="G2" s="10"/>
      <x:c r="H2" s="9" t="str">
        <x:f>'Evaluation Plan'!H2</x:f>
        <x:v>Concept/compositional transfer</x:v>
      </x:c>
      <x:c r="I2" s="9" t="str">
        <x:f>'Evaluation Plan'!I2</x:f>
        <x:v>RD-CF01A</x:v>
      </x:c>
      <x:c r="J2" s="9" t="str">
        <x:f>'Evaluation Plan'!J2</x:f>
        <x:v>RD-CF01</x:v>
      </x:c>
      <x:c r="K2" s="9" t="str">
        <x:f>'Evaluation Plan'!K2</x:f>
        <x:v>crushed soda can</x:v>
      </x:c>
      <x:c r="L2" s="9" t="str">
        <x:f>'Evaluation Plan'!L2</x:f>
        <x:v>furthest</x:v>
      </x:c>
      <x:c r="M2" s="9" t="n">
        <x:f>'Evaluation Plan'!M2</x:f>
        <x:v>3</x:v>
      </x:c>
      <x:c r="N2" s="9" t="str">
        <x:f>'Evaluation Plan'!N2</x:f>
        <x:v>1 — Canonical transfer — Held-out furthest concept with same-category candidates</x:v>
      </x:c>
      <x:c r="O2" s="9" t="n">
        <x:f>'Evaluation Plan'!O2</x:f>
        <x:v>1</x:v>
      </x:c>
      <x:c r="P2" s="10" t="str">
        <x:f>'Evaluation Plan'!P2</x:f>
        <x:v>Build counterfactual scene A and save a first-frame filename.</x:v>
      </x:c>
      <x:c r="Q2" s="10" t="str">
        <x:f>'Evaluation Plan'!Q2</x:f>
        <x:v>Furthest/farthest language is absent from fine-tuning. The A/B scene pair swaps which physical identity is far, preventing identity preference from solving both.</x:v>
      </x:c>
      <x:c r="R2" s="10" t="str">
        <x:f>IF(ISBLANK('Evaluation Plan'!R2),"",'Evaluation Plan'!R2)</x:f>
      </x:c>
    </x:row>
    <x:row r="3" ht="66" customHeight="1">
      <x:c r="A3" s="8" t="str">
        <x:v>Not collected</x:v>
      </x:c>
      <x:c r="B3" s="8" t="n">
        <x:f>'Evaluation Plan'!B3</x:f>
        <x:v>1</x:v>
      </x:c>
      <x:c r="C3" s="7" t="str">
        <x:f>'Evaluation Plan'!C3</x:f>
        <x:v>Pick up the crushed soda can farthest from the green pen and place it in the bowl.</x:v>
      </x:c>
      <x:c r="D3" s="7" t="str">
        <x:f>'Evaluation Plan'!D3</x:f>
        <x:v>P1 green pen at R1 (table center) [REFERENCE]; P2 crushed Coke can with 6 cm edge gap to the left of P1 [CLOSE CANDIDATE]; P3 crushed Pepsi can with 20 cm edge gap to the right of P1 [FAR CANDIDATE]</x:v>
      </x:c>
      <x:c r="E3" s="8" t="n">
        <x:f>IF(ISBLANK('Evaluation Plan'!E3),"",'Evaluation Plan'!E3)</x:f>
        <x:v>0</x:v>
      </x:c>
      <x:c r="F3" s="8" t="str">
        <x:f>'Evaluation Plan'!F3</x:f>
        <x:v>crushed Pepsi can</x:v>
      </x:c>
      <x:c r="G3" s="7"/>
      <x:c r="H3" s="8" t="str">
        <x:f>'Evaluation Plan'!H3</x:f>
        <x:v>Language robustness</x:v>
      </x:c>
      <x:c r="I3" s="8" t="str">
        <x:f>'Evaluation Plan'!I3</x:f>
        <x:v>RD-CF01A</x:v>
      </x:c>
      <x:c r="J3" s="8" t="str">
        <x:f>'Evaluation Plan'!J3</x:f>
        <x:v>RD-CF01</x:v>
      </x:c>
      <x:c r="K3" s="8" t="str">
        <x:f>'Evaluation Plan'!K3</x:f>
        <x:v>crushed soda can</x:v>
      </x:c>
      <x:c r="L3" s="8" t="str">
        <x:f>'Evaluation Plan'!L3</x:f>
        <x:v>furthest paraphrase</x:v>
      </x:c>
      <x:c r="M3" s="8" t="n">
        <x:f>'Evaluation Plan'!M3</x:f>
        <x:v>3</x:v>
      </x:c>
      <x:c r="N3" s="8" t="str">
        <x:f>'Evaluation Plan'!N3</x:f>
        <x:v>2 — Exact-scene transfer paraphrase — Paraphrase of furthest-transfer prompt</x:v>
      </x:c>
      <x:c r="O3" s="8" t="n">
        <x:f>'Evaluation Plan'!O3</x:f>
        <x:v>1</x:v>
      </x:c>
      <x:c r="P3" s="7" t="str">
        <x:f>'Evaluation Plan'!P3</x:f>
        <x:v>Reset only the far candidate to P3; change only the prompt wording.</x:v>
      </x:c>
      <x:c r="Q3" s="7" t="str">
        <x:f>'Evaluation Plan'!Q3</x:f>
        <x:v>Exact-scene language comparison for the held-out distance concept.</x:v>
      </x:c>
      <x:c r="R3" s="7" t="str">
        <x:f>IF(ISBLANK('Evaluation Plan'!R3),"",'Evaluation Plan'!R3)</x:f>
      </x:c>
    </x:row>
    <x:row r="4" ht="66" customHeight="1">
      <x:c r="A4" s="8" t="str">
        <x:v>Not collected</x:v>
      </x:c>
      <x:c r="B4" s="8" t="n">
        <x:f>'Evaluation Plan'!B4</x:f>
        <x:v>2</x:v>
      </x:c>
      <x:c r="C4" s="7" t="str">
        <x:f>'Evaluation Plan'!C4</x:f>
        <x:v>Put the crushed Pepsi can in the bowl.</x:v>
      </x:c>
      <x:c r="D4" s="7" t="str">
        <x:f>'Evaluation Plan'!D4</x:f>
        <x:v>P1 green pen at R1 (table center) [REFERENCE]; P2 crushed Coke can with 6 cm edge gap to the left of P1 [CLOSE CANDIDATE]; P3 crushed Pepsi can with 20 cm edge gap to the right of P1 [FAR CANDIDATE]</x:v>
      </x:c>
      <x:c r="E4" s="8" t="n">
        <x:f>IF(ISBLANK('Evaluation Plan'!E4),"",'Evaluation Plan'!E4)</x:f>
        <x:v>0</x:v>
      </x:c>
      <x:c r="F4" s="8" t="str">
        <x:f>'Evaluation Plan'!F4</x:f>
        <x:v>crushed Pepsi can</x:v>
      </x:c>
      <x:c r="G4" s="7"/>
      <x:c r="H4" s="8" t="str">
        <x:f>'Evaluation Plan'!H4</x:f>
        <x:v>Matched manipulation control</x:v>
      </x:c>
      <x:c r="I4" s="8" t="str">
        <x:f>'Evaluation Plan'!I4</x:f>
        <x:v>RD-CF01A</x:v>
      </x:c>
      <x:c r="J4" s="8" t="str">
        <x:f>'Evaluation Plan'!J4</x:f>
        <x:v>RD-CF01</x:v>
      </x:c>
      <x:c r="K4" s="8" t="str">
        <x:f>'Evaluation Plan'!K4</x:f>
        <x:v>crushed soda can</x:v>
      </x:c>
      <x:c r="L4" s="8" t="str">
        <x:f>'Evaluation Plan'!L4</x:f>
        <x:v>direct name</x:v>
      </x:c>
      <x:c r="M4" s="8" t="n">
        <x:f>'Evaluation Plan'!M4</x:f>
        <x:v>3</x:v>
      </x:c>
      <x:c r="N4" s="8" t="str">
        <x:f>'Evaluation Plan'!N4</x:f>
        <x:v>3 — Matched control — Direct-name control on identical target and trajectory</x:v>
      </x:c>
      <x:c r="O4" s="8" t="n">
        <x:f>'Evaluation Plan'!O4</x:f>
        <x:v>1</x:v>
      </x:c>
      <x:c r="P4" s="7" t="str">
        <x:f>'Evaluation Plan'!P4</x:f>
        <x:v>Reset only the far candidate to P3. Keep the full scene exact; replace the relational instruction with the target's direct name.</x:v>
      </x:c>
      <x:c r="Q4" s="7" t="str">
        <x:f>'Evaluation Plan'!Q4</x:f>
        <x:v>This is a true endpoint-matched manipulation control: scene, target identity, start pose and required trajectory match the furthest trial.</x:v>
      </x:c>
      <x:c r="R4" s="7" t="str">
        <x:f>IF(ISBLANK('Evaluation Plan'!R4),"",'Evaluation Plan'!R4)</x:f>
      </x:c>
    </x:row>
    <x:row r="5" ht="66" customHeight="1">
      <x:c r="A5" s="9" t="str">
        <x:v>Not collected</x:v>
      </x:c>
      <x:c r="B5" s="9" t="n">
        <x:f>'Evaluation Plan'!B5</x:f>
        <x:v>3</x:v>
      </x:c>
      <x:c r="C5" s="10" t="str">
        <x:f>'Evaluation Plan'!C5</x:f>
        <x:v>Pick up the crushed soda can furthest from the green pen and place it in the bowl.</x:v>
      </x:c>
      <x:c r="D5" s="10" t="str">
        <x:f>'Evaluation Plan'!D5</x:f>
        <x:v>P1 green pen at R1 (table center) [REFERENCE]; P2 crushed Pepsi can with 6 cm edge gap to the left of P1 [CLOSE CANDIDATE]; P3 crushed Coke can with 20 cm edge gap to the right of P1 [FAR CANDIDATE]</x:v>
      </x:c>
      <x:c r="E5" s="9" t="str">
        <x:f>IF(ISBLANK('Evaluation Plan'!E5),"",'Evaluation Plan'!E5)</x:f>
      </x:c>
      <x:c r="F5" s="9" t="str">
        <x:f>'Evaluation Plan'!F5</x:f>
        <x:v>crushed Coke can</x:v>
      </x:c>
      <x:c r="G5" s="10"/>
      <x:c r="H5" s="9" t="str">
        <x:f>'Evaluation Plan'!H5</x:f>
        <x:v>Concept/compositional transfer</x:v>
      </x:c>
      <x:c r="I5" s="9" t="str">
        <x:f>'Evaluation Plan'!I5</x:f>
        <x:v>RD-CF01B</x:v>
      </x:c>
      <x:c r="J5" s="9" t="str">
        <x:f>'Evaluation Plan'!J5</x:f>
        <x:v>RD-CF01</x:v>
      </x:c>
      <x:c r="K5" s="9" t="str">
        <x:f>'Evaluation Plan'!K5</x:f>
        <x:v>crushed soda can</x:v>
      </x:c>
      <x:c r="L5" s="9" t="str">
        <x:f>'Evaluation Plan'!L5</x:f>
        <x:v>furthest</x:v>
      </x:c>
      <x:c r="M5" s="9" t="n">
        <x:f>'Evaluation Plan'!M5</x:f>
        <x:v>3</x:v>
      </x:c>
      <x:c r="N5" s="9" t="str">
        <x:f>'Evaluation Plan'!N5</x:f>
        <x:v>1 — Canonical transfer — Held-out furthest concept with same-category candidates</x:v>
      </x:c>
      <x:c r="O5" s="9" t="n">
        <x:f>'Evaluation Plan'!O5</x:f>
        <x:v>2</x:v>
      </x:c>
      <x:c r="P5" s="10" t="str">
        <x:f>'Evaluation Plan'!P5</x:f>
        <x:v>From scene A, swap only the P2/P3 candidate identities; keep reference, distractors, camera and distances fixed. Save the new first frame.</x:v>
      </x:c>
      <x:c r="Q5" s="10" t="str">
        <x:f>'Evaluation Plan'!Q5</x:f>
        <x:v>Furthest/farthest language is absent from fine-tuning. The A/B scene pair swaps which physical identity is far, preventing identity preference from solving both.</x:v>
      </x:c>
      <x:c r="R5" s="10" t="str">
        <x:f>IF(ISBLANK('Evaluation Plan'!R5),"",'Evaluation Plan'!R5)</x:f>
      </x:c>
    </x:row>
    <x:row r="6" ht="66" customHeight="1">
      <x:c r="A6" s="8" t="str">
        <x:v>Not collected</x:v>
      </x:c>
      <x:c r="B6" s="8" t="n">
        <x:f>'Evaluation Plan'!B6</x:f>
        <x:v>4</x:v>
      </x:c>
      <x:c r="C6" s="7" t="str">
        <x:f>'Evaluation Plan'!C6</x:f>
        <x:v>Move the crushed soda can that is most distant from the green pen into the bowl.</x:v>
      </x:c>
      <x:c r="D6" s="7" t="str">
        <x:f>'Evaluation Plan'!D6</x:f>
        <x:v>P1 green pen at R1 (table center) [REFERENCE]; P2 crushed Pepsi can with 6 cm edge gap to the left of P1 [CLOSE CANDIDATE]; P3 crushed Coke can with 20 cm edge gap to the right of P1 [FAR CANDIDATE]</x:v>
      </x:c>
      <x:c r="E6" s="8" t="n">
        <x:f>IF(ISBLANK('Evaluation Plan'!E6),"",'Evaluation Plan'!E6)</x:f>
        <x:v>3</x:v>
      </x:c>
      <x:c r="F6" s="8" t="str">
        <x:f>'Evaluation Plan'!F6</x:f>
        <x:v>crushed Coke can</x:v>
      </x:c>
      <x:c r="G6" s="7"/>
      <x:c r="H6" s="8" t="str">
        <x:f>'Evaluation Plan'!H6</x:f>
        <x:v>Language robustness</x:v>
      </x:c>
      <x:c r="I6" s="8" t="str">
        <x:f>'Evaluation Plan'!I6</x:f>
        <x:v>RD-CF01B</x:v>
      </x:c>
      <x:c r="J6" s="8" t="str">
        <x:f>'Evaluation Plan'!J6</x:f>
        <x:v>RD-CF01</x:v>
      </x:c>
      <x:c r="K6" s="8" t="str">
        <x:f>'Evaluation Plan'!K6</x:f>
        <x:v>crushed soda can</x:v>
      </x:c>
      <x:c r="L6" s="8" t="str">
        <x:f>'Evaluation Plan'!L6</x:f>
        <x:v>furthest paraphrase</x:v>
      </x:c>
      <x:c r="M6" s="8" t="n">
        <x:f>'Evaluation Plan'!M6</x:f>
        <x:v>3</x:v>
      </x:c>
      <x:c r="N6" s="8" t="str">
        <x:f>'Evaluation Plan'!N6</x:f>
        <x:v>2 — Exact-scene transfer paraphrase — Paraphrase of furthest-transfer prompt</x:v>
      </x:c>
      <x:c r="O6" s="8" t="n">
        <x:f>'Evaluation Plan'!O6</x:f>
        <x:v>2</x:v>
      </x:c>
      <x:c r="P6" s="7" t="str">
        <x:f>'Evaluation Plan'!P6</x:f>
        <x:v>Reset only the far candidate to P3; change only the prompt wording.</x:v>
      </x:c>
      <x:c r="Q6" s="7" t="str">
        <x:f>'Evaluation Plan'!Q6</x:f>
        <x:v>Exact-scene language comparison for the held-out distance concept.</x:v>
      </x:c>
      <x:c r="R6" s="7" t="str">
        <x:f>IF(ISBLANK('Evaluation Plan'!R6),"",'Evaluation Plan'!R6)</x:f>
      </x:c>
    </x:row>
    <x:row r="7" ht="66" customHeight="1">
      <x:c r="A7" s="8" t="str">
        <x:v>Not collected</x:v>
      </x:c>
      <x:c r="B7" s="8" t="n">
        <x:f>'Evaluation Plan'!B7</x:f>
        <x:v>5</x:v>
      </x:c>
      <x:c r="C7" s="7" t="str">
        <x:f>'Evaluation Plan'!C7</x:f>
        <x:v>Move the crushed Coke can into the bowl.</x:v>
      </x:c>
      <x:c r="D7" s="7" t="str">
        <x:f>'Evaluation Plan'!D7</x:f>
        <x:v>P1 green pen at R1 (table center) [REFERENCE]; P2 crushed Pepsi can with 6 cm edge gap to the left of P1 [CLOSE CANDIDATE]; P3 crushed Coke can with 20 cm edge gap to the right of P1 [FAR CANDIDATE]</x:v>
      </x:c>
      <x:c r="E7" s="8" t="n">
        <x:f>IF(ISBLANK('Evaluation Plan'!E7),"",'Evaluation Plan'!E7)</x:f>
        <x:v>3</x:v>
      </x:c>
      <x:c r="F7" s="8" t="str">
        <x:f>'Evaluation Plan'!F7</x:f>
        <x:v>crushed Coke can</x:v>
      </x:c>
      <x:c r="G7" s="7"/>
      <x:c r="H7" s="8" t="str">
        <x:f>'Evaluation Plan'!H7</x:f>
        <x:v>Matched manipulation control</x:v>
      </x:c>
      <x:c r="I7" s="8" t="str">
        <x:f>'Evaluation Plan'!I7</x:f>
        <x:v>RD-CF01B</x:v>
      </x:c>
      <x:c r="J7" s="8" t="str">
        <x:f>'Evaluation Plan'!J7</x:f>
        <x:v>RD-CF01</x:v>
      </x:c>
      <x:c r="K7" s="8" t="str">
        <x:f>'Evaluation Plan'!K7</x:f>
        <x:v>crushed soda can</x:v>
      </x:c>
      <x:c r="L7" s="8" t="str">
        <x:f>'Evaluation Plan'!L7</x:f>
        <x:v>direct name</x:v>
      </x:c>
      <x:c r="M7" s="8" t="n">
        <x:f>'Evaluation Plan'!M7</x:f>
        <x:v>3</x:v>
      </x:c>
      <x:c r="N7" s="8" t="str">
        <x:f>'Evaluation Plan'!N7</x:f>
        <x:v>3 — Matched control — Direct-name control on identical target and trajectory</x:v>
      </x:c>
      <x:c r="O7" s="8" t="n">
        <x:f>'Evaluation Plan'!O7</x:f>
        <x:v>2</x:v>
      </x:c>
      <x:c r="P7" s="7" t="str">
        <x:f>'Evaluation Plan'!P7</x:f>
        <x:v>Reset only the far candidate to P3. Keep the full scene exact; replace the relational instruction with the target's direct name.</x:v>
      </x:c>
      <x:c r="Q7" s="7" t="str">
        <x:f>'Evaluation Plan'!Q7</x:f>
        <x:v>This is a true endpoint-matched manipulation control: scene, target identity, start pose and required trajectory match the furthest trial.</x:v>
      </x:c>
      <x:c r="R7" s="7" t="str">
        <x:f>IF(ISBLANK('Evaluation Plan'!R7),"",'Evaluation Plan'!R7)</x:f>
      </x:c>
    </x:row>
    <x:row r="8" ht="66" customHeight="1">
      <x:c r="A8" s="9" t="str">
        <x:v>Not collected</x:v>
      </x:c>
      <x:c r="B8" s="9" t="n">
        <x:f>'Evaluation Plan'!B8</x:f>
        <x:v>6</x:v>
      </x:c>
      <x:c r="C8" s="10" t="str">
        <x:f>'Evaluation Plan'!C8</x:f>
        <x:v>Pick up the pencil sharpener furthest from the yellow pen and place it in the bowl.</x:v>
      </x:c>
      <x:c r="D8" s="10" t="str">
        <x:f>'Evaluation Plan'!D8</x:f>
        <x:v>P1 yellow pen at R2 (5 cm left of center) [REFERENCE]; P2 red pencil sharpener with 6 cm edge gap to the right of P1 [CLOSE CANDIDATE]; P3 green pencil sharpener with 20 cm edge gap to the left of P1 [FAR CANDIDATE]</x:v>
      </x:c>
      <x:c r="E8" s="9" t="str">
        <x:f>IF(ISBLANK('Evaluation Plan'!E8),"",'Evaluation Plan'!E8)</x:f>
      </x:c>
      <x:c r="F8" s="9" t="str">
        <x:f>'Evaluation Plan'!F8</x:f>
        <x:v>green pencil sharpener</x:v>
      </x:c>
      <x:c r="G8" s="10"/>
      <x:c r="H8" s="9" t="str">
        <x:f>'Evaluation Plan'!H8</x:f>
        <x:v>Concept/compositional transfer</x:v>
      </x:c>
      <x:c r="I8" s="9" t="str">
        <x:f>'Evaluation Plan'!I8</x:f>
        <x:v>RD-CF02A</x:v>
      </x:c>
      <x:c r="J8" s="9" t="str">
        <x:f>'Evaluation Plan'!J8</x:f>
        <x:v>RD-CF02</x:v>
      </x:c>
      <x:c r="K8" s="9" t="str">
        <x:f>'Evaluation Plan'!K8</x:f>
        <x:v>pencil sharpener</x:v>
      </x:c>
      <x:c r="L8" s="9" t="str">
        <x:f>'Evaluation Plan'!L8</x:f>
        <x:v>furthest</x:v>
      </x:c>
      <x:c r="M8" s="9" t="n">
        <x:f>'Evaluation Plan'!M8</x:f>
        <x:v>3</x:v>
      </x:c>
      <x:c r="N8" s="9" t="str">
        <x:f>'Evaluation Plan'!N8</x:f>
        <x:v>1 — Canonical transfer — Held-out furthest concept with same-category candidates</x:v>
      </x:c>
      <x:c r="O8" s="9" t="n">
        <x:f>'Evaluation Plan'!O8</x:f>
        <x:v>3</x:v>
      </x:c>
      <x:c r="P8" s="10" t="str">
        <x:f>'Evaluation Plan'!P8</x:f>
        <x:v>Build counterfactual scene A and save a first-frame filename.</x:v>
      </x:c>
      <x:c r="Q8" s="10" t="str">
        <x:f>'Evaluation Plan'!Q8</x:f>
        <x:v>Furthest/farthest language is absent from fine-tuning. The A/B scene pair swaps which physical identity is far, preventing identity preference from solving both.</x:v>
      </x:c>
      <x:c r="R8" s="10" t="str">
        <x:f>IF(ISBLANK('Evaluation Plan'!R8),"",'Evaluation Plan'!R8)</x:f>
      </x:c>
    </x:row>
    <x:row r="9" ht="66" customHeight="1">
      <x:c r="A9" s="8" t="str">
        <x:v>Not collected</x:v>
      </x:c>
      <x:c r="B9" s="8" t="n">
        <x:f>'Evaluation Plan'!B9</x:f>
        <x:v>7</x:v>
      </x:c>
      <x:c r="C9" s="7" t="str">
        <x:f>'Evaluation Plan'!C9</x:f>
        <x:v>Choose whichever pencil sharpener is farther away from the yellow pen and put it in the bowl.</x:v>
      </x:c>
      <x:c r="D9" s="7" t="str">
        <x:f>'Evaluation Plan'!D9</x:f>
        <x:v>P1 yellow pen at R2 (5 cm left of center) [REFERENCE]; P2 red pencil sharpener with 6 cm edge gap to the right of P1 [CLOSE CANDIDATE]; P3 green pencil sharpener with 20 cm edge gap to the left of P1 [FAR CANDIDATE]</x:v>
      </x:c>
      <x:c r="E9" s="8" t="n">
        <x:f>IF(ISBLANK('Evaluation Plan'!E9),"",'Evaluation Plan'!E9)</x:f>
        <x:v>6</x:v>
      </x:c>
      <x:c r="F9" s="8" t="str">
        <x:f>'Evaluation Plan'!F9</x:f>
        <x:v>green pencil sharpener</x:v>
      </x:c>
      <x:c r="G9" s="7"/>
      <x:c r="H9" s="8" t="str">
        <x:f>'Evaluation Plan'!H9</x:f>
        <x:v>Language robustness</x:v>
      </x:c>
      <x:c r="I9" s="8" t="str">
        <x:f>'Evaluation Plan'!I9</x:f>
        <x:v>RD-CF02A</x:v>
      </x:c>
      <x:c r="J9" s="8" t="str">
        <x:f>'Evaluation Plan'!J9</x:f>
        <x:v>RD-CF02</x:v>
      </x:c>
      <x:c r="K9" s="8" t="str">
        <x:f>'Evaluation Plan'!K9</x:f>
        <x:v>pencil sharpener</x:v>
      </x:c>
      <x:c r="L9" s="8" t="str">
        <x:f>'Evaluation Plan'!L9</x:f>
        <x:v>furthest paraphrase</x:v>
      </x:c>
      <x:c r="M9" s="8" t="n">
        <x:f>'Evaluation Plan'!M9</x:f>
        <x:v>3</x:v>
      </x:c>
      <x:c r="N9" s="8" t="str">
        <x:f>'Evaluation Plan'!N9</x:f>
        <x:v>2 — Exact-scene transfer paraphrase — Paraphrase of furthest-transfer prompt</x:v>
      </x:c>
      <x:c r="O9" s="8" t="n">
        <x:f>'Evaluation Plan'!O9</x:f>
        <x:v>3</x:v>
      </x:c>
      <x:c r="P9" s="7" t="str">
        <x:f>'Evaluation Plan'!P9</x:f>
        <x:v>Reset only the far candidate to P3; change only the prompt wording.</x:v>
      </x:c>
      <x:c r="Q9" s="7" t="str">
        <x:f>'Evaluation Plan'!Q9</x:f>
        <x:v>Exact-scene language comparison for the held-out distance concept.</x:v>
      </x:c>
      <x:c r="R9" s="7" t="str">
        <x:f>IF(ISBLANK('Evaluation Plan'!R9),"",'Evaluation Plan'!R9)</x:f>
      </x:c>
    </x:row>
    <x:row r="10" ht="66" customHeight="1">
      <x:c r="A10" s="8" t="str">
        <x:v>Not collected</x:v>
      </x:c>
      <x:c r="B10" s="8" t="n">
        <x:f>'Evaluation Plan'!B10</x:f>
        <x:v>8</x:v>
      </x:c>
      <x:c r="C10" s="7" t="str">
        <x:f>'Evaluation Plan'!C10</x:f>
        <x:v>Pick up the green pencil sharpener and place it in the bowl.</x:v>
      </x:c>
      <x:c r="D10" s="7" t="str">
        <x:f>'Evaluation Plan'!D10</x:f>
        <x:v>P1 yellow pen at R2 (5 cm left of center) [REFERENCE]; P2 red pencil sharpener with 6 cm edge gap to the right of P1 [CLOSE CANDIDATE]; P3 green pencil sharpener with 20 cm edge gap to the left of P1 [FAR CANDIDATE]</x:v>
      </x:c>
      <x:c r="E10" s="8" t="n">
        <x:f>IF(ISBLANK('Evaluation Plan'!E10),"",'Evaluation Plan'!E10)</x:f>
        <x:v>6</x:v>
      </x:c>
      <x:c r="F10" s="8" t="str">
        <x:f>'Evaluation Plan'!F10</x:f>
        <x:v>green pencil sharpener</x:v>
      </x:c>
      <x:c r="G10" s="7"/>
      <x:c r="H10" s="8" t="str">
        <x:f>'Evaluation Plan'!H10</x:f>
        <x:v>Matched manipulation control</x:v>
      </x:c>
      <x:c r="I10" s="8" t="str">
        <x:f>'Evaluation Plan'!I10</x:f>
        <x:v>RD-CF02A</x:v>
      </x:c>
      <x:c r="J10" s="8" t="str">
        <x:f>'Evaluation Plan'!J10</x:f>
        <x:v>RD-CF02</x:v>
      </x:c>
      <x:c r="K10" s="8" t="str">
        <x:f>'Evaluation Plan'!K10</x:f>
        <x:v>pencil sharpener</x:v>
      </x:c>
      <x:c r="L10" s="8" t="str">
        <x:f>'Evaluation Plan'!L10</x:f>
        <x:v>direct name</x:v>
      </x:c>
      <x:c r="M10" s="8" t="n">
        <x:f>'Evaluation Plan'!M10</x:f>
        <x:v>3</x:v>
      </x:c>
      <x:c r="N10" s="8" t="str">
        <x:f>'Evaluation Plan'!N10</x:f>
        <x:v>3 — Matched control — Direct-name control on identical target and trajectory</x:v>
      </x:c>
      <x:c r="O10" s="8" t="n">
        <x:f>'Evaluation Plan'!O10</x:f>
        <x:v>3</x:v>
      </x:c>
      <x:c r="P10" s="7" t="str">
        <x:f>'Evaluation Plan'!P10</x:f>
        <x:v>Reset only the far candidate to P3. Keep the full scene exact; replace the relational instruction with the target's direct name.</x:v>
      </x:c>
      <x:c r="Q10" s="7" t="str">
        <x:f>'Evaluation Plan'!Q10</x:f>
        <x:v>This is a true endpoint-matched manipulation control: scene, target identity, start pose and required trajectory match the furthest trial.</x:v>
      </x:c>
      <x:c r="R10" s="7" t="str">
        <x:f>IF(ISBLANK('Evaluation Plan'!R10),"",'Evaluation Plan'!R10)</x:f>
      </x:c>
    </x:row>
    <x:row r="11" ht="66" customHeight="1">
      <x:c r="A11" s="9" t="str">
        <x:v>Not collected</x:v>
      </x:c>
      <x:c r="B11" s="9" t="n">
        <x:f>'Evaluation Plan'!B11</x:f>
        <x:v>9</x:v>
      </x:c>
      <x:c r="C11" s="10" t="str">
        <x:f>'Evaluation Plan'!C11</x:f>
        <x:v>Pick up the pencil sharpener furthest from the yellow pen and place it in the bowl.</x:v>
      </x:c>
      <x:c r="D11" s="10" t="str">
        <x:f>'Evaluation Plan'!D11</x:f>
        <x:v>P1 yellow pen at R2 (5 cm left of center) [REFERENCE]; P2 green pencil sharpener with 6 cm edge gap to the right of P1 [CLOSE CANDIDATE]; P3 red pencil sharpener with 20 cm edge gap to the left of P1 [FAR CANDIDATE]</x:v>
      </x:c>
      <x:c r="E11" s="9" t="str">
        <x:f>IF(ISBLANK('Evaluation Plan'!E11),"",'Evaluation Plan'!E11)</x:f>
      </x:c>
      <x:c r="F11" s="9" t="str">
        <x:f>'Evaluation Plan'!F11</x:f>
        <x:v>red pencil sharpener</x:v>
      </x:c>
      <x:c r="G11" s="10"/>
      <x:c r="H11" s="9" t="str">
        <x:f>'Evaluation Plan'!H11</x:f>
        <x:v>Concept/compositional transfer</x:v>
      </x:c>
      <x:c r="I11" s="9" t="str">
        <x:f>'Evaluation Plan'!I11</x:f>
        <x:v>RD-CF02B</x:v>
      </x:c>
      <x:c r="J11" s="9" t="str">
        <x:f>'Evaluation Plan'!J11</x:f>
        <x:v>RD-CF02</x:v>
      </x:c>
      <x:c r="K11" s="9" t="str">
        <x:f>'Evaluation Plan'!K11</x:f>
        <x:v>pencil sharpener</x:v>
      </x:c>
      <x:c r="L11" s="9" t="str">
        <x:f>'Evaluation Plan'!L11</x:f>
        <x:v>furthest</x:v>
      </x:c>
      <x:c r="M11" s="9" t="n">
        <x:f>'Evaluation Plan'!M11</x:f>
        <x:v>3</x:v>
      </x:c>
      <x:c r="N11" s="9" t="str">
        <x:f>'Evaluation Plan'!N11</x:f>
        <x:v>1 — Canonical transfer — Held-out furthest concept with same-category candidates</x:v>
      </x:c>
      <x:c r="O11" s="9" t="n">
        <x:f>'Evaluation Plan'!O11</x:f>
        <x:v>4</x:v>
      </x:c>
      <x:c r="P11" s="10" t="str">
        <x:f>'Evaluation Plan'!P11</x:f>
        <x:v>From scene A, swap only the P2/P3 candidate identities; keep reference, distractors, camera and distances fixed. Save the new first frame.</x:v>
      </x:c>
      <x:c r="Q11" s="10" t="str">
        <x:f>'Evaluation Plan'!Q11</x:f>
        <x:v>Furthest/farthest language is absent from fine-tuning. The A/B scene pair swaps which physical identity is far, preventing identity preference from solving both.</x:v>
      </x:c>
      <x:c r="R11" s="10" t="str">
        <x:f>IF(ISBLANK('Evaluation Plan'!R11),"",'Evaluation Plan'!R11)</x:f>
      </x:c>
    </x:row>
    <x:row r="12" ht="66" customHeight="1">
      <x:c r="A12" s="8" t="str">
        <x:v>Not collected</x:v>
      </x:c>
      <x:c r="B12" s="8" t="n">
        <x:f>'Evaluation Plan'!B12</x:f>
        <x:v>10</x:v>
      </x:c>
      <x:c r="C12" s="7" t="str">
        <x:f>'Evaluation Plan'!C12</x:f>
        <x:v>Place the pencil sharpener with the greatest distance from the yellow pen in the bowl.</x:v>
      </x:c>
      <x:c r="D12" s="7" t="str">
        <x:f>'Evaluation Plan'!D12</x:f>
        <x:v>P1 yellow pen at R2 (5 cm left of center) [REFERENCE]; P2 green pencil sharpener with 6 cm edge gap to the right of P1 [CLOSE CANDIDATE]; P3 red pencil sharpener with 20 cm edge gap to the left of P1 [FAR CANDIDATE]</x:v>
      </x:c>
      <x:c r="E12" s="8" t="n">
        <x:f>IF(ISBLANK('Evaluation Plan'!E12),"",'Evaluation Plan'!E12)</x:f>
        <x:v>9</x:v>
      </x:c>
      <x:c r="F12" s="8" t="str">
        <x:f>'Evaluation Plan'!F12</x:f>
        <x:v>red pencil sharpener</x:v>
      </x:c>
      <x:c r="G12" s="7"/>
      <x:c r="H12" s="8" t="str">
        <x:f>'Evaluation Plan'!H12</x:f>
        <x:v>Language robustness</x:v>
      </x:c>
      <x:c r="I12" s="8" t="str">
        <x:f>'Evaluation Plan'!I12</x:f>
        <x:v>RD-CF02B</x:v>
      </x:c>
      <x:c r="J12" s="8" t="str">
        <x:f>'Evaluation Plan'!J12</x:f>
        <x:v>RD-CF02</x:v>
      </x:c>
      <x:c r="K12" s="8" t="str">
        <x:f>'Evaluation Plan'!K12</x:f>
        <x:v>pencil sharpener</x:v>
      </x:c>
      <x:c r="L12" s="8" t="str">
        <x:f>'Evaluation Plan'!L12</x:f>
        <x:v>furthest paraphrase</x:v>
      </x:c>
      <x:c r="M12" s="8" t="n">
        <x:f>'Evaluation Plan'!M12</x:f>
        <x:v>3</x:v>
      </x:c>
      <x:c r="N12" s="8" t="str">
        <x:f>'Evaluation Plan'!N12</x:f>
        <x:v>2 — Exact-scene transfer paraphrase — Paraphrase of furthest-transfer prompt</x:v>
      </x:c>
      <x:c r="O12" s="8" t="n">
        <x:f>'Evaluation Plan'!O12</x:f>
        <x:v>4</x:v>
      </x:c>
      <x:c r="P12" s="7" t="str">
        <x:f>'Evaluation Plan'!P12</x:f>
        <x:v>Reset only the far candidate to P3; change only the prompt wording.</x:v>
      </x:c>
      <x:c r="Q12" s="7" t="str">
        <x:f>'Evaluation Plan'!Q12</x:f>
        <x:v>Exact-scene language comparison for the held-out distance concept.</x:v>
      </x:c>
      <x:c r="R12" s="7" t="str">
        <x:f>IF(ISBLANK('Evaluation Plan'!R12),"",'Evaluation Plan'!R12)</x:f>
      </x:c>
    </x:row>
    <x:row r="13" ht="66" customHeight="1">
      <x:c r="A13" s="8" t="str">
        <x:v>Not collected</x:v>
      </x:c>
      <x:c r="B13" s="8" t="n">
        <x:f>'Evaluation Plan'!B13</x:f>
        <x:v>11</x:v>
      </x:c>
      <x:c r="C13" s="7" t="str">
        <x:f>'Evaluation Plan'!C13</x:f>
        <x:v>Put the red pencil sharpener in the bowl.</x:v>
      </x:c>
      <x:c r="D13" s="7" t="str">
        <x:f>'Evaluation Plan'!D13</x:f>
        <x:v>P1 yellow pen at R2 (5 cm left of center) [REFERENCE]; P2 green pencil sharpener with 6 cm edge gap to the right of P1 [CLOSE CANDIDATE]; P3 red pencil sharpener with 20 cm edge gap to the left of P1 [FAR CANDIDATE]</x:v>
      </x:c>
      <x:c r="E13" s="8" t="n">
        <x:f>IF(ISBLANK('Evaluation Plan'!E13),"",'Evaluation Plan'!E13)</x:f>
        <x:v>9</x:v>
      </x:c>
      <x:c r="F13" s="8" t="str">
        <x:f>'Evaluation Plan'!F13</x:f>
        <x:v>red pencil sharpener</x:v>
      </x:c>
      <x:c r="G13" s="7"/>
      <x:c r="H13" s="8" t="str">
        <x:f>'Evaluation Plan'!H13</x:f>
        <x:v>Matched manipulation control</x:v>
      </x:c>
      <x:c r="I13" s="8" t="str">
        <x:f>'Evaluation Plan'!I13</x:f>
        <x:v>RD-CF02B</x:v>
      </x:c>
      <x:c r="J13" s="8" t="str">
        <x:f>'Evaluation Plan'!J13</x:f>
        <x:v>RD-CF02</x:v>
      </x:c>
      <x:c r="K13" s="8" t="str">
        <x:f>'Evaluation Plan'!K13</x:f>
        <x:v>pencil sharpener</x:v>
      </x:c>
      <x:c r="L13" s="8" t="str">
        <x:f>'Evaluation Plan'!L13</x:f>
        <x:v>direct name</x:v>
      </x:c>
      <x:c r="M13" s="8" t="n">
        <x:f>'Evaluation Plan'!M13</x:f>
        <x:v>3</x:v>
      </x:c>
      <x:c r="N13" s="8" t="str">
        <x:f>'Evaluation Plan'!N13</x:f>
        <x:v>3 — Matched control — Direct-name control on identical target and trajectory</x:v>
      </x:c>
      <x:c r="O13" s="8" t="n">
        <x:f>'Evaluation Plan'!O13</x:f>
        <x:v>4</x:v>
      </x:c>
      <x:c r="P13" s="7" t="str">
        <x:f>'Evaluation Plan'!P13</x:f>
        <x:v>Reset only the far candidate to P3. Keep the full scene exact; replace the relational instruction with the target's direct name.</x:v>
      </x:c>
      <x:c r="Q13" s="7" t="str">
        <x:f>'Evaluation Plan'!Q13</x:f>
        <x:v>This is a true endpoint-matched manipulation control: scene, target identity, start pose and required trajectory match the furthest trial.</x:v>
      </x:c>
      <x:c r="R13" s="7" t="str">
        <x:f>IF(ISBLANK('Evaluation Plan'!R13),"",'Evaluation Plan'!R13)</x:f>
      </x:c>
    </x:row>
    <x:row r="14" ht="66" customHeight="1">
      <x:c r="A14" s="9" t="str">
        <x:v>Not collected</x:v>
      </x:c>
      <x:c r="B14" s="9" t="n">
        <x:f>'Evaluation Plan'!B14</x:f>
        <x:v>12</x:v>
      </x:c>
      <x:c r="C14" s="10" t="str">
        <x:f>'Evaluation Plan'!C14</x:f>
        <x:v>Pick up the pen furthest from the green pencil sharpener and place it in the bowl.</x:v>
      </x:c>
      <x:c r="D14" s="10" t="str">
        <x:f>'Evaluation Plan'!D14</x:f>
        <x:v>P1 green pencil sharpener at R3 (5 cm right of center) [REFERENCE]; P2 green pen with 6 cm edge gap in front of P1 [CLOSE CANDIDATE]; P3 yellow pen with 20 cm edge gap behind P1 [FAR CANDIDATE]</x:v>
      </x:c>
      <x:c r="E14" s="9" t="str">
        <x:f>IF(ISBLANK('Evaluation Plan'!E14),"",'Evaluation Plan'!E14)</x:f>
      </x:c>
      <x:c r="F14" s="9" t="str">
        <x:f>'Evaluation Plan'!F14</x:f>
        <x:v>yellow pen</x:v>
      </x:c>
      <x:c r="G14" s="10"/>
      <x:c r="H14" s="9" t="str">
        <x:f>'Evaluation Plan'!H14</x:f>
        <x:v>Concept/compositional transfer</x:v>
      </x:c>
      <x:c r="I14" s="9" t="str">
        <x:f>'Evaluation Plan'!I14</x:f>
        <x:v>RD-CF03A</x:v>
      </x:c>
      <x:c r="J14" s="9" t="str">
        <x:f>'Evaluation Plan'!J14</x:f>
        <x:v>RD-CF03</x:v>
      </x:c>
      <x:c r="K14" s="9" t="str">
        <x:f>'Evaluation Plan'!K14</x:f>
        <x:v>pen</x:v>
      </x:c>
      <x:c r="L14" s="9" t="str">
        <x:f>'Evaluation Plan'!L14</x:f>
        <x:v>furthest</x:v>
      </x:c>
      <x:c r="M14" s="9" t="n">
        <x:f>'Evaluation Plan'!M14</x:f>
        <x:v>3</x:v>
      </x:c>
      <x:c r="N14" s="9" t="str">
        <x:f>'Evaluation Plan'!N14</x:f>
        <x:v>1 — Canonical transfer — Held-out furthest concept with same-category candidates</x:v>
      </x:c>
      <x:c r="O14" s="9" t="n">
        <x:f>'Evaluation Plan'!O14</x:f>
        <x:v>5</x:v>
      </x:c>
      <x:c r="P14" s="10" t="str">
        <x:f>'Evaluation Plan'!P14</x:f>
        <x:v>Build counterfactual scene A and save a first-frame filename.</x:v>
      </x:c>
      <x:c r="Q14" s="10" t="str">
        <x:f>'Evaluation Plan'!Q14</x:f>
        <x:v>Furthest/farthest language is absent from fine-tuning. The A/B scene pair swaps which physical identity is far, preventing identity preference from solving both.</x:v>
      </x:c>
      <x:c r="R14" s="10" t="str">
        <x:f>IF(ISBLANK('Evaluation Plan'!R14),"",'Evaluation Plan'!R14)</x:f>
      </x:c>
    </x:row>
    <x:row r="15" ht="66" customHeight="1">
      <x:c r="A15" s="8" t="str">
        <x:v>Not collected</x:v>
      </x:c>
      <x:c r="B15" s="8" t="n">
        <x:f>'Evaluation Plan'!B15</x:f>
        <x:v>13</x:v>
      </x:c>
      <x:c r="C15" s="7" t="str">
        <x:f>'Evaluation Plan'!C15</x:f>
        <x:v>Of the two candidates, put the pen farther from the green pencil sharpener in the bowl.</x:v>
      </x:c>
      <x:c r="D15" s="7" t="str">
        <x:f>'Evaluation Plan'!D15</x:f>
        <x:v>P1 green pencil sharpener at R3 (5 cm right of center) [REFERENCE]; P2 green pen with 6 cm edge gap in front of P1 [CLOSE CANDIDATE]; P3 yellow pen with 20 cm edge gap behind P1 [FAR CANDIDATE]</x:v>
      </x:c>
      <x:c r="E15" s="8" t="n">
        <x:f>IF(ISBLANK('Evaluation Plan'!E15),"",'Evaluation Plan'!E15)</x:f>
        <x:v>12</x:v>
      </x:c>
      <x:c r="F15" s="8" t="str">
        <x:f>'Evaluation Plan'!F15</x:f>
        <x:v>yellow pen</x:v>
      </x:c>
      <x:c r="G15" s="7"/>
      <x:c r="H15" s="8" t="str">
        <x:f>'Evaluation Plan'!H15</x:f>
        <x:v>Language robustness</x:v>
      </x:c>
      <x:c r="I15" s="8" t="str">
        <x:f>'Evaluation Plan'!I15</x:f>
        <x:v>RD-CF03A</x:v>
      </x:c>
      <x:c r="J15" s="8" t="str">
        <x:f>'Evaluation Plan'!J15</x:f>
        <x:v>RD-CF03</x:v>
      </x:c>
      <x:c r="K15" s="8" t="str">
        <x:f>'Evaluation Plan'!K15</x:f>
        <x:v>pen</x:v>
      </x:c>
      <x:c r="L15" s="8" t="str">
        <x:f>'Evaluation Plan'!L15</x:f>
        <x:v>furthest paraphrase</x:v>
      </x:c>
      <x:c r="M15" s="8" t="n">
        <x:f>'Evaluation Plan'!M15</x:f>
        <x:v>3</x:v>
      </x:c>
      <x:c r="N15" s="8" t="str">
        <x:f>'Evaluation Plan'!N15</x:f>
        <x:v>2 — Exact-scene transfer paraphrase — Paraphrase of furthest-transfer prompt</x:v>
      </x:c>
      <x:c r="O15" s="8" t="n">
        <x:f>'Evaluation Plan'!O15</x:f>
        <x:v>5</x:v>
      </x:c>
      <x:c r="P15" s="7" t="str">
        <x:f>'Evaluation Plan'!P15</x:f>
        <x:v>Reset only the far candidate to P3; change only the prompt wording.</x:v>
      </x:c>
      <x:c r="Q15" s="7" t="str">
        <x:f>'Evaluation Plan'!Q15</x:f>
        <x:v>Exact-scene language comparison for the held-out distance concept.</x:v>
      </x:c>
      <x:c r="R15" s="7" t="str">
        <x:f>IF(ISBLANK('Evaluation Plan'!R15),"",'Evaluation Plan'!R15)</x:f>
      </x:c>
    </x:row>
    <x:row r="16" ht="66" customHeight="1">
      <x:c r="A16" s="8" t="str">
        <x:v>Not collected</x:v>
      </x:c>
      <x:c r="B16" s="8" t="n">
        <x:f>'Evaluation Plan'!B16</x:f>
        <x:v>14</x:v>
      </x:c>
      <x:c r="C16" s="7" t="str">
        <x:f>'Evaluation Plan'!C16</x:f>
        <x:v>Move the yellow pen into the bowl.</x:v>
      </x:c>
      <x:c r="D16" s="7" t="str">
        <x:f>'Evaluation Plan'!D16</x:f>
        <x:v>P1 green pencil sharpener at R3 (5 cm right of center) [REFERENCE]; P2 green pen with 6 cm edge gap in front of P1 [CLOSE CANDIDATE]; P3 yellow pen with 20 cm edge gap behind P1 [FAR CANDIDATE]</x:v>
      </x:c>
      <x:c r="E16" s="8" t="n">
        <x:f>IF(ISBLANK('Evaluation Plan'!E16),"",'Evaluation Plan'!E16)</x:f>
        <x:v>12</x:v>
      </x:c>
      <x:c r="F16" s="8" t="str">
        <x:f>'Evaluation Plan'!F16</x:f>
        <x:v>yellow pen</x:v>
      </x:c>
      <x:c r="G16" s="7"/>
      <x:c r="H16" s="8" t="str">
        <x:f>'Evaluation Plan'!H16</x:f>
        <x:v>Matched manipulation control</x:v>
      </x:c>
      <x:c r="I16" s="8" t="str">
        <x:f>'Evaluation Plan'!I16</x:f>
        <x:v>RD-CF03A</x:v>
      </x:c>
      <x:c r="J16" s="8" t="str">
        <x:f>'Evaluation Plan'!J16</x:f>
        <x:v>RD-CF03</x:v>
      </x:c>
      <x:c r="K16" s="8" t="str">
        <x:f>'Evaluation Plan'!K16</x:f>
        <x:v>pen</x:v>
      </x:c>
      <x:c r="L16" s="8" t="str">
        <x:f>'Evaluation Plan'!L16</x:f>
        <x:v>direct name</x:v>
      </x:c>
      <x:c r="M16" s="8" t="n">
        <x:f>'Evaluation Plan'!M16</x:f>
        <x:v>3</x:v>
      </x:c>
      <x:c r="N16" s="8" t="str">
        <x:f>'Evaluation Plan'!N16</x:f>
        <x:v>3 — Matched control — Direct-name control on identical target and trajectory</x:v>
      </x:c>
      <x:c r="O16" s="8" t="n">
        <x:f>'Evaluation Plan'!O16</x:f>
        <x:v>5</x:v>
      </x:c>
      <x:c r="P16" s="7" t="str">
        <x:f>'Evaluation Plan'!P16</x:f>
        <x:v>Reset only the far candidate to P3. Keep the full scene exact; replace the relational instruction with the target's direct name.</x:v>
      </x:c>
      <x:c r="Q16" s="7" t="str">
        <x:f>'Evaluation Plan'!Q16</x:f>
        <x:v>This is a true endpoint-matched manipulation control: scene, target identity, start pose and required trajectory match the furthest trial.</x:v>
      </x:c>
      <x:c r="R16" s="7" t="str">
        <x:f>IF(ISBLANK('Evaluation Plan'!R16),"",'Evaluation Plan'!R16)</x:f>
      </x:c>
    </x:row>
    <x:row r="17" ht="66" customHeight="1">
      <x:c r="A17" s="9" t="str">
        <x:v>Not collected</x:v>
      </x:c>
      <x:c r="B17" s="9" t="n">
        <x:f>'Evaluation Plan'!B17</x:f>
        <x:v>15</x:v>
      </x:c>
      <x:c r="C17" s="10" t="str">
        <x:f>'Evaluation Plan'!C17</x:f>
        <x:v>Pick up the pen furthest from the green pencil sharpener and place it in the bowl.</x:v>
      </x:c>
      <x:c r="D17" s="10" t="str">
        <x:f>'Evaluation Plan'!D17</x:f>
        <x:v>P1 green pencil sharpener at R3 (5 cm right of center) [REFERENCE]; P2 yellow pen with 6 cm edge gap in front of P1 [CLOSE CANDIDATE]; P3 green pen with 20 cm edge gap behind P1 [FAR CANDIDATE]</x:v>
      </x:c>
      <x:c r="E17" s="9" t="str">
        <x:f>IF(ISBLANK('Evaluation Plan'!E17),"",'Evaluation Plan'!E17)</x:f>
      </x:c>
      <x:c r="F17" s="9" t="str">
        <x:f>'Evaluation Plan'!F17</x:f>
        <x:v>green pen</x:v>
      </x:c>
      <x:c r="G17" s="10"/>
      <x:c r="H17" s="9" t="str">
        <x:f>'Evaluation Plan'!H17</x:f>
        <x:v>Concept/compositional transfer</x:v>
      </x:c>
      <x:c r="I17" s="9" t="str">
        <x:f>'Evaluation Plan'!I17</x:f>
        <x:v>RD-CF03B</x:v>
      </x:c>
      <x:c r="J17" s="9" t="str">
        <x:f>'Evaluation Plan'!J17</x:f>
        <x:v>RD-CF03</x:v>
      </x:c>
      <x:c r="K17" s="9" t="str">
        <x:f>'Evaluation Plan'!K17</x:f>
        <x:v>pen</x:v>
      </x:c>
      <x:c r="L17" s="9" t="str">
        <x:f>'Evaluation Plan'!L17</x:f>
        <x:v>furthest</x:v>
      </x:c>
      <x:c r="M17" s="9" t="n">
        <x:f>'Evaluation Plan'!M17</x:f>
        <x:v>3</x:v>
      </x:c>
      <x:c r="N17" s="9" t="str">
        <x:f>'Evaluation Plan'!N17</x:f>
        <x:v>1 — Canonical transfer — Held-out furthest concept with same-category candidates</x:v>
      </x:c>
      <x:c r="O17" s="9" t="n">
        <x:f>'Evaluation Plan'!O17</x:f>
        <x:v>6</x:v>
      </x:c>
      <x:c r="P17" s="10" t="str">
        <x:f>'Evaluation Plan'!P17</x:f>
        <x:v>From scene A, swap only the P2/P3 candidate identities; keep reference, distractors, camera and distances fixed. Save the new first frame.</x:v>
      </x:c>
      <x:c r="Q17" s="10" t="str">
        <x:f>'Evaluation Plan'!Q17</x:f>
        <x:v>Furthest/farthest language is absent from fine-tuning. The A/B scene pair swaps which physical identity is far, preventing identity preference from solving both.</x:v>
      </x:c>
      <x:c r="R17" s="10" t="str">
        <x:f>IF(ISBLANK('Evaluation Plan'!R17),"",'Evaluation Plan'!R17)</x:f>
      </x:c>
    </x:row>
    <x:row r="18" ht="66" customHeight="1">
      <x:c r="A18" s="8" t="str">
        <x:v>Not collected</x:v>
      </x:c>
      <x:c r="B18" s="8" t="n">
        <x:f>'Evaluation Plan'!B18</x:f>
        <x:v>16</x:v>
      </x:c>
      <x:c r="C18" s="7" t="str">
        <x:f>'Evaluation Plan'!C18</x:f>
        <x:v>Pick up the pen farthest from the green pencil sharpener and place it in the bowl.</x:v>
      </x:c>
      <x:c r="D18" s="7" t="str">
        <x:f>'Evaluation Plan'!D18</x:f>
        <x:v>P1 green pencil sharpener at R3 (5 cm right of center) [REFERENCE]; P2 yellow pen with 6 cm edge gap in front of P1 [CLOSE CANDIDATE]; P3 green pen with 20 cm edge gap behind P1 [FAR CANDIDATE]</x:v>
      </x:c>
      <x:c r="E18" s="8" t="n">
        <x:f>IF(ISBLANK('Evaluation Plan'!E18),"",'Evaluation Plan'!E18)</x:f>
        <x:v>15</x:v>
      </x:c>
      <x:c r="F18" s="8" t="str">
        <x:f>'Evaluation Plan'!F18</x:f>
        <x:v>green pen</x:v>
      </x:c>
      <x:c r="G18" s="7"/>
      <x:c r="H18" s="8" t="str">
        <x:f>'Evaluation Plan'!H18</x:f>
        <x:v>Language robustness</x:v>
      </x:c>
      <x:c r="I18" s="8" t="str">
        <x:f>'Evaluation Plan'!I18</x:f>
        <x:v>RD-CF03B</x:v>
      </x:c>
      <x:c r="J18" s="8" t="str">
        <x:f>'Evaluation Plan'!J18</x:f>
        <x:v>RD-CF03</x:v>
      </x:c>
      <x:c r="K18" s="8" t="str">
        <x:f>'Evaluation Plan'!K18</x:f>
        <x:v>pen</x:v>
      </x:c>
      <x:c r="L18" s="8" t="str">
        <x:f>'Evaluation Plan'!L18</x:f>
        <x:v>furthest paraphrase</x:v>
      </x:c>
      <x:c r="M18" s="8" t="n">
        <x:f>'Evaluation Plan'!M18</x:f>
        <x:v>3</x:v>
      </x:c>
      <x:c r="N18" s="8" t="str">
        <x:f>'Evaluation Plan'!N18</x:f>
        <x:v>2 — Exact-scene transfer paraphrase — Paraphrase of furthest-transfer prompt</x:v>
      </x:c>
      <x:c r="O18" s="8" t="n">
        <x:f>'Evaluation Plan'!O18</x:f>
        <x:v>6</x:v>
      </x:c>
      <x:c r="P18" s="7" t="str">
        <x:f>'Evaluation Plan'!P18</x:f>
        <x:v>Reset only the far candidate to P3; change only the prompt wording.</x:v>
      </x:c>
      <x:c r="Q18" s="7" t="str">
        <x:f>'Evaluation Plan'!Q18</x:f>
        <x:v>Exact-scene language comparison for the held-out distance concept.</x:v>
      </x:c>
      <x:c r="R18" s="7" t="str">
        <x:f>IF(ISBLANK('Evaluation Plan'!R18),"",'Evaluation Plan'!R18)</x:f>
      </x:c>
    </x:row>
    <x:row r="19" ht="66" customHeight="1">
      <x:c r="A19" s="8" t="str">
        <x:v>Not collected</x:v>
      </x:c>
      <x:c r="B19" s="8" t="n">
        <x:f>'Evaluation Plan'!B19</x:f>
        <x:v>17</x:v>
      </x:c>
      <x:c r="C19" s="7" t="str">
        <x:f>'Evaluation Plan'!C19</x:f>
        <x:v>Pick up the green pen and place it in the bowl.</x:v>
      </x:c>
      <x:c r="D19" s="7" t="str">
        <x:f>'Evaluation Plan'!D19</x:f>
        <x:v>P1 green pencil sharpener at R3 (5 cm right of center) [REFERENCE]; P2 yellow pen with 6 cm edge gap in front of P1 [CLOSE CANDIDATE]; P3 green pen with 20 cm edge gap behind P1 [FAR CANDIDATE]</x:v>
      </x:c>
      <x:c r="E19" s="8" t="n">
        <x:f>IF(ISBLANK('Evaluation Plan'!E19),"",'Evaluation Plan'!E19)</x:f>
        <x:v>15</x:v>
      </x:c>
      <x:c r="F19" s="8" t="str">
        <x:f>'Evaluation Plan'!F19</x:f>
        <x:v>green pen</x:v>
      </x:c>
      <x:c r="G19" s="7"/>
      <x:c r="H19" s="8" t="str">
        <x:f>'Evaluation Plan'!H19</x:f>
        <x:v>Matched manipulation control</x:v>
      </x:c>
      <x:c r="I19" s="8" t="str">
        <x:f>'Evaluation Plan'!I19</x:f>
        <x:v>RD-CF03B</x:v>
      </x:c>
      <x:c r="J19" s="8" t="str">
        <x:f>'Evaluation Plan'!J19</x:f>
        <x:v>RD-CF03</x:v>
      </x:c>
      <x:c r="K19" s="8" t="str">
        <x:f>'Evaluation Plan'!K19</x:f>
        <x:v>pen</x:v>
      </x:c>
      <x:c r="L19" s="8" t="str">
        <x:f>'Evaluation Plan'!L19</x:f>
        <x:v>direct name</x:v>
      </x:c>
      <x:c r="M19" s="8" t="n">
        <x:f>'Evaluation Plan'!M19</x:f>
        <x:v>3</x:v>
      </x:c>
      <x:c r="N19" s="8" t="str">
        <x:f>'Evaluation Plan'!N19</x:f>
        <x:v>3 — Matched control — Direct-name control on identical target and trajectory</x:v>
      </x:c>
      <x:c r="O19" s="8" t="n">
        <x:f>'Evaluation Plan'!O19</x:f>
        <x:v>6</x:v>
      </x:c>
      <x:c r="P19" s="7" t="str">
        <x:f>'Evaluation Plan'!P19</x:f>
        <x:v>Reset only the far candidate to P3. Keep the full scene exact; replace the relational instruction with the target's direct name.</x:v>
      </x:c>
      <x:c r="Q19" s="7" t="str">
        <x:f>'Evaluation Plan'!Q19</x:f>
        <x:v>This is a true endpoint-matched manipulation control: scene, target identity, start pose and required trajectory match the furthest trial.</x:v>
      </x:c>
      <x:c r="R19" s="7" t="str">
        <x:f>IF(ISBLANK('Evaluation Plan'!R19),"",'Evaluation Plan'!R19)</x:f>
      </x:c>
    </x:row>
    <x:row r="20" ht="66" customHeight="1">
      <x:c r="A20" s="9" t="str">
        <x:v>Not collected</x:v>
      </x:c>
      <x:c r="B20" s="9" t="n">
        <x:f>'Evaluation Plan'!B20</x:f>
        <x:v>18</x:v>
      </x:c>
      <x:c r="C20" s="10" t="str">
        <x:f>'Evaluation Plan'!C20</x:f>
        <x:v>Pick up the airplane toy furthest from the red pencil sharpener and place it in the bowl.</x:v>
      </x:c>
      <x:c r="D20" s="10" t="str">
        <x:f>'Evaluation Plan'!D20</x:f>
        <x:v>P1 red pencil sharpener at R4 (5 cm toward the robot from center) [REFERENCE]; P2 airplane toy without propellers with 6 cm edge gap behind P1 [CLOSE CANDIDATE]; P3 airplane toy with propellers with 20 cm edge gap in front of P1 [FAR CANDIDATE]</x:v>
      </x:c>
      <x:c r="E20" s="9" t="str">
        <x:f>IF(ISBLANK('Evaluation Plan'!E20),"",'Evaluation Plan'!E20)</x:f>
      </x:c>
      <x:c r="F20" s="9" t="str">
        <x:f>'Evaluation Plan'!F20</x:f>
        <x:v>airplane toy with propellers</x:v>
      </x:c>
      <x:c r="G20" s="10"/>
      <x:c r="H20" s="9" t="str">
        <x:f>'Evaluation Plan'!H20</x:f>
        <x:v>Concept/compositional transfer</x:v>
      </x:c>
      <x:c r="I20" s="9" t="str">
        <x:f>'Evaluation Plan'!I20</x:f>
        <x:v>RD-CF04A</x:v>
      </x:c>
      <x:c r="J20" s="9" t="str">
        <x:f>'Evaluation Plan'!J20</x:f>
        <x:v>RD-CF04</x:v>
      </x:c>
      <x:c r="K20" s="9" t="str">
        <x:f>'Evaluation Plan'!K20</x:f>
        <x:v>airplane toy</x:v>
      </x:c>
      <x:c r="L20" s="9" t="str">
        <x:f>'Evaluation Plan'!L20</x:f>
        <x:v>furthest</x:v>
      </x:c>
      <x:c r="M20" s="9" t="n">
        <x:f>'Evaluation Plan'!M20</x:f>
        <x:v>3</x:v>
      </x:c>
      <x:c r="N20" s="9" t="str">
        <x:f>'Evaluation Plan'!N20</x:f>
        <x:v>1 — Canonical transfer — Held-out furthest concept with same-category candidates</x:v>
      </x:c>
      <x:c r="O20" s="9" t="n">
        <x:f>'Evaluation Plan'!O20</x:f>
        <x:v>7</x:v>
      </x:c>
      <x:c r="P20" s="10" t="str">
        <x:f>'Evaluation Plan'!P20</x:f>
        <x:v>Build counterfactual scene A and save a first-frame filename.</x:v>
      </x:c>
      <x:c r="Q20" s="10" t="str">
        <x:f>'Evaluation Plan'!Q20</x:f>
        <x:v>Furthest/farthest language is absent from fine-tuning. The A/B scene pair swaps which physical identity is far, preventing identity preference from solving both.</x:v>
      </x:c>
      <x:c r="R20" s="10" t="str">
        <x:f>IF(ISBLANK('Evaluation Plan'!R20),"",'Evaluation Plan'!R20)</x:f>
      </x:c>
    </x:row>
    <x:row r="21" ht="66" customHeight="1">
      <x:c r="A21" s="8" t="str">
        <x:v>Not collected</x:v>
      </x:c>
      <x:c r="B21" s="8" t="n">
        <x:f>'Evaluation Plan'!B21</x:f>
        <x:v>19</x:v>
      </x:c>
      <x:c r="C21" s="7" t="str">
        <x:f>'Evaluation Plan'!C21</x:f>
        <x:v>Move the airplane toy that is most distant from the red pencil sharpener into the bowl.</x:v>
      </x:c>
      <x:c r="D21" s="7" t="str">
        <x:f>'Evaluation Plan'!D21</x:f>
        <x:v>P1 red pencil sharpener at R4 (5 cm toward the robot from center) [REFERENCE]; P2 airplane toy without propellers with 6 cm edge gap behind P1 [CLOSE CANDIDATE]; P3 airplane toy with propellers with 20 cm edge gap in front of P1 [FAR CANDIDATE]</x:v>
      </x:c>
      <x:c r="E21" s="8" t="n">
        <x:f>IF(ISBLANK('Evaluation Plan'!E21),"",'Evaluation Plan'!E21)</x:f>
        <x:v>18</x:v>
      </x:c>
      <x:c r="F21" s="8" t="str">
        <x:f>'Evaluation Plan'!F21</x:f>
        <x:v>airplane toy with propellers</x:v>
      </x:c>
      <x:c r="G21" s="7"/>
      <x:c r="H21" s="8" t="str">
        <x:f>'Evaluation Plan'!H21</x:f>
        <x:v>Language robustness</x:v>
      </x:c>
      <x:c r="I21" s="8" t="str">
        <x:f>'Evaluation Plan'!I21</x:f>
        <x:v>RD-CF04A</x:v>
      </x:c>
      <x:c r="J21" s="8" t="str">
        <x:f>'Evaluation Plan'!J21</x:f>
        <x:v>RD-CF04</x:v>
      </x:c>
      <x:c r="K21" s="8" t="str">
        <x:f>'Evaluation Plan'!K21</x:f>
        <x:v>airplane toy</x:v>
      </x:c>
      <x:c r="L21" s="8" t="str">
        <x:f>'Evaluation Plan'!L21</x:f>
        <x:v>furthest paraphrase</x:v>
      </x:c>
      <x:c r="M21" s="8" t="n">
        <x:f>'Evaluation Plan'!M21</x:f>
        <x:v>3</x:v>
      </x:c>
      <x:c r="N21" s="8" t="str">
        <x:f>'Evaluation Plan'!N21</x:f>
        <x:v>2 — Exact-scene transfer paraphrase — Paraphrase of furthest-transfer prompt</x:v>
      </x:c>
      <x:c r="O21" s="8" t="n">
        <x:f>'Evaluation Plan'!O21</x:f>
        <x:v>7</x:v>
      </x:c>
      <x:c r="P21" s="7" t="str">
        <x:f>'Evaluation Plan'!P21</x:f>
        <x:v>Reset only the far candidate to P3; change only the prompt wording.</x:v>
      </x:c>
      <x:c r="Q21" s="7" t="str">
        <x:f>'Evaluation Plan'!Q21</x:f>
        <x:v>Exact-scene language comparison for the held-out distance concept.</x:v>
      </x:c>
      <x:c r="R21" s="7" t="str">
        <x:f>IF(ISBLANK('Evaluation Plan'!R21),"",'Evaluation Plan'!R21)</x:f>
      </x:c>
    </x:row>
    <x:row r="22" ht="66" customHeight="1">
      <x:c r="A22" s="8" t="str">
        <x:v>Not collected</x:v>
      </x:c>
      <x:c r="B22" s="8" t="n">
        <x:f>'Evaluation Plan'!B22</x:f>
        <x:v>20</x:v>
      </x:c>
      <x:c r="C22" s="7" t="str">
        <x:f>'Evaluation Plan'!C22</x:f>
        <x:v>Put the airplane toy with propellers in the bowl.</x:v>
      </x:c>
      <x:c r="D22" s="7" t="str">
        <x:f>'Evaluation Plan'!D22</x:f>
        <x:v>P1 red pencil sharpener at R4 (5 cm toward the robot from center) [REFERENCE]; P2 airplane toy without propellers with 6 cm edge gap behind P1 [CLOSE CANDIDATE]; P3 airplane toy with propellers with 20 cm edge gap in front of P1 [FAR CANDIDATE]</x:v>
      </x:c>
      <x:c r="E22" s="8" t="n">
        <x:f>IF(ISBLANK('Evaluation Plan'!E22),"",'Evaluation Plan'!E22)</x:f>
        <x:v>18</x:v>
      </x:c>
      <x:c r="F22" s="8" t="str">
        <x:f>'Evaluation Plan'!F22</x:f>
        <x:v>airplane toy with propellers</x:v>
      </x:c>
      <x:c r="G22" s="7"/>
      <x:c r="H22" s="8" t="str">
        <x:f>'Evaluation Plan'!H22</x:f>
        <x:v>Matched manipulation control</x:v>
      </x:c>
      <x:c r="I22" s="8" t="str">
        <x:f>'Evaluation Plan'!I22</x:f>
        <x:v>RD-CF04A</x:v>
      </x:c>
      <x:c r="J22" s="8" t="str">
        <x:f>'Evaluation Plan'!J22</x:f>
        <x:v>RD-CF04</x:v>
      </x:c>
      <x:c r="K22" s="8" t="str">
        <x:f>'Evaluation Plan'!K22</x:f>
        <x:v>airplane toy</x:v>
      </x:c>
      <x:c r="L22" s="8" t="str">
        <x:f>'Evaluation Plan'!L22</x:f>
        <x:v>direct name</x:v>
      </x:c>
      <x:c r="M22" s="8" t="n">
        <x:f>'Evaluation Plan'!M22</x:f>
        <x:v>3</x:v>
      </x:c>
      <x:c r="N22" s="8" t="str">
        <x:f>'Evaluation Plan'!N22</x:f>
        <x:v>3 — Matched control — Direct-name control on identical target and trajectory</x:v>
      </x:c>
      <x:c r="O22" s="8" t="n">
        <x:f>'Evaluation Plan'!O22</x:f>
        <x:v>7</x:v>
      </x:c>
      <x:c r="P22" s="7" t="str">
        <x:f>'Evaluation Plan'!P22</x:f>
        <x:v>Reset only the far candidate to P3. Keep the full scene exact; replace the relational instruction with the target's direct name.</x:v>
      </x:c>
      <x:c r="Q22" s="7" t="str">
        <x:f>'Evaluation Plan'!Q22</x:f>
        <x:v>This is a true endpoint-matched manipulation control: scene, target identity, start pose and required trajectory match the furthest trial.</x:v>
      </x:c>
      <x:c r="R22" s="7" t="str">
        <x:f>IF(ISBLANK('Evaluation Plan'!R22),"",'Evaluation Plan'!R22)</x:f>
      </x:c>
    </x:row>
    <x:row r="23" ht="66" customHeight="1">
      <x:c r="A23" s="9" t="str">
        <x:v>Not collected</x:v>
      </x:c>
      <x:c r="B23" s="9" t="n">
        <x:f>'Evaluation Plan'!B23</x:f>
        <x:v>21</x:v>
      </x:c>
      <x:c r="C23" s="10" t="str">
        <x:f>'Evaluation Plan'!C23</x:f>
        <x:v>Pick up the airplane toy furthest from the red pencil sharpener and place it in the bowl.</x:v>
      </x:c>
      <x:c r="D23" s="10" t="str">
        <x:f>'Evaluation Plan'!D23</x:f>
        <x:v>P1 red pencil sharpener at R4 (5 cm toward the robot from center) [REFERENCE]; P2 airplane toy with propellers with 6 cm edge gap behind P1 [CLOSE CANDIDATE]; P3 airplane toy without propellers with 20 cm edge gap in front of P1 [FAR CANDIDATE]</x:v>
      </x:c>
      <x:c r="E23" s="9" t="str">
        <x:f>IF(ISBLANK('Evaluation Plan'!E23),"",'Evaluation Plan'!E23)</x:f>
      </x:c>
      <x:c r="F23" s="9" t="str">
        <x:f>'Evaluation Plan'!F23</x:f>
        <x:v>airplane toy without propellers</x:v>
      </x:c>
      <x:c r="G23" s="10"/>
      <x:c r="H23" s="9" t="str">
        <x:f>'Evaluation Plan'!H23</x:f>
        <x:v>Concept/compositional transfer</x:v>
      </x:c>
      <x:c r="I23" s="9" t="str">
        <x:f>'Evaluation Plan'!I23</x:f>
        <x:v>RD-CF04B</x:v>
      </x:c>
      <x:c r="J23" s="9" t="str">
        <x:f>'Evaluation Plan'!J23</x:f>
        <x:v>RD-CF04</x:v>
      </x:c>
      <x:c r="K23" s="9" t="str">
        <x:f>'Evaluation Plan'!K23</x:f>
        <x:v>airplane toy</x:v>
      </x:c>
      <x:c r="L23" s="9" t="str">
        <x:f>'Evaluation Plan'!L23</x:f>
        <x:v>furthest</x:v>
      </x:c>
      <x:c r="M23" s="9" t="n">
        <x:f>'Evaluation Plan'!M23</x:f>
        <x:v>3</x:v>
      </x:c>
      <x:c r="N23" s="9" t="str">
        <x:f>'Evaluation Plan'!N23</x:f>
        <x:v>1 — Canonical transfer — Held-out furthest concept with same-category candidates</x:v>
      </x:c>
      <x:c r="O23" s="9" t="n">
        <x:f>'Evaluation Plan'!O23</x:f>
        <x:v>8</x:v>
      </x:c>
      <x:c r="P23" s="10" t="str">
        <x:f>'Evaluation Plan'!P23</x:f>
        <x:v>From scene A, swap only the P2/P3 candidate identities; keep reference, distractors, camera and distances fixed. Save the new first frame.</x:v>
      </x:c>
      <x:c r="Q23" s="10" t="str">
        <x:f>'Evaluation Plan'!Q23</x:f>
        <x:v>Furthest/farthest language is absent from fine-tuning. The A/B scene pair swaps which physical identity is far, preventing identity preference from solving both.</x:v>
      </x:c>
      <x:c r="R23" s="10" t="str">
        <x:f>IF(ISBLANK('Evaluation Plan'!R23),"",'Evaluation Plan'!R23)</x:f>
      </x:c>
    </x:row>
    <x:row r="24" ht="66" customHeight="1">
      <x:c r="A24" s="8" t="str">
        <x:v>Not collected</x:v>
      </x:c>
      <x:c r="B24" s="8" t="n">
        <x:f>'Evaluation Plan'!B24</x:f>
        <x:v>22</x:v>
      </x:c>
      <x:c r="C24" s="7" t="str">
        <x:f>'Evaluation Plan'!C24</x:f>
        <x:v>Choose whichever airplane toy is farther away from the red pencil sharpener and put it in the bowl.</x:v>
      </x:c>
      <x:c r="D24" s="7" t="str">
        <x:f>'Evaluation Plan'!D24</x:f>
        <x:v>P1 red pencil sharpener at R4 (5 cm toward the robot from center) [REFERENCE]; P2 airplane toy with propellers with 6 cm edge gap behind P1 [CLOSE CANDIDATE]; P3 airplane toy without propellers with 20 cm edge gap in front of P1 [FAR CANDIDATE]</x:v>
      </x:c>
      <x:c r="E24" s="8" t="n">
        <x:f>IF(ISBLANK('Evaluation Plan'!E24),"",'Evaluation Plan'!E24)</x:f>
        <x:v>21</x:v>
      </x:c>
      <x:c r="F24" s="8" t="str">
        <x:f>'Evaluation Plan'!F24</x:f>
        <x:v>airplane toy without propellers</x:v>
      </x:c>
      <x:c r="G24" s="7"/>
      <x:c r="H24" s="8" t="str">
        <x:f>'Evaluation Plan'!H24</x:f>
        <x:v>Language robustness</x:v>
      </x:c>
      <x:c r="I24" s="8" t="str">
        <x:f>'Evaluation Plan'!I24</x:f>
        <x:v>RD-CF04B</x:v>
      </x:c>
      <x:c r="J24" s="8" t="str">
        <x:f>'Evaluation Plan'!J24</x:f>
        <x:v>RD-CF04</x:v>
      </x:c>
      <x:c r="K24" s="8" t="str">
        <x:f>'Evaluation Plan'!K24</x:f>
        <x:v>airplane toy</x:v>
      </x:c>
      <x:c r="L24" s="8" t="str">
        <x:f>'Evaluation Plan'!L24</x:f>
        <x:v>furthest paraphrase</x:v>
      </x:c>
      <x:c r="M24" s="8" t="n">
        <x:f>'Evaluation Plan'!M24</x:f>
        <x:v>3</x:v>
      </x:c>
      <x:c r="N24" s="8" t="str">
        <x:f>'Evaluation Plan'!N24</x:f>
        <x:v>2 — Exact-scene transfer paraphrase — Paraphrase of furthest-transfer prompt</x:v>
      </x:c>
      <x:c r="O24" s="8" t="n">
        <x:f>'Evaluation Plan'!O24</x:f>
        <x:v>8</x:v>
      </x:c>
      <x:c r="P24" s="7" t="str">
        <x:f>'Evaluation Plan'!P24</x:f>
        <x:v>Reset only the far candidate to P3; change only the prompt wording.</x:v>
      </x:c>
      <x:c r="Q24" s="7" t="str">
        <x:f>'Evaluation Plan'!Q24</x:f>
        <x:v>Exact-scene language comparison for the held-out distance concept.</x:v>
      </x:c>
      <x:c r="R24" s="7" t="str">
        <x:f>IF(ISBLANK('Evaluation Plan'!R24),"",'Evaluation Plan'!R24)</x:f>
      </x:c>
    </x:row>
    <x:row r="25" ht="66" customHeight="1">
      <x:c r="A25" s="8" t="str">
        <x:v>Not collected</x:v>
      </x:c>
      <x:c r="B25" s="8" t="n">
        <x:f>'Evaluation Plan'!B25</x:f>
        <x:v>23</x:v>
      </x:c>
      <x:c r="C25" s="7" t="str">
        <x:f>'Evaluation Plan'!C25</x:f>
        <x:v>Move the airplane toy without propellers into the bowl.</x:v>
      </x:c>
      <x:c r="D25" s="7" t="str">
        <x:f>'Evaluation Plan'!D25</x:f>
        <x:v>P1 red pencil sharpener at R4 (5 cm toward the robot from center) [REFERENCE]; P2 airplane toy with propellers with 6 cm edge gap behind P1 [CLOSE CANDIDATE]; P3 airplane toy without propellers with 20 cm edge gap in front of P1 [FAR CANDIDATE]</x:v>
      </x:c>
      <x:c r="E25" s="8" t="n">
        <x:f>IF(ISBLANK('Evaluation Plan'!E25),"",'Evaluation Plan'!E25)</x:f>
        <x:v>21</x:v>
      </x:c>
      <x:c r="F25" s="8" t="str">
        <x:f>'Evaluation Plan'!F25</x:f>
        <x:v>airplane toy without propellers</x:v>
      </x:c>
      <x:c r="G25" s="7"/>
      <x:c r="H25" s="8" t="str">
        <x:f>'Evaluation Plan'!H25</x:f>
        <x:v>Matched manipulation control</x:v>
      </x:c>
      <x:c r="I25" s="8" t="str">
        <x:f>'Evaluation Plan'!I25</x:f>
        <x:v>RD-CF04B</x:v>
      </x:c>
      <x:c r="J25" s="8" t="str">
        <x:f>'Evaluation Plan'!J25</x:f>
        <x:v>RD-CF04</x:v>
      </x:c>
      <x:c r="K25" s="8" t="str">
        <x:f>'Evaluation Plan'!K25</x:f>
        <x:v>airplane toy</x:v>
      </x:c>
      <x:c r="L25" s="8" t="str">
        <x:f>'Evaluation Plan'!L25</x:f>
        <x:v>direct name</x:v>
      </x:c>
      <x:c r="M25" s="8" t="n">
        <x:f>'Evaluation Plan'!M25</x:f>
        <x:v>3</x:v>
      </x:c>
      <x:c r="N25" s="8" t="str">
        <x:f>'Evaluation Plan'!N25</x:f>
        <x:v>3 — Matched control — Direct-name control on identical target and trajectory</x:v>
      </x:c>
      <x:c r="O25" s="8" t="n">
        <x:f>'Evaluation Plan'!O25</x:f>
        <x:v>8</x:v>
      </x:c>
      <x:c r="P25" s="7" t="str">
        <x:f>'Evaluation Plan'!P25</x:f>
        <x:v>Reset only the far candidate to P3. Keep the full scene exact; replace the relational instruction with the target's direct name.</x:v>
      </x:c>
      <x:c r="Q25" s="7" t="str">
        <x:f>'Evaluation Plan'!Q25</x:f>
        <x:v>This is a true endpoint-matched manipulation control: scene, target identity, start pose and required trajectory match the furthest trial.</x:v>
      </x:c>
      <x:c r="R25" s="7" t="str">
        <x:f>IF(ISBLANK('Evaluation Plan'!R25),"",'Evaluation Plan'!R25)</x:f>
      </x:c>
    </x:row>
    <x:row r="26" ht="66" customHeight="1">
      <x:c r="A26" s="9" t="str">
        <x:v>Not collected</x:v>
      </x:c>
      <x:c r="B26" s="9" t="n">
        <x:f>'Evaluation Plan'!B26</x:f>
        <x:v>24</x:v>
      </x:c>
      <x:c r="C26" s="10" t="str">
        <x:f>'Evaluation Plan'!C26</x:f>
        <x:v>Pick up the crushed soda can furthest from the airplane toy with propellers and place it in the bowl.</x:v>
      </x:c>
      <x:c r="D26" s="10" t="str">
        <x:f>'Evaluation Plan'!D26</x:f>
        <x:v>P1 airplane toy with propellers at R5 (5 cm away from the robot from center) [REFERENCE]; P2 crushed Coke can with 6 cm edge gap to the left of P1 [CLOSE CANDIDATE]; P3 crushed Pepsi can with 20 cm edge gap to the right of P1 [FAR CANDIDATE]</x:v>
      </x:c>
      <x:c r="E26" s="9" t="str">
        <x:f>IF(ISBLANK('Evaluation Plan'!E26),"",'Evaluation Plan'!E26)</x:f>
      </x:c>
      <x:c r="F26" s="9" t="str">
        <x:f>'Evaluation Plan'!F26</x:f>
        <x:v>crushed Pepsi can</x:v>
      </x:c>
      <x:c r="G26" s="10"/>
      <x:c r="H26" s="9" t="str">
        <x:f>'Evaluation Plan'!H26</x:f>
        <x:v>Concept/compositional transfer</x:v>
      </x:c>
      <x:c r="I26" s="9" t="str">
        <x:f>'Evaluation Plan'!I26</x:f>
        <x:v>RD-CF05A</x:v>
      </x:c>
      <x:c r="J26" s="9" t="str">
        <x:f>'Evaluation Plan'!J26</x:f>
        <x:v>RD-CF05</x:v>
      </x:c>
      <x:c r="K26" s="9" t="str">
        <x:f>'Evaluation Plan'!K26</x:f>
        <x:v>crushed soda can</x:v>
      </x:c>
      <x:c r="L26" s="9" t="str">
        <x:f>'Evaluation Plan'!L26</x:f>
        <x:v>furthest</x:v>
      </x:c>
      <x:c r="M26" s="9" t="n">
        <x:f>'Evaluation Plan'!M26</x:f>
        <x:v>3</x:v>
      </x:c>
      <x:c r="N26" s="9" t="str">
        <x:f>'Evaluation Plan'!N26</x:f>
        <x:v>1 — Canonical transfer — Held-out furthest concept with same-category candidates</x:v>
      </x:c>
      <x:c r="O26" s="9" t="n">
        <x:f>'Evaluation Plan'!O26</x:f>
        <x:v>9</x:v>
      </x:c>
      <x:c r="P26" s="10" t="str">
        <x:f>'Evaluation Plan'!P26</x:f>
        <x:v>Build counterfactual scene A and save a first-frame filename.</x:v>
      </x:c>
      <x:c r="Q26" s="10" t="str">
        <x:f>'Evaluation Plan'!Q26</x:f>
        <x:v>Furthest/farthest language is absent from fine-tuning. The A/B scene pair swaps which physical identity is far, preventing identity preference from solving both.</x:v>
      </x:c>
      <x:c r="R26" s="10" t="str">
        <x:f>IF(ISBLANK('Evaluation Plan'!R26),"",'Evaluation Plan'!R26)</x:f>
      </x:c>
    </x:row>
    <x:row r="27" ht="66" customHeight="1">
      <x:c r="A27" s="8" t="str">
        <x:v>Not collected</x:v>
      </x:c>
      <x:c r="B27" s="8" t="n">
        <x:f>'Evaluation Plan'!B27</x:f>
        <x:v>25</x:v>
      </x:c>
      <x:c r="C27" s="7" t="str">
        <x:f>'Evaluation Plan'!C27</x:f>
        <x:v>Place the crushed soda can with the greatest distance from the airplane toy with propellers in the bowl.</x:v>
      </x:c>
      <x:c r="D27" s="7" t="str">
        <x:f>'Evaluation Plan'!D27</x:f>
        <x:v>P1 airplane toy with propellers at R5 (5 cm away from the robot from center) [REFERENCE]; P2 crushed Coke can with 6 cm edge gap to the left of P1 [CLOSE CANDIDATE]; P3 crushed Pepsi can with 20 cm edge gap to the right of P1 [FAR CANDIDATE]</x:v>
      </x:c>
      <x:c r="E27" s="8" t="n">
        <x:f>IF(ISBLANK('Evaluation Plan'!E27),"",'Evaluation Plan'!E27)</x:f>
        <x:v>24</x:v>
      </x:c>
      <x:c r="F27" s="8" t="str">
        <x:f>'Evaluation Plan'!F27</x:f>
        <x:v>crushed Pepsi can</x:v>
      </x:c>
      <x:c r="G27" s="7"/>
      <x:c r="H27" s="8" t="str">
        <x:f>'Evaluation Plan'!H27</x:f>
        <x:v>Language robustness</x:v>
      </x:c>
      <x:c r="I27" s="8" t="str">
        <x:f>'Evaluation Plan'!I27</x:f>
        <x:v>RD-CF05A</x:v>
      </x:c>
      <x:c r="J27" s="8" t="str">
        <x:f>'Evaluation Plan'!J27</x:f>
        <x:v>RD-CF05</x:v>
      </x:c>
      <x:c r="K27" s="8" t="str">
        <x:f>'Evaluation Plan'!K27</x:f>
        <x:v>crushed soda can</x:v>
      </x:c>
      <x:c r="L27" s="8" t="str">
        <x:f>'Evaluation Plan'!L27</x:f>
        <x:v>furthest paraphrase</x:v>
      </x:c>
      <x:c r="M27" s="8" t="n">
        <x:f>'Evaluation Plan'!M27</x:f>
        <x:v>3</x:v>
      </x:c>
      <x:c r="N27" s="8" t="str">
        <x:f>'Evaluation Plan'!N27</x:f>
        <x:v>2 — Exact-scene transfer paraphrase — Paraphrase of furthest-transfer prompt</x:v>
      </x:c>
      <x:c r="O27" s="8" t="n">
        <x:f>'Evaluation Plan'!O27</x:f>
        <x:v>9</x:v>
      </x:c>
      <x:c r="P27" s="7" t="str">
        <x:f>'Evaluation Plan'!P27</x:f>
        <x:v>Reset only the far candidate to P3; change only the prompt wording.</x:v>
      </x:c>
      <x:c r="Q27" s="7" t="str">
        <x:f>'Evaluation Plan'!Q27</x:f>
        <x:v>Exact-scene language comparison for the held-out distance concept.</x:v>
      </x:c>
      <x:c r="R27" s="7" t="str">
        <x:f>IF(ISBLANK('Evaluation Plan'!R27),"",'Evaluation Plan'!R27)</x:f>
      </x:c>
    </x:row>
    <x:row r="28" ht="66" customHeight="1">
      <x:c r="A28" s="8" t="str">
        <x:v>Not collected</x:v>
      </x:c>
      <x:c r="B28" s="8" t="n">
        <x:f>'Evaluation Plan'!B28</x:f>
        <x:v>26</x:v>
      </x:c>
      <x:c r="C28" s="7" t="str">
        <x:f>'Evaluation Plan'!C28</x:f>
        <x:v>Pick up the crushed Pepsi can and place it in the bowl.</x:v>
      </x:c>
      <x:c r="D28" s="7" t="str">
        <x:f>'Evaluation Plan'!D28</x:f>
        <x:v>P1 airplane toy with propellers at R5 (5 cm away from the robot from center) [REFERENCE]; P2 crushed Coke can with 6 cm edge gap to the left of P1 [CLOSE CANDIDATE]; P3 crushed Pepsi can with 20 cm edge gap to the right of P1 [FAR CANDIDATE]</x:v>
      </x:c>
      <x:c r="E28" s="8" t="n">
        <x:f>IF(ISBLANK('Evaluation Plan'!E28),"",'Evaluation Plan'!E28)</x:f>
        <x:v>24</x:v>
      </x:c>
      <x:c r="F28" s="8" t="str">
        <x:f>'Evaluation Plan'!F28</x:f>
        <x:v>crushed Pepsi can</x:v>
      </x:c>
      <x:c r="G28" s="7"/>
      <x:c r="H28" s="8" t="str">
        <x:f>'Evaluation Plan'!H28</x:f>
        <x:v>Matched manipulation control</x:v>
      </x:c>
      <x:c r="I28" s="8" t="str">
        <x:f>'Evaluation Plan'!I28</x:f>
        <x:v>RD-CF05A</x:v>
      </x:c>
      <x:c r="J28" s="8" t="str">
        <x:f>'Evaluation Plan'!J28</x:f>
        <x:v>RD-CF05</x:v>
      </x:c>
      <x:c r="K28" s="8" t="str">
        <x:f>'Evaluation Plan'!K28</x:f>
        <x:v>crushed soda can</x:v>
      </x:c>
      <x:c r="L28" s="8" t="str">
        <x:f>'Evaluation Plan'!L28</x:f>
        <x:v>direct name</x:v>
      </x:c>
      <x:c r="M28" s="8" t="n">
        <x:f>'Evaluation Plan'!M28</x:f>
        <x:v>3</x:v>
      </x:c>
      <x:c r="N28" s="8" t="str">
        <x:f>'Evaluation Plan'!N28</x:f>
        <x:v>3 — Matched control — Direct-name control on identical target and trajectory</x:v>
      </x:c>
      <x:c r="O28" s="8" t="n">
        <x:f>'Evaluation Plan'!O28</x:f>
        <x:v>9</x:v>
      </x:c>
      <x:c r="P28" s="7" t="str">
        <x:f>'Evaluation Plan'!P28</x:f>
        <x:v>Reset only the far candidate to P3. Keep the full scene exact; replace the relational instruction with the target's direct name.</x:v>
      </x:c>
      <x:c r="Q28" s="7" t="str">
        <x:f>'Evaluation Plan'!Q28</x:f>
        <x:v>This is a true endpoint-matched manipulation control: scene, target identity, start pose and required trajectory match the furthest trial.</x:v>
      </x:c>
      <x:c r="R28" s="7" t="str">
        <x:f>IF(ISBLANK('Evaluation Plan'!R28),"",'Evaluation Plan'!R28)</x:f>
      </x:c>
    </x:row>
    <x:row r="29" ht="66" customHeight="1">
      <x:c r="A29" s="9" t="str">
        <x:v>Not collected</x:v>
      </x:c>
      <x:c r="B29" s="9" t="n">
        <x:f>'Evaluation Plan'!B29</x:f>
        <x:v>27</x:v>
      </x:c>
      <x:c r="C29" s="10" t="str">
        <x:f>'Evaluation Plan'!C29</x:f>
        <x:v>Pick up the crushed soda can furthest from the airplane toy with propellers and place it in the bowl.</x:v>
      </x:c>
      <x:c r="D29" s="10" t="str">
        <x:f>'Evaluation Plan'!D29</x:f>
        <x:v>P1 airplane toy with propellers at R5 (5 cm away from the robot from center) [REFERENCE]; P2 crushed Pepsi can with 6 cm edge gap to the left of P1 [CLOSE CANDIDATE]; P3 crushed Coke can with 20 cm edge gap to the right of P1 [FAR CANDIDATE]</x:v>
      </x:c>
      <x:c r="E29" s="9" t="str">
        <x:f>IF(ISBLANK('Evaluation Plan'!E29),"",'Evaluation Plan'!E29)</x:f>
      </x:c>
      <x:c r="F29" s="9" t="str">
        <x:f>'Evaluation Plan'!F29</x:f>
        <x:v>crushed Coke can</x:v>
      </x:c>
      <x:c r="G29" s="10"/>
      <x:c r="H29" s="9" t="str">
        <x:f>'Evaluation Plan'!H29</x:f>
        <x:v>Concept/compositional transfer</x:v>
      </x:c>
      <x:c r="I29" s="9" t="str">
        <x:f>'Evaluation Plan'!I29</x:f>
        <x:v>RD-CF05B</x:v>
      </x:c>
      <x:c r="J29" s="9" t="str">
        <x:f>'Evaluation Plan'!J29</x:f>
        <x:v>RD-CF05</x:v>
      </x:c>
      <x:c r="K29" s="9" t="str">
        <x:f>'Evaluation Plan'!K29</x:f>
        <x:v>crushed soda can</x:v>
      </x:c>
      <x:c r="L29" s="9" t="str">
        <x:f>'Evaluation Plan'!L29</x:f>
        <x:v>furthest</x:v>
      </x:c>
      <x:c r="M29" s="9" t="n">
        <x:f>'Evaluation Plan'!M29</x:f>
        <x:v>3</x:v>
      </x:c>
      <x:c r="N29" s="9" t="str">
        <x:f>'Evaluation Plan'!N29</x:f>
        <x:v>1 — Canonical transfer — Held-out furthest concept with same-category candidates</x:v>
      </x:c>
      <x:c r="O29" s="9" t="n">
        <x:f>'Evaluation Plan'!O29</x:f>
        <x:v>10</x:v>
      </x:c>
      <x:c r="P29" s="10" t="str">
        <x:f>'Evaluation Plan'!P29</x:f>
        <x:v>From scene A, swap only the P2/P3 candidate identities; keep reference, distractors, camera and distances fixed. Save the new first frame.</x:v>
      </x:c>
      <x:c r="Q29" s="10" t="str">
        <x:f>'Evaluation Plan'!Q29</x:f>
        <x:v>Furthest/farthest language is absent from fine-tuning. The A/B scene pair swaps which physical identity is far, preventing identity preference from solving both.</x:v>
      </x:c>
      <x:c r="R29" s="10" t="str">
        <x:f>IF(ISBLANK('Evaluation Plan'!R29),"",'Evaluation Plan'!R29)</x:f>
      </x:c>
    </x:row>
    <x:row r="30" ht="66" customHeight="1">
      <x:c r="A30" s="8" t="str">
        <x:v>Not collected</x:v>
      </x:c>
      <x:c r="B30" s="8" t="n">
        <x:f>'Evaluation Plan'!B30</x:f>
        <x:v>28</x:v>
      </x:c>
      <x:c r="C30" s="7" t="str">
        <x:f>'Evaluation Plan'!C30</x:f>
        <x:v>Of the two candidates, put the crushed soda can farther from the airplane toy with propellers in the bowl.</x:v>
      </x:c>
      <x:c r="D30" s="7" t="str">
        <x:f>'Evaluation Plan'!D30</x:f>
        <x:v>P1 airplane toy with propellers at R5 (5 cm away from the robot from center) [REFERENCE]; P2 crushed Pepsi can with 6 cm edge gap to the left of P1 [CLOSE CANDIDATE]; P3 crushed Coke can with 20 cm edge gap to the right of P1 [FAR CANDIDATE]</x:v>
      </x:c>
      <x:c r="E30" s="8" t="n">
        <x:f>IF(ISBLANK('Evaluation Plan'!E30),"",'Evaluation Plan'!E30)</x:f>
        <x:v>27</x:v>
      </x:c>
      <x:c r="F30" s="8" t="str">
        <x:f>'Evaluation Plan'!F30</x:f>
        <x:v>crushed Coke can</x:v>
      </x:c>
      <x:c r="G30" s="7"/>
      <x:c r="H30" s="8" t="str">
        <x:f>'Evaluation Plan'!H30</x:f>
        <x:v>Language robustness</x:v>
      </x:c>
      <x:c r="I30" s="8" t="str">
        <x:f>'Evaluation Plan'!I30</x:f>
        <x:v>RD-CF05B</x:v>
      </x:c>
      <x:c r="J30" s="8" t="str">
        <x:f>'Evaluation Plan'!J30</x:f>
        <x:v>RD-CF05</x:v>
      </x:c>
      <x:c r="K30" s="8" t="str">
        <x:f>'Evaluation Plan'!K30</x:f>
        <x:v>crushed soda can</x:v>
      </x:c>
      <x:c r="L30" s="8" t="str">
        <x:f>'Evaluation Plan'!L30</x:f>
        <x:v>furthest paraphrase</x:v>
      </x:c>
      <x:c r="M30" s="8" t="n">
        <x:f>'Evaluation Plan'!M30</x:f>
        <x:v>3</x:v>
      </x:c>
      <x:c r="N30" s="8" t="str">
        <x:f>'Evaluation Plan'!N30</x:f>
        <x:v>2 — Exact-scene transfer paraphrase — Paraphrase of furthest-transfer prompt</x:v>
      </x:c>
      <x:c r="O30" s="8" t="n">
        <x:f>'Evaluation Plan'!O30</x:f>
        <x:v>10</x:v>
      </x:c>
      <x:c r="P30" s="7" t="str">
        <x:f>'Evaluation Plan'!P30</x:f>
        <x:v>Reset only the far candidate to P3; change only the prompt wording.</x:v>
      </x:c>
      <x:c r="Q30" s="7" t="str">
        <x:f>'Evaluation Plan'!Q30</x:f>
        <x:v>Exact-scene language comparison for the held-out distance concept.</x:v>
      </x:c>
      <x:c r="R30" s="7" t="str">
        <x:f>IF(ISBLANK('Evaluation Plan'!R30),"",'Evaluation Plan'!R30)</x:f>
      </x:c>
    </x:row>
    <x:row r="31" ht="66" customHeight="1">
      <x:c r="A31" s="8" t="str">
        <x:v>Not collected</x:v>
      </x:c>
      <x:c r="B31" s="8" t="n">
        <x:f>'Evaluation Plan'!B31</x:f>
        <x:v>29</x:v>
      </x:c>
      <x:c r="C31" s="7" t="str">
        <x:f>'Evaluation Plan'!C31</x:f>
        <x:v>Put the crushed Coke can in the bowl.</x:v>
      </x:c>
      <x:c r="D31" s="7" t="str">
        <x:f>'Evaluation Plan'!D31</x:f>
        <x:v>P1 airplane toy with propellers at R5 (5 cm away from the robot from center) [REFERENCE]; P2 crushed Pepsi can with 6 cm edge gap to the left of P1 [CLOSE CANDIDATE]; P3 crushed Coke can with 20 cm edge gap to the right of P1 [FAR CANDIDATE]</x:v>
      </x:c>
      <x:c r="E31" s="8" t="n">
        <x:f>IF(ISBLANK('Evaluation Plan'!E31),"",'Evaluation Plan'!E31)</x:f>
        <x:v>27</x:v>
      </x:c>
      <x:c r="F31" s="8" t="str">
        <x:f>'Evaluation Plan'!F31</x:f>
        <x:v>crushed Coke can</x:v>
      </x:c>
      <x:c r="G31" s="7"/>
      <x:c r="H31" s="8" t="str">
        <x:f>'Evaluation Plan'!H31</x:f>
        <x:v>Matched manipulation control</x:v>
      </x:c>
      <x:c r="I31" s="8" t="str">
        <x:f>'Evaluation Plan'!I31</x:f>
        <x:v>RD-CF05B</x:v>
      </x:c>
      <x:c r="J31" s="8" t="str">
        <x:f>'Evaluation Plan'!J31</x:f>
        <x:v>RD-CF05</x:v>
      </x:c>
      <x:c r="K31" s="8" t="str">
        <x:f>'Evaluation Plan'!K31</x:f>
        <x:v>crushed soda can</x:v>
      </x:c>
      <x:c r="L31" s="8" t="str">
        <x:f>'Evaluation Plan'!L31</x:f>
        <x:v>direct name</x:v>
      </x:c>
      <x:c r="M31" s="8" t="n">
        <x:f>'Evaluation Plan'!M31</x:f>
        <x:v>3</x:v>
      </x:c>
      <x:c r="N31" s="8" t="str">
        <x:f>'Evaluation Plan'!N31</x:f>
        <x:v>3 — Matched control — Direct-name control on identical target and trajectory</x:v>
      </x:c>
      <x:c r="O31" s="8" t="n">
        <x:f>'Evaluation Plan'!O31</x:f>
        <x:v>10</x:v>
      </x:c>
      <x:c r="P31" s="7" t="str">
        <x:f>'Evaluation Plan'!P31</x:f>
        <x:v>Reset only the far candidate to P3. Keep the full scene exact; replace the relational instruction with the target's direct name.</x:v>
      </x:c>
      <x:c r="Q31" s="7" t="str">
        <x:f>'Evaluation Plan'!Q31</x:f>
        <x:v>This is a true endpoint-matched manipulation control: scene, target identity, start pose and required trajectory match the furthest trial.</x:v>
      </x:c>
      <x:c r="R31" s="7" t="str">
        <x:f>IF(ISBLANK('Evaluation Plan'!R31),"",'Evaluation Plan'!R31)</x:f>
      </x:c>
    </x:row>
    <x:row r="32" ht="66" customHeight="1">
      <x:c r="A32" s="9" t="str">
        <x:v>Not collected</x:v>
      </x:c>
      <x:c r="B32" s="9" t="n">
        <x:f>'Evaluation Plan'!B32</x:f>
        <x:v>30</x:v>
      </x:c>
      <x:c r="C32" s="10" t="str">
        <x:f>'Evaluation Plan'!C32</x:f>
        <x:v>Pick up the pencil sharpener furthest from the airplane toy without propellers and place it in the bowl.</x:v>
      </x:c>
      <x:c r="D32" s="10" t="str">
        <x:f>'Evaluation Plan'!D32</x:f>
        <x:v>P1 airplane toy without propellers at R1 (table center) [REFERENCE]; P2 red pencil sharpener with 6 cm edge gap to the right of P1 [CLOSE CANDIDATE]; P3 green pencil sharpener with 20 cm edge gap to the left of P1 [FAR CANDIDATE]; P4 crushed Coke can with 14 cm edge gap behind P1 [DISTRACTOR]</x:v>
      </x:c>
      <x:c r="E32" s="9" t="str">
        <x:f>IF(ISBLANK('Evaluation Plan'!E32),"",'Evaluation Plan'!E32)</x:f>
      </x:c>
      <x:c r="F32" s="9" t="str">
        <x:f>'Evaluation Plan'!F32</x:f>
        <x:v>green pencil sharpener</x:v>
      </x:c>
      <x:c r="G32" s="10"/>
      <x:c r="H32" s="9" t="str">
        <x:f>'Evaluation Plan'!H32</x:f>
        <x:v>Concept/compositional transfer</x:v>
      </x:c>
      <x:c r="I32" s="9" t="str">
        <x:f>'Evaluation Plan'!I32</x:f>
        <x:v>RD-CF06A</x:v>
      </x:c>
      <x:c r="J32" s="9" t="str">
        <x:f>'Evaluation Plan'!J32</x:f>
        <x:v>RD-CF06</x:v>
      </x:c>
      <x:c r="K32" s="9" t="str">
        <x:f>'Evaluation Plan'!K32</x:f>
        <x:v>pencil sharpener</x:v>
      </x:c>
      <x:c r="L32" s="9" t="str">
        <x:f>'Evaluation Plan'!L32</x:f>
        <x:v>furthest</x:v>
      </x:c>
      <x:c r="M32" s="9" t="n">
        <x:f>'Evaluation Plan'!M32</x:f>
        <x:v>4</x:v>
      </x:c>
      <x:c r="N32" s="9" t="str">
        <x:f>'Evaluation Plan'!N32</x:f>
        <x:v>1 — Canonical transfer — Held-out furthest concept with same-category candidates</x:v>
      </x:c>
      <x:c r="O32" s="9" t="n">
        <x:f>'Evaluation Plan'!O32</x:f>
        <x:v>11</x:v>
      </x:c>
      <x:c r="P32" s="10" t="str">
        <x:f>'Evaluation Plan'!P32</x:f>
        <x:v>Build counterfactual scene A and save a first-frame filename.</x:v>
      </x:c>
      <x:c r="Q32" s="10" t="str">
        <x:f>'Evaluation Plan'!Q32</x:f>
        <x:v>Furthest/farthest language is absent from fine-tuning. The A/B scene pair swaps which physical identity is far, preventing identity preference from solving both.</x:v>
      </x:c>
      <x:c r="R32" s="10" t="str">
        <x:f>IF(ISBLANK('Evaluation Plan'!R32),"",'Evaluation Plan'!R32)</x:f>
      </x:c>
    </x:row>
    <x:row r="33" ht="66" customHeight="1">
      <x:c r="A33" s="8" t="str">
        <x:v>Not collected</x:v>
      </x:c>
      <x:c r="B33" s="8" t="n">
        <x:f>'Evaluation Plan'!B33</x:f>
        <x:v>31</x:v>
      </x:c>
      <x:c r="C33" s="7" t="str">
        <x:f>'Evaluation Plan'!C33</x:f>
        <x:v>Move the green pencil sharpener into the bowl.</x:v>
      </x:c>
      <x:c r="D33" s="7" t="str">
        <x:f>'Evaluation Plan'!D33</x:f>
        <x:v>P1 airplane toy without propellers at R1 (table center) [REFERENCE]; P2 red pencil sharpener with 6 cm edge gap to the right of P1 [CLOSE CANDIDATE]; P3 green pencil sharpener with 20 cm edge gap to the left of P1 [FAR CANDIDATE]; P4 crushed Coke can with 14 cm edge gap behind P1 [DISTRACTOR]</x:v>
      </x:c>
      <x:c r="E33" s="8" t="n">
        <x:f>IF(ISBLANK('Evaluation Plan'!E33),"",'Evaluation Plan'!E33)</x:f>
        <x:v>30</x:v>
      </x:c>
      <x:c r="F33" s="8" t="str">
        <x:f>'Evaluation Plan'!F33</x:f>
        <x:v>green pencil sharpener</x:v>
      </x:c>
      <x:c r="G33" s="7"/>
      <x:c r="H33" s="8" t="str">
        <x:f>'Evaluation Plan'!H33</x:f>
        <x:v>Matched manipulation control</x:v>
      </x:c>
      <x:c r="I33" s="8" t="str">
        <x:f>'Evaluation Plan'!I33</x:f>
        <x:v>RD-CF06A</x:v>
      </x:c>
      <x:c r="J33" s="8" t="str">
        <x:f>'Evaluation Plan'!J33</x:f>
        <x:v>RD-CF06</x:v>
      </x:c>
      <x:c r="K33" s="8" t="str">
        <x:f>'Evaluation Plan'!K33</x:f>
        <x:v>pencil sharpener</x:v>
      </x:c>
      <x:c r="L33" s="8" t="str">
        <x:f>'Evaluation Plan'!L33</x:f>
        <x:v>direct name</x:v>
      </x:c>
      <x:c r="M33" s="8" t="n">
        <x:f>'Evaluation Plan'!M33</x:f>
        <x:v>4</x:v>
      </x:c>
      <x:c r="N33" s="8" t="str">
        <x:f>'Evaluation Plan'!N33</x:f>
        <x:v>2 — Matched control — Direct-name control on identical target and trajectory</x:v>
      </x:c>
      <x:c r="O33" s="8" t="n">
        <x:f>'Evaluation Plan'!O33</x:f>
        <x:v>11</x:v>
      </x:c>
      <x:c r="P33" s="7" t="str">
        <x:f>'Evaluation Plan'!P33</x:f>
        <x:v>Reset only the far candidate to P3. Keep the full scene exact; replace the relational instruction with the target's direct name.</x:v>
      </x:c>
      <x:c r="Q33" s="7" t="str">
        <x:f>'Evaluation Plan'!Q33</x:f>
        <x:v>This is a true endpoint-matched manipulation control: scene, target identity, start pose and required trajectory match the furthest trial.</x:v>
      </x:c>
      <x:c r="R33" s="7" t="str">
        <x:f>IF(ISBLANK('Evaluation Plan'!R33),"",'Evaluation Plan'!R33)</x:f>
      </x:c>
    </x:row>
    <x:row r="34" ht="66" customHeight="1">
      <x:c r="A34" s="8" t="str">
        <x:v>Not collected</x:v>
      </x:c>
      <x:c r="B34" s="8" t="n">
        <x:f>'Evaluation Plan'!B34</x:f>
        <x:v>32</x:v>
      </x:c>
      <x:c r="C34" s="7" t="str">
        <x:f>'Evaluation Plan'!C34</x:f>
        <x:v>Take the green pencil sharpener and set it in the bowl.</x:v>
      </x:c>
      <x:c r="D34" s="7" t="str">
        <x:f>'Evaluation Plan'!D34</x:f>
        <x:v>P1 airplane toy without propellers at R1 (table center) [REFERENCE]; P2 red pencil sharpener with 6 cm edge gap to the right of P1 [CLOSE CANDIDATE]; P3 green pencil sharpener with 20 cm edge gap to the left of P1 [FAR CANDIDATE]; P4 crushed Coke can with 14 cm edge gap behind P1 [DISTRACTOR]</x:v>
      </x:c>
      <x:c r="E34" s="8" t="n">
        <x:f>IF(ISBLANK('Evaluation Plan'!E34),"",'Evaluation Plan'!E34)</x:f>
        <x:v>31</x:v>
      </x:c>
      <x:c r="F34" s="8" t="str">
        <x:f>'Evaluation Plan'!F34</x:f>
        <x:v>green pencil sharpener</x:v>
      </x:c>
      <x:c r="G34" s="7"/>
      <x:c r="H34" s="8" t="str">
        <x:f>'Evaluation Plan'!H34</x:f>
        <x:v>Language robustness</x:v>
      </x:c>
      <x:c r="I34" s="8" t="str">
        <x:f>'Evaluation Plan'!I34</x:f>
        <x:v>RD-CF06A</x:v>
      </x:c>
      <x:c r="J34" s="8" t="str">
        <x:f>'Evaluation Plan'!J34</x:f>
        <x:v>RD-CF06</x:v>
      </x:c>
      <x:c r="K34" s="8" t="str">
        <x:f>'Evaluation Plan'!K34</x:f>
        <x:v>pencil sharpener</x:v>
      </x:c>
      <x:c r="L34" s="8" t="str">
        <x:f>'Evaluation Plan'!L34</x:f>
        <x:v>direct-name paraphrase</x:v>
      </x:c>
      <x:c r="M34" s="8" t="n">
        <x:f>'Evaluation Plan'!M34</x:f>
        <x:v>4</x:v>
      </x:c>
      <x:c r="N34" s="8" t="str">
        <x:f>'Evaluation Plan'!N34</x:f>
        <x:v>3 — Exact-scene control paraphrase — Paraphrase of direct-name matched control</x:v>
      </x:c>
      <x:c r="O34" s="8" t="n">
        <x:f>'Evaluation Plan'!O34</x:f>
        <x:v>11</x:v>
      </x:c>
      <x:c r="P34" s="7" t="str">
        <x:f>'Evaluation Plan'!P34</x:f>
        <x:v>Reset only the far candidate to P3; change only the direct-name prompt wording.</x:v>
      </x:c>
      <x:c r="Q34" s="7" t="str">
        <x:f>'Evaluation Plan'!Q34</x:f>
        <x:v>Exact-scene language comparison for the endpoint-matched skill control.</x:v>
      </x:c>
      <x:c r="R34" s="7" t="str">
        <x:f>IF(ISBLANK('Evaluation Plan'!R34),"",'Evaluation Plan'!R34)</x:f>
      </x:c>
    </x:row>
    <x:row r="35" ht="66" customHeight="1">
      <x:c r="A35" s="9" t="str">
        <x:v>Not collected</x:v>
      </x:c>
      <x:c r="B35" s="9" t="n">
        <x:f>'Evaluation Plan'!B35</x:f>
        <x:v>33</x:v>
      </x:c>
      <x:c r="C35" s="10" t="str">
        <x:f>'Evaluation Plan'!C35</x:f>
        <x:v>Pick up the pencil sharpener furthest from the airplane toy without propellers and place it in the bowl.</x:v>
      </x:c>
      <x:c r="D35" s="10" t="str">
        <x:f>'Evaluation Plan'!D35</x:f>
        <x:v>P1 airplane toy without propellers at R1 (table center) [REFERENCE]; P2 green pencil sharpener with 6 cm edge gap to the right of P1 [CLOSE CANDIDATE]; P3 red pencil sharpener with 20 cm edge gap to the left of P1 [FAR CANDIDATE]; P4 crushed Coke can with 14 cm edge gap behind P1 [DISTRACTOR]</x:v>
      </x:c>
      <x:c r="E35" s="9" t="str">
        <x:f>IF(ISBLANK('Evaluation Plan'!E35),"",'Evaluation Plan'!E35)</x:f>
      </x:c>
      <x:c r="F35" s="9" t="str">
        <x:f>'Evaluation Plan'!F35</x:f>
        <x:v>red pencil sharpener</x:v>
      </x:c>
      <x:c r="G35" s="10"/>
      <x:c r="H35" s="9" t="str">
        <x:f>'Evaluation Plan'!H35</x:f>
        <x:v>Concept/compositional transfer</x:v>
      </x:c>
      <x:c r="I35" s="9" t="str">
        <x:f>'Evaluation Plan'!I35</x:f>
        <x:v>RD-CF06B</x:v>
      </x:c>
      <x:c r="J35" s="9" t="str">
        <x:f>'Evaluation Plan'!J35</x:f>
        <x:v>RD-CF06</x:v>
      </x:c>
      <x:c r="K35" s="9" t="str">
        <x:f>'Evaluation Plan'!K35</x:f>
        <x:v>pencil sharpener</x:v>
      </x:c>
      <x:c r="L35" s="9" t="str">
        <x:f>'Evaluation Plan'!L35</x:f>
        <x:v>furthest</x:v>
      </x:c>
      <x:c r="M35" s="9" t="n">
        <x:f>'Evaluation Plan'!M35</x:f>
        <x:v>4</x:v>
      </x:c>
      <x:c r="N35" s="9" t="str">
        <x:f>'Evaluation Plan'!N35</x:f>
        <x:v>1 — Canonical transfer — Held-out furthest concept with same-category candidates</x:v>
      </x:c>
      <x:c r="O35" s="9" t="n">
        <x:f>'Evaluation Plan'!O35</x:f>
        <x:v>12</x:v>
      </x:c>
      <x:c r="P35" s="10" t="str">
        <x:f>'Evaluation Plan'!P35</x:f>
        <x:v>From scene A, swap only the P2/P3 candidate identities; keep reference, distractors, camera and distances fixed. Save the new first frame.</x:v>
      </x:c>
      <x:c r="Q35" s="10" t="str">
        <x:f>'Evaluation Plan'!Q35</x:f>
        <x:v>Furthest/farthest language is absent from fine-tuning. The A/B scene pair swaps which physical identity is far, preventing identity preference from solving both.</x:v>
      </x:c>
      <x:c r="R35" s="10" t="str">
        <x:f>IF(ISBLANK('Evaluation Plan'!R35),"",'Evaluation Plan'!R35)</x:f>
      </x:c>
    </x:row>
    <x:row r="36" ht="66" customHeight="1">
      <x:c r="A36" s="8" t="str">
        <x:v>Not collected</x:v>
      </x:c>
      <x:c r="B36" s="8" t="n">
        <x:f>'Evaluation Plan'!B36</x:f>
        <x:v>34</x:v>
      </x:c>
      <x:c r="C36" s="7" t="str">
        <x:f>'Evaluation Plan'!C36</x:f>
        <x:v>Pick up the red pencil sharpener and place it in the bowl.</x:v>
      </x:c>
      <x:c r="D36" s="7" t="str">
        <x:f>'Evaluation Plan'!D36</x:f>
        <x:v>P1 airplane toy without propellers at R1 (table center) [REFERENCE]; P2 green pencil sharpener with 6 cm edge gap to the right of P1 [CLOSE CANDIDATE]; P3 red pencil sharpener with 20 cm edge gap to the left of P1 [FAR CANDIDATE]; P4 crushed Coke can with 14 cm edge gap behind P1 [DISTRACTOR]</x:v>
      </x:c>
      <x:c r="E36" s="8" t="n">
        <x:f>IF(ISBLANK('Evaluation Plan'!E36),"",'Evaluation Plan'!E36)</x:f>
        <x:v>33</x:v>
      </x:c>
      <x:c r="F36" s="8" t="str">
        <x:f>'Evaluation Plan'!F36</x:f>
        <x:v>red pencil sharpener</x:v>
      </x:c>
      <x:c r="G36" s="7"/>
      <x:c r="H36" s="8" t="str">
        <x:f>'Evaluation Plan'!H36</x:f>
        <x:v>Matched manipulation control</x:v>
      </x:c>
      <x:c r="I36" s="8" t="str">
        <x:f>'Evaluation Plan'!I36</x:f>
        <x:v>RD-CF06B</x:v>
      </x:c>
      <x:c r="J36" s="8" t="str">
        <x:f>'Evaluation Plan'!J36</x:f>
        <x:v>RD-CF06</x:v>
      </x:c>
      <x:c r="K36" s="8" t="str">
        <x:f>'Evaluation Plan'!K36</x:f>
        <x:v>pencil sharpener</x:v>
      </x:c>
      <x:c r="L36" s="8" t="str">
        <x:f>'Evaluation Plan'!L36</x:f>
        <x:v>direct name</x:v>
      </x:c>
      <x:c r="M36" s="8" t="n">
        <x:f>'Evaluation Plan'!M36</x:f>
        <x:v>4</x:v>
      </x:c>
      <x:c r="N36" s="8" t="str">
        <x:f>'Evaluation Plan'!N36</x:f>
        <x:v>2 — Matched control — Direct-name control on identical target and trajectory</x:v>
      </x:c>
      <x:c r="O36" s="8" t="n">
        <x:f>'Evaluation Plan'!O36</x:f>
        <x:v>12</x:v>
      </x:c>
      <x:c r="P36" s="7" t="str">
        <x:f>'Evaluation Plan'!P36</x:f>
        <x:v>Reset only the far candidate to P3. Keep the full scene exact; replace the relational instruction with the target's direct name.</x:v>
      </x:c>
      <x:c r="Q36" s="7" t="str">
        <x:f>'Evaluation Plan'!Q36</x:f>
        <x:v>This is a true endpoint-matched manipulation control: scene, target identity, start pose and required trajectory match the furthest trial.</x:v>
      </x:c>
      <x:c r="R36" s="7" t="str">
        <x:f>IF(ISBLANK('Evaluation Plan'!R36),"",'Evaluation Plan'!R36)</x:f>
      </x:c>
    </x:row>
    <x:row r="37" ht="66" customHeight="1">
      <x:c r="A37" s="8" t="str">
        <x:v>Not collected</x:v>
      </x:c>
      <x:c r="B37" s="8" t="n">
        <x:f>'Evaluation Plan'!B37</x:f>
        <x:v>35</x:v>
      </x:c>
      <x:c r="C37" s="7" t="str">
        <x:f>'Evaluation Plan'!C37</x:f>
        <x:v>Transfer the red pencil sharpener into the bowl.</x:v>
      </x:c>
      <x:c r="D37" s="7" t="str">
        <x:f>'Evaluation Plan'!D37</x:f>
        <x:v>P1 airplane toy without propellers at R1 (table center) [REFERENCE]; P2 green pencil sharpener with 6 cm edge gap to the right of P1 [CLOSE CANDIDATE]; P3 red pencil sharpener with 20 cm edge gap to the left of P1 [FAR CANDIDATE]; P4 crushed Coke can with 14 cm edge gap behind P1 [DISTRACTOR]</x:v>
      </x:c>
      <x:c r="E37" s="8" t="n">
        <x:f>IF(ISBLANK('Evaluation Plan'!E37),"",'Evaluation Plan'!E37)</x:f>
        <x:v>34</x:v>
      </x:c>
      <x:c r="F37" s="8" t="str">
        <x:f>'Evaluation Plan'!F37</x:f>
        <x:v>red pencil sharpener</x:v>
      </x:c>
      <x:c r="G37" s="7"/>
      <x:c r="H37" s="8" t="str">
        <x:f>'Evaluation Plan'!H37</x:f>
        <x:v>Language robustness</x:v>
      </x:c>
      <x:c r="I37" s="8" t="str">
        <x:f>'Evaluation Plan'!I37</x:f>
        <x:v>RD-CF06B</x:v>
      </x:c>
      <x:c r="J37" s="8" t="str">
        <x:f>'Evaluation Plan'!J37</x:f>
        <x:v>RD-CF06</x:v>
      </x:c>
      <x:c r="K37" s="8" t="str">
        <x:f>'Evaluation Plan'!K37</x:f>
        <x:v>pencil sharpener</x:v>
      </x:c>
      <x:c r="L37" s="8" t="str">
        <x:f>'Evaluation Plan'!L37</x:f>
        <x:v>direct-name paraphrase</x:v>
      </x:c>
      <x:c r="M37" s="8" t="n">
        <x:f>'Evaluation Plan'!M37</x:f>
        <x:v>4</x:v>
      </x:c>
      <x:c r="N37" s="8" t="str">
        <x:f>'Evaluation Plan'!N37</x:f>
        <x:v>3 — Exact-scene control paraphrase — Paraphrase of direct-name matched control</x:v>
      </x:c>
      <x:c r="O37" s="8" t="n">
        <x:f>'Evaluation Plan'!O37</x:f>
        <x:v>12</x:v>
      </x:c>
      <x:c r="P37" s="7" t="str">
        <x:f>'Evaluation Plan'!P37</x:f>
        <x:v>Reset only the far candidate to P3; change only the direct-name prompt wording.</x:v>
      </x:c>
      <x:c r="Q37" s="7" t="str">
        <x:f>'Evaluation Plan'!Q37</x:f>
        <x:v>Exact-scene language comparison for the endpoint-matched skill control.</x:v>
      </x:c>
      <x:c r="R37" s="7" t="str">
        <x:f>IF(ISBLANK('Evaluation Plan'!R37),"",'Evaluation Plan'!R37)</x:f>
      </x:c>
    </x:row>
    <x:row r="38" ht="66" customHeight="1">
      <x:c r="A38" s="9" t="str">
        <x:v>Not collected</x:v>
      </x:c>
      <x:c r="B38" s="9" t="n">
        <x:f>'Evaluation Plan'!B38</x:f>
        <x:v>36</x:v>
      </x:c>
      <x:c r="C38" s="10" t="str">
        <x:f>'Evaluation Plan'!C38</x:f>
        <x:v>Pick up the pen furthest from the crushed Coke can and place it in the bowl.</x:v>
      </x:c>
      <x:c r="D38" s="10" t="str">
        <x:f>'Evaluation Plan'!D38</x:f>
        <x:v>P1 crushed Coke can at R2 (5 cm left of center) [REFERENCE]; P2 green pen with 6 cm edge gap in front of P1 [CLOSE CANDIDATE]; P3 yellow pen with 20 cm edge gap behind P1 [FAR CANDIDATE]; P4 green pencil sharpener with 14 cm edge gap to the left of P1 [DISTRACTOR]</x:v>
      </x:c>
      <x:c r="E38" s="9" t="str">
        <x:f>IF(ISBLANK('Evaluation Plan'!E38),"",'Evaluation Plan'!E38)</x:f>
      </x:c>
      <x:c r="F38" s="9" t="str">
        <x:f>'Evaluation Plan'!F38</x:f>
        <x:v>yellow pen</x:v>
      </x:c>
      <x:c r="G38" s="10"/>
      <x:c r="H38" s="9" t="str">
        <x:f>'Evaluation Plan'!H38</x:f>
        <x:v>Concept/compositional transfer</x:v>
      </x:c>
      <x:c r="I38" s="9" t="str">
        <x:f>'Evaluation Plan'!I38</x:f>
        <x:v>RD-CF07A</x:v>
      </x:c>
      <x:c r="J38" s="9" t="str">
        <x:f>'Evaluation Plan'!J38</x:f>
        <x:v>RD-CF07</x:v>
      </x:c>
      <x:c r="K38" s="9" t="str">
        <x:f>'Evaluation Plan'!K38</x:f>
        <x:v>pen</x:v>
      </x:c>
      <x:c r="L38" s="9" t="str">
        <x:f>'Evaluation Plan'!L38</x:f>
        <x:v>furthest</x:v>
      </x:c>
      <x:c r="M38" s="9" t="n">
        <x:f>'Evaluation Plan'!M38</x:f>
        <x:v>4</x:v>
      </x:c>
      <x:c r="N38" s="9" t="str">
        <x:f>'Evaluation Plan'!N38</x:f>
        <x:v>1 — Canonical transfer — Held-out furthest concept with same-category candidates</x:v>
      </x:c>
      <x:c r="O38" s="9" t="n">
        <x:f>'Evaluation Plan'!O38</x:f>
        <x:v>13</x:v>
      </x:c>
      <x:c r="P38" s="10" t="str">
        <x:f>'Evaluation Plan'!P38</x:f>
        <x:v>Build counterfactual scene A and save a first-frame filename.</x:v>
      </x:c>
      <x:c r="Q38" s="10" t="str">
        <x:f>'Evaluation Plan'!Q38</x:f>
        <x:v>Furthest/farthest language is absent from fine-tuning. The A/B scene pair swaps which physical identity is far, preventing identity preference from solving both.</x:v>
      </x:c>
      <x:c r="R38" s="10" t="str">
        <x:f>IF(ISBLANK('Evaluation Plan'!R38),"",'Evaluation Plan'!R38)</x:f>
      </x:c>
    </x:row>
    <x:row r="39" ht="66" customHeight="1">
      <x:c r="A39" s="8" t="str">
        <x:v>Not collected</x:v>
      </x:c>
      <x:c r="B39" s="8" t="n">
        <x:f>'Evaluation Plan'!B39</x:f>
        <x:v>37</x:v>
      </x:c>
      <x:c r="C39" s="7" t="str">
        <x:f>'Evaluation Plan'!C39</x:f>
        <x:v>Put the yellow pen in the bowl.</x:v>
      </x:c>
      <x:c r="D39" s="7" t="str">
        <x:f>'Evaluation Plan'!D39</x:f>
        <x:v>P1 crushed Coke can at R2 (5 cm left of center) [REFERENCE]; P2 green pen with 6 cm edge gap in front of P1 [CLOSE CANDIDATE]; P3 yellow pen with 20 cm edge gap behind P1 [FAR CANDIDATE]; P4 green pencil sharpener with 14 cm edge gap to the left of P1 [DISTRACTOR]</x:v>
      </x:c>
      <x:c r="E39" s="8" t="n">
        <x:f>IF(ISBLANK('Evaluation Plan'!E39),"",'Evaluation Plan'!E39)</x:f>
        <x:v>36</x:v>
      </x:c>
      <x:c r="F39" s="8" t="str">
        <x:f>'Evaluation Plan'!F39</x:f>
        <x:v>yellow pen</x:v>
      </x:c>
      <x:c r="G39" s="7"/>
      <x:c r="H39" s="8" t="str">
        <x:f>'Evaluation Plan'!H39</x:f>
        <x:v>Matched manipulation control</x:v>
      </x:c>
      <x:c r="I39" s="8" t="str">
        <x:f>'Evaluation Plan'!I39</x:f>
        <x:v>RD-CF07A</x:v>
      </x:c>
      <x:c r="J39" s="8" t="str">
        <x:f>'Evaluation Plan'!J39</x:f>
        <x:v>RD-CF07</x:v>
      </x:c>
      <x:c r="K39" s="8" t="str">
        <x:f>'Evaluation Plan'!K39</x:f>
        <x:v>pen</x:v>
      </x:c>
      <x:c r="L39" s="8" t="str">
        <x:f>'Evaluation Plan'!L39</x:f>
        <x:v>direct name</x:v>
      </x:c>
      <x:c r="M39" s="8" t="n">
        <x:f>'Evaluation Plan'!M39</x:f>
        <x:v>4</x:v>
      </x:c>
      <x:c r="N39" s="8" t="str">
        <x:f>'Evaluation Plan'!N39</x:f>
        <x:v>2 — Matched control — Direct-name control on identical target and trajectory</x:v>
      </x:c>
      <x:c r="O39" s="8" t="n">
        <x:f>'Evaluation Plan'!O39</x:f>
        <x:v>13</x:v>
      </x:c>
      <x:c r="P39" s="7" t="str">
        <x:f>'Evaluation Plan'!P39</x:f>
        <x:v>Reset only the far candidate to P3. Keep the full scene exact; replace the relational instruction with the target's direct name.</x:v>
      </x:c>
      <x:c r="Q39" s="7" t="str">
        <x:f>'Evaluation Plan'!Q39</x:f>
        <x:v>This is a true endpoint-matched manipulation control: scene, target identity, start pose and required trajectory match the furthest trial.</x:v>
      </x:c>
      <x:c r="R39" s="7" t="str">
        <x:f>IF(ISBLANK('Evaluation Plan'!R39),"",'Evaluation Plan'!R39)</x:f>
      </x:c>
    </x:row>
    <x:row r="40" ht="66" customHeight="1">
      <x:c r="A40" s="8" t="str">
        <x:v>Not collected</x:v>
      </x:c>
      <x:c r="B40" s="8" t="n">
        <x:f>'Evaluation Plan'!B40</x:f>
        <x:v>38</x:v>
      </x:c>
      <x:c r="C40" s="7" t="str">
        <x:f>'Evaluation Plan'!C40</x:f>
        <x:v>Move the yellow pen over to the bowl.</x:v>
      </x:c>
      <x:c r="D40" s="7" t="str">
        <x:f>'Evaluation Plan'!D40</x:f>
        <x:v>P1 crushed Coke can at R2 (5 cm left of center) [REFERENCE]; P2 green pen with 6 cm edge gap in front of P1 [CLOSE CANDIDATE]; P3 yellow pen with 20 cm edge gap behind P1 [FAR CANDIDATE]; P4 green pencil sharpener with 14 cm edge gap to the left of P1 [DISTRACTOR]</x:v>
      </x:c>
      <x:c r="E40" s="8" t="n">
        <x:f>IF(ISBLANK('Evaluation Plan'!E40),"",'Evaluation Plan'!E40)</x:f>
        <x:v>37</x:v>
      </x:c>
      <x:c r="F40" s="8" t="str">
        <x:f>'Evaluation Plan'!F40</x:f>
        <x:v>yellow pen</x:v>
      </x:c>
      <x:c r="G40" s="7"/>
      <x:c r="H40" s="8" t="str">
        <x:f>'Evaluation Plan'!H40</x:f>
        <x:v>Language robustness</x:v>
      </x:c>
      <x:c r="I40" s="8" t="str">
        <x:f>'Evaluation Plan'!I40</x:f>
        <x:v>RD-CF07A</x:v>
      </x:c>
      <x:c r="J40" s="8" t="str">
        <x:f>'Evaluation Plan'!J40</x:f>
        <x:v>RD-CF07</x:v>
      </x:c>
      <x:c r="K40" s="8" t="str">
        <x:f>'Evaluation Plan'!K40</x:f>
        <x:v>pen</x:v>
      </x:c>
      <x:c r="L40" s="8" t="str">
        <x:f>'Evaluation Plan'!L40</x:f>
        <x:v>direct-name paraphrase</x:v>
      </x:c>
      <x:c r="M40" s="8" t="n">
        <x:f>'Evaluation Plan'!M40</x:f>
        <x:v>4</x:v>
      </x:c>
      <x:c r="N40" s="8" t="str">
        <x:f>'Evaluation Plan'!N40</x:f>
        <x:v>3 — Exact-scene control paraphrase — Paraphrase of direct-name matched control</x:v>
      </x:c>
      <x:c r="O40" s="8" t="n">
        <x:f>'Evaluation Plan'!O40</x:f>
        <x:v>13</x:v>
      </x:c>
      <x:c r="P40" s="7" t="str">
        <x:f>'Evaluation Plan'!P40</x:f>
        <x:v>Reset only the far candidate to P3; change only the direct-name prompt wording.</x:v>
      </x:c>
      <x:c r="Q40" s="7" t="str">
        <x:f>'Evaluation Plan'!Q40</x:f>
        <x:v>Exact-scene language comparison for the endpoint-matched skill control.</x:v>
      </x:c>
      <x:c r="R40" s="7" t="str">
        <x:f>IF(ISBLANK('Evaluation Plan'!R40),"",'Evaluation Plan'!R40)</x:f>
      </x:c>
    </x:row>
    <x:row r="41" ht="66" customHeight="1">
      <x:c r="A41" s="9" t="str">
        <x:v>Not collected</x:v>
      </x:c>
      <x:c r="B41" s="9" t="n">
        <x:f>'Evaluation Plan'!B41</x:f>
        <x:v>39</x:v>
      </x:c>
      <x:c r="C41" s="10" t="str">
        <x:f>'Evaluation Plan'!C41</x:f>
        <x:v>Pick up the pen furthest from the crushed Coke can and place it in the bowl.</x:v>
      </x:c>
      <x:c r="D41" s="10" t="str">
        <x:f>'Evaluation Plan'!D41</x:f>
        <x:v>P1 crushed Coke can at R2 (5 cm left of center) [REFERENCE]; P2 yellow pen with 6 cm edge gap in front of P1 [CLOSE CANDIDATE]; P3 green pen with 20 cm edge gap behind P1 [FAR CANDIDATE]; P4 green pencil sharpener with 14 cm edge gap to the left of P1 [DISTRACTOR]</x:v>
      </x:c>
      <x:c r="E41" s="9" t="str">
        <x:f>IF(ISBLANK('Evaluation Plan'!E41),"",'Evaluation Plan'!E41)</x:f>
      </x:c>
      <x:c r="F41" s="9" t="str">
        <x:f>'Evaluation Plan'!F41</x:f>
        <x:v>green pen</x:v>
      </x:c>
      <x:c r="G41" s="10"/>
      <x:c r="H41" s="9" t="str">
        <x:f>'Evaluation Plan'!H41</x:f>
        <x:v>Concept/compositional transfer</x:v>
      </x:c>
      <x:c r="I41" s="9" t="str">
        <x:f>'Evaluation Plan'!I41</x:f>
        <x:v>RD-CF07B</x:v>
      </x:c>
      <x:c r="J41" s="9" t="str">
        <x:f>'Evaluation Plan'!J41</x:f>
        <x:v>RD-CF07</x:v>
      </x:c>
      <x:c r="K41" s="9" t="str">
        <x:f>'Evaluation Plan'!K41</x:f>
        <x:v>pen</x:v>
      </x:c>
      <x:c r="L41" s="9" t="str">
        <x:f>'Evaluation Plan'!L41</x:f>
        <x:v>furthest</x:v>
      </x:c>
      <x:c r="M41" s="9" t="n">
        <x:f>'Evaluation Plan'!M41</x:f>
        <x:v>4</x:v>
      </x:c>
      <x:c r="N41" s="9" t="str">
        <x:f>'Evaluation Plan'!N41</x:f>
        <x:v>1 — Canonical transfer — Held-out furthest concept with same-category candidates</x:v>
      </x:c>
      <x:c r="O41" s="9" t="n">
        <x:f>'Evaluation Plan'!O41</x:f>
        <x:v>14</x:v>
      </x:c>
      <x:c r="P41" s="10" t="str">
        <x:f>'Evaluation Plan'!P41</x:f>
        <x:v>From scene A, swap only the P2/P3 candidate identities; keep reference, distractors, camera and distances fixed. Save the new first frame.</x:v>
      </x:c>
      <x:c r="Q41" s="10" t="str">
        <x:f>'Evaluation Plan'!Q41</x:f>
        <x:v>Furthest/farthest language is absent from fine-tuning. The A/B scene pair swaps which physical identity is far, preventing identity preference from solving both.</x:v>
      </x:c>
      <x:c r="R41" s="10" t="str">
        <x:f>IF(ISBLANK('Evaluation Plan'!R41),"",'Evaluation Plan'!R41)</x:f>
      </x:c>
    </x:row>
    <x:row r="42" ht="66" customHeight="1">
      <x:c r="A42" s="8" t="str">
        <x:v>Not collected</x:v>
      </x:c>
      <x:c r="B42" s="8" t="n">
        <x:f>'Evaluation Plan'!B42</x:f>
        <x:v>40</x:v>
      </x:c>
      <x:c r="C42" s="7" t="str">
        <x:f>'Evaluation Plan'!C42</x:f>
        <x:v>Move the green pen into the bowl.</x:v>
      </x:c>
      <x:c r="D42" s="7" t="str">
        <x:f>'Evaluation Plan'!D42</x:f>
        <x:v>P1 crushed Coke can at R2 (5 cm left of center) [REFERENCE]; P2 yellow pen with 6 cm edge gap in front of P1 [CLOSE CANDIDATE]; P3 green pen with 20 cm edge gap behind P1 [FAR CANDIDATE]; P4 green pencil sharpener with 14 cm edge gap to the left of P1 [DISTRACTOR]</x:v>
      </x:c>
      <x:c r="E42" s="8" t="n">
        <x:f>IF(ISBLANK('Evaluation Plan'!E42),"",'Evaluation Plan'!E42)</x:f>
        <x:v>39</x:v>
      </x:c>
      <x:c r="F42" s="8" t="str">
        <x:f>'Evaluation Plan'!F42</x:f>
        <x:v>green pen</x:v>
      </x:c>
      <x:c r="G42" s="7"/>
      <x:c r="H42" s="8" t="str">
        <x:f>'Evaluation Plan'!H42</x:f>
        <x:v>Matched manipulation control</x:v>
      </x:c>
      <x:c r="I42" s="8" t="str">
        <x:f>'Evaluation Plan'!I42</x:f>
        <x:v>RD-CF07B</x:v>
      </x:c>
      <x:c r="J42" s="8" t="str">
        <x:f>'Evaluation Plan'!J42</x:f>
        <x:v>RD-CF07</x:v>
      </x:c>
      <x:c r="K42" s="8" t="str">
        <x:f>'Evaluation Plan'!K42</x:f>
        <x:v>pen</x:v>
      </x:c>
      <x:c r="L42" s="8" t="str">
        <x:f>'Evaluation Plan'!L42</x:f>
        <x:v>direct name</x:v>
      </x:c>
      <x:c r="M42" s="8" t="n">
        <x:f>'Evaluation Plan'!M42</x:f>
        <x:v>4</x:v>
      </x:c>
      <x:c r="N42" s="8" t="str">
        <x:f>'Evaluation Plan'!N42</x:f>
        <x:v>2 — Matched control — Direct-name control on identical target and trajectory</x:v>
      </x:c>
      <x:c r="O42" s="8" t="n">
        <x:f>'Evaluation Plan'!O42</x:f>
        <x:v>14</x:v>
      </x:c>
      <x:c r="P42" s="7" t="str">
        <x:f>'Evaluation Plan'!P42</x:f>
        <x:v>Reset only the far candidate to P3. Keep the full scene exact; replace the relational instruction with the target's direct name.</x:v>
      </x:c>
      <x:c r="Q42" s="7" t="str">
        <x:f>'Evaluation Plan'!Q42</x:f>
        <x:v>This is a true endpoint-matched manipulation control: scene, target identity, start pose and required trajectory match the furthest trial.</x:v>
      </x:c>
      <x:c r="R42" s="7" t="str">
        <x:f>IF(ISBLANK('Evaluation Plan'!R42),"",'Evaluation Plan'!R42)</x:f>
      </x:c>
    </x:row>
    <x:row r="43" ht="66" customHeight="1">
      <x:c r="A43" s="8" t="str">
        <x:v>Not collected</x:v>
      </x:c>
      <x:c r="B43" s="8" t="n">
        <x:f>'Evaluation Plan'!B43</x:f>
        <x:v>41</x:v>
      </x:c>
      <x:c r="C43" s="7" t="str">
        <x:f>'Evaluation Plan'!C43</x:f>
        <x:v>Set the green pen inside the bowl.</x:v>
      </x:c>
      <x:c r="D43" s="7" t="str">
        <x:f>'Evaluation Plan'!D43</x:f>
        <x:v>P1 crushed Coke can at R2 (5 cm left of center) [REFERENCE]; P2 yellow pen with 6 cm edge gap in front of P1 [CLOSE CANDIDATE]; P3 green pen with 20 cm edge gap behind P1 [FAR CANDIDATE]; P4 green pencil sharpener with 14 cm edge gap to the left of P1 [DISTRACTOR]</x:v>
      </x:c>
      <x:c r="E43" s="8" t="n">
        <x:f>IF(ISBLANK('Evaluation Plan'!E43),"",'Evaluation Plan'!E43)</x:f>
        <x:v>40</x:v>
      </x:c>
      <x:c r="F43" s="8" t="str">
        <x:f>'Evaluation Plan'!F43</x:f>
        <x:v>green pen</x:v>
      </x:c>
      <x:c r="G43" s="7"/>
      <x:c r="H43" s="8" t="str">
        <x:f>'Evaluation Plan'!H43</x:f>
        <x:v>Language robustness</x:v>
      </x:c>
      <x:c r="I43" s="8" t="str">
        <x:f>'Evaluation Plan'!I43</x:f>
        <x:v>RD-CF07B</x:v>
      </x:c>
      <x:c r="J43" s="8" t="str">
        <x:f>'Evaluation Plan'!J43</x:f>
        <x:v>RD-CF07</x:v>
      </x:c>
      <x:c r="K43" s="8" t="str">
        <x:f>'Evaluation Plan'!K43</x:f>
        <x:v>pen</x:v>
      </x:c>
      <x:c r="L43" s="8" t="str">
        <x:f>'Evaluation Plan'!L43</x:f>
        <x:v>direct-name paraphrase</x:v>
      </x:c>
      <x:c r="M43" s="8" t="n">
        <x:f>'Evaluation Plan'!M43</x:f>
        <x:v>4</x:v>
      </x:c>
      <x:c r="N43" s="8" t="str">
        <x:f>'Evaluation Plan'!N43</x:f>
        <x:v>3 — Exact-scene control paraphrase — Paraphrase of direct-name matched control</x:v>
      </x:c>
      <x:c r="O43" s="8" t="n">
        <x:f>'Evaluation Plan'!O43</x:f>
        <x:v>14</x:v>
      </x:c>
      <x:c r="P43" s="7" t="str">
        <x:f>'Evaluation Plan'!P43</x:f>
        <x:v>Reset only the far candidate to P3; change only the direct-name prompt wording.</x:v>
      </x:c>
      <x:c r="Q43" s="7" t="str">
        <x:f>'Evaluation Plan'!Q43</x:f>
        <x:v>Exact-scene language comparison for the endpoint-matched skill control.</x:v>
      </x:c>
      <x:c r="R43" s="7" t="str">
        <x:f>IF(ISBLANK('Evaluation Plan'!R43),"",'Evaluation Plan'!R43)</x:f>
      </x:c>
    </x:row>
    <x:row r="44" ht="66" customHeight="1">
      <x:c r="A44" s="9" t="str">
        <x:v>Not collected</x:v>
      </x:c>
      <x:c r="B44" s="9" t="n">
        <x:f>'Evaluation Plan'!B44</x:f>
        <x:v>42</x:v>
      </x:c>
      <x:c r="C44" s="10" t="str">
        <x:f>'Evaluation Plan'!C44</x:f>
        <x:v>Pick up the airplane toy furthest from the yellow pen and place it in the bowl.</x:v>
      </x:c>
      <x:c r="D44" s="10" t="str">
        <x:f>'Evaluation Plan'!D44</x:f>
        <x:v>P1 yellow pen at R3 (5 cm right of center) [REFERENCE]; P2 airplane toy without propellers with 6 cm edge gap behind P1 [CLOSE CANDIDATE]; P3 airplane toy with propellers with 20 cm edge gap in front of P1 [FAR CANDIDATE]; P4 green pencil sharpener with 14 cm edge gap to the right of P1 [DISTRACTOR]</x:v>
      </x:c>
      <x:c r="E44" s="9" t="str">
        <x:f>IF(ISBLANK('Evaluation Plan'!E44),"",'Evaluation Plan'!E44)</x:f>
      </x:c>
      <x:c r="F44" s="9" t="str">
        <x:f>'Evaluation Plan'!F44</x:f>
        <x:v>airplane toy with propellers</x:v>
      </x:c>
      <x:c r="G44" s="10"/>
      <x:c r="H44" s="9" t="str">
        <x:f>'Evaluation Plan'!H44</x:f>
        <x:v>Concept/compositional transfer</x:v>
      </x:c>
      <x:c r="I44" s="9" t="str">
        <x:f>'Evaluation Plan'!I44</x:f>
        <x:v>RD-CF08A</x:v>
      </x:c>
      <x:c r="J44" s="9" t="str">
        <x:f>'Evaluation Plan'!J44</x:f>
        <x:v>RD-CF08</x:v>
      </x:c>
      <x:c r="K44" s="9" t="str">
        <x:f>'Evaluation Plan'!K44</x:f>
        <x:v>airplane toy</x:v>
      </x:c>
      <x:c r="L44" s="9" t="str">
        <x:f>'Evaluation Plan'!L44</x:f>
        <x:v>furthest</x:v>
      </x:c>
      <x:c r="M44" s="9" t="n">
        <x:f>'Evaluation Plan'!M44</x:f>
        <x:v>4</x:v>
      </x:c>
      <x:c r="N44" s="9" t="str">
        <x:f>'Evaluation Plan'!N44</x:f>
        <x:v>1 — Canonical transfer — Held-out furthest concept with same-category candidates</x:v>
      </x:c>
      <x:c r="O44" s="9" t="n">
        <x:f>'Evaluation Plan'!O44</x:f>
        <x:v>15</x:v>
      </x:c>
      <x:c r="P44" s="10" t="str">
        <x:f>'Evaluation Plan'!P44</x:f>
        <x:v>Build counterfactual scene A and save a first-frame filename.</x:v>
      </x:c>
      <x:c r="Q44" s="10" t="str">
        <x:f>'Evaluation Plan'!Q44</x:f>
        <x:v>Furthest/farthest language is absent from fine-tuning. The A/B scene pair swaps which physical identity is far, preventing identity preference from solving both.</x:v>
      </x:c>
      <x:c r="R44" s="10" t="str">
        <x:f>IF(ISBLANK('Evaluation Plan'!R44),"",'Evaluation Plan'!R44)</x:f>
      </x:c>
    </x:row>
    <x:row r="45" ht="66" customHeight="1">
      <x:c r="A45" s="8" t="str">
        <x:v>Not collected</x:v>
      </x:c>
      <x:c r="B45" s="8" t="n">
        <x:f>'Evaluation Plan'!B45</x:f>
        <x:v>43</x:v>
      </x:c>
      <x:c r="C45" s="7" t="str">
        <x:f>'Evaluation Plan'!C45</x:f>
        <x:v>Pick up the airplane toy with propellers and place it in the bowl.</x:v>
      </x:c>
      <x:c r="D45" s="7" t="str">
        <x:f>'Evaluation Plan'!D45</x:f>
        <x:v>P1 yellow pen at R3 (5 cm right of center) [REFERENCE]; P2 airplane toy without propellers with 6 cm edge gap behind P1 [CLOSE CANDIDATE]; P3 airplane toy with propellers with 20 cm edge gap in front of P1 [FAR CANDIDATE]; P4 green pencil sharpener with 14 cm edge gap to the right of P1 [DISTRACTOR]</x:v>
      </x:c>
      <x:c r="E45" s="8" t="n">
        <x:f>IF(ISBLANK('Evaluation Plan'!E45),"",'Evaluation Plan'!E45)</x:f>
        <x:v>42</x:v>
      </x:c>
      <x:c r="F45" s="8" t="str">
        <x:f>'Evaluation Plan'!F45</x:f>
        <x:v>airplane toy with propellers</x:v>
      </x:c>
      <x:c r="G45" s="7"/>
      <x:c r="H45" s="8" t="str">
        <x:f>'Evaluation Plan'!H45</x:f>
        <x:v>Matched manipulation control</x:v>
      </x:c>
      <x:c r="I45" s="8" t="str">
        <x:f>'Evaluation Plan'!I45</x:f>
        <x:v>RD-CF08A</x:v>
      </x:c>
      <x:c r="J45" s="8" t="str">
        <x:f>'Evaluation Plan'!J45</x:f>
        <x:v>RD-CF08</x:v>
      </x:c>
      <x:c r="K45" s="8" t="str">
        <x:f>'Evaluation Plan'!K45</x:f>
        <x:v>airplane toy</x:v>
      </x:c>
      <x:c r="L45" s="8" t="str">
        <x:f>'Evaluation Plan'!L45</x:f>
        <x:v>direct name</x:v>
      </x:c>
      <x:c r="M45" s="8" t="n">
        <x:f>'Evaluation Plan'!M45</x:f>
        <x:v>4</x:v>
      </x:c>
      <x:c r="N45" s="8" t="str">
        <x:f>'Evaluation Plan'!N45</x:f>
        <x:v>2 — Matched control — Direct-name control on identical target and trajectory</x:v>
      </x:c>
      <x:c r="O45" s="8" t="n">
        <x:f>'Evaluation Plan'!O45</x:f>
        <x:v>15</x:v>
      </x:c>
      <x:c r="P45" s="7" t="str">
        <x:f>'Evaluation Plan'!P45</x:f>
        <x:v>Reset only the far candidate to P3. Keep the full scene exact; replace the relational instruction with the target's direct name.</x:v>
      </x:c>
      <x:c r="Q45" s="7" t="str">
        <x:f>'Evaluation Plan'!Q45</x:f>
        <x:v>This is a true endpoint-matched manipulation control: scene, target identity, start pose and required trajectory match the furthest trial.</x:v>
      </x:c>
      <x:c r="R45" s="7" t="str">
        <x:f>IF(ISBLANK('Evaluation Plan'!R45),"",'Evaluation Plan'!R45)</x:f>
      </x:c>
    </x:row>
    <x:row r="46" ht="66" customHeight="1">
      <x:c r="A46" s="8" t="str">
        <x:v>Not collected</x:v>
      </x:c>
      <x:c r="B46" s="8" t="n">
        <x:f>'Evaluation Plan'!B46</x:f>
        <x:v>44</x:v>
      </x:c>
      <x:c r="C46" s="7" t="str">
        <x:f>'Evaluation Plan'!C46</x:f>
        <x:v>Lift the airplane toy with propellers and place it in the bowl.</x:v>
      </x:c>
      <x:c r="D46" s="7" t="str">
        <x:f>'Evaluation Plan'!D46</x:f>
        <x:v>P1 yellow pen at R3 (5 cm right of center) [REFERENCE]; P2 airplane toy without propellers with 6 cm edge gap behind P1 [CLOSE CANDIDATE]; P3 airplane toy with propellers with 20 cm edge gap in front of P1 [FAR CANDIDATE]; P4 green pencil sharpener with 14 cm edge gap to the right of P1 [DISTRACTOR]</x:v>
      </x:c>
      <x:c r="E46" s="8" t="n">
        <x:f>IF(ISBLANK('Evaluation Plan'!E46),"",'Evaluation Plan'!E46)</x:f>
        <x:v>43</x:v>
      </x:c>
      <x:c r="F46" s="8" t="str">
        <x:f>'Evaluation Plan'!F46</x:f>
        <x:v>airplane toy with propellers</x:v>
      </x:c>
      <x:c r="G46" s="7"/>
      <x:c r="H46" s="8" t="str">
        <x:f>'Evaluation Plan'!H46</x:f>
        <x:v>Language robustness</x:v>
      </x:c>
      <x:c r="I46" s="8" t="str">
        <x:f>'Evaluation Plan'!I46</x:f>
        <x:v>RD-CF08A</x:v>
      </x:c>
      <x:c r="J46" s="8" t="str">
        <x:f>'Evaluation Plan'!J46</x:f>
        <x:v>RD-CF08</x:v>
      </x:c>
      <x:c r="K46" s="8" t="str">
        <x:f>'Evaluation Plan'!K46</x:f>
        <x:v>airplane toy</x:v>
      </x:c>
      <x:c r="L46" s="8" t="str">
        <x:f>'Evaluation Plan'!L46</x:f>
        <x:v>direct-name paraphrase</x:v>
      </x:c>
      <x:c r="M46" s="8" t="n">
        <x:f>'Evaluation Plan'!M46</x:f>
        <x:v>4</x:v>
      </x:c>
      <x:c r="N46" s="8" t="str">
        <x:f>'Evaluation Plan'!N46</x:f>
        <x:v>3 — Exact-scene control paraphrase — Paraphrase of direct-name matched control</x:v>
      </x:c>
      <x:c r="O46" s="8" t="n">
        <x:f>'Evaluation Plan'!O46</x:f>
        <x:v>15</x:v>
      </x:c>
      <x:c r="P46" s="7" t="str">
        <x:f>'Evaluation Plan'!P46</x:f>
        <x:v>Reset only the far candidate to P3; change only the direct-name prompt wording.</x:v>
      </x:c>
      <x:c r="Q46" s="7" t="str">
        <x:f>'Evaluation Plan'!Q46</x:f>
        <x:v>Exact-scene language comparison for the endpoint-matched skill control.</x:v>
      </x:c>
      <x:c r="R46" s="7" t="str">
        <x:f>IF(ISBLANK('Evaluation Plan'!R46),"",'Evaluation Plan'!R46)</x:f>
      </x:c>
    </x:row>
    <x:row r="47" ht="66" customHeight="1">
      <x:c r="A47" s="9" t="str">
        <x:v>Not collected</x:v>
      </x:c>
      <x:c r="B47" s="9" t="n">
        <x:f>'Evaluation Plan'!B47</x:f>
        <x:v>45</x:v>
      </x:c>
      <x:c r="C47" s="10" t="str">
        <x:f>'Evaluation Plan'!C47</x:f>
        <x:v>Pick up the airplane toy furthest from the yellow pen and place it in the bowl.</x:v>
      </x:c>
      <x:c r="D47" s="10" t="str">
        <x:f>'Evaluation Plan'!D47</x:f>
        <x:v>P1 yellow pen at R3 (5 cm right of center) [REFERENCE]; P2 airplane toy with propellers with 6 cm edge gap behind P1 [CLOSE CANDIDATE]; P3 airplane toy without propellers with 20 cm edge gap in front of P1 [FAR CANDIDATE]; P4 green pencil sharpener with 14 cm edge gap to the right of P1 [DISTRACTOR]</x:v>
      </x:c>
      <x:c r="E47" s="9" t="str">
        <x:f>IF(ISBLANK('Evaluation Plan'!E47),"",'Evaluation Plan'!E47)</x:f>
      </x:c>
      <x:c r="F47" s="9" t="str">
        <x:f>'Evaluation Plan'!F47</x:f>
        <x:v>airplane toy without propellers</x:v>
      </x:c>
      <x:c r="G47" s="10"/>
      <x:c r="H47" s="9" t="str">
        <x:f>'Evaluation Plan'!H47</x:f>
        <x:v>Concept/compositional transfer</x:v>
      </x:c>
      <x:c r="I47" s="9" t="str">
        <x:f>'Evaluation Plan'!I47</x:f>
        <x:v>RD-CF08B</x:v>
      </x:c>
      <x:c r="J47" s="9" t="str">
        <x:f>'Evaluation Plan'!J47</x:f>
        <x:v>RD-CF08</x:v>
      </x:c>
      <x:c r="K47" s="9" t="str">
        <x:f>'Evaluation Plan'!K47</x:f>
        <x:v>airplane toy</x:v>
      </x:c>
      <x:c r="L47" s="9" t="str">
        <x:f>'Evaluation Plan'!L47</x:f>
        <x:v>furthest</x:v>
      </x:c>
      <x:c r="M47" s="9" t="n">
        <x:f>'Evaluation Plan'!M47</x:f>
        <x:v>4</x:v>
      </x:c>
      <x:c r="N47" s="9" t="str">
        <x:f>'Evaluation Plan'!N47</x:f>
        <x:v>1 — Canonical transfer — Held-out furthest concept with same-category candidates</x:v>
      </x:c>
      <x:c r="O47" s="9" t="n">
        <x:f>'Evaluation Plan'!O47</x:f>
        <x:v>16</x:v>
      </x:c>
      <x:c r="P47" s="10" t="str">
        <x:f>'Evaluation Plan'!P47</x:f>
        <x:v>From scene A, swap only the P2/P3 candidate identities; keep reference, distractors, camera and distances fixed. Save the new first frame.</x:v>
      </x:c>
      <x:c r="Q47" s="10" t="str">
        <x:f>'Evaluation Plan'!Q47</x:f>
        <x:v>Furthest/farthest language is absent from fine-tuning. The A/B scene pair swaps which physical identity is far, preventing identity preference from solving both.</x:v>
      </x:c>
      <x:c r="R47" s="10" t="str">
        <x:f>IF(ISBLANK('Evaluation Plan'!R47),"",'Evaluation Plan'!R47)</x:f>
      </x:c>
    </x:row>
    <x:row r="48" ht="66" customHeight="1">
      <x:c r="A48" s="8" t="str">
        <x:v>Not collected</x:v>
      </x:c>
      <x:c r="B48" s="8" t="n">
        <x:f>'Evaluation Plan'!B48</x:f>
        <x:v>46</x:v>
      </x:c>
      <x:c r="C48" s="7" t="str">
        <x:f>'Evaluation Plan'!C48</x:f>
        <x:v>Put the airplane toy without propellers in the bowl.</x:v>
      </x:c>
      <x:c r="D48" s="7" t="str">
        <x:f>'Evaluation Plan'!D48</x:f>
        <x:v>P1 yellow pen at R3 (5 cm right of center) [REFERENCE]; P2 airplane toy with propellers with 6 cm edge gap behind P1 [CLOSE CANDIDATE]; P3 airplane toy without propellers with 20 cm edge gap in front of P1 [FAR CANDIDATE]; P4 green pencil sharpener with 14 cm edge gap to the right of P1 [DISTRACTOR]</x:v>
      </x:c>
      <x:c r="E48" s="8" t="n">
        <x:f>IF(ISBLANK('Evaluation Plan'!E48),"",'Evaluation Plan'!E48)</x:f>
        <x:v>45</x:v>
      </x:c>
      <x:c r="F48" s="8" t="str">
        <x:f>'Evaluation Plan'!F48</x:f>
        <x:v>airplane toy without propellers</x:v>
      </x:c>
      <x:c r="G48" s="7"/>
      <x:c r="H48" s="8" t="str">
        <x:f>'Evaluation Plan'!H48</x:f>
        <x:v>Matched manipulation control</x:v>
      </x:c>
      <x:c r="I48" s="8" t="str">
        <x:f>'Evaluation Plan'!I48</x:f>
        <x:v>RD-CF08B</x:v>
      </x:c>
      <x:c r="J48" s="8" t="str">
        <x:f>'Evaluation Plan'!J48</x:f>
        <x:v>RD-CF08</x:v>
      </x:c>
      <x:c r="K48" s="8" t="str">
        <x:f>'Evaluation Plan'!K48</x:f>
        <x:v>airplane toy</x:v>
      </x:c>
      <x:c r="L48" s="8" t="str">
        <x:f>'Evaluation Plan'!L48</x:f>
        <x:v>direct name</x:v>
      </x:c>
      <x:c r="M48" s="8" t="n">
        <x:f>'Evaluation Plan'!M48</x:f>
        <x:v>4</x:v>
      </x:c>
      <x:c r="N48" s="8" t="str">
        <x:f>'Evaluation Plan'!N48</x:f>
        <x:v>2 — Matched control — Direct-name control on identical target and trajectory</x:v>
      </x:c>
      <x:c r="O48" s="8" t="n">
        <x:f>'Evaluation Plan'!O48</x:f>
        <x:v>16</x:v>
      </x:c>
      <x:c r="P48" s="7" t="str">
        <x:f>'Evaluation Plan'!P48</x:f>
        <x:v>Reset only the far candidate to P3. Keep the full scene exact; replace the relational instruction with the target's direct name.</x:v>
      </x:c>
      <x:c r="Q48" s="7" t="str">
        <x:f>'Evaluation Plan'!Q48</x:f>
        <x:v>This is a true endpoint-matched manipulation control: scene, target identity, start pose and required trajectory match the furthest trial.</x:v>
      </x:c>
      <x:c r="R48" s="7" t="str">
        <x:f>IF(ISBLANK('Evaluation Plan'!R48),"",'Evaluation Plan'!R48)</x:f>
      </x:c>
    </x:row>
    <x:row r="49" ht="66" customHeight="1">
      <x:c r="A49" s="8" t="str">
        <x:v>Not collected</x:v>
      </x:c>
      <x:c r="B49" s="8" t="n">
        <x:f>'Evaluation Plan'!B49</x:f>
        <x:v>47</x:v>
      </x:c>
      <x:c r="C49" s="7" t="str">
        <x:f>'Evaluation Plan'!C49</x:f>
        <x:v>Take the airplane toy without propellers and set it in the bowl.</x:v>
      </x:c>
      <x:c r="D49" s="7" t="str">
        <x:f>'Evaluation Plan'!D49</x:f>
        <x:v>P1 yellow pen at R3 (5 cm right of center) [REFERENCE]; P2 airplane toy with propellers with 6 cm edge gap behind P1 [CLOSE CANDIDATE]; P3 airplane toy without propellers with 20 cm edge gap in front of P1 [FAR CANDIDATE]; P4 green pencil sharpener with 14 cm edge gap to the right of P1 [DISTRACTOR]</x:v>
      </x:c>
      <x:c r="E49" s="8" t="n">
        <x:f>IF(ISBLANK('Evaluation Plan'!E49),"",'Evaluation Plan'!E49)</x:f>
        <x:v>46</x:v>
      </x:c>
      <x:c r="F49" s="8" t="str">
        <x:f>'Evaluation Plan'!F49</x:f>
        <x:v>airplane toy without propellers</x:v>
      </x:c>
      <x:c r="G49" s="7"/>
      <x:c r="H49" s="8" t="str">
        <x:f>'Evaluation Plan'!H49</x:f>
        <x:v>Language robustness</x:v>
      </x:c>
      <x:c r="I49" s="8" t="str">
        <x:f>'Evaluation Plan'!I49</x:f>
        <x:v>RD-CF08B</x:v>
      </x:c>
      <x:c r="J49" s="8" t="str">
        <x:f>'Evaluation Plan'!J49</x:f>
        <x:v>RD-CF08</x:v>
      </x:c>
      <x:c r="K49" s="8" t="str">
        <x:f>'Evaluation Plan'!K49</x:f>
        <x:v>airplane toy</x:v>
      </x:c>
      <x:c r="L49" s="8" t="str">
        <x:f>'Evaluation Plan'!L49</x:f>
        <x:v>direct-name paraphrase</x:v>
      </x:c>
      <x:c r="M49" s="8" t="n">
        <x:f>'Evaluation Plan'!M49</x:f>
        <x:v>4</x:v>
      </x:c>
      <x:c r="N49" s="8" t="str">
        <x:f>'Evaluation Plan'!N49</x:f>
        <x:v>3 — Exact-scene control paraphrase — Paraphrase of direct-name matched control</x:v>
      </x:c>
      <x:c r="O49" s="8" t="n">
        <x:f>'Evaluation Plan'!O49</x:f>
        <x:v>16</x:v>
      </x:c>
      <x:c r="P49" s="7" t="str">
        <x:f>'Evaluation Plan'!P49</x:f>
        <x:v>Reset only the far candidate to P3; change only the direct-name prompt wording.</x:v>
      </x:c>
      <x:c r="Q49" s="7" t="str">
        <x:f>'Evaluation Plan'!Q49</x:f>
        <x:v>Exact-scene language comparison for the endpoint-matched skill control.</x:v>
      </x:c>
      <x:c r="R49" s="7" t="str">
        <x:f>IF(ISBLANK('Evaluation Plan'!R49),"",'Evaluation Plan'!R49)</x:f>
      </x:c>
    </x:row>
    <x:row r="50" ht="66" customHeight="1">
      <x:c r="A50" s="9" t="str">
        <x:v>Not collected</x:v>
      </x:c>
      <x:c r="B50" s="9" t="n">
        <x:f>'Evaluation Plan'!B50</x:f>
        <x:v>48</x:v>
      </x:c>
      <x:c r="C50" s="10" t="str">
        <x:f>'Evaluation Plan'!C50</x:f>
        <x:v>Pick up the crushed soda can furthest from the green pencil sharpener and place it in the bowl.</x:v>
      </x:c>
      <x:c r="D50" s="10" t="str">
        <x:f>'Evaluation Plan'!D50</x:f>
        <x:v>P1 green pencil sharpener at R4 (5 cm toward the robot from center) [REFERENCE]; P2 crushed Coke can with 6 cm edge gap to the left of P1 [CLOSE CANDIDATE]; P3 crushed Pepsi can with 20 cm edge gap to the right of P1 [FAR CANDIDATE]; P4 airplane toy with propellers with 14 cm edge gap in front of P1 [DISTRACTOR]</x:v>
      </x:c>
      <x:c r="E50" s="9" t="str">
        <x:f>IF(ISBLANK('Evaluation Plan'!E50),"",'Evaluation Plan'!E50)</x:f>
      </x:c>
      <x:c r="F50" s="9" t="str">
        <x:f>'Evaluation Plan'!F50</x:f>
        <x:v>crushed Pepsi can</x:v>
      </x:c>
      <x:c r="G50" s="10"/>
      <x:c r="H50" s="9" t="str">
        <x:f>'Evaluation Plan'!H50</x:f>
        <x:v>Concept/compositional transfer</x:v>
      </x:c>
      <x:c r="I50" s="9" t="str">
        <x:f>'Evaluation Plan'!I50</x:f>
        <x:v>RD-CF09A</x:v>
      </x:c>
      <x:c r="J50" s="9" t="str">
        <x:f>'Evaluation Plan'!J50</x:f>
        <x:v>RD-CF09</x:v>
      </x:c>
      <x:c r="K50" s="9" t="str">
        <x:f>'Evaluation Plan'!K50</x:f>
        <x:v>crushed soda can</x:v>
      </x:c>
      <x:c r="L50" s="9" t="str">
        <x:f>'Evaluation Plan'!L50</x:f>
        <x:v>furthest</x:v>
      </x:c>
      <x:c r="M50" s="9" t="n">
        <x:f>'Evaluation Plan'!M50</x:f>
        <x:v>4</x:v>
      </x:c>
      <x:c r="N50" s="9" t="str">
        <x:f>'Evaluation Plan'!N50</x:f>
        <x:v>1 — Canonical transfer — Held-out furthest concept with same-category candidates</x:v>
      </x:c>
      <x:c r="O50" s="9" t="n">
        <x:f>'Evaluation Plan'!O50</x:f>
        <x:v>17</x:v>
      </x:c>
      <x:c r="P50" s="10" t="str">
        <x:f>'Evaluation Plan'!P50</x:f>
        <x:v>Build counterfactual scene A and save a first-frame filename.</x:v>
      </x:c>
      <x:c r="Q50" s="10" t="str">
        <x:f>'Evaluation Plan'!Q50</x:f>
        <x:v>Furthest/farthest language is absent from fine-tuning. The A/B scene pair swaps which physical identity is far, preventing identity preference from solving both.</x:v>
      </x:c>
      <x:c r="R50" s="10" t="str">
        <x:f>IF(ISBLANK('Evaluation Plan'!R50),"",'Evaluation Plan'!R50)</x:f>
      </x:c>
    </x:row>
    <x:row r="51" ht="66" customHeight="1">
      <x:c r="A51" s="8" t="str">
        <x:v>Not collected</x:v>
      </x:c>
      <x:c r="B51" s="8" t="n">
        <x:f>'Evaluation Plan'!B51</x:f>
        <x:v>49</x:v>
      </x:c>
      <x:c r="C51" s="7" t="str">
        <x:f>'Evaluation Plan'!C51</x:f>
        <x:v>Move the crushed Pepsi can into the bowl.</x:v>
      </x:c>
      <x:c r="D51" s="7" t="str">
        <x:f>'Evaluation Plan'!D51</x:f>
        <x:v>P1 green pencil sharpener at R4 (5 cm toward the robot from center) [REFERENCE]; P2 crushed Coke can with 6 cm edge gap to the left of P1 [CLOSE CANDIDATE]; P3 crushed Pepsi can with 20 cm edge gap to the right of P1 [FAR CANDIDATE]; P4 airplane toy with propellers with 14 cm edge gap in front of P1 [DISTRACTOR]</x:v>
      </x:c>
      <x:c r="E51" s="8" t="n">
        <x:f>IF(ISBLANK('Evaluation Plan'!E51),"",'Evaluation Plan'!E51)</x:f>
        <x:v>48</x:v>
      </x:c>
      <x:c r="F51" s="8" t="str">
        <x:f>'Evaluation Plan'!F51</x:f>
        <x:v>crushed Pepsi can</x:v>
      </x:c>
      <x:c r="G51" s="7"/>
      <x:c r="H51" s="8" t="str">
        <x:f>'Evaluation Plan'!H51</x:f>
        <x:v>Matched manipulation control</x:v>
      </x:c>
      <x:c r="I51" s="8" t="str">
        <x:f>'Evaluation Plan'!I51</x:f>
        <x:v>RD-CF09A</x:v>
      </x:c>
      <x:c r="J51" s="8" t="str">
        <x:f>'Evaluation Plan'!J51</x:f>
        <x:v>RD-CF09</x:v>
      </x:c>
      <x:c r="K51" s="8" t="str">
        <x:f>'Evaluation Plan'!K51</x:f>
        <x:v>crushed soda can</x:v>
      </x:c>
      <x:c r="L51" s="8" t="str">
        <x:f>'Evaluation Plan'!L51</x:f>
        <x:v>direct name</x:v>
      </x:c>
      <x:c r="M51" s="8" t="n">
        <x:f>'Evaluation Plan'!M51</x:f>
        <x:v>4</x:v>
      </x:c>
      <x:c r="N51" s="8" t="str">
        <x:f>'Evaluation Plan'!N51</x:f>
        <x:v>2 — Matched control — Direct-name control on identical target and trajectory</x:v>
      </x:c>
      <x:c r="O51" s="8" t="n">
        <x:f>'Evaluation Plan'!O51</x:f>
        <x:v>17</x:v>
      </x:c>
      <x:c r="P51" s="7" t="str">
        <x:f>'Evaluation Plan'!P51</x:f>
        <x:v>Reset only the far candidate to P3. Keep the full scene exact; replace the relational instruction with the target's direct name.</x:v>
      </x:c>
      <x:c r="Q51" s="7" t="str">
        <x:f>'Evaluation Plan'!Q51</x:f>
        <x:v>This is a true endpoint-matched manipulation control: scene, target identity, start pose and required trajectory match the furthest trial.</x:v>
      </x:c>
      <x:c r="R51" s="7" t="str">
        <x:f>IF(ISBLANK('Evaluation Plan'!R51),"",'Evaluation Plan'!R51)</x:f>
      </x:c>
    </x:row>
    <x:row r="52" ht="66" customHeight="1">
      <x:c r="A52" s="8" t="str">
        <x:v>Not collected</x:v>
      </x:c>
      <x:c r="B52" s="8" t="n">
        <x:f>'Evaluation Plan'!B52</x:f>
        <x:v>50</x:v>
      </x:c>
      <x:c r="C52" s="7" t="str">
        <x:f>'Evaluation Plan'!C52</x:f>
        <x:v>Transfer the crushed Pepsi can into the bowl.</x:v>
      </x:c>
      <x:c r="D52" s="7" t="str">
        <x:f>'Evaluation Plan'!D52</x:f>
        <x:v>P1 green pencil sharpener at R4 (5 cm toward the robot from center) [REFERENCE]; P2 crushed Coke can with 6 cm edge gap to the left of P1 [CLOSE CANDIDATE]; P3 crushed Pepsi can with 20 cm edge gap to the right of P1 [FAR CANDIDATE]; P4 airplane toy with propellers with 14 cm edge gap in front of P1 [DISTRACTOR]</x:v>
      </x:c>
      <x:c r="E52" s="8" t="n">
        <x:f>IF(ISBLANK('Evaluation Plan'!E52),"",'Evaluation Plan'!E52)</x:f>
        <x:v>49</x:v>
      </x:c>
      <x:c r="F52" s="8" t="str">
        <x:f>'Evaluation Plan'!F52</x:f>
        <x:v>crushed Pepsi can</x:v>
      </x:c>
      <x:c r="G52" s="7"/>
      <x:c r="H52" s="8" t="str">
        <x:f>'Evaluation Plan'!H52</x:f>
        <x:v>Language robustness</x:v>
      </x:c>
      <x:c r="I52" s="8" t="str">
        <x:f>'Evaluation Plan'!I52</x:f>
        <x:v>RD-CF09A</x:v>
      </x:c>
      <x:c r="J52" s="8" t="str">
        <x:f>'Evaluation Plan'!J52</x:f>
        <x:v>RD-CF09</x:v>
      </x:c>
      <x:c r="K52" s="8" t="str">
        <x:f>'Evaluation Plan'!K52</x:f>
        <x:v>crushed soda can</x:v>
      </x:c>
      <x:c r="L52" s="8" t="str">
        <x:f>'Evaluation Plan'!L52</x:f>
        <x:v>direct-name paraphrase</x:v>
      </x:c>
      <x:c r="M52" s="8" t="n">
        <x:f>'Evaluation Plan'!M52</x:f>
        <x:v>4</x:v>
      </x:c>
      <x:c r="N52" s="8" t="str">
        <x:f>'Evaluation Plan'!N52</x:f>
        <x:v>3 — Exact-scene control paraphrase — Paraphrase of direct-name matched control</x:v>
      </x:c>
      <x:c r="O52" s="8" t="n">
        <x:f>'Evaluation Plan'!O52</x:f>
        <x:v>17</x:v>
      </x:c>
      <x:c r="P52" s="7" t="str">
        <x:f>'Evaluation Plan'!P52</x:f>
        <x:v>Reset only the far candidate to P3; change only the direct-name prompt wording.</x:v>
      </x:c>
      <x:c r="Q52" s="7" t="str">
        <x:f>'Evaluation Plan'!Q52</x:f>
        <x:v>Exact-scene language comparison for the endpoint-matched skill control.</x:v>
      </x:c>
      <x:c r="R52" s="7" t="str">
        <x:f>IF(ISBLANK('Evaluation Plan'!R52),"",'Evaluation Plan'!R52)</x:f>
      </x:c>
    </x:row>
    <x:row r="53" ht="66" customHeight="1">
      <x:c r="A53" s="9" t="str">
        <x:v>Not collected</x:v>
      </x:c>
      <x:c r="B53" s="9" t="n">
        <x:f>'Evaluation Plan'!B53</x:f>
        <x:v>51</x:v>
      </x:c>
      <x:c r="C53" s="10" t="str">
        <x:f>'Evaluation Plan'!C53</x:f>
        <x:v>Pick up the crushed soda can furthest from the green pencil sharpener and place it in the bowl.</x:v>
      </x:c>
      <x:c r="D53" s="10" t="str">
        <x:f>'Evaluation Plan'!D53</x:f>
        <x:v>P1 green pencil sharpener at R4 (5 cm toward the robot from center) [REFERENCE]; P2 crushed Pepsi can with 6 cm edge gap to the left of P1 [CLOSE CANDIDATE]; P3 crushed Coke can with 20 cm edge gap to the right of P1 [FAR CANDIDATE]; P4 airplane toy with propellers with 14 cm edge gap in front of P1 [DISTRACTOR]</x:v>
      </x:c>
      <x:c r="E53" s="9" t="str">
        <x:f>IF(ISBLANK('Evaluation Plan'!E53),"",'Evaluation Plan'!E53)</x:f>
      </x:c>
      <x:c r="F53" s="9" t="str">
        <x:f>'Evaluation Plan'!F53</x:f>
        <x:v>crushed Coke can</x:v>
      </x:c>
      <x:c r="G53" s="10"/>
      <x:c r="H53" s="9" t="str">
        <x:f>'Evaluation Plan'!H53</x:f>
        <x:v>Concept/compositional transfer</x:v>
      </x:c>
      <x:c r="I53" s="9" t="str">
        <x:f>'Evaluation Plan'!I53</x:f>
        <x:v>RD-CF09B</x:v>
      </x:c>
      <x:c r="J53" s="9" t="str">
        <x:f>'Evaluation Plan'!J53</x:f>
        <x:v>RD-CF09</x:v>
      </x:c>
      <x:c r="K53" s="9" t="str">
        <x:f>'Evaluation Plan'!K53</x:f>
        <x:v>crushed soda can</x:v>
      </x:c>
      <x:c r="L53" s="9" t="str">
        <x:f>'Evaluation Plan'!L53</x:f>
        <x:v>furthest</x:v>
      </x:c>
      <x:c r="M53" s="9" t="n">
        <x:f>'Evaluation Plan'!M53</x:f>
        <x:v>4</x:v>
      </x:c>
      <x:c r="N53" s="9" t="str">
        <x:f>'Evaluation Plan'!N53</x:f>
        <x:v>1 — Canonical transfer — Held-out furthest concept with same-category candidates</x:v>
      </x:c>
      <x:c r="O53" s="9" t="n">
        <x:f>'Evaluation Plan'!O53</x:f>
        <x:v>18</x:v>
      </x:c>
      <x:c r="P53" s="10" t="str">
        <x:f>'Evaluation Plan'!P53</x:f>
        <x:v>From scene A, swap only the P2/P3 candidate identities; keep reference, distractors, camera and distances fixed. Save the new first frame.</x:v>
      </x:c>
      <x:c r="Q53" s="10" t="str">
        <x:f>'Evaluation Plan'!Q53</x:f>
        <x:v>Furthest/farthest language is absent from fine-tuning. The A/B scene pair swaps which physical identity is far, preventing identity preference from solving both.</x:v>
      </x:c>
      <x:c r="R53" s="10" t="str">
        <x:f>IF(ISBLANK('Evaluation Plan'!R53),"",'Evaluation Plan'!R53)</x:f>
      </x:c>
    </x:row>
    <x:row r="54" ht="66" customHeight="1">
      <x:c r="A54" s="8" t="str">
        <x:v>Not collected</x:v>
      </x:c>
      <x:c r="B54" s="8" t="n">
        <x:f>'Evaluation Plan'!B54</x:f>
        <x:v>52</x:v>
      </x:c>
      <x:c r="C54" s="7" t="str">
        <x:f>'Evaluation Plan'!C54</x:f>
        <x:v>Pick up the crushed Coke can and place it in the bowl.</x:v>
      </x:c>
      <x:c r="D54" s="7" t="str">
        <x:f>'Evaluation Plan'!D54</x:f>
        <x:v>P1 green pencil sharpener at R4 (5 cm toward the robot from center) [REFERENCE]; P2 crushed Pepsi can with 6 cm edge gap to the left of P1 [CLOSE CANDIDATE]; P3 crushed Coke can with 20 cm edge gap to the right of P1 [FAR CANDIDATE]; P4 airplane toy with propellers with 14 cm edge gap in front of P1 [DISTRACTOR]</x:v>
      </x:c>
      <x:c r="E54" s="8" t="n">
        <x:f>IF(ISBLANK('Evaluation Plan'!E54),"",'Evaluation Plan'!E54)</x:f>
        <x:v>51</x:v>
      </x:c>
      <x:c r="F54" s="8" t="str">
        <x:f>'Evaluation Plan'!F54</x:f>
        <x:v>crushed Coke can</x:v>
      </x:c>
      <x:c r="G54" s="7"/>
      <x:c r="H54" s="8" t="str">
        <x:f>'Evaluation Plan'!H54</x:f>
        <x:v>Matched manipulation control</x:v>
      </x:c>
      <x:c r="I54" s="8" t="str">
        <x:f>'Evaluation Plan'!I54</x:f>
        <x:v>RD-CF09B</x:v>
      </x:c>
      <x:c r="J54" s="8" t="str">
        <x:f>'Evaluation Plan'!J54</x:f>
        <x:v>RD-CF09</x:v>
      </x:c>
      <x:c r="K54" s="8" t="str">
        <x:f>'Evaluation Plan'!K54</x:f>
        <x:v>crushed soda can</x:v>
      </x:c>
      <x:c r="L54" s="8" t="str">
        <x:f>'Evaluation Plan'!L54</x:f>
        <x:v>direct name</x:v>
      </x:c>
      <x:c r="M54" s="8" t="n">
        <x:f>'Evaluation Plan'!M54</x:f>
        <x:v>4</x:v>
      </x:c>
      <x:c r="N54" s="8" t="str">
        <x:f>'Evaluation Plan'!N54</x:f>
        <x:v>2 — Matched control — Direct-name control on identical target and trajectory</x:v>
      </x:c>
      <x:c r="O54" s="8" t="n">
        <x:f>'Evaluation Plan'!O54</x:f>
        <x:v>18</x:v>
      </x:c>
      <x:c r="P54" s="7" t="str">
        <x:f>'Evaluation Plan'!P54</x:f>
        <x:v>Reset only the far candidate to P3. Keep the full scene exact; replace the relational instruction with the target's direct name.</x:v>
      </x:c>
      <x:c r="Q54" s="7" t="str">
        <x:f>'Evaluation Plan'!Q54</x:f>
        <x:v>This is a true endpoint-matched manipulation control: scene, target identity, start pose and required trajectory match the furthest trial.</x:v>
      </x:c>
      <x:c r="R54" s="7" t="str">
        <x:f>IF(ISBLANK('Evaluation Plan'!R54),"",'Evaluation Plan'!R54)</x:f>
      </x:c>
    </x:row>
    <x:row r="55" ht="66" customHeight="1">
      <x:c r="A55" s="8" t="str">
        <x:v>Not collected</x:v>
      </x:c>
      <x:c r="B55" s="8" t="n">
        <x:f>'Evaluation Plan'!B55</x:f>
        <x:v>53</x:v>
      </x:c>
      <x:c r="C55" s="7" t="str">
        <x:f>'Evaluation Plan'!C55</x:f>
        <x:v>Move the crushed Coke can over to the bowl.</x:v>
      </x:c>
      <x:c r="D55" s="7" t="str">
        <x:f>'Evaluation Plan'!D55</x:f>
        <x:v>P1 green pencil sharpener at R4 (5 cm toward the robot from center) [REFERENCE]; P2 crushed Pepsi can with 6 cm edge gap to the left of P1 [CLOSE CANDIDATE]; P3 crushed Coke can with 20 cm edge gap to the right of P1 [FAR CANDIDATE]; P4 airplane toy with propellers with 14 cm edge gap in front of P1 [DISTRACTOR]</x:v>
      </x:c>
      <x:c r="E55" s="8" t="n">
        <x:f>IF(ISBLANK('Evaluation Plan'!E55),"",'Evaluation Plan'!E55)</x:f>
        <x:v>52</x:v>
      </x:c>
      <x:c r="F55" s="8" t="str">
        <x:f>'Evaluation Plan'!F55</x:f>
        <x:v>crushed Coke can</x:v>
      </x:c>
      <x:c r="G55" s="7"/>
      <x:c r="H55" s="8" t="str">
        <x:f>'Evaluation Plan'!H55</x:f>
        <x:v>Language robustness</x:v>
      </x:c>
      <x:c r="I55" s="8" t="str">
        <x:f>'Evaluation Plan'!I55</x:f>
        <x:v>RD-CF09B</x:v>
      </x:c>
      <x:c r="J55" s="8" t="str">
        <x:f>'Evaluation Plan'!J55</x:f>
        <x:v>RD-CF09</x:v>
      </x:c>
      <x:c r="K55" s="8" t="str">
        <x:f>'Evaluation Plan'!K55</x:f>
        <x:v>crushed soda can</x:v>
      </x:c>
      <x:c r="L55" s="8" t="str">
        <x:f>'Evaluation Plan'!L55</x:f>
        <x:v>direct-name paraphrase</x:v>
      </x:c>
      <x:c r="M55" s="8" t="n">
        <x:f>'Evaluation Plan'!M55</x:f>
        <x:v>4</x:v>
      </x:c>
      <x:c r="N55" s="8" t="str">
        <x:f>'Evaluation Plan'!N55</x:f>
        <x:v>3 — Exact-scene control paraphrase — Paraphrase of direct-name matched control</x:v>
      </x:c>
      <x:c r="O55" s="8" t="n">
        <x:f>'Evaluation Plan'!O55</x:f>
        <x:v>18</x:v>
      </x:c>
      <x:c r="P55" s="7" t="str">
        <x:f>'Evaluation Plan'!P55</x:f>
        <x:v>Reset only the far candidate to P3; change only the direct-name prompt wording.</x:v>
      </x:c>
      <x:c r="Q55" s="7" t="str">
        <x:f>'Evaluation Plan'!Q55</x:f>
        <x:v>Exact-scene language comparison for the endpoint-matched skill control.</x:v>
      </x:c>
      <x:c r="R55" s="7" t="str">
        <x:f>IF(ISBLANK('Evaluation Plan'!R55),"",'Evaluation Plan'!R55)</x:f>
      </x:c>
    </x:row>
    <x:row r="56" ht="66" customHeight="1">
      <x:c r="A56" s="9" t="str">
        <x:v>Not collected</x:v>
      </x:c>
      <x:c r="B56" s="9" t="n">
        <x:f>'Evaluation Plan'!B56</x:f>
        <x:v>54</x:v>
      </x:c>
      <x:c r="C56" s="10" t="str">
        <x:f>'Evaluation Plan'!C56</x:f>
        <x:v>Pick up the pencil sharpener furthest from the crushed Pepsi can and place it in the bowl.</x:v>
      </x:c>
      <x:c r="D56" s="10" t="str">
        <x:f>'Evaluation Plan'!D56</x:f>
        <x:v>P1 crushed Pepsi can at R5 (5 cm away from the robot from center) [REFERENCE]; P2 red pencil sharpener with 6 cm edge gap to the right of P1 [CLOSE CANDIDATE]; P3 green pencil sharpener with 20 cm edge gap to the left of P1 [FAR CANDIDATE]; P4 airplane toy without propellers with 14 cm edge gap behind P1 [DISTRACTOR]</x:v>
      </x:c>
      <x:c r="E56" s="9" t="str">
        <x:f>IF(ISBLANK('Evaluation Plan'!E56),"",'Evaluation Plan'!E56)</x:f>
      </x:c>
      <x:c r="F56" s="9" t="str">
        <x:f>'Evaluation Plan'!F56</x:f>
        <x:v>green pencil sharpener</x:v>
      </x:c>
      <x:c r="G56" s="10"/>
      <x:c r="H56" s="9" t="str">
        <x:f>'Evaluation Plan'!H56</x:f>
        <x:v>Concept/compositional transfer</x:v>
      </x:c>
      <x:c r="I56" s="9" t="str">
        <x:f>'Evaluation Plan'!I56</x:f>
        <x:v>RD-CF10A</x:v>
      </x:c>
      <x:c r="J56" s="9" t="str">
        <x:f>'Evaluation Plan'!J56</x:f>
        <x:v>RD-CF10</x:v>
      </x:c>
      <x:c r="K56" s="9" t="str">
        <x:f>'Evaluation Plan'!K56</x:f>
        <x:v>pencil sharpener</x:v>
      </x:c>
      <x:c r="L56" s="9" t="str">
        <x:f>'Evaluation Plan'!L56</x:f>
        <x:v>furthest</x:v>
      </x:c>
      <x:c r="M56" s="9" t="n">
        <x:f>'Evaluation Plan'!M56</x:f>
        <x:v>4</x:v>
      </x:c>
      <x:c r="N56" s="9" t="str">
        <x:f>'Evaluation Plan'!N56</x:f>
        <x:v>1 — Canonical transfer — Held-out furthest concept with same-category candidates</x:v>
      </x:c>
      <x:c r="O56" s="9" t="n">
        <x:f>'Evaluation Plan'!O56</x:f>
        <x:v>19</x:v>
      </x:c>
      <x:c r="P56" s="10" t="str">
        <x:f>'Evaluation Plan'!P56</x:f>
        <x:v>Build counterfactual scene A and save a first-frame filename.</x:v>
      </x:c>
      <x:c r="Q56" s="10" t="str">
        <x:f>'Evaluation Plan'!Q56</x:f>
        <x:v>Furthest/farthest language is absent from fine-tuning. The A/B scene pair swaps which physical identity is far, preventing identity preference from solving both.</x:v>
      </x:c>
      <x:c r="R56" s="10" t="str">
        <x:f>IF(ISBLANK('Evaluation Plan'!R56),"",'Evaluation Plan'!R56)</x:f>
      </x:c>
    </x:row>
    <x:row r="57" ht="66" customHeight="1">
      <x:c r="A57" s="8" t="str">
        <x:v>Not collected</x:v>
      </x:c>
      <x:c r="B57" s="8" t="n">
        <x:f>'Evaluation Plan'!B57</x:f>
        <x:v>55</x:v>
      </x:c>
      <x:c r="C57" s="7" t="str">
        <x:f>'Evaluation Plan'!C57</x:f>
        <x:v>Put the green pencil sharpener in the bowl.</x:v>
      </x:c>
      <x:c r="D57" s="7" t="str">
        <x:f>'Evaluation Plan'!D57</x:f>
        <x:v>P1 crushed Pepsi can at R5 (5 cm away from the robot from center) [REFERENCE]; P2 red pencil sharpener with 6 cm edge gap to the right of P1 [CLOSE CANDIDATE]; P3 green pencil sharpener with 20 cm edge gap to the left of P1 [FAR CANDIDATE]; P4 airplane toy without propellers with 14 cm edge gap behind P1 [DISTRACTOR]</x:v>
      </x:c>
      <x:c r="E57" s="8" t="n">
        <x:f>IF(ISBLANK('Evaluation Plan'!E57),"",'Evaluation Plan'!E57)</x:f>
        <x:v>54</x:v>
      </x:c>
      <x:c r="F57" s="8" t="str">
        <x:f>'Evaluation Plan'!F57</x:f>
        <x:v>green pencil sharpener</x:v>
      </x:c>
      <x:c r="G57" s="7"/>
      <x:c r="H57" s="8" t="str">
        <x:f>'Evaluation Plan'!H57</x:f>
        <x:v>Matched manipulation control</x:v>
      </x:c>
      <x:c r="I57" s="8" t="str">
        <x:f>'Evaluation Plan'!I57</x:f>
        <x:v>RD-CF10A</x:v>
      </x:c>
      <x:c r="J57" s="8" t="str">
        <x:f>'Evaluation Plan'!J57</x:f>
        <x:v>RD-CF10</x:v>
      </x:c>
      <x:c r="K57" s="8" t="str">
        <x:f>'Evaluation Plan'!K57</x:f>
        <x:v>pencil sharpener</x:v>
      </x:c>
      <x:c r="L57" s="8" t="str">
        <x:f>'Evaluation Plan'!L57</x:f>
        <x:v>direct name</x:v>
      </x:c>
      <x:c r="M57" s="8" t="n">
        <x:f>'Evaluation Plan'!M57</x:f>
        <x:v>4</x:v>
      </x:c>
      <x:c r="N57" s="8" t="str">
        <x:f>'Evaluation Plan'!N57</x:f>
        <x:v>2 — Matched control — Direct-name control on identical target and trajectory</x:v>
      </x:c>
      <x:c r="O57" s="8" t="n">
        <x:f>'Evaluation Plan'!O57</x:f>
        <x:v>19</x:v>
      </x:c>
      <x:c r="P57" s="7" t="str">
        <x:f>'Evaluation Plan'!P57</x:f>
        <x:v>Reset only the far candidate to P3. Keep the full scene exact; replace the relational instruction with the target's direct name.</x:v>
      </x:c>
      <x:c r="Q57" s="7" t="str">
        <x:f>'Evaluation Plan'!Q57</x:f>
        <x:v>This is a true endpoint-matched manipulation control: scene, target identity, start pose and required trajectory match the furthest trial.</x:v>
      </x:c>
      <x:c r="R57" s="7" t="str">
        <x:f>IF(ISBLANK('Evaluation Plan'!R57),"",'Evaluation Plan'!R57)</x:f>
      </x:c>
    </x:row>
    <x:row r="58" ht="66" customHeight="1">
      <x:c r="A58" s="8" t="str">
        <x:v>Not collected</x:v>
      </x:c>
      <x:c r="B58" s="8" t="n">
        <x:f>'Evaluation Plan'!B58</x:f>
        <x:v>56</x:v>
      </x:c>
      <x:c r="C58" s="7" t="str">
        <x:f>'Evaluation Plan'!C58</x:f>
        <x:v>Set the green pencil sharpener inside the bowl.</x:v>
      </x:c>
      <x:c r="D58" s="7" t="str">
        <x:f>'Evaluation Plan'!D58</x:f>
        <x:v>P1 crushed Pepsi can at R5 (5 cm away from the robot from center) [REFERENCE]; P2 red pencil sharpener with 6 cm edge gap to the right of P1 [CLOSE CANDIDATE]; P3 green pencil sharpener with 20 cm edge gap to the left of P1 [FAR CANDIDATE]; P4 airplane toy without propellers with 14 cm edge gap behind P1 [DISTRACTOR]</x:v>
      </x:c>
      <x:c r="E58" s="8" t="n">
        <x:f>IF(ISBLANK('Evaluation Plan'!E58),"",'Evaluation Plan'!E58)</x:f>
        <x:v>55</x:v>
      </x:c>
      <x:c r="F58" s="8" t="str">
        <x:f>'Evaluation Plan'!F58</x:f>
        <x:v>green pencil sharpener</x:v>
      </x:c>
      <x:c r="G58" s="7"/>
      <x:c r="H58" s="8" t="str">
        <x:f>'Evaluation Plan'!H58</x:f>
        <x:v>Language robustness</x:v>
      </x:c>
      <x:c r="I58" s="8" t="str">
        <x:f>'Evaluation Plan'!I58</x:f>
        <x:v>RD-CF10A</x:v>
      </x:c>
      <x:c r="J58" s="8" t="str">
        <x:f>'Evaluation Plan'!J58</x:f>
        <x:v>RD-CF10</x:v>
      </x:c>
      <x:c r="K58" s="8" t="str">
        <x:f>'Evaluation Plan'!K58</x:f>
        <x:v>pencil sharpener</x:v>
      </x:c>
      <x:c r="L58" s="8" t="str">
        <x:f>'Evaluation Plan'!L58</x:f>
        <x:v>direct-name paraphrase</x:v>
      </x:c>
      <x:c r="M58" s="8" t="n">
        <x:f>'Evaluation Plan'!M58</x:f>
        <x:v>4</x:v>
      </x:c>
      <x:c r="N58" s="8" t="str">
        <x:f>'Evaluation Plan'!N58</x:f>
        <x:v>3 — Exact-scene control paraphrase — Paraphrase of direct-name matched control</x:v>
      </x:c>
      <x:c r="O58" s="8" t="n">
        <x:f>'Evaluation Plan'!O58</x:f>
        <x:v>19</x:v>
      </x:c>
      <x:c r="P58" s="7" t="str">
        <x:f>'Evaluation Plan'!P58</x:f>
        <x:v>Reset only the far candidate to P3; change only the direct-name prompt wording.</x:v>
      </x:c>
      <x:c r="Q58" s="7" t="str">
        <x:f>'Evaluation Plan'!Q58</x:f>
        <x:v>Exact-scene language comparison for the endpoint-matched skill control.</x:v>
      </x:c>
      <x:c r="R58" s="7" t="str">
        <x:f>IF(ISBLANK('Evaluation Plan'!R58),"",'Evaluation Plan'!R58)</x:f>
      </x:c>
    </x:row>
    <x:row r="59" ht="66" customHeight="1">
      <x:c r="A59" s="9" t="str">
        <x:v>Not collected</x:v>
      </x:c>
      <x:c r="B59" s="9" t="n">
        <x:f>'Evaluation Plan'!B59</x:f>
        <x:v>57</x:v>
      </x:c>
      <x:c r="C59" s="10" t="str">
        <x:f>'Evaluation Plan'!C59</x:f>
        <x:v>Pick up the pencil sharpener furthest from the crushed Pepsi can and place it in the bowl.</x:v>
      </x:c>
      <x:c r="D59" s="10" t="str">
        <x:f>'Evaluation Plan'!D59</x:f>
        <x:v>P1 crushed Pepsi can at R5 (5 cm away from the robot from center) [REFERENCE]; P2 green pencil sharpener with 6 cm edge gap to the right of P1 [CLOSE CANDIDATE]; P3 red pencil sharpener with 20 cm edge gap to the left of P1 [FAR CANDIDATE]; P4 airplane toy without propellers with 14 cm edge gap behind P1 [DISTRACTOR]</x:v>
      </x:c>
      <x:c r="E59" s="9" t="str">
        <x:f>IF(ISBLANK('Evaluation Plan'!E59),"",'Evaluation Plan'!E59)</x:f>
      </x:c>
      <x:c r="F59" s="9" t="str">
        <x:f>'Evaluation Plan'!F59</x:f>
        <x:v>red pencil sharpener</x:v>
      </x:c>
      <x:c r="G59" s="10"/>
      <x:c r="H59" s="9" t="str">
        <x:f>'Evaluation Plan'!H59</x:f>
        <x:v>Concept/compositional transfer</x:v>
      </x:c>
      <x:c r="I59" s="9" t="str">
        <x:f>'Evaluation Plan'!I59</x:f>
        <x:v>RD-CF10B</x:v>
      </x:c>
      <x:c r="J59" s="9" t="str">
        <x:f>'Evaluation Plan'!J59</x:f>
        <x:v>RD-CF10</x:v>
      </x:c>
      <x:c r="K59" s="9" t="str">
        <x:f>'Evaluation Plan'!K59</x:f>
        <x:v>pencil sharpener</x:v>
      </x:c>
      <x:c r="L59" s="9" t="str">
        <x:f>'Evaluation Plan'!L59</x:f>
        <x:v>furthest</x:v>
      </x:c>
      <x:c r="M59" s="9" t="n">
        <x:f>'Evaluation Plan'!M59</x:f>
        <x:v>4</x:v>
      </x:c>
      <x:c r="N59" s="9" t="str">
        <x:f>'Evaluation Plan'!N59</x:f>
        <x:v>1 — Canonical transfer — Held-out furthest concept with same-category candidates</x:v>
      </x:c>
      <x:c r="O59" s="9" t="n">
        <x:f>'Evaluation Plan'!O59</x:f>
        <x:v>20</x:v>
      </x:c>
      <x:c r="P59" s="10" t="str">
        <x:f>'Evaluation Plan'!P59</x:f>
        <x:v>From scene A, swap only the P2/P3 candidate identities; keep reference, distractors, camera and distances fixed. Save the new first frame.</x:v>
      </x:c>
      <x:c r="Q59" s="10" t="str">
        <x:f>'Evaluation Plan'!Q59</x:f>
        <x:v>Furthest/farthest language is absent from fine-tuning. The A/B scene pair swaps which physical identity is far, preventing identity preference from solving both.</x:v>
      </x:c>
      <x:c r="R59" s="10" t="str">
        <x:f>IF(ISBLANK('Evaluation Plan'!R59),"",'Evaluation Plan'!R59)</x:f>
      </x:c>
    </x:row>
    <x:row r="60" ht="66" customHeight="1">
      <x:c r="A60" s="8" t="str">
        <x:v>Not collected</x:v>
      </x:c>
      <x:c r="B60" s="8" t="n">
        <x:f>'Evaluation Plan'!B60</x:f>
        <x:v>58</x:v>
      </x:c>
      <x:c r="C60" s="7" t="str">
        <x:f>'Evaluation Plan'!C60</x:f>
        <x:v>Move the red pencil sharpener into the bowl.</x:v>
      </x:c>
      <x:c r="D60" s="7" t="str">
        <x:f>'Evaluation Plan'!D60</x:f>
        <x:v>P1 crushed Pepsi can at R5 (5 cm away from the robot from center) [REFERENCE]; P2 green pencil sharpener with 6 cm edge gap to the right of P1 [CLOSE CANDIDATE]; P3 red pencil sharpener with 20 cm edge gap to the left of P1 [FAR CANDIDATE]; P4 airplane toy without propellers with 14 cm edge gap behind P1 [DISTRACTOR]</x:v>
      </x:c>
      <x:c r="E60" s="8" t="n">
        <x:f>IF(ISBLANK('Evaluation Plan'!E60),"",'Evaluation Plan'!E60)</x:f>
        <x:v>57</x:v>
      </x:c>
      <x:c r="F60" s="8" t="str">
        <x:f>'Evaluation Plan'!F60</x:f>
        <x:v>red pencil sharpener</x:v>
      </x:c>
      <x:c r="G60" s="7"/>
      <x:c r="H60" s="8" t="str">
        <x:f>'Evaluation Plan'!H60</x:f>
        <x:v>Matched manipulation control</x:v>
      </x:c>
      <x:c r="I60" s="8" t="str">
        <x:f>'Evaluation Plan'!I60</x:f>
        <x:v>RD-CF10B</x:v>
      </x:c>
      <x:c r="J60" s="8" t="str">
        <x:f>'Evaluation Plan'!J60</x:f>
        <x:v>RD-CF10</x:v>
      </x:c>
      <x:c r="K60" s="8" t="str">
        <x:f>'Evaluation Plan'!K60</x:f>
        <x:v>pencil sharpener</x:v>
      </x:c>
      <x:c r="L60" s="8" t="str">
        <x:f>'Evaluation Plan'!L60</x:f>
        <x:v>direct name</x:v>
      </x:c>
      <x:c r="M60" s="8" t="n">
        <x:f>'Evaluation Plan'!M60</x:f>
        <x:v>4</x:v>
      </x:c>
      <x:c r="N60" s="8" t="str">
        <x:f>'Evaluation Plan'!N60</x:f>
        <x:v>2 — Matched control — Direct-name control on identical target and trajectory</x:v>
      </x:c>
      <x:c r="O60" s="8" t="n">
        <x:f>'Evaluation Plan'!O60</x:f>
        <x:v>20</x:v>
      </x:c>
      <x:c r="P60" s="7" t="str">
        <x:f>'Evaluation Plan'!P60</x:f>
        <x:v>Reset only the far candidate to P3. Keep the full scene exact; replace the relational instruction with the target's direct name.</x:v>
      </x:c>
      <x:c r="Q60" s="7" t="str">
        <x:f>'Evaluation Plan'!Q60</x:f>
        <x:v>This is a true endpoint-matched manipulation control: scene, target identity, start pose and required trajectory match the furthest trial.</x:v>
      </x:c>
      <x:c r="R60" s="7" t="str">
        <x:f>IF(ISBLANK('Evaluation Plan'!R60),"",'Evaluation Plan'!R60)</x:f>
      </x:c>
    </x:row>
    <x:row r="61" ht="66" customHeight="1">
      <x:c r="A61" s="8" t="str">
        <x:v>Not collected</x:v>
      </x:c>
      <x:c r="B61" s="8" t="n">
        <x:f>'Evaluation Plan'!B61</x:f>
        <x:v>59</x:v>
      </x:c>
      <x:c r="C61" s="7" t="str">
        <x:f>'Evaluation Plan'!C61</x:f>
        <x:v>Lift the red pencil sharpener and place it in the bowl.</x:v>
      </x:c>
      <x:c r="D61" s="7" t="str">
        <x:f>'Evaluation Plan'!D61</x:f>
        <x:v>P1 crushed Pepsi can at R5 (5 cm away from the robot from center) [REFERENCE]; P2 green pencil sharpener with 6 cm edge gap to the right of P1 [CLOSE CANDIDATE]; P3 red pencil sharpener with 20 cm edge gap to the left of P1 [FAR CANDIDATE]; P4 airplane toy without propellers with 14 cm edge gap behind P1 [DISTRACTOR]</x:v>
      </x:c>
      <x:c r="E61" s="8" t="n">
        <x:f>IF(ISBLANK('Evaluation Plan'!E61),"",'Evaluation Plan'!E61)</x:f>
        <x:v>58</x:v>
      </x:c>
      <x:c r="F61" s="8" t="str">
        <x:f>'Evaluation Plan'!F61</x:f>
        <x:v>red pencil sharpener</x:v>
      </x:c>
      <x:c r="G61" s="7"/>
      <x:c r="H61" s="8" t="str">
        <x:f>'Evaluation Plan'!H61</x:f>
        <x:v>Language robustness</x:v>
      </x:c>
      <x:c r="I61" s="8" t="str">
        <x:f>'Evaluation Plan'!I61</x:f>
        <x:v>RD-CF10B</x:v>
      </x:c>
      <x:c r="J61" s="8" t="str">
        <x:f>'Evaluation Plan'!J61</x:f>
        <x:v>RD-CF10</x:v>
      </x:c>
      <x:c r="K61" s="8" t="str">
        <x:f>'Evaluation Plan'!K61</x:f>
        <x:v>pencil sharpener</x:v>
      </x:c>
      <x:c r="L61" s="8" t="str">
        <x:f>'Evaluation Plan'!L61</x:f>
        <x:v>direct-name paraphrase</x:v>
      </x:c>
      <x:c r="M61" s="8" t="n">
        <x:f>'Evaluation Plan'!M61</x:f>
        <x:v>4</x:v>
      </x:c>
      <x:c r="N61" s="8" t="str">
        <x:f>'Evaluation Plan'!N61</x:f>
        <x:v>3 — Exact-scene control paraphrase — Paraphrase of direct-name matched control</x:v>
      </x:c>
      <x:c r="O61" s="8" t="n">
        <x:f>'Evaluation Plan'!O61</x:f>
        <x:v>20</x:v>
      </x:c>
      <x:c r="P61" s="7" t="str">
        <x:f>'Evaluation Plan'!P61</x:f>
        <x:v>Reset only the far candidate to P3; change only the direct-name prompt wording.</x:v>
      </x:c>
      <x:c r="Q61" s="7" t="str">
        <x:f>'Evaluation Plan'!Q61</x:f>
        <x:v>Exact-scene language comparison for the endpoint-matched skill control.</x:v>
      </x:c>
      <x:c r="R61" s="7" t="str">
        <x:f>IF(ISBLANK('Evaluation Plan'!R61),"",'Evaluation Plan'!R61)</x:f>
      </x:c>
    </x:row>
    <x:row r="62" ht="66" customHeight="1">
      <x:c r="A62" s="9" t="str">
        <x:v>Not collected</x:v>
      </x:c>
      <x:c r="B62" s="9" t="n">
        <x:f>'Evaluation Plan'!B62</x:f>
        <x:v>60</x:v>
      </x:c>
      <x:c r="C62" s="10" t="str">
        <x:f>'Evaluation Plan'!C62</x:f>
        <x:v>Pick up the pen furthest from the airplane toy with propellers and place it in the bowl.</x:v>
      </x:c>
      <x:c r="D62" s="10" t="str">
        <x:f>'Evaluation Plan'!D62</x:f>
        <x:v>P1 airplane toy with propellers at R1 (table center) [REFERENCE]; P2 green pen with 6 cm edge gap in front of P1 [CLOSE CANDIDATE]; P3 yellow pen with 20 cm edge gap behind P1 [FAR CANDIDATE]</x:v>
      </x:c>
      <x:c r="E62" s="9" t="str">
        <x:f>IF(ISBLANK('Evaluation Plan'!E62),"",'Evaluation Plan'!E62)</x:f>
      </x:c>
      <x:c r="F62" s="9" t="str">
        <x:f>'Evaluation Plan'!F62</x:f>
        <x:v>yellow pen</x:v>
      </x:c>
      <x:c r="G62" s="10"/>
      <x:c r="H62" s="9" t="str">
        <x:f>'Evaluation Plan'!H62</x:f>
        <x:v>Concept/compositional transfer</x:v>
      </x:c>
      <x:c r="I62" s="9" t="str">
        <x:f>'Evaluation Plan'!I62</x:f>
        <x:v>RD-CF11A</x:v>
      </x:c>
      <x:c r="J62" s="9" t="str">
        <x:f>'Evaluation Plan'!J62</x:f>
        <x:v>RD-CF11</x:v>
      </x:c>
      <x:c r="K62" s="9" t="str">
        <x:f>'Evaluation Plan'!K62</x:f>
        <x:v>pen</x:v>
      </x:c>
      <x:c r="L62" s="9" t="str">
        <x:f>'Evaluation Plan'!L62</x:f>
        <x:v>furthest</x:v>
      </x:c>
      <x:c r="M62" s="9" t="n">
        <x:f>'Evaluation Plan'!M62</x:f>
        <x:v>3</x:v>
      </x:c>
      <x:c r="N62" s="9" t="str">
        <x:f>'Evaluation Plan'!N62</x:f>
        <x:v>Additional transfer — Additional held-out furthest counterfactual</x:v>
      </x:c>
      <x:c r="O62" s="9" t="n">
        <x:f>'Evaluation Plan'!O62</x:f>
        <x:v>21</x:v>
      </x:c>
      <x:c r="P62" s="10" t="str">
        <x:f>'Evaluation Plan'!P62</x:f>
        <x:v>Build counterfactual scene A and save a first-frame filename.</x:v>
      </x:c>
      <x:c r="Q62" s="10" t="str">
        <x:f>'Evaluation Plan'!Q62</x:f>
        <x:v>Unpaired primary-endpoint coverage. Each A/B pair reverses the far physical identity with matched geometry.</x:v>
      </x:c>
      <x:c r="R62" s="10" t="str">
        <x:f>IF(ISBLANK('Evaluation Plan'!R62),"",'Evaluation Plan'!R62)</x:f>
      </x:c>
    </x:row>
    <x:row r="63" ht="66" customHeight="1">
      <x:c r="A63" s="8" t="str">
        <x:v>Not collected</x:v>
      </x:c>
      <x:c r="B63" s="8" t="n">
        <x:f>'Evaluation Plan'!B63</x:f>
        <x:v>61</x:v>
      </x:c>
      <x:c r="C63" s="7" t="str">
        <x:f>'Evaluation Plan'!C63</x:f>
        <x:v>Pick up the pen furthest from the airplane toy with propellers and place it in the bowl.</x:v>
      </x:c>
      <x:c r="D63" s="7" t="str">
        <x:f>'Evaluation Plan'!D63</x:f>
        <x:v>P1 airplane toy with propellers at R1 (table center) [REFERENCE]; P2 yellow pen with 6 cm edge gap in front of P1 [CLOSE CANDIDATE]; P3 green pen with 20 cm edge gap behind P1 [FAR CANDIDATE]</x:v>
      </x:c>
      <x:c r="E63" s="8" t="str">
        <x:f>IF(ISBLANK('Evaluation Plan'!E63),"",'Evaluation Plan'!E63)</x:f>
      </x:c>
      <x:c r="F63" s="8" t="str">
        <x:f>'Evaluation Plan'!F63</x:f>
        <x:v>green pen</x:v>
      </x:c>
      <x:c r="G63" s="7"/>
      <x:c r="H63" s="8" t="str">
        <x:f>'Evaluation Plan'!H63</x:f>
        <x:v>Concept/compositional transfer</x:v>
      </x:c>
      <x:c r="I63" s="8" t="str">
        <x:f>'Evaluation Plan'!I63</x:f>
        <x:v>RD-CF11B</x:v>
      </x:c>
      <x:c r="J63" s="8" t="str">
        <x:f>'Evaluation Plan'!J63</x:f>
        <x:v>RD-CF11</x:v>
      </x:c>
      <x:c r="K63" s="8" t="str">
        <x:f>'Evaluation Plan'!K63</x:f>
        <x:v>pen</x:v>
      </x:c>
      <x:c r="L63" s="8" t="str">
        <x:f>'Evaluation Plan'!L63</x:f>
        <x:v>furthest</x:v>
      </x:c>
      <x:c r="M63" s="8" t="n">
        <x:f>'Evaluation Plan'!M63</x:f>
        <x:v>3</x:v>
      </x:c>
      <x:c r="N63" s="8" t="str">
        <x:f>'Evaluation Plan'!N63</x:f>
        <x:v>Additional transfer — Additional held-out furthest counterfactual</x:v>
      </x:c>
      <x:c r="O63" s="8" t="n">
        <x:f>'Evaluation Plan'!O63</x:f>
        <x:v>22</x:v>
      </x:c>
      <x:c r="P63" s="7" t="str">
        <x:f>'Evaluation Plan'!P63</x:f>
        <x:v>Swap only the P2/P3 candidate identities from the preceding A scene; preserve all geometry and other objects.</x:v>
      </x:c>
      <x:c r="Q63" s="7" t="str">
        <x:f>'Evaluation Plan'!Q63</x:f>
        <x:v>Unpaired primary-endpoint coverage. Each A/B pair reverses the far physical identity with matched geometry.</x:v>
      </x:c>
      <x:c r="R63" s="7" t="str">
        <x:f>IF(ISBLANK('Evaluation Plan'!R63),"",'Evaluation Plan'!R63)</x:f>
      </x:c>
    </x:row>
    <x:row r="64" ht="66" customHeight="1">
      <x:c r="A64" s="9" t="str">
        <x:v>Not collected</x:v>
      </x:c>
      <x:c r="B64" s="9" t="n">
        <x:f>'Evaluation Plan'!B64</x:f>
        <x:v>62</x:v>
      </x:c>
      <x:c r="C64" s="10" t="str">
        <x:f>'Evaluation Plan'!C64</x:f>
        <x:v>Pick up the airplane toy furthest from the crushed Pepsi can and place it in the bowl.</x:v>
      </x:c>
      <x:c r="D64" s="10" t="str">
        <x:f>'Evaluation Plan'!D64</x:f>
        <x:v>P1 crushed Pepsi can at R2 (5 cm left of center) [REFERENCE]; P2 airplane toy without propellers with 6 cm edge gap behind P1 [CLOSE CANDIDATE]; P3 airplane toy with propellers with 20 cm edge gap in front of P1 [FAR CANDIDATE]</x:v>
      </x:c>
      <x:c r="E64" s="9" t="str">
        <x:f>IF(ISBLANK('Evaluation Plan'!E64),"",'Evaluation Plan'!E64)</x:f>
      </x:c>
      <x:c r="F64" s="9" t="str">
        <x:f>'Evaluation Plan'!F64</x:f>
        <x:v>airplane toy with propellers</x:v>
      </x:c>
      <x:c r="G64" s="10"/>
      <x:c r="H64" s="9" t="str">
        <x:f>'Evaluation Plan'!H64</x:f>
        <x:v>Concept/compositional transfer</x:v>
      </x:c>
      <x:c r="I64" s="9" t="str">
        <x:f>'Evaluation Plan'!I64</x:f>
        <x:v>RD-CF12A</x:v>
      </x:c>
      <x:c r="J64" s="9" t="str">
        <x:f>'Evaluation Plan'!J64</x:f>
        <x:v>RD-CF12</x:v>
      </x:c>
      <x:c r="K64" s="9" t="str">
        <x:f>'Evaluation Plan'!K64</x:f>
        <x:v>airplane toy</x:v>
      </x:c>
      <x:c r="L64" s="9" t="str">
        <x:f>'Evaluation Plan'!L64</x:f>
        <x:v>furthest</x:v>
      </x:c>
      <x:c r="M64" s="9" t="n">
        <x:f>'Evaluation Plan'!M64</x:f>
        <x:v>3</x:v>
      </x:c>
      <x:c r="N64" s="9" t="str">
        <x:f>'Evaluation Plan'!N64</x:f>
        <x:v>Additional transfer — Additional held-out furthest counterfactual</x:v>
      </x:c>
      <x:c r="O64" s="9" t="n">
        <x:f>'Evaluation Plan'!O64</x:f>
        <x:v>23</x:v>
      </x:c>
      <x:c r="P64" s="10" t="str">
        <x:f>'Evaluation Plan'!P64</x:f>
        <x:v>Build counterfactual scene A and save a first-frame filename.</x:v>
      </x:c>
      <x:c r="Q64" s="10" t="str">
        <x:f>'Evaluation Plan'!Q64</x:f>
        <x:v>Unpaired primary-endpoint coverage. Each A/B pair reverses the far physical identity with matched geometry.</x:v>
      </x:c>
      <x:c r="R64" s="10" t="str">
        <x:f>IF(ISBLANK('Evaluation Plan'!R64),"",'Evaluation Plan'!R64)</x:f>
      </x:c>
    </x:row>
    <x:row r="65" ht="66" customHeight="1">
      <x:c r="A65" s="8" t="str">
        <x:v>Not collected</x:v>
      </x:c>
      <x:c r="B65" s="8" t="n">
        <x:f>'Evaluation Plan'!B65</x:f>
        <x:v>63</x:v>
      </x:c>
      <x:c r="C65" s="7" t="str">
        <x:f>'Evaluation Plan'!C65</x:f>
        <x:v>Pick up the airplane toy furthest from the crushed Pepsi can and place it in the bowl.</x:v>
      </x:c>
      <x:c r="D65" s="7" t="str">
        <x:f>'Evaluation Plan'!D65</x:f>
        <x:v>P1 crushed Pepsi can at R2 (5 cm left of center) [REFERENCE]; P2 airplane toy with propellers with 6 cm edge gap behind P1 [CLOSE CANDIDATE]; P3 airplane toy without propellers with 20 cm edge gap in front of P1 [FAR CANDIDATE]</x:v>
      </x:c>
      <x:c r="E65" s="8" t="str">
        <x:f>IF(ISBLANK('Evaluation Plan'!E65),"",'Evaluation Plan'!E65)</x:f>
      </x:c>
      <x:c r="F65" s="8" t="str">
        <x:f>'Evaluation Plan'!F65</x:f>
        <x:v>airplane toy without propellers</x:v>
      </x:c>
      <x:c r="G65" s="7"/>
      <x:c r="H65" s="8" t="str">
        <x:f>'Evaluation Plan'!H65</x:f>
        <x:v>Concept/compositional transfer</x:v>
      </x:c>
      <x:c r="I65" s="8" t="str">
        <x:f>'Evaluation Plan'!I65</x:f>
        <x:v>RD-CF12B</x:v>
      </x:c>
      <x:c r="J65" s="8" t="str">
        <x:f>'Evaluation Plan'!J65</x:f>
        <x:v>RD-CF12</x:v>
      </x:c>
      <x:c r="K65" s="8" t="str">
        <x:f>'Evaluation Plan'!K65</x:f>
        <x:v>airplane toy</x:v>
      </x:c>
      <x:c r="L65" s="8" t="str">
        <x:f>'Evaluation Plan'!L65</x:f>
        <x:v>furthest</x:v>
      </x:c>
      <x:c r="M65" s="8" t="n">
        <x:f>'Evaluation Plan'!M65</x:f>
        <x:v>3</x:v>
      </x:c>
      <x:c r="N65" s="8" t="str">
        <x:f>'Evaluation Plan'!N65</x:f>
        <x:v>Additional transfer — Additional held-out furthest counterfactual</x:v>
      </x:c>
      <x:c r="O65" s="8" t="n">
        <x:f>'Evaluation Plan'!O65</x:f>
        <x:v>24</x:v>
      </x:c>
      <x:c r="P65" s="7" t="str">
        <x:f>'Evaluation Plan'!P65</x:f>
        <x:v>Swap only the P2/P3 candidate identities from the preceding A scene; preserve all geometry and other objects.</x:v>
      </x:c>
      <x:c r="Q65" s="7" t="str">
        <x:f>'Evaluation Plan'!Q65</x:f>
        <x:v>Unpaired primary-endpoint coverage. Each A/B pair reverses the far physical identity with matched geometry.</x:v>
      </x:c>
      <x:c r="R65" s="7" t="str">
        <x:f>IF(ISBLANK('Evaluation Plan'!R65),"",'Evaluation Plan'!R65)</x:f>
      </x:c>
    </x:row>
    <x:row r="66" ht="66" customHeight="1">
      <x:c r="A66" s="9" t="str">
        <x:v>Not collected</x:v>
      </x:c>
      <x:c r="B66" s="9" t="n">
        <x:f>'Evaluation Plan'!B66</x:f>
        <x:v>64</x:v>
      </x:c>
      <x:c r="C66" s="10" t="str">
        <x:f>'Evaluation Plan'!C66</x:f>
        <x:v>Pick up the crushed soda can furthest from the green pen and place it in the bowl.</x:v>
      </x:c>
      <x:c r="D66" s="10" t="str">
        <x:f>'Evaluation Plan'!D66</x:f>
        <x:v>P1 green pen at R3 (5 cm right of center) [REFERENCE]; P2 crushed Coke can with 6 cm edge gap to the left of P1 [CLOSE CANDIDATE]; P3 crushed Pepsi can with 20 cm edge gap to the right of P1 [FAR CANDIDATE]</x:v>
      </x:c>
      <x:c r="E66" s="9" t="str">
        <x:f>IF(ISBLANK('Evaluation Plan'!E66),"",'Evaluation Plan'!E66)</x:f>
      </x:c>
      <x:c r="F66" s="9" t="str">
        <x:f>'Evaluation Plan'!F66</x:f>
        <x:v>crushed Pepsi can</x:v>
      </x:c>
      <x:c r="G66" s="10"/>
      <x:c r="H66" s="9" t="str">
        <x:f>'Evaluation Plan'!H66</x:f>
        <x:v>Concept/compositional transfer</x:v>
      </x:c>
      <x:c r="I66" s="9" t="str">
        <x:f>'Evaluation Plan'!I66</x:f>
        <x:v>RD-CF13A</x:v>
      </x:c>
      <x:c r="J66" s="9" t="str">
        <x:f>'Evaluation Plan'!J66</x:f>
        <x:v>RD-CF13</x:v>
      </x:c>
      <x:c r="K66" s="9" t="str">
        <x:f>'Evaluation Plan'!K66</x:f>
        <x:v>crushed soda can</x:v>
      </x:c>
      <x:c r="L66" s="9" t="str">
        <x:f>'Evaluation Plan'!L66</x:f>
        <x:v>furthest</x:v>
      </x:c>
      <x:c r="M66" s="9" t="n">
        <x:f>'Evaluation Plan'!M66</x:f>
        <x:v>3</x:v>
      </x:c>
      <x:c r="N66" s="9" t="str">
        <x:f>'Evaluation Plan'!N66</x:f>
        <x:v>Additional transfer — Additional held-out furthest counterfactual</x:v>
      </x:c>
      <x:c r="O66" s="9" t="n">
        <x:f>'Evaluation Plan'!O66</x:f>
        <x:v>25</x:v>
      </x:c>
      <x:c r="P66" s="10" t="str">
        <x:f>'Evaluation Plan'!P66</x:f>
        <x:v>Build counterfactual scene A and save a first-frame filename.</x:v>
      </x:c>
      <x:c r="Q66" s="10" t="str">
        <x:f>'Evaluation Plan'!Q66</x:f>
        <x:v>Unpaired primary-endpoint coverage. Each A/B pair reverses the far physical identity with matched geometry.</x:v>
      </x:c>
      <x:c r="R66" s="10" t="str">
        <x:f>IF(ISBLANK('Evaluation Plan'!R66),"",'Evaluation Plan'!R66)</x:f>
      </x:c>
    </x:row>
    <x:row r="67" ht="66" customHeight="1">
      <x:c r="A67" s="8" t="str">
        <x:v>Not collected</x:v>
      </x:c>
      <x:c r="B67" s="8" t="n">
        <x:f>'Evaluation Plan'!B67</x:f>
        <x:v>65</x:v>
      </x:c>
      <x:c r="C67" s="7" t="str">
        <x:f>'Evaluation Plan'!C67</x:f>
        <x:v>Pick up the crushed soda can furthest from the green pen and place it in the bowl.</x:v>
      </x:c>
      <x:c r="D67" s="7" t="str">
        <x:f>'Evaluation Plan'!D67</x:f>
        <x:v>P1 green pen at R3 (5 cm right of center) [REFERENCE]; P2 crushed Pepsi can with 6 cm edge gap to the left of P1 [CLOSE CANDIDATE]; P3 crushed Coke can with 20 cm edge gap to the right of P1 [FAR CANDIDATE]</x:v>
      </x:c>
      <x:c r="E67" s="8" t="str">
        <x:f>IF(ISBLANK('Evaluation Plan'!E67),"",'Evaluation Plan'!E67)</x:f>
      </x:c>
      <x:c r="F67" s="8" t="str">
        <x:f>'Evaluation Plan'!F67</x:f>
        <x:v>crushed Coke can</x:v>
      </x:c>
      <x:c r="G67" s="7"/>
      <x:c r="H67" s="8" t="str">
        <x:f>'Evaluation Plan'!H67</x:f>
        <x:v>Concept/compositional transfer</x:v>
      </x:c>
      <x:c r="I67" s="8" t="str">
        <x:f>'Evaluation Plan'!I67</x:f>
        <x:v>RD-CF13B</x:v>
      </x:c>
      <x:c r="J67" s="8" t="str">
        <x:f>'Evaluation Plan'!J67</x:f>
        <x:v>RD-CF13</x:v>
      </x:c>
      <x:c r="K67" s="8" t="str">
        <x:f>'Evaluation Plan'!K67</x:f>
        <x:v>crushed soda can</x:v>
      </x:c>
      <x:c r="L67" s="8" t="str">
        <x:f>'Evaluation Plan'!L67</x:f>
        <x:v>furthest</x:v>
      </x:c>
      <x:c r="M67" s="8" t="n">
        <x:f>'Evaluation Plan'!M67</x:f>
        <x:v>3</x:v>
      </x:c>
      <x:c r="N67" s="8" t="str">
        <x:f>'Evaluation Plan'!N67</x:f>
        <x:v>Additional transfer — Additional held-out furthest counterfactual</x:v>
      </x:c>
      <x:c r="O67" s="8" t="n">
        <x:f>'Evaluation Plan'!O67</x:f>
        <x:v>26</x:v>
      </x:c>
      <x:c r="P67" s="7" t="str">
        <x:f>'Evaluation Plan'!P67</x:f>
        <x:v>Swap only the P2/P3 candidate identities from the preceding A scene; preserve all geometry and other objects.</x:v>
      </x:c>
      <x:c r="Q67" s="7" t="str">
        <x:f>'Evaluation Plan'!Q67</x:f>
        <x:v>Unpaired primary-endpoint coverage. Each A/B pair reverses the far physical identity with matched geometry.</x:v>
      </x:c>
      <x:c r="R67" s="7" t="str">
        <x:f>IF(ISBLANK('Evaluation Plan'!R67),"",'Evaluation Plan'!R67)</x:f>
      </x:c>
    </x:row>
    <x:row r="68" ht="66" customHeight="1">
      <x:c r="A68" s="9" t="str">
        <x:v>Not collected</x:v>
      </x:c>
      <x:c r="B68" s="9" t="n">
        <x:f>'Evaluation Plan'!B68</x:f>
        <x:v>66</x:v>
      </x:c>
      <x:c r="C68" s="10" t="str">
        <x:f>'Evaluation Plan'!C68</x:f>
        <x:v>Pick up the pencil sharpener furthest from the yellow pen and place it in the bowl.</x:v>
      </x:c>
      <x:c r="D68" s="10" t="str">
        <x:f>'Evaluation Plan'!D68</x:f>
        <x:v>P1 yellow pen at R4 (5 cm toward the robot from center) [REFERENCE]; P2 red pencil sharpener with 6 cm edge gap to the right of P1 [CLOSE CANDIDATE]; P3 green pencil sharpener with 20 cm edge gap to the left of P1 [FAR CANDIDATE]; P4 airplane toy with propellers with 14 cm edge gap behind P1 [DISTRACTOR]</x:v>
      </x:c>
      <x:c r="E68" s="9" t="str">
        <x:f>IF(ISBLANK('Evaluation Plan'!E68),"",'Evaluation Plan'!E68)</x:f>
      </x:c>
      <x:c r="F68" s="9" t="str">
        <x:f>'Evaluation Plan'!F68</x:f>
        <x:v>green pencil sharpener</x:v>
      </x:c>
      <x:c r="G68" s="10"/>
      <x:c r="H68" s="9" t="str">
        <x:f>'Evaluation Plan'!H68</x:f>
        <x:v>Concept/compositional transfer</x:v>
      </x:c>
      <x:c r="I68" s="9" t="str">
        <x:f>'Evaluation Plan'!I68</x:f>
        <x:v>RD-CF14A</x:v>
      </x:c>
      <x:c r="J68" s="9" t="str">
        <x:f>'Evaluation Plan'!J68</x:f>
        <x:v>RD-CF14</x:v>
      </x:c>
      <x:c r="K68" s="9" t="str">
        <x:f>'Evaluation Plan'!K68</x:f>
        <x:v>pencil sharpener</x:v>
      </x:c>
      <x:c r="L68" s="9" t="str">
        <x:f>'Evaluation Plan'!L68</x:f>
        <x:v>furthest</x:v>
      </x:c>
      <x:c r="M68" s="9" t="n">
        <x:f>'Evaluation Plan'!M68</x:f>
        <x:v>4</x:v>
      </x:c>
      <x:c r="N68" s="9" t="str">
        <x:f>'Evaluation Plan'!N68</x:f>
        <x:v>Additional transfer — Additional held-out furthest counterfactual</x:v>
      </x:c>
      <x:c r="O68" s="9" t="n">
        <x:f>'Evaluation Plan'!O68</x:f>
        <x:v>27</x:v>
      </x:c>
      <x:c r="P68" s="10" t="str">
        <x:f>'Evaluation Plan'!P68</x:f>
        <x:v>Build counterfactual scene A and save a first-frame filename.</x:v>
      </x:c>
      <x:c r="Q68" s="10" t="str">
        <x:f>'Evaluation Plan'!Q68</x:f>
        <x:v>Unpaired primary-endpoint coverage. Each A/B pair reverses the far physical identity with matched geometry.</x:v>
      </x:c>
      <x:c r="R68" s="10" t="str">
        <x:f>IF(ISBLANK('Evaluation Plan'!R68),"",'Evaluation Plan'!R68)</x:f>
      </x:c>
    </x:row>
    <x:row r="69" ht="66" customHeight="1">
      <x:c r="A69" s="8" t="str">
        <x:v>Not collected</x:v>
      </x:c>
      <x:c r="B69" s="8" t="n">
        <x:f>'Evaluation Plan'!B69</x:f>
        <x:v>67</x:v>
      </x:c>
      <x:c r="C69" s="7" t="str">
        <x:f>'Evaluation Plan'!C69</x:f>
        <x:v>Pick up the pencil sharpener furthest from the yellow pen and place it in the bowl.</x:v>
      </x:c>
      <x:c r="D69" s="7" t="str">
        <x:f>'Evaluation Plan'!D69</x:f>
        <x:v>P1 yellow pen at R4 (5 cm toward the robot from center) [REFERENCE]; P2 green pencil sharpener with 6 cm edge gap to the right of P1 [CLOSE CANDIDATE]; P3 red pencil sharpener with 20 cm edge gap to the left of P1 [FAR CANDIDATE]; P4 airplane toy with propellers with 14 cm edge gap behind P1 [DISTRACTOR]</x:v>
      </x:c>
      <x:c r="E69" s="8" t="str">
        <x:f>IF(ISBLANK('Evaluation Plan'!E69),"",'Evaluation Plan'!E69)</x:f>
      </x:c>
      <x:c r="F69" s="8" t="str">
        <x:f>'Evaluation Plan'!F69</x:f>
        <x:v>red pencil sharpener</x:v>
      </x:c>
      <x:c r="G69" s="7"/>
      <x:c r="H69" s="8" t="str">
        <x:f>'Evaluation Plan'!H69</x:f>
        <x:v>Concept/compositional transfer</x:v>
      </x:c>
      <x:c r="I69" s="8" t="str">
        <x:f>'Evaluation Plan'!I69</x:f>
        <x:v>RD-CF14B</x:v>
      </x:c>
      <x:c r="J69" s="8" t="str">
        <x:f>'Evaluation Plan'!J69</x:f>
        <x:v>RD-CF14</x:v>
      </x:c>
      <x:c r="K69" s="8" t="str">
        <x:f>'Evaluation Plan'!K69</x:f>
        <x:v>pencil sharpener</x:v>
      </x:c>
      <x:c r="L69" s="8" t="str">
        <x:f>'Evaluation Plan'!L69</x:f>
        <x:v>furthest</x:v>
      </x:c>
      <x:c r="M69" s="8" t="n">
        <x:f>'Evaluation Plan'!M69</x:f>
        <x:v>4</x:v>
      </x:c>
      <x:c r="N69" s="8" t="str">
        <x:f>'Evaluation Plan'!N69</x:f>
        <x:v>Additional transfer — Additional held-out furthest counterfactual</x:v>
      </x:c>
      <x:c r="O69" s="8" t="n">
        <x:f>'Evaluation Plan'!O69</x:f>
        <x:v>28</x:v>
      </x:c>
      <x:c r="P69" s="7" t="str">
        <x:f>'Evaluation Plan'!P69</x:f>
        <x:v>Swap only the P2/P3 candidate identities from the preceding A scene; preserve all geometry and other objects.</x:v>
      </x:c>
      <x:c r="Q69" s="7" t="str">
        <x:f>'Evaluation Plan'!Q69</x:f>
        <x:v>Unpaired primary-endpoint coverage. Each A/B pair reverses the far physical identity with matched geometry.</x:v>
      </x:c>
      <x:c r="R69" s="7" t="str">
        <x:f>IF(ISBLANK('Evaluation Plan'!R69),"",'Evaluation Plan'!R69)</x:f>
      </x:c>
    </x:row>
    <x:row r="70" ht="66" customHeight="1">
      <x:c r="A70" s="9" t="str">
        <x:v>Not collected</x:v>
      </x:c>
      <x:c r="B70" s="9" t="n">
        <x:f>'Evaluation Plan'!B70</x:f>
        <x:v>68</x:v>
      </x:c>
      <x:c r="C70" s="10" t="str">
        <x:f>'Evaluation Plan'!C70</x:f>
        <x:v>Pick up the pen furthest from the green pencil sharpener and place it in the bowl.</x:v>
      </x:c>
      <x:c r="D70" s="10" t="str">
        <x:f>'Evaluation Plan'!D70</x:f>
        <x:v>P1 green pencil sharpener at R5 (5 cm away from the robot from center) [REFERENCE]; P2 green pen with 6 cm edge gap in front of P1 [CLOSE CANDIDATE]; P3 yellow pen with 20 cm edge gap behind P1 [FAR CANDIDATE]; P4 airplane toy without propellers with 14 cm edge gap to the left of P1 [DISTRACTOR]</x:v>
      </x:c>
      <x:c r="E70" s="9" t="str">
        <x:f>IF(ISBLANK('Evaluation Plan'!E70),"",'Evaluation Plan'!E70)</x:f>
      </x:c>
      <x:c r="F70" s="9" t="str">
        <x:f>'Evaluation Plan'!F70</x:f>
        <x:v>yellow pen</x:v>
      </x:c>
      <x:c r="G70" s="10"/>
      <x:c r="H70" s="9" t="str">
        <x:f>'Evaluation Plan'!H70</x:f>
        <x:v>Concept/compositional transfer</x:v>
      </x:c>
      <x:c r="I70" s="9" t="str">
        <x:f>'Evaluation Plan'!I70</x:f>
        <x:v>RD-CF15A</x:v>
      </x:c>
      <x:c r="J70" s="9" t="str">
        <x:f>'Evaluation Plan'!J70</x:f>
        <x:v>RD-CF15</x:v>
      </x:c>
      <x:c r="K70" s="9" t="str">
        <x:f>'Evaluation Plan'!K70</x:f>
        <x:v>pen</x:v>
      </x:c>
      <x:c r="L70" s="9" t="str">
        <x:f>'Evaluation Plan'!L70</x:f>
        <x:v>furthest</x:v>
      </x:c>
      <x:c r="M70" s="9" t="n">
        <x:f>'Evaluation Plan'!M70</x:f>
        <x:v>4</x:v>
      </x:c>
      <x:c r="N70" s="9" t="str">
        <x:f>'Evaluation Plan'!N70</x:f>
        <x:v>Additional transfer — Additional held-out furthest counterfactual</x:v>
      </x:c>
      <x:c r="O70" s="9" t="n">
        <x:f>'Evaluation Plan'!O70</x:f>
        <x:v>29</x:v>
      </x:c>
      <x:c r="P70" s="10" t="str">
        <x:f>'Evaluation Plan'!P70</x:f>
        <x:v>Build counterfactual scene A and save a first-frame filename.</x:v>
      </x:c>
      <x:c r="Q70" s="10" t="str">
        <x:f>'Evaluation Plan'!Q70</x:f>
        <x:v>Unpaired primary-endpoint coverage. Each A/B pair reverses the far physical identity with matched geometry.</x:v>
      </x:c>
      <x:c r="R70" s="10" t="str">
        <x:f>IF(ISBLANK('Evaluation Plan'!R70),"",'Evaluation Plan'!R70)</x:f>
      </x:c>
    </x:row>
    <x:row r="71" ht="66" customHeight="1">
      <x:c r="A71" s="8" t="str">
        <x:v>Not collected</x:v>
      </x:c>
      <x:c r="B71" s="8" t="n">
        <x:f>'Evaluation Plan'!B71</x:f>
        <x:v>69</x:v>
      </x:c>
      <x:c r="C71" s="7" t="str">
        <x:f>'Evaluation Plan'!C71</x:f>
        <x:v>Pick up the pen furthest from the green pencil sharpener and place it in the bowl.</x:v>
      </x:c>
      <x:c r="D71" s="7" t="str">
        <x:f>'Evaluation Plan'!D71</x:f>
        <x:v>P1 green pencil sharpener at R5 (5 cm away from the robot from center) [REFERENCE]; P2 yellow pen with 6 cm edge gap in front of P1 [CLOSE CANDIDATE]; P3 green pen with 20 cm edge gap behind P1 [FAR CANDIDATE]; P4 airplane toy without propellers with 14 cm edge gap to the left of P1 [DISTRACTOR]</x:v>
      </x:c>
      <x:c r="E71" s="8" t="str">
        <x:f>IF(ISBLANK('Evaluation Plan'!E71),"",'Evaluation Plan'!E71)</x:f>
      </x:c>
      <x:c r="F71" s="8" t="str">
        <x:f>'Evaluation Plan'!F71</x:f>
        <x:v>green pen</x:v>
      </x:c>
      <x:c r="G71" s="7"/>
      <x:c r="H71" s="8" t="str">
        <x:f>'Evaluation Plan'!H71</x:f>
        <x:v>Concept/compositional transfer</x:v>
      </x:c>
      <x:c r="I71" s="8" t="str">
        <x:f>'Evaluation Plan'!I71</x:f>
        <x:v>RD-CF15B</x:v>
      </x:c>
      <x:c r="J71" s="8" t="str">
        <x:f>'Evaluation Plan'!J71</x:f>
        <x:v>RD-CF15</x:v>
      </x:c>
      <x:c r="K71" s="8" t="str">
        <x:f>'Evaluation Plan'!K71</x:f>
        <x:v>pen</x:v>
      </x:c>
      <x:c r="L71" s="8" t="str">
        <x:f>'Evaluation Plan'!L71</x:f>
        <x:v>furthest</x:v>
      </x:c>
      <x:c r="M71" s="8" t="n">
        <x:f>'Evaluation Plan'!M71</x:f>
        <x:v>4</x:v>
      </x:c>
      <x:c r="N71" s="8" t="str">
        <x:f>'Evaluation Plan'!N71</x:f>
        <x:v>Additional transfer — Additional held-out furthest counterfactual</x:v>
      </x:c>
      <x:c r="O71" s="8" t="n">
        <x:f>'Evaluation Plan'!O71</x:f>
        <x:v>30</x:v>
      </x:c>
      <x:c r="P71" s="7" t="str">
        <x:f>'Evaluation Plan'!P71</x:f>
        <x:v>Swap only the P2/P3 candidate identities from the preceding A scene; preserve all geometry and other objects.</x:v>
      </x:c>
      <x:c r="Q71" s="7" t="str">
        <x:f>'Evaluation Plan'!Q71</x:f>
        <x:v>Unpaired primary-endpoint coverage. Each A/B pair reverses the far physical identity with matched geometry.</x:v>
      </x:c>
      <x:c r="R71" s="7" t="str">
        <x:f>IF(ISBLANK('Evaluation Plan'!R71),"",'Evaluation Plan'!R71)</x:f>
      </x:c>
    </x:row>
    <x:row r="72" ht="66" customHeight="1">
      <x:c r="A72" s="9" t="str">
        <x:v>Not collected</x:v>
      </x:c>
      <x:c r="B72" s="9" t="n">
        <x:f>'Evaluation Plan'!B72</x:f>
        <x:v>70</x:v>
      </x:c>
      <x:c r="C72" s="10" t="str">
        <x:f>'Evaluation Plan'!C72</x:f>
        <x:v>Pick up the airplane toy furthest from the red pencil sharpener and place it in the bowl.</x:v>
      </x:c>
      <x:c r="D72" s="10" t="str">
        <x:f>'Evaluation Plan'!D72</x:f>
        <x:v>P1 red pencil sharpener at R1 (table center) [REFERENCE]; P2 airplane toy without propellers with 6 cm edge gap behind P1 [CLOSE CANDIDATE]; P3 airplane toy with propellers with 20 cm edge gap in front of P1 [FAR CANDIDATE]; P4 crushed Coke can with 14 cm edge gap to the right of P1 [DISTRACTOR]</x:v>
      </x:c>
      <x:c r="E72" s="9" t="str">
        <x:f>IF(ISBLANK('Evaluation Plan'!E72),"",'Evaluation Plan'!E72)</x:f>
      </x:c>
      <x:c r="F72" s="9" t="str">
        <x:f>'Evaluation Plan'!F72</x:f>
        <x:v>airplane toy with propellers</x:v>
      </x:c>
      <x:c r="G72" s="10"/>
      <x:c r="H72" s="9" t="str">
        <x:f>'Evaluation Plan'!H72</x:f>
        <x:v>Concept/compositional transfer</x:v>
      </x:c>
      <x:c r="I72" s="9" t="str">
        <x:f>'Evaluation Plan'!I72</x:f>
        <x:v>RD-CF16A</x:v>
      </x:c>
      <x:c r="J72" s="9" t="str">
        <x:f>'Evaluation Plan'!J72</x:f>
        <x:v>RD-CF16</x:v>
      </x:c>
      <x:c r="K72" s="9" t="str">
        <x:f>'Evaluation Plan'!K72</x:f>
        <x:v>airplane toy</x:v>
      </x:c>
      <x:c r="L72" s="9" t="str">
        <x:f>'Evaluation Plan'!L72</x:f>
        <x:v>furthest</x:v>
      </x:c>
      <x:c r="M72" s="9" t="n">
        <x:f>'Evaluation Plan'!M72</x:f>
        <x:v>4</x:v>
      </x:c>
      <x:c r="N72" s="9" t="str">
        <x:f>'Evaluation Plan'!N72</x:f>
        <x:v>Additional transfer — Additional held-out furthest counterfactual</x:v>
      </x:c>
      <x:c r="O72" s="9" t="n">
        <x:f>'Evaluation Plan'!O72</x:f>
        <x:v>31</x:v>
      </x:c>
      <x:c r="P72" s="10" t="str">
        <x:f>'Evaluation Plan'!P72</x:f>
        <x:v>Build counterfactual scene A and save a first-frame filename.</x:v>
      </x:c>
      <x:c r="Q72" s="10" t="str">
        <x:f>'Evaluation Plan'!Q72</x:f>
        <x:v>Unpaired primary-endpoint coverage. Each A/B pair reverses the far physical identity with matched geometry.</x:v>
      </x:c>
      <x:c r="R72" s="10" t="str">
        <x:f>IF(ISBLANK('Evaluation Plan'!R72),"",'Evaluation Plan'!R72)</x:f>
      </x:c>
    </x:row>
    <x:row r="73" ht="66" customHeight="1">
      <x:c r="A73" s="8" t="str">
        <x:v>Not collected</x:v>
      </x:c>
      <x:c r="B73" s="8" t="n">
        <x:f>'Evaluation Plan'!B73</x:f>
        <x:v>71</x:v>
      </x:c>
      <x:c r="C73" s="7" t="str">
        <x:f>'Evaluation Plan'!C73</x:f>
        <x:v>Pick up the airplane toy furthest from the red pencil sharpener and place it in the bowl.</x:v>
      </x:c>
      <x:c r="D73" s="7" t="str">
        <x:f>'Evaluation Plan'!D73</x:f>
        <x:v>P1 red pencil sharpener at R1 (table center) [REFERENCE]; P2 airplane toy with propellers with 6 cm edge gap behind P1 [CLOSE CANDIDATE]; P3 airplane toy without propellers with 20 cm edge gap in front of P1 [FAR CANDIDATE]; P4 crushed Coke can with 14 cm edge gap to the right of P1 [DISTRACTOR]</x:v>
      </x:c>
      <x:c r="E73" s="8" t="str">
        <x:f>IF(ISBLANK('Evaluation Plan'!E73),"",'Evaluation Plan'!E73)</x:f>
      </x:c>
      <x:c r="F73" s="8" t="str">
        <x:f>'Evaluation Plan'!F73</x:f>
        <x:v>airplane toy without propellers</x:v>
      </x:c>
      <x:c r="G73" s="7"/>
      <x:c r="H73" s="8" t="str">
        <x:f>'Evaluation Plan'!H73</x:f>
        <x:v>Concept/compositional transfer</x:v>
      </x:c>
      <x:c r="I73" s="8" t="str">
        <x:f>'Evaluation Plan'!I73</x:f>
        <x:v>RD-CF16B</x:v>
      </x:c>
      <x:c r="J73" s="8" t="str">
        <x:f>'Evaluation Plan'!J73</x:f>
        <x:v>RD-CF16</x:v>
      </x:c>
      <x:c r="K73" s="8" t="str">
        <x:f>'Evaluation Plan'!K73</x:f>
        <x:v>airplane toy</x:v>
      </x:c>
      <x:c r="L73" s="8" t="str">
        <x:f>'Evaluation Plan'!L73</x:f>
        <x:v>furthest</x:v>
      </x:c>
      <x:c r="M73" s="8" t="n">
        <x:f>'Evaluation Plan'!M73</x:f>
        <x:v>4</x:v>
      </x:c>
      <x:c r="N73" s="8" t="str">
        <x:f>'Evaluation Plan'!N73</x:f>
        <x:v>Additional transfer — Additional held-out furthest counterfactual</x:v>
      </x:c>
      <x:c r="O73" s="8" t="n">
        <x:f>'Evaluation Plan'!O73</x:f>
        <x:v>32</x:v>
      </x:c>
      <x:c r="P73" s="7" t="str">
        <x:f>'Evaluation Plan'!P73</x:f>
        <x:v>Swap only the P2/P3 candidate identities from the preceding A scene; preserve all geometry and other objects.</x:v>
      </x:c>
      <x:c r="Q73" s="7" t="str">
        <x:f>'Evaluation Plan'!Q73</x:f>
        <x:v>Unpaired primary-endpoint coverage. Each A/B pair reverses the far physical identity with matched geometry.</x:v>
      </x:c>
      <x:c r="R73" s="7" t="str">
        <x:f>IF(ISBLANK('Evaluation Plan'!R73),"",'Evaluation Plan'!R73)</x:f>
      </x:c>
    </x:row>
    <x:row r="74" ht="66" customHeight="1">
      <x:c r="A74" s="9" t="str">
        <x:v>Not collected</x:v>
      </x:c>
      <x:c r="B74" s="9" t="n">
        <x:f>'Evaluation Plan'!B74</x:f>
        <x:v>72</x:v>
      </x:c>
      <x:c r="C74" s="10" t="str">
        <x:f>'Evaluation Plan'!C74</x:f>
        <x:v>Pick up the crushed soda can furthest from the airplane toy with propellers and place it in the bowl.</x:v>
      </x:c>
      <x:c r="D74" s="10" t="str">
        <x:f>'Evaluation Plan'!D74</x:f>
        <x:v>P1 airplane toy with propellers at R2 (5 cm left of center) [REFERENCE]; P2 crushed Coke can with 6 cm edge gap to the left of P1 [CLOSE CANDIDATE]; P3 crushed Pepsi can with 20 cm edge gap to the right of P1 [FAR CANDIDATE]; P4 red pencil sharpener with 14 cm edge gap in front of P1 [DISTRACTOR]</x:v>
      </x:c>
      <x:c r="E74" s="9" t="str">
        <x:f>IF(ISBLANK('Evaluation Plan'!E74),"",'Evaluation Plan'!E74)</x:f>
      </x:c>
      <x:c r="F74" s="9" t="str">
        <x:f>'Evaluation Plan'!F74</x:f>
        <x:v>crushed Pepsi can</x:v>
      </x:c>
      <x:c r="G74" s="10"/>
      <x:c r="H74" s="9" t="str">
        <x:f>'Evaluation Plan'!H74</x:f>
        <x:v>Concept/compositional transfer</x:v>
      </x:c>
      <x:c r="I74" s="9" t="str">
        <x:f>'Evaluation Plan'!I74</x:f>
        <x:v>RD-CF17A</x:v>
      </x:c>
      <x:c r="J74" s="9" t="str">
        <x:f>'Evaluation Plan'!J74</x:f>
        <x:v>RD-CF17</x:v>
      </x:c>
      <x:c r="K74" s="9" t="str">
        <x:f>'Evaluation Plan'!K74</x:f>
        <x:v>crushed soda can</x:v>
      </x:c>
      <x:c r="L74" s="9" t="str">
        <x:f>'Evaluation Plan'!L74</x:f>
        <x:v>furthest</x:v>
      </x:c>
      <x:c r="M74" s="9" t="n">
        <x:f>'Evaluation Plan'!M74</x:f>
        <x:v>4</x:v>
      </x:c>
      <x:c r="N74" s="9" t="str">
        <x:f>'Evaluation Plan'!N74</x:f>
        <x:v>Additional transfer — Additional held-out furthest counterfactual</x:v>
      </x:c>
      <x:c r="O74" s="9" t="n">
        <x:f>'Evaluation Plan'!O74</x:f>
        <x:v>33</x:v>
      </x:c>
      <x:c r="P74" s="10" t="str">
        <x:f>'Evaluation Plan'!P74</x:f>
        <x:v>Build counterfactual scene A and save a first-frame filename.</x:v>
      </x:c>
      <x:c r="Q74" s="10" t="str">
        <x:f>'Evaluation Plan'!Q74</x:f>
        <x:v>Unpaired primary-endpoint coverage. Each A/B pair reverses the far physical identity with matched geometry.</x:v>
      </x:c>
      <x:c r="R74" s="10" t="str">
        <x:f>IF(ISBLANK('Evaluation Plan'!R74),"",'Evaluation Plan'!R74)</x:f>
      </x:c>
    </x:row>
    <x:row r="75" ht="66" customHeight="1">
      <x:c r="A75" s="8" t="str">
        <x:v>Not collected</x:v>
      </x:c>
      <x:c r="B75" s="8" t="n">
        <x:f>'Evaluation Plan'!B75</x:f>
        <x:v>73</x:v>
      </x:c>
      <x:c r="C75" s="7" t="str">
        <x:f>'Evaluation Plan'!C75</x:f>
        <x:v>Pick up the crushed soda can furthest from the airplane toy with propellers and place it in the bowl.</x:v>
      </x:c>
      <x:c r="D75" s="7" t="str">
        <x:f>'Evaluation Plan'!D75</x:f>
        <x:v>P1 airplane toy with propellers at R2 (5 cm left of center) [REFERENCE]; P2 crushed Pepsi can with 6 cm edge gap to the left of P1 [CLOSE CANDIDATE]; P3 crushed Coke can with 20 cm edge gap to the right of P1 [FAR CANDIDATE]; P4 red pencil sharpener with 14 cm edge gap in front of P1 [DISTRACTOR]</x:v>
      </x:c>
      <x:c r="E75" s="8" t="str">
        <x:f>IF(ISBLANK('Evaluation Plan'!E75),"",'Evaluation Plan'!E75)</x:f>
      </x:c>
      <x:c r="F75" s="8" t="str">
        <x:f>'Evaluation Plan'!F75</x:f>
        <x:v>crushed Coke can</x:v>
      </x:c>
      <x:c r="G75" s="7"/>
      <x:c r="H75" s="8" t="str">
        <x:f>'Evaluation Plan'!H75</x:f>
        <x:v>Concept/compositional transfer</x:v>
      </x:c>
      <x:c r="I75" s="8" t="str">
        <x:f>'Evaluation Plan'!I75</x:f>
        <x:v>RD-CF17B</x:v>
      </x:c>
      <x:c r="J75" s="8" t="str">
        <x:f>'Evaluation Plan'!J75</x:f>
        <x:v>RD-CF17</x:v>
      </x:c>
      <x:c r="K75" s="8" t="str">
        <x:f>'Evaluation Plan'!K75</x:f>
        <x:v>crushed soda can</x:v>
      </x:c>
      <x:c r="L75" s="8" t="str">
        <x:f>'Evaluation Plan'!L75</x:f>
        <x:v>furthest</x:v>
      </x:c>
      <x:c r="M75" s="8" t="n">
        <x:f>'Evaluation Plan'!M75</x:f>
        <x:v>4</x:v>
      </x:c>
      <x:c r="N75" s="8" t="str">
        <x:f>'Evaluation Plan'!N75</x:f>
        <x:v>Additional transfer — Additional held-out furthest counterfactual</x:v>
      </x:c>
      <x:c r="O75" s="8" t="n">
        <x:f>'Evaluation Plan'!O75</x:f>
        <x:v>34</x:v>
      </x:c>
      <x:c r="P75" s="7" t="str">
        <x:f>'Evaluation Plan'!P75</x:f>
        <x:v>Swap only the P2/P3 candidate identities from the preceding A scene; preserve all geometry and other objects.</x:v>
      </x:c>
      <x:c r="Q75" s="7" t="str">
        <x:f>'Evaluation Plan'!Q75</x:f>
        <x:v>Unpaired primary-endpoint coverage. Each A/B pair reverses the far physical identity with matched geometry.</x:v>
      </x:c>
      <x:c r="R75" s="7" t="str">
        <x:f>IF(ISBLANK('Evaluation Plan'!R75),"",'Evaluation Plan'!R75)</x:f>
      </x:c>
    </x:row>
    <x:row r="76" ht="66" customHeight="1">
      <x:c r="A76" s="9" t="str">
        <x:v>Not collected</x:v>
      </x:c>
      <x:c r="B76" s="9" t="n">
        <x:f>'Evaluation Plan'!B76</x:f>
        <x:v>74</x:v>
      </x:c>
      <x:c r="C76" s="10" t="str">
        <x:f>'Evaluation Plan'!C76</x:f>
        <x:v>Pick up the pencil sharpener furthest from the airplane toy without propellers and place it in the bowl.</x:v>
      </x:c>
      <x:c r="D76" s="10" t="str">
        <x:f>'Evaluation Plan'!D76</x:f>
        <x:v>P1 airplane toy without propellers at R3 (5 cm right of center) [REFERENCE]; P2 red pencil sharpener with 6 cm edge gap to the right of P1 [CLOSE CANDIDATE]; P3 green pencil sharpener with 20 cm edge gap to the left of P1 [FAR CANDIDATE]; P4 green pen with 14 cm edge gap behind P1 [DISTRACTOR]</x:v>
      </x:c>
      <x:c r="E76" s="9" t="str">
        <x:f>IF(ISBLANK('Evaluation Plan'!E76),"",'Evaluation Plan'!E76)</x:f>
      </x:c>
      <x:c r="F76" s="9" t="str">
        <x:f>'Evaluation Plan'!F76</x:f>
        <x:v>green pencil sharpener</x:v>
      </x:c>
      <x:c r="G76" s="10"/>
      <x:c r="H76" s="9" t="str">
        <x:f>'Evaluation Plan'!H76</x:f>
        <x:v>Concept/compositional transfer</x:v>
      </x:c>
      <x:c r="I76" s="9" t="str">
        <x:f>'Evaluation Plan'!I76</x:f>
        <x:v>RD-CF18A</x:v>
      </x:c>
      <x:c r="J76" s="9" t="str">
        <x:f>'Evaluation Plan'!J76</x:f>
        <x:v>RD-CF18</x:v>
      </x:c>
      <x:c r="K76" s="9" t="str">
        <x:f>'Evaluation Plan'!K76</x:f>
        <x:v>pencil sharpener</x:v>
      </x:c>
      <x:c r="L76" s="9" t="str">
        <x:f>'Evaluation Plan'!L76</x:f>
        <x:v>furthest</x:v>
      </x:c>
      <x:c r="M76" s="9" t="n">
        <x:f>'Evaluation Plan'!M76</x:f>
        <x:v>4</x:v>
      </x:c>
      <x:c r="N76" s="9" t="str">
        <x:f>'Evaluation Plan'!N76</x:f>
        <x:v>Additional transfer — Additional held-out furthest counterfactual</x:v>
      </x:c>
      <x:c r="O76" s="9" t="n">
        <x:f>'Evaluation Plan'!O76</x:f>
        <x:v>35</x:v>
      </x:c>
      <x:c r="P76" s="10" t="str">
        <x:f>'Evaluation Plan'!P76</x:f>
        <x:v>Build counterfactual scene A and save a first-frame filename.</x:v>
      </x:c>
      <x:c r="Q76" s="10" t="str">
        <x:f>'Evaluation Plan'!Q76</x:f>
        <x:v>Unpaired primary-endpoint coverage. Each A/B pair reverses the far physical identity with matched geometry.</x:v>
      </x:c>
      <x:c r="R76" s="10" t="str">
        <x:f>IF(ISBLANK('Evaluation Plan'!R76),"",'Evaluation Plan'!R76)</x:f>
      </x:c>
    </x:row>
    <x:row r="77" ht="66" customHeight="1">
      <x:c r="A77" s="8" t="str">
        <x:v>Not collected</x:v>
      </x:c>
      <x:c r="B77" s="8" t="n">
        <x:f>'Evaluation Plan'!B77</x:f>
        <x:v>75</x:v>
      </x:c>
      <x:c r="C77" s="7" t="str">
        <x:f>'Evaluation Plan'!C77</x:f>
        <x:v>Pick up the pencil sharpener furthest from the airplane toy without propellers and place it in the bowl.</x:v>
      </x:c>
      <x:c r="D77" s="7" t="str">
        <x:f>'Evaluation Plan'!D77</x:f>
        <x:v>P1 airplane toy without propellers at R3 (5 cm right of center) [REFERENCE]; P2 green pencil sharpener with 6 cm edge gap to the right of P1 [CLOSE CANDIDATE]; P3 red pencil sharpener with 20 cm edge gap to the left of P1 [FAR CANDIDATE]; P4 green pen with 14 cm edge gap behind P1 [DISTRACTOR]</x:v>
      </x:c>
      <x:c r="E77" s="8" t="str">
        <x:f>IF(ISBLANK('Evaluation Plan'!E77),"",'Evaluation Plan'!E77)</x:f>
      </x:c>
      <x:c r="F77" s="8" t="str">
        <x:f>'Evaluation Plan'!F77</x:f>
        <x:v>red pencil sharpener</x:v>
      </x:c>
      <x:c r="G77" s="7"/>
      <x:c r="H77" s="8" t="str">
        <x:f>'Evaluation Plan'!H77</x:f>
        <x:v>Concept/compositional transfer</x:v>
      </x:c>
      <x:c r="I77" s="8" t="str">
        <x:f>'Evaluation Plan'!I77</x:f>
        <x:v>RD-CF18B</x:v>
      </x:c>
      <x:c r="J77" s="8" t="str">
        <x:f>'Evaluation Plan'!J77</x:f>
        <x:v>RD-CF18</x:v>
      </x:c>
      <x:c r="K77" s="8" t="str">
        <x:f>'Evaluation Plan'!K77</x:f>
        <x:v>pencil sharpener</x:v>
      </x:c>
      <x:c r="L77" s="8" t="str">
        <x:f>'Evaluation Plan'!L77</x:f>
        <x:v>furthest</x:v>
      </x:c>
      <x:c r="M77" s="8" t="n">
        <x:f>'Evaluation Plan'!M77</x:f>
        <x:v>4</x:v>
      </x:c>
      <x:c r="N77" s="8" t="str">
        <x:f>'Evaluation Plan'!N77</x:f>
        <x:v>Additional transfer — Additional held-out furthest counterfactual</x:v>
      </x:c>
      <x:c r="O77" s="8" t="n">
        <x:f>'Evaluation Plan'!O77</x:f>
        <x:v>36</x:v>
      </x:c>
      <x:c r="P77" s="7" t="str">
        <x:f>'Evaluation Plan'!P77</x:f>
        <x:v>Swap only the P2/P3 candidate identities from the preceding A scene; preserve all geometry and other objects.</x:v>
      </x:c>
      <x:c r="Q77" s="7" t="str">
        <x:f>'Evaluation Plan'!Q77</x:f>
        <x:v>Unpaired primary-endpoint coverage. Each A/B pair reverses the far physical identity with matched geometry.</x:v>
      </x:c>
      <x:c r="R77" s="7" t="str">
        <x:f>IF(ISBLANK('Evaluation Plan'!R77),"",'Evaluation Plan'!R77)</x:f>
      </x:c>
    </x:row>
    <x:row r="78" ht="66" customHeight="1">
      <x:c r="A78" s="9" t="str">
        <x:v>Not collected</x:v>
      </x:c>
      <x:c r="B78" s="9" t="n">
        <x:f>'Evaluation Plan'!B78</x:f>
        <x:v>76</x:v>
      </x:c>
      <x:c r="C78" s="10" t="str">
        <x:f>'Evaluation Plan'!C78</x:f>
        <x:v>Pick up the pen furthest from the crushed Coke can and place it in the bowl.</x:v>
      </x:c>
      <x:c r="D78" s="10" t="str">
        <x:f>'Evaluation Plan'!D78</x:f>
        <x:v>P1 crushed Coke can at R4 (5 cm toward the robot from center) [REFERENCE]; P2 green pen with 6 cm edge gap in front of P1 [CLOSE CANDIDATE]; P3 yellow pen with 20 cm edge gap behind P1 [FAR CANDIDATE]; P4 airplane toy with propellers with 14 cm edge gap to the left of P1 [DISTRACTOR]</x:v>
      </x:c>
      <x:c r="E78" s="9" t="str">
        <x:f>IF(ISBLANK('Evaluation Plan'!E78),"",'Evaluation Plan'!E78)</x:f>
      </x:c>
      <x:c r="F78" s="9" t="str">
        <x:f>'Evaluation Plan'!F78</x:f>
        <x:v>yellow pen</x:v>
      </x:c>
      <x:c r="G78" s="10"/>
      <x:c r="H78" s="9" t="str">
        <x:f>'Evaluation Plan'!H78</x:f>
        <x:v>Concept/compositional transfer</x:v>
      </x:c>
      <x:c r="I78" s="9" t="str">
        <x:f>'Evaluation Plan'!I78</x:f>
        <x:v>RD-CF19A</x:v>
      </x:c>
      <x:c r="J78" s="9" t="str">
        <x:f>'Evaluation Plan'!J78</x:f>
        <x:v>RD-CF19</x:v>
      </x:c>
      <x:c r="K78" s="9" t="str">
        <x:f>'Evaluation Plan'!K78</x:f>
        <x:v>pen</x:v>
      </x:c>
      <x:c r="L78" s="9" t="str">
        <x:f>'Evaluation Plan'!L78</x:f>
        <x:v>furthest</x:v>
      </x:c>
      <x:c r="M78" s="9" t="n">
        <x:f>'Evaluation Plan'!M78</x:f>
        <x:v>4</x:v>
      </x:c>
      <x:c r="N78" s="9" t="str">
        <x:f>'Evaluation Plan'!N78</x:f>
        <x:v>Additional transfer — Additional held-out furthest counterfactual</x:v>
      </x:c>
      <x:c r="O78" s="9" t="n">
        <x:f>'Evaluation Plan'!O78</x:f>
        <x:v>37</x:v>
      </x:c>
      <x:c r="P78" s="10" t="str">
        <x:f>'Evaluation Plan'!P78</x:f>
        <x:v>Build counterfactual scene A and save a first-frame filename.</x:v>
      </x:c>
      <x:c r="Q78" s="10" t="str">
        <x:f>'Evaluation Plan'!Q78</x:f>
        <x:v>Unpaired primary-endpoint coverage. Each A/B pair reverses the far physical identity with matched geometry.</x:v>
      </x:c>
      <x:c r="R78" s="10" t="str">
        <x:f>IF(ISBLANK('Evaluation Plan'!R78),"",'Evaluation Plan'!R78)</x:f>
      </x:c>
    </x:row>
    <x:row r="79" ht="66" customHeight="1">
      <x:c r="A79" s="8" t="str">
        <x:v>Not collected</x:v>
      </x:c>
      <x:c r="B79" s="8" t="n">
        <x:f>'Evaluation Plan'!B79</x:f>
        <x:v>77</x:v>
      </x:c>
      <x:c r="C79" s="7" t="str">
        <x:f>'Evaluation Plan'!C79</x:f>
        <x:v>Pick up the pen furthest from the crushed Coke can and place it in the bowl.</x:v>
      </x:c>
      <x:c r="D79" s="7" t="str">
        <x:f>'Evaluation Plan'!D79</x:f>
        <x:v>P1 crushed Coke can at R4 (5 cm toward the robot from center) [REFERENCE]; P2 yellow pen with 6 cm edge gap in front of P1 [CLOSE CANDIDATE]; P3 green pen with 20 cm edge gap behind P1 [FAR CANDIDATE]; P4 airplane toy with propellers with 14 cm edge gap to the left of P1 [DISTRACTOR]</x:v>
      </x:c>
      <x:c r="E79" s="8" t="str">
        <x:f>IF(ISBLANK('Evaluation Plan'!E79),"",'Evaluation Plan'!E79)</x:f>
      </x:c>
      <x:c r="F79" s="8" t="str">
        <x:f>'Evaluation Plan'!F79</x:f>
        <x:v>green pen</x:v>
      </x:c>
      <x:c r="G79" s="7"/>
      <x:c r="H79" s="8" t="str">
        <x:f>'Evaluation Plan'!H79</x:f>
        <x:v>Concept/compositional transfer</x:v>
      </x:c>
      <x:c r="I79" s="8" t="str">
        <x:f>'Evaluation Plan'!I79</x:f>
        <x:v>RD-CF19B</x:v>
      </x:c>
      <x:c r="J79" s="8" t="str">
        <x:f>'Evaluation Plan'!J79</x:f>
        <x:v>RD-CF19</x:v>
      </x:c>
      <x:c r="K79" s="8" t="str">
        <x:f>'Evaluation Plan'!K79</x:f>
        <x:v>pen</x:v>
      </x:c>
      <x:c r="L79" s="8" t="str">
        <x:f>'Evaluation Plan'!L79</x:f>
        <x:v>furthest</x:v>
      </x:c>
      <x:c r="M79" s="8" t="n">
        <x:f>'Evaluation Plan'!M79</x:f>
        <x:v>4</x:v>
      </x:c>
      <x:c r="N79" s="8" t="str">
        <x:f>'Evaluation Plan'!N79</x:f>
        <x:v>Additional transfer — Additional held-out furthest counterfactual</x:v>
      </x:c>
      <x:c r="O79" s="8" t="n">
        <x:f>'Evaluation Plan'!O79</x:f>
        <x:v>38</x:v>
      </x:c>
      <x:c r="P79" s="7" t="str">
        <x:f>'Evaluation Plan'!P79</x:f>
        <x:v>Swap only the P2/P3 candidate identities from the preceding A scene; preserve all geometry and other objects.</x:v>
      </x:c>
      <x:c r="Q79" s="7" t="str">
        <x:f>'Evaluation Plan'!Q79</x:f>
        <x:v>Unpaired primary-endpoint coverage. Each A/B pair reverses the far physical identity with matched geometry.</x:v>
      </x:c>
      <x:c r="R79" s="7" t="str">
        <x:f>IF(ISBLANK('Evaluation Plan'!R79),"",'Evaluation Plan'!R79)</x:f>
      </x:c>
    </x:row>
    <x:row r="80" ht="66" customHeight="1">
      <x:c r="A80" s="9" t="str">
        <x:v>Not collected</x:v>
      </x:c>
      <x:c r="B80" s="9" t="n">
        <x:f>'Evaluation Plan'!B80</x:f>
        <x:v>78</x:v>
      </x:c>
      <x:c r="C80" s="10" t="str">
        <x:f>'Evaluation Plan'!C80</x:f>
        <x:v>Pick up the airplane toy furthest from the yellow pen and place it in the bowl.</x:v>
      </x:c>
      <x:c r="D80" s="10" t="str">
        <x:f>'Evaluation Plan'!D80</x:f>
        <x:v>P1 yellow pen at R5 (5 cm away from the robot from center) [REFERENCE]; P2 airplane toy without propellers with 6 cm edge gap behind P1 [CLOSE CANDIDATE]; P3 airplane toy with propellers with 20 cm edge gap in front of P1 [FAR CANDIDATE]; P4 green pen with 14 cm edge gap to the right of P1 [DISTRACTOR]</x:v>
      </x:c>
      <x:c r="E80" s="9" t="str">
        <x:f>IF(ISBLANK('Evaluation Plan'!E80),"",'Evaluation Plan'!E80)</x:f>
      </x:c>
      <x:c r="F80" s="9" t="str">
        <x:f>'Evaluation Plan'!F80</x:f>
        <x:v>airplane toy with propellers</x:v>
      </x:c>
      <x:c r="G80" s="10"/>
      <x:c r="H80" s="9" t="str">
        <x:f>'Evaluation Plan'!H80</x:f>
        <x:v>Concept/compositional transfer</x:v>
      </x:c>
      <x:c r="I80" s="9" t="str">
        <x:f>'Evaluation Plan'!I80</x:f>
        <x:v>RD-CF20A</x:v>
      </x:c>
      <x:c r="J80" s="9" t="str">
        <x:f>'Evaluation Plan'!J80</x:f>
        <x:v>RD-CF20</x:v>
      </x:c>
      <x:c r="K80" s="9" t="str">
        <x:f>'Evaluation Plan'!K80</x:f>
        <x:v>airplane toy</x:v>
      </x:c>
      <x:c r="L80" s="9" t="str">
        <x:f>'Evaluation Plan'!L80</x:f>
        <x:v>furthest</x:v>
      </x:c>
      <x:c r="M80" s="9" t="n">
        <x:f>'Evaluation Plan'!M80</x:f>
        <x:v>4</x:v>
      </x:c>
      <x:c r="N80" s="9" t="str">
        <x:f>'Evaluation Plan'!N80</x:f>
        <x:v>Additional transfer — Additional held-out furthest counterfactual</x:v>
      </x:c>
      <x:c r="O80" s="9" t="n">
        <x:f>'Evaluation Plan'!O80</x:f>
        <x:v>39</x:v>
      </x:c>
      <x:c r="P80" s="10" t="str">
        <x:f>'Evaluation Plan'!P80</x:f>
        <x:v>Build counterfactual scene A and save a first-frame filename.</x:v>
      </x:c>
      <x:c r="Q80" s="10" t="str">
        <x:f>'Evaluation Plan'!Q80</x:f>
        <x:v>Unpaired primary-endpoint coverage. Each A/B pair reverses the far physical identity with matched geometry.</x:v>
      </x:c>
      <x:c r="R80" s="10" t="str">
        <x:f>IF(ISBLANK('Evaluation Plan'!R80),"",'Evaluation Plan'!R80)</x:f>
      </x:c>
    </x:row>
    <x:row r="81" ht="66" customHeight="1">
      <x:c r="A81" s="8" t="str">
        <x:v>Not collected</x:v>
      </x:c>
      <x:c r="B81" s="8" t="n">
        <x:f>'Evaluation Plan'!B81</x:f>
        <x:v>79</x:v>
      </x:c>
      <x:c r="C81" s="7" t="str">
        <x:f>'Evaluation Plan'!C81</x:f>
        <x:v>Pick up the airplane toy furthest from the yellow pen and place it in the bowl.</x:v>
      </x:c>
      <x:c r="D81" s="7" t="str">
        <x:f>'Evaluation Plan'!D81</x:f>
        <x:v>P1 yellow pen at R5 (5 cm away from the robot from center) [REFERENCE]; P2 airplane toy with propellers with 6 cm edge gap behind P1 [CLOSE CANDIDATE]; P3 airplane toy without propellers with 20 cm edge gap in front of P1 [FAR CANDIDATE]; P4 green pen with 14 cm edge gap to the right of P1 [DISTRACTOR]</x:v>
      </x:c>
      <x:c r="E81" s="8" t="str">
        <x:f>IF(ISBLANK('Evaluation Plan'!E81),"",'Evaluation Plan'!E81)</x:f>
      </x:c>
      <x:c r="F81" s="8" t="str">
        <x:f>'Evaluation Plan'!F81</x:f>
        <x:v>airplane toy without propellers</x:v>
      </x:c>
      <x:c r="G81" s="7"/>
      <x:c r="H81" s="8" t="str">
        <x:f>'Evaluation Plan'!H81</x:f>
        <x:v>Concept/compositional transfer</x:v>
      </x:c>
      <x:c r="I81" s="8" t="str">
        <x:f>'Evaluation Plan'!I81</x:f>
        <x:v>RD-CF20B</x:v>
      </x:c>
      <x:c r="J81" s="8" t="str">
        <x:f>'Evaluation Plan'!J81</x:f>
        <x:v>RD-CF20</x:v>
      </x:c>
      <x:c r="K81" s="8" t="str">
        <x:f>'Evaluation Plan'!K81</x:f>
        <x:v>airplane toy</x:v>
      </x:c>
      <x:c r="L81" s="8" t="str">
        <x:f>'Evaluation Plan'!L81</x:f>
        <x:v>furthest</x:v>
      </x:c>
      <x:c r="M81" s="8" t="n">
        <x:f>'Evaluation Plan'!M81</x:f>
        <x:v>4</x:v>
      </x:c>
      <x:c r="N81" s="8" t="str">
        <x:f>'Evaluation Plan'!N81</x:f>
        <x:v>Additional transfer — Additional held-out furthest counterfactual</x:v>
      </x:c>
      <x:c r="O81" s="8" t="n">
        <x:f>'Evaluation Plan'!O81</x:f>
        <x:v>40</x:v>
      </x:c>
      <x:c r="P81" s="7" t="str">
        <x:f>'Evaluation Plan'!P81</x:f>
        <x:v>Swap only the P2/P3 candidate identities from the preceding A scene; preserve all geometry and other objects.</x:v>
      </x:c>
      <x:c r="Q81" s="7" t="str">
        <x:f>'Evaluation Plan'!Q81</x:f>
        <x:v>Unpaired primary-endpoint coverage. Each A/B pair reverses the far physical identity with matched geometry.</x:v>
      </x:c>
      <x:c r="R81" s="7" t="str">
        <x:f>IF(ISBLANK('Evaluation Plan'!R81),"",'Evaluation Plan'!R81)</x:f>
      </x:c>
    </x:row>
    <x:row r="82" ht="66" customHeight="1">
      <x:c r="A82" s="9" t="str">
        <x:v>Not collected</x:v>
      </x:c>
      <x:c r="B82" s="9" t="n">
        <x:f>'Evaluation Plan'!B82</x:f>
        <x:v>80</x:v>
      </x:c>
      <x:c r="C82" s="10" t="str">
        <x:f>'Evaluation Plan'!C82</x:f>
        <x:v>Pick up the crushed soda can furthest from the green pencil sharpener and place it in the bowl.</x:v>
      </x:c>
      <x:c r="D82" s="10" t="str">
        <x:f>'Evaluation Plan'!D82</x:f>
        <x:v>P1 green pencil sharpener at R1 (table center) [REFERENCE]; P2 crushed Coke can with 6 cm edge gap to the left of P1 [CLOSE CANDIDATE]; P3 crushed Pepsi can with 20 cm edge gap to the right of P1 [FAR CANDIDATE]; P4 red pencil sharpener with 14 cm edge gap in front of P1 [DISTRACTOR]; P5 green pen with 14 cm edge gap behind P1 [DISTRACTOR]</x:v>
      </x:c>
      <x:c r="E82" s="9" t="str">
        <x:f>IF(ISBLANK('Evaluation Plan'!E82),"",'Evaluation Plan'!E82)</x:f>
      </x:c>
      <x:c r="F82" s="9" t="str">
        <x:f>'Evaluation Plan'!F82</x:f>
        <x:v>crushed Pepsi can</x:v>
      </x:c>
      <x:c r="G82" s="10"/>
      <x:c r="H82" s="9" t="str">
        <x:f>'Evaluation Plan'!H82</x:f>
        <x:v>Concept/compositional transfer</x:v>
      </x:c>
      <x:c r="I82" s="9" t="str">
        <x:f>'Evaluation Plan'!I82</x:f>
        <x:v>RD-CF21A</x:v>
      </x:c>
      <x:c r="J82" s="9" t="str">
        <x:f>'Evaluation Plan'!J82</x:f>
        <x:v>RD-CF21</x:v>
      </x:c>
      <x:c r="K82" s="9" t="str">
        <x:f>'Evaluation Plan'!K82</x:f>
        <x:v>crushed soda can</x:v>
      </x:c>
      <x:c r="L82" s="9" t="str">
        <x:f>'Evaluation Plan'!L82</x:f>
        <x:v>furthest</x:v>
      </x:c>
      <x:c r="M82" s="9" t="n">
        <x:f>'Evaluation Plan'!M82</x:f>
        <x:v>5</x:v>
      </x:c>
      <x:c r="N82" s="9" t="str">
        <x:f>'Evaluation Plan'!N82</x:f>
        <x:v>Additional transfer — Additional held-out furthest counterfactual</x:v>
      </x:c>
      <x:c r="O82" s="9" t="n">
        <x:f>'Evaluation Plan'!O82</x:f>
        <x:v>41</x:v>
      </x:c>
      <x:c r="P82" s="10" t="str">
        <x:f>'Evaluation Plan'!P82</x:f>
        <x:v>Build counterfactual scene A and save a first-frame filename.</x:v>
      </x:c>
      <x:c r="Q82" s="10" t="str">
        <x:f>'Evaluation Plan'!Q82</x:f>
        <x:v>Unpaired primary-endpoint coverage. Each A/B pair reverses the far physical identity with matched geometry.</x:v>
      </x:c>
      <x:c r="R82" s="10" t="str">
        <x:f>IF(ISBLANK('Evaluation Plan'!R82),"",'Evaluation Plan'!R82)</x:f>
      </x:c>
    </x:row>
    <x:row r="83" ht="66" customHeight="1">
      <x:c r="A83" s="8" t="str">
        <x:v>Not collected</x:v>
      </x:c>
      <x:c r="B83" s="8" t="n">
        <x:f>'Evaluation Plan'!B83</x:f>
        <x:v>81</x:v>
      </x:c>
      <x:c r="C83" s="7" t="str">
        <x:f>'Evaluation Plan'!C83</x:f>
        <x:v>Pick up the crushed soda can furthest from the green pencil sharpener and place it in the bowl.</x:v>
      </x:c>
      <x:c r="D83" s="7" t="str">
        <x:f>'Evaluation Plan'!D83</x:f>
        <x:v>P1 green pencil sharpener at R1 (table center) [REFERENCE]; P2 crushed Pepsi can with 6 cm edge gap to the left of P1 [CLOSE CANDIDATE]; P3 crushed Coke can with 20 cm edge gap to the right of P1 [FAR CANDIDATE]; P4 red pencil sharpener with 14 cm edge gap in front of P1 [DISTRACTOR]; P5 green pen with 14 cm edge gap behind P1 [DISTRACTOR]</x:v>
      </x:c>
      <x:c r="E83" s="8" t="str">
        <x:f>IF(ISBLANK('Evaluation Plan'!E83),"",'Evaluation Plan'!E83)</x:f>
      </x:c>
      <x:c r="F83" s="8" t="str">
        <x:f>'Evaluation Plan'!F83</x:f>
        <x:v>crushed Coke can</x:v>
      </x:c>
      <x:c r="G83" s="7"/>
      <x:c r="H83" s="8" t="str">
        <x:f>'Evaluation Plan'!H83</x:f>
        <x:v>Concept/compositional transfer</x:v>
      </x:c>
      <x:c r="I83" s="8" t="str">
        <x:f>'Evaluation Plan'!I83</x:f>
        <x:v>RD-CF21B</x:v>
      </x:c>
      <x:c r="J83" s="8" t="str">
        <x:f>'Evaluation Plan'!J83</x:f>
        <x:v>RD-CF21</x:v>
      </x:c>
      <x:c r="K83" s="8" t="str">
        <x:f>'Evaluation Plan'!K83</x:f>
        <x:v>crushed soda can</x:v>
      </x:c>
      <x:c r="L83" s="8" t="str">
        <x:f>'Evaluation Plan'!L83</x:f>
        <x:v>furthest</x:v>
      </x:c>
      <x:c r="M83" s="8" t="n">
        <x:f>'Evaluation Plan'!M83</x:f>
        <x:v>5</x:v>
      </x:c>
      <x:c r="N83" s="8" t="str">
        <x:f>'Evaluation Plan'!N83</x:f>
        <x:v>Additional transfer — Additional held-out furthest counterfactual</x:v>
      </x:c>
      <x:c r="O83" s="8" t="n">
        <x:f>'Evaluation Plan'!O83</x:f>
        <x:v>42</x:v>
      </x:c>
      <x:c r="P83" s="7" t="str">
        <x:f>'Evaluation Plan'!P83</x:f>
        <x:v>Swap only the P2/P3 candidate identities from the preceding A scene; preserve all geometry and other objects.</x:v>
      </x:c>
      <x:c r="Q83" s="7" t="str">
        <x:f>'Evaluation Plan'!Q83</x:f>
        <x:v>Unpaired primary-endpoint coverage. Each A/B pair reverses the far physical identity with matched geometry.</x:v>
      </x:c>
      <x:c r="R83" s="7" t="str">
        <x:f>IF(ISBLANK('Evaluation Plan'!R83),"",'Evaluation Plan'!R83)</x:f>
      </x:c>
    </x:row>
    <x:row r="84" ht="66" customHeight="1">
      <x:c r="A84" s="9" t="str">
        <x:v>Not collected</x:v>
      </x:c>
      <x:c r="B84" s="9" t="n">
        <x:f>'Evaluation Plan'!B84</x:f>
        <x:v>82</x:v>
      </x:c>
      <x:c r="C84" s="10" t="str">
        <x:f>'Evaluation Plan'!C84</x:f>
        <x:v>Pick up the pencil sharpener furthest from the crushed Pepsi can and place it in the bowl.</x:v>
      </x:c>
      <x:c r="D84" s="10" t="str">
        <x:f>'Evaluation Plan'!D84</x:f>
        <x:v>P1 crushed Pepsi can at R2 (5 cm left of center) [REFERENCE]; P2 red pencil sharpener with 6 cm edge gap to the right of P1 [CLOSE CANDIDATE]; P3 green pencil sharpener with 20 cm edge gap to the left of P1 [FAR CANDIDATE]; P4 green pen with 14 cm edge gap behind P1 [DISTRACTOR]; P5 yellow pen with 14 cm edge gap in front of P1 [DISTRACTOR]</x:v>
      </x:c>
      <x:c r="E84" s="9" t="str">
        <x:f>IF(ISBLANK('Evaluation Plan'!E84),"",'Evaluation Plan'!E84)</x:f>
      </x:c>
      <x:c r="F84" s="9" t="str">
        <x:f>'Evaluation Plan'!F84</x:f>
        <x:v>green pencil sharpener</x:v>
      </x:c>
      <x:c r="G84" s="10"/>
      <x:c r="H84" s="9" t="str">
        <x:f>'Evaluation Plan'!H84</x:f>
        <x:v>Concept/compositional transfer</x:v>
      </x:c>
      <x:c r="I84" s="9" t="str">
        <x:f>'Evaluation Plan'!I84</x:f>
        <x:v>RD-CF22A</x:v>
      </x:c>
      <x:c r="J84" s="9" t="str">
        <x:f>'Evaluation Plan'!J84</x:f>
        <x:v>RD-CF22</x:v>
      </x:c>
      <x:c r="K84" s="9" t="str">
        <x:f>'Evaluation Plan'!K84</x:f>
        <x:v>pencil sharpener</x:v>
      </x:c>
      <x:c r="L84" s="9" t="str">
        <x:f>'Evaluation Plan'!L84</x:f>
        <x:v>furthest</x:v>
      </x:c>
      <x:c r="M84" s="9" t="n">
        <x:f>'Evaluation Plan'!M84</x:f>
        <x:v>5</x:v>
      </x:c>
      <x:c r="N84" s="9" t="str">
        <x:f>'Evaluation Plan'!N84</x:f>
        <x:v>Additional transfer — Additional held-out furthest counterfactual</x:v>
      </x:c>
      <x:c r="O84" s="9" t="n">
        <x:f>'Evaluation Plan'!O84</x:f>
        <x:v>43</x:v>
      </x:c>
      <x:c r="P84" s="10" t="str">
        <x:f>'Evaluation Plan'!P84</x:f>
        <x:v>Build counterfactual scene A and save a first-frame filename.</x:v>
      </x:c>
      <x:c r="Q84" s="10" t="str">
        <x:f>'Evaluation Plan'!Q84</x:f>
        <x:v>Unpaired primary-endpoint coverage. Each A/B pair reverses the far physical identity with matched geometry.</x:v>
      </x:c>
      <x:c r="R84" s="10" t="str">
        <x:f>IF(ISBLANK('Evaluation Plan'!R84),"",'Evaluation Plan'!R84)</x:f>
      </x:c>
    </x:row>
    <x:row r="85" ht="66" customHeight="1">
      <x:c r="A85" s="8" t="str">
        <x:v>Not collected</x:v>
      </x:c>
      <x:c r="B85" s="8" t="n">
        <x:f>'Evaluation Plan'!B85</x:f>
        <x:v>83</x:v>
      </x:c>
      <x:c r="C85" s="7" t="str">
        <x:f>'Evaluation Plan'!C85</x:f>
        <x:v>Pick up the pencil sharpener furthest from the crushed Pepsi can and place it in the bowl.</x:v>
      </x:c>
      <x:c r="D85" s="7" t="str">
        <x:f>'Evaluation Plan'!D85</x:f>
        <x:v>P1 crushed Pepsi can at R2 (5 cm left of center) [REFERENCE]; P2 green pencil sharpener with 6 cm edge gap to the right of P1 [CLOSE CANDIDATE]; P3 red pencil sharpener with 20 cm edge gap to the left of P1 [FAR CANDIDATE]; P4 green pen with 14 cm edge gap behind P1 [DISTRACTOR]; P5 yellow pen with 14 cm edge gap in front of P1 [DISTRACTOR]</x:v>
      </x:c>
      <x:c r="E85" s="8" t="str">
        <x:f>IF(ISBLANK('Evaluation Plan'!E85),"",'Evaluation Plan'!E85)</x:f>
      </x:c>
      <x:c r="F85" s="8" t="str">
        <x:f>'Evaluation Plan'!F85</x:f>
        <x:v>red pencil sharpener</x:v>
      </x:c>
      <x:c r="G85" s="7"/>
      <x:c r="H85" s="8" t="str">
        <x:f>'Evaluation Plan'!H85</x:f>
        <x:v>Concept/compositional transfer</x:v>
      </x:c>
      <x:c r="I85" s="8" t="str">
        <x:f>'Evaluation Plan'!I85</x:f>
        <x:v>RD-CF22B</x:v>
      </x:c>
      <x:c r="J85" s="8" t="str">
        <x:f>'Evaluation Plan'!J85</x:f>
        <x:v>RD-CF22</x:v>
      </x:c>
      <x:c r="K85" s="8" t="str">
        <x:f>'Evaluation Plan'!K85</x:f>
        <x:v>pencil sharpener</x:v>
      </x:c>
      <x:c r="L85" s="8" t="str">
        <x:f>'Evaluation Plan'!L85</x:f>
        <x:v>furthest</x:v>
      </x:c>
      <x:c r="M85" s="8" t="n">
        <x:f>'Evaluation Plan'!M85</x:f>
        <x:v>5</x:v>
      </x:c>
      <x:c r="N85" s="8" t="str">
        <x:f>'Evaluation Plan'!N85</x:f>
        <x:v>Additional transfer — Additional held-out furthest counterfactual</x:v>
      </x:c>
      <x:c r="O85" s="8" t="n">
        <x:f>'Evaluation Plan'!O85</x:f>
        <x:v>44</x:v>
      </x:c>
      <x:c r="P85" s="7" t="str">
        <x:f>'Evaluation Plan'!P85</x:f>
        <x:v>Swap only the P2/P3 candidate identities from the preceding A scene; preserve all geometry and other objects.</x:v>
      </x:c>
      <x:c r="Q85" s="7" t="str">
        <x:f>'Evaluation Plan'!Q85</x:f>
        <x:v>Unpaired primary-endpoint coverage. Each A/B pair reverses the far physical identity with matched geometry.</x:v>
      </x:c>
      <x:c r="R85" s="7" t="str">
        <x:f>IF(ISBLANK('Evaluation Plan'!R85),"",'Evaluation Plan'!R85)</x:f>
      </x:c>
    </x:row>
    <x:row r="86" ht="66" customHeight="1">
      <x:c r="A86" s="9" t="str">
        <x:v>Not collected</x:v>
      </x:c>
      <x:c r="B86" s="9" t="n">
        <x:f>'Evaluation Plan'!B86</x:f>
        <x:v>84</x:v>
      </x:c>
      <x:c r="C86" s="10" t="str">
        <x:f>'Evaluation Plan'!C86</x:f>
        <x:v>Pick up the pen furthest from the airplane toy with propellers and place it in the bowl.</x:v>
      </x:c>
      <x:c r="D86" s="10" t="str">
        <x:f>'Evaluation Plan'!D86</x:f>
        <x:v>P1 airplane toy with propellers at R3 (5 cm right of center) [REFERENCE]; P2 green pen with 6 cm edge gap in front of P1 [CLOSE CANDIDATE]; P3 yellow pen with 20 cm edge gap behind P1 [FAR CANDIDATE]; P4 green pencil sharpener with 14 cm edge gap to the left of P1 [DISTRACTOR]; P5 red pencil sharpener with 14 cm edge gap to the right of P1 [DISTRACTOR]</x:v>
      </x:c>
      <x:c r="E86" s="9" t="str">
        <x:f>IF(ISBLANK('Evaluation Plan'!E86),"",'Evaluation Plan'!E86)</x:f>
      </x:c>
      <x:c r="F86" s="9" t="str">
        <x:f>'Evaluation Plan'!F86</x:f>
        <x:v>yellow pen</x:v>
      </x:c>
      <x:c r="G86" s="10"/>
      <x:c r="H86" s="9" t="str">
        <x:f>'Evaluation Plan'!H86</x:f>
        <x:v>Concept/compositional transfer</x:v>
      </x:c>
      <x:c r="I86" s="9" t="str">
        <x:f>'Evaluation Plan'!I86</x:f>
        <x:v>RD-CF23A</x:v>
      </x:c>
      <x:c r="J86" s="9" t="str">
        <x:f>'Evaluation Plan'!J86</x:f>
        <x:v>RD-CF23</x:v>
      </x:c>
      <x:c r="K86" s="9" t="str">
        <x:f>'Evaluation Plan'!K86</x:f>
        <x:v>pen</x:v>
      </x:c>
      <x:c r="L86" s="9" t="str">
        <x:f>'Evaluation Plan'!L86</x:f>
        <x:v>furthest</x:v>
      </x:c>
      <x:c r="M86" s="9" t="n">
        <x:f>'Evaluation Plan'!M86</x:f>
        <x:v>5</x:v>
      </x:c>
      <x:c r="N86" s="9" t="str">
        <x:f>'Evaluation Plan'!N86</x:f>
        <x:v>Additional transfer — Additional held-out furthest counterfactual</x:v>
      </x:c>
      <x:c r="O86" s="9" t="n">
        <x:f>'Evaluation Plan'!O86</x:f>
        <x:v>45</x:v>
      </x:c>
      <x:c r="P86" s="10" t="str">
        <x:f>'Evaluation Plan'!P86</x:f>
        <x:v>Build counterfactual scene A and save a first-frame filename.</x:v>
      </x:c>
      <x:c r="Q86" s="10" t="str">
        <x:f>'Evaluation Plan'!Q86</x:f>
        <x:v>Unpaired primary-endpoint coverage. Each A/B pair reverses the far physical identity with matched geometry.</x:v>
      </x:c>
      <x:c r="R86" s="10" t="str">
        <x:f>IF(ISBLANK('Evaluation Plan'!R86),"",'Evaluation Plan'!R86)</x:f>
      </x:c>
    </x:row>
    <x:row r="87" ht="66" customHeight="1">
      <x:c r="A87" s="8" t="str">
        <x:v>Not collected</x:v>
      </x:c>
      <x:c r="B87" s="8" t="n">
        <x:f>'Evaluation Plan'!B87</x:f>
        <x:v>85</x:v>
      </x:c>
      <x:c r="C87" s="7" t="str">
        <x:f>'Evaluation Plan'!C87</x:f>
        <x:v>Pick up the pen furthest from the airplane toy with propellers and place it in the bowl.</x:v>
      </x:c>
      <x:c r="D87" s="7" t="str">
        <x:f>'Evaluation Plan'!D87</x:f>
        <x:v>P1 airplane toy with propellers at R3 (5 cm right of center) [REFERENCE]; P2 yellow pen with 6 cm edge gap in front of P1 [CLOSE CANDIDATE]; P3 green pen with 20 cm edge gap behind P1 [FAR CANDIDATE]; P4 green pencil sharpener with 14 cm edge gap to the left of P1 [DISTRACTOR]; P5 red pencil sharpener with 14 cm edge gap to the right of P1 [DISTRACTOR]</x:v>
      </x:c>
      <x:c r="E87" s="8" t="str">
        <x:f>IF(ISBLANK('Evaluation Plan'!E87),"",'Evaluation Plan'!E87)</x:f>
      </x:c>
      <x:c r="F87" s="8" t="str">
        <x:f>'Evaluation Plan'!F87</x:f>
        <x:v>green pen</x:v>
      </x:c>
      <x:c r="G87" s="7"/>
      <x:c r="H87" s="8" t="str">
        <x:f>'Evaluation Plan'!H87</x:f>
        <x:v>Concept/compositional transfer</x:v>
      </x:c>
      <x:c r="I87" s="8" t="str">
        <x:f>'Evaluation Plan'!I87</x:f>
        <x:v>RD-CF23B</x:v>
      </x:c>
      <x:c r="J87" s="8" t="str">
        <x:f>'Evaluation Plan'!J87</x:f>
        <x:v>RD-CF23</x:v>
      </x:c>
      <x:c r="K87" s="8" t="str">
        <x:f>'Evaluation Plan'!K87</x:f>
        <x:v>pen</x:v>
      </x:c>
      <x:c r="L87" s="8" t="str">
        <x:f>'Evaluation Plan'!L87</x:f>
        <x:v>furthest</x:v>
      </x:c>
      <x:c r="M87" s="8" t="n">
        <x:f>'Evaluation Plan'!M87</x:f>
        <x:v>5</x:v>
      </x:c>
      <x:c r="N87" s="8" t="str">
        <x:f>'Evaluation Plan'!N87</x:f>
        <x:v>Additional transfer — Additional held-out furthest counterfactual</x:v>
      </x:c>
      <x:c r="O87" s="8" t="n">
        <x:f>'Evaluation Plan'!O87</x:f>
        <x:v>46</x:v>
      </x:c>
      <x:c r="P87" s="7" t="str">
        <x:f>'Evaluation Plan'!P87</x:f>
        <x:v>Swap only the P2/P3 candidate identities from the preceding A scene; preserve all geometry and other objects.</x:v>
      </x:c>
      <x:c r="Q87" s="7" t="str">
        <x:f>'Evaluation Plan'!Q87</x:f>
        <x:v>Unpaired primary-endpoint coverage. Each A/B pair reverses the far physical identity with matched geometry.</x:v>
      </x:c>
      <x:c r="R87" s="7" t="str">
        <x:f>IF(ISBLANK('Evaluation Plan'!R87),"",'Evaluation Plan'!R87)</x:f>
      </x:c>
    </x:row>
    <x:row r="88" ht="66" customHeight="1">
      <x:c r="A88" s="9" t="str">
        <x:v>Not collected</x:v>
      </x:c>
      <x:c r="B88" s="9" t="n">
        <x:f>'Evaluation Plan'!B88</x:f>
        <x:v>86</x:v>
      </x:c>
      <x:c r="C88" s="10" t="str">
        <x:f>'Evaluation Plan'!C88</x:f>
        <x:v>Pick up the airplane toy furthest from the crushed Pepsi can and place it in the bowl.</x:v>
      </x:c>
      <x:c r="D88" s="10" t="str">
        <x:f>'Evaluation Plan'!D88</x:f>
        <x:v>P1 crushed Pepsi can at R4 (5 cm toward the robot from center) [REFERENCE]; P2 airplane toy without propellers with 6 cm edge gap behind P1 [CLOSE CANDIDATE]; P3 airplane toy with propellers with 20 cm edge gap in front of P1 [FAR CANDIDATE]; P4 green pen with 14 cm edge gap to the right of P1 [DISTRACTOR]; P5 yellow pen with 14 cm edge gap to the left of P1 [DISTRACTOR]</x:v>
      </x:c>
      <x:c r="E88" s="9" t="str">
        <x:f>IF(ISBLANK('Evaluation Plan'!E88),"",'Evaluation Plan'!E88)</x:f>
      </x:c>
      <x:c r="F88" s="9" t="str">
        <x:f>'Evaluation Plan'!F88</x:f>
        <x:v>airplane toy with propellers</x:v>
      </x:c>
      <x:c r="G88" s="10"/>
      <x:c r="H88" s="9" t="str">
        <x:f>'Evaluation Plan'!H88</x:f>
        <x:v>Concept/compositional transfer</x:v>
      </x:c>
      <x:c r="I88" s="9" t="str">
        <x:f>'Evaluation Plan'!I88</x:f>
        <x:v>RD-CF24A</x:v>
      </x:c>
      <x:c r="J88" s="9" t="str">
        <x:f>'Evaluation Plan'!J88</x:f>
        <x:v>RD-CF24</x:v>
      </x:c>
      <x:c r="K88" s="9" t="str">
        <x:f>'Evaluation Plan'!K88</x:f>
        <x:v>airplane toy</x:v>
      </x:c>
      <x:c r="L88" s="9" t="str">
        <x:f>'Evaluation Plan'!L88</x:f>
        <x:v>furthest</x:v>
      </x:c>
      <x:c r="M88" s="9" t="n">
        <x:f>'Evaluation Plan'!M88</x:f>
        <x:v>5</x:v>
      </x:c>
      <x:c r="N88" s="9" t="str">
        <x:f>'Evaluation Plan'!N88</x:f>
        <x:v>Additional transfer — Additional held-out furthest counterfactual</x:v>
      </x:c>
      <x:c r="O88" s="9" t="n">
        <x:f>'Evaluation Plan'!O88</x:f>
        <x:v>47</x:v>
      </x:c>
      <x:c r="P88" s="10" t="str">
        <x:f>'Evaluation Plan'!P88</x:f>
        <x:v>Build counterfactual scene A and save a first-frame filename.</x:v>
      </x:c>
      <x:c r="Q88" s="10" t="str">
        <x:f>'Evaluation Plan'!Q88</x:f>
        <x:v>Unpaired primary-endpoint coverage. Each A/B pair reverses the far physical identity with matched geometry.</x:v>
      </x:c>
      <x:c r="R88" s="10" t="str">
        <x:f>IF(ISBLANK('Evaluation Plan'!R88),"",'Evaluation Plan'!R88)</x:f>
      </x:c>
    </x:row>
    <x:row r="89" ht="66" customHeight="1">
      <x:c r="A89" s="8" t="str">
        <x:v>Not collected</x:v>
      </x:c>
      <x:c r="B89" s="8" t="n">
        <x:f>'Evaluation Plan'!B89</x:f>
        <x:v>87</x:v>
      </x:c>
      <x:c r="C89" s="7" t="str">
        <x:f>'Evaluation Plan'!C89</x:f>
        <x:v>Pick up the airplane toy furthest from the crushed Pepsi can and place it in the bowl.</x:v>
      </x:c>
      <x:c r="D89" s="7" t="str">
        <x:f>'Evaluation Plan'!D89</x:f>
        <x:v>P1 crushed Pepsi can at R4 (5 cm toward the robot from center) [REFERENCE]; P2 airplane toy with propellers with 6 cm edge gap behind P1 [CLOSE CANDIDATE]; P3 airplane toy without propellers with 20 cm edge gap in front of P1 [FAR CANDIDATE]; P4 green pen with 14 cm edge gap to the right of P1 [DISTRACTOR]; P5 yellow pen with 14 cm edge gap to the left of P1 [DISTRACTOR]</x:v>
      </x:c>
      <x:c r="E89" s="8" t="str">
        <x:f>IF(ISBLANK('Evaluation Plan'!E89),"",'Evaluation Plan'!E89)</x:f>
      </x:c>
      <x:c r="F89" s="8" t="str">
        <x:f>'Evaluation Plan'!F89</x:f>
        <x:v>airplane toy without propellers</x:v>
      </x:c>
      <x:c r="G89" s="7"/>
      <x:c r="H89" s="8" t="str">
        <x:f>'Evaluation Plan'!H89</x:f>
        <x:v>Concept/compositional transfer</x:v>
      </x:c>
      <x:c r="I89" s="8" t="str">
        <x:f>'Evaluation Plan'!I89</x:f>
        <x:v>RD-CF24B</x:v>
      </x:c>
      <x:c r="J89" s="8" t="str">
        <x:f>'Evaluation Plan'!J89</x:f>
        <x:v>RD-CF24</x:v>
      </x:c>
      <x:c r="K89" s="8" t="str">
        <x:f>'Evaluation Plan'!K89</x:f>
        <x:v>airplane toy</x:v>
      </x:c>
      <x:c r="L89" s="8" t="str">
        <x:f>'Evaluation Plan'!L89</x:f>
        <x:v>furthest</x:v>
      </x:c>
      <x:c r="M89" s="8" t="n">
        <x:f>'Evaluation Plan'!M89</x:f>
        <x:v>5</x:v>
      </x:c>
      <x:c r="N89" s="8" t="str">
        <x:f>'Evaluation Plan'!N89</x:f>
        <x:v>Additional transfer — Additional held-out furthest counterfactual</x:v>
      </x:c>
      <x:c r="O89" s="8" t="n">
        <x:f>'Evaluation Plan'!O89</x:f>
        <x:v>48</x:v>
      </x:c>
      <x:c r="P89" s="7" t="str">
        <x:f>'Evaluation Plan'!P89</x:f>
        <x:v>Swap only the P2/P3 candidate identities from the preceding A scene; preserve all geometry and other objects.</x:v>
      </x:c>
      <x:c r="Q89" s="7" t="str">
        <x:f>'Evaluation Plan'!Q89</x:f>
        <x:v>Unpaired primary-endpoint coverage. Each A/B pair reverses the far physical identity with matched geometry.</x:v>
      </x:c>
      <x:c r="R89" s="7" t="str">
        <x:f>IF(ISBLANK('Evaluation Plan'!R89),"",'Evaluation Plan'!R89)</x:f>
      </x:c>
    </x:row>
    <x:row r="90" ht="66" customHeight="1">
      <x:c r="A90" s="9" t="str">
        <x:v>Not collected</x:v>
      </x:c>
      <x:c r="B90" s="9" t="n">
        <x:f>'Evaluation Plan'!B90</x:f>
        <x:v>88</x:v>
      </x:c>
      <x:c r="C90" s="10" t="str">
        <x:f>'Evaluation Plan'!C90</x:f>
        <x:v>Pick up the crushed soda can furthest from the green pen and place it in the bowl.</x:v>
      </x:c>
      <x:c r="D90" s="10" t="str">
        <x:f>'Evaluation Plan'!D90</x:f>
        <x:v>P1 green pen at R5 (5 cm away from the robot from center) [REFERENCE]; P2 crushed Coke can with 6 cm edge gap to the left of P1 [CLOSE CANDIDATE]; P3 crushed Pepsi can with 20 cm edge gap to the right of P1 [FAR CANDIDATE]; P4 airplane toy without propellers with 14 cm edge gap in front of P1 [DISTRACTOR]; P5 green pencil sharpener with 14 cm edge gap behind P1 [DISTRACTOR]</x:v>
      </x:c>
      <x:c r="E90" s="9" t="str">
        <x:f>IF(ISBLANK('Evaluation Plan'!E90),"",'Evaluation Plan'!E90)</x:f>
      </x:c>
      <x:c r="F90" s="9" t="str">
        <x:f>'Evaluation Plan'!F90</x:f>
        <x:v>crushed Pepsi can</x:v>
      </x:c>
      <x:c r="G90" s="10"/>
      <x:c r="H90" s="9" t="str">
        <x:f>'Evaluation Plan'!H90</x:f>
        <x:v>Concept/compositional transfer</x:v>
      </x:c>
      <x:c r="I90" s="9" t="str">
        <x:f>'Evaluation Plan'!I90</x:f>
        <x:v>RD-CF25A</x:v>
      </x:c>
      <x:c r="J90" s="9" t="str">
        <x:f>'Evaluation Plan'!J90</x:f>
        <x:v>RD-CF25</x:v>
      </x:c>
      <x:c r="K90" s="9" t="str">
        <x:f>'Evaluation Plan'!K90</x:f>
        <x:v>crushed soda can</x:v>
      </x:c>
      <x:c r="L90" s="9" t="str">
        <x:f>'Evaluation Plan'!L90</x:f>
        <x:v>furthest</x:v>
      </x:c>
      <x:c r="M90" s="9" t="n">
        <x:f>'Evaluation Plan'!M90</x:f>
        <x:v>5</x:v>
      </x:c>
      <x:c r="N90" s="9" t="str">
        <x:f>'Evaluation Plan'!N90</x:f>
        <x:v>Additional transfer — Additional held-out furthest counterfactual</x:v>
      </x:c>
      <x:c r="O90" s="9" t="n">
        <x:f>'Evaluation Plan'!O90</x:f>
        <x:v>49</x:v>
      </x:c>
      <x:c r="P90" s="10" t="str">
        <x:f>'Evaluation Plan'!P90</x:f>
        <x:v>Build counterfactual scene A and save a first-frame filename.</x:v>
      </x:c>
      <x:c r="Q90" s="10" t="str">
        <x:f>'Evaluation Plan'!Q90</x:f>
        <x:v>Unpaired primary-endpoint coverage. Each A/B pair reverses the far physical identity with matched geometry.</x:v>
      </x:c>
      <x:c r="R90" s="10" t="str">
        <x:f>IF(ISBLANK('Evaluation Plan'!R90),"",'Evaluation Plan'!R90)</x:f>
      </x:c>
    </x:row>
    <x:row r="91" ht="66" customHeight="1">
      <x:c r="A91" s="8" t="str">
        <x:v>Not collected</x:v>
      </x:c>
      <x:c r="B91" s="8" t="n">
        <x:f>'Evaluation Plan'!B91</x:f>
        <x:v>89</x:v>
      </x:c>
      <x:c r="C91" s="7" t="str">
        <x:f>'Evaluation Plan'!C91</x:f>
        <x:v>Pick up the crushed soda can furthest from the green pen and place it in the bowl.</x:v>
      </x:c>
      <x:c r="D91" s="7" t="str">
        <x:f>'Evaluation Plan'!D91</x:f>
        <x:v>P1 green pen at R5 (5 cm away from the robot from center) [REFERENCE]; P2 crushed Pepsi can with 6 cm edge gap to the left of P1 [CLOSE CANDIDATE]; P3 crushed Coke can with 20 cm edge gap to the right of P1 [FAR CANDIDATE]; P4 airplane toy without propellers with 14 cm edge gap in front of P1 [DISTRACTOR]; P5 green pencil sharpener with 14 cm edge gap behind P1 [DISTRACTOR]</x:v>
      </x:c>
      <x:c r="E91" s="8" t="str">
        <x:f>IF(ISBLANK('Evaluation Plan'!E91),"",'Evaluation Plan'!E91)</x:f>
      </x:c>
      <x:c r="F91" s="8" t="str">
        <x:f>'Evaluation Plan'!F91</x:f>
        <x:v>crushed Coke can</x:v>
      </x:c>
      <x:c r="G91" s="7"/>
      <x:c r="H91" s="8" t="str">
        <x:f>'Evaluation Plan'!H91</x:f>
        <x:v>Concept/compositional transfer</x:v>
      </x:c>
      <x:c r="I91" s="8" t="str">
        <x:f>'Evaluation Plan'!I91</x:f>
        <x:v>RD-CF25B</x:v>
      </x:c>
      <x:c r="J91" s="8" t="str">
        <x:f>'Evaluation Plan'!J91</x:f>
        <x:v>RD-CF25</x:v>
      </x:c>
      <x:c r="K91" s="8" t="str">
        <x:f>'Evaluation Plan'!K91</x:f>
        <x:v>crushed soda can</x:v>
      </x:c>
      <x:c r="L91" s="8" t="str">
        <x:f>'Evaluation Plan'!L91</x:f>
        <x:v>furthest</x:v>
      </x:c>
      <x:c r="M91" s="8" t="n">
        <x:f>'Evaluation Plan'!M91</x:f>
        <x:v>5</x:v>
      </x:c>
      <x:c r="N91" s="8" t="str">
        <x:f>'Evaluation Plan'!N91</x:f>
        <x:v>Additional transfer — Additional held-out furthest counterfactual</x:v>
      </x:c>
      <x:c r="O91" s="8" t="n">
        <x:f>'Evaluation Plan'!O91</x:f>
        <x:v>50</x:v>
      </x:c>
      <x:c r="P91" s="7" t="str">
        <x:f>'Evaluation Plan'!P91</x:f>
        <x:v>Swap only the P2/P3 candidate identities from the preceding A scene; preserve all geometry and other objects.</x:v>
      </x:c>
      <x:c r="Q91" s="7" t="str">
        <x:f>'Evaluation Plan'!Q91</x:f>
        <x:v>Unpaired primary-endpoint coverage. Each A/B pair reverses the far physical identity with matched geometry.</x:v>
      </x:c>
      <x:c r="R91" s="7" t="str">
        <x:f>IF(ISBLANK('Evaluation Plan'!R91),"",'Evaluation Plan'!R91)</x:f>
      </x:c>
    </x:row>
    <x:row r="92" ht="66" customHeight="1">
      <x:c r="A92" s="9" t="str">
        <x:v>Not collected</x:v>
      </x:c>
      <x:c r="B92" s="9" t="n">
        <x:f>'Evaluation Plan'!B92</x:f>
        <x:v>90</x:v>
      </x:c>
      <x:c r="C92" s="10" t="str">
        <x:f>'Evaluation Plan'!C92</x:f>
        <x:v>Pick up the block nearest to the green pen and place it in the bowl.</x:v>
      </x:c>
      <x:c r="D92" s="10" t="str">
        <x:f>'Evaluation Plan'!D92</x:f>
        <x:v>P1 green pen at R1 (table center) [REFERENCE]; P2 red block with 6 cm edge gap in front of P1 [CLOSE CANDIDATE]; P3 blue block with 20 cm edge gap behind P1 [FAR CANDIDATE]</x:v>
      </x:c>
      <x:c r="E92" s="9" t="str">
        <x:f>IF(ISBLANK('Evaluation Plan'!E92),"",'Evaluation Plan'!E92)</x:f>
      </x:c>
      <x:c r="F92" s="9" t="str">
        <x:f>'Evaluation Plan'!F92</x:f>
        <x:v>red block</x:v>
      </x:c>
      <x:c r="G92" s="10"/>
      <x:c r="H92" s="9" t="str">
        <x:f>'Evaluation Plan'!H92</x:f>
        <x:v>Block closest baseline</x:v>
      </x:c>
      <x:c r="I92" s="9" t="str">
        <x:f>'Evaluation Plan'!I92</x:f>
        <x:v>RD-BLK01</x:v>
      </x:c>
      <x:c r="J92" s="9" t="str">
        <x:f>'Evaluation Plan'!J92</x:f>
        <x:v>RD-BLK01</x:v>
      </x:c>
      <x:c r="K92" s="9" t="str">
        <x:f>'Evaluation Plan'!K92</x:f>
        <x:v>block</x:v>
      </x:c>
      <x:c r="L92" s="9" t="str">
        <x:f>'Evaluation Plan'!L92</x:f>
        <x:v>closest</x:v>
      </x:c>
      <x:c r="M92" s="9" t="n">
        <x:f>'Evaluation Plan'!M92</x:f>
        <x:v>3</x:v>
      </x:c>
      <x:c r="N92" s="9" t="str">
        <x:f>'Evaluation Plan'!N92</x:f>
        <x:v>1 — Block closest baseline — Cross-task red/blue blocks as candidate pair; seen closest concept</x:v>
      </x:c>
      <x:c r="O92" s="9" t="n">
        <x:f>'Evaluation Plan'!O92</x:f>
        <x:v>51</x:v>
      </x:c>
      <x:c r="P92" s="10" t="str">
        <x:f>'Evaluation Plan'!P92</x:f>
        <x:v>Build the listed scene with both red and blue blocks present. Save a first-frame filename before the baseline.</x:v>
      </x:c>
      <x:c r="Q92" s="10" t="str">
        <x:f>'Evaluation Plan'!Q92</x:f>
        <x:v>Red and blue blocks are equally trained in Relational Placement but absent from Referential Disambiguation. The closest baseline checks the relevant cross-task visual role.</x:v>
      </x:c>
      <x:c r="R92" s="10" t="str">
        <x:f>IF(ISBLANK('Evaluation Plan'!R92),"",'Evaluation Plan'!R92)</x:f>
      </x:c>
    </x:row>
    <x:row r="93" ht="66" customHeight="1">
      <x:c r="A93" s="8" t="str">
        <x:v>Not collected</x:v>
      </x:c>
      <x:c r="B93" s="8" t="n">
        <x:f>'Evaluation Plan'!B93</x:f>
        <x:v>91</x:v>
      </x:c>
      <x:c r="C93" s="7" t="str">
        <x:f>'Evaluation Plan'!C93</x:f>
        <x:v>Pick up the block furthest from the green pen and place it in the bowl.</x:v>
      </x:c>
      <x:c r="D93" s="7" t="str">
        <x:f>'Evaluation Plan'!D93</x:f>
        <x:v>P1 green pen at R1 (table center) [REFERENCE]; P2 red block with 6 cm edge gap in front of P1 [CLOSE CANDIDATE]; P3 blue block with 20 cm edge gap behind P1 [FAR CANDIDATE]</x:v>
      </x:c>
      <x:c r="E93" s="8" t="n">
        <x:f>IF(ISBLANK('Evaluation Plan'!E93),"",'Evaluation Plan'!E93)</x:f>
        <x:v>90</x:v>
      </x:c>
      <x:c r="F93" s="8" t="str">
        <x:f>'Evaluation Plan'!F93</x:f>
        <x:v>blue block</x:v>
      </x:c>
      <x:c r="G93" s="7"/>
      <x:c r="H93" s="8" t="str">
        <x:f>'Evaluation Plan'!H93</x:f>
        <x:v>Block furthest transfer</x:v>
      </x:c>
      <x:c r="I93" s="8" t="str">
        <x:f>'Evaluation Plan'!I93</x:f>
        <x:v>RD-BLK01</x:v>
      </x:c>
      <x:c r="J93" s="8" t="str">
        <x:f>'Evaluation Plan'!J93</x:f>
        <x:v>RD-BLK01</x:v>
      </x:c>
      <x:c r="K93" s="8" t="str">
        <x:f>'Evaluation Plan'!K93</x:f>
        <x:v>block</x:v>
      </x:c>
      <x:c r="L93" s="8" t="str">
        <x:f>'Evaluation Plan'!L93</x:f>
        <x:v>furthest</x:v>
      </x:c>
      <x:c r="M93" s="8" t="n">
        <x:f>'Evaluation Plan'!M93</x:f>
        <x:v>3</x:v>
      </x:c>
      <x:c r="N93" s="8" t="str">
        <x:f>'Evaluation Plan'!N93</x:f>
        <x:v>2 — Block furthest transfer — Cross-task red/blue blocks as candidate pair; held-out furthest concept</x:v>
      </x:c>
      <x:c r="O93" s="8" t="n">
        <x:f>'Evaluation Plan'!O93</x:f>
        <x:v>51</x:v>
      </x:c>
      <x:c r="P93" s="7" t="str">
        <x:f>'Evaluation Plan'!P93</x:f>
        <x:v>Reset only the P2 closest target. Keep the scene exact; change only the query and expected target from closest to furthest.</x:v>
      </x:c>
      <x:c r="Q93" s="7" t="str">
        <x:f>'Evaluation Plan'!Q93</x:f>
        <x:v>Exact-scene closest→furthest comparison. Analyze block-as-candidate and block-as-reference families separately; this is cross-task visual transfer, not global novelty.</x:v>
      </x:c>
      <x:c r="R93" s="7" t="str">
        <x:f>IF(ISBLANK('Evaluation Plan'!R93),"",'Evaluation Plan'!R93)</x:f>
      </x:c>
    </x:row>
    <x:row r="94" ht="66" customHeight="1">
      <x:c r="A94" s="9" t="str">
        <x:v>Not collected</x:v>
      </x:c>
      <x:c r="B94" s="9" t="n">
        <x:f>'Evaluation Plan'!B94</x:f>
        <x:v>92</x:v>
      </x:c>
      <x:c r="C94" s="10" t="str">
        <x:f>'Evaluation Plan'!C94</x:f>
        <x:v>Put the block closest to the red pencil sharpener in the bowl.</x:v>
      </x:c>
      <x:c r="D94" s="10" t="str">
        <x:f>'Evaluation Plan'!D94</x:f>
        <x:v>P1 red pencil sharpener at R2 (5 cm left of center) [REFERENCE]; P2 blue block with 6 cm edge gap behind P1 [CLOSE CANDIDATE]; P3 red block with 20 cm edge gap in front of P1 [FAR CANDIDATE]; P4 green pencil sharpener with 14 cm edge gap to the right of P1 [DISTRACTOR]</x:v>
      </x:c>
      <x:c r="E94" s="9" t="str">
        <x:f>IF(ISBLANK('Evaluation Plan'!E94),"",'Evaluation Plan'!E94)</x:f>
      </x:c>
      <x:c r="F94" s="9" t="str">
        <x:f>'Evaluation Plan'!F94</x:f>
        <x:v>blue block</x:v>
      </x:c>
      <x:c r="G94" s="10"/>
      <x:c r="H94" s="9" t="str">
        <x:f>'Evaluation Plan'!H94</x:f>
        <x:v>Block closest baseline</x:v>
      </x:c>
      <x:c r="I94" s="9" t="str">
        <x:f>'Evaluation Plan'!I94</x:f>
        <x:v>RD-BLK02</x:v>
      </x:c>
      <x:c r="J94" s="9" t="str">
        <x:f>'Evaluation Plan'!J94</x:f>
        <x:v>RD-BLK02</x:v>
      </x:c>
      <x:c r="K94" s="9" t="str">
        <x:f>'Evaluation Plan'!K94</x:f>
        <x:v>block</x:v>
      </x:c>
      <x:c r="L94" s="9" t="str">
        <x:f>'Evaluation Plan'!L94</x:f>
        <x:v>closest</x:v>
      </x:c>
      <x:c r="M94" s="9" t="n">
        <x:f>'Evaluation Plan'!M94</x:f>
        <x:v>4</x:v>
      </x:c>
      <x:c r="N94" s="9" t="str">
        <x:f>'Evaluation Plan'!N94</x:f>
        <x:v>1 — Block closest baseline — Cross-task red/blue blocks as candidate pair; seen closest concept</x:v>
      </x:c>
      <x:c r="O94" s="9" t="n">
        <x:f>'Evaluation Plan'!O94</x:f>
        <x:v>52</x:v>
      </x:c>
      <x:c r="P94" s="10" t="str">
        <x:f>'Evaluation Plan'!P94</x:f>
        <x:v>Build the listed scene with both red and blue blocks present. Save a first-frame filename before the baseline.</x:v>
      </x:c>
      <x:c r="Q94" s="10" t="str">
        <x:f>'Evaluation Plan'!Q94</x:f>
        <x:v>Red and blue blocks are equally trained in Relational Placement but absent from Referential Disambiguation. The closest baseline checks the relevant cross-task visual role.</x:v>
      </x:c>
      <x:c r="R94" s="10" t="str">
        <x:f>IF(ISBLANK('Evaluation Plan'!R94),"",'Evaluation Plan'!R94)</x:f>
      </x:c>
    </x:row>
    <x:row r="95" ht="66" customHeight="1">
      <x:c r="A95" s="8" t="str">
        <x:v>Not collected</x:v>
      </x:c>
      <x:c r="B95" s="8" t="n">
        <x:f>'Evaluation Plan'!B95</x:f>
        <x:v>93</x:v>
      </x:c>
      <x:c r="C95" s="7" t="str">
        <x:f>'Evaluation Plan'!C95</x:f>
        <x:v>Pick up the block furthest from the red pencil sharpener and place it in the bowl.</x:v>
      </x:c>
      <x:c r="D95" s="7" t="str">
        <x:f>'Evaluation Plan'!D95</x:f>
        <x:v>P1 red pencil sharpener at R2 (5 cm left of center) [REFERENCE]; P2 blue block with 6 cm edge gap behind P1 [CLOSE CANDIDATE]; P3 red block with 20 cm edge gap in front of P1 [FAR CANDIDATE]; P4 green pencil sharpener with 14 cm edge gap to the right of P1 [DISTRACTOR]</x:v>
      </x:c>
      <x:c r="E95" s="8" t="n">
        <x:f>IF(ISBLANK('Evaluation Plan'!E95),"",'Evaluation Plan'!E95)</x:f>
        <x:v>92</x:v>
      </x:c>
      <x:c r="F95" s="8" t="str">
        <x:f>'Evaluation Plan'!F95</x:f>
        <x:v>red block</x:v>
      </x:c>
      <x:c r="G95" s="7"/>
      <x:c r="H95" s="8" t="str">
        <x:f>'Evaluation Plan'!H95</x:f>
        <x:v>Block furthest transfer</x:v>
      </x:c>
      <x:c r="I95" s="8" t="str">
        <x:f>'Evaluation Plan'!I95</x:f>
        <x:v>RD-BLK02</x:v>
      </x:c>
      <x:c r="J95" s="8" t="str">
        <x:f>'Evaluation Plan'!J95</x:f>
        <x:v>RD-BLK02</x:v>
      </x:c>
      <x:c r="K95" s="8" t="str">
        <x:f>'Evaluation Plan'!K95</x:f>
        <x:v>block</x:v>
      </x:c>
      <x:c r="L95" s="8" t="str">
        <x:f>'Evaluation Plan'!L95</x:f>
        <x:v>furthest</x:v>
      </x:c>
      <x:c r="M95" s="8" t="n">
        <x:f>'Evaluation Plan'!M95</x:f>
        <x:v>4</x:v>
      </x:c>
      <x:c r="N95" s="8" t="str">
        <x:f>'Evaluation Plan'!N95</x:f>
        <x:v>2 — Block furthest transfer — Cross-task red/blue blocks as candidate pair; held-out furthest concept</x:v>
      </x:c>
      <x:c r="O95" s="8" t="n">
        <x:f>'Evaluation Plan'!O95</x:f>
        <x:v>52</x:v>
      </x:c>
      <x:c r="P95" s="7" t="str">
        <x:f>'Evaluation Plan'!P95</x:f>
        <x:v>Reset only the P2 closest target. Keep the scene exact; change only the query and expected target from closest to furthest.</x:v>
      </x:c>
      <x:c r="Q95" s="7" t="str">
        <x:f>'Evaluation Plan'!Q95</x:f>
        <x:v>Exact-scene closest→furthest comparison. Analyze block-as-candidate and block-as-reference families separately; this is cross-task visual transfer, not global novelty.</x:v>
      </x:c>
      <x:c r="R95" s="7" t="str">
        <x:f>IF(ISBLANK('Evaluation Plan'!R95),"",'Evaluation Plan'!R95)</x:f>
      </x:c>
    </x:row>
    <x:row r="96" ht="66" customHeight="1">
      <x:c r="A96" s="9" t="str">
        <x:v>Not collected</x:v>
      </x:c>
      <x:c r="B96" s="9" t="n">
        <x:f>'Evaluation Plan'!B96</x:f>
        <x:v>94</x:v>
      </x:c>
      <x:c r="C96" s="10" t="str">
        <x:f>'Evaluation Plan'!C96</x:f>
        <x:v>Move the block that is closest to the yellow pen into the bowl.</x:v>
      </x:c>
      <x:c r="D96" s="10" t="str">
        <x:f>'Evaluation Plan'!D96</x:f>
        <x:v>P1 yellow pen at R3 (5 cm right of center) [REFERENCE]; P2 red block with 6 cm edge gap to the left of P1 [CLOSE CANDIDATE]; P3 blue block with 20 cm edge gap to the right of P1 [FAR CANDIDATE]</x:v>
      </x:c>
      <x:c r="E96" s="9" t="str">
        <x:f>IF(ISBLANK('Evaluation Plan'!E96),"",'Evaluation Plan'!E96)</x:f>
      </x:c>
      <x:c r="F96" s="9" t="str">
        <x:f>'Evaluation Plan'!F96</x:f>
        <x:v>red block</x:v>
      </x:c>
      <x:c r="G96" s="10"/>
      <x:c r="H96" s="9" t="str">
        <x:f>'Evaluation Plan'!H96</x:f>
        <x:v>Block closest baseline</x:v>
      </x:c>
      <x:c r="I96" s="9" t="str">
        <x:f>'Evaluation Plan'!I96</x:f>
        <x:v>RD-BLK03</x:v>
      </x:c>
      <x:c r="J96" s="9" t="str">
        <x:f>'Evaluation Plan'!J96</x:f>
        <x:v>RD-BLK03</x:v>
      </x:c>
      <x:c r="K96" s="9" t="str">
        <x:f>'Evaluation Plan'!K96</x:f>
        <x:v>block</x:v>
      </x:c>
      <x:c r="L96" s="9" t="str">
        <x:f>'Evaluation Plan'!L96</x:f>
        <x:v>closest</x:v>
      </x:c>
      <x:c r="M96" s="9" t="n">
        <x:f>'Evaluation Plan'!M96</x:f>
        <x:v>3</x:v>
      </x:c>
      <x:c r="N96" s="9" t="str">
        <x:f>'Evaluation Plan'!N96</x:f>
        <x:v>1 — Block closest baseline — Cross-task red/blue blocks as candidate pair; seen closest concept</x:v>
      </x:c>
      <x:c r="O96" s="9" t="n">
        <x:f>'Evaluation Plan'!O96</x:f>
        <x:v>53</x:v>
      </x:c>
      <x:c r="P96" s="10" t="str">
        <x:f>'Evaluation Plan'!P96</x:f>
        <x:v>Build the listed scene with both red and blue blocks present. Save a first-frame filename before the baseline.</x:v>
      </x:c>
      <x:c r="Q96" s="10" t="str">
        <x:f>'Evaluation Plan'!Q96</x:f>
        <x:v>Red and blue blocks are equally trained in Relational Placement but absent from Referential Disambiguation. The closest baseline checks the relevant cross-task visual role.</x:v>
      </x:c>
      <x:c r="R96" s="10" t="str">
        <x:f>IF(ISBLANK('Evaluation Plan'!R96),"",'Evaluation Plan'!R96)</x:f>
      </x:c>
    </x:row>
    <x:row r="97" ht="66" customHeight="1">
      <x:c r="A97" s="8" t="str">
        <x:v>Not collected</x:v>
      </x:c>
      <x:c r="B97" s="8" t="n">
        <x:f>'Evaluation Plan'!B97</x:f>
        <x:v>95</x:v>
      </x:c>
      <x:c r="C97" s="7" t="str">
        <x:f>'Evaluation Plan'!C97</x:f>
        <x:v>Pick up the block furthest from the yellow pen and place it in the bowl.</x:v>
      </x:c>
      <x:c r="D97" s="7" t="str">
        <x:f>'Evaluation Plan'!D97</x:f>
        <x:v>P1 yellow pen at R3 (5 cm right of center) [REFERENCE]; P2 red block with 6 cm edge gap to the left of P1 [CLOSE CANDIDATE]; P3 blue block with 20 cm edge gap to the right of P1 [FAR CANDIDATE]</x:v>
      </x:c>
      <x:c r="E97" s="8" t="n">
        <x:f>IF(ISBLANK('Evaluation Plan'!E97),"",'Evaluation Plan'!E97)</x:f>
        <x:v>94</x:v>
      </x:c>
      <x:c r="F97" s="8" t="str">
        <x:f>'Evaluation Plan'!F97</x:f>
        <x:v>blue block</x:v>
      </x:c>
      <x:c r="G97" s="7"/>
      <x:c r="H97" s="8" t="str">
        <x:f>'Evaluation Plan'!H97</x:f>
        <x:v>Block furthest transfer</x:v>
      </x:c>
      <x:c r="I97" s="8" t="str">
        <x:f>'Evaluation Plan'!I97</x:f>
        <x:v>RD-BLK03</x:v>
      </x:c>
      <x:c r="J97" s="8" t="str">
        <x:f>'Evaluation Plan'!J97</x:f>
        <x:v>RD-BLK03</x:v>
      </x:c>
      <x:c r="K97" s="8" t="str">
        <x:f>'Evaluation Plan'!K97</x:f>
        <x:v>block</x:v>
      </x:c>
      <x:c r="L97" s="8" t="str">
        <x:f>'Evaluation Plan'!L97</x:f>
        <x:v>furthest</x:v>
      </x:c>
      <x:c r="M97" s="8" t="n">
        <x:f>'Evaluation Plan'!M97</x:f>
        <x:v>3</x:v>
      </x:c>
      <x:c r="N97" s="8" t="str">
        <x:f>'Evaluation Plan'!N97</x:f>
        <x:v>2 — Block furthest transfer — Cross-task red/blue blocks as candidate pair; held-out furthest concept</x:v>
      </x:c>
      <x:c r="O97" s="8" t="n">
        <x:f>'Evaluation Plan'!O97</x:f>
        <x:v>53</x:v>
      </x:c>
      <x:c r="P97" s="7" t="str">
        <x:f>'Evaluation Plan'!P97</x:f>
        <x:v>Reset only the P2 closest target. Keep the scene exact; change only the query and expected target from closest to furthest.</x:v>
      </x:c>
      <x:c r="Q97" s="7" t="str">
        <x:f>'Evaluation Plan'!Q97</x:f>
        <x:v>Exact-scene closest→furthest comparison. Analyze block-as-candidate and block-as-reference families separately; this is cross-task visual transfer, not global novelty.</x:v>
      </x:c>
      <x:c r="R97" s="7" t="str">
        <x:f>IF(ISBLANK('Evaluation Plan'!R97),"",'Evaluation Plan'!R97)</x:f>
      </x:c>
    </x:row>
    <x:row r="98" ht="66" customHeight="1">
      <x:c r="A98" s="9" t="str">
        <x:v>Not collected</x:v>
      </x:c>
      <x:c r="B98" s="9" t="n">
        <x:f>'Evaluation Plan'!B98</x:f>
        <x:v>96</x:v>
      </x:c>
      <x:c r="C98" s="10" t="str">
        <x:f>'Evaluation Plan'!C98</x:f>
        <x:v>Pick up the block nearest to the crushed Coke can and place it in the bowl.</x:v>
      </x:c>
      <x:c r="D98" s="10" t="str">
        <x:f>'Evaluation Plan'!D98</x:f>
        <x:v>P1 crushed Coke can at R4 (5 cm toward the robot from center) [REFERENCE]; P2 blue block with 6 cm edge gap to the right of P1 [CLOSE CANDIDATE]; P3 red block with 20 cm edge gap to the left of P1 [FAR CANDIDATE]; P4 yellow pen with 14 cm edge gap behind P1 [DISTRACTOR]</x:v>
      </x:c>
      <x:c r="E98" s="9" t="str">
        <x:f>IF(ISBLANK('Evaluation Plan'!E98),"",'Evaluation Plan'!E98)</x:f>
      </x:c>
      <x:c r="F98" s="9" t="str">
        <x:f>'Evaluation Plan'!F98</x:f>
        <x:v>blue block</x:v>
      </x:c>
      <x:c r="G98" s="10"/>
      <x:c r="H98" s="9" t="str">
        <x:f>'Evaluation Plan'!H98</x:f>
        <x:v>Block closest baseline</x:v>
      </x:c>
      <x:c r="I98" s="9" t="str">
        <x:f>'Evaluation Plan'!I98</x:f>
        <x:v>RD-BLK04</x:v>
      </x:c>
      <x:c r="J98" s="9" t="str">
        <x:f>'Evaluation Plan'!J98</x:f>
        <x:v>RD-BLK04</x:v>
      </x:c>
      <x:c r="K98" s="9" t="str">
        <x:f>'Evaluation Plan'!K98</x:f>
        <x:v>block</x:v>
      </x:c>
      <x:c r="L98" s="9" t="str">
        <x:f>'Evaluation Plan'!L98</x:f>
        <x:v>closest</x:v>
      </x:c>
      <x:c r="M98" s="9" t="n">
        <x:f>'Evaluation Plan'!M98</x:f>
        <x:v>4</x:v>
      </x:c>
      <x:c r="N98" s="9" t="str">
        <x:f>'Evaluation Plan'!N98</x:f>
        <x:v>1 — Block closest baseline — Cross-task red/blue blocks as candidate pair; seen closest concept</x:v>
      </x:c>
      <x:c r="O98" s="9" t="n">
        <x:f>'Evaluation Plan'!O98</x:f>
        <x:v>54</x:v>
      </x:c>
      <x:c r="P98" s="10" t="str">
        <x:f>'Evaluation Plan'!P98</x:f>
        <x:v>Build the listed scene with both red and blue blocks present. Save a first-frame filename before the baseline.</x:v>
      </x:c>
      <x:c r="Q98" s="10" t="str">
        <x:f>'Evaluation Plan'!Q98</x:f>
        <x:v>Red and blue blocks are equally trained in Relational Placement but absent from Referential Disambiguation. The closest baseline checks the relevant cross-task visual role.</x:v>
      </x:c>
      <x:c r="R98" s="10" t="str">
        <x:f>IF(ISBLANK('Evaluation Plan'!R98),"",'Evaluation Plan'!R98)</x:f>
      </x:c>
    </x:row>
    <x:row r="99" ht="66" customHeight="1">
      <x:c r="A99" s="8" t="str">
        <x:v>Not collected</x:v>
      </x:c>
      <x:c r="B99" s="8" t="n">
        <x:f>'Evaluation Plan'!B99</x:f>
        <x:v>97</x:v>
      </x:c>
      <x:c r="C99" s="7" t="str">
        <x:f>'Evaluation Plan'!C99</x:f>
        <x:v>Pick up the block furthest from the crushed Coke can and place it in the bowl.</x:v>
      </x:c>
      <x:c r="D99" s="7" t="str">
        <x:f>'Evaluation Plan'!D99</x:f>
        <x:v>P1 crushed Coke can at R4 (5 cm toward the robot from center) [REFERENCE]; P2 blue block with 6 cm edge gap to the right of P1 [CLOSE CANDIDATE]; P3 red block with 20 cm edge gap to the left of P1 [FAR CANDIDATE]; P4 yellow pen with 14 cm edge gap behind P1 [DISTRACTOR]</x:v>
      </x:c>
      <x:c r="E99" s="8" t="n">
        <x:f>IF(ISBLANK('Evaluation Plan'!E99),"",'Evaluation Plan'!E99)</x:f>
        <x:v>96</x:v>
      </x:c>
      <x:c r="F99" s="8" t="str">
        <x:f>'Evaluation Plan'!F99</x:f>
        <x:v>red block</x:v>
      </x:c>
      <x:c r="G99" s="7"/>
      <x:c r="H99" s="8" t="str">
        <x:f>'Evaluation Plan'!H99</x:f>
        <x:v>Block furthest transfer</x:v>
      </x:c>
      <x:c r="I99" s="8" t="str">
        <x:f>'Evaluation Plan'!I99</x:f>
        <x:v>RD-BLK04</x:v>
      </x:c>
      <x:c r="J99" s="8" t="str">
        <x:f>'Evaluation Plan'!J99</x:f>
        <x:v>RD-BLK04</x:v>
      </x:c>
      <x:c r="K99" s="8" t="str">
        <x:f>'Evaluation Plan'!K99</x:f>
        <x:v>block</x:v>
      </x:c>
      <x:c r="L99" s="8" t="str">
        <x:f>'Evaluation Plan'!L99</x:f>
        <x:v>furthest</x:v>
      </x:c>
      <x:c r="M99" s="8" t="n">
        <x:f>'Evaluation Plan'!M99</x:f>
        <x:v>4</x:v>
      </x:c>
      <x:c r="N99" s="8" t="str">
        <x:f>'Evaluation Plan'!N99</x:f>
        <x:v>2 — Block furthest transfer — Cross-task red/blue blocks as candidate pair; held-out furthest concept</x:v>
      </x:c>
      <x:c r="O99" s="8" t="n">
        <x:f>'Evaluation Plan'!O99</x:f>
        <x:v>54</x:v>
      </x:c>
      <x:c r="P99" s="7" t="str">
        <x:f>'Evaluation Plan'!P99</x:f>
        <x:v>Reset only the P2 closest target. Keep the scene exact; change only the query and expected target from closest to furthest.</x:v>
      </x:c>
      <x:c r="Q99" s="7" t="str">
        <x:f>'Evaluation Plan'!Q99</x:f>
        <x:v>Exact-scene closest→furthest comparison. Analyze block-as-candidate and block-as-reference families separately; this is cross-task visual transfer, not global novelty.</x:v>
      </x:c>
      <x:c r="R99" s="7" t="str">
        <x:f>IF(ISBLANK('Evaluation Plan'!R99),"",'Evaluation Plan'!R99)</x:f>
      </x:c>
    </x:row>
    <x:row r="100" ht="66" customHeight="1">
      <x:c r="A100" s="9" t="str">
        <x:v>Not collected</x:v>
      </x:c>
      <x:c r="B100" s="9" t="n">
        <x:f>'Evaluation Plan'!B100</x:f>
        <x:v>98</x:v>
      </x:c>
      <x:c r="C100" s="10" t="str">
        <x:f>'Evaluation Plan'!C100</x:f>
        <x:v>Put the block closest to the airplane toy with propellers in the bowl.</x:v>
      </x:c>
      <x:c r="D100" s="10" t="str">
        <x:f>'Evaluation Plan'!D100</x:f>
        <x:v>P1 airplane toy with propellers at R5 (5 cm away from the robot from center) [REFERENCE]; P2 red block with 6 cm edge gap in front of P1 [CLOSE CANDIDATE]; P3 blue block with 20 cm edge gap behind P1 [FAR CANDIDATE]</x:v>
      </x:c>
      <x:c r="E100" s="9" t="str">
        <x:f>IF(ISBLANK('Evaluation Plan'!E100),"",'Evaluation Plan'!E100)</x:f>
      </x:c>
      <x:c r="F100" s="9" t="str">
        <x:f>'Evaluation Plan'!F100</x:f>
        <x:v>red block</x:v>
      </x:c>
      <x:c r="G100" s="10"/>
      <x:c r="H100" s="9" t="str">
        <x:f>'Evaluation Plan'!H100</x:f>
        <x:v>Block closest baseline</x:v>
      </x:c>
      <x:c r="I100" s="9" t="str">
        <x:f>'Evaluation Plan'!I100</x:f>
        <x:v>RD-BLK05</x:v>
      </x:c>
      <x:c r="J100" s="9" t="str">
        <x:f>'Evaluation Plan'!J100</x:f>
        <x:v>RD-BLK05</x:v>
      </x:c>
      <x:c r="K100" s="9" t="str">
        <x:f>'Evaluation Plan'!K100</x:f>
        <x:v>block</x:v>
      </x:c>
      <x:c r="L100" s="9" t="str">
        <x:f>'Evaluation Plan'!L100</x:f>
        <x:v>closest</x:v>
      </x:c>
      <x:c r="M100" s="9" t="n">
        <x:f>'Evaluation Plan'!M100</x:f>
        <x:v>3</x:v>
      </x:c>
      <x:c r="N100" s="9" t="str">
        <x:f>'Evaluation Plan'!N100</x:f>
        <x:v>1 — Block closest baseline — Cross-task red/blue blocks as candidate pair; seen closest concept</x:v>
      </x:c>
      <x:c r="O100" s="9" t="n">
        <x:f>'Evaluation Plan'!O100</x:f>
        <x:v>55</x:v>
      </x:c>
      <x:c r="P100" s="10" t="str">
        <x:f>'Evaluation Plan'!P100</x:f>
        <x:v>Build the listed scene with both red and blue blocks present. Save a first-frame filename before the baseline.</x:v>
      </x:c>
      <x:c r="Q100" s="10" t="str">
        <x:f>'Evaluation Plan'!Q100</x:f>
        <x:v>Red and blue blocks are equally trained in Relational Placement but absent from Referential Disambiguation. The closest baseline checks the relevant cross-task visual role.</x:v>
      </x:c>
      <x:c r="R100" s="10" t="str">
        <x:f>IF(ISBLANK('Evaluation Plan'!R100),"",'Evaluation Plan'!R100)</x:f>
      </x:c>
    </x:row>
    <x:row r="101" ht="66" customHeight="1">
      <x:c r="A101" s="8" t="str">
        <x:v>Not collected</x:v>
      </x:c>
      <x:c r="B101" s="8" t="n">
        <x:f>'Evaluation Plan'!B101</x:f>
        <x:v>99</x:v>
      </x:c>
      <x:c r="C101" s="7" t="str">
        <x:f>'Evaluation Plan'!C101</x:f>
        <x:v>Pick up the block furthest from the airplane toy with propellers and place it in the bowl.</x:v>
      </x:c>
      <x:c r="D101" s="7" t="str">
        <x:f>'Evaluation Plan'!D101</x:f>
        <x:v>P1 airplane toy with propellers at R5 (5 cm away from the robot from center) [REFERENCE]; P2 red block with 6 cm edge gap in front of P1 [CLOSE CANDIDATE]; P3 blue block with 20 cm edge gap behind P1 [FAR CANDIDATE]</x:v>
      </x:c>
      <x:c r="E101" s="8" t="n">
        <x:f>IF(ISBLANK('Evaluation Plan'!E101),"",'Evaluation Plan'!E101)</x:f>
        <x:v>98</x:v>
      </x:c>
      <x:c r="F101" s="8" t="str">
        <x:f>'Evaluation Plan'!F101</x:f>
        <x:v>blue block</x:v>
      </x:c>
      <x:c r="G101" s="7"/>
      <x:c r="H101" s="8" t="str">
        <x:f>'Evaluation Plan'!H101</x:f>
        <x:v>Block furthest transfer</x:v>
      </x:c>
      <x:c r="I101" s="8" t="str">
        <x:f>'Evaluation Plan'!I101</x:f>
        <x:v>RD-BLK05</x:v>
      </x:c>
      <x:c r="J101" s="8" t="str">
        <x:f>'Evaluation Plan'!J101</x:f>
        <x:v>RD-BLK05</x:v>
      </x:c>
      <x:c r="K101" s="8" t="str">
        <x:f>'Evaluation Plan'!K101</x:f>
        <x:v>block</x:v>
      </x:c>
      <x:c r="L101" s="8" t="str">
        <x:f>'Evaluation Plan'!L101</x:f>
        <x:v>furthest</x:v>
      </x:c>
      <x:c r="M101" s="8" t="n">
        <x:f>'Evaluation Plan'!M101</x:f>
        <x:v>3</x:v>
      </x:c>
      <x:c r="N101" s="8" t="str">
        <x:f>'Evaluation Plan'!N101</x:f>
        <x:v>2 — Block furthest transfer — Cross-task red/blue blocks as candidate pair; held-out furthest concept</x:v>
      </x:c>
      <x:c r="O101" s="8" t="n">
        <x:f>'Evaluation Plan'!O101</x:f>
        <x:v>55</x:v>
      </x:c>
      <x:c r="P101" s="7" t="str">
        <x:f>'Evaluation Plan'!P101</x:f>
        <x:v>Reset only the P2 closest target. Keep the scene exact; change only the query and expected target from closest to furthest.</x:v>
      </x:c>
      <x:c r="Q101" s="7" t="str">
        <x:f>'Evaluation Plan'!Q101</x:f>
        <x:v>Exact-scene closest→furthest comparison. Analyze block-as-candidate and block-as-reference families separately; this is cross-task visual transfer, not global novelty.</x:v>
      </x:c>
      <x:c r="R101" s="7" t="str">
        <x:f>IF(ISBLANK('Evaluation Plan'!R101),"",'Evaluation Plan'!R101)</x:f>
      </x:c>
    </x:row>
    <x:row r="102" ht="66" customHeight="1">
      <x:c r="A102" s="9" t="str">
        <x:v>Not collected</x:v>
      </x:c>
      <x:c r="B102" s="9" t="n">
        <x:f>'Evaluation Plan'!B102</x:f>
        <x:v>100</x:v>
      </x:c>
      <x:c r="C102" s="10" t="str">
        <x:f>'Evaluation Plan'!C102</x:f>
        <x:v>Move the crushed soda can that is closest to the red block into the bowl.</x:v>
      </x:c>
      <x:c r="D102" s="10" t="str">
        <x:f>'Evaluation Plan'!D102</x:f>
        <x:v>P1 red block at R1 (table center) [REFERENCE]; P2 crushed Coke can with 6 cm edge gap behind P1 [CLOSE CANDIDATE]; P3 crushed Pepsi can with 20 cm edge gap in front of P1 [FAR CANDIDATE]; P4 blue block with 14 cm edge gap to the right of P1 [VISUAL COMPETITOR]</x:v>
      </x:c>
      <x:c r="E102" s="9" t="str">
        <x:f>IF(ISBLANK('Evaluation Plan'!E102),"",'Evaluation Plan'!E102)</x:f>
      </x:c>
      <x:c r="F102" s="9" t="str">
        <x:f>'Evaluation Plan'!F102</x:f>
        <x:v>crushed Coke can</x:v>
      </x:c>
      <x:c r="G102" s="10"/>
      <x:c r="H102" s="9" t="str">
        <x:f>'Evaluation Plan'!H102</x:f>
        <x:v>Block closest baseline</x:v>
      </x:c>
      <x:c r="I102" s="9" t="str">
        <x:f>'Evaluation Plan'!I102</x:f>
        <x:v>RD-BLK06</x:v>
      </x:c>
      <x:c r="J102" s="9" t="str">
        <x:f>'Evaluation Plan'!J102</x:f>
        <x:v>RD-BLK06</x:v>
      </x:c>
      <x:c r="K102" s="9" t="str">
        <x:f>'Evaluation Plan'!K102</x:f>
        <x:v>crushed soda can</x:v>
      </x:c>
      <x:c r="L102" s="9" t="str">
        <x:f>'Evaluation Plan'!L102</x:f>
        <x:v>closest</x:v>
      </x:c>
      <x:c r="M102" s="9" t="n">
        <x:f>'Evaluation Plan'!M102</x:f>
        <x:v>4</x:v>
      </x:c>
      <x:c r="N102" s="9" t="str">
        <x:f>'Evaluation Plan'!N102</x:f>
        <x:v>1 — Block closest baseline — Cross-task red/blue blocks as reference object; seen closest concept</x:v>
      </x:c>
      <x:c r="O102" s="9" t="n">
        <x:f>'Evaluation Plan'!O102</x:f>
        <x:v>56</x:v>
      </x:c>
      <x:c r="P102" s="10" t="str">
        <x:f>'Evaluation Plan'!P102</x:f>
        <x:v>Build the listed scene with both red and blue blocks present. Save a first-frame filename before the baseline.</x:v>
      </x:c>
      <x:c r="Q102" s="10" t="str">
        <x:f>'Evaluation Plan'!Q102</x:f>
        <x:v>Red and blue blocks are equally trained in Relational Placement but absent from Referential Disambiguation. The closest baseline checks the relevant cross-task visual role.</x:v>
      </x:c>
      <x:c r="R102" s="10" t="str">
        <x:f>IF(ISBLANK('Evaluation Plan'!R102),"",'Evaluation Plan'!R102)</x:f>
      </x:c>
    </x:row>
    <x:row r="103" ht="66" customHeight="1">
      <x:c r="A103" s="8" t="str">
        <x:v>Not collected</x:v>
      </x:c>
      <x:c r="B103" s="8" t="n">
        <x:f>'Evaluation Plan'!B103</x:f>
        <x:v>101</x:v>
      </x:c>
      <x:c r="C103" s="7" t="str">
        <x:f>'Evaluation Plan'!C103</x:f>
        <x:v>Pick up the crushed soda can furthest from the red block and place it in the bowl.</x:v>
      </x:c>
      <x:c r="D103" s="7" t="str">
        <x:f>'Evaluation Plan'!D103</x:f>
        <x:v>P1 red block at R1 (table center) [REFERENCE]; P2 crushed Coke can with 6 cm edge gap behind P1 [CLOSE CANDIDATE]; P3 crushed Pepsi can with 20 cm edge gap in front of P1 [FAR CANDIDATE]; P4 blue block with 14 cm edge gap to the right of P1 [VISUAL COMPETITOR]</x:v>
      </x:c>
      <x:c r="E103" s="8" t="n">
        <x:f>IF(ISBLANK('Evaluation Plan'!E103),"",'Evaluation Plan'!E103)</x:f>
        <x:v>100</x:v>
      </x:c>
      <x:c r="F103" s="8" t="str">
        <x:f>'Evaluation Plan'!F103</x:f>
        <x:v>crushed Pepsi can</x:v>
      </x:c>
      <x:c r="G103" s="7"/>
      <x:c r="H103" s="8" t="str">
        <x:f>'Evaluation Plan'!H103</x:f>
        <x:v>Block furthest transfer</x:v>
      </x:c>
      <x:c r="I103" s="8" t="str">
        <x:f>'Evaluation Plan'!I103</x:f>
        <x:v>RD-BLK06</x:v>
      </x:c>
      <x:c r="J103" s="8" t="str">
        <x:f>'Evaluation Plan'!J103</x:f>
        <x:v>RD-BLK06</x:v>
      </x:c>
      <x:c r="K103" s="8" t="str">
        <x:f>'Evaluation Plan'!K103</x:f>
        <x:v>crushed soda can</x:v>
      </x:c>
      <x:c r="L103" s="8" t="str">
        <x:f>'Evaluation Plan'!L103</x:f>
        <x:v>furthest</x:v>
      </x:c>
      <x:c r="M103" s="8" t="n">
        <x:f>'Evaluation Plan'!M103</x:f>
        <x:v>4</x:v>
      </x:c>
      <x:c r="N103" s="8" t="str">
        <x:f>'Evaluation Plan'!N103</x:f>
        <x:v>2 — Block furthest transfer — Cross-task red/blue blocks as reference object; held-out furthest concept</x:v>
      </x:c>
      <x:c r="O103" s="8" t="n">
        <x:f>'Evaluation Plan'!O103</x:f>
        <x:v>56</x:v>
      </x:c>
      <x:c r="P103" s="7" t="str">
        <x:f>'Evaluation Plan'!P103</x:f>
        <x:v>Reset only the P2 closest target. Keep the scene exact; change only the query and expected target from closest to furthest.</x:v>
      </x:c>
      <x:c r="Q103" s="7" t="str">
        <x:f>'Evaluation Plan'!Q103</x:f>
        <x:v>Exact-scene closest→furthest comparison. Analyze block-as-candidate and block-as-reference families separately; this is cross-task visual transfer, not global novelty.</x:v>
      </x:c>
      <x:c r="R103" s="7" t="str">
        <x:f>IF(ISBLANK('Evaluation Plan'!R103),"",'Evaluation Plan'!R103)</x:f>
      </x:c>
    </x:row>
    <x:row r="104" ht="66" customHeight="1">
      <x:c r="A104" s="9" t="str">
        <x:v>Not collected</x:v>
      </x:c>
      <x:c r="B104" s="9" t="n">
        <x:f>'Evaluation Plan'!B104</x:f>
        <x:v>102</x:v>
      </x:c>
      <x:c r="C104" s="10" t="str">
        <x:f>'Evaluation Plan'!C104</x:f>
        <x:v>Pick up the pencil sharpener nearest to the blue block and place it in the bowl.</x:v>
      </x:c>
      <x:c r="D104" s="10" t="str">
        <x:f>'Evaluation Plan'!D104</x:f>
        <x:v>P1 blue block at R2 (5 cm left of center) [REFERENCE]; P2 red pencil sharpener with 6 cm edge gap to the left of P1 [CLOSE CANDIDATE]; P3 green pencil sharpener with 20 cm edge gap to the right of P1 [FAR CANDIDATE]; P4 red block with 14 cm edge gap in front of P1 [VISUAL COMPETITOR]; P5 green pen with 14 cm edge gap behind P1 [DISTRACTOR]</x:v>
      </x:c>
      <x:c r="E104" s="9" t="str">
        <x:f>IF(ISBLANK('Evaluation Plan'!E104),"",'Evaluation Plan'!E104)</x:f>
      </x:c>
      <x:c r="F104" s="9" t="str">
        <x:f>'Evaluation Plan'!F104</x:f>
        <x:v>red pencil sharpener</x:v>
      </x:c>
      <x:c r="G104" s="10"/>
      <x:c r="H104" s="9" t="str">
        <x:f>'Evaluation Plan'!H104</x:f>
        <x:v>Block closest baseline</x:v>
      </x:c>
      <x:c r="I104" s="9" t="str">
        <x:f>'Evaluation Plan'!I104</x:f>
        <x:v>RD-BLK07</x:v>
      </x:c>
      <x:c r="J104" s="9" t="str">
        <x:f>'Evaluation Plan'!J104</x:f>
        <x:v>RD-BLK07</x:v>
      </x:c>
      <x:c r="K104" s="9" t="str">
        <x:f>'Evaluation Plan'!K104</x:f>
        <x:v>pencil sharpener</x:v>
      </x:c>
      <x:c r="L104" s="9" t="str">
        <x:f>'Evaluation Plan'!L104</x:f>
        <x:v>closest</x:v>
      </x:c>
      <x:c r="M104" s="9" t="n">
        <x:f>'Evaluation Plan'!M104</x:f>
        <x:v>5</x:v>
      </x:c>
      <x:c r="N104" s="9" t="str">
        <x:f>'Evaluation Plan'!N104</x:f>
        <x:v>1 — Block closest baseline — Cross-task red/blue blocks as reference object; seen closest concept</x:v>
      </x:c>
      <x:c r="O104" s="9" t="n">
        <x:f>'Evaluation Plan'!O104</x:f>
        <x:v>57</x:v>
      </x:c>
      <x:c r="P104" s="10" t="str">
        <x:f>'Evaluation Plan'!P104</x:f>
        <x:v>Build the listed scene with both red and blue blocks present. Save a first-frame filename before the baseline.</x:v>
      </x:c>
      <x:c r="Q104" s="10" t="str">
        <x:f>'Evaluation Plan'!Q104</x:f>
        <x:v>Red and blue blocks are equally trained in Relational Placement but absent from Referential Disambiguation. The closest baseline checks the relevant cross-task visual role.</x:v>
      </x:c>
      <x:c r="R104" s="10" t="str">
        <x:f>IF(ISBLANK('Evaluation Plan'!R104),"",'Evaluation Plan'!R104)</x:f>
      </x:c>
    </x:row>
    <x:row r="105" ht="66" customHeight="1">
      <x:c r="A105" s="8" t="str">
        <x:v>Not collected</x:v>
      </x:c>
      <x:c r="B105" s="8" t="n">
        <x:f>'Evaluation Plan'!B105</x:f>
        <x:v>103</x:v>
      </x:c>
      <x:c r="C105" s="7" t="str">
        <x:f>'Evaluation Plan'!C105</x:f>
        <x:v>Pick up the pencil sharpener furthest from the blue block and place it in the bowl.</x:v>
      </x:c>
      <x:c r="D105" s="7" t="str">
        <x:f>'Evaluation Plan'!D105</x:f>
        <x:v>P1 blue block at R2 (5 cm left of center) [REFERENCE]; P2 red pencil sharpener with 6 cm edge gap to the left of P1 [CLOSE CANDIDATE]; P3 green pencil sharpener with 20 cm edge gap to the right of P1 [FAR CANDIDATE]; P4 red block with 14 cm edge gap in front of P1 [VISUAL COMPETITOR]; P5 green pen with 14 cm edge gap behind P1 [DISTRACTOR]</x:v>
      </x:c>
      <x:c r="E105" s="8" t="n">
        <x:f>IF(ISBLANK('Evaluation Plan'!E105),"",'Evaluation Plan'!E105)</x:f>
        <x:v>102</x:v>
      </x:c>
      <x:c r="F105" s="8" t="str">
        <x:f>'Evaluation Plan'!F105</x:f>
        <x:v>green pencil sharpener</x:v>
      </x:c>
      <x:c r="G105" s="7"/>
      <x:c r="H105" s="8" t="str">
        <x:f>'Evaluation Plan'!H105</x:f>
        <x:v>Block furthest transfer</x:v>
      </x:c>
      <x:c r="I105" s="8" t="str">
        <x:f>'Evaluation Plan'!I105</x:f>
        <x:v>RD-BLK07</x:v>
      </x:c>
      <x:c r="J105" s="8" t="str">
        <x:f>'Evaluation Plan'!J105</x:f>
        <x:v>RD-BLK07</x:v>
      </x:c>
      <x:c r="K105" s="8" t="str">
        <x:f>'Evaluation Plan'!K105</x:f>
        <x:v>pencil sharpener</x:v>
      </x:c>
      <x:c r="L105" s="8" t="str">
        <x:f>'Evaluation Plan'!L105</x:f>
        <x:v>furthest</x:v>
      </x:c>
      <x:c r="M105" s="8" t="n">
        <x:f>'Evaluation Plan'!M105</x:f>
        <x:v>5</x:v>
      </x:c>
      <x:c r="N105" s="8" t="str">
        <x:f>'Evaluation Plan'!N105</x:f>
        <x:v>2 — Block furthest transfer — Cross-task red/blue blocks as reference object; held-out furthest concept</x:v>
      </x:c>
      <x:c r="O105" s="8" t="n">
        <x:f>'Evaluation Plan'!O105</x:f>
        <x:v>57</x:v>
      </x:c>
      <x:c r="P105" s="7" t="str">
        <x:f>'Evaluation Plan'!P105</x:f>
        <x:v>Reset only the P2 closest target. Keep the scene exact; change only the query and expected target from closest to furthest.</x:v>
      </x:c>
      <x:c r="Q105" s="7" t="str">
        <x:f>'Evaluation Plan'!Q105</x:f>
        <x:v>Exact-scene closest→furthest comparison. Analyze block-as-candidate and block-as-reference families separately; this is cross-task visual transfer, not global novelty.</x:v>
      </x:c>
      <x:c r="R105" s="7" t="str">
        <x:f>IF(ISBLANK('Evaluation Plan'!R105),"",'Evaluation Plan'!R105)</x:f>
      </x:c>
    </x:row>
    <x:row r="106" ht="66" customHeight="1">
      <x:c r="A106" s="9" t="str">
        <x:v>Not collected</x:v>
      </x:c>
      <x:c r="B106" s="9" t="n">
        <x:f>'Evaluation Plan'!B106</x:f>
        <x:v>104</x:v>
      </x:c>
      <x:c r="C106" s="10" t="str">
        <x:f>'Evaluation Plan'!C106</x:f>
        <x:v>Put the pen closest to the red block in the bowl.</x:v>
      </x:c>
      <x:c r="D106" s="10" t="str">
        <x:f>'Evaluation Plan'!D106</x:f>
        <x:v>P1 red block at R3 (5 cm right of center) [REFERENCE]; P2 green pen with 6 cm edge gap to the right of P1 [CLOSE CANDIDATE]; P3 yellow pen with 20 cm edge gap to the left of P1 [FAR CANDIDATE]; P4 blue block with 14 cm edge gap behind P1 [VISUAL COMPETITOR]</x:v>
      </x:c>
      <x:c r="E106" s="9" t="str">
        <x:f>IF(ISBLANK('Evaluation Plan'!E106),"",'Evaluation Plan'!E106)</x:f>
      </x:c>
      <x:c r="F106" s="9" t="str">
        <x:f>'Evaluation Plan'!F106</x:f>
        <x:v>green pen</x:v>
      </x:c>
      <x:c r="G106" s="10"/>
      <x:c r="H106" s="9" t="str">
        <x:f>'Evaluation Plan'!H106</x:f>
        <x:v>Block closest baseline</x:v>
      </x:c>
      <x:c r="I106" s="9" t="str">
        <x:f>'Evaluation Plan'!I106</x:f>
        <x:v>RD-BLK08</x:v>
      </x:c>
      <x:c r="J106" s="9" t="str">
        <x:f>'Evaluation Plan'!J106</x:f>
        <x:v>RD-BLK08</x:v>
      </x:c>
      <x:c r="K106" s="9" t="str">
        <x:f>'Evaluation Plan'!K106</x:f>
        <x:v>pen</x:v>
      </x:c>
      <x:c r="L106" s="9" t="str">
        <x:f>'Evaluation Plan'!L106</x:f>
        <x:v>closest</x:v>
      </x:c>
      <x:c r="M106" s="9" t="n">
        <x:f>'Evaluation Plan'!M106</x:f>
        <x:v>4</x:v>
      </x:c>
      <x:c r="N106" s="9" t="str">
        <x:f>'Evaluation Plan'!N106</x:f>
        <x:v>1 — Block closest baseline — Cross-task red/blue blocks as reference object; seen closest concept</x:v>
      </x:c>
      <x:c r="O106" s="9" t="n">
        <x:f>'Evaluation Plan'!O106</x:f>
        <x:v>58</x:v>
      </x:c>
      <x:c r="P106" s="10" t="str">
        <x:f>'Evaluation Plan'!P106</x:f>
        <x:v>Build the listed scene with both red and blue blocks present. Save a first-frame filename before the baseline.</x:v>
      </x:c>
      <x:c r="Q106" s="10" t="str">
        <x:f>'Evaluation Plan'!Q106</x:f>
        <x:v>Red and blue blocks are equally trained in Relational Placement but absent from Referential Disambiguation. The closest baseline checks the relevant cross-task visual role.</x:v>
      </x:c>
      <x:c r="R106" s="10" t="str">
        <x:f>IF(ISBLANK('Evaluation Plan'!R106),"",'Evaluation Plan'!R106)</x:f>
      </x:c>
    </x:row>
    <x:row r="107" ht="66" customHeight="1">
      <x:c r="A107" s="8" t="str">
        <x:v>Not collected</x:v>
      </x:c>
      <x:c r="B107" s="8" t="n">
        <x:f>'Evaluation Plan'!B107</x:f>
        <x:v>105</x:v>
      </x:c>
      <x:c r="C107" s="7" t="str">
        <x:f>'Evaluation Plan'!C107</x:f>
        <x:v>Pick up the pen furthest from the red block and place it in the bowl.</x:v>
      </x:c>
      <x:c r="D107" s="7" t="str">
        <x:f>'Evaluation Plan'!D107</x:f>
        <x:v>P1 red block at R3 (5 cm right of center) [REFERENCE]; P2 green pen with 6 cm edge gap to the right of P1 [CLOSE CANDIDATE]; P3 yellow pen with 20 cm edge gap to the left of P1 [FAR CANDIDATE]; P4 blue block with 14 cm edge gap behind P1 [VISUAL COMPETITOR]</x:v>
      </x:c>
      <x:c r="E107" s="8" t="n">
        <x:f>IF(ISBLANK('Evaluation Plan'!E107),"",'Evaluation Plan'!E107)</x:f>
        <x:v>104</x:v>
      </x:c>
      <x:c r="F107" s="8" t="str">
        <x:f>'Evaluation Plan'!F107</x:f>
        <x:v>yellow pen</x:v>
      </x:c>
      <x:c r="G107" s="7"/>
      <x:c r="H107" s="8" t="str">
        <x:f>'Evaluation Plan'!H107</x:f>
        <x:v>Block furthest transfer</x:v>
      </x:c>
      <x:c r="I107" s="8" t="str">
        <x:f>'Evaluation Plan'!I107</x:f>
        <x:v>RD-BLK08</x:v>
      </x:c>
      <x:c r="J107" s="8" t="str">
        <x:f>'Evaluation Plan'!J107</x:f>
        <x:v>RD-BLK08</x:v>
      </x:c>
      <x:c r="K107" s="8" t="str">
        <x:f>'Evaluation Plan'!K107</x:f>
        <x:v>pen</x:v>
      </x:c>
      <x:c r="L107" s="8" t="str">
        <x:f>'Evaluation Plan'!L107</x:f>
        <x:v>furthest</x:v>
      </x:c>
      <x:c r="M107" s="8" t="n">
        <x:f>'Evaluation Plan'!M107</x:f>
        <x:v>4</x:v>
      </x:c>
      <x:c r="N107" s="8" t="str">
        <x:f>'Evaluation Plan'!N107</x:f>
        <x:v>2 — Block furthest transfer — Cross-task red/blue blocks as reference object; held-out furthest concept</x:v>
      </x:c>
      <x:c r="O107" s="8" t="n">
        <x:f>'Evaluation Plan'!O107</x:f>
        <x:v>58</x:v>
      </x:c>
      <x:c r="P107" s="7" t="str">
        <x:f>'Evaluation Plan'!P107</x:f>
        <x:v>Reset only the P2 closest target. Keep the scene exact; change only the query and expected target from closest to furthest.</x:v>
      </x:c>
      <x:c r="Q107" s="7" t="str">
        <x:f>'Evaluation Plan'!Q107</x:f>
        <x:v>Exact-scene closest→furthest comparison. Analyze block-as-candidate and block-as-reference families separately; this is cross-task visual transfer, not global novelty.</x:v>
      </x:c>
      <x:c r="R107" s="7" t="str">
        <x:f>IF(ISBLANK('Evaluation Plan'!R107),"",'Evaluation Plan'!R107)</x:f>
      </x:c>
    </x:row>
    <x:row r="108" ht="66" customHeight="1">
      <x:c r="A108" s="9" t="str">
        <x:v>Not collected</x:v>
      </x:c>
      <x:c r="B108" s="9" t="n">
        <x:f>'Evaluation Plan'!B108</x:f>
        <x:v>106</x:v>
      </x:c>
      <x:c r="C108" s="10" t="str">
        <x:f>'Evaluation Plan'!C108</x:f>
        <x:v>Move the airplane toy that is closest to the blue block into the bowl.</x:v>
      </x:c>
      <x:c r="D108" s="10" t="str">
        <x:f>'Evaluation Plan'!D108</x:f>
        <x:v>P1 blue block at R4 (5 cm toward the robot from center) [REFERENCE]; P2 airplane toy without propellers with 6 cm edge gap in front of P1 [CLOSE CANDIDATE]; P3 airplane toy with propellers with 20 cm edge gap behind P1 [FAR CANDIDATE]; P4 red block with 14 cm edge gap to the left of P1 [VISUAL COMPETITOR]; P5 green pen with 14 cm edge gap to the right of P1 [DISTRACTOR]</x:v>
      </x:c>
      <x:c r="E108" s="9" t="str">
        <x:f>IF(ISBLANK('Evaluation Plan'!E108),"",'Evaluation Plan'!E108)</x:f>
      </x:c>
      <x:c r="F108" s="9" t="str">
        <x:f>'Evaluation Plan'!F108</x:f>
        <x:v>airplane toy without propellers</x:v>
      </x:c>
      <x:c r="G108" s="10"/>
      <x:c r="H108" s="9" t="str">
        <x:f>'Evaluation Plan'!H108</x:f>
        <x:v>Block closest baseline</x:v>
      </x:c>
      <x:c r="I108" s="9" t="str">
        <x:f>'Evaluation Plan'!I108</x:f>
        <x:v>RD-BLK09</x:v>
      </x:c>
      <x:c r="J108" s="9" t="str">
        <x:f>'Evaluation Plan'!J108</x:f>
        <x:v>RD-BLK09</x:v>
      </x:c>
      <x:c r="K108" s="9" t="str">
        <x:f>'Evaluation Plan'!K108</x:f>
        <x:v>airplane toy</x:v>
      </x:c>
      <x:c r="L108" s="9" t="str">
        <x:f>'Evaluation Plan'!L108</x:f>
        <x:v>closest</x:v>
      </x:c>
      <x:c r="M108" s="9" t="n">
        <x:f>'Evaluation Plan'!M108</x:f>
        <x:v>5</x:v>
      </x:c>
      <x:c r="N108" s="9" t="str">
        <x:f>'Evaluation Plan'!N108</x:f>
        <x:v>1 — Block closest baseline — Cross-task red/blue blocks as reference object; seen closest concept</x:v>
      </x:c>
      <x:c r="O108" s="9" t="n">
        <x:f>'Evaluation Plan'!O108</x:f>
        <x:v>59</x:v>
      </x:c>
      <x:c r="P108" s="10" t="str">
        <x:f>'Evaluation Plan'!P108</x:f>
        <x:v>Build the listed scene with both red and blue blocks present. Save a first-frame filename before the baseline.</x:v>
      </x:c>
      <x:c r="Q108" s="10" t="str">
        <x:f>'Evaluation Plan'!Q108</x:f>
        <x:v>Red and blue blocks are equally trained in Relational Placement but absent from Referential Disambiguation. The closest baseline checks the relevant cross-task visual role.</x:v>
      </x:c>
      <x:c r="R108" s="10" t="str">
        <x:f>IF(ISBLANK('Evaluation Plan'!R108),"",'Evaluation Plan'!R108)</x:f>
      </x:c>
    </x:row>
    <x:row r="109" ht="66" customHeight="1">
      <x:c r="A109" s="8" t="str">
        <x:v>Not collected</x:v>
      </x:c>
      <x:c r="B109" s="8" t="n">
        <x:f>'Evaluation Plan'!B109</x:f>
        <x:v>107</x:v>
      </x:c>
      <x:c r="C109" s="7" t="str">
        <x:f>'Evaluation Plan'!C109</x:f>
        <x:v>Pick up the airplane toy furthest from the blue block and place it in the bowl.</x:v>
      </x:c>
      <x:c r="D109" s="7" t="str">
        <x:f>'Evaluation Plan'!D109</x:f>
        <x:v>P1 blue block at R4 (5 cm toward the robot from center) [REFERENCE]; P2 airplane toy without propellers with 6 cm edge gap in front of P1 [CLOSE CANDIDATE]; P3 airplane toy with propellers with 20 cm edge gap behind P1 [FAR CANDIDATE]; P4 red block with 14 cm edge gap to the left of P1 [VISUAL COMPETITOR]; P5 green pen with 14 cm edge gap to the right of P1 [DISTRACTOR]</x:v>
      </x:c>
      <x:c r="E109" s="8" t="n">
        <x:f>IF(ISBLANK('Evaluation Plan'!E109),"",'Evaluation Plan'!E109)</x:f>
        <x:v>106</x:v>
      </x:c>
      <x:c r="F109" s="8" t="str">
        <x:f>'Evaluation Plan'!F109</x:f>
        <x:v>airplane toy with propellers</x:v>
      </x:c>
      <x:c r="G109" s="7"/>
      <x:c r="H109" s="8" t="str">
        <x:f>'Evaluation Plan'!H109</x:f>
        <x:v>Block furthest transfer</x:v>
      </x:c>
      <x:c r="I109" s="8" t="str">
        <x:f>'Evaluation Plan'!I109</x:f>
        <x:v>RD-BLK09</x:v>
      </x:c>
      <x:c r="J109" s="8" t="str">
        <x:f>'Evaluation Plan'!J109</x:f>
        <x:v>RD-BLK09</x:v>
      </x:c>
      <x:c r="K109" s="8" t="str">
        <x:f>'Evaluation Plan'!K109</x:f>
        <x:v>airplane toy</x:v>
      </x:c>
      <x:c r="L109" s="8" t="str">
        <x:f>'Evaluation Plan'!L109</x:f>
        <x:v>furthest</x:v>
      </x:c>
      <x:c r="M109" s="8" t="n">
        <x:f>'Evaluation Plan'!M109</x:f>
        <x:v>5</x:v>
      </x:c>
      <x:c r="N109" s="8" t="str">
        <x:f>'Evaluation Plan'!N109</x:f>
        <x:v>2 — Block furthest transfer — Cross-task red/blue blocks as reference object; held-out furthest concept</x:v>
      </x:c>
      <x:c r="O109" s="8" t="n">
        <x:f>'Evaluation Plan'!O109</x:f>
        <x:v>59</x:v>
      </x:c>
      <x:c r="P109" s="7" t="str">
        <x:f>'Evaluation Plan'!P109</x:f>
        <x:v>Reset only the P2 closest target. Keep the scene exact; change only the query and expected target from closest to furthest.</x:v>
      </x:c>
      <x:c r="Q109" s="7" t="str">
        <x:f>'Evaluation Plan'!Q109</x:f>
        <x:v>Exact-scene closest→furthest comparison. Analyze block-as-candidate and block-as-reference families separately; this is cross-task visual transfer, not global novelty.</x:v>
      </x:c>
      <x:c r="R109" s="7" t="str">
        <x:f>IF(ISBLANK('Evaluation Plan'!R109),"",'Evaluation Plan'!R109)</x:f>
      </x:c>
    </x:row>
    <x:row r="110" ht="66" customHeight="1">
      <x:c r="A110" s="9" t="str">
        <x:v>Not collected</x:v>
      </x:c>
      <x:c r="B110" s="9" t="n">
        <x:f>'Evaluation Plan'!B110</x:f>
        <x:v>108</x:v>
      </x:c>
      <x:c r="C110" s="10" t="str">
        <x:f>'Evaluation Plan'!C110</x:f>
        <x:v>Pick up the crushed soda can nearest to the red block and place it in the bowl.</x:v>
      </x:c>
      <x:c r="D110" s="10" t="str">
        <x:f>'Evaluation Plan'!D110</x:f>
        <x:v>P1 red block at R5 (5 cm away from the robot from center) [REFERENCE]; P2 crushed Coke can with 6 cm edge gap behind P1 [CLOSE CANDIDATE]; P3 crushed Pepsi can with 20 cm edge gap in front of P1 [FAR CANDIDATE]; P4 blue block with 14 cm edge gap to the right of P1 [VISUAL COMPETITOR]</x:v>
      </x:c>
      <x:c r="E110" s="9" t="str">
        <x:f>IF(ISBLANK('Evaluation Plan'!E110),"",'Evaluation Plan'!E110)</x:f>
      </x:c>
      <x:c r="F110" s="9" t="str">
        <x:f>'Evaluation Plan'!F110</x:f>
        <x:v>crushed Coke can</x:v>
      </x:c>
      <x:c r="G110" s="10"/>
      <x:c r="H110" s="9" t="str">
        <x:f>'Evaluation Plan'!H110</x:f>
        <x:v>Block closest baseline</x:v>
      </x:c>
      <x:c r="I110" s="9" t="str">
        <x:f>'Evaluation Plan'!I110</x:f>
        <x:v>RD-BLK10</x:v>
      </x:c>
      <x:c r="J110" s="9" t="str">
        <x:f>'Evaluation Plan'!J110</x:f>
        <x:v>RD-BLK10</x:v>
      </x:c>
      <x:c r="K110" s="9" t="str">
        <x:f>'Evaluation Plan'!K110</x:f>
        <x:v>crushed soda can</x:v>
      </x:c>
      <x:c r="L110" s="9" t="str">
        <x:f>'Evaluation Plan'!L110</x:f>
        <x:v>closest</x:v>
      </x:c>
      <x:c r="M110" s="9" t="n">
        <x:f>'Evaluation Plan'!M110</x:f>
        <x:v>4</x:v>
      </x:c>
      <x:c r="N110" s="9" t="str">
        <x:f>'Evaluation Plan'!N110</x:f>
        <x:v>1 — Block closest baseline — Cross-task red/blue blocks as reference object; seen closest concept</x:v>
      </x:c>
      <x:c r="O110" s="9" t="n">
        <x:f>'Evaluation Plan'!O110</x:f>
        <x:v>60</x:v>
      </x:c>
      <x:c r="P110" s="10" t="str">
        <x:f>'Evaluation Plan'!P110</x:f>
        <x:v>Build the listed scene with both red and blue blocks present. Save a first-frame filename before the baseline.</x:v>
      </x:c>
      <x:c r="Q110" s="10" t="str">
        <x:f>'Evaluation Plan'!Q110</x:f>
        <x:v>Red and blue blocks are equally trained in Relational Placement but absent from Referential Disambiguation. The closest baseline checks the relevant cross-task visual role.</x:v>
      </x:c>
      <x:c r="R110" s="10" t="str">
        <x:f>IF(ISBLANK('Evaluation Plan'!R110),"",'Evaluation Plan'!R110)</x:f>
      </x:c>
    </x:row>
    <x:row r="111" ht="66" customHeight="1">
      <x:c r="A111" s="8" t="str">
        <x:v>Not collected</x:v>
      </x:c>
      <x:c r="B111" s="8" t="n">
        <x:f>'Evaluation Plan'!B111</x:f>
        <x:v>109</x:v>
      </x:c>
      <x:c r="C111" s="7" t="str">
        <x:f>'Evaluation Plan'!C111</x:f>
        <x:v>Pick up the crushed soda can furthest from the red block and place it in the bowl.</x:v>
      </x:c>
      <x:c r="D111" s="7" t="str">
        <x:f>'Evaluation Plan'!D111</x:f>
        <x:v>P1 red block at R5 (5 cm away from the robot from center) [REFERENCE]; P2 crushed Coke can with 6 cm edge gap behind P1 [CLOSE CANDIDATE]; P3 crushed Pepsi can with 20 cm edge gap in front of P1 [FAR CANDIDATE]; P4 blue block with 14 cm edge gap to the right of P1 [VISUAL COMPETITOR]</x:v>
      </x:c>
      <x:c r="E111" s="8" t="n">
        <x:f>IF(ISBLANK('Evaluation Plan'!E111),"",'Evaluation Plan'!E111)</x:f>
        <x:v>108</x:v>
      </x:c>
      <x:c r="F111" s="8" t="str">
        <x:f>'Evaluation Plan'!F111</x:f>
        <x:v>crushed Pepsi can</x:v>
      </x:c>
      <x:c r="G111" s="7"/>
      <x:c r="H111" s="8" t="str">
        <x:f>'Evaluation Plan'!H111</x:f>
        <x:v>Block furthest transfer</x:v>
      </x:c>
      <x:c r="I111" s="8" t="str">
        <x:f>'Evaluation Plan'!I111</x:f>
        <x:v>RD-BLK10</x:v>
      </x:c>
      <x:c r="J111" s="8" t="str">
        <x:f>'Evaluation Plan'!J111</x:f>
        <x:v>RD-BLK10</x:v>
      </x:c>
      <x:c r="K111" s="8" t="str">
        <x:f>'Evaluation Plan'!K111</x:f>
        <x:v>crushed soda can</x:v>
      </x:c>
      <x:c r="L111" s="8" t="str">
        <x:f>'Evaluation Plan'!L111</x:f>
        <x:v>furthest</x:v>
      </x:c>
      <x:c r="M111" s="8" t="n">
        <x:f>'Evaluation Plan'!M111</x:f>
        <x:v>4</x:v>
      </x:c>
      <x:c r="N111" s="8" t="str">
        <x:f>'Evaluation Plan'!N111</x:f>
        <x:v>2 — Block furthest transfer — Cross-task red/blue blocks as reference object; held-out furthest concept</x:v>
      </x:c>
      <x:c r="O111" s="8" t="n">
        <x:f>'Evaluation Plan'!O111</x:f>
        <x:v>60</x:v>
      </x:c>
      <x:c r="P111" s="7" t="str">
        <x:f>'Evaluation Plan'!P111</x:f>
        <x:v>Reset only the P2 closest target. Keep the scene exact; change only the query and expected target from closest to furthest.</x:v>
      </x:c>
      <x:c r="Q111" s="7" t="str">
        <x:f>'Evaluation Plan'!Q111</x:f>
        <x:v>Exact-scene closest→furthest comparison. Analyze block-as-candidate and block-as-reference families separately; this is cross-task visual transfer, not global novelty.</x:v>
      </x:c>
      <x:c r="R111" s="7" t="str">
        <x:f>IF(ISBLANK('Evaluation Plan'!R111),"",'Evaluation Plan'!R111)</x:f>
      </x:c>
    </x:row>
  </x:sheetData>
  <x:conditionalFormatting sqref="A2:R111">
    <x:cfRule type="expression" dxfId="14" priority="1">
      <x:formula>$A2="Success"</x:formula>
    </x:cfRule>
    <x:cfRule type="expression" dxfId="15" priority="2">
      <x:formula>$A2="Failure"</x:formula>
    </x:cfRule>
  </x:conditionalFormatting>
  <x:conditionalFormatting sqref="H2:H111">
    <x:cfRule type="containsText" dxfId="16" priority="3" operator="containsText" text="Concept/compositional transfer"/>
    <x:cfRule type="containsText" dxfId="17" priority="4" operator="containsText" text="Matched manipulation control"/>
    <x:cfRule type="containsText" dxfId="18" priority="5" operator="containsText" text="Block"/>
    <x:cfRule type="containsText" dxfId="19" priority="6" operator="containsText" text="Language robustness"/>
  </x:conditionalFormatting>
  <x:dataValidations count="1">
    <x:dataValidation type="list" sqref="A2:A111">
      <x:formula1>"Not collected,Success,Failure"</x:formula1>
    </x:dataValidation>
  </x:dataValidations>
  <x:pageMargins left="0.7" right="0.7" top="0.75" bottom="0.75" header="0.3" footer="0.3"/>
  <x:tableParts count="1">
    <x:tablePart xmlns:r="http://schemas.openxmlformats.org/officeDocument/2006/relationships" r:id="Rc10ae5466d0f4fd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9" hidden="0" customWidth="1"/>
    <x:col min="3" max="3" width="50" hidden="0" customWidth="1"/>
    <x:col min="4" max="4" width="92" hidden="0" customWidth="1"/>
    <x:col min="5" max="5" width="14" hidden="0" customWidth="1"/>
    <x:col min="6" max="6" width="32" hidden="0" customWidth="1"/>
    <x:col min="7" max="7" width="42" hidden="0" customWidth="1"/>
    <x:col min="8" max="8" width="31" hidden="0" customWidth="1"/>
    <x:col min="9" max="9" width="14" hidden="0" customWidth="1"/>
    <x:col min="10" max="10" width="17" hidden="0" customWidth="1"/>
    <x:col min="11" max="11" width="24" hidden="0" customWidth="1"/>
    <x:col min="12" max="12" width="20" hidden="0" customWidth="1"/>
    <x:col min="13" max="13" width="12" hidden="0" customWidth="1"/>
    <x:col min="14" max="14" width="58" hidden="0" customWidth="1"/>
    <x:col min="15" max="15" width="13" hidden="0" customWidth="1"/>
    <x:col min="16" max="16" width="70" hidden="0" customWidth="1"/>
    <x:col min="17" max="17" width="76" hidden="0" customWidth="1"/>
    <x:col min="18" max="18" width="30" hidden="0" customWidth="1"/>
  </x:cols>
  <x:sheetData>
    <x:row r="1" ht="38" customHeight="1">
      <x:c r="A1" s="5" t="str">
        <x:v>Status</x:v>
      </x:c>
      <x:c r="B1" s="5" t="str">
        <x:v>Episode</x:v>
      </x:c>
      <x:c r="C1" s="5" t="str">
        <x:v>Prompt</x:v>
      </x:c>
      <x:c r="D1" s="5" t="str">
        <x:v>Scene Setup (P1-P5)</x:v>
      </x:c>
      <x:c r="E1" s="5" t="str">
        <x:v>Reference Episode</x:v>
      </x:c>
      <x:c r="F1" s="5" t="str">
        <x:v>Expected Target</x:v>
      </x:c>
      <x:c r="G1" s="5" t="str">
        <x:v>Observations</x:v>
      </x:c>
      <x:c r="H1" s="5" t="str">
        <x:v>Condition</x:v>
      </x:c>
      <x:c r="I1" s="5" t="str">
        <x:v>Scene Family</x:v>
      </x:c>
      <x:c r="J1" s="5" t="str">
        <x:v>Counterfactual Pair</x:v>
      </x:c>
      <x:c r="K1" s="5" t="str">
        <x:v>Candidate Category</x:v>
      </x:c>
      <x:c r="L1" s="5" t="str">
        <x:v>Query Concept</x:v>
      </x:c>
      <x:c r="M1" s="5" t="str">
        <x:v>Object Count</x:v>
      </x:c>
      <x:c r="N1" s="5" t="str">
        <x:v>Comparison / Subtype</x:v>
      </x:c>
      <x:c r="O1" s="5" t="str">
        <x:v>Collection Block</x:v>
      </x:c>
      <x:c r="P1" s="5" t="str">
        <x:v>Setup Change from Previous</x:v>
      </x:c>
      <x:c r="Q1" s="5" t="str">
        <x:v>Design Note</x:v>
      </x:c>
      <x:c r="R1" s="5" t="str">
        <x:v>Reference Media Filename</x:v>
      </x:c>
    </x:row>
    <x:row r="2" ht="66" customHeight="1">
      <x:c r="A2" s="9" t="str">
        <x:v>Not collected</x:v>
      </x:c>
      <x:c r="B2" s="9" t="n">
        <x:f>'Evaluation Plan'!B2</x:f>
        <x:v>0</x:v>
      </x:c>
      <x:c r="C2" s="10" t="str">
        <x:f>'Evaluation Plan'!C2</x:f>
        <x:v>Pick up the crushed soda can furthest from the green pen and place it in the bowl.</x:v>
      </x:c>
      <x:c r="D2" s="10" t="str">
        <x:f>'Evaluation Plan'!D2</x:f>
        <x:v>P1 green pen at R1 (table center) [REFERENCE]; P2 crushed Coke can with 6 cm edge gap to the left of P1 [CLOSE CANDIDATE]; P3 crushed Pepsi can with 20 cm edge gap to the right of P1 [FAR CANDIDATE]</x:v>
      </x:c>
      <x:c r="E2" s="9" t="str">
        <x:f>IF(ISBLANK('Evaluation Plan'!E2),"",'Evaluation Plan'!E2)</x:f>
      </x:c>
      <x:c r="F2" s="9" t="str">
        <x:f>'Evaluation Plan'!F2</x:f>
        <x:v>crushed Pepsi can</x:v>
      </x:c>
      <x:c r="G2" s="10"/>
      <x:c r="H2" s="9" t="str">
        <x:f>'Evaluation Plan'!H2</x:f>
        <x:v>Concept/compositional transfer</x:v>
      </x:c>
      <x:c r="I2" s="9" t="str">
        <x:f>'Evaluation Plan'!I2</x:f>
        <x:v>RD-CF01A</x:v>
      </x:c>
      <x:c r="J2" s="9" t="str">
        <x:f>'Evaluation Plan'!J2</x:f>
        <x:v>RD-CF01</x:v>
      </x:c>
      <x:c r="K2" s="9" t="str">
        <x:f>'Evaluation Plan'!K2</x:f>
        <x:v>crushed soda can</x:v>
      </x:c>
      <x:c r="L2" s="9" t="str">
        <x:f>'Evaluation Plan'!L2</x:f>
        <x:v>furthest</x:v>
      </x:c>
      <x:c r="M2" s="9" t="n">
        <x:f>'Evaluation Plan'!M2</x:f>
        <x:v>3</x:v>
      </x:c>
      <x:c r="N2" s="9" t="str">
        <x:f>'Evaluation Plan'!N2</x:f>
        <x:v>1 — Canonical transfer — Held-out furthest concept with same-category candidates</x:v>
      </x:c>
      <x:c r="O2" s="9" t="n">
        <x:f>'Evaluation Plan'!O2</x:f>
        <x:v>1</x:v>
      </x:c>
      <x:c r="P2" s="10" t="str">
        <x:f>'Evaluation Plan'!P2</x:f>
        <x:v>Build counterfactual scene A and save a first-frame filename.</x:v>
      </x:c>
      <x:c r="Q2" s="10" t="str">
        <x:f>'Evaluation Plan'!Q2</x:f>
        <x:v>Furthest/farthest language is absent from fine-tuning. The A/B scene pair swaps which physical identity is far, preventing identity preference from solving both.</x:v>
      </x:c>
      <x:c r="R2" s="10" t="str">
        <x:f>IF(ISBLANK('Evaluation Plan'!R2),"",'Evaluation Plan'!R2)</x:f>
      </x:c>
    </x:row>
    <x:row r="3" ht="66" customHeight="1">
      <x:c r="A3" s="8" t="str">
        <x:v>Not collected</x:v>
      </x:c>
      <x:c r="B3" s="8" t="n">
        <x:f>'Evaluation Plan'!B3</x:f>
        <x:v>1</x:v>
      </x:c>
      <x:c r="C3" s="7" t="str">
        <x:f>'Evaluation Plan'!C3</x:f>
        <x:v>Pick up the crushed soda can farthest from the green pen and place it in the bowl.</x:v>
      </x:c>
      <x:c r="D3" s="7" t="str">
        <x:f>'Evaluation Plan'!D3</x:f>
        <x:v>P1 green pen at R1 (table center) [REFERENCE]; P2 crushed Coke can with 6 cm edge gap to the left of P1 [CLOSE CANDIDATE]; P3 crushed Pepsi can with 20 cm edge gap to the right of P1 [FAR CANDIDATE]</x:v>
      </x:c>
      <x:c r="E3" s="8" t="n">
        <x:f>IF(ISBLANK('Evaluation Plan'!E3),"",'Evaluation Plan'!E3)</x:f>
        <x:v>0</x:v>
      </x:c>
      <x:c r="F3" s="8" t="str">
        <x:f>'Evaluation Plan'!F3</x:f>
        <x:v>crushed Pepsi can</x:v>
      </x:c>
      <x:c r="G3" s="7"/>
      <x:c r="H3" s="8" t="str">
        <x:f>'Evaluation Plan'!H3</x:f>
        <x:v>Language robustness</x:v>
      </x:c>
      <x:c r="I3" s="8" t="str">
        <x:f>'Evaluation Plan'!I3</x:f>
        <x:v>RD-CF01A</x:v>
      </x:c>
      <x:c r="J3" s="8" t="str">
        <x:f>'Evaluation Plan'!J3</x:f>
        <x:v>RD-CF01</x:v>
      </x:c>
      <x:c r="K3" s="8" t="str">
        <x:f>'Evaluation Plan'!K3</x:f>
        <x:v>crushed soda can</x:v>
      </x:c>
      <x:c r="L3" s="8" t="str">
        <x:f>'Evaluation Plan'!L3</x:f>
        <x:v>furthest paraphrase</x:v>
      </x:c>
      <x:c r="M3" s="8" t="n">
        <x:f>'Evaluation Plan'!M3</x:f>
        <x:v>3</x:v>
      </x:c>
      <x:c r="N3" s="8" t="str">
        <x:f>'Evaluation Plan'!N3</x:f>
        <x:v>2 — Exact-scene transfer paraphrase — Paraphrase of furthest-transfer prompt</x:v>
      </x:c>
      <x:c r="O3" s="8" t="n">
        <x:f>'Evaluation Plan'!O3</x:f>
        <x:v>1</x:v>
      </x:c>
      <x:c r="P3" s="7" t="str">
        <x:f>'Evaluation Plan'!P3</x:f>
        <x:v>Reset only the far candidate to P3; change only the prompt wording.</x:v>
      </x:c>
      <x:c r="Q3" s="7" t="str">
        <x:f>'Evaluation Plan'!Q3</x:f>
        <x:v>Exact-scene language comparison for the held-out distance concept.</x:v>
      </x:c>
      <x:c r="R3" s="7" t="str">
        <x:f>IF(ISBLANK('Evaluation Plan'!R3),"",'Evaluation Plan'!R3)</x:f>
      </x:c>
    </x:row>
    <x:row r="4" ht="66" customHeight="1">
      <x:c r="A4" s="8" t="str">
        <x:v>Not collected</x:v>
      </x:c>
      <x:c r="B4" s="8" t="n">
        <x:f>'Evaluation Plan'!B4</x:f>
        <x:v>2</x:v>
      </x:c>
      <x:c r="C4" s="7" t="str">
        <x:f>'Evaluation Plan'!C4</x:f>
        <x:v>Put the crushed Pepsi can in the bowl.</x:v>
      </x:c>
      <x:c r="D4" s="7" t="str">
        <x:f>'Evaluation Plan'!D4</x:f>
        <x:v>P1 green pen at R1 (table center) [REFERENCE]; P2 crushed Coke can with 6 cm edge gap to the left of P1 [CLOSE CANDIDATE]; P3 crushed Pepsi can with 20 cm edge gap to the right of P1 [FAR CANDIDATE]</x:v>
      </x:c>
      <x:c r="E4" s="8" t="n">
        <x:f>IF(ISBLANK('Evaluation Plan'!E4),"",'Evaluation Plan'!E4)</x:f>
        <x:v>0</x:v>
      </x:c>
      <x:c r="F4" s="8" t="str">
        <x:f>'Evaluation Plan'!F4</x:f>
        <x:v>crushed Pepsi can</x:v>
      </x:c>
      <x:c r="G4" s="7"/>
      <x:c r="H4" s="8" t="str">
        <x:f>'Evaluation Plan'!H4</x:f>
        <x:v>Matched manipulation control</x:v>
      </x:c>
      <x:c r="I4" s="8" t="str">
        <x:f>'Evaluation Plan'!I4</x:f>
        <x:v>RD-CF01A</x:v>
      </x:c>
      <x:c r="J4" s="8" t="str">
        <x:f>'Evaluation Plan'!J4</x:f>
        <x:v>RD-CF01</x:v>
      </x:c>
      <x:c r="K4" s="8" t="str">
        <x:f>'Evaluation Plan'!K4</x:f>
        <x:v>crushed soda can</x:v>
      </x:c>
      <x:c r="L4" s="8" t="str">
        <x:f>'Evaluation Plan'!L4</x:f>
        <x:v>direct name</x:v>
      </x:c>
      <x:c r="M4" s="8" t="n">
        <x:f>'Evaluation Plan'!M4</x:f>
        <x:v>3</x:v>
      </x:c>
      <x:c r="N4" s="8" t="str">
        <x:f>'Evaluation Plan'!N4</x:f>
        <x:v>3 — Matched control — Direct-name control on identical target and trajectory</x:v>
      </x:c>
      <x:c r="O4" s="8" t="n">
        <x:f>'Evaluation Plan'!O4</x:f>
        <x:v>1</x:v>
      </x:c>
      <x:c r="P4" s="7" t="str">
        <x:f>'Evaluation Plan'!P4</x:f>
        <x:v>Reset only the far candidate to P3. Keep the full scene exact; replace the relational instruction with the target's direct name.</x:v>
      </x:c>
      <x:c r="Q4" s="7" t="str">
        <x:f>'Evaluation Plan'!Q4</x:f>
        <x:v>This is a true endpoint-matched manipulation control: scene, target identity, start pose and required trajectory match the furthest trial.</x:v>
      </x:c>
      <x:c r="R4" s="7" t="str">
        <x:f>IF(ISBLANK('Evaluation Plan'!R4),"",'Evaluation Plan'!R4)</x:f>
      </x:c>
    </x:row>
    <x:row r="5" ht="66" customHeight="1">
      <x:c r="A5" s="9" t="str">
        <x:v>Not collected</x:v>
      </x:c>
      <x:c r="B5" s="9" t="n">
        <x:f>'Evaluation Plan'!B5</x:f>
        <x:v>3</x:v>
      </x:c>
      <x:c r="C5" s="10" t="str">
        <x:f>'Evaluation Plan'!C5</x:f>
        <x:v>Pick up the crushed soda can furthest from the green pen and place it in the bowl.</x:v>
      </x:c>
      <x:c r="D5" s="10" t="str">
        <x:f>'Evaluation Plan'!D5</x:f>
        <x:v>P1 green pen at R1 (table center) [REFERENCE]; P2 crushed Pepsi can with 6 cm edge gap to the left of P1 [CLOSE CANDIDATE]; P3 crushed Coke can with 20 cm edge gap to the right of P1 [FAR CANDIDATE]</x:v>
      </x:c>
      <x:c r="E5" s="9" t="str">
        <x:f>IF(ISBLANK('Evaluation Plan'!E5),"",'Evaluation Plan'!E5)</x:f>
      </x:c>
      <x:c r="F5" s="9" t="str">
        <x:f>'Evaluation Plan'!F5</x:f>
        <x:v>crushed Coke can</x:v>
      </x:c>
      <x:c r="G5" s="10"/>
      <x:c r="H5" s="9" t="str">
        <x:f>'Evaluation Plan'!H5</x:f>
        <x:v>Concept/compositional transfer</x:v>
      </x:c>
      <x:c r="I5" s="9" t="str">
        <x:f>'Evaluation Plan'!I5</x:f>
        <x:v>RD-CF01B</x:v>
      </x:c>
      <x:c r="J5" s="9" t="str">
        <x:f>'Evaluation Plan'!J5</x:f>
        <x:v>RD-CF01</x:v>
      </x:c>
      <x:c r="K5" s="9" t="str">
        <x:f>'Evaluation Plan'!K5</x:f>
        <x:v>crushed soda can</x:v>
      </x:c>
      <x:c r="L5" s="9" t="str">
        <x:f>'Evaluation Plan'!L5</x:f>
        <x:v>furthest</x:v>
      </x:c>
      <x:c r="M5" s="9" t="n">
        <x:f>'Evaluation Plan'!M5</x:f>
        <x:v>3</x:v>
      </x:c>
      <x:c r="N5" s="9" t="str">
        <x:f>'Evaluation Plan'!N5</x:f>
        <x:v>1 — Canonical transfer — Held-out furthest concept with same-category candidates</x:v>
      </x:c>
      <x:c r="O5" s="9" t="n">
        <x:f>'Evaluation Plan'!O5</x:f>
        <x:v>2</x:v>
      </x:c>
      <x:c r="P5" s="10" t="str">
        <x:f>'Evaluation Plan'!P5</x:f>
        <x:v>From scene A, swap only the P2/P3 candidate identities; keep reference, distractors, camera and distances fixed. Save the new first frame.</x:v>
      </x:c>
      <x:c r="Q5" s="10" t="str">
        <x:f>'Evaluation Plan'!Q5</x:f>
        <x:v>Furthest/farthest language is absent from fine-tuning. The A/B scene pair swaps which physical identity is far, preventing identity preference from solving both.</x:v>
      </x:c>
      <x:c r="R5" s="10" t="str">
        <x:f>IF(ISBLANK('Evaluation Plan'!R5),"",'Evaluation Plan'!R5)</x:f>
      </x:c>
    </x:row>
    <x:row r="6" ht="66" customHeight="1">
      <x:c r="A6" s="8" t="str">
        <x:v>Not collected</x:v>
      </x:c>
      <x:c r="B6" s="8" t="n">
        <x:f>'Evaluation Plan'!B6</x:f>
        <x:v>4</x:v>
      </x:c>
      <x:c r="C6" s="7" t="str">
        <x:f>'Evaluation Plan'!C6</x:f>
        <x:v>Move the crushed soda can that is most distant from the green pen into the bowl.</x:v>
      </x:c>
      <x:c r="D6" s="7" t="str">
        <x:f>'Evaluation Plan'!D6</x:f>
        <x:v>P1 green pen at R1 (table center) [REFERENCE]; P2 crushed Pepsi can with 6 cm edge gap to the left of P1 [CLOSE CANDIDATE]; P3 crushed Coke can with 20 cm edge gap to the right of P1 [FAR CANDIDATE]</x:v>
      </x:c>
      <x:c r="E6" s="8" t="n">
        <x:f>IF(ISBLANK('Evaluation Plan'!E6),"",'Evaluation Plan'!E6)</x:f>
        <x:v>3</x:v>
      </x:c>
      <x:c r="F6" s="8" t="str">
        <x:f>'Evaluation Plan'!F6</x:f>
        <x:v>crushed Coke can</x:v>
      </x:c>
      <x:c r="G6" s="7"/>
      <x:c r="H6" s="8" t="str">
        <x:f>'Evaluation Plan'!H6</x:f>
        <x:v>Language robustness</x:v>
      </x:c>
      <x:c r="I6" s="8" t="str">
        <x:f>'Evaluation Plan'!I6</x:f>
        <x:v>RD-CF01B</x:v>
      </x:c>
      <x:c r="J6" s="8" t="str">
        <x:f>'Evaluation Plan'!J6</x:f>
        <x:v>RD-CF01</x:v>
      </x:c>
      <x:c r="K6" s="8" t="str">
        <x:f>'Evaluation Plan'!K6</x:f>
        <x:v>crushed soda can</x:v>
      </x:c>
      <x:c r="L6" s="8" t="str">
        <x:f>'Evaluation Plan'!L6</x:f>
        <x:v>furthest paraphrase</x:v>
      </x:c>
      <x:c r="M6" s="8" t="n">
        <x:f>'Evaluation Plan'!M6</x:f>
        <x:v>3</x:v>
      </x:c>
      <x:c r="N6" s="8" t="str">
        <x:f>'Evaluation Plan'!N6</x:f>
        <x:v>2 — Exact-scene transfer paraphrase — Paraphrase of furthest-transfer prompt</x:v>
      </x:c>
      <x:c r="O6" s="8" t="n">
        <x:f>'Evaluation Plan'!O6</x:f>
        <x:v>2</x:v>
      </x:c>
      <x:c r="P6" s="7" t="str">
        <x:f>'Evaluation Plan'!P6</x:f>
        <x:v>Reset only the far candidate to P3; change only the prompt wording.</x:v>
      </x:c>
      <x:c r="Q6" s="7" t="str">
        <x:f>'Evaluation Plan'!Q6</x:f>
        <x:v>Exact-scene language comparison for the held-out distance concept.</x:v>
      </x:c>
      <x:c r="R6" s="7" t="str">
        <x:f>IF(ISBLANK('Evaluation Plan'!R6),"",'Evaluation Plan'!R6)</x:f>
      </x:c>
    </x:row>
    <x:row r="7" ht="66" customHeight="1">
      <x:c r="A7" s="8" t="str">
        <x:v>Not collected</x:v>
      </x:c>
      <x:c r="B7" s="8" t="n">
        <x:f>'Evaluation Plan'!B7</x:f>
        <x:v>5</x:v>
      </x:c>
      <x:c r="C7" s="7" t="str">
        <x:f>'Evaluation Plan'!C7</x:f>
        <x:v>Move the crushed Coke can into the bowl.</x:v>
      </x:c>
      <x:c r="D7" s="7" t="str">
        <x:f>'Evaluation Plan'!D7</x:f>
        <x:v>P1 green pen at R1 (table center) [REFERENCE]; P2 crushed Pepsi can with 6 cm edge gap to the left of P1 [CLOSE CANDIDATE]; P3 crushed Coke can with 20 cm edge gap to the right of P1 [FAR CANDIDATE]</x:v>
      </x:c>
      <x:c r="E7" s="8" t="n">
        <x:f>IF(ISBLANK('Evaluation Plan'!E7),"",'Evaluation Plan'!E7)</x:f>
        <x:v>3</x:v>
      </x:c>
      <x:c r="F7" s="8" t="str">
        <x:f>'Evaluation Plan'!F7</x:f>
        <x:v>crushed Coke can</x:v>
      </x:c>
      <x:c r="G7" s="7"/>
      <x:c r="H7" s="8" t="str">
        <x:f>'Evaluation Plan'!H7</x:f>
        <x:v>Matched manipulation control</x:v>
      </x:c>
      <x:c r="I7" s="8" t="str">
        <x:f>'Evaluation Plan'!I7</x:f>
        <x:v>RD-CF01B</x:v>
      </x:c>
      <x:c r="J7" s="8" t="str">
        <x:f>'Evaluation Plan'!J7</x:f>
        <x:v>RD-CF01</x:v>
      </x:c>
      <x:c r="K7" s="8" t="str">
        <x:f>'Evaluation Plan'!K7</x:f>
        <x:v>crushed soda can</x:v>
      </x:c>
      <x:c r="L7" s="8" t="str">
        <x:f>'Evaluation Plan'!L7</x:f>
        <x:v>direct name</x:v>
      </x:c>
      <x:c r="M7" s="8" t="n">
        <x:f>'Evaluation Plan'!M7</x:f>
        <x:v>3</x:v>
      </x:c>
      <x:c r="N7" s="8" t="str">
        <x:f>'Evaluation Plan'!N7</x:f>
        <x:v>3 — Matched control — Direct-name control on identical target and trajectory</x:v>
      </x:c>
      <x:c r="O7" s="8" t="n">
        <x:f>'Evaluation Plan'!O7</x:f>
        <x:v>2</x:v>
      </x:c>
      <x:c r="P7" s="7" t="str">
        <x:f>'Evaluation Plan'!P7</x:f>
        <x:v>Reset only the far candidate to P3. Keep the full scene exact; replace the relational instruction with the target's direct name.</x:v>
      </x:c>
      <x:c r="Q7" s="7" t="str">
        <x:f>'Evaluation Plan'!Q7</x:f>
        <x:v>This is a true endpoint-matched manipulation control: scene, target identity, start pose and required trajectory match the furthest trial.</x:v>
      </x:c>
      <x:c r="R7" s="7" t="str">
        <x:f>IF(ISBLANK('Evaluation Plan'!R7),"",'Evaluation Plan'!R7)</x:f>
      </x:c>
    </x:row>
    <x:row r="8" ht="66" customHeight="1">
      <x:c r="A8" s="9" t="str">
        <x:v>Not collected</x:v>
      </x:c>
      <x:c r="B8" s="9" t="n">
        <x:f>'Evaluation Plan'!B8</x:f>
        <x:v>6</x:v>
      </x:c>
      <x:c r="C8" s="10" t="str">
        <x:f>'Evaluation Plan'!C8</x:f>
        <x:v>Pick up the pencil sharpener furthest from the yellow pen and place it in the bowl.</x:v>
      </x:c>
      <x:c r="D8" s="10" t="str">
        <x:f>'Evaluation Plan'!D8</x:f>
        <x:v>P1 yellow pen at R2 (5 cm left of center) [REFERENCE]; P2 red pencil sharpener with 6 cm edge gap to the right of P1 [CLOSE CANDIDATE]; P3 green pencil sharpener with 20 cm edge gap to the left of P1 [FAR CANDIDATE]</x:v>
      </x:c>
      <x:c r="E8" s="9" t="str">
        <x:f>IF(ISBLANK('Evaluation Plan'!E8),"",'Evaluation Plan'!E8)</x:f>
      </x:c>
      <x:c r="F8" s="9" t="str">
        <x:f>'Evaluation Plan'!F8</x:f>
        <x:v>green pencil sharpener</x:v>
      </x:c>
      <x:c r="G8" s="10"/>
      <x:c r="H8" s="9" t="str">
        <x:f>'Evaluation Plan'!H8</x:f>
        <x:v>Concept/compositional transfer</x:v>
      </x:c>
      <x:c r="I8" s="9" t="str">
        <x:f>'Evaluation Plan'!I8</x:f>
        <x:v>RD-CF02A</x:v>
      </x:c>
      <x:c r="J8" s="9" t="str">
        <x:f>'Evaluation Plan'!J8</x:f>
        <x:v>RD-CF02</x:v>
      </x:c>
      <x:c r="K8" s="9" t="str">
        <x:f>'Evaluation Plan'!K8</x:f>
        <x:v>pencil sharpener</x:v>
      </x:c>
      <x:c r="L8" s="9" t="str">
        <x:f>'Evaluation Plan'!L8</x:f>
        <x:v>furthest</x:v>
      </x:c>
      <x:c r="M8" s="9" t="n">
        <x:f>'Evaluation Plan'!M8</x:f>
        <x:v>3</x:v>
      </x:c>
      <x:c r="N8" s="9" t="str">
        <x:f>'Evaluation Plan'!N8</x:f>
        <x:v>1 — Canonical transfer — Held-out furthest concept with same-category candidates</x:v>
      </x:c>
      <x:c r="O8" s="9" t="n">
        <x:f>'Evaluation Plan'!O8</x:f>
        <x:v>3</x:v>
      </x:c>
      <x:c r="P8" s="10" t="str">
        <x:f>'Evaluation Plan'!P8</x:f>
        <x:v>Build counterfactual scene A and save a first-frame filename.</x:v>
      </x:c>
      <x:c r="Q8" s="10" t="str">
        <x:f>'Evaluation Plan'!Q8</x:f>
        <x:v>Furthest/farthest language is absent from fine-tuning. The A/B scene pair swaps which physical identity is far, preventing identity preference from solving both.</x:v>
      </x:c>
      <x:c r="R8" s="10" t="str">
        <x:f>IF(ISBLANK('Evaluation Plan'!R8),"",'Evaluation Plan'!R8)</x:f>
      </x:c>
    </x:row>
    <x:row r="9" ht="66" customHeight="1">
      <x:c r="A9" s="8" t="str">
        <x:v>Not collected</x:v>
      </x:c>
      <x:c r="B9" s="8" t="n">
        <x:f>'Evaluation Plan'!B9</x:f>
        <x:v>7</x:v>
      </x:c>
      <x:c r="C9" s="7" t="str">
        <x:f>'Evaluation Plan'!C9</x:f>
        <x:v>Choose whichever pencil sharpener is farther away from the yellow pen and put it in the bowl.</x:v>
      </x:c>
      <x:c r="D9" s="7" t="str">
        <x:f>'Evaluation Plan'!D9</x:f>
        <x:v>P1 yellow pen at R2 (5 cm left of center) [REFERENCE]; P2 red pencil sharpener with 6 cm edge gap to the right of P1 [CLOSE CANDIDATE]; P3 green pencil sharpener with 20 cm edge gap to the left of P1 [FAR CANDIDATE]</x:v>
      </x:c>
      <x:c r="E9" s="8" t="n">
        <x:f>IF(ISBLANK('Evaluation Plan'!E9),"",'Evaluation Plan'!E9)</x:f>
        <x:v>6</x:v>
      </x:c>
      <x:c r="F9" s="8" t="str">
        <x:f>'Evaluation Plan'!F9</x:f>
        <x:v>green pencil sharpener</x:v>
      </x:c>
      <x:c r="G9" s="7"/>
      <x:c r="H9" s="8" t="str">
        <x:f>'Evaluation Plan'!H9</x:f>
        <x:v>Language robustness</x:v>
      </x:c>
      <x:c r="I9" s="8" t="str">
        <x:f>'Evaluation Plan'!I9</x:f>
        <x:v>RD-CF02A</x:v>
      </x:c>
      <x:c r="J9" s="8" t="str">
        <x:f>'Evaluation Plan'!J9</x:f>
        <x:v>RD-CF02</x:v>
      </x:c>
      <x:c r="K9" s="8" t="str">
        <x:f>'Evaluation Plan'!K9</x:f>
        <x:v>pencil sharpener</x:v>
      </x:c>
      <x:c r="L9" s="8" t="str">
        <x:f>'Evaluation Plan'!L9</x:f>
        <x:v>furthest paraphrase</x:v>
      </x:c>
      <x:c r="M9" s="8" t="n">
        <x:f>'Evaluation Plan'!M9</x:f>
        <x:v>3</x:v>
      </x:c>
      <x:c r="N9" s="8" t="str">
        <x:f>'Evaluation Plan'!N9</x:f>
        <x:v>2 — Exact-scene transfer paraphrase — Paraphrase of furthest-transfer prompt</x:v>
      </x:c>
      <x:c r="O9" s="8" t="n">
        <x:f>'Evaluation Plan'!O9</x:f>
        <x:v>3</x:v>
      </x:c>
      <x:c r="P9" s="7" t="str">
        <x:f>'Evaluation Plan'!P9</x:f>
        <x:v>Reset only the far candidate to P3; change only the prompt wording.</x:v>
      </x:c>
      <x:c r="Q9" s="7" t="str">
        <x:f>'Evaluation Plan'!Q9</x:f>
        <x:v>Exact-scene language comparison for the held-out distance concept.</x:v>
      </x:c>
      <x:c r="R9" s="7" t="str">
        <x:f>IF(ISBLANK('Evaluation Plan'!R9),"",'Evaluation Plan'!R9)</x:f>
      </x:c>
    </x:row>
    <x:row r="10" ht="66" customHeight="1">
      <x:c r="A10" s="8" t="str">
        <x:v>Not collected</x:v>
      </x:c>
      <x:c r="B10" s="8" t="n">
        <x:f>'Evaluation Plan'!B10</x:f>
        <x:v>8</x:v>
      </x:c>
      <x:c r="C10" s="7" t="str">
        <x:f>'Evaluation Plan'!C10</x:f>
        <x:v>Pick up the green pencil sharpener and place it in the bowl.</x:v>
      </x:c>
      <x:c r="D10" s="7" t="str">
        <x:f>'Evaluation Plan'!D10</x:f>
        <x:v>P1 yellow pen at R2 (5 cm left of center) [REFERENCE]; P2 red pencil sharpener with 6 cm edge gap to the right of P1 [CLOSE CANDIDATE]; P3 green pencil sharpener with 20 cm edge gap to the left of P1 [FAR CANDIDATE]</x:v>
      </x:c>
      <x:c r="E10" s="8" t="n">
        <x:f>IF(ISBLANK('Evaluation Plan'!E10),"",'Evaluation Plan'!E10)</x:f>
        <x:v>6</x:v>
      </x:c>
      <x:c r="F10" s="8" t="str">
        <x:f>'Evaluation Plan'!F10</x:f>
        <x:v>green pencil sharpener</x:v>
      </x:c>
      <x:c r="G10" s="7"/>
      <x:c r="H10" s="8" t="str">
        <x:f>'Evaluation Plan'!H10</x:f>
        <x:v>Matched manipulation control</x:v>
      </x:c>
      <x:c r="I10" s="8" t="str">
        <x:f>'Evaluation Plan'!I10</x:f>
        <x:v>RD-CF02A</x:v>
      </x:c>
      <x:c r="J10" s="8" t="str">
        <x:f>'Evaluation Plan'!J10</x:f>
        <x:v>RD-CF02</x:v>
      </x:c>
      <x:c r="K10" s="8" t="str">
        <x:f>'Evaluation Plan'!K10</x:f>
        <x:v>pencil sharpener</x:v>
      </x:c>
      <x:c r="L10" s="8" t="str">
        <x:f>'Evaluation Plan'!L10</x:f>
        <x:v>direct name</x:v>
      </x:c>
      <x:c r="M10" s="8" t="n">
        <x:f>'Evaluation Plan'!M10</x:f>
        <x:v>3</x:v>
      </x:c>
      <x:c r="N10" s="8" t="str">
        <x:f>'Evaluation Plan'!N10</x:f>
        <x:v>3 — Matched control — Direct-name control on identical target and trajectory</x:v>
      </x:c>
      <x:c r="O10" s="8" t="n">
        <x:f>'Evaluation Plan'!O10</x:f>
        <x:v>3</x:v>
      </x:c>
      <x:c r="P10" s="7" t="str">
        <x:f>'Evaluation Plan'!P10</x:f>
        <x:v>Reset only the far candidate to P3. Keep the full scene exact; replace the relational instruction with the target's direct name.</x:v>
      </x:c>
      <x:c r="Q10" s="7" t="str">
        <x:f>'Evaluation Plan'!Q10</x:f>
        <x:v>This is a true endpoint-matched manipulation control: scene, target identity, start pose and required trajectory match the furthest trial.</x:v>
      </x:c>
      <x:c r="R10" s="7" t="str">
        <x:f>IF(ISBLANK('Evaluation Plan'!R10),"",'Evaluation Plan'!R10)</x:f>
      </x:c>
    </x:row>
    <x:row r="11" ht="66" customHeight="1">
      <x:c r="A11" s="9" t="str">
        <x:v>Not collected</x:v>
      </x:c>
      <x:c r="B11" s="9" t="n">
        <x:f>'Evaluation Plan'!B11</x:f>
        <x:v>9</x:v>
      </x:c>
      <x:c r="C11" s="10" t="str">
        <x:f>'Evaluation Plan'!C11</x:f>
        <x:v>Pick up the pencil sharpener furthest from the yellow pen and place it in the bowl.</x:v>
      </x:c>
      <x:c r="D11" s="10" t="str">
        <x:f>'Evaluation Plan'!D11</x:f>
        <x:v>P1 yellow pen at R2 (5 cm left of center) [REFERENCE]; P2 green pencil sharpener with 6 cm edge gap to the right of P1 [CLOSE CANDIDATE]; P3 red pencil sharpener with 20 cm edge gap to the left of P1 [FAR CANDIDATE]</x:v>
      </x:c>
      <x:c r="E11" s="9" t="str">
        <x:f>IF(ISBLANK('Evaluation Plan'!E11),"",'Evaluation Plan'!E11)</x:f>
      </x:c>
      <x:c r="F11" s="9" t="str">
        <x:f>'Evaluation Plan'!F11</x:f>
        <x:v>red pencil sharpener</x:v>
      </x:c>
      <x:c r="G11" s="10"/>
      <x:c r="H11" s="9" t="str">
        <x:f>'Evaluation Plan'!H11</x:f>
        <x:v>Concept/compositional transfer</x:v>
      </x:c>
      <x:c r="I11" s="9" t="str">
        <x:f>'Evaluation Plan'!I11</x:f>
        <x:v>RD-CF02B</x:v>
      </x:c>
      <x:c r="J11" s="9" t="str">
        <x:f>'Evaluation Plan'!J11</x:f>
        <x:v>RD-CF02</x:v>
      </x:c>
      <x:c r="K11" s="9" t="str">
        <x:f>'Evaluation Plan'!K11</x:f>
        <x:v>pencil sharpener</x:v>
      </x:c>
      <x:c r="L11" s="9" t="str">
        <x:f>'Evaluation Plan'!L11</x:f>
        <x:v>furthest</x:v>
      </x:c>
      <x:c r="M11" s="9" t="n">
        <x:f>'Evaluation Plan'!M11</x:f>
        <x:v>3</x:v>
      </x:c>
      <x:c r="N11" s="9" t="str">
        <x:f>'Evaluation Plan'!N11</x:f>
        <x:v>1 — Canonical transfer — Held-out furthest concept with same-category candidates</x:v>
      </x:c>
      <x:c r="O11" s="9" t="n">
        <x:f>'Evaluation Plan'!O11</x:f>
        <x:v>4</x:v>
      </x:c>
      <x:c r="P11" s="10" t="str">
        <x:f>'Evaluation Plan'!P11</x:f>
        <x:v>From scene A, swap only the P2/P3 candidate identities; keep reference, distractors, camera and distances fixed. Save the new first frame.</x:v>
      </x:c>
      <x:c r="Q11" s="10" t="str">
        <x:f>'Evaluation Plan'!Q11</x:f>
        <x:v>Furthest/farthest language is absent from fine-tuning. The A/B scene pair swaps which physical identity is far, preventing identity preference from solving both.</x:v>
      </x:c>
      <x:c r="R11" s="10" t="str">
        <x:f>IF(ISBLANK('Evaluation Plan'!R11),"",'Evaluation Plan'!R11)</x:f>
      </x:c>
    </x:row>
    <x:row r="12" ht="66" customHeight="1">
      <x:c r="A12" s="8" t="str">
        <x:v>Not collected</x:v>
      </x:c>
      <x:c r="B12" s="8" t="n">
        <x:f>'Evaluation Plan'!B12</x:f>
        <x:v>10</x:v>
      </x:c>
      <x:c r="C12" s="7" t="str">
        <x:f>'Evaluation Plan'!C12</x:f>
        <x:v>Place the pencil sharpener with the greatest distance from the yellow pen in the bowl.</x:v>
      </x:c>
      <x:c r="D12" s="7" t="str">
        <x:f>'Evaluation Plan'!D12</x:f>
        <x:v>P1 yellow pen at R2 (5 cm left of center) [REFERENCE]; P2 green pencil sharpener with 6 cm edge gap to the right of P1 [CLOSE CANDIDATE]; P3 red pencil sharpener with 20 cm edge gap to the left of P1 [FAR CANDIDATE]</x:v>
      </x:c>
      <x:c r="E12" s="8" t="n">
        <x:f>IF(ISBLANK('Evaluation Plan'!E12),"",'Evaluation Plan'!E12)</x:f>
        <x:v>9</x:v>
      </x:c>
      <x:c r="F12" s="8" t="str">
        <x:f>'Evaluation Plan'!F12</x:f>
        <x:v>red pencil sharpener</x:v>
      </x:c>
      <x:c r="G12" s="7"/>
      <x:c r="H12" s="8" t="str">
        <x:f>'Evaluation Plan'!H12</x:f>
        <x:v>Language robustness</x:v>
      </x:c>
      <x:c r="I12" s="8" t="str">
        <x:f>'Evaluation Plan'!I12</x:f>
        <x:v>RD-CF02B</x:v>
      </x:c>
      <x:c r="J12" s="8" t="str">
        <x:f>'Evaluation Plan'!J12</x:f>
        <x:v>RD-CF02</x:v>
      </x:c>
      <x:c r="K12" s="8" t="str">
        <x:f>'Evaluation Plan'!K12</x:f>
        <x:v>pencil sharpener</x:v>
      </x:c>
      <x:c r="L12" s="8" t="str">
        <x:f>'Evaluation Plan'!L12</x:f>
        <x:v>furthest paraphrase</x:v>
      </x:c>
      <x:c r="M12" s="8" t="n">
        <x:f>'Evaluation Plan'!M12</x:f>
        <x:v>3</x:v>
      </x:c>
      <x:c r="N12" s="8" t="str">
        <x:f>'Evaluation Plan'!N12</x:f>
        <x:v>2 — Exact-scene transfer paraphrase — Paraphrase of furthest-transfer prompt</x:v>
      </x:c>
      <x:c r="O12" s="8" t="n">
        <x:f>'Evaluation Plan'!O12</x:f>
        <x:v>4</x:v>
      </x:c>
      <x:c r="P12" s="7" t="str">
        <x:f>'Evaluation Plan'!P12</x:f>
        <x:v>Reset only the far candidate to P3; change only the prompt wording.</x:v>
      </x:c>
      <x:c r="Q12" s="7" t="str">
        <x:f>'Evaluation Plan'!Q12</x:f>
        <x:v>Exact-scene language comparison for the held-out distance concept.</x:v>
      </x:c>
      <x:c r="R12" s="7" t="str">
        <x:f>IF(ISBLANK('Evaluation Plan'!R12),"",'Evaluation Plan'!R12)</x:f>
      </x:c>
    </x:row>
    <x:row r="13" ht="66" customHeight="1">
      <x:c r="A13" s="8" t="str">
        <x:v>Not collected</x:v>
      </x:c>
      <x:c r="B13" s="8" t="n">
        <x:f>'Evaluation Plan'!B13</x:f>
        <x:v>11</x:v>
      </x:c>
      <x:c r="C13" s="7" t="str">
        <x:f>'Evaluation Plan'!C13</x:f>
        <x:v>Put the red pencil sharpener in the bowl.</x:v>
      </x:c>
      <x:c r="D13" s="7" t="str">
        <x:f>'Evaluation Plan'!D13</x:f>
        <x:v>P1 yellow pen at R2 (5 cm left of center) [REFERENCE]; P2 green pencil sharpener with 6 cm edge gap to the right of P1 [CLOSE CANDIDATE]; P3 red pencil sharpener with 20 cm edge gap to the left of P1 [FAR CANDIDATE]</x:v>
      </x:c>
      <x:c r="E13" s="8" t="n">
        <x:f>IF(ISBLANK('Evaluation Plan'!E13),"",'Evaluation Plan'!E13)</x:f>
        <x:v>9</x:v>
      </x:c>
      <x:c r="F13" s="8" t="str">
        <x:f>'Evaluation Plan'!F13</x:f>
        <x:v>red pencil sharpener</x:v>
      </x:c>
      <x:c r="G13" s="7"/>
      <x:c r="H13" s="8" t="str">
        <x:f>'Evaluation Plan'!H13</x:f>
        <x:v>Matched manipulation control</x:v>
      </x:c>
      <x:c r="I13" s="8" t="str">
        <x:f>'Evaluation Plan'!I13</x:f>
        <x:v>RD-CF02B</x:v>
      </x:c>
      <x:c r="J13" s="8" t="str">
        <x:f>'Evaluation Plan'!J13</x:f>
        <x:v>RD-CF02</x:v>
      </x:c>
      <x:c r="K13" s="8" t="str">
        <x:f>'Evaluation Plan'!K13</x:f>
        <x:v>pencil sharpener</x:v>
      </x:c>
      <x:c r="L13" s="8" t="str">
        <x:f>'Evaluation Plan'!L13</x:f>
        <x:v>direct name</x:v>
      </x:c>
      <x:c r="M13" s="8" t="n">
        <x:f>'Evaluation Plan'!M13</x:f>
        <x:v>3</x:v>
      </x:c>
      <x:c r="N13" s="8" t="str">
        <x:f>'Evaluation Plan'!N13</x:f>
        <x:v>3 — Matched control — Direct-name control on identical target and trajectory</x:v>
      </x:c>
      <x:c r="O13" s="8" t="n">
        <x:f>'Evaluation Plan'!O13</x:f>
        <x:v>4</x:v>
      </x:c>
      <x:c r="P13" s="7" t="str">
        <x:f>'Evaluation Plan'!P13</x:f>
        <x:v>Reset only the far candidate to P3. Keep the full scene exact; replace the relational instruction with the target's direct name.</x:v>
      </x:c>
      <x:c r="Q13" s="7" t="str">
        <x:f>'Evaluation Plan'!Q13</x:f>
        <x:v>This is a true endpoint-matched manipulation control: scene, target identity, start pose and required trajectory match the furthest trial.</x:v>
      </x:c>
      <x:c r="R13" s="7" t="str">
        <x:f>IF(ISBLANK('Evaluation Plan'!R13),"",'Evaluation Plan'!R13)</x:f>
      </x:c>
    </x:row>
    <x:row r="14" ht="66" customHeight="1">
      <x:c r="A14" s="9" t="str">
        <x:v>Not collected</x:v>
      </x:c>
      <x:c r="B14" s="9" t="n">
        <x:f>'Evaluation Plan'!B14</x:f>
        <x:v>12</x:v>
      </x:c>
      <x:c r="C14" s="10" t="str">
        <x:f>'Evaluation Plan'!C14</x:f>
        <x:v>Pick up the pen furthest from the green pencil sharpener and place it in the bowl.</x:v>
      </x:c>
      <x:c r="D14" s="10" t="str">
        <x:f>'Evaluation Plan'!D14</x:f>
        <x:v>P1 green pencil sharpener at R3 (5 cm right of center) [REFERENCE]; P2 green pen with 6 cm edge gap in front of P1 [CLOSE CANDIDATE]; P3 yellow pen with 20 cm edge gap behind P1 [FAR CANDIDATE]</x:v>
      </x:c>
      <x:c r="E14" s="9" t="str">
        <x:f>IF(ISBLANK('Evaluation Plan'!E14),"",'Evaluation Plan'!E14)</x:f>
      </x:c>
      <x:c r="F14" s="9" t="str">
        <x:f>'Evaluation Plan'!F14</x:f>
        <x:v>yellow pen</x:v>
      </x:c>
      <x:c r="G14" s="10"/>
      <x:c r="H14" s="9" t="str">
        <x:f>'Evaluation Plan'!H14</x:f>
        <x:v>Concept/compositional transfer</x:v>
      </x:c>
      <x:c r="I14" s="9" t="str">
        <x:f>'Evaluation Plan'!I14</x:f>
        <x:v>RD-CF03A</x:v>
      </x:c>
      <x:c r="J14" s="9" t="str">
        <x:f>'Evaluation Plan'!J14</x:f>
        <x:v>RD-CF03</x:v>
      </x:c>
      <x:c r="K14" s="9" t="str">
        <x:f>'Evaluation Plan'!K14</x:f>
        <x:v>pen</x:v>
      </x:c>
      <x:c r="L14" s="9" t="str">
        <x:f>'Evaluation Plan'!L14</x:f>
        <x:v>furthest</x:v>
      </x:c>
      <x:c r="M14" s="9" t="n">
        <x:f>'Evaluation Plan'!M14</x:f>
        <x:v>3</x:v>
      </x:c>
      <x:c r="N14" s="9" t="str">
        <x:f>'Evaluation Plan'!N14</x:f>
        <x:v>1 — Canonical transfer — Held-out furthest concept with same-category candidates</x:v>
      </x:c>
      <x:c r="O14" s="9" t="n">
        <x:f>'Evaluation Plan'!O14</x:f>
        <x:v>5</x:v>
      </x:c>
      <x:c r="P14" s="10" t="str">
        <x:f>'Evaluation Plan'!P14</x:f>
        <x:v>Build counterfactual scene A and save a first-frame filename.</x:v>
      </x:c>
      <x:c r="Q14" s="10" t="str">
        <x:f>'Evaluation Plan'!Q14</x:f>
        <x:v>Furthest/farthest language is absent from fine-tuning. The A/B scene pair swaps which physical identity is far, preventing identity preference from solving both.</x:v>
      </x:c>
      <x:c r="R14" s="10" t="str">
        <x:f>IF(ISBLANK('Evaluation Plan'!R14),"",'Evaluation Plan'!R14)</x:f>
      </x:c>
    </x:row>
    <x:row r="15" ht="66" customHeight="1">
      <x:c r="A15" s="8" t="str">
        <x:v>Not collected</x:v>
      </x:c>
      <x:c r="B15" s="8" t="n">
        <x:f>'Evaluation Plan'!B15</x:f>
        <x:v>13</x:v>
      </x:c>
      <x:c r="C15" s="7" t="str">
        <x:f>'Evaluation Plan'!C15</x:f>
        <x:v>Of the two candidates, put the pen farther from the green pencil sharpener in the bowl.</x:v>
      </x:c>
      <x:c r="D15" s="7" t="str">
        <x:f>'Evaluation Plan'!D15</x:f>
        <x:v>P1 green pencil sharpener at R3 (5 cm right of center) [REFERENCE]; P2 green pen with 6 cm edge gap in front of P1 [CLOSE CANDIDATE]; P3 yellow pen with 20 cm edge gap behind P1 [FAR CANDIDATE]</x:v>
      </x:c>
      <x:c r="E15" s="8" t="n">
        <x:f>IF(ISBLANK('Evaluation Plan'!E15),"",'Evaluation Plan'!E15)</x:f>
        <x:v>12</x:v>
      </x:c>
      <x:c r="F15" s="8" t="str">
        <x:f>'Evaluation Plan'!F15</x:f>
        <x:v>yellow pen</x:v>
      </x:c>
      <x:c r="G15" s="7"/>
      <x:c r="H15" s="8" t="str">
        <x:f>'Evaluation Plan'!H15</x:f>
        <x:v>Language robustness</x:v>
      </x:c>
      <x:c r="I15" s="8" t="str">
        <x:f>'Evaluation Plan'!I15</x:f>
        <x:v>RD-CF03A</x:v>
      </x:c>
      <x:c r="J15" s="8" t="str">
        <x:f>'Evaluation Plan'!J15</x:f>
        <x:v>RD-CF03</x:v>
      </x:c>
      <x:c r="K15" s="8" t="str">
        <x:f>'Evaluation Plan'!K15</x:f>
        <x:v>pen</x:v>
      </x:c>
      <x:c r="L15" s="8" t="str">
        <x:f>'Evaluation Plan'!L15</x:f>
        <x:v>furthest paraphrase</x:v>
      </x:c>
      <x:c r="M15" s="8" t="n">
        <x:f>'Evaluation Plan'!M15</x:f>
        <x:v>3</x:v>
      </x:c>
      <x:c r="N15" s="8" t="str">
        <x:f>'Evaluation Plan'!N15</x:f>
        <x:v>2 — Exact-scene transfer paraphrase — Paraphrase of furthest-transfer prompt</x:v>
      </x:c>
      <x:c r="O15" s="8" t="n">
        <x:f>'Evaluation Plan'!O15</x:f>
        <x:v>5</x:v>
      </x:c>
      <x:c r="P15" s="7" t="str">
        <x:f>'Evaluation Plan'!P15</x:f>
        <x:v>Reset only the far candidate to P3; change only the prompt wording.</x:v>
      </x:c>
      <x:c r="Q15" s="7" t="str">
        <x:f>'Evaluation Plan'!Q15</x:f>
        <x:v>Exact-scene language comparison for the held-out distance concept.</x:v>
      </x:c>
      <x:c r="R15" s="7" t="str">
        <x:f>IF(ISBLANK('Evaluation Plan'!R15),"",'Evaluation Plan'!R15)</x:f>
      </x:c>
    </x:row>
    <x:row r="16" ht="66" customHeight="1">
      <x:c r="A16" s="8" t="str">
        <x:v>Not collected</x:v>
      </x:c>
      <x:c r="B16" s="8" t="n">
        <x:f>'Evaluation Plan'!B16</x:f>
        <x:v>14</x:v>
      </x:c>
      <x:c r="C16" s="7" t="str">
        <x:f>'Evaluation Plan'!C16</x:f>
        <x:v>Move the yellow pen into the bowl.</x:v>
      </x:c>
      <x:c r="D16" s="7" t="str">
        <x:f>'Evaluation Plan'!D16</x:f>
        <x:v>P1 green pencil sharpener at R3 (5 cm right of center) [REFERENCE]; P2 green pen with 6 cm edge gap in front of P1 [CLOSE CANDIDATE]; P3 yellow pen with 20 cm edge gap behind P1 [FAR CANDIDATE]</x:v>
      </x:c>
      <x:c r="E16" s="8" t="n">
        <x:f>IF(ISBLANK('Evaluation Plan'!E16),"",'Evaluation Plan'!E16)</x:f>
        <x:v>12</x:v>
      </x:c>
      <x:c r="F16" s="8" t="str">
        <x:f>'Evaluation Plan'!F16</x:f>
        <x:v>yellow pen</x:v>
      </x:c>
      <x:c r="G16" s="7"/>
      <x:c r="H16" s="8" t="str">
        <x:f>'Evaluation Plan'!H16</x:f>
        <x:v>Matched manipulation control</x:v>
      </x:c>
      <x:c r="I16" s="8" t="str">
        <x:f>'Evaluation Plan'!I16</x:f>
        <x:v>RD-CF03A</x:v>
      </x:c>
      <x:c r="J16" s="8" t="str">
        <x:f>'Evaluation Plan'!J16</x:f>
        <x:v>RD-CF03</x:v>
      </x:c>
      <x:c r="K16" s="8" t="str">
        <x:f>'Evaluation Plan'!K16</x:f>
        <x:v>pen</x:v>
      </x:c>
      <x:c r="L16" s="8" t="str">
        <x:f>'Evaluation Plan'!L16</x:f>
        <x:v>direct name</x:v>
      </x:c>
      <x:c r="M16" s="8" t="n">
        <x:f>'Evaluation Plan'!M16</x:f>
        <x:v>3</x:v>
      </x:c>
      <x:c r="N16" s="8" t="str">
        <x:f>'Evaluation Plan'!N16</x:f>
        <x:v>3 — Matched control — Direct-name control on identical target and trajectory</x:v>
      </x:c>
      <x:c r="O16" s="8" t="n">
        <x:f>'Evaluation Plan'!O16</x:f>
        <x:v>5</x:v>
      </x:c>
      <x:c r="P16" s="7" t="str">
        <x:f>'Evaluation Plan'!P16</x:f>
        <x:v>Reset only the far candidate to P3. Keep the full scene exact; replace the relational instruction with the target's direct name.</x:v>
      </x:c>
      <x:c r="Q16" s="7" t="str">
        <x:f>'Evaluation Plan'!Q16</x:f>
        <x:v>This is a true endpoint-matched manipulation control: scene, target identity, start pose and required trajectory match the furthest trial.</x:v>
      </x:c>
      <x:c r="R16" s="7" t="str">
        <x:f>IF(ISBLANK('Evaluation Plan'!R16),"",'Evaluation Plan'!R16)</x:f>
      </x:c>
    </x:row>
    <x:row r="17" ht="66" customHeight="1">
      <x:c r="A17" s="9" t="str">
        <x:v>Not collected</x:v>
      </x:c>
      <x:c r="B17" s="9" t="n">
        <x:f>'Evaluation Plan'!B17</x:f>
        <x:v>15</x:v>
      </x:c>
      <x:c r="C17" s="10" t="str">
        <x:f>'Evaluation Plan'!C17</x:f>
        <x:v>Pick up the pen furthest from the green pencil sharpener and place it in the bowl.</x:v>
      </x:c>
      <x:c r="D17" s="10" t="str">
        <x:f>'Evaluation Plan'!D17</x:f>
        <x:v>P1 green pencil sharpener at R3 (5 cm right of center) [REFERENCE]; P2 yellow pen with 6 cm edge gap in front of P1 [CLOSE CANDIDATE]; P3 green pen with 20 cm edge gap behind P1 [FAR CANDIDATE]</x:v>
      </x:c>
      <x:c r="E17" s="9" t="str">
        <x:f>IF(ISBLANK('Evaluation Plan'!E17),"",'Evaluation Plan'!E17)</x:f>
      </x:c>
      <x:c r="F17" s="9" t="str">
        <x:f>'Evaluation Plan'!F17</x:f>
        <x:v>green pen</x:v>
      </x:c>
      <x:c r="G17" s="10"/>
      <x:c r="H17" s="9" t="str">
        <x:f>'Evaluation Plan'!H17</x:f>
        <x:v>Concept/compositional transfer</x:v>
      </x:c>
      <x:c r="I17" s="9" t="str">
        <x:f>'Evaluation Plan'!I17</x:f>
        <x:v>RD-CF03B</x:v>
      </x:c>
      <x:c r="J17" s="9" t="str">
        <x:f>'Evaluation Plan'!J17</x:f>
        <x:v>RD-CF03</x:v>
      </x:c>
      <x:c r="K17" s="9" t="str">
        <x:f>'Evaluation Plan'!K17</x:f>
        <x:v>pen</x:v>
      </x:c>
      <x:c r="L17" s="9" t="str">
        <x:f>'Evaluation Plan'!L17</x:f>
        <x:v>furthest</x:v>
      </x:c>
      <x:c r="M17" s="9" t="n">
        <x:f>'Evaluation Plan'!M17</x:f>
        <x:v>3</x:v>
      </x:c>
      <x:c r="N17" s="9" t="str">
        <x:f>'Evaluation Plan'!N17</x:f>
        <x:v>1 — Canonical transfer — Held-out furthest concept with same-category candidates</x:v>
      </x:c>
      <x:c r="O17" s="9" t="n">
        <x:f>'Evaluation Plan'!O17</x:f>
        <x:v>6</x:v>
      </x:c>
      <x:c r="P17" s="10" t="str">
        <x:f>'Evaluation Plan'!P17</x:f>
        <x:v>From scene A, swap only the P2/P3 candidate identities; keep reference, distractors, camera and distances fixed. Save the new first frame.</x:v>
      </x:c>
      <x:c r="Q17" s="10" t="str">
        <x:f>'Evaluation Plan'!Q17</x:f>
        <x:v>Furthest/farthest language is absent from fine-tuning. The A/B scene pair swaps which physical identity is far, preventing identity preference from solving both.</x:v>
      </x:c>
      <x:c r="R17" s="10" t="str">
        <x:f>IF(ISBLANK('Evaluation Plan'!R17),"",'Evaluation Plan'!R17)</x:f>
      </x:c>
    </x:row>
    <x:row r="18" ht="66" customHeight="1">
      <x:c r="A18" s="8" t="str">
        <x:v>Not collected</x:v>
      </x:c>
      <x:c r="B18" s="8" t="n">
        <x:f>'Evaluation Plan'!B18</x:f>
        <x:v>16</x:v>
      </x:c>
      <x:c r="C18" s="7" t="str">
        <x:f>'Evaluation Plan'!C18</x:f>
        <x:v>Pick up the pen farthest from the green pencil sharpener and place it in the bowl.</x:v>
      </x:c>
      <x:c r="D18" s="7" t="str">
        <x:f>'Evaluation Plan'!D18</x:f>
        <x:v>P1 green pencil sharpener at R3 (5 cm right of center) [REFERENCE]; P2 yellow pen with 6 cm edge gap in front of P1 [CLOSE CANDIDATE]; P3 green pen with 20 cm edge gap behind P1 [FAR CANDIDATE]</x:v>
      </x:c>
      <x:c r="E18" s="8" t="n">
        <x:f>IF(ISBLANK('Evaluation Plan'!E18),"",'Evaluation Plan'!E18)</x:f>
        <x:v>15</x:v>
      </x:c>
      <x:c r="F18" s="8" t="str">
        <x:f>'Evaluation Plan'!F18</x:f>
        <x:v>green pen</x:v>
      </x:c>
      <x:c r="G18" s="7"/>
      <x:c r="H18" s="8" t="str">
        <x:f>'Evaluation Plan'!H18</x:f>
        <x:v>Language robustness</x:v>
      </x:c>
      <x:c r="I18" s="8" t="str">
        <x:f>'Evaluation Plan'!I18</x:f>
        <x:v>RD-CF03B</x:v>
      </x:c>
      <x:c r="J18" s="8" t="str">
        <x:f>'Evaluation Plan'!J18</x:f>
        <x:v>RD-CF03</x:v>
      </x:c>
      <x:c r="K18" s="8" t="str">
        <x:f>'Evaluation Plan'!K18</x:f>
        <x:v>pen</x:v>
      </x:c>
      <x:c r="L18" s="8" t="str">
        <x:f>'Evaluation Plan'!L18</x:f>
        <x:v>furthest paraphrase</x:v>
      </x:c>
      <x:c r="M18" s="8" t="n">
        <x:f>'Evaluation Plan'!M18</x:f>
        <x:v>3</x:v>
      </x:c>
      <x:c r="N18" s="8" t="str">
        <x:f>'Evaluation Plan'!N18</x:f>
        <x:v>2 — Exact-scene transfer paraphrase — Paraphrase of furthest-transfer prompt</x:v>
      </x:c>
      <x:c r="O18" s="8" t="n">
        <x:f>'Evaluation Plan'!O18</x:f>
        <x:v>6</x:v>
      </x:c>
      <x:c r="P18" s="7" t="str">
        <x:f>'Evaluation Plan'!P18</x:f>
        <x:v>Reset only the far candidate to P3; change only the prompt wording.</x:v>
      </x:c>
      <x:c r="Q18" s="7" t="str">
        <x:f>'Evaluation Plan'!Q18</x:f>
        <x:v>Exact-scene language comparison for the held-out distance concept.</x:v>
      </x:c>
      <x:c r="R18" s="7" t="str">
        <x:f>IF(ISBLANK('Evaluation Plan'!R18),"",'Evaluation Plan'!R18)</x:f>
      </x:c>
    </x:row>
    <x:row r="19" ht="66" customHeight="1">
      <x:c r="A19" s="8" t="str">
        <x:v>Not collected</x:v>
      </x:c>
      <x:c r="B19" s="8" t="n">
        <x:f>'Evaluation Plan'!B19</x:f>
        <x:v>17</x:v>
      </x:c>
      <x:c r="C19" s="7" t="str">
        <x:f>'Evaluation Plan'!C19</x:f>
        <x:v>Pick up the green pen and place it in the bowl.</x:v>
      </x:c>
      <x:c r="D19" s="7" t="str">
        <x:f>'Evaluation Plan'!D19</x:f>
        <x:v>P1 green pencil sharpener at R3 (5 cm right of center) [REFERENCE]; P2 yellow pen with 6 cm edge gap in front of P1 [CLOSE CANDIDATE]; P3 green pen with 20 cm edge gap behind P1 [FAR CANDIDATE]</x:v>
      </x:c>
      <x:c r="E19" s="8" t="n">
        <x:f>IF(ISBLANK('Evaluation Plan'!E19),"",'Evaluation Plan'!E19)</x:f>
        <x:v>15</x:v>
      </x:c>
      <x:c r="F19" s="8" t="str">
        <x:f>'Evaluation Plan'!F19</x:f>
        <x:v>green pen</x:v>
      </x:c>
      <x:c r="G19" s="7"/>
      <x:c r="H19" s="8" t="str">
        <x:f>'Evaluation Plan'!H19</x:f>
        <x:v>Matched manipulation control</x:v>
      </x:c>
      <x:c r="I19" s="8" t="str">
        <x:f>'Evaluation Plan'!I19</x:f>
        <x:v>RD-CF03B</x:v>
      </x:c>
      <x:c r="J19" s="8" t="str">
        <x:f>'Evaluation Plan'!J19</x:f>
        <x:v>RD-CF03</x:v>
      </x:c>
      <x:c r="K19" s="8" t="str">
        <x:f>'Evaluation Plan'!K19</x:f>
        <x:v>pen</x:v>
      </x:c>
      <x:c r="L19" s="8" t="str">
        <x:f>'Evaluation Plan'!L19</x:f>
        <x:v>direct name</x:v>
      </x:c>
      <x:c r="M19" s="8" t="n">
        <x:f>'Evaluation Plan'!M19</x:f>
        <x:v>3</x:v>
      </x:c>
      <x:c r="N19" s="8" t="str">
        <x:f>'Evaluation Plan'!N19</x:f>
        <x:v>3 — Matched control — Direct-name control on identical target and trajectory</x:v>
      </x:c>
      <x:c r="O19" s="8" t="n">
        <x:f>'Evaluation Plan'!O19</x:f>
        <x:v>6</x:v>
      </x:c>
      <x:c r="P19" s="7" t="str">
        <x:f>'Evaluation Plan'!P19</x:f>
        <x:v>Reset only the far candidate to P3. Keep the full scene exact; replace the relational instruction with the target's direct name.</x:v>
      </x:c>
      <x:c r="Q19" s="7" t="str">
        <x:f>'Evaluation Plan'!Q19</x:f>
        <x:v>This is a true endpoint-matched manipulation control: scene, target identity, start pose and required trajectory match the furthest trial.</x:v>
      </x:c>
      <x:c r="R19" s="7" t="str">
        <x:f>IF(ISBLANK('Evaluation Plan'!R19),"",'Evaluation Plan'!R19)</x:f>
      </x:c>
    </x:row>
    <x:row r="20" ht="66" customHeight="1">
      <x:c r="A20" s="9" t="str">
        <x:v>Not collected</x:v>
      </x:c>
      <x:c r="B20" s="9" t="n">
        <x:f>'Evaluation Plan'!B20</x:f>
        <x:v>18</x:v>
      </x:c>
      <x:c r="C20" s="10" t="str">
        <x:f>'Evaluation Plan'!C20</x:f>
        <x:v>Pick up the airplane toy furthest from the red pencil sharpener and place it in the bowl.</x:v>
      </x:c>
      <x:c r="D20" s="10" t="str">
        <x:f>'Evaluation Plan'!D20</x:f>
        <x:v>P1 red pencil sharpener at R4 (5 cm toward the robot from center) [REFERENCE]; P2 airplane toy without propellers with 6 cm edge gap behind P1 [CLOSE CANDIDATE]; P3 airplane toy with propellers with 20 cm edge gap in front of P1 [FAR CANDIDATE]</x:v>
      </x:c>
      <x:c r="E20" s="9" t="str">
        <x:f>IF(ISBLANK('Evaluation Plan'!E20),"",'Evaluation Plan'!E20)</x:f>
      </x:c>
      <x:c r="F20" s="9" t="str">
        <x:f>'Evaluation Plan'!F20</x:f>
        <x:v>airplane toy with propellers</x:v>
      </x:c>
      <x:c r="G20" s="10"/>
      <x:c r="H20" s="9" t="str">
        <x:f>'Evaluation Plan'!H20</x:f>
        <x:v>Concept/compositional transfer</x:v>
      </x:c>
      <x:c r="I20" s="9" t="str">
        <x:f>'Evaluation Plan'!I20</x:f>
        <x:v>RD-CF04A</x:v>
      </x:c>
      <x:c r="J20" s="9" t="str">
        <x:f>'Evaluation Plan'!J20</x:f>
        <x:v>RD-CF04</x:v>
      </x:c>
      <x:c r="K20" s="9" t="str">
        <x:f>'Evaluation Plan'!K20</x:f>
        <x:v>airplane toy</x:v>
      </x:c>
      <x:c r="L20" s="9" t="str">
        <x:f>'Evaluation Plan'!L20</x:f>
        <x:v>furthest</x:v>
      </x:c>
      <x:c r="M20" s="9" t="n">
        <x:f>'Evaluation Plan'!M20</x:f>
        <x:v>3</x:v>
      </x:c>
      <x:c r="N20" s="9" t="str">
        <x:f>'Evaluation Plan'!N20</x:f>
        <x:v>1 — Canonical transfer — Held-out furthest concept with same-category candidates</x:v>
      </x:c>
      <x:c r="O20" s="9" t="n">
        <x:f>'Evaluation Plan'!O20</x:f>
        <x:v>7</x:v>
      </x:c>
      <x:c r="P20" s="10" t="str">
        <x:f>'Evaluation Plan'!P20</x:f>
        <x:v>Build counterfactual scene A and save a first-frame filename.</x:v>
      </x:c>
      <x:c r="Q20" s="10" t="str">
        <x:f>'Evaluation Plan'!Q20</x:f>
        <x:v>Furthest/farthest language is absent from fine-tuning. The A/B scene pair swaps which physical identity is far, preventing identity preference from solving both.</x:v>
      </x:c>
      <x:c r="R20" s="10" t="str">
        <x:f>IF(ISBLANK('Evaluation Plan'!R20),"",'Evaluation Plan'!R20)</x:f>
      </x:c>
    </x:row>
    <x:row r="21" ht="66" customHeight="1">
      <x:c r="A21" s="8" t="str">
        <x:v>Not collected</x:v>
      </x:c>
      <x:c r="B21" s="8" t="n">
        <x:f>'Evaluation Plan'!B21</x:f>
        <x:v>19</x:v>
      </x:c>
      <x:c r="C21" s="7" t="str">
        <x:f>'Evaluation Plan'!C21</x:f>
        <x:v>Move the airplane toy that is most distant from the red pencil sharpener into the bowl.</x:v>
      </x:c>
      <x:c r="D21" s="7" t="str">
        <x:f>'Evaluation Plan'!D21</x:f>
        <x:v>P1 red pencil sharpener at R4 (5 cm toward the robot from center) [REFERENCE]; P2 airplane toy without propellers with 6 cm edge gap behind P1 [CLOSE CANDIDATE]; P3 airplane toy with propellers with 20 cm edge gap in front of P1 [FAR CANDIDATE]</x:v>
      </x:c>
      <x:c r="E21" s="8" t="n">
        <x:f>IF(ISBLANK('Evaluation Plan'!E21),"",'Evaluation Plan'!E21)</x:f>
        <x:v>18</x:v>
      </x:c>
      <x:c r="F21" s="8" t="str">
        <x:f>'Evaluation Plan'!F21</x:f>
        <x:v>airplane toy with propellers</x:v>
      </x:c>
      <x:c r="G21" s="7"/>
      <x:c r="H21" s="8" t="str">
        <x:f>'Evaluation Plan'!H21</x:f>
        <x:v>Language robustness</x:v>
      </x:c>
      <x:c r="I21" s="8" t="str">
        <x:f>'Evaluation Plan'!I21</x:f>
        <x:v>RD-CF04A</x:v>
      </x:c>
      <x:c r="J21" s="8" t="str">
        <x:f>'Evaluation Plan'!J21</x:f>
        <x:v>RD-CF04</x:v>
      </x:c>
      <x:c r="K21" s="8" t="str">
        <x:f>'Evaluation Plan'!K21</x:f>
        <x:v>airplane toy</x:v>
      </x:c>
      <x:c r="L21" s="8" t="str">
        <x:f>'Evaluation Plan'!L21</x:f>
        <x:v>furthest paraphrase</x:v>
      </x:c>
      <x:c r="M21" s="8" t="n">
        <x:f>'Evaluation Plan'!M21</x:f>
        <x:v>3</x:v>
      </x:c>
      <x:c r="N21" s="8" t="str">
        <x:f>'Evaluation Plan'!N21</x:f>
        <x:v>2 — Exact-scene transfer paraphrase — Paraphrase of furthest-transfer prompt</x:v>
      </x:c>
      <x:c r="O21" s="8" t="n">
        <x:f>'Evaluation Plan'!O21</x:f>
        <x:v>7</x:v>
      </x:c>
      <x:c r="P21" s="7" t="str">
        <x:f>'Evaluation Plan'!P21</x:f>
        <x:v>Reset only the far candidate to P3; change only the prompt wording.</x:v>
      </x:c>
      <x:c r="Q21" s="7" t="str">
        <x:f>'Evaluation Plan'!Q21</x:f>
        <x:v>Exact-scene language comparison for the held-out distance concept.</x:v>
      </x:c>
      <x:c r="R21" s="7" t="str">
        <x:f>IF(ISBLANK('Evaluation Plan'!R21),"",'Evaluation Plan'!R21)</x:f>
      </x:c>
    </x:row>
    <x:row r="22" ht="66" customHeight="1">
      <x:c r="A22" s="8" t="str">
        <x:v>Not collected</x:v>
      </x:c>
      <x:c r="B22" s="8" t="n">
        <x:f>'Evaluation Plan'!B22</x:f>
        <x:v>20</x:v>
      </x:c>
      <x:c r="C22" s="7" t="str">
        <x:f>'Evaluation Plan'!C22</x:f>
        <x:v>Put the airplane toy with propellers in the bowl.</x:v>
      </x:c>
      <x:c r="D22" s="7" t="str">
        <x:f>'Evaluation Plan'!D22</x:f>
        <x:v>P1 red pencil sharpener at R4 (5 cm toward the robot from center) [REFERENCE]; P2 airplane toy without propellers with 6 cm edge gap behind P1 [CLOSE CANDIDATE]; P3 airplane toy with propellers with 20 cm edge gap in front of P1 [FAR CANDIDATE]</x:v>
      </x:c>
      <x:c r="E22" s="8" t="n">
        <x:f>IF(ISBLANK('Evaluation Plan'!E22),"",'Evaluation Plan'!E22)</x:f>
        <x:v>18</x:v>
      </x:c>
      <x:c r="F22" s="8" t="str">
        <x:f>'Evaluation Plan'!F22</x:f>
        <x:v>airplane toy with propellers</x:v>
      </x:c>
      <x:c r="G22" s="7"/>
      <x:c r="H22" s="8" t="str">
        <x:f>'Evaluation Plan'!H22</x:f>
        <x:v>Matched manipulation control</x:v>
      </x:c>
      <x:c r="I22" s="8" t="str">
        <x:f>'Evaluation Plan'!I22</x:f>
        <x:v>RD-CF04A</x:v>
      </x:c>
      <x:c r="J22" s="8" t="str">
        <x:f>'Evaluation Plan'!J22</x:f>
        <x:v>RD-CF04</x:v>
      </x:c>
      <x:c r="K22" s="8" t="str">
        <x:f>'Evaluation Plan'!K22</x:f>
        <x:v>airplane toy</x:v>
      </x:c>
      <x:c r="L22" s="8" t="str">
        <x:f>'Evaluation Plan'!L22</x:f>
        <x:v>direct name</x:v>
      </x:c>
      <x:c r="M22" s="8" t="n">
        <x:f>'Evaluation Plan'!M22</x:f>
        <x:v>3</x:v>
      </x:c>
      <x:c r="N22" s="8" t="str">
        <x:f>'Evaluation Plan'!N22</x:f>
        <x:v>3 — Matched control — Direct-name control on identical target and trajectory</x:v>
      </x:c>
      <x:c r="O22" s="8" t="n">
        <x:f>'Evaluation Plan'!O22</x:f>
        <x:v>7</x:v>
      </x:c>
      <x:c r="P22" s="7" t="str">
        <x:f>'Evaluation Plan'!P22</x:f>
        <x:v>Reset only the far candidate to P3. Keep the full scene exact; replace the relational instruction with the target's direct name.</x:v>
      </x:c>
      <x:c r="Q22" s="7" t="str">
        <x:f>'Evaluation Plan'!Q22</x:f>
        <x:v>This is a true endpoint-matched manipulation control: scene, target identity, start pose and required trajectory match the furthest trial.</x:v>
      </x:c>
      <x:c r="R22" s="7" t="str">
        <x:f>IF(ISBLANK('Evaluation Plan'!R22),"",'Evaluation Plan'!R22)</x:f>
      </x:c>
    </x:row>
    <x:row r="23" ht="66" customHeight="1">
      <x:c r="A23" s="9" t="str">
        <x:v>Not collected</x:v>
      </x:c>
      <x:c r="B23" s="9" t="n">
        <x:f>'Evaluation Plan'!B23</x:f>
        <x:v>21</x:v>
      </x:c>
      <x:c r="C23" s="10" t="str">
        <x:f>'Evaluation Plan'!C23</x:f>
        <x:v>Pick up the airplane toy furthest from the red pencil sharpener and place it in the bowl.</x:v>
      </x:c>
      <x:c r="D23" s="10" t="str">
        <x:f>'Evaluation Plan'!D23</x:f>
        <x:v>P1 red pencil sharpener at R4 (5 cm toward the robot from center) [REFERENCE]; P2 airplane toy with propellers with 6 cm edge gap behind P1 [CLOSE CANDIDATE]; P3 airplane toy without propellers with 20 cm edge gap in front of P1 [FAR CANDIDATE]</x:v>
      </x:c>
      <x:c r="E23" s="9" t="str">
        <x:f>IF(ISBLANK('Evaluation Plan'!E23),"",'Evaluation Plan'!E23)</x:f>
      </x:c>
      <x:c r="F23" s="9" t="str">
        <x:f>'Evaluation Plan'!F23</x:f>
        <x:v>airplane toy without propellers</x:v>
      </x:c>
      <x:c r="G23" s="10"/>
      <x:c r="H23" s="9" t="str">
        <x:f>'Evaluation Plan'!H23</x:f>
        <x:v>Concept/compositional transfer</x:v>
      </x:c>
      <x:c r="I23" s="9" t="str">
        <x:f>'Evaluation Plan'!I23</x:f>
        <x:v>RD-CF04B</x:v>
      </x:c>
      <x:c r="J23" s="9" t="str">
        <x:f>'Evaluation Plan'!J23</x:f>
        <x:v>RD-CF04</x:v>
      </x:c>
      <x:c r="K23" s="9" t="str">
        <x:f>'Evaluation Plan'!K23</x:f>
        <x:v>airplane toy</x:v>
      </x:c>
      <x:c r="L23" s="9" t="str">
        <x:f>'Evaluation Plan'!L23</x:f>
        <x:v>furthest</x:v>
      </x:c>
      <x:c r="M23" s="9" t="n">
        <x:f>'Evaluation Plan'!M23</x:f>
        <x:v>3</x:v>
      </x:c>
      <x:c r="N23" s="9" t="str">
        <x:f>'Evaluation Plan'!N23</x:f>
        <x:v>1 — Canonical transfer — Held-out furthest concept with same-category candidates</x:v>
      </x:c>
      <x:c r="O23" s="9" t="n">
        <x:f>'Evaluation Plan'!O23</x:f>
        <x:v>8</x:v>
      </x:c>
      <x:c r="P23" s="10" t="str">
        <x:f>'Evaluation Plan'!P23</x:f>
        <x:v>From scene A, swap only the P2/P3 candidate identities; keep reference, distractors, camera and distances fixed. Save the new first frame.</x:v>
      </x:c>
      <x:c r="Q23" s="10" t="str">
        <x:f>'Evaluation Plan'!Q23</x:f>
        <x:v>Furthest/farthest language is absent from fine-tuning. The A/B scene pair swaps which physical identity is far, preventing identity preference from solving both.</x:v>
      </x:c>
      <x:c r="R23" s="10" t="str">
        <x:f>IF(ISBLANK('Evaluation Plan'!R23),"",'Evaluation Plan'!R23)</x:f>
      </x:c>
    </x:row>
    <x:row r="24" ht="66" customHeight="1">
      <x:c r="A24" s="8" t="str">
        <x:v>Not collected</x:v>
      </x:c>
      <x:c r="B24" s="8" t="n">
        <x:f>'Evaluation Plan'!B24</x:f>
        <x:v>22</x:v>
      </x:c>
      <x:c r="C24" s="7" t="str">
        <x:f>'Evaluation Plan'!C24</x:f>
        <x:v>Choose whichever airplane toy is farther away from the red pencil sharpener and put it in the bowl.</x:v>
      </x:c>
      <x:c r="D24" s="7" t="str">
        <x:f>'Evaluation Plan'!D24</x:f>
        <x:v>P1 red pencil sharpener at R4 (5 cm toward the robot from center) [REFERENCE]; P2 airplane toy with propellers with 6 cm edge gap behind P1 [CLOSE CANDIDATE]; P3 airplane toy without propellers with 20 cm edge gap in front of P1 [FAR CANDIDATE]</x:v>
      </x:c>
      <x:c r="E24" s="8" t="n">
        <x:f>IF(ISBLANK('Evaluation Plan'!E24),"",'Evaluation Plan'!E24)</x:f>
        <x:v>21</x:v>
      </x:c>
      <x:c r="F24" s="8" t="str">
        <x:f>'Evaluation Plan'!F24</x:f>
        <x:v>airplane toy without propellers</x:v>
      </x:c>
      <x:c r="G24" s="7"/>
      <x:c r="H24" s="8" t="str">
        <x:f>'Evaluation Plan'!H24</x:f>
        <x:v>Language robustness</x:v>
      </x:c>
      <x:c r="I24" s="8" t="str">
        <x:f>'Evaluation Plan'!I24</x:f>
        <x:v>RD-CF04B</x:v>
      </x:c>
      <x:c r="J24" s="8" t="str">
        <x:f>'Evaluation Plan'!J24</x:f>
        <x:v>RD-CF04</x:v>
      </x:c>
      <x:c r="K24" s="8" t="str">
        <x:f>'Evaluation Plan'!K24</x:f>
        <x:v>airplane toy</x:v>
      </x:c>
      <x:c r="L24" s="8" t="str">
        <x:f>'Evaluation Plan'!L24</x:f>
        <x:v>furthest paraphrase</x:v>
      </x:c>
      <x:c r="M24" s="8" t="n">
        <x:f>'Evaluation Plan'!M24</x:f>
        <x:v>3</x:v>
      </x:c>
      <x:c r="N24" s="8" t="str">
        <x:f>'Evaluation Plan'!N24</x:f>
        <x:v>2 — Exact-scene transfer paraphrase — Paraphrase of furthest-transfer prompt</x:v>
      </x:c>
      <x:c r="O24" s="8" t="n">
        <x:f>'Evaluation Plan'!O24</x:f>
        <x:v>8</x:v>
      </x:c>
      <x:c r="P24" s="7" t="str">
        <x:f>'Evaluation Plan'!P24</x:f>
        <x:v>Reset only the far candidate to P3; change only the prompt wording.</x:v>
      </x:c>
      <x:c r="Q24" s="7" t="str">
        <x:f>'Evaluation Plan'!Q24</x:f>
        <x:v>Exact-scene language comparison for the held-out distance concept.</x:v>
      </x:c>
      <x:c r="R24" s="7" t="str">
        <x:f>IF(ISBLANK('Evaluation Plan'!R24),"",'Evaluation Plan'!R24)</x:f>
      </x:c>
    </x:row>
    <x:row r="25" ht="66" customHeight="1">
      <x:c r="A25" s="8" t="str">
        <x:v>Not collected</x:v>
      </x:c>
      <x:c r="B25" s="8" t="n">
        <x:f>'Evaluation Plan'!B25</x:f>
        <x:v>23</x:v>
      </x:c>
      <x:c r="C25" s="7" t="str">
        <x:f>'Evaluation Plan'!C25</x:f>
        <x:v>Move the airplane toy without propellers into the bowl.</x:v>
      </x:c>
      <x:c r="D25" s="7" t="str">
        <x:f>'Evaluation Plan'!D25</x:f>
        <x:v>P1 red pencil sharpener at R4 (5 cm toward the robot from center) [REFERENCE]; P2 airplane toy with propellers with 6 cm edge gap behind P1 [CLOSE CANDIDATE]; P3 airplane toy without propellers with 20 cm edge gap in front of P1 [FAR CANDIDATE]</x:v>
      </x:c>
      <x:c r="E25" s="8" t="n">
        <x:f>IF(ISBLANK('Evaluation Plan'!E25),"",'Evaluation Plan'!E25)</x:f>
        <x:v>21</x:v>
      </x:c>
      <x:c r="F25" s="8" t="str">
        <x:f>'Evaluation Plan'!F25</x:f>
        <x:v>airplane toy without propellers</x:v>
      </x:c>
      <x:c r="G25" s="7"/>
      <x:c r="H25" s="8" t="str">
        <x:f>'Evaluation Plan'!H25</x:f>
        <x:v>Matched manipulation control</x:v>
      </x:c>
      <x:c r="I25" s="8" t="str">
        <x:f>'Evaluation Plan'!I25</x:f>
        <x:v>RD-CF04B</x:v>
      </x:c>
      <x:c r="J25" s="8" t="str">
        <x:f>'Evaluation Plan'!J25</x:f>
        <x:v>RD-CF04</x:v>
      </x:c>
      <x:c r="K25" s="8" t="str">
        <x:f>'Evaluation Plan'!K25</x:f>
        <x:v>airplane toy</x:v>
      </x:c>
      <x:c r="L25" s="8" t="str">
        <x:f>'Evaluation Plan'!L25</x:f>
        <x:v>direct name</x:v>
      </x:c>
      <x:c r="M25" s="8" t="n">
        <x:f>'Evaluation Plan'!M25</x:f>
        <x:v>3</x:v>
      </x:c>
      <x:c r="N25" s="8" t="str">
        <x:f>'Evaluation Plan'!N25</x:f>
        <x:v>3 — Matched control — Direct-name control on identical target and trajectory</x:v>
      </x:c>
      <x:c r="O25" s="8" t="n">
        <x:f>'Evaluation Plan'!O25</x:f>
        <x:v>8</x:v>
      </x:c>
      <x:c r="P25" s="7" t="str">
        <x:f>'Evaluation Plan'!P25</x:f>
        <x:v>Reset only the far candidate to P3. Keep the full scene exact; replace the relational instruction with the target's direct name.</x:v>
      </x:c>
      <x:c r="Q25" s="7" t="str">
        <x:f>'Evaluation Plan'!Q25</x:f>
        <x:v>This is a true endpoint-matched manipulation control: scene, target identity, start pose and required trajectory match the furthest trial.</x:v>
      </x:c>
      <x:c r="R25" s="7" t="str">
        <x:f>IF(ISBLANK('Evaluation Plan'!R25),"",'Evaluation Plan'!R25)</x:f>
      </x:c>
    </x:row>
    <x:row r="26" ht="66" customHeight="1">
      <x:c r="A26" s="9" t="str">
        <x:v>Not collected</x:v>
      </x:c>
      <x:c r="B26" s="9" t="n">
        <x:f>'Evaluation Plan'!B26</x:f>
        <x:v>24</x:v>
      </x:c>
      <x:c r="C26" s="10" t="str">
        <x:f>'Evaluation Plan'!C26</x:f>
        <x:v>Pick up the crushed soda can furthest from the airplane toy with propellers and place it in the bowl.</x:v>
      </x:c>
      <x:c r="D26" s="10" t="str">
        <x:f>'Evaluation Plan'!D26</x:f>
        <x:v>P1 airplane toy with propellers at R5 (5 cm away from the robot from center) [REFERENCE]; P2 crushed Coke can with 6 cm edge gap to the left of P1 [CLOSE CANDIDATE]; P3 crushed Pepsi can with 20 cm edge gap to the right of P1 [FAR CANDIDATE]</x:v>
      </x:c>
      <x:c r="E26" s="9" t="str">
        <x:f>IF(ISBLANK('Evaluation Plan'!E26),"",'Evaluation Plan'!E26)</x:f>
      </x:c>
      <x:c r="F26" s="9" t="str">
        <x:f>'Evaluation Plan'!F26</x:f>
        <x:v>crushed Pepsi can</x:v>
      </x:c>
      <x:c r="G26" s="10"/>
      <x:c r="H26" s="9" t="str">
        <x:f>'Evaluation Plan'!H26</x:f>
        <x:v>Concept/compositional transfer</x:v>
      </x:c>
      <x:c r="I26" s="9" t="str">
        <x:f>'Evaluation Plan'!I26</x:f>
        <x:v>RD-CF05A</x:v>
      </x:c>
      <x:c r="J26" s="9" t="str">
        <x:f>'Evaluation Plan'!J26</x:f>
        <x:v>RD-CF05</x:v>
      </x:c>
      <x:c r="K26" s="9" t="str">
        <x:f>'Evaluation Plan'!K26</x:f>
        <x:v>crushed soda can</x:v>
      </x:c>
      <x:c r="L26" s="9" t="str">
        <x:f>'Evaluation Plan'!L26</x:f>
        <x:v>furthest</x:v>
      </x:c>
      <x:c r="M26" s="9" t="n">
        <x:f>'Evaluation Plan'!M26</x:f>
        <x:v>3</x:v>
      </x:c>
      <x:c r="N26" s="9" t="str">
        <x:f>'Evaluation Plan'!N26</x:f>
        <x:v>1 — Canonical transfer — Held-out furthest concept with same-category candidates</x:v>
      </x:c>
      <x:c r="O26" s="9" t="n">
        <x:f>'Evaluation Plan'!O26</x:f>
        <x:v>9</x:v>
      </x:c>
      <x:c r="P26" s="10" t="str">
        <x:f>'Evaluation Plan'!P26</x:f>
        <x:v>Build counterfactual scene A and save a first-frame filename.</x:v>
      </x:c>
      <x:c r="Q26" s="10" t="str">
        <x:f>'Evaluation Plan'!Q26</x:f>
        <x:v>Furthest/farthest language is absent from fine-tuning. The A/B scene pair swaps which physical identity is far, preventing identity preference from solving both.</x:v>
      </x:c>
      <x:c r="R26" s="10" t="str">
        <x:f>IF(ISBLANK('Evaluation Plan'!R26),"",'Evaluation Plan'!R26)</x:f>
      </x:c>
    </x:row>
    <x:row r="27" ht="66" customHeight="1">
      <x:c r="A27" s="8" t="str">
        <x:v>Not collected</x:v>
      </x:c>
      <x:c r="B27" s="8" t="n">
        <x:f>'Evaluation Plan'!B27</x:f>
        <x:v>25</x:v>
      </x:c>
      <x:c r="C27" s="7" t="str">
        <x:f>'Evaluation Plan'!C27</x:f>
        <x:v>Place the crushed soda can with the greatest distance from the airplane toy with propellers in the bowl.</x:v>
      </x:c>
      <x:c r="D27" s="7" t="str">
        <x:f>'Evaluation Plan'!D27</x:f>
        <x:v>P1 airplane toy with propellers at R5 (5 cm away from the robot from center) [REFERENCE]; P2 crushed Coke can with 6 cm edge gap to the left of P1 [CLOSE CANDIDATE]; P3 crushed Pepsi can with 20 cm edge gap to the right of P1 [FAR CANDIDATE]</x:v>
      </x:c>
      <x:c r="E27" s="8" t="n">
        <x:f>IF(ISBLANK('Evaluation Plan'!E27),"",'Evaluation Plan'!E27)</x:f>
        <x:v>24</x:v>
      </x:c>
      <x:c r="F27" s="8" t="str">
        <x:f>'Evaluation Plan'!F27</x:f>
        <x:v>crushed Pepsi can</x:v>
      </x:c>
      <x:c r="G27" s="7"/>
      <x:c r="H27" s="8" t="str">
        <x:f>'Evaluation Plan'!H27</x:f>
        <x:v>Language robustness</x:v>
      </x:c>
      <x:c r="I27" s="8" t="str">
        <x:f>'Evaluation Plan'!I27</x:f>
        <x:v>RD-CF05A</x:v>
      </x:c>
      <x:c r="J27" s="8" t="str">
        <x:f>'Evaluation Plan'!J27</x:f>
        <x:v>RD-CF05</x:v>
      </x:c>
      <x:c r="K27" s="8" t="str">
        <x:f>'Evaluation Plan'!K27</x:f>
        <x:v>crushed soda can</x:v>
      </x:c>
      <x:c r="L27" s="8" t="str">
        <x:f>'Evaluation Plan'!L27</x:f>
        <x:v>furthest paraphrase</x:v>
      </x:c>
      <x:c r="M27" s="8" t="n">
        <x:f>'Evaluation Plan'!M27</x:f>
        <x:v>3</x:v>
      </x:c>
      <x:c r="N27" s="8" t="str">
        <x:f>'Evaluation Plan'!N27</x:f>
        <x:v>2 — Exact-scene transfer paraphrase — Paraphrase of furthest-transfer prompt</x:v>
      </x:c>
      <x:c r="O27" s="8" t="n">
        <x:f>'Evaluation Plan'!O27</x:f>
        <x:v>9</x:v>
      </x:c>
      <x:c r="P27" s="7" t="str">
        <x:f>'Evaluation Plan'!P27</x:f>
        <x:v>Reset only the far candidate to P3; change only the prompt wording.</x:v>
      </x:c>
      <x:c r="Q27" s="7" t="str">
        <x:f>'Evaluation Plan'!Q27</x:f>
        <x:v>Exact-scene language comparison for the held-out distance concept.</x:v>
      </x:c>
      <x:c r="R27" s="7" t="str">
        <x:f>IF(ISBLANK('Evaluation Plan'!R27),"",'Evaluation Plan'!R27)</x:f>
      </x:c>
    </x:row>
    <x:row r="28" ht="66" customHeight="1">
      <x:c r="A28" s="8" t="str">
        <x:v>Not collected</x:v>
      </x:c>
      <x:c r="B28" s="8" t="n">
        <x:f>'Evaluation Plan'!B28</x:f>
        <x:v>26</x:v>
      </x:c>
      <x:c r="C28" s="7" t="str">
        <x:f>'Evaluation Plan'!C28</x:f>
        <x:v>Pick up the crushed Pepsi can and place it in the bowl.</x:v>
      </x:c>
      <x:c r="D28" s="7" t="str">
        <x:f>'Evaluation Plan'!D28</x:f>
        <x:v>P1 airplane toy with propellers at R5 (5 cm away from the robot from center) [REFERENCE]; P2 crushed Coke can with 6 cm edge gap to the left of P1 [CLOSE CANDIDATE]; P3 crushed Pepsi can with 20 cm edge gap to the right of P1 [FAR CANDIDATE]</x:v>
      </x:c>
      <x:c r="E28" s="8" t="n">
        <x:f>IF(ISBLANK('Evaluation Plan'!E28),"",'Evaluation Plan'!E28)</x:f>
        <x:v>24</x:v>
      </x:c>
      <x:c r="F28" s="8" t="str">
        <x:f>'Evaluation Plan'!F28</x:f>
        <x:v>crushed Pepsi can</x:v>
      </x:c>
      <x:c r="G28" s="7"/>
      <x:c r="H28" s="8" t="str">
        <x:f>'Evaluation Plan'!H28</x:f>
        <x:v>Matched manipulation control</x:v>
      </x:c>
      <x:c r="I28" s="8" t="str">
        <x:f>'Evaluation Plan'!I28</x:f>
        <x:v>RD-CF05A</x:v>
      </x:c>
      <x:c r="J28" s="8" t="str">
        <x:f>'Evaluation Plan'!J28</x:f>
        <x:v>RD-CF05</x:v>
      </x:c>
      <x:c r="K28" s="8" t="str">
        <x:f>'Evaluation Plan'!K28</x:f>
        <x:v>crushed soda can</x:v>
      </x:c>
      <x:c r="L28" s="8" t="str">
        <x:f>'Evaluation Plan'!L28</x:f>
        <x:v>direct name</x:v>
      </x:c>
      <x:c r="M28" s="8" t="n">
        <x:f>'Evaluation Plan'!M28</x:f>
        <x:v>3</x:v>
      </x:c>
      <x:c r="N28" s="8" t="str">
        <x:f>'Evaluation Plan'!N28</x:f>
        <x:v>3 — Matched control — Direct-name control on identical target and trajectory</x:v>
      </x:c>
      <x:c r="O28" s="8" t="n">
        <x:f>'Evaluation Plan'!O28</x:f>
        <x:v>9</x:v>
      </x:c>
      <x:c r="P28" s="7" t="str">
        <x:f>'Evaluation Plan'!P28</x:f>
        <x:v>Reset only the far candidate to P3. Keep the full scene exact; replace the relational instruction with the target's direct name.</x:v>
      </x:c>
      <x:c r="Q28" s="7" t="str">
        <x:f>'Evaluation Plan'!Q28</x:f>
        <x:v>This is a true endpoint-matched manipulation control: scene, target identity, start pose and required trajectory match the furthest trial.</x:v>
      </x:c>
      <x:c r="R28" s="7" t="str">
        <x:f>IF(ISBLANK('Evaluation Plan'!R28),"",'Evaluation Plan'!R28)</x:f>
      </x:c>
    </x:row>
    <x:row r="29" ht="66" customHeight="1">
      <x:c r="A29" s="9" t="str">
        <x:v>Not collected</x:v>
      </x:c>
      <x:c r="B29" s="9" t="n">
        <x:f>'Evaluation Plan'!B29</x:f>
        <x:v>27</x:v>
      </x:c>
      <x:c r="C29" s="10" t="str">
        <x:f>'Evaluation Plan'!C29</x:f>
        <x:v>Pick up the crushed soda can furthest from the airplane toy with propellers and place it in the bowl.</x:v>
      </x:c>
      <x:c r="D29" s="10" t="str">
        <x:f>'Evaluation Plan'!D29</x:f>
        <x:v>P1 airplane toy with propellers at R5 (5 cm away from the robot from center) [REFERENCE]; P2 crushed Pepsi can with 6 cm edge gap to the left of P1 [CLOSE CANDIDATE]; P3 crushed Coke can with 20 cm edge gap to the right of P1 [FAR CANDIDATE]</x:v>
      </x:c>
      <x:c r="E29" s="9" t="str">
        <x:f>IF(ISBLANK('Evaluation Plan'!E29),"",'Evaluation Plan'!E29)</x:f>
      </x:c>
      <x:c r="F29" s="9" t="str">
        <x:f>'Evaluation Plan'!F29</x:f>
        <x:v>crushed Coke can</x:v>
      </x:c>
      <x:c r="G29" s="10"/>
      <x:c r="H29" s="9" t="str">
        <x:f>'Evaluation Plan'!H29</x:f>
        <x:v>Concept/compositional transfer</x:v>
      </x:c>
      <x:c r="I29" s="9" t="str">
        <x:f>'Evaluation Plan'!I29</x:f>
        <x:v>RD-CF05B</x:v>
      </x:c>
      <x:c r="J29" s="9" t="str">
        <x:f>'Evaluation Plan'!J29</x:f>
        <x:v>RD-CF05</x:v>
      </x:c>
      <x:c r="K29" s="9" t="str">
        <x:f>'Evaluation Plan'!K29</x:f>
        <x:v>crushed soda can</x:v>
      </x:c>
      <x:c r="L29" s="9" t="str">
        <x:f>'Evaluation Plan'!L29</x:f>
        <x:v>furthest</x:v>
      </x:c>
      <x:c r="M29" s="9" t="n">
        <x:f>'Evaluation Plan'!M29</x:f>
        <x:v>3</x:v>
      </x:c>
      <x:c r="N29" s="9" t="str">
        <x:f>'Evaluation Plan'!N29</x:f>
        <x:v>1 — Canonical transfer — Held-out furthest concept with same-category candidates</x:v>
      </x:c>
      <x:c r="O29" s="9" t="n">
        <x:f>'Evaluation Plan'!O29</x:f>
        <x:v>10</x:v>
      </x:c>
      <x:c r="P29" s="10" t="str">
        <x:f>'Evaluation Plan'!P29</x:f>
        <x:v>From scene A, swap only the P2/P3 candidate identities; keep reference, distractors, camera and distances fixed. Save the new first frame.</x:v>
      </x:c>
      <x:c r="Q29" s="10" t="str">
        <x:f>'Evaluation Plan'!Q29</x:f>
        <x:v>Furthest/farthest language is absent from fine-tuning. The A/B scene pair swaps which physical identity is far, preventing identity preference from solving both.</x:v>
      </x:c>
      <x:c r="R29" s="10" t="str">
        <x:f>IF(ISBLANK('Evaluation Plan'!R29),"",'Evaluation Plan'!R29)</x:f>
      </x:c>
    </x:row>
    <x:row r="30" ht="66" customHeight="1">
      <x:c r="A30" s="8" t="str">
        <x:v>Not collected</x:v>
      </x:c>
      <x:c r="B30" s="8" t="n">
        <x:f>'Evaluation Plan'!B30</x:f>
        <x:v>28</x:v>
      </x:c>
      <x:c r="C30" s="7" t="str">
        <x:f>'Evaluation Plan'!C30</x:f>
        <x:v>Of the two candidates, put the crushed soda can farther from the airplane toy with propellers in the bowl.</x:v>
      </x:c>
      <x:c r="D30" s="7" t="str">
        <x:f>'Evaluation Plan'!D30</x:f>
        <x:v>P1 airplane toy with propellers at R5 (5 cm away from the robot from center) [REFERENCE]; P2 crushed Pepsi can with 6 cm edge gap to the left of P1 [CLOSE CANDIDATE]; P3 crushed Coke can with 20 cm edge gap to the right of P1 [FAR CANDIDATE]</x:v>
      </x:c>
      <x:c r="E30" s="8" t="n">
        <x:f>IF(ISBLANK('Evaluation Plan'!E30),"",'Evaluation Plan'!E30)</x:f>
        <x:v>27</x:v>
      </x:c>
      <x:c r="F30" s="8" t="str">
        <x:f>'Evaluation Plan'!F30</x:f>
        <x:v>crushed Coke can</x:v>
      </x:c>
      <x:c r="G30" s="7"/>
      <x:c r="H30" s="8" t="str">
        <x:f>'Evaluation Plan'!H30</x:f>
        <x:v>Language robustness</x:v>
      </x:c>
      <x:c r="I30" s="8" t="str">
        <x:f>'Evaluation Plan'!I30</x:f>
        <x:v>RD-CF05B</x:v>
      </x:c>
      <x:c r="J30" s="8" t="str">
        <x:f>'Evaluation Plan'!J30</x:f>
        <x:v>RD-CF05</x:v>
      </x:c>
      <x:c r="K30" s="8" t="str">
        <x:f>'Evaluation Plan'!K30</x:f>
        <x:v>crushed soda can</x:v>
      </x:c>
      <x:c r="L30" s="8" t="str">
        <x:f>'Evaluation Plan'!L30</x:f>
        <x:v>furthest paraphrase</x:v>
      </x:c>
      <x:c r="M30" s="8" t="n">
        <x:f>'Evaluation Plan'!M30</x:f>
        <x:v>3</x:v>
      </x:c>
      <x:c r="N30" s="8" t="str">
        <x:f>'Evaluation Plan'!N30</x:f>
        <x:v>2 — Exact-scene transfer paraphrase — Paraphrase of furthest-transfer prompt</x:v>
      </x:c>
      <x:c r="O30" s="8" t="n">
        <x:f>'Evaluation Plan'!O30</x:f>
        <x:v>10</x:v>
      </x:c>
      <x:c r="P30" s="7" t="str">
        <x:f>'Evaluation Plan'!P30</x:f>
        <x:v>Reset only the far candidate to P3; change only the prompt wording.</x:v>
      </x:c>
      <x:c r="Q30" s="7" t="str">
        <x:f>'Evaluation Plan'!Q30</x:f>
        <x:v>Exact-scene language comparison for the held-out distance concept.</x:v>
      </x:c>
      <x:c r="R30" s="7" t="str">
        <x:f>IF(ISBLANK('Evaluation Plan'!R30),"",'Evaluation Plan'!R30)</x:f>
      </x:c>
    </x:row>
    <x:row r="31" ht="66" customHeight="1">
      <x:c r="A31" s="8" t="str">
        <x:v>Not collected</x:v>
      </x:c>
      <x:c r="B31" s="8" t="n">
        <x:f>'Evaluation Plan'!B31</x:f>
        <x:v>29</x:v>
      </x:c>
      <x:c r="C31" s="7" t="str">
        <x:f>'Evaluation Plan'!C31</x:f>
        <x:v>Put the crushed Coke can in the bowl.</x:v>
      </x:c>
      <x:c r="D31" s="7" t="str">
        <x:f>'Evaluation Plan'!D31</x:f>
        <x:v>P1 airplane toy with propellers at R5 (5 cm away from the robot from center) [REFERENCE]; P2 crushed Pepsi can with 6 cm edge gap to the left of P1 [CLOSE CANDIDATE]; P3 crushed Coke can with 20 cm edge gap to the right of P1 [FAR CANDIDATE]</x:v>
      </x:c>
      <x:c r="E31" s="8" t="n">
        <x:f>IF(ISBLANK('Evaluation Plan'!E31),"",'Evaluation Plan'!E31)</x:f>
        <x:v>27</x:v>
      </x:c>
      <x:c r="F31" s="8" t="str">
        <x:f>'Evaluation Plan'!F31</x:f>
        <x:v>crushed Coke can</x:v>
      </x:c>
      <x:c r="G31" s="7"/>
      <x:c r="H31" s="8" t="str">
        <x:f>'Evaluation Plan'!H31</x:f>
        <x:v>Matched manipulation control</x:v>
      </x:c>
      <x:c r="I31" s="8" t="str">
        <x:f>'Evaluation Plan'!I31</x:f>
        <x:v>RD-CF05B</x:v>
      </x:c>
      <x:c r="J31" s="8" t="str">
        <x:f>'Evaluation Plan'!J31</x:f>
        <x:v>RD-CF05</x:v>
      </x:c>
      <x:c r="K31" s="8" t="str">
        <x:f>'Evaluation Plan'!K31</x:f>
        <x:v>crushed soda can</x:v>
      </x:c>
      <x:c r="L31" s="8" t="str">
        <x:f>'Evaluation Plan'!L31</x:f>
        <x:v>direct name</x:v>
      </x:c>
      <x:c r="M31" s="8" t="n">
        <x:f>'Evaluation Plan'!M31</x:f>
        <x:v>3</x:v>
      </x:c>
      <x:c r="N31" s="8" t="str">
        <x:f>'Evaluation Plan'!N31</x:f>
        <x:v>3 — Matched control — Direct-name control on identical target and trajectory</x:v>
      </x:c>
      <x:c r="O31" s="8" t="n">
        <x:f>'Evaluation Plan'!O31</x:f>
        <x:v>10</x:v>
      </x:c>
      <x:c r="P31" s="7" t="str">
        <x:f>'Evaluation Plan'!P31</x:f>
        <x:v>Reset only the far candidate to P3. Keep the full scene exact; replace the relational instruction with the target's direct name.</x:v>
      </x:c>
      <x:c r="Q31" s="7" t="str">
        <x:f>'Evaluation Plan'!Q31</x:f>
        <x:v>This is a true endpoint-matched manipulation control: scene, target identity, start pose and required trajectory match the furthest trial.</x:v>
      </x:c>
      <x:c r="R31" s="7" t="str">
        <x:f>IF(ISBLANK('Evaluation Plan'!R31),"",'Evaluation Plan'!R31)</x:f>
      </x:c>
    </x:row>
    <x:row r="32" ht="66" customHeight="1">
      <x:c r="A32" s="9" t="str">
        <x:v>Not collected</x:v>
      </x:c>
      <x:c r="B32" s="9" t="n">
        <x:f>'Evaluation Plan'!B32</x:f>
        <x:v>30</x:v>
      </x:c>
      <x:c r="C32" s="10" t="str">
        <x:f>'Evaluation Plan'!C32</x:f>
        <x:v>Pick up the pencil sharpener furthest from the airplane toy without propellers and place it in the bowl.</x:v>
      </x:c>
      <x:c r="D32" s="10" t="str">
        <x:f>'Evaluation Plan'!D32</x:f>
        <x:v>P1 airplane toy without propellers at R1 (table center) [REFERENCE]; P2 red pencil sharpener with 6 cm edge gap to the right of P1 [CLOSE CANDIDATE]; P3 green pencil sharpener with 20 cm edge gap to the left of P1 [FAR CANDIDATE]; P4 crushed Coke can with 14 cm edge gap behind P1 [DISTRACTOR]</x:v>
      </x:c>
      <x:c r="E32" s="9" t="str">
        <x:f>IF(ISBLANK('Evaluation Plan'!E32),"",'Evaluation Plan'!E32)</x:f>
      </x:c>
      <x:c r="F32" s="9" t="str">
        <x:f>'Evaluation Plan'!F32</x:f>
        <x:v>green pencil sharpener</x:v>
      </x:c>
      <x:c r="G32" s="10"/>
      <x:c r="H32" s="9" t="str">
        <x:f>'Evaluation Plan'!H32</x:f>
        <x:v>Concept/compositional transfer</x:v>
      </x:c>
      <x:c r="I32" s="9" t="str">
        <x:f>'Evaluation Plan'!I32</x:f>
        <x:v>RD-CF06A</x:v>
      </x:c>
      <x:c r="J32" s="9" t="str">
        <x:f>'Evaluation Plan'!J32</x:f>
        <x:v>RD-CF06</x:v>
      </x:c>
      <x:c r="K32" s="9" t="str">
        <x:f>'Evaluation Plan'!K32</x:f>
        <x:v>pencil sharpener</x:v>
      </x:c>
      <x:c r="L32" s="9" t="str">
        <x:f>'Evaluation Plan'!L32</x:f>
        <x:v>furthest</x:v>
      </x:c>
      <x:c r="M32" s="9" t="n">
        <x:f>'Evaluation Plan'!M32</x:f>
        <x:v>4</x:v>
      </x:c>
      <x:c r="N32" s="9" t="str">
        <x:f>'Evaluation Plan'!N32</x:f>
        <x:v>1 — Canonical transfer — Held-out furthest concept with same-category candidates</x:v>
      </x:c>
      <x:c r="O32" s="9" t="n">
        <x:f>'Evaluation Plan'!O32</x:f>
        <x:v>11</x:v>
      </x:c>
      <x:c r="P32" s="10" t="str">
        <x:f>'Evaluation Plan'!P32</x:f>
        <x:v>Build counterfactual scene A and save a first-frame filename.</x:v>
      </x:c>
      <x:c r="Q32" s="10" t="str">
        <x:f>'Evaluation Plan'!Q32</x:f>
        <x:v>Furthest/farthest language is absent from fine-tuning. The A/B scene pair swaps which physical identity is far, preventing identity preference from solving both.</x:v>
      </x:c>
      <x:c r="R32" s="10" t="str">
        <x:f>IF(ISBLANK('Evaluation Plan'!R32),"",'Evaluation Plan'!R32)</x:f>
      </x:c>
    </x:row>
    <x:row r="33" ht="66" customHeight="1">
      <x:c r="A33" s="8" t="str">
        <x:v>Not collected</x:v>
      </x:c>
      <x:c r="B33" s="8" t="n">
        <x:f>'Evaluation Plan'!B33</x:f>
        <x:v>31</x:v>
      </x:c>
      <x:c r="C33" s="7" t="str">
        <x:f>'Evaluation Plan'!C33</x:f>
        <x:v>Move the green pencil sharpener into the bowl.</x:v>
      </x:c>
      <x:c r="D33" s="7" t="str">
        <x:f>'Evaluation Plan'!D33</x:f>
        <x:v>P1 airplane toy without propellers at R1 (table center) [REFERENCE]; P2 red pencil sharpener with 6 cm edge gap to the right of P1 [CLOSE CANDIDATE]; P3 green pencil sharpener with 20 cm edge gap to the left of P1 [FAR CANDIDATE]; P4 crushed Coke can with 14 cm edge gap behind P1 [DISTRACTOR]</x:v>
      </x:c>
      <x:c r="E33" s="8" t="n">
        <x:f>IF(ISBLANK('Evaluation Plan'!E33),"",'Evaluation Plan'!E33)</x:f>
        <x:v>30</x:v>
      </x:c>
      <x:c r="F33" s="8" t="str">
        <x:f>'Evaluation Plan'!F33</x:f>
        <x:v>green pencil sharpener</x:v>
      </x:c>
      <x:c r="G33" s="7"/>
      <x:c r="H33" s="8" t="str">
        <x:f>'Evaluation Plan'!H33</x:f>
        <x:v>Matched manipulation control</x:v>
      </x:c>
      <x:c r="I33" s="8" t="str">
        <x:f>'Evaluation Plan'!I33</x:f>
        <x:v>RD-CF06A</x:v>
      </x:c>
      <x:c r="J33" s="8" t="str">
        <x:f>'Evaluation Plan'!J33</x:f>
        <x:v>RD-CF06</x:v>
      </x:c>
      <x:c r="K33" s="8" t="str">
        <x:f>'Evaluation Plan'!K33</x:f>
        <x:v>pencil sharpener</x:v>
      </x:c>
      <x:c r="L33" s="8" t="str">
        <x:f>'Evaluation Plan'!L33</x:f>
        <x:v>direct name</x:v>
      </x:c>
      <x:c r="M33" s="8" t="n">
        <x:f>'Evaluation Plan'!M33</x:f>
        <x:v>4</x:v>
      </x:c>
      <x:c r="N33" s="8" t="str">
        <x:f>'Evaluation Plan'!N33</x:f>
        <x:v>2 — Matched control — Direct-name control on identical target and trajectory</x:v>
      </x:c>
      <x:c r="O33" s="8" t="n">
        <x:f>'Evaluation Plan'!O33</x:f>
        <x:v>11</x:v>
      </x:c>
      <x:c r="P33" s="7" t="str">
        <x:f>'Evaluation Plan'!P33</x:f>
        <x:v>Reset only the far candidate to P3. Keep the full scene exact; replace the relational instruction with the target's direct name.</x:v>
      </x:c>
      <x:c r="Q33" s="7" t="str">
        <x:f>'Evaluation Plan'!Q33</x:f>
        <x:v>This is a true endpoint-matched manipulation control: scene, target identity, start pose and required trajectory match the furthest trial.</x:v>
      </x:c>
      <x:c r="R33" s="7" t="str">
        <x:f>IF(ISBLANK('Evaluation Plan'!R33),"",'Evaluation Plan'!R33)</x:f>
      </x:c>
    </x:row>
    <x:row r="34" ht="66" customHeight="1">
      <x:c r="A34" s="8" t="str">
        <x:v>Not collected</x:v>
      </x:c>
      <x:c r="B34" s="8" t="n">
        <x:f>'Evaluation Plan'!B34</x:f>
        <x:v>32</x:v>
      </x:c>
      <x:c r="C34" s="7" t="str">
        <x:f>'Evaluation Plan'!C34</x:f>
        <x:v>Take the green pencil sharpener and set it in the bowl.</x:v>
      </x:c>
      <x:c r="D34" s="7" t="str">
        <x:f>'Evaluation Plan'!D34</x:f>
        <x:v>P1 airplane toy without propellers at R1 (table center) [REFERENCE]; P2 red pencil sharpener with 6 cm edge gap to the right of P1 [CLOSE CANDIDATE]; P3 green pencil sharpener with 20 cm edge gap to the left of P1 [FAR CANDIDATE]; P4 crushed Coke can with 14 cm edge gap behind P1 [DISTRACTOR]</x:v>
      </x:c>
      <x:c r="E34" s="8" t="n">
        <x:f>IF(ISBLANK('Evaluation Plan'!E34),"",'Evaluation Plan'!E34)</x:f>
        <x:v>31</x:v>
      </x:c>
      <x:c r="F34" s="8" t="str">
        <x:f>'Evaluation Plan'!F34</x:f>
        <x:v>green pencil sharpener</x:v>
      </x:c>
      <x:c r="G34" s="7"/>
      <x:c r="H34" s="8" t="str">
        <x:f>'Evaluation Plan'!H34</x:f>
        <x:v>Language robustness</x:v>
      </x:c>
      <x:c r="I34" s="8" t="str">
        <x:f>'Evaluation Plan'!I34</x:f>
        <x:v>RD-CF06A</x:v>
      </x:c>
      <x:c r="J34" s="8" t="str">
        <x:f>'Evaluation Plan'!J34</x:f>
        <x:v>RD-CF06</x:v>
      </x:c>
      <x:c r="K34" s="8" t="str">
        <x:f>'Evaluation Plan'!K34</x:f>
        <x:v>pencil sharpener</x:v>
      </x:c>
      <x:c r="L34" s="8" t="str">
        <x:f>'Evaluation Plan'!L34</x:f>
        <x:v>direct-name paraphrase</x:v>
      </x:c>
      <x:c r="M34" s="8" t="n">
        <x:f>'Evaluation Plan'!M34</x:f>
        <x:v>4</x:v>
      </x:c>
      <x:c r="N34" s="8" t="str">
        <x:f>'Evaluation Plan'!N34</x:f>
        <x:v>3 — Exact-scene control paraphrase — Paraphrase of direct-name matched control</x:v>
      </x:c>
      <x:c r="O34" s="8" t="n">
        <x:f>'Evaluation Plan'!O34</x:f>
        <x:v>11</x:v>
      </x:c>
      <x:c r="P34" s="7" t="str">
        <x:f>'Evaluation Plan'!P34</x:f>
        <x:v>Reset only the far candidate to P3; change only the direct-name prompt wording.</x:v>
      </x:c>
      <x:c r="Q34" s="7" t="str">
        <x:f>'Evaluation Plan'!Q34</x:f>
        <x:v>Exact-scene language comparison for the endpoint-matched skill control.</x:v>
      </x:c>
      <x:c r="R34" s="7" t="str">
        <x:f>IF(ISBLANK('Evaluation Plan'!R34),"",'Evaluation Plan'!R34)</x:f>
      </x:c>
    </x:row>
    <x:row r="35" ht="66" customHeight="1">
      <x:c r="A35" s="9" t="str">
        <x:v>Not collected</x:v>
      </x:c>
      <x:c r="B35" s="9" t="n">
        <x:f>'Evaluation Plan'!B35</x:f>
        <x:v>33</x:v>
      </x:c>
      <x:c r="C35" s="10" t="str">
        <x:f>'Evaluation Plan'!C35</x:f>
        <x:v>Pick up the pencil sharpener furthest from the airplane toy without propellers and place it in the bowl.</x:v>
      </x:c>
      <x:c r="D35" s="10" t="str">
        <x:f>'Evaluation Plan'!D35</x:f>
        <x:v>P1 airplane toy without propellers at R1 (table center) [REFERENCE]; P2 green pencil sharpener with 6 cm edge gap to the right of P1 [CLOSE CANDIDATE]; P3 red pencil sharpener with 20 cm edge gap to the left of P1 [FAR CANDIDATE]; P4 crushed Coke can with 14 cm edge gap behind P1 [DISTRACTOR]</x:v>
      </x:c>
      <x:c r="E35" s="9" t="str">
        <x:f>IF(ISBLANK('Evaluation Plan'!E35),"",'Evaluation Plan'!E35)</x:f>
      </x:c>
      <x:c r="F35" s="9" t="str">
        <x:f>'Evaluation Plan'!F35</x:f>
        <x:v>red pencil sharpener</x:v>
      </x:c>
      <x:c r="G35" s="10"/>
      <x:c r="H35" s="9" t="str">
        <x:f>'Evaluation Plan'!H35</x:f>
        <x:v>Concept/compositional transfer</x:v>
      </x:c>
      <x:c r="I35" s="9" t="str">
        <x:f>'Evaluation Plan'!I35</x:f>
        <x:v>RD-CF06B</x:v>
      </x:c>
      <x:c r="J35" s="9" t="str">
        <x:f>'Evaluation Plan'!J35</x:f>
        <x:v>RD-CF06</x:v>
      </x:c>
      <x:c r="K35" s="9" t="str">
        <x:f>'Evaluation Plan'!K35</x:f>
        <x:v>pencil sharpener</x:v>
      </x:c>
      <x:c r="L35" s="9" t="str">
        <x:f>'Evaluation Plan'!L35</x:f>
        <x:v>furthest</x:v>
      </x:c>
      <x:c r="M35" s="9" t="n">
        <x:f>'Evaluation Plan'!M35</x:f>
        <x:v>4</x:v>
      </x:c>
      <x:c r="N35" s="9" t="str">
        <x:f>'Evaluation Plan'!N35</x:f>
        <x:v>1 — Canonical transfer — Held-out furthest concept with same-category candidates</x:v>
      </x:c>
      <x:c r="O35" s="9" t="n">
        <x:f>'Evaluation Plan'!O35</x:f>
        <x:v>12</x:v>
      </x:c>
      <x:c r="P35" s="10" t="str">
        <x:f>'Evaluation Plan'!P35</x:f>
        <x:v>From scene A, swap only the P2/P3 candidate identities; keep reference, distractors, camera and distances fixed. Save the new first frame.</x:v>
      </x:c>
      <x:c r="Q35" s="10" t="str">
        <x:f>'Evaluation Plan'!Q35</x:f>
        <x:v>Furthest/farthest language is absent from fine-tuning. The A/B scene pair swaps which physical identity is far, preventing identity preference from solving both.</x:v>
      </x:c>
      <x:c r="R35" s="10" t="str">
        <x:f>IF(ISBLANK('Evaluation Plan'!R35),"",'Evaluation Plan'!R35)</x:f>
      </x:c>
    </x:row>
    <x:row r="36" ht="66" customHeight="1">
      <x:c r="A36" s="8" t="str">
        <x:v>Not collected</x:v>
      </x:c>
      <x:c r="B36" s="8" t="n">
        <x:f>'Evaluation Plan'!B36</x:f>
        <x:v>34</x:v>
      </x:c>
      <x:c r="C36" s="7" t="str">
        <x:f>'Evaluation Plan'!C36</x:f>
        <x:v>Pick up the red pencil sharpener and place it in the bowl.</x:v>
      </x:c>
      <x:c r="D36" s="7" t="str">
        <x:f>'Evaluation Plan'!D36</x:f>
        <x:v>P1 airplane toy without propellers at R1 (table center) [REFERENCE]; P2 green pencil sharpener with 6 cm edge gap to the right of P1 [CLOSE CANDIDATE]; P3 red pencil sharpener with 20 cm edge gap to the left of P1 [FAR CANDIDATE]; P4 crushed Coke can with 14 cm edge gap behind P1 [DISTRACTOR]</x:v>
      </x:c>
      <x:c r="E36" s="8" t="n">
        <x:f>IF(ISBLANK('Evaluation Plan'!E36),"",'Evaluation Plan'!E36)</x:f>
        <x:v>33</x:v>
      </x:c>
      <x:c r="F36" s="8" t="str">
        <x:f>'Evaluation Plan'!F36</x:f>
        <x:v>red pencil sharpener</x:v>
      </x:c>
      <x:c r="G36" s="7"/>
      <x:c r="H36" s="8" t="str">
        <x:f>'Evaluation Plan'!H36</x:f>
        <x:v>Matched manipulation control</x:v>
      </x:c>
      <x:c r="I36" s="8" t="str">
        <x:f>'Evaluation Plan'!I36</x:f>
        <x:v>RD-CF06B</x:v>
      </x:c>
      <x:c r="J36" s="8" t="str">
        <x:f>'Evaluation Plan'!J36</x:f>
        <x:v>RD-CF06</x:v>
      </x:c>
      <x:c r="K36" s="8" t="str">
        <x:f>'Evaluation Plan'!K36</x:f>
        <x:v>pencil sharpener</x:v>
      </x:c>
      <x:c r="L36" s="8" t="str">
        <x:f>'Evaluation Plan'!L36</x:f>
        <x:v>direct name</x:v>
      </x:c>
      <x:c r="M36" s="8" t="n">
        <x:f>'Evaluation Plan'!M36</x:f>
        <x:v>4</x:v>
      </x:c>
      <x:c r="N36" s="8" t="str">
        <x:f>'Evaluation Plan'!N36</x:f>
        <x:v>2 — Matched control — Direct-name control on identical target and trajectory</x:v>
      </x:c>
      <x:c r="O36" s="8" t="n">
        <x:f>'Evaluation Plan'!O36</x:f>
        <x:v>12</x:v>
      </x:c>
      <x:c r="P36" s="7" t="str">
        <x:f>'Evaluation Plan'!P36</x:f>
        <x:v>Reset only the far candidate to P3. Keep the full scene exact; replace the relational instruction with the target's direct name.</x:v>
      </x:c>
      <x:c r="Q36" s="7" t="str">
        <x:f>'Evaluation Plan'!Q36</x:f>
        <x:v>This is a true endpoint-matched manipulation control: scene, target identity, start pose and required trajectory match the furthest trial.</x:v>
      </x:c>
      <x:c r="R36" s="7" t="str">
        <x:f>IF(ISBLANK('Evaluation Plan'!R36),"",'Evaluation Plan'!R36)</x:f>
      </x:c>
    </x:row>
    <x:row r="37" ht="66" customHeight="1">
      <x:c r="A37" s="8" t="str">
        <x:v>Not collected</x:v>
      </x:c>
      <x:c r="B37" s="8" t="n">
        <x:f>'Evaluation Plan'!B37</x:f>
        <x:v>35</x:v>
      </x:c>
      <x:c r="C37" s="7" t="str">
        <x:f>'Evaluation Plan'!C37</x:f>
        <x:v>Transfer the red pencil sharpener into the bowl.</x:v>
      </x:c>
      <x:c r="D37" s="7" t="str">
        <x:f>'Evaluation Plan'!D37</x:f>
        <x:v>P1 airplane toy without propellers at R1 (table center) [REFERENCE]; P2 green pencil sharpener with 6 cm edge gap to the right of P1 [CLOSE CANDIDATE]; P3 red pencil sharpener with 20 cm edge gap to the left of P1 [FAR CANDIDATE]; P4 crushed Coke can with 14 cm edge gap behind P1 [DISTRACTOR]</x:v>
      </x:c>
      <x:c r="E37" s="8" t="n">
        <x:f>IF(ISBLANK('Evaluation Plan'!E37),"",'Evaluation Plan'!E37)</x:f>
        <x:v>34</x:v>
      </x:c>
      <x:c r="F37" s="8" t="str">
        <x:f>'Evaluation Plan'!F37</x:f>
        <x:v>red pencil sharpener</x:v>
      </x:c>
      <x:c r="G37" s="7"/>
      <x:c r="H37" s="8" t="str">
        <x:f>'Evaluation Plan'!H37</x:f>
        <x:v>Language robustness</x:v>
      </x:c>
      <x:c r="I37" s="8" t="str">
        <x:f>'Evaluation Plan'!I37</x:f>
        <x:v>RD-CF06B</x:v>
      </x:c>
      <x:c r="J37" s="8" t="str">
        <x:f>'Evaluation Plan'!J37</x:f>
        <x:v>RD-CF06</x:v>
      </x:c>
      <x:c r="K37" s="8" t="str">
        <x:f>'Evaluation Plan'!K37</x:f>
        <x:v>pencil sharpener</x:v>
      </x:c>
      <x:c r="L37" s="8" t="str">
        <x:f>'Evaluation Plan'!L37</x:f>
        <x:v>direct-name paraphrase</x:v>
      </x:c>
      <x:c r="M37" s="8" t="n">
        <x:f>'Evaluation Plan'!M37</x:f>
        <x:v>4</x:v>
      </x:c>
      <x:c r="N37" s="8" t="str">
        <x:f>'Evaluation Plan'!N37</x:f>
        <x:v>3 — Exact-scene control paraphrase — Paraphrase of direct-name matched control</x:v>
      </x:c>
      <x:c r="O37" s="8" t="n">
        <x:f>'Evaluation Plan'!O37</x:f>
        <x:v>12</x:v>
      </x:c>
      <x:c r="P37" s="7" t="str">
        <x:f>'Evaluation Plan'!P37</x:f>
        <x:v>Reset only the far candidate to P3; change only the direct-name prompt wording.</x:v>
      </x:c>
      <x:c r="Q37" s="7" t="str">
        <x:f>'Evaluation Plan'!Q37</x:f>
        <x:v>Exact-scene language comparison for the endpoint-matched skill control.</x:v>
      </x:c>
      <x:c r="R37" s="7" t="str">
        <x:f>IF(ISBLANK('Evaluation Plan'!R37),"",'Evaluation Plan'!R37)</x:f>
      </x:c>
    </x:row>
    <x:row r="38" ht="66" customHeight="1">
      <x:c r="A38" s="9" t="str">
        <x:v>Not collected</x:v>
      </x:c>
      <x:c r="B38" s="9" t="n">
        <x:f>'Evaluation Plan'!B38</x:f>
        <x:v>36</x:v>
      </x:c>
      <x:c r="C38" s="10" t="str">
        <x:f>'Evaluation Plan'!C38</x:f>
        <x:v>Pick up the pen furthest from the crushed Coke can and place it in the bowl.</x:v>
      </x:c>
      <x:c r="D38" s="10" t="str">
        <x:f>'Evaluation Plan'!D38</x:f>
        <x:v>P1 crushed Coke can at R2 (5 cm left of center) [REFERENCE]; P2 green pen with 6 cm edge gap in front of P1 [CLOSE CANDIDATE]; P3 yellow pen with 20 cm edge gap behind P1 [FAR CANDIDATE]; P4 green pencil sharpener with 14 cm edge gap to the left of P1 [DISTRACTOR]</x:v>
      </x:c>
      <x:c r="E38" s="9" t="str">
        <x:f>IF(ISBLANK('Evaluation Plan'!E38),"",'Evaluation Plan'!E38)</x:f>
      </x:c>
      <x:c r="F38" s="9" t="str">
        <x:f>'Evaluation Plan'!F38</x:f>
        <x:v>yellow pen</x:v>
      </x:c>
      <x:c r="G38" s="10"/>
      <x:c r="H38" s="9" t="str">
        <x:f>'Evaluation Plan'!H38</x:f>
        <x:v>Concept/compositional transfer</x:v>
      </x:c>
      <x:c r="I38" s="9" t="str">
        <x:f>'Evaluation Plan'!I38</x:f>
        <x:v>RD-CF07A</x:v>
      </x:c>
      <x:c r="J38" s="9" t="str">
        <x:f>'Evaluation Plan'!J38</x:f>
        <x:v>RD-CF07</x:v>
      </x:c>
      <x:c r="K38" s="9" t="str">
        <x:f>'Evaluation Plan'!K38</x:f>
        <x:v>pen</x:v>
      </x:c>
      <x:c r="L38" s="9" t="str">
        <x:f>'Evaluation Plan'!L38</x:f>
        <x:v>furthest</x:v>
      </x:c>
      <x:c r="M38" s="9" t="n">
        <x:f>'Evaluation Plan'!M38</x:f>
        <x:v>4</x:v>
      </x:c>
      <x:c r="N38" s="9" t="str">
        <x:f>'Evaluation Plan'!N38</x:f>
        <x:v>1 — Canonical transfer — Held-out furthest concept with same-category candidates</x:v>
      </x:c>
      <x:c r="O38" s="9" t="n">
        <x:f>'Evaluation Plan'!O38</x:f>
        <x:v>13</x:v>
      </x:c>
      <x:c r="P38" s="10" t="str">
        <x:f>'Evaluation Plan'!P38</x:f>
        <x:v>Build counterfactual scene A and save a first-frame filename.</x:v>
      </x:c>
      <x:c r="Q38" s="10" t="str">
        <x:f>'Evaluation Plan'!Q38</x:f>
        <x:v>Furthest/farthest language is absent from fine-tuning. The A/B scene pair swaps which physical identity is far, preventing identity preference from solving both.</x:v>
      </x:c>
      <x:c r="R38" s="10" t="str">
        <x:f>IF(ISBLANK('Evaluation Plan'!R38),"",'Evaluation Plan'!R38)</x:f>
      </x:c>
    </x:row>
    <x:row r="39" ht="66" customHeight="1">
      <x:c r="A39" s="8" t="str">
        <x:v>Not collected</x:v>
      </x:c>
      <x:c r="B39" s="8" t="n">
        <x:f>'Evaluation Plan'!B39</x:f>
        <x:v>37</x:v>
      </x:c>
      <x:c r="C39" s="7" t="str">
        <x:f>'Evaluation Plan'!C39</x:f>
        <x:v>Put the yellow pen in the bowl.</x:v>
      </x:c>
      <x:c r="D39" s="7" t="str">
        <x:f>'Evaluation Plan'!D39</x:f>
        <x:v>P1 crushed Coke can at R2 (5 cm left of center) [REFERENCE]; P2 green pen with 6 cm edge gap in front of P1 [CLOSE CANDIDATE]; P3 yellow pen with 20 cm edge gap behind P1 [FAR CANDIDATE]; P4 green pencil sharpener with 14 cm edge gap to the left of P1 [DISTRACTOR]</x:v>
      </x:c>
      <x:c r="E39" s="8" t="n">
        <x:f>IF(ISBLANK('Evaluation Plan'!E39),"",'Evaluation Plan'!E39)</x:f>
        <x:v>36</x:v>
      </x:c>
      <x:c r="F39" s="8" t="str">
        <x:f>'Evaluation Plan'!F39</x:f>
        <x:v>yellow pen</x:v>
      </x:c>
      <x:c r="G39" s="7"/>
      <x:c r="H39" s="8" t="str">
        <x:f>'Evaluation Plan'!H39</x:f>
        <x:v>Matched manipulation control</x:v>
      </x:c>
      <x:c r="I39" s="8" t="str">
        <x:f>'Evaluation Plan'!I39</x:f>
        <x:v>RD-CF07A</x:v>
      </x:c>
      <x:c r="J39" s="8" t="str">
        <x:f>'Evaluation Plan'!J39</x:f>
        <x:v>RD-CF07</x:v>
      </x:c>
      <x:c r="K39" s="8" t="str">
        <x:f>'Evaluation Plan'!K39</x:f>
        <x:v>pen</x:v>
      </x:c>
      <x:c r="L39" s="8" t="str">
        <x:f>'Evaluation Plan'!L39</x:f>
        <x:v>direct name</x:v>
      </x:c>
      <x:c r="M39" s="8" t="n">
        <x:f>'Evaluation Plan'!M39</x:f>
        <x:v>4</x:v>
      </x:c>
      <x:c r="N39" s="8" t="str">
        <x:f>'Evaluation Plan'!N39</x:f>
        <x:v>2 — Matched control — Direct-name control on identical target and trajectory</x:v>
      </x:c>
      <x:c r="O39" s="8" t="n">
        <x:f>'Evaluation Plan'!O39</x:f>
        <x:v>13</x:v>
      </x:c>
      <x:c r="P39" s="7" t="str">
        <x:f>'Evaluation Plan'!P39</x:f>
        <x:v>Reset only the far candidate to P3. Keep the full scene exact; replace the relational instruction with the target's direct name.</x:v>
      </x:c>
      <x:c r="Q39" s="7" t="str">
        <x:f>'Evaluation Plan'!Q39</x:f>
        <x:v>This is a true endpoint-matched manipulation control: scene, target identity, start pose and required trajectory match the furthest trial.</x:v>
      </x:c>
      <x:c r="R39" s="7" t="str">
        <x:f>IF(ISBLANK('Evaluation Plan'!R39),"",'Evaluation Plan'!R39)</x:f>
      </x:c>
    </x:row>
    <x:row r="40" ht="66" customHeight="1">
      <x:c r="A40" s="8" t="str">
        <x:v>Not collected</x:v>
      </x:c>
      <x:c r="B40" s="8" t="n">
        <x:f>'Evaluation Plan'!B40</x:f>
        <x:v>38</x:v>
      </x:c>
      <x:c r="C40" s="7" t="str">
        <x:f>'Evaluation Plan'!C40</x:f>
        <x:v>Move the yellow pen over to the bowl.</x:v>
      </x:c>
      <x:c r="D40" s="7" t="str">
        <x:f>'Evaluation Plan'!D40</x:f>
        <x:v>P1 crushed Coke can at R2 (5 cm left of center) [REFERENCE]; P2 green pen with 6 cm edge gap in front of P1 [CLOSE CANDIDATE]; P3 yellow pen with 20 cm edge gap behind P1 [FAR CANDIDATE]; P4 green pencil sharpener with 14 cm edge gap to the left of P1 [DISTRACTOR]</x:v>
      </x:c>
      <x:c r="E40" s="8" t="n">
        <x:f>IF(ISBLANK('Evaluation Plan'!E40),"",'Evaluation Plan'!E40)</x:f>
        <x:v>37</x:v>
      </x:c>
      <x:c r="F40" s="8" t="str">
        <x:f>'Evaluation Plan'!F40</x:f>
        <x:v>yellow pen</x:v>
      </x:c>
      <x:c r="G40" s="7"/>
      <x:c r="H40" s="8" t="str">
        <x:f>'Evaluation Plan'!H40</x:f>
        <x:v>Language robustness</x:v>
      </x:c>
      <x:c r="I40" s="8" t="str">
        <x:f>'Evaluation Plan'!I40</x:f>
        <x:v>RD-CF07A</x:v>
      </x:c>
      <x:c r="J40" s="8" t="str">
        <x:f>'Evaluation Plan'!J40</x:f>
        <x:v>RD-CF07</x:v>
      </x:c>
      <x:c r="K40" s="8" t="str">
        <x:f>'Evaluation Plan'!K40</x:f>
        <x:v>pen</x:v>
      </x:c>
      <x:c r="L40" s="8" t="str">
        <x:f>'Evaluation Plan'!L40</x:f>
        <x:v>direct-name paraphrase</x:v>
      </x:c>
      <x:c r="M40" s="8" t="n">
        <x:f>'Evaluation Plan'!M40</x:f>
        <x:v>4</x:v>
      </x:c>
      <x:c r="N40" s="8" t="str">
        <x:f>'Evaluation Plan'!N40</x:f>
        <x:v>3 — Exact-scene control paraphrase — Paraphrase of direct-name matched control</x:v>
      </x:c>
      <x:c r="O40" s="8" t="n">
        <x:f>'Evaluation Plan'!O40</x:f>
        <x:v>13</x:v>
      </x:c>
      <x:c r="P40" s="7" t="str">
        <x:f>'Evaluation Plan'!P40</x:f>
        <x:v>Reset only the far candidate to P3; change only the direct-name prompt wording.</x:v>
      </x:c>
      <x:c r="Q40" s="7" t="str">
        <x:f>'Evaluation Plan'!Q40</x:f>
        <x:v>Exact-scene language comparison for the endpoint-matched skill control.</x:v>
      </x:c>
      <x:c r="R40" s="7" t="str">
        <x:f>IF(ISBLANK('Evaluation Plan'!R40),"",'Evaluation Plan'!R40)</x:f>
      </x:c>
    </x:row>
    <x:row r="41" ht="66" customHeight="1">
      <x:c r="A41" s="9" t="str">
        <x:v>Not collected</x:v>
      </x:c>
      <x:c r="B41" s="9" t="n">
        <x:f>'Evaluation Plan'!B41</x:f>
        <x:v>39</x:v>
      </x:c>
      <x:c r="C41" s="10" t="str">
        <x:f>'Evaluation Plan'!C41</x:f>
        <x:v>Pick up the pen furthest from the crushed Coke can and place it in the bowl.</x:v>
      </x:c>
      <x:c r="D41" s="10" t="str">
        <x:f>'Evaluation Plan'!D41</x:f>
        <x:v>P1 crushed Coke can at R2 (5 cm left of center) [REFERENCE]; P2 yellow pen with 6 cm edge gap in front of P1 [CLOSE CANDIDATE]; P3 green pen with 20 cm edge gap behind P1 [FAR CANDIDATE]; P4 green pencil sharpener with 14 cm edge gap to the left of P1 [DISTRACTOR]</x:v>
      </x:c>
      <x:c r="E41" s="9" t="str">
        <x:f>IF(ISBLANK('Evaluation Plan'!E41),"",'Evaluation Plan'!E41)</x:f>
      </x:c>
      <x:c r="F41" s="9" t="str">
        <x:f>'Evaluation Plan'!F41</x:f>
        <x:v>green pen</x:v>
      </x:c>
      <x:c r="G41" s="10"/>
      <x:c r="H41" s="9" t="str">
        <x:f>'Evaluation Plan'!H41</x:f>
        <x:v>Concept/compositional transfer</x:v>
      </x:c>
      <x:c r="I41" s="9" t="str">
        <x:f>'Evaluation Plan'!I41</x:f>
        <x:v>RD-CF07B</x:v>
      </x:c>
      <x:c r="J41" s="9" t="str">
        <x:f>'Evaluation Plan'!J41</x:f>
        <x:v>RD-CF07</x:v>
      </x:c>
      <x:c r="K41" s="9" t="str">
        <x:f>'Evaluation Plan'!K41</x:f>
        <x:v>pen</x:v>
      </x:c>
      <x:c r="L41" s="9" t="str">
        <x:f>'Evaluation Plan'!L41</x:f>
        <x:v>furthest</x:v>
      </x:c>
      <x:c r="M41" s="9" t="n">
        <x:f>'Evaluation Plan'!M41</x:f>
        <x:v>4</x:v>
      </x:c>
      <x:c r="N41" s="9" t="str">
        <x:f>'Evaluation Plan'!N41</x:f>
        <x:v>1 — Canonical transfer — Held-out furthest concept with same-category candidates</x:v>
      </x:c>
      <x:c r="O41" s="9" t="n">
        <x:f>'Evaluation Plan'!O41</x:f>
        <x:v>14</x:v>
      </x:c>
      <x:c r="P41" s="10" t="str">
        <x:f>'Evaluation Plan'!P41</x:f>
        <x:v>From scene A, swap only the P2/P3 candidate identities; keep reference, distractors, camera and distances fixed. Save the new first frame.</x:v>
      </x:c>
      <x:c r="Q41" s="10" t="str">
        <x:f>'Evaluation Plan'!Q41</x:f>
        <x:v>Furthest/farthest language is absent from fine-tuning. The A/B scene pair swaps which physical identity is far, preventing identity preference from solving both.</x:v>
      </x:c>
      <x:c r="R41" s="10" t="str">
        <x:f>IF(ISBLANK('Evaluation Plan'!R41),"",'Evaluation Plan'!R41)</x:f>
      </x:c>
    </x:row>
    <x:row r="42" ht="66" customHeight="1">
      <x:c r="A42" s="8" t="str">
        <x:v>Not collected</x:v>
      </x:c>
      <x:c r="B42" s="8" t="n">
        <x:f>'Evaluation Plan'!B42</x:f>
        <x:v>40</x:v>
      </x:c>
      <x:c r="C42" s="7" t="str">
        <x:f>'Evaluation Plan'!C42</x:f>
        <x:v>Move the green pen into the bowl.</x:v>
      </x:c>
      <x:c r="D42" s="7" t="str">
        <x:f>'Evaluation Plan'!D42</x:f>
        <x:v>P1 crushed Coke can at R2 (5 cm left of center) [REFERENCE]; P2 yellow pen with 6 cm edge gap in front of P1 [CLOSE CANDIDATE]; P3 green pen with 20 cm edge gap behind P1 [FAR CANDIDATE]; P4 green pencil sharpener with 14 cm edge gap to the left of P1 [DISTRACTOR]</x:v>
      </x:c>
      <x:c r="E42" s="8" t="n">
        <x:f>IF(ISBLANK('Evaluation Plan'!E42),"",'Evaluation Plan'!E42)</x:f>
        <x:v>39</x:v>
      </x:c>
      <x:c r="F42" s="8" t="str">
        <x:f>'Evaluation Plan'!F42</x:f>
        <x:v>green pen</x:v>
      </x:c>
      <x:c r="G42" s="7"/>
      <x:c r="H42" s="8" t="str">
        <x:f>'Evaluation Plan'!H42</x:f>
        <x:v>Matched manipulation control</x:v>
      </x:c>
      <x:c r="I42" s="8" t="str">
        <x:f>'Evaluation Plan'!I42</x:f>
        <x:v>RD-CF07B</x:v>
      </x:c>
      <x:c r="J42" s="8" t="str">
        <x:f>'Evaluation Plan'!J42</x:f>
        <x:v>RD-CF07</x:v>
      </x:c>
      <x:c r="K42" s="8" t="str">
        <x:f>'Evaluation Plan'!K42</x:f>
        <x:v>pen</x:v>
      </x:c>
      <x:c r="L42" s="8" t="str">
        <x:f>'Evaluation Plan'!L42</x:f>
        <x:v>direct name</x:v>
      </x:c>
      <x:c r="M42" s="8" t="n">
        <x:f>'Evaluation Plan'!M42</x:f>
        <x:v>4</x:v>
      </x:c>
      <x:c r="N42" s="8" t="str">
        <x:f>'Evaluation Plan'!N42</x:f>
        <x:v>2 — Matched control — Direct-name control on identical target and trajectory</x:v>
      </x:c>
      <x:c r="O42" s="8" t="n">
        <x:f>'Evaluation Plan'!O42</x:f>
        <x:v>14</x:v>
      </x:c>
      <x:c r="P42" s="7" t="str">
        <x:f>'Evaluation Plan'!P42</x:f>
        <x:v>Reset only the far candidate to P3. Keep the full scene exact; replace the relational instruction with the target's direct name.</x:v>
      </x:c>
      <x:c r="Q42" s="7" t="str">
        <x:f>'Evaluation Plan'!Q42</x:f>
        <x:v>This is a true endpoint-matched manipulation control: scene, target identity, start pose and required trajectory match the furthest trial.</x:v>
      </x:c>
      <x:c r="R42" s="7" t="str">
        <x:f>IF(ISBLANK('Evaluation Plan'!R42),"",'Evaluation Plan'!R42)</x:f>
      </x:c>
    </x:row>
    <x:row r="43" ht="66" customHeight="1">
      <x:c r="A43" s="8" t="str">
        <x:v>Not collected</x:v>
      </x:c>
      <x:c r="B43" s="8" t="n">
        <x:f>'Evaluation Plan'!B43</x:f>
        <x:v>41</x:v>
      </x:c>
      <x:c r="C43" s="7" t="str">
        <x:f>'Evaluation Plan'!C43</x:f>
        <x:v>Set the green pen inside the bowl.</x:v>
      </x:c>
      <x:c r="D43" s="7" t="str">
        <x:f>'Evaluation Plan'!D43</x:f>
        <x:v>P1 crushed Coke can at R2 (5 cm left of center) [REFERENCE]; P2 yellow pen with 6 cm edge gap in front of P1 [CLOSE CANDIDATE]; P3 green pen with 20 cm edge gap behind P1 [FAR CANDIDATE]; P4 green pencil sharpener with 14 cm edge gap to the left of P1 [DISTRACTOR]</x:v>
      </x:c>
      <x:c r="E43" s="8" t="n">
        <x:f>IF(ISBLANK('Evaluation Plan'!E43),"",'Evaluation Plan'!E43)</x:f>
        <x:v>40</x:v>
      </x:c>
      <x:c r="F43" s="8" t="str">
        <x:f>'Evaluation Plan'!F43</x:f>
        <x:v>green pen</x:v>
      </x:c>
      <x:c r="G43" s="7"/>
      <x:c r="H43" s="8" t="str">
        <x:f>'Evaluation Plan'!H43</x:f>
        <x:v>Language robustness</x:v>
      </x:c>
      <x:c r="I43" s="8" t="str">
        <x:f>'Evaluation Plan'!I43</x:f>
        <x:v>RD-CF07B</x:v>
      </x:c>
      <x:c r="J43" s="8" t="str">
        <x:f>'Evaluation Plan'!J43</x:f>
        <x:v>RD-CF07</x:v>
      </x:c>
      <x:c r="K43" s="8" t="str">
        <x:f>'Evaluation Plan'!K43</x:f>
        <x:v>pen</x:v>
      </x:c>
      <x:c r="L43" s="8" t="str">
        <x:f>'Evaluation Plan'!L43</x:f>
        <x:v>direct-name paraphrase</x:v>
      </x:c>
      <x:c r="M43" s="8" t="n">
        <x:f>'Evaluation Plan'!M43</x:f>
        <x:v>4</x:v>
      </x:c>
      <x:c r="N43" s="8" t="str">
        <x:f>'Evaluation Plan'!N43</x:f>
        <x:v>3 — Exact-scene control paraphrase — Paraphrase of direct-name matched control</x:v>
      </x:c>
      <x:c r="O43" s="8" t="n">
        <x:f>'Evaluation Plan'!O43</x:f>
        <x:v>14</x:v>
      </x:c>
      <x:c r="P43" s="7" t="str">
        <x:f>'Evaluation Plan'!P43</x:f>
        <x:v>Reset only the far candidate to P3; change only the direct-name prompt wording.</x:v>
      </x:c>
      <x:c r="Q43" s="7" t="str">
        <x:f>'Evaluation Plan'!Q43</x:f>
        <x:v>Exact-scene language comparison for the endpoint-matched skill control.</x:v>
      </x:c>
      <x:c r="R43" s="7" t="str">
        <x:f>IF(ISBLANK('Evaluation Plan'!R43),"",'Evaluation Plan'!R43)</x:f>
      </x:c>
    </x:row>
    <x:row r="44" ht="66" customHeight="1">
      <x:c r="A44" s="9" t="str">
        <x:v>Not collected</x:v>
      </x:c>
      <x:c r="B44" s="9" t="n">
        <x:f>'Evaluation Plan'!B44</x:f>
        <x:v>42</x:v>
      </x:c>
      <x:c r="C44" s="10" t="str">
        <x:f>'Evaluation Plan'!C44</x:f>
        <x:v>Pick up the airplane toy furthest from the yellow pen and place it in the bowl.</x:v>
      </x:c>
      <x:c r="D44" s="10" t="str">
        <x:f>'Evaluation Plan'!D44</x:f>
        <x:v>P1 yellow pen at R3 (5 cm right of center) [REFERENCE]; P2 airplane toy without propellers with 6 cm edge gap behind P1 [CLOSE CANDIDATE]; P3 airplane toy with propellers with 20 cm edge gap in front of P1 [FAR CANDIDATE]; P4 green pencil sharpener with 14 cm edge gap to the right of P1 [DISTRACTOR]</x:v>
      </x:c>
      <x:c r="E44" s="9" t="str">
        <x:f>IF(ISBLANK('Evaluation Plan'!E44),"",'Evaluation Plan'!E44)</x:f>
      </x:c>
      <x:c r="F44" s="9" t="str">
        <x:f>'Evaluation Plan'!F44</x:f>
        <x:v>airplane toy with propellers</x:v>
      </x:c>
      <x:c r="G44" s="10"/>
      <x:c r="H44" s="9" t="str">
        <x:f>'Evaluation Plan'!H44</x:f>
        <x:v>Concept/compositional transfer</x:v>
      </x:c>
      <x:c r="I44" s="9" t="str">
        <x:f>'Evaluation Plan'!I44</x:f>
        <x:v>RD-CF08A</x:v>
      </x:c>
      <x:c r="J44" s="9" t="str">
        <x:f>'Evaluation Plan'!J44</x:f>
        <x:v>RD-CF08</x:v>
      </x:c>
      <x:c r="K44" s="9" t="str">
        <x:f>'Evaluation Plan'!K44</x:f>
        <x:v>airplane toy</x:v>
      </x:c>
      <x:c r="L44" s="9" t="str">
        <x:f>'Evaluation Plan'!L44</x:f>
        <x:v>furthest</x:v>
      </x:c>
      <x:c r="M44" s="9" t="n">
        <x:f>'Evaluation Plan'!M44</x:f>
        <x:v>4</x:v>
      </x:c>
      <x:c r="N44" s="9" t="str">
        <x:f>'Evaluation Plan'!N44</x:f>
        <x:v>1 — Canonical transfer — Held-out furthest concept with same-category candidates</x:v>
      </x:c>
      <x:c r="O44" s="9" t="n">
        <x:f>'Evaluation Plan'!O44</x:f>
        <x:v>15</x:v>
      </x:c>
      <x:c r="P44" s="10" t="str">
        <x:f>'Evaluation Plan'!P44</x:f>
        <x:v>Build counterfactual scene A and save a first-frame filename.</x:v>
      </x:c>
      <x:c r="Q44" s="10" t="str">
        <x:f>'Evaluation Plan'!Q44</x:f>
        <x:v>Furthest/farthest language is absent from fine-tuning. The A/B scene pair swaps which physical identity is far, preventing identity preference from solving both.</x:v>
      </x:c>
      <x:c r="R44" s="10" t="str">
        <x:f>IF(ISBLANK('Evaluation Plan'!R44),"",'Evaluation Plan'!R44)</x:f>
      </x:c>
    </x:row>
    <x:row r="45" ht="66" customHeight="1">
      <x:c r="A45" s="8" t="str">
        <x:v>Not collected</x:v>
      </x:c>
      <x:c r="B45" s="8" t="n">
        <x:f>'Evaluation Plan'!B45</x:f>
        <x:v>43</x:v>
      </x:c>
      <x:c r="C45" s="7" t="str">
        <x:f>'Evaluation Plan'!C45</x:f>
        <x:v>Pick up the airplane toy with propellers and place it in the bowl.</x:v>
      </x:c>
      <x:c r="D45" s="7" t="str">
        <x:f>'Evaluation Plan'!D45</x:f>
        <x:v>P1 yellow pen at R3 (5 cm right of center) [REFERENCE]; P2 airplane toy without propellers with 6 cm edge gap behind P1 [CLOSE CANDIDATE]; P3 airplane toy with propellers with 20 cm edge gap in front of P1 [FAR CANDIDATE]; P4 green pencil sharpener with 14 cm edge gap to the right of P1 [DISTRACTOR]</x:v>
      </x:c>
      <x:c r="E45" s="8" t="n">
        <x:f>IF(ISBLANK('Evaluation Plan'!E45),"",'Evaluation Plan'!E45)</x:f>
        <x:v>42</x:v>
      </x:c>
      <x:c r="F45" s="8" t="str">
        <x:f>'Evaluation Plan'!F45</x:f>
        <x:v>airplane toy with propellers</x:v>
      </x:c>
      <x:c r="G45" s="7"/>
      <x:c r="H45" s="8" t="str">
        <x:f>'Evaluation Plan'!H45</x:f>
        <x:v>Matched manipulation control</x:v>
      </x:c>
      <x:c r="I45" s="8" t="str">
        <x:f>'Evaluation Plan'!I45</x:f>
        <x:v>RD-CF08A</x:v>
      </x:c>
      <x:c r="J45" s="8" t="str">
        <x:f>'Evaluation Plan'!J45</x:f>
        <x:v>RD-CF08</x:v>
      </x:c>
      <x:c r="K45" s="8" t="str">
        <x:f>'Evaluation Plan'!K45</x:f>
        <x:v>airplane toy</x:v>
      </x:c>
      <x:c r="L45" s="8" t="str">
        <x:f>'Evaluation Plan'!L45</x:f>
        <x:v>direct name</x:v>
      </x:c>
      <x:c r="M45" s="8" t="n">
        <x:f>'Evaluation Plan'!M45</x:f>
        <x:v>4</x:v>
      </x:c>
      <x:c r="N45" s="8" t="str">
        <x:f>'Evaluation Plan'!N45</x:f>
        <x:v>2 — Matched control — Direct-name control on identical target and trajectory</x:v>
      </x:c>
      <x:c r="O45" s="8" t="n">
        <x:f>'Evaluation Plan'!O45</x:f>
        <x:v>15</x:v>
      </x:c>
      <x:c r="P45" s="7" t="str">
        <x:f>'Evaluation Plan'!P45</x:f>
        <x:v>Reset only the far candidate to P3. Keep the full scene exact; replace the relational instruction with the target's direct name.</x:v>
      </x:c>
      <x:c r="Q45" s="7" t="str">
        <x:f>'Evaluation Plan'!Q45</x:f>
        <x:v>This is a true endpoint-matched manipulation control: scene, target identity, start pose and required trajectory match the furthest trial.</x:v>
      </x:c>
      <x:c r="R45" s="7" t="str">
        <x:f>IF(ISBLANK('Evaluation Plan'!R45),"",'Evaluation Plan'!R45)</x:f>
      </x:c>
    </x:row>
    <x:row r="46" ht="66" customHeight="1">
      <x:c r="A46" s="8" t="str">
        <x:v>Not collected</x:v>
      </x:c>
      <x:c r="B46" s="8" t="n">
        <x:f>'Evaluation Plan'!B46</x:f>
        <x:v>44</x:v>
      </x:c>
      <x:c r="C46" s="7" t="str">
        <x:f>'Evaluation Plan'!C46</x:f>
        <x:v>Lift the airplane toy with propellers and place it in the bowl.</x:v>
      </x:c>
      <x:c r="D46" s="7" t="str">
        <x:f>'Evaluation Plan'!D46</x:f>
        <x:v>P1 yellow pen at R3 (5 cm right of center) [REFERENCE]; P2 airplane toy without propellers with 6 cm edge gap behind P1 [CLOSE CANDIDATE]; P3 airplane toy with propellers with 20 cm edge gap in front of P1 [FAR CANDIDATE]; P4 green pencil sharpener with 14 cm edge gap to the right of P1 [DISTRACTOR]</x:v>
      </x:c>
      <x:c r="E46" s="8" t="n">
        <x:f>IF(ISBLANK('Evaluation Plan'!E46),"",'Evaluation Plan'!E46)</x:f>
        <x:v>43</x:v>
      </x:c>
      <x:c r="F46" s="8" t="str">
        <x:f>'Evaluation Plan'!F46</x:f>
        <x:v>airplane toy with propellers</x:v>
      </x:c>
      <x:c r="G46" s="7"/>
      <x:c r="H46" s="8" t="str">
        <x:f>'Evaluation Plan'!H46</x:f>
        <x:v>Language robustness</x:v>
      </x:c>
      <x:c r="I46" s="8" t="str">
        <x:f>'Evaluation Plan'!I46</x:f>
        <x:v>RD-CF08A</x:v>
      </x:c>
      <x:c r="J46" s="8" t="str">
        <x:f>'Evaluation Plan'!J46</x:f>
        <x:v>RD-CF08</x:v>
      </x:c>
      <x:c r="K46" s="8" t="str">
        <x:f>'Evaluation Plan'!K46</x:f>
        <x:v>airplane toy</x:v>
      </x:c>
      <x:c r="L46" s="8" t="str">
        <x:f>'Evaluation Plan'!L46</x:f>
        <x:v>direct-name paraphrase</x:v>
      </x:c>
      <x:c r="M46" s="8" t="n">
        <x:f>'Evaluation Plan'!M46</x:f>
        <x:v>4</x:v>
      </x:c>
      <x:c r="N46" s="8" t="str">
        <x:f>'Evaluation Plan'!N46</x:f>
        <x:v>3 — Exact-scene control paraphrase — Paraphrase of direct-name matched control</x:v>
      </x:c>
      <x:c r="O46" s="8" t="n">
        <x:f>'Evaluation Plan'!O46</x:f>
        <x:v>15</x:v>
      </x:c>
      <x:c r="P46" s="7" t="str">
        <x:f>'Evaluation Plan'!P46</x:f>
        <x:v>Reset only the far candidate to P3; change only the direct-name prompt wording.</x:v>
      </x:c>
      <x:c r="Q46" s="7" t="str">
        <x:f>'Evaluation Plan'!Q46</x:f>
        <x:v>Exact-scene language comparison for the endpoint-matched skill control.</x:v>
      </x:c>
      <x:c r="R46" s="7" t="str">
        <x:f>IF(ISBLANK('Evaluation Plan'!R46),"",'Evaluation Plan'!R46)</x:f>
      </x:c>
    </x:row>
    <x:row r="47" ht="66" customHeight="1">
      <x:c r="A47" s="9" t="str">
        <x:v>Not collected</x:v>
      </x:c>
      <x:c r="B47" s="9" t="n">
        <x:f>'Evaluation Plan'!B47</x:f>
        <x:v>45</x:v>
      </x:c>
      <x:c r="C47" s="10" t="str">
        <x:f>'Evaluation Plan'!C47</x:f>
        <x:v>Pick up the airplane toy furthest from the yellow pen and place it in the bowl.</x:v>
      </x:c>
      <x:c r="D47" s="10" t="str">
        <x:f>'Evaluation Plan'!D47</x:f>
        <x:v>P1 yellow pen at R3 (5 cm right of center) [REFERENCE]; P2 airplane toy with propellers with 6 cm edge gap behind P1 [CLOSE CANDIDATE]; P3 airplane toy without propellers with 20 cm edge gap in front of P1 [FAR CANDIDATE]; P4 green pencil sharpener with 14 cm edge gap to the right of P1 [DISTRACTOR]</x:v>
      </x:c>
      <x:c r="E47" s="9" t="str">
        <x:f>IF(ISBLANK('Evaluation Plan'!E47),"",'Evaluation Plan'!E47)</x:f>
      </x:c>
      <x:c r="F47" s="9" t="str">
        <x:f>'Evaluation Plan'!F47</x:f>
        <x:v>airplane toy without propellers</x:v>
      </x:c>
      <x:c r="G47" s="10"/>
      <x:c r="H47" s="9" t="str">
        <x:f>'Evaluation Plan'!H47</x:f>
        <x:v>Concept/compositional transfer</x:v>
      </x:c>
      <x:c r="I47" s="9" t="str">
        <x:f>'Evaluation Plan'!I47</x:f>
        <x:v>RD-CF08B</x:v>
      </x:c>
      <x:c r="J47" s="9" t="str">
        <x:f>'Evaluation Plan'!J47</x:f>
        <x:v>RD-CF08</x:v>
      </x:c>
      <x:c r="K47" s="9" t="str">
        <x:f>'Evaluation Plan'!K47</x:f>
        <x:v>airplane toy</x:v>
      </x:c>
      <x:c r="L47" s="9" t="str">
        <x:f>'Evaluation Plan'!L47</x:f>
        <x:v>furthest</x:v>
      </x:c>
      <x:c r="M47" s="9" t="n">
        <x:f>'Evaluation Plan'!M47</x:f>
        <x:v>4</x:v>
      </x:c>
      <x:c r="N47" s="9" t="str">
        <x:f>'Evaluation Plan'!N47</x:f>
        <x:v>1 — Canonical transfer — Held-out furthest concept with same-category candidates</x:v>
      </x:c>
      <x:c r="O47" s="9" t="n">
        <x:f>'Evaluation Plan'!O47</x:f>
        <x:v>16</x:v>
      </x:c>
      <x:c r="P47" s="10" t="str">
        <x:f>'Evaluation Plan'!P47</x:f>
        <x:v>From scene A, swap only the P2/P3 candidate identities; keep reference, distractors, camera and distances fixed. Save the new first frame.</x:v>
      </x:c>
      <x:c r="Q47" s="10" t="str">
        <x:f>'Evaluation Plan'!Q47</x:f>
        <x:v>Furthest/farthest language is absent from fine-tuning. The A/B scene pair swaps which physical identity is far, preventing identity preference from solving both.</x:v>
      </x:c>
      <x:c r="R47" s="10" t="str">
        <x:f>IF(ISBLANK('Evaluation Plan'!R47),"",'Evaluation Plan'!R47)</x:f>
      </x:c>
    </x:row>
    <x:row r="48" ht="66" customHeight="1">
      <x:c r="A48" s="8" t="str">
        <x:v>Not collected</x:v>
      </x:c>
      <x:c r="B48" s="8" t="n">
        <x:f>'Evaluation Plan'!B48</x:f>
        <x:v>46</x:v>
      </x:c>
      <x:c r="C48" s="7" t="str">
        <x:f>'Evaluation Plan'!C48</x:f>
        <x:v>Put the airplane toy without propellers in the bowl.</x:v>
      </x:c>
      <x:c r="D48" s="7" t="str">
        <x:f>'Evaluation Plan'!D48</x:f>
        <x:v>P1 yellow pen at R3 (5 cm right of center) [REFERENCE]; P2 airplane toy with propellers with 6 cm edge gap behind P1 [CLOSE CANDIDATE]; P3 airplane toy without propellers with 20 cm edge gap in front of P1 [FAR CANDIDATE]; P4 green pencil sharpener with 14 cm edge gap to the right of P1 [DISTRACTOR]</x:v>
      </x:c>
      <x:c r="E48" s="8" t="n">
        <x:f>IF(ISBLANK('Evaluation Plan'!E48),"",'Evaluation Plan'!E48)</x:f>
        <x:v>45</x:v>
      </x:c>
      <x:c r="F48" s="8" t="str">
        <x:f>'Evaluation Plan'!F48</x:f>
        <x:v>airplane toy without propellers</x:v>
      </x:c>
      <x:c r="G48" s="7"/>
      <x:c r="H48" s="8" t="str">
        <x:f>'Evaluation Plan'!H48</x:f>
        <x:v>Matched manipulation control</x:v>
      </x:c>
      <x:c r="I48" s="8" t="str">
        <x:f>'Evaluation Plan'!I48</x:f>
        <x:v>RD-CF08B</x:v>
      </x:c>
      <x:c r="J48" s="8" t="str">
        <x:f>'Evaluation Plan'!J48</x:f>
        <x:v>RD-CF08</x:v>
      </x:c>
      <x:c r="K48" s="8" t="str">
        <x:f>'Evaluation Plan'!K48</x:f>
        <x:v>airplane toy</x:v>
      </x:c>
      <x:c r="L48" s="8" t="str">
        <x:f>'Evaluation Plan'!L48</x:f>
        <x:v>direct name</x:v>
      </x:c>
      <x:c r="M48" s="8" t="n">
        <x:f>'Evaluation Plan'!M48</x:f>
        <x:v>4</x:v>
      </x:c>
      <x:c r="N48" s="8" t="str">
        <x:f>'Evaluation Plan'!N48</x:f>
        <x:v>2 — Matched control — Direct-name control on identical target and trajectory</x:v>
      </x:c>
      <x:c r="O48" s="8" t="n">
        <x:f>'Evaluation Plan'!O48</x:f>
        <x:v>16</x:v>
      </x:c>
      <x:c r="P48" s="7" t="str">
        <x:f>'Evaluation Plan'!P48</x:f>
        <x:v>Reset only the far candidate to P3. Keep the full scene exact; replace the relational instruction with the target's direct name.</x:v>
      </x:c>
      <x:c r="Q48" s="7" t="str">
        <x:f>'Evaluation Plan'!Q48</x:f>
        <x:v>This is a true endpoint-matched manipulation control: scene, target identity, start pose and required trajectory match the furthest trial.</x:v>
      </x:c>
      <x:c r="R48" s="7" t="str">
        <x:f>IF(ISBLANK('Evaluation Plan'!R48),"",'Evaluation Plan'!R48)</x:f>
      </x:c>
    </x:row>
    <x:row r="49" ht="66" customHeight="1">
      <x:c r="A49" s="8" t="str">
        <x:v>Not collected</x:v>
      </x:c>
      <x:c r="B49" s="8" t="n">
        <x:f>'Evaluation Plan'!B49</x:f>
        <x:v>47</x:v>
      </x:c>
      <x:c r="C49" s="7" t="str">
        <x:f>'Evaluation Plan'!C49</x:f>
        <x:v>Take the airplane toy without propellers and set it in the bowl.</x:v>
      </x:c>
      <x:c r="D49" s="7" t="str">
        <x:f>'Evaluation Plan'!D49</x:f>
        <x:v>P1 yellow pen at R3 (5 cm right of center) [REFERENCE]; P2 airplane toy with propellers with 6 cm edge gap behind P1 [CLOSE CANDIDATE]; P3 airplane toy without propellers with 20 cm edge gap in front of P1 [FAR CANDIDATE]; P4 green pencil sharpener with 14 cm edge gap to the right of P1 [DISTRACTOR]</x:v>
      </x:c>
      <x:c r="E49" s="8" t="n">
        <x:f>IF(ISBLANK('Evaluation Plan'!E49),"",'Evaluation Plan'!E49)</x:f>
        <x:v>46</x:v>
      </x:c>
      <x:c r="F49" s="8" t="str">
        <x:f>'Evaluation Plan'!F49</x:f>
        <x:v>airplane toy without propellers</x:v>
      </x:c>
      <x:c r="G49" s="7"/>
      <x:c r="H49" s="8" t="str">
        <x:f>'Evaluation Plan'!H49</x:f>
        <x:v>Language robustness</x:v>
      </x:c>
      <x:c r="I49" s="8" t="str">
        <x:f>'Evaluation Plan'!I49</x:f>
        <x:v>RD-CF08B</x:v>
      </x:c>
      <x:c r="J49" s="8" t="str">
        <x:f>'Evaluation Plan'!J49</x:f>
        <x:v>RD-CF08</x:v>
      </x:c>
      <x:c r="K49" s="8" t="str">
        <x:f>'Evaluation Plan'!K49</x:f>
        <x:v>airplane toy</x:v>
      </x:c>
      <x:c r="L49" s="8" t="str">
        <x:f>'Evaluation Plan'!L49</x:f>
        <x:v>direct-name paraphrase</x:v>
      </x:c>
      <x:c r="M49" s="8" t="n">
        <x:f>'Evaluation Plan'!M49</x:f>
        <x:v>4</x:v>
      </x:c>
      <x:c r="N49" s="8" t="str">
        <x:f>'Evaluation Plan'!N49</x:f>
        <x:v>3 — Exact-scene control paraphrase — Paraphrase of direct-name matched control</x:v>
      </x:c>
      <x:c r="O49" s="8" t="n">
        <x:f>'Evaluation Plan'!O49</x:f>
        <x:v>16</x:v>
      </x:c>
      <x:c r="P49" s="7" t="str">
        <x:f>'Evaluation Plan'!P49</x:f>
        <x:v>Reset only the far candidate to P3; change only the direct-name prompt wording.</x:v>
      </x:c>
      <x:c r="Q49" s="7" t="str">
        <x:f>'Evaluation Plan'!Q49</x:f>
        <x:v>Exact-scene language comparison for the endpoint-matched skill control.</x:v>
      </x:c>
      <x:c r="R49" s="7" t="str">
        <x:f>IF(ISBLANK('Evaluation Plan'!R49),"",'Evaluation Plan'!R49)</x:f>
      </x:c>
    </x:row>
    <x:row r="50" ht="66" customHeight="1">
      <x:c r="A50" s="9" t="str">
        <x:v>Not collected</x:v>
      </x:c>
      <x:c r="B50" s="9" t="n">
        <x:f>'Evaluation Plan'!B50</x:f>
        <x:v>48</x:v>
      </x:c>
      <x:c r="C50" s="10" t="str">
        <x:f>'Evaluation Plan'!C50</x:f>
        <x:v>Pick up the crushed soda can furthest from the green pencil sharpener and place it in the bowl.</x:v>
      </x:c>
      <x:c r="D50" s="10" t="str">
        <x:f>'Evaluation Plan'!D50</x:f>
        <x:v>P1 green pencil sharpener at R4 (5 cm toward the robot from center) [REFERENCE]; P2 crushed Coke can with 6 cm edge gap to the left of P1 [CLOSE CANDIDATE]; P3 crushed Pepsi can with 20 cm edge gap to the right of P1 [FAR CANDIDATE]; P4 airplane toy with propellers with 14 cm edge gap in front of P1 [DISTRACTOR]</x:v>
      </x:c>
      <x:c r="E50" s="9" t="str">
        <x:f>IF(ISBLANK('Evaluation Plan'!E50),"",'Evaluation Plan'!E50)</x:f>
      </x:c>
      <x:c r="F50" s="9" t="str">
        <x:f>'Evaluation Plan'!F50</x:f>
        <x:v>crushed Pepsi can</x:v>
      </x:c>
      <x:c r="G50" s="10"/>
      <x:c r="H50" s="9" t="str">
        <x:f>'Evaluation Plan'!H50</x:f>
        <x:v>Concept/compositional transfer</x:v>
      </x:c>
      <x:c r="I50" s="9" t="str">
        <x:f>'Evaluation Plan'!I50</x:f>
        <x:v>RD-CF09A</x:v>
      </x:c>
      <x:c r="J50" s="9" t="str">
        <x:f>'Evaluation Plan'!J50</x:f>
        <x:v>RD-CF09</x:v>
      </x:c>
      <x:c r="K50" s="9" t="str">
        <x:f>'Evaluation Plan'!K50</x:f>
        <x:v>crushed soda can</x:v>
      </x:c>
      <x:c r="L50" s="9" t="str">
        <x:f>'Evaluation Plan'!L50</x:f>
        <x:v>furthest</x:v>
      </x:c>
      <x:c r="M50" s="9" t="n">
        <x:f>'Evaluation Plan'!M50</x:f>
        <x:v>4</x:v>
      </x:c>
      <x:c r="N50" s="9" t="str">
        <x:f>'Evaluation Plan'!N50</x:f>
        <x:v>1 — Canonical transfer — Held-out furthest concept with same-category candidates</x:v>
      </x:c>
      <x:c r="O50" s="9" t="n">
        <x:f>'Evaluation Plan'!O50</x:f>
        <x:v>17</x:v>
      </x:c>
      <x:c r="P50" s="10" t="str">
        <x:f>'Evaluation Plan'!P50</x:f>
        <x:v>Build counterfactual scene A and save a first-frame filename.</x:v>
      </x:c>
      <x:c r="Q50" s="10" t="str">
        <x:f>'Evaluation Plan'!Q50</x:f>
        <x:v>Furthest/farthest language is absent from fine-tuning. The A/B scene pair swaps which physical identity is far, preventing identity preference from solving both.</x:v>
      </x:c>
      <x:c r="R50" s="10" t="str">
        <x:f>IF(ISBLANK('Evaluation Plan'!R50),"",'Evaluation Plan'!R50)</x:f>
      </x:c>
    </x:row>
    <x:row r="51" ht="66" customHeight="1">
      <x:c r="A51" s="8" t="str">
        <x:v>Not collected</x:v>
      </x:c>
      <x:c r="B51" s="8" t="n">
        <x:f>'Evaluation Plan'!B51</x:f>
        <x:v>49</x:v>
      </x:c>
      <x:c r="C51" s="7" t="str">
        <x:f>'Evaluation Plan'!C51</x:f>
        <x:v>Move the crushed Pepsi can into the bowl.</x:v>
      </x:c>
      <x:c r="D51" s="7" t="str">
        <x:f>'Evaluation Plan'!D51</x:f>
        <x:v>P1 green pencil sharpener at R4 (5 cm toward the robot from center) [REFERENCE]; P2 crushed Coke can with 6 cm edge gap to the left of P1 [CLOSE CANDIDATE]; P3 crushed Pepsi can with 20 cm edge gap to the right of P1 [FAR CANDIDATE]; P4 airplane toy with propellers with 14 cm edge gap in front of P1 [DISTRACTOR]</x:v>
      </x:c>
      <x:c r="E51" s="8" t="n">
        <x:f>IF(ISBLANK('Evaluation Plan'!E51),"",'Evaluation Plan'!E51)</x:f>
        <x:v>48</x:v>
      </x:c>
      <x:c r="F51" s="8" t="str">
        <x:f>'Evaluation Plan'!F51</x:f>
        <x:v>crushed Pepsi can</x:v>
      </x:c>
      <x:c r="G51" s="7"/>
      <x:c r="H51" s="8" t="str">
        <x:f>'Evaluation Plan'!H51</x:f>
        <x:v>Matched manipulation control</x:v>
      </x:c>
      <x:c r="I51" s="8" t="str">
        <x:f>'Evaluation Plan'!I51</x:f>
        <x:v>RD-CF09A</x:v>
      </x:c>
      <x:c r="J51" s="8" t="str">
        <x:f>'Evaluation Plan'!J51</x:f>
        <x:v>RD-CF09</x:v>
      </x:c>
      <x:c r="K51" s="8" t="str">
        <x:f>'Evaluation Plan'!K51</x:f>
        <x:v>crushed soda can</x:v>
      </x:c>
      <x:c r="L51" s="8" t="str">
        <x:f>'Evaluation Plan'!L51</x:f>
        <x:v>direct name</x:v>
      </x:c>
      <x:c r="M51" s="8" t="n">
        <x:f>'Evaluation Plan'!M51</x:f>
        <x:v>4</x:v>
      </x:c>
      <x:c r="N51" s="8" t="str">
        <x:f>'Evaluation Plan'!N51</x:f>
        <x:v>2 — Matched control — Direct-name control on identical target and trajectory</x:v>
      </x:c>
      <x:c r="O51" s="8" t="n">
        <x:f>'Evaluation Plan'!O51</x:f>
        <x:v>17</x:v>
      </x:c>
      <x:c r="P51" s="7" t="str">
        <x:f>'Evaluation Plan'!P51</x:f>
        <x:v>Reset only the far candidate to P3. Keep the full scene exact; replace the relational instruction with the target's direct name.</x:v>
      </x:c>
      <x:c r="Q51" s="7" t="str">
        <x:f>'Evaluation Plan'!Q51</x:f>
        <x:v>This is a true endpoint-matched manipulation control: scene, target identity, start pose and required trajectory match the furthest trial.</x:v>
      </x:c>
      <x:c r="R51" s="7" t="str">
        <x:f>IF(ISBLANK('Evaluation Plan'!R51),"",'Evaluation Plan'!R51)</x:f>
      </x:c>
    </x:row>
    <x:row r="52" ht="66" customHeight="1">
      <x:c r="A52" s="8" t="str">
        <x:v>Not collected</x:v>
      </x:c>
      <x:c r="B52" s="8" t="n">
        <x:f>'Evaluation Plan'!B52</x:f>
        <x:v>50</x:v>
      </x:c>
      <x:c r="C52" s="7" t="str">
        <x:f>'Evaluation Plan'!C52</x:f>
        <x:v>Transfer the crushed Pepsi can into the bowl.</x:v>
      </x:c>
      <x:c r="D52" s="7" t="str">
        <x:f>'Evaluation Plan'!D52</x:f>
        <x:v>P1 green pencil sharpener at R4 (5 cm toward the robot from center) [REFERENCE]; P2 crushed Coke can with 6 cm edge gap to the left of P1 [CLOSE CANDIDATE]; P3 crushed Pepsi can with 20 cm edge gap to the right of P1 [FAR CANDIDATE]; P4 airplane toy with propellers with 14 cm edge gap in front of P1 [DISTRACTOR]</x:v>
      </x:c>
      <x:c r="E52" s="8" t="n">
        <x:f>IF(ISBLANK('Evaluation Plan'!E52),"",'Evaluation Plan'!E52)</x:f>
        <x:v>49</x:v>
      </x:c>
      <x:c r="F52" s="8" t="str">
        <x:f>'Evaluation Plan'!F52</x:f>
        <x:v>crushed Pepsi can</x:v>
      </x:c>
      <x:c r="G52" s="7"/>
      <x:c r="H52" s="8" t="str">
        <x:f>'Evaluation Plan'!H52</x:f>
        <x:v>Language robustness</x:v>
      </x:c>
      <x:c r="I52" s="8" t="str">
        <x:f>'Evaluation Plan'!I52</x:f>
        <x:v>RD-CF09A</x:v>
      </x:c>
      <x:c r="J52" s="8" t="str">
        <x:f>'Evaluation Plan'!J52</x:f>
        <x:v>RD-CF09</x:v>
      </x:c>
      <x:c r="K52" s="8" t="str">
        <x:f>'Evaluation Plan'!K52</x:f>
        <x:v>crushed soda can</x:v>
      </x:c>
      <x:c r="L52" s="8" t="str">
        <x:f>'Evaluation Plan'!L52</x:f>
        <x:v>direct-name paraphrase</x:v>
      </x:c>
      <x:c r="M52" s="8" t="n">
        <x:f>'Evaluation Plan'!M52</x:f>
        <x:v>4</x:v>
      </x:c>
      <x:c r="N52" s="8" t="str">
        <x:f>'Evaluation Plan'!N52</x:f>
        <x:v>3 — Exact-scene control paraphrase — Paraphrase of direct-name matched control</x:v>
      </x:c>
      <x:c r="O52" s="8" t="n">
        <x:f>'Evaluation Plan'!O52</x:f>
        <x:v>17</x:v>
      </x:c>
      <x:c r="P52" s="7" t="str">
        <x:f>'Evaluation Plan'!P52</x:f>
        <x:v>Reset only the far candidate to P3; change only the direct-name prompt wording.</x:v>
      </x:c>
      <x:c r="Q52" s="7" t="str">
        <x:f>'Evaluation Plan'!Q52</x:f>
        <x:v>Exact-scene language comparison for the endpoint-matched skill control.</x:v>
      </x:c>
      <x:c r="R52" s="7" t="str">
        <x:f>IF(ISBLANK('Evaluation Plan'!R52),"",'Evaluation Plan'!R52)</x:f>
      </x:c>
    </x:row>
    <x:row r="53" ht="66" customHeight="1">
      <x:c r="A53" s="9" t="str">
        <x:v>Not collected</x:v>
      </x:c>
      <x:c r="B53" s="9" t="n">
        <x:f>'Evaluation Plan'!B53</x:f>
        <x:v>51</x:v>
      </x:c>
      <x:c r="C53" s="10" t="str">
        <x:f>'Evaluation Plan'!C53</x:f>
        <x:v>Pick up the crushed soda can furthest from the green pencil sharpener and place it in the bowl.</x:v>
      </x:c>
      <x:c r="D53" s="10" t="str">
        <x:f>'Evaluation Plan'!D53</x:f>
        <x:v>P1 green pencil sharpener at R4 (5 cm toward the robot from center) [REFERENCE]; P2 crushed Pepsi can with 6 cm edge gap to the left of P1 [CLOSE CANDIDATE]; P3 crushed Coke can with 20 cm edge gap to the right of P1 [FAR CANDIDATE]; P4 airplane toy with propellers with 14 cm edge gap in front of P1 [DISTRACTOR]</x:v>
      </x:c>
      <x:c r="E53" s="9" t="str">
        <x:f>IF(ISBLANK('Evaluation Plan'!E53),"",'Evaluation Plan'!E53)</x:f>
      </x:c>
      <x:c r="F53" s="9" t="str">
        <x:f>'Evaluation Plan'!F53</x:f>
        <x:v>crushed Coke can</x:v>
      </x:c>
      <x:c r="G53" s="10"/>
      <x:c r="H53" s="9" t="str">
        <x:f>'Evaluation Plan'!H53</x:f>
        <x:v>Concept/compositional transfer</x:v>
      </x:c>
      <x:c r="I53" s="9" t="str">
        <x:f>'Evaluation Plan'!I53</x:f>
        <x:v>RD-CF09B</x:v>
      </x:c>
      <x:c r="J53" s="9" t="str">
        <x:f>'Evaluation Plan'!J53</x:f>
        <x:v>RD-CF09</x:v>
      </x:c>
      <x:c r="K53" s="9" t="str">
        <x:f>'Evaluation Plan'!K53</x:f>
        <x:v>crushed soda can</x:v>
      </x:c>
      <x:c r="L53" s="9" t="str">
        <x:f>'Evaluation Plan'!L53</x:f>
        <x:v>furthest</x:v>
      </x:c>
      <x:c r="M53" s="9" t="n">
        <x:f>'Evaluation Plan'!M53</x:f>
        <x:v>4</x:v>
      </x:c>
      <x:c r="N53" s="9" t="str">
        <x:f>'Evaluation Plan'!N53</x:f>
        <x:v>1 — Canonical transfer — Held-out furthest concept with same-category candidates</x:v>
      </x:c>
      <x:c r="O53" s="9" t="n">
        <x:f>'Evaluation Plan'!O53</x:f>
        <x:v>18</x:v>
      </x:c>
      <x:c r="P53" s="10" t="str">
        <x:f>'Evaluation Plan'!P53</x:f>
        <x:v>From scene A, swap only the P2/P3 candidate identities; keep reference, distractors, camera and distances fixed. Save the new first frame.</x:v>
      </x:c>
      <x:c r="Q53" s="10" t="str">
        <x:f>'Evaluation Plan'!Q53</x:f>
        <x:v>Furthest/farthest language is absent from fine-tuning. The A/B scene pair swaps which physical identity is far, preventing identity preference from solving both.</x:v>
      </x:c>
      <x:c r="R53" s="10" t="str">
        <x:f>IF(ISBLANK('Evaluation Plan'!R53),"",'Evaluation Plan'!R53)</x:f>
      </x:c>
    </x:row>
    <x:row r="54" ht="66" customHeight="1">
      <x:c r="A54" s="8" t="str">
        <x:v>Not collected</x:v>
      </x:c>
      <x:c r="B54" s="8" t="n">
        <x:f>'Evaluation Plan'!B54</x:f>
        <x:v>52</x:v>
      </x:c>
      <x:c r="C54" s="7" t="str">
        <x:f>'Evaluation Plan'!C54</x:f>
        <x:v>Pick up the crushed Coke can and place it in the bowl.</x:v>
      </x:c>
      <x:c r="D54" s="7" t="str">
        <x:f>'Evaluation Plan'!D54</x:f>
        <x:v>P1 green pencil sharpener at R4 (5 cm toward the robot from center) [REFERENCE]; P2 crushed Pepsi can with 6 cm edge gap to the left of P1 [CLOSE CANDIDATE]; P3 crushed Coke can with 20 cm edge gap to the right of P1 [FAR CANDIDATE]; P4 airplane toy with propellers with 14 cm edge gap in front of P1 [DISTRACTOR]</x:v>
      </x:c>
      <x:c r="E54" s="8" t="n">
        <x:f>IF(ISBLANK('Evaluation Plan'!E54),"",'Evaluation Plan'!E54)</x:f>
        <x:v>51</x:v>
      </x:c>
      <x:c r="F54" s="8" t="str">
        <x:f>'Evaluation Plan'!F54</x:f>
        <x:v>crushed Coke can</x:v>
      </x:c>
      <x:c r="G54" s="7"/>
      <x:c r="H54" s="8" t="str">
        <x:f>'Evaluation Plan'!H54</x:f>
        <x:v>Matched manipulation control</x:v>
      </x:c>
      <x:c r="I54" s="8" t="str">
        <x:f>'Evaluation Plan'!I54</x:f>
        <x:v>RD-CF09B</x:v>
      </x:c>
      <x:c r="J54" s="8" t="str">
        <x:f>'Evaluation Plan'!J54</x:f>
        <x:v>RD-CF09</x:v>
      </x:c>
      <x:c r="K54" s="8" t="str">
        <x:f>'Evaluation Plan'!K54</x:f>
        <x:v>crushed soda can</x:v>
      </x:c>
      <x:c r="L54" s="8" t="str">
        <x:f>'Evaluation Plan'!L54</x:f>
        <x:v>direct name</x:v>
      </x:c>
      <x:c r="M54" s="8" t="n">
        <x:f>'Evaluation Plan'!M54</x:f>
        <x:v>4</x:v>
      </x:c>
      <x:c r="N54" s="8" t="str">
        <x:f>'Evaluation Plan'!N54</x:f>
        <x:v>2 — Matched control — Direct-name control on identical target and trajectory</x:v>
      </x:c>
      <x:c r="O54" s="8" t="n">
        <x:f>'Evaluation Plan'!O54</x:f>
        <x:v>18</x:v>
      </x:c>
      <x:c r="P54" s="7" t="str">
        <x:f>'Evaluation Plan'!P54</x:f>
        <x:v>Reset only the far candidate to P3. Keep the full scene exact; replace the relational instruction with the target's direct name.</x:v>
      </x:c>
      <x:c r="Q54" s="7" t="str">
        <x:f>'Evaluation Plan'!Q54</x:f>
        <x:v>This is a true endpoint-matched manipulation control: scene, target identity, start pose and required trajectory match the furthest trial.</x:v>
      </x:c>
      <x:c r="R54" s="7" t="str">
        <x:f>IF(ISBLANK('Evaluation Plan'!R54),"",'Evaluation Plan'!R54)</x:f>
      </x:c>
    </x:row>
    <x:row r="55" ht="66" customHeight="1">
      <x:c r="A55" s="8" t="str">
        <x:v>Not collected</x:v>
      </x:c>
      <x:c r="B55" s="8" t="n">
        <x:f>'Evaluation Plan'!B55</x:f>
        <x:v>53</x:v>
      </x:c>
      <x:c r="C55" s="7" t="str">
        <x:f>'Evaluation Plan'!C55</x:f>
        <x:v>Move the crushed Coke can over to the bowl.</x:v>
      </x:c>
      <x:c r="D55" s="7" t="str">
        <x:f>'Evaluation Plan'!D55</x:f>
        <x:v>P1 green pencil sharpener at R4 (5 cm toward the robot from center) [REFERENCE]; P2 crushed Pepsi can with 6 cm edge gap to the left of P1 [CLOSE CANDIDATE]; P3 crushed Coke can with 20 cm edge gap to the right of P1 [FAR CANDIDATE]; P4 airplane toy with propellers with 14 cm edge gap in front of P1 [DISTRACTOR]</x:v>
      </x:c>
      <x:c r="E55" s="8" t="n">
        <x:f>IF(ISBLANK('Evaluation Plan'!E55),"",'Evaluation Plan'!E55)</x:f>
        <x:v>52</x:v>
      </x:c>
      <x:c r="F55" s="8" t="str">
        <x:f>'Evaluation Plan'!F55</x:f>
        <x:v>crushed Coke can</x:v>
      </x:c>
      <x:c r="G55" s="7"/>
      <x:c r="H55" s="8" t="str">
        <x:f>'Evaluation Plan'!H55</x:f>
        <x:v>Language robustness</x:v>
      </x:c>
      <x:c r="I55" s="8" t="str">
        <x:f>'Evaluation Plan'!I55</x:f>
        <x:v>RD-CF09B</x:v>
      </x:c>
      <x:c r="J55" s="8" t="str">
        <x:f>'Evaluation Plan'!J55</x:f>
        <x:v>RD-CF09</x:v>
      </x:c>
      <x:c r="K55" s="8" t="str">
        <x:f>'Evaluation Plan'!K55</x:f>
        <x:v>crushed soda can</x:v>
      </x:c>
      <x:c r="L55" s="8" t="str">
        <x:f>'Evaluation Plan'!L55</x:f>
        <x:v>direct-name paraphrase</x:v>
      </x:c>
      <x:c r="M55" s="8" t="n">
        <x:f>'Evaluation Plan'!M55</x:f>
        <x:v>4</x:v>
      </x:c>
      <x:c r="N55" s="8" t="str">
        <x:f>'Evaluation Plan'!N55</x:f>
        <x:v>3 — Exact-scene control paraphrase — Paraphrase of direct-name matched control</x:v>
      </x:c>
      <x:c r="O55" s="8" t="n">
        <x:f>'Evaluation Plan'!O55</x:f>
        <x:v>18</x:v>
      </x:c>
      <x:c r="P55" s="7" t="str">
        <x:f>'Evaluation Plan'!P55</x:f>
        <x:v>Reset only the far candidate to P3; change only the direct-name prompt wording.</x:v>
      </x:c>
      <x:c r="Q55" s="7" t="str">
        <x:f>'Evaluation Plan'!Q55</x:f>
        <x:v>Exact-scene language comparison for the endpoint-matched skill control.</x:v>
      </x:c>
      <x:c r="R55" s="7" t="str">
        <x:f>IF(ISBLANK('Evaluation Plan'!R55),"",'Evaluation Plan'!R55)</x:f>
      </x:c>
    </x:row>
    <x:row r="56" ht="66" customHeight="1">
      <x:c r="A56" s="9" t="str">
        <x:v>Not collected</x:v>
      </x:c>
      <x:c r="B56" s="9" t="n">
        <x:f>'Evaluation Plan'!B56</x:f>
        <x:v>54</x:v>
      </x:c>
      <x:c r="C56" s="10" t="str">
        <x:f>'Evaluation Plan'!C56</x:f>
        <x:v>Pick up the pencil sharpener furthest from the crushed Pepsi can and place it in the bowl.</x:v>
      </x:c>
      <x:c r="D56" s="10" t="str">
        <x:f>'Evaluation Plan'!D56</x:f>
        <x:v>P1 crushed Pepsi can at R5 (5 cm away from the robot from center) [REFERENCE]; P2 red pencil sharpener with 6 cm edge gap to the right of P1 [CLOSE CANDIDATE]; P3 green pencil sharpener with 20 cm edge gap to the left of P1 [FAR CANDIDATE]; P4 airplane toy without propellers with 14 cm edge gap behind P1 [DISTRACTOR]</x:v>
      </x:c>
      <x:c r="E56" s="9" t="str">
        <x:f>IF(ISBLANK('Evaluation Plan'!E56),"",'Evaluation Plan'!E56)</x:f>
      </x:c>
      <x:c r="F56" s="9" t="str">
        <x:f>'Evaluation Plan'!F56</x:f>
        <x:v>green pencil sharpener</x:v>
      </x:c>
      <x:c r="G56" s="10"/>
      <x:c r="H56" s="9" t="str">
        <x:f>'Evaluation Plan'!H56</x:f>
        <x:v>Concept/compositional transfer</x:v>
      </x:c>
      <x:c r="I56" s="9" t="str">
        <x:f>'Evaluation Plan'!I56</x:f>
        <x:v>RD-CF10A</x:v>
      </x:c>
      <x:c r="J56" s="9" t="str">
        <x:f>'Evaluation Plan'!J56</x:f>
        <x:v>RD-CF10</x:v>
      </x:c>
      <x:c r="K56" s="9" t="str">
        <x:f>'Evaluation Plan'!K56</x:f>
        <x:v>pencil sharpener</x:v>
      </x:c>
      <x:c r="L56" s="9" t="str">
        <x:f>'Evaluation Plan'!L56</x:f>
        <x:v>furthest</x:v>
      </x:c>
      <x:c r="M56" s="9" t="n">
        <x:f>'Evaluation Plan'!M56</x:f>
        <x:v>4</x:v>
      </x:c>
      <x:c r="N56" s="9" t="str">
        <x:f>'Evaluation Plan'!N56</x:f>
        <x:v>1 — Canonical transfer — Held-out furthest concept with same-category candidates</x:v>
      </x:c>
      <x:c r="O56" s="9" t="n">
        <x:f>'Evaluation Plan'!O56</x:f>
        <x:v>19</x:v>
      </x:c>
      <x:c r="P56" s="10" t="str">
        <x:f>'Evaluation Plan'!P56</x:f>
        <x:v>Build counterfactual scene A and save a first-frame filename.</x:v>
      </x:c>
      <x:c r="Q56" s="10" t="str">
        <x:f>'Evaluation Plan'!Q56</x:f>
        <x:v>Furthest/farthest language is absent from fine-tuning. The A/B scene pair swaps which physical identity is far, preventing identity preference from solving both.</x:v>
      </x:c>
      <x:c r="R56" s="10" t="str">
        <x:f>IF(ISBLANK('Evaluation Plan'!R56),"",'Evaluation Plan'!R56)</x:f>
      </x:c>
    </x:row>
    <x:row r="57" ht="66" customHeight="1">
      <x:c r="A57" s="8" t="str">
        <x:v>Not collected</x:v>
      </x:c>
      <x:c r="B57" s="8" t="n">
        <x:f>'Evaluation Plan'!B57</x:f>
        <x:v>55</x:v>
      </x:c>
      <x:c r="C57" s="7" t="str">
        <x:f>'Evaluation Plan'!C57</x:f>
        <x:v>Put the green pencil sharpener in the bowl.</x:v>
      </x:c>
      <x:c r="D57" s="7" t="str">
        <x:f>'Evaluation Plan'!D57</x:f>
        <x:v>P1 crushed Pepsi can at R5 (5 cm away from the robot from center) [REFERENCE]; P2 red pencil sharpener with 6 cm edge gap to the right of P1 [CLOSE CANDIDATE]; P3 green pencil sharpener with 20 cm edge gap to the left of P1 [FAR CANDIDATE]; P4 airplane toy without propellers with 14 cm edge gap behind P1 [DISTRACTOR]</x:v>
      </x:c>
      <x:c r="E57" s="8" t="n">
        <x:f>IF(ISBLANK('Evaluation Plan'!E57),"",'Evaluation Plan'!E57)</x:f>
        <x:v>54</x:v>
      </x:c>
      <x:c r="F57" s="8" t="str">
        <x:f>'Evaluation Plan'!F57</x:f>
        <x:v>green pencil sharpener</x:v>
      </x:c>
      <x:c r="G57" s="7"/>
      <x:c r="H57" s="8" t="str">
        <x:f>'Evaluation Plan'!H57</x:f>
        <x:v>Matched manipulation control</x:v>
      </x:c>
      <x:c r="I57" s="8" t="str">
        <x:f>'Evaluation Plan'!I57</x:f>
        <x:v>RD-CF10A</x:v>
      </x:c>
      <x:c r="J57" s="8" t="str">
        <x:f>'Evaluation Plan'!J57</x:f>
        <x:v>RD-CF10</x:v>
      </x:c>
      <x:c r="K57" s="8" t="str">
        <x:f>'Evaluation Plan'!K57</x:f>
        <x:v>pencil sharpener</x:v>
      </x:c>
      <x:c r="L57" s="8" t="str">
        <x:f>'Evaluation Plan'!L57</x:f>
        <x:v>direct name</x:v>
      </x:c>
      <x:c r="M57" s="8" t="n">
        <x:f>'Evaluation Plan'!M57</x:f>
        <x:v>4</x:v>
      </x:c>
      <x:c r="N57" s="8" t="str">
        <x:f>'Evaluation Plan'!N57</x:f>
        <x:v>2 — Matched control — Direct-name control on identical target and trajectory</x:v>
      </x:c>
      <x:c r="O57" s="8" t="n">
        <x:f>'Evaluation Plan'!O57</x:f>
        <x:v>19</x:v>
      </x:c>
      <x:c r="P57" s="7" t="str">
        <x:f>'Evaluation Plan'!P57</x:f>
        <x:v>Reset only the far candidate to P3. Keep the full scene exact; replace the relational instruction with the target's direct name.</x:v>
      </x:c>
      <x:c r="Q57" s="7" t="str">
        <x:f>'Evaluation Plan'!Q57</x:f>
        <x:v>This is a true endpoint-matched manipulation control: scene, target identity, start pose and required trajectory match the furthest trial.</x:v>
      </x:c>
      <x:c r="R57" s="7" t="str">
        <x:f>IF(ISBLANK('Evaluation Plan'!R57),"",'Evaluation Plan'!R57)</x:f>
      </x:c>
    </x:row>
    <x:row r="58" ht="66" customHeight="1">
      <x:c r="A58" s="8" t="str">
        <x:v>Not collected</x:v>
      </x:c>
      <x:c r="B58" s="8" t="n">
        <x:f>'Evaluation Plan'!B58</x:f>
        <x:v>56</x:v>
      </x:c>
      <x:c r="C58" s="7" t="str">
        <x:f>'Evaluation Plan'!C58</x:f>
        <x:v>Set the green pencil sharpener inside the bowl.</x:v>
      </x:c>
      <x:c r="D58" s="7" t="str">
        <x:f>'Evaluation Plan'!D58</x:f>
        <x:v>P1 crushed Pepsi can at R5 (5 cm away from the robot from center) [REFERENCE]; P2 red pencil sharpener with 6 cm edge gap to the right of P1 [CLOSE CANDIDATE]; P3 green pencil sharpener with 20 cm edge gap to the left of P1 [FAR CANDIDATE]; P4 airplane toy without propellers with 14 cm edge gap behind P1 [DISTRACTOR]</x:v>
      </x:c>
      <x:c r="E58" s="8" t="n">
        <x:f>IF(ISBLANK('Evaluation Plan'!E58),"",'Evaluation Plan'!E58)</x:f>
        <x:v>55</x:v>
      </x:c>
      <x:c r="F58" s="8" t="str">
        <x:f>'Evaluation Plan'!F58</x:f>
        <x:v>green pencil sharpener</x:v>
      </x:c>
      <x:c r="G58" s="7"/>
      <x:c r="H58" s="8" t="str">
        <x:f>'Evaluation Plan'!H58</x:f>
        <x:v>Language robustness</x:v>
      </x:c>
      <x:c r="I58" s="8" t="str">
        <x:f>'Evaluation Plan'!I58</x:f>
        <x:v>RD-CF10A</x:v>
      </x:c>
      <x:c r="J58" s="8" t="str">
        <x:f>'Evaluation Plan'!J58</x:f>
        <x:v>RD-CF10</x:v>
      </x:c>
      <x:c r="K58" s="8" t="str">
        <x:f>'Evaluation Plan'!K58</x:f>
        <x:v>pencil sharpener</x:v>
      </x:c>
      <x:c r="L58" s="8" t="str">
        <x:f>'Evaluation Plan'!L58</x:f>
        <x:v>direct-name paraphrase</x:v>
      </x:c>
      <x:c r="M58" s="8" t="n">
        <x:f>'Evaluation Plan'!M58</x:f>
        <x:v>4</x:v>
      </x:c>
      <x:c r="N58" s="8" t="str">
        <x:f>'Evaluation Plan'!N58</x:f>
        <x:v>3 — Exact-scene control paraphrase — Paraphrase of direct-name matched control</x:v>
      </x:c>
      <x:c r="O58" s="8" t="n">
        <x:f>'Evaluation Plan'!O58</x:f>
        <x:v>19</x:v>
      </x:c>
      <x:c r="P58" s="7" t="str">
        <x:f>'Evaluation Plan'!P58</x:f>
        <x:v>Reset only the far candidate to P3; change only the direct-name prompt wording.</x:v>
      </x:c>
      <x:c r="Q58" s="7" t="str">
        <x:f>'Evaluation Plan'!Q58</x:f>
        <x:v>Exact-scene language comparison for the endpoint-matched skill control.</x:v>
      </x:c>
      <x:c r="R58" s="7" t="str">
        <x:f>IF(ISBLANK('Evaluation Plan'!R58),"",'Evaluation Plan'!R58)</x:f>
      </x:c>
    </x:row>
    <x:row r="59" ht="66" customHeight="1">
      <x:c r="A59" s="9" t="str">
        <x:v>Not collected</x:v>
      </x:c>
      <x:c r="B59" s="9" t="n">
        <x:f>'Evaluation Plan'!B59</x:f>
        <x:v>57</x:v>
      </x:c>
      <x:c r="C59" s="10" t="str">
        <x:f>'Evaluation Plan'!C59</x:f>
        <x:v>Pick up the pencil sharpener furthest from the crushed Pepsi can and place it in the bowl.</x:v>
      </x:c>
      <x:c r="D59" s="10" t="str">
        <x:f>'Evaluation Plan'!D59</x:f>
        <x:v>P1 crushed Pepsi can at R5 (5 cm away from the robot from center) [REFERENCE]; P2 green pencil sharpener with 6 cm edge gap to the right of P1 [CLOSE CANDIDATE]; P3 red pencil sharpener with 20 cm edge gap to the left of P1 [FAR CANDIDATE]; P4 airplane toy without propellers with 14 cm edge gap behind P1 [DISTRACTOR]</x:v>
      </x:c>
      <x:c r="E59" s="9" t="str">
        <x:f>IF(ISBLANK('Evaluation Plan'!E59),"",'Evaluation Plan'!E59)</x:f>
      </x:c>
      <x:c r="F59" s="9" t="str">
        <x:f>'Evaluation Plan'!F59</x:f>
        <x:v>red pencil sharpener</x:v>
      </x:c>
      <x:c r="G59" s="10"/>
      <x:c r="H59" s="9" t="str">
        <x:f>'Evaluation Plan'!H59</x:f>
        <x:v>Concept/compositional transfer</x:v>
      </x:c>
      <x:c r="I59" s="9" t="str">
        <x:f>'Evaluation Plan'!I59</x:f>
        <x:v>RD-CF10B</x:v>
      </x:c>
      <x:c r="J59" s="9" t="str">
        <x:f>'Evaluation Plan'!J59</x:f>
        <x:v>RD-CF10</x:v>
      </x:c>
      <x:c r="K59" s="9" t="str">
        <x:f>'Evaluation Plan'!K59</x:f>
        <x:v>pencil sharpener</x:v>
      </x:c>
      <x:c r="L59" s="9" t="str">
        <x:f>'Evaluation Plan'!L59</x:f>
        <x:v>furthest</x:v>
      </x:c>
      <x:c r="M59" s="9" t="n">
        <x:f>'Evaluation Plan'!M59</x:f>
        <x:v>4</x:v>
      </x:c>
      <x:c r="N59" s="9" t="str">
        <x:f>'Evaluation Plan'!N59</x:f>
        <x:v>1 — Canonical transfer — Held-out furthest concept with same-category candidates</x:v>
      </x:c>
      <x:c r="O59" s="9" t="n">
        <x:f>'Evaluation Plan'!O59</x:f>
        <x:v>20</x:v>
      </x:c>
      <x:c r="P59" s="10" t="str">
        <x:f>'Evaluation Plan'!P59</x:f>
        <x:v>From scene A, swap only the P2/P3 candidate identities; keep reference, distractors, camera and distances fixed. Save the new first frame.</x:v>
      </x:c>
      <x:c r="Q59" s="10" t="str">
        <x:f>'Evaluation Plan'!Q59</x:f>
        <x:v>Furthest/farthest language is absent from fine-tuning. The A/B scene pair swaps which physical identity is far, preventing identity preference from solving both.</x:v>
      </x:c>
      <x:c r="R59" s="10" t="str">
        <x:f>IF(ISBLANK('Evaluation Plan'!R59),"",'Evaluation Plan'!R59)</x:f>
      </x:c>
    </x:row>
    <x:row r="60" ht="66" customHeight="1">
      <x:c r="A60" s="8" t="str">
        <x:v>Not collected</x:v>
      </x:c>
      <x:c r="B60" s="8" t="n">
        <x:f>'Evaluation Plan'!B60</x:f>
        <x:v>58</x:v>
      </x:c>
      <x:c r="C60" s="7" t="str">
        <x:f>'Evaluation Plan'!C60</x:f>
        <x:v>Move the red pencil sharpener into the bowl.</x:v>
      </x:c>
      <x:c r="D60" s="7" t="str">
        <x:f>'Evaluation Plan'!D60</x:f>
        <x:v>P1 crushed Pepsi can at R5 (5 cm away from the robot from center) [REFERENCE]; P2 green pencil sharpener with 6 cm edge gap to the right of P1 [CLOSE CANDIDATE]; P3 red pencil sharpener with 20 cm edge gap to the left of P1 [FAR CANDIDATE]; P4 airplane toy without propellers with 14 cm edge gap behind P1 [DISTRACTOR]</x:v>
      </x:c>
      <x:c r="E60" s="8" t="n">
        <x:f>IF(ISBLANK('Evaluation Plan'!E60),"",'Evaluation Plan'!E60)</x:f>
        <x:v>57</x:v>
      </x:c>
      <x:c r="F60" s="8" t="str">
        <x:f>'Evaluation Plan'!F60</x:f>
        <x:v>red pencil sharpener</x:v>
      </x:c>
      <x:c r="G60" s="7"/>
      <x:c r="H60" s="8" t="str">
        <x:f>'Evaluation Plan'!H60</x:f>
        <x:v>Matched manipulation control</x:v>
      </x:c>
      <x:c r="I60" s="8" t="str">
        <x:f>'Evaluation Plan'!I60</x:f>
        <x:v>RD-CF10B</x:v>
      </x:c>
      <x:c r="J60" s="8" t="str">
        <x:f>'Evaluation Plan'!J60</x:f>
        <x:v>RD-CF10</x:v>
      </x:c>
      <x:c r="K60" s="8" t="str">
        <x:f>'Evaluation Plan'!K60</x:f>
        <x:v>pencil sharpener</x:v>
      </x:c>
      <x:c r="L60" s="8" t="str">
        <x:f>'Evaluation Plan'!L60</x:f>
        <x:v>direct name</x:v>
      </x:c>
      <x:c r="M60" s="8" t="n">
        <x:f>'Evaluation Plan'!M60</x:f>
        <x:v>4</x:v>
      </x:c>
      <x:c r="N60" s="8" t="str">
        <x:f>'Evaluation Plan'!N60</x:f>
        <x:v>2 — Matched control — Direct-name control on identical target and trajectory</x:v>
      </x:c>
      <x:c r="O60" s="8" t="n">
        <x:f>'Evaluation Plan'!O60</x:f>
        <x:v>20</x:v>
      </x:c>
      <x:c r="P60" s="7" t="str">
        <x:f>'Evaluation Plan'!P60</x:f>
        <x:v>Reset only the far candidate to P3. Keep the full scene exact; replace the relational instruction with the target's direct name.</x:v>
      </x:c>
      <x:c r="Q60" s="7" t="str">
        <x:f>'Evaluation Plan'!Q60</x:f>
        <x:v>This is a true endpoint-matched manipulation control: scene, target identity, start pose and required trajectory match the furthest trial.</x:v>
      </x:c>
      <x:c r="R60" s="7" t="str">
        <x:f>IF(ISBLANK('Evaluation Plan'!R60),"",'Evaluation Plan'!R60)</x:f>
      </x:c>
    </x:row>
    <x:row r="61" ht="66" customHeight="1">
      <x:c r="A61" s="8" t="str">
        <x:v>Not collected</x:v>
      </x:c>
      <x:c r="B61" s="8" t="n">
        <x:f>'Evaluation Plan'!B61</x:f>
        <x:v>59</x:v>
      </x:c>
      <x:c r="C61" s="7" t="str">
        <x:f>'Evaluation Plan'!C61</x:f>
        <x:v>Lift the red pencil sharpener and place it in the bowl.</x:v>
      </x:c>
      <x:c r="D61" s="7" t="str">
        <x:f>'Evaluation Plan'!D61</x:f>
        <x:v>P1 crushed Pepsi can at R5 (5 cm away from the robot from center) [REFERENCE]; P2 green pencil sharpener with 6 cm edge gap to the right of P1 [CLOSE CANDIDATE]; P3 red pencil sharpener with 20 cm edge gap to the left of P1 [FAR CANDIDATE]; P4 airplane toy without propellers with 14 cm edge gap behind P1 [DISTRACTOR]</x:v>
      </x:c>
      <x:c r="E61" s="8" t="n">
        <x:f>IF(ISBLANK('Evaluation Plan'!E61),"",'Evaluation Plan'!E61)</x:f>
        <x:v>58</x:v>
      </x:c>
      <x:c r="F61" s="8" t="str">
        <x:f>'Evaluation Plan'!F61</x:f>
        <x:v>red pencil sharpener</x:v>
      </x:c>
      <x:c r="G61" s="7"/>
      <x:c r="H61" s="8" t="str">
        <x:f>'Evaluation Plan'!H61</x:f>
        <x:v>Language robustness</x:v>
      </x:c>
      <x:c r="I61" s="8" t="str">
        <x:f>'Evaluation Plan'!I61</x:f>
        <x:v>RD-CF10B</x:v>
      </x:c>
      <x:c r="J61" s="8" t="str">
        <x:f>'Evaluation Plan'!J61</x:f>
        <x:v>RD-CF10</x:v>
      </x:c>
      <x:c r="K61" s="8" t="str">
        <x:f>'Evaluation Plan'!K61</x:f>
        <x:v>pencil sharpener</x:v>
      </x:c>
      <x:c r="L61" s="8" t="str">
        <x:f>'Evaluation Plan'!L61</x:f>
        <x:v>direct-name paraphrase</x:v>
      </x:c>
      <x:c r="M61" s="8" t="n">
        <x:f>'Evaluation Plan'!M61</x:f>
        <x:v>4</x:v>
      </x:c>
      <x:c r="N61" s="8" t="str">
        <x:f>'Evaluation Plan'!N61</x:f>
        <x:v>3 — Exact-scene control paraphrase — Paraphrase of direct-name matched control</x:v>
      </x:c>
      <x:c r="O61" s="8" t="n">
        <x:f>'Evaluation Plan'!O61</x:f>
        <x:v>20</x:v>
      </x:c>
      <x:c r="P61" s="7" t="str">
        <x:f>'Evaluation Plan'!P61</x:f>
        <x:v>Reset only the far candidate to P3; change only the direct-name prompt wording.</x:v>
      </x:c>
      <x:c r="Q61" s="7" t="str">
        <x:f>'Evaluation Plan'!Q61</x:f>
        <x:v>Exact-scene language comparison for the endpoint-matched skill control.</x:v>
      </x:c>
      <x:c r="R61" s="7" t="str">
        <x:f>IF(ISBLANK('Evaluation Plan'!R61),"",'Evaluation Plan'!R61)</x:f>
      </x:c>
    </x:row>
    <x:row r="62" ht="66" customHeight="1">
      <x:c r="A62" s="9" t="str">
        <x:v>Not collected</x:v>
      </x:c>
      <x:c r="B62" s="9" t="n">
        <x:f>'Evaluation Plan'!B62</x:f>
        <x:v>60</x:v>
      </x:c>
      <x:c r="C62" s="10" t="str">
        <x:f>'Evaluation Plan'!C62</x:f>
        <x:v>Pick up the pen furthest from the airplane toy with propellers and place it in the bowl.</x:v>
      </x:c>
      <x:c r="D62" s="10" t="str">
        <x:f>'Evaluation Plan'!D62</x:f>
        <x:v>P1 airplane toy with propellers at R1 (table center) [REFERENCE]; P2 green pen with 6 cm edge gap in front of P1 [CLOSE CANDIDATE]; P3 yellow pen with 20 cm edge gap behind P1 [FAR CANDIDATE]</x:v>
      </x:c>
      <x:c r="E62" s="9" t="str">
        <x:f>IF(ISBLANK('Evaluation Plan'!E62),"",'Evaluation Plan'!E62)</x:f>
      </x:c>
      <x:c r="F62" s="9" t="str">
        <x:f>'Evaluation Plan'!F62</x:f>
        <x:v>yellow pen</x:v>
      </x:c>
      <x:c r="G62" s="10"/>
      <x:c r="H62" s="9" t="str">
        <x:f>'Evaluation Plan'!H62</x:f>
        <x:v>Concept/compositional transfer</x:v>
      </x:c>
      <x:c r="I62" s="9" t="str">
        <x:f>'Evaluation Plan'!I62</x:f>
        <x:v>RD-CF11A</x:v>
      </x:c>
      <x:c r="J62" s="9" t="str">
        <x:f>'Evaluation Plan'!J62</x:f>
        <x:v>RD-CF11</x:v>
      </x:c>
      <x:c r="K62" s="9" t="str">
        <x:f>'Evaluation Plan'!K62</x:f>
        <x:v>pen</x:v>
      </x:c>
      <x:c r="L62" s="9" t="str">
        <x:f>'Evaluation Plan'!L62</x:f>
        <x:v>furthest</x:v>
      </x:c>
      <x:c r="M62" s="9" t="n">
        <x:f>'Evaluation Plan'!M62</x:f>
        <x:v>3</x:v>
      </x:c>
      <x:c r="N62" s="9" t="str">
        <x:f>'Evaluation Plan'!N62</x:f>
        <x:v>Additional transfer — Additional held-out furthest counterfactual</x:v>
      </x:c>
      <x:c r="O62" s="9" t="n">
        <x:f>'Evaluation Plan'!O62</x:f>
        <x:v>21</x:v>
      </x:c>
      <x:c r="P62" s="10" t="str">
        <x:f>'Evaluation Plan'!P62</x:f>
        <x:v>Build counterfactual scene A and save a first-frame filename.</x:v>
      </x:c>
      <x:c r="Q62" s="10" t="str">
        <x:f>'Evaluation Plan'!Q62</x:f>
        <x:v>Unpaired primary-endpoint coverage. Each A/B pair reverses the far physical identity with matched geometry.</x:v>
      </x:c>
      <x:c r="R62" s="10" t="str">
        <x:f>IF(ISBLANK('Evaluation Plan'!R62),"",'Evaluation Plan'!R62)</x:f>
      </x:c>
    </x:row>
    <x:row r="63" ht="66" customHeight="1">
      <x:c r="A63" s="8" t="str">
        <x:v>Not collected</x:v>
      </x:c>
      <x:c r="B63" s="8" t="n">
        <x:f>'Evaluation Plan'!B63</x:f>
        <x:v>61</x:v>
      </x:c>
      <x:c r="C63" s="7" t="str">
        <x:f>'Evaluation Plan'!C63</x:f>
        <x:v>Pick up the pen furthest from the airplane toy with propellers and place it in the bowl.</x:v>
      </x:c>
      <x:c r="D63" s="7" t="str">
        <x:f>'Evaluation Plan'!D63</x:f>
        <x:v>P1 airplane toy with propellers at R1 (table center) [REFERENCE]; P2 yellow pen with 6 cm edge gap in front of P1 [CLOSE CANDIDATE]; P3 green pen with 20 cm edge gap behind P1 [FAR CANDIDATE]</x:v>
      </x:c>
      <x:c r="E63" s="8" t="str">
        <x:f>IF(ISBLANK('Evaluation Plan'!E63),"",'Evaluation Plan'!E63)</x:f>
      </x:c>
      <x:c r="F63" s="8" t="str">
        <x:f>'Evaluation Plan'!F63</x:f>
        <x:v>green pen</x:v>
      </x:c>
      <x:c r="G63" s="7"/>
      <x:c r="H63" s="8" t="str">
        <x:f>'Evaluation Plan'!H63</x:f>
        <x:v>Concept/compositional transfer</x:v>
      </x:c>
      <x:c r="I63" s="8" t="str">
        <x:f>'Evaluation Plan'!I63</x:f>
        <x:v>RD-CF11B</x:v>
      </x:c>
      <x:c r="J63" s="8" t="str">
        <x:f>'Evaluation Plan'!J63</x:f>
        <x:v>RD-CF11</x:v>
      </x:c>
      <x:c r="K63" s="8" t="str">
        <x:f>'Evaluation Plan'!K63</x:f>
        <x:v>pen</x:v>
      </x:c>
      <x:c r="L63" s="8" t="str">
        <x:f>'Evaluation Plan'!L63</x:f>
        <x:v>furthest</x:v>
      </x:c>
      <x:c r="M63" s="8" t="n">
        <x:f>'Evaluation Plan'!M63</x:f>
        <x:v>3</x:v>
      </x:c>
      <x:c r="N63" s="8" t="str">
        <x:f>'Evaluation Plan'!N63</x:f>
        <x:v>Additional transfer — Additional held-out furthest counterfactual</x:v>
      </x:c>
      <x:c r="O63" s="8" t="n">
        <x:f>'Evaluation Plan'!O63</x:f>
        <x:v>22</x:v>
      </x:c>
      <x:c r="P63" s="7" t="str">
        <x:f>'Evaluation Plan'!P63</x:f>
        <x:v>Swap only the P2/P3 candidate identities from the preceding A scene; preserve all geometry and other objects.</x:v>
      </x:c>
      <x:c r="Q63" s="7" t="str">
        <x:f>'Evaluation Plan'!Q63</x:f>
        <x:v>Unpaired primary-endpoint coverage. Each A/B pair reverses the far physical identity with matched geometry.</x:v>
      </x:c>
      <x:c r="R63" s="7" t="str">
        <x:f>IF(ISBLANK('Evaluation Plan'!R63),"",'Evaluation Plan'!R63)</x:f>
      </x:c>
    </x:row>
    <x:row r="64" ht="66" customHeight="1">
      <x:c r="A64" s="9" t="str">
        <x:v>Not collected</x:v>
      </x:c>
      <x:c r="B64" s="9" t="n">
        <x:f>'Evaluation Plan'!B64</x:f>
        <x:v>62</x:v>
      </x:c>
      <x:c r="C64" s="10" t="str">
        <x:f>'Evaluation Plan'!C64</x:f>
        <x:v>Pick up the airplane toy furthest from the crushed Pepsi can and place it in the bowl.</x:v>
      </x:c>
      <x:c r="D64" s="10" t="str">
        <x:f>'Evaluation Plan'!D64</x:f>
        <x:v>P1 crushed Pepsi can at R2 (5 cm left of center) [REFERENCE]; P2 airplane toy without propellers with 6 cm edge gap behind P1 [CLOSE CANDIDATE]; P3 airplane toy with propellers with 20 cm edge gap in front of P1 [FAR CANDIDATE]</x:v>
      </x:c>
      <x:c r="E64" s="9" t="str">
        <x:f>IF(ISBLANK('Evaluation Plan'!E64),"",'Evaluation Plan'!E64)</x:f>
      </x:c>
      <x:c r="F64" s="9" t="str">
        <x:f>'Evaluation Plan'!F64</x:f>
        <x:v>airplane toy with propellers</x:v>
      </x:c>
      <x:c r="G64" s="10"/>
      <x:c r="H64" s="9" t="str">
        <x:f>'Evaluation Plan'!H64</x:f>
        <x:v>Concept/compositional transfer</x:v>
      </x:c>
      <x:c r="I64" s="9" t="str">
        <x:f>'Evaluation Plan'!I64</x:f>
        <x:v>RD-CF12A</x:v>
      </x:c>
      <x:c r="J64" s="9" t="str">
        <x:f>'Evaluation Plan'!J64</x:f>
        <x:v>RD-CF12</x:v>
      </x:c>
      <x:c r="K64" s="9" t="str">
        <x:f>'Evaluation Plan'!K64</x:f>
        <x:v>airplane toy</x:v>
      </x:c>
      <x:c r="L64" s="9" t="str">
        <x:f>'Evaluation Plan'!L64</x:f>
        <x:v>furthest</x:v>
      </x:c>
      <x:c r="M64" s="9" t="n">
        <x:f>'Evaluation Plan'!M64</x:f>
        <x:v>3</x:v>
      </x:c>
      <x:c r="N64" s="9" t="str">
        <x:f>'Evaluation Plan'!N64</x:f>
        <x:v>Additional transfer — Additional held-out furthest counterfactual</x:v>
      </x:c>
      <x:c r="O64" s="9" t="n">
        <x:f>'Evaluation Plan'!O64</x:f>
        <x:v>23</x:v>
      </x:c>
      <x:c r="P64" s="10" t="str">
        <x:f>'Evaluation Plan'!P64</x:f>
        <x:v>Build counterfactual scene A and save a first-frame filename.</x:v>
      </x:c>
      <x:c r="Q64" s="10" t="str">
        <x:f>'Evaluation Plan'!Q64</x:f>
        <x:v>Unpaired primary-endpoint coverage. Each A/B pair reverses the far physical identity with matched geometry.</x:v>
      </x:c>
      <x:c r="R64" s="10" t="str">
        <x:f>IF(ISBLANK('Evaluation Plan'!R64),"",'Evaluation Plan'!R64)</x:f>
      </x:c>
    </x:row>
    <x:row r="65" ht="66" customHeight="1">
      <x:c r="A65" s="8" t="str">
        <x:v>Not collected</x:v>
      </x:c>
      <x:c r="B65" s="8" t="n">
        <x:f>'Evaluation Plan'!B65</x:f>
        <x:v>63</x:v>
      </x:c>
      <x:c r="C65" s="7" t="str">
        <x:f>'Evaluation Plan'!C65</x:f>
        <x:v>Pick up the airplane toy furthest from the crushed Pepsi can and place it in the bowl.</x:v>
      </x:c>
      <x:c r="D65" s="7" t="str">
        <x:f>'Evaluation Plan'!D65</x:f>
        <x:v>P1 crushed Pepsi can at R2 (5 cm left of center) [REFERENCE]; P2 airplane toy with propellers with 6 cm edge gap behind P1 [CLOSE CANDIDATE]; P3 airplane toy without propellers with 20 cm edge gap in front of P1 [FAR CANDIDATE]</x:v>
      </x:c>
      <x:c r="E65" s="8" t="str">
        <x:f>IF(ISBLANK('Evaluation Plan'!E65),"",'Evaluation Plan'!E65)</x:f>
      </x:c>
      <x:c r="F65" s="8" t="str">
        <x:f>'Evaluation Plan'!F65</x:f>
        <x:v>airplane toy without propellers</x:v>
      </x:c>
      <x:c r="G65" s="7"/>
      <x:c r="H65" s="8" t="str">
        <x:f>'Evaluation Plan'!H65</x:f>
        <x:v>Concept/compositional transfer</x:v>
      </x:c>
      <x:c r="I65" s="8" t="str">
        <x:f>'Evaluation Plan'!I65</x:f>
        <x:v>RD-CF12B</x:v>
      </x:c>
      <x:c r="J65" s="8" t="str">
        <x:f>'Evaluation Plan'!J65</x:f>
        <x:v>RD-CF12</x:v>
      </x:c>
      <x:c r="K65" s="8" t="str">
        <x:f>'Evaluation Plan'!K65</x:f>
        <x:v>airplane toy</x:v>
      </x:c>
      <x:c r="L65" s="8" t="str">
        <x:f>'Evaluation Plan'!L65</x:f>
        <x:v>furthest</x:v>
      </x:c>
      <x:c r="M65" s="8" t="n">
        <x:f>'Evaluation Plan'!M65</x:f>
        <x:v>3</x:v>
      </x:c>
      <x:c r="N65" s="8" t="str">
        <x:f>'Evaluation Plan'!N65</x:f>
        <x:v>Additional transfer — Additional held-out furthest counterfactual</x:v>
      </x:c>
      <x:c r="O65" s="8" t="n">
        <x:f>'Evaluation Plan'!O65</x:f>
        <x:v>24</x:v>
      </x:c>
      <x:c r="P65" s="7" t="str">
        <x:f>'Evaluation Plan'!P65</x:f>
        <x:v>Swap only the P2/P3 candidate identities from the preceding A scene; preserve all geometry and other objects.</x:v>
      </x:c>
      <x:c r="Q65" s="7" t="str">
        <x:f>'Evaluation Plan'!Q65</x:f>
        <x:v>Unpaired primary-endpoint coverage. Each A/B pair reverses the far physical identity with matched geometry.</x:v>
      </x:c>
      <x:c r="R65" s="7" t="str">
        <x:f>IF(ISBLANK('Evaluation Plan'!R65),"",'Evaluation Plan'!R65)</x:f>
      </x:c>
    </x:row>
    <x:row r="66" ht="66" customHeight="1">
      <x:c r="A66" s="9" t="str">
        <x:v>Not collected</x:v>
      </x:c>
      <x:c r="B66" s="9" t="n">
        <x:f>'Evaluation Plan'!B66</x:f>
        <x:v>64</x:v>
      </x:c>
      <x:c r="C66" s="10" t="str">
        <x:f>'Evaluation Plan'!C66</x:f>
        <x:v>Pick up the crushed soda can furthest from the green pen and place it in the bowl.</x:v>
      </x:c>
      <x:c r="D66" s="10" t="str">
        <x:f>'Evaluation Plan'!D66</x:f>
        <x:v>P1 green pen at R3 (5 cm right of center) [REFERENCE]; P2 crushed Coke can with 6 cm edge gap to the left of P1 [CLOSE CANDIDATE]; P3 crushed Pepsi can with 20 cm edge gap to the right of P1 [FAR CANDIDATE]</x:v>
      </x:c>
      <x:c r="E66" s="9" t="str">
        <x:f>IF(ISBLANK('Evaluation Plan'!E66),"",'Evaluation Plan'!E66)</x:f>
      </x:c>
      <x:c r="F66" s="9" t="str">
        <x:f>'Evaluation Plan'!F66</x:f>
        <x:v>crushed Pepsi can</x:v>
      </x:c>
      <x:c r="G66" s="10"/>
      <x:c r="H66" s="9" t="str">
        <x:f>'Evaluation Plan'!H66</x:f>
        <x:v>Concept/compositional transfer</x:v>
      </x:c>
      <x:c r="I66" s="9" t="str">
        <x:f>'Evaluation Plan'!I66</x:f>
        <x:v>RD-CF13A</x:v>
      </x:c>
      <x:c r="J66" s="9" t="str">
        <x:f>'Evaluation Plan'!J66</x:f>
        <x:v>RD-CF13</x:v>
      </x:c>
      <x:c r="K66" s="9" t="str">
        <x:f>'Evaluation Plan'!K66</x:f>
        <x:v>crushed soda can</x:v>
      </x:c>
      <x:c r="L66" s="9" t="str">
        <x:f>'Evaluation Plan'!L66</x:f>
        <x:v>furthest</x:v>
      </x:c>
      <x:c r="M66" s="9" t="n">
        <x:f>'Evaluation Plan'!M66</x:f>
        <x:v>3</x:v>
      </x:c>
      <x:c r="N66" s="9" t="str">
        <x:f>'Evaluation Plan'!N66</x:f>
        <x:v>Additional transfer — Additional held-out furthest counterfactual</x:v>
      </x:c>
      <x:c r="O66" s="9" t="n">
        <x:f>'Evaluation Plan'!O66</x:f>
        <x:v>25</x:v>
      </x:c>
      <x:c r="P66" s="10" t="str">
        <x:f>'Evaluation Plan'!P66</x:f>
        <x:v>Build counterfactual scene A and save a first-frame filename.</x:v>
      </x:c>
      <x:c r="Q66" s="10" t="str">
        <x:f>'Evaluation Plan'!Q66</x:f>
        <x:v>Unpaired primary-endpoint coverage. Each A/B pair reverses the far physical identity with matched geometry.</x:v>
      </x:c>
      <x:c r="R66" s="10" t="str">
        <x:f>IF(ISBLANK('Evaluation Plan'!R66),"",'Evaluation Plan'!R66)</x:f>
      </x:c>
    </x:row>
    <x:row r="67" ht="66" customHeight="1">
      <x:c r="A67" s="8" t="str">
        <x:v>Not collected</x:v>
      </x:c>
      <x:c r="B67" s="8" t="n">
        <x:f>'Evaluation Plan'!B67</x:f>
        <x:v>65</x:v>
      </x:c>
      <x:c r="C67" s="7" t="str">
        <x:f>'Evaluation Plan'!C67</x:f>
        <x:v>Pick up the crushed soda can furthest from the green pen and place it in the bowl.</x:v>
      </x:c>
      <x:c r="D67" s="7" t="str">
        <x:f>'Evaluation Plan'!D67</x:f>
        <x:v>P1 green pen at R3 (5 cm right of center) [REFERENCE]; P2 crushed Pepsi can with 6 cm edge gap to the left of P1 [CLOSE CANDIDATE]; P3 crushed Coke can with 20 cm edge gap to the right of P1 [FAR CANDIDATE]</x:v>
      </x:c>
      <x:c r="E67" s="8" t="str">
        <x:f>IF(ISBLANK('Evaluation Plan'!E67),"",'Evaluation Plan'!E67)</x:f>
      </x:c>
      <x:c r="F67" s="8" t="str">
        <x:f>'Evaluation Plan'!F67</x:f>
        <x:v>crushed Coke can</x:v>
      </x:c>
      <x:c r="G67" s="7"/>
      <x:c r="H67" s="8" t="str">
        <x:f>'Evaluation Plan'!H67</x:f>
        <x:v>Concept/compositional transfer</x:v>
      </x:c>
      <x:c r="I67" s="8" t="str">
        <x:f>'Evaluation Plan'!I67</x:f>
        <x:v>RD-CF13B</x:v>
      </x:c>
      <x:c r="J67" s="8" t="str">
        <x:f>'Evaluation Plan'!J67</x:f>
        <x:v>RD-CF13</x:v>
      </x:c>
      <x:c r="K67" s="8" t="str">
        <x:f>'Evaluation Plan'!K67</x:f>
        <x:v>crushed soda can</x:v>
      </x:c>
      <x:c r="L67" s="8" t="str">
        <x:f>'Evaluation Plan'!L67</x:f>
        <x:v>furthest</x:v>
      </x:c>
      <x:c r="M67" s="8" t="n">
        <x:f>'Evaluation Plan'!M67</x:f>
        <x:v>3</x:v>
      </x:c>
      <x:c r="N67" s="8" t="str">
        <x:f>'Evaluation Plan'!N67</x:f>
        <x:v>Additional transfer — Additional held-out furthest counterfactual</x:v>
      </x:c>
      <x:c r="O67" s="8" t="n">
        <x:f>'Evaluation Plan'!O67</x:f>
        <x:v>26</x:v>
      </x:c>
      <x:c r="P67" s="7" t="str">
        <x:f>'Evaluation Plan'!P67</x:f>
        <x:v>Swap only the P2/P3 candidate identities from the preceding A scene; preserve all geometry and other objects.</x:v>
      </x:c>
      <x:c r="Q67" s="7" t="str">
        <x:f>'Evaluation Plan'!Q67</x:f>
        <x:v>Unpaired primary-endpoint coverage. Each A/B pair reverses the far physical identity with matched geometry.</x:v>
      </x:c>
      <x:c r="R67" s="7" t="str">
        <x:f>IF(ISBLANK('Evaluation Plan'!R67),"",'Evaluation Plan'!R67)</x:f>
      </x:c>
    </x:row>
    <x:row r="68" ht="66" customHeight="1">
      <x:c r="A68" s="9" t="str">
        <x:v>Not collected</x:v>
      </x:c>
      <x:c r="B68" s="9" t="n">
        <x:f>'Evaluation Plan'!B68</x:f>
        <x:v>66</x:v>
      </x:c>
      <x:c r="C68" s="10" t="str">
        <x:f>'Evaluation Plan'!C68</x:f>
        <x:v>Pick up the pencil sharpener furthest from the yellow pen and place it in the bowl.</x:v>
      </x:c>
      <x:c r="D68" s="10" t="str">
        <x:f>'Evaluation Plan'!D68</x:f>
        <x:v>P1 yellow pen at R4 (5 cm toward the robot from center) [REFERENCE]; P2 red pencil sharpener with 6 cm edge gap to the right of P1 [CLOSE CANDIDATE]; P3 green pencil sharpener with 20 cm edge gap to the left of P1 [FAR CANDIDATE]; P4 airplane toy with propellers with 14 cm edge gap behind P1 [DISTRACTOR]</x:v>
      </x:c>
      <x:c r="E68" s="9" t="str">
        <x:f>IF(ISBLANK('Evaluation Plan'!E68),"",'Evaluation Plan'!E68)</x:f>
      </x:c>
      <x:c r="F68" s="9" t="str">
        <x:f>'Evaluation Plan'!F68</x:f>
        <x:v>green pencil sharpener</x:v>
      </x:c>
      <x:c r="G68" s="10"/>
      <x:c r="H68" s="9" t="str">
        <x:f>'Evaluation Plan'!H68</x:f>
        <x:v>Concept/compositional transfer</x:v>
      </x:c>
      <x:c r="I68" s="9" t="str">
        <x:f>'Evaluation Plan'!I68</x:f>
        <x:v>RD-CF14A</x:v>
      </x:c>
      <x:c r="J68" s="9" t="str">
        <x:f>'Evaluation Plan'!J68</x:f>
        <x:v>RD-CF14</x:v>
      </x:c>
      <x:c r="K68" s="9" t="str">
        <x:f>'Evaluation Plan'!K68</x:f>
        <x:v>pencil sharpener</x:v>
      </x:c>
      <x:c r="L68" s="9" t="str">
        <x:f>'Evaluation Plan'!L68</x:f>
        <x:v>furthest</x:v>
      </x:c>
      <x:c r="M68" s="9" t="n">
        <x:f>'Evaluation Plan'!M68</x:f>
        <x:v>4</x:v>
      </x:c>
      <x:c r="N68" s="9" t="str">
        <x:f>'Evaluation Plan'!N68</x:f>
        <x:v>Additional transfer — Additional held-out furthest counterfactual</x:v>
      </x:c>
      <x:c r="O68" s="9" t="n">
        <x:f>'Evaluation Plan'!O68</x:f>
        <x:v>27</x:v>
      </x:c>
      <x:c r="P68" s="10" t="str">
        <x:f>'Evaluation Plan'!P68</x:f>
        <x:v>Build counterfactual scene A and save a first-frame filename.</x:v>
      </x:c>
      <x:c r="Q68" s="10" t="str">
        <x:f>'Evaluation Plan'!Q68</x:f>
        <x:v>Unpaired primary-endpoint coverage. Each A/B pair reverses the far physical identity with matched geometry.</x:v>
      </x:c>
      <x:c r="R68" s="10" t="str">
        <x:f>IF(ISBLANK('Evaluation Plan'!R68),"",'Evaluation Plan'!R68)</x:f>
      </x:c>
    </x:row>
    <x:row r="69" ht="66" customHeight="1">
      <x:c r="A69" s="8" t="str">
        <x:v>Not collected</x:v>
      </x:c>
      <x:c r="B69" s="8" t="n">
        <x:f>'Evaluation Plan'!B69</x:f>
        <x:v>67</x:v>
      </x:c>
      <x:c r="C69" s="7" t="str">
        <x:f>'Evaluation Plan'!C69</x:f>
        <x:v>Pick up the pencil sharpener furthest from the yellow pen and place it in the bowl.</x:v>
      </x:c>
      <x:c r="D69" s="7" t="str">
        <x:f>'Evaluation Plan'!D69</x:f>
        <x:v>P1 yellow pen at R4 (5 cm toward the robot from center) [REFERENCE]; P2 green pencil sharpener with 6 cm edge gap to the right of P1 [CLOSE CANDIDATE]; P3 red pencil sharpener with 20 cm edge gap to the left of P1 [FAR CANDIDATE]; P4 airplane toy with propellers with 14 cm edge gap behind P1 [DISTRACTOR]</x:v>
      </x:c>
      <x:c r="E69" s="8" t="str">
        <x:f>IF(ISBLANK('Evaluation Plan'!E69),"",'Evaluation Plan'!E69)</x:f>
      </x:c>
      <x:c r="F69" s="8" t="str">
        <x:f>'Evaluation Plan'!F69</x:f>
        <x:v>red pencil sharpener</x:v>
      </x:c>
      <x:c r="G69" s="7"/>
      <x:c r="H69" s="8" t="str">
        <x:f>'Evaluation Plan'!H69</x:f>
        <x:v>Concept/compositional transfer</x:v>
      </x:c>
      <x:c r="I69" s="8" t="str">
        <x:f>'Evaluation Plan'!I69</x:f>
        <x:v>RD-CF14B</x:v>
      </x:c>
      <x:c r="J69" s="8" t="str">
        <x:f>'Evaluation Plan'!J69</x:f>
        <x:v>RD-CF14</x:v>
      </x:c>
      <x:c r="K69" s="8" t="str">
        <x:f>'Evaluation Plan'!K69</x:f>
        <x:v>pencil sharpener</x:v>
      </x:c>
      <x:c r="L69" s="8" t="str">
        <x:f>'Evaluation Plan'!L69</x:f>
        <x:v>furthest</x:v>
      </x:c>
      <x:c r="M69" s="8" t="n">
        <x:f>'Evaluation Plan'!M69</x:f>
        <x:v>4</x:v>
      </x:c>
      <x:c r="N69" s="8" t="str">
        <x:f>'Evaluation Plan'!N69</x:f>
        <x:v>Additional transfer — Additional held-out furthest counterfactual</x:v>
      </x:c>
      <x:c r="O69" s="8" t="n">
        <x:f>'Evaluation Plan'!O69</x:f>
        <x:v>28</x:v>
      </x:c>
      <x:c r="P69" s="7" t="str">
        <x:f>'Evaluation Plan'!P69</x:f>
        <x:v>Swap only the P2/P3 candidate identities from the preceding A scene; preserve all geometry and other objects.</x:v>
      </x:c>
      <x:c r="Q69" s="7" t="str">
        <x:f>'Evaluation Plan'!Q69</x:f>
        <x:v>Unpaired primary-endpoint coverage. Each A/B pair reverses the far physical identity with matched geometry.</x:v>
      </x:c>
      <x:c r="R69" s="7" t="str">
        <x:f>IF(ISBLANK('Evaluation Plan'!R69),"",'Evaluation Plan'!R69)</x:f>
      </x:c>
    </x:row>
    <x:row r="70" ht="66" customHeight="1">
      <x:c r="A70" s="9" t="str">
        <x:v>Not collected</x:v>
      </x:c>
      <x:c r="B70" s="9" t="n">
        <x:f>'Evaluation Plan'!B70</x:f>
        <x:v>68</x:v>
      </x:c>
      <x:c r="C70" s="10" t="str">
        <x:f>'Evaluation Plan'!C70</x:f>
        <x:v>Pick up the pen furthest from the green pencil sharpener and place it in the bowl.</x:v>
      </x:c>
      <x:c r="D70" s="10" t="str">
        <x:f>'Evaluation Plan'!D70</x:f>
        <x:v>P1 green pencil sharpener at R5 (5 cm away from the robot from center) [REFERENCE]; P2 green pen with 6 cm edge gap in front of P1 [CLOSE CANDIDATE]; P3 yellow pen with 20 cm edge gap behind P1 [FAR CANDIDATE]; P4 airplane toy without propellers with 14 cm edge gap to the left of P1 [DISTRACTOR]</x:v>
      </x:c>
      <x:c r="E70" s="9" t="str">
        <x:f>IF(ISBLANK('Evaluation Plan'!E70),"",'Evaluation Plan'!E70)</x:f>
      </x:c>
      <x:c r="F70" s="9" t="str">
        <x:f>'Evaluation Plan'!F70</x:f>
        <x:v>yellow pen</x:v>
      </x:c>
      <x:c r="G70" s="10"/>
      <x:c r="H70" s="9" t="str">
        <x:f>'Evaluation Plan'!H70</x:f>
        <x:v>Concept/compositional transfer</x:v>
      </x:c>
      <x:c r="I70" s="9" t="str">
        <x:f>'Evaluation Plan'!I70</x:f>
        <x:v>RD-CF15A</x:v>
      </x:c>
      <x:c r="J70" s="9" t="str">
        <x:f>'Evaluation Plan'!J70</x:f>
        <x:v>RD-CF15</x:v>
      </x:c>
      <x:c r="K70" s="9" t="str">
        <x:f>'Evaluation Plan'!K70</x:f>
        <x:v>pen</x:v>
      </x:c>
      <x:c r="L70" s="9" t="str">
        <x:f>'Evaluation Plan'!L70</x:f>
        <x:v>furthest</x:v>
      </x:c>
      <x:c r="M70" s="9" t="n">
        <x:f>'Evaluation Plan'!M70</x:f>
        <x:v>4</x:v>
      </x:c>
      <x:c r="N70" s="9" t="str">
        <x:f>'Evaluation Plan'!N70</x:f>
        <x:v>Additional transfer — Additional held-out furthest counterfactual</x:v>
      </x:c>
      <x:c r="O70" s="9" t="n">
        <x:f>'Evaluation Plan'!O70</x:f>
        <x:v>29</x:v>
      </x:c>
      <x:c r="P70" s="10" t="str">
        <x:f>'Evaluation Plan'!P70</x:f>
        <x:v>Build counterfactual scene A and save a first-frame filename.</x:v>
      </x:c>
      <x:c r="Q70" s="10" t="str">
        <x:f>'Evaluation Plan'!Q70</x:f>
        <x:v>Unpaired primary-endpoint coverage. Each A/B pair reverses the far physical identity with matched geometry.</x:v>
      </x:c>
      <x:c r="R70" s="10" t="str">
        <x:f>IF(ISBLANK('Evaluation Plan'!R70),"",'Evaluation Plan'!R70)</x:f>
      </x:c>
    </x:row>
    <x:row r="71" ht="66" customHeight="1">
      <x:c r="A71" s="8" t="str">
        <x:v>Not collected</x:v>
      </x:c>
      <x:c r="B71" s="8" t="n">
        <x:f>'Evaluation Plan'!B71</x:f>
        <x:v>69</x:v>
      </x:c>
      <x:c r="C71" s="7" t="str">
        <x:f>'Evaluation Plan'!C71</x:f>
        <x:v>Pick up the pen furthest from the green pencil sharpener and place it in the bowl.</x:v>
      </x:c>
      <x:c r="D71" s="7" t="str">
        <x:f>'Evaluation Plan'!D71</x:f>
        <x:v>P1 green pencil sharpener at R5 (5 cm away from the robot from center) [REFERENCE]; P2 yellow pen with 6 cm edge gap in front of P1 [CLOSE CANDIDATE]; P3 green pen with 20 cm edge gap behind P1 [FAR CANDIDATE]; P4 airplane toy without propellers with 14 cm edge gap to the left of P1 [DISTRACTOR]</x:v>
      </x:c>
      <x:c r="E71" s="8" t="str">
        <x:f>IF(ISBLANK('Evaluation Plan'!E71),"",'Evaluation Plan'!E71)</x:f>
      </x:c>
      <x:c r="F71" s="8" t="str">
        <x:f>'Evaluation Plan'!F71</x:f>
        <x:v>green pen</x:v>
      </x:c>
      <x:c r="G71" s="7"/>
      <x:c r="H71" s="8" t="str">
        <x:f>'Evaluation Plan'!H71</x:f>
        <x:v>Concept/compositional transfer</x:v>
      </x:c>
      <x:c r="I71" s="8" t="str">
        <x:f>'Evaluation Plan'!I71</x:f>
        <x:v>RD-CF15B</x:v>
      </x:c>
      <x:c r="J71" s="8" t="str">
        <x:f>'Evaluation Plan'!J71</x:f>
        <x:v>RD-CF15</x:v>
      </x:c>
      <x:c r="K71" s="8" t="str">
        <x:f>'Evaluation Plan'!K71</x:f>
        <x:v>pen</x:v>
      </x:c>
      <x:c r="L71" s="8" t="str">
        <x:f>'Evaluation Plan'!L71</x:f>
        <x:v>furthest</x:v>
      </x:c>
      <x:c r="M71" s="8" t="n">
        <x:f>'Evaluation Plan'!M71</x:f>
        <x:v>4</x:v>
      </x:c>
      <x:c r="N71" s="8" t="str">
        <x:f>'Evaluation Plan'!N71</x:f>
        <x:v>Additional transfer — Additional held-out furthest counterfactual</x:v>
      </x:c>
      <x:c r="O71" s="8" t="n">
        <x:f>'Evaluation Plan'!O71</x:f>
        <x:v>30</x:v>
      </x:c>
      <x:c r="P71" s="7" t="str">
        <x:f>'Evaluation Plan'!P71</x:f>
        <x:v>Swap only the P2/P3 candidate identities from the preceding A scene; preserve all geometry and other objects.</x:v>
      </x:c>
      <x:c r="Q71" s="7" t="str">
        <x:f>'Evaluation Plan'!Q71</x:f>
        <x:v>Unpaired primary-endpoint coverage. Each A/B pair reverses the far physical identity with matched geometry.</x:v>
      </x:c>
      <x:c r="R71" s="7" t="str">
        <x:f>IF(ISBLANK('Evaluation Plan'!R71),"",'Evaluation Plan'!R71)</x:f>
      </x:c>
    </x:row>
    <x:row r="72" ht="66" customHeight="1">
      <x:c r="A72" s="9" t="str">
        <x:v>Not collected</x:v>
      </x:c>
      <x:c r="B72" s="9" t="n">
        <x:f>'Evaluation Plan'!B72</x:f>
        <x:v>70</x:v>
      </x:c>
      <x:c r="C72" s="10" t="str">
        <x:f>'Evaluation Plan'!C72</x:f>
        <x:v>Pick up the airplane toy furthest from the red pencil sharpener and place it in the bowl.</x:v>
      </x:c>
      <x:c r="D72" s="10" t="str">
        <x:f>'Evaluation Plan'!D72</x:f>
        <x:v>P1 red pencil sharpener at R1 (table center) [REFERENCE]; P2 airplane toy without propellers with 6 cm edge gap behind P1 [CLOSE CANDIDATE]; P3 airplane toy with propellers with 20 cm edge gap in front of P1 [FAR CANDIDATE]; P4 crushed Coke can with 14 cm edge gap to the right of P1 [DISTRACTOR]</x:v>
      </x:c>
      <x:c r="E72" s="9" t="str">
        <x:f>IF(ISBLANK('Evaluation Plan'!E72),"",'Evaluation Plan'!E72)</x:f>
      </x:c>
      <x:c r="F72" s="9" t="str">
        <x:f>'Evaluation Plan'!F72</x:f>
        <x:v>airplane toy with propellers</x:v>
      </x:c>
      <x:c r="G72" s="10"/>
      <x:c r="H72" s="9" t="str">
        <x:f>'Evaluation Plan'!H72</x:f>
        <x:v>Concept/compositional transfer</x:v>
      </x:c>
      <x:c r="I72" s="9" t="str">
        <x:f>'Evaluation Plan'!I72</x:f>
        <x:v>RD-CF16A</x:v>
      </x:c>
      <x:c r="J72" s="9" t="str">
        <x:f>'Evaluation Plan'!J72</x:f>
        <x:v>RD-CF16</x:v>
      </x:c>
      <x:c r="K72" s="9" t="str">
        <x:f>'Evaluation Plan'!K72</x:f>
        <x:v>airplane toy</x:v>
      </x:c>
      <x:c r="L72" s="9" t="str">
        <x:f>'Evaluation Plan'!L72</x:f>
        <x:v>furthest</x:v>
      </x:c>
      <x:c r="M72" s="9" t="n">
        <x:f>'Evaluation Plan'!M72</x:f>
        <x:v>4</x:v>
      </x:c>
      <x:c r="N72" s="9" t="str">
        <x:f>'Evaluation Plan'!N72</x:f>
        <x:v>Additional transfer — Additional held-out furthest counterfactual</x:v>
      </x:c>
      <x:c r="O72" s="9" t="n">
        <x:f>'Evaluation Plan'!O72</x:f>
        <x:v>31</x:v>
      </x:c>
      <x:c r="P72" s="10" t="str">
        <x:f>'Evaluation Plan'!P72</x:f>
        <x:v>Build counterfactual scene A and save a first-frame filename.</x:v>
      </x:c>
      <x:c r="Q72" s="10" t="str">
        <x:f>'Evaluation Plan'!Q72</x:f>
        <x:v>Unpaired primary-endpoint coverage. Each A/B pair reverses the far physical identity with matched geometry.</x:v>
      </x:c>
      <x:c r="R72" s="10" t="str">
        <x:f>IF(ISBLANK('Evaluation Plan'!R72),"",'Evaluation Plan'!R72)</x:f>
      </x:c>
    </x:row>
    <x:row r="73" ht="66" customHeight="1">
      <x:c r="A73" s="8" t="str">
        <x:v>Not collected</x:v>
      </x:c>
      <x:c r="B73" s="8" t="n">
        <x:f>'Evaluation Plan'!B73</x:f>
        <x:v>71</x:v>
      </x:c>
      <x:c r="C73" s="7" t="str">
        <x:f>'Evaluation Plan'!C73</x:f>
        <x:v>Pick up the airplane toy furthest from the red pencil sharpener and place it in the bowl.</x:v>
      </x:c>
      <x:c r="D73" s="7" t="str">
        <x:f>'Evaluation Plan'!D73</x:f>
        <x:v>P1 red pencil sharpener at R1 (table center) [REFERENCE]; P2 airplane toy with propellers with 6 cm edge gap behind P1 [CLOSE CANDIDATE]; P3 airplane toy without propellers with 20 cm edge gap in front of P1 [FAR CANDIDATE]; P4 crushed Coke can with 14 cm edge gap to the right of P1 [DISTRACTOR]</x:v>
      </x:c>
      <x:c r="E73" s="8" t="str">
        <x:f>IF(ISBLANK('Evaluation Plan'!E73),"",'Evaluation Plan'!E73)</x:f>
      </x:c>
      <x:c r="F73" s="8" t="str">
        <x:f>'Evaluation Plan'!F73</x:f>
        <x:v>airplane toy without propellers</x:v>
      </x:c>
      <x:c r="G73" s="7"/>
      <x:c r="H73" s="8" t="str">
        <x:f>'Evaluation Plan'!H73</x:f>
        <x:v>Concept/compositional transfer</x:v>
      </x:c>
      <x:c r="I73" s="8" t="str">
        <x:f>'Evaluation Plan'!I73</x:f>
        <x:v>RD-CF16B</x:v>
      </x:c>
      <x:c r="J73" s="8" t="str">
        <x:f>'Evaluation Plan'!J73</x:f>
        <x:v>RD-CF16</x:v>
      </x:c>
      <x:c r="K73" s="8" t="str">
        <x:f>'Evaluation Plan'!K73</x:f>
        <x:v>airplane toy</x:v>
      </x:c>
      <x:c r="L73" s="8" t="str">
        <x:f>'Evaluation Plan'!L73</x:f>
        <x:v>furthest</x:v>
      </x:c>
      <x:c r="M73" s="8" t="n">
        <x:f>'Evaluation Plan'!M73</x:f>
        <x:v>4</x:v>
      </x:c>
      <x:c r="N73" s="8" t="str">
        <x:f>'Evaluation Plan'!N73</x:f>
        <x:v>Additional transfer — Additional held-out furthest counterfactual</x:v>
      </x:c>
      <x:c r="O73" s="8" t="n">
        <x:f>'Evaluation Plan'!O73</x:f>
        <x:v>32</x:v>
      </x:c>
      <x:c r="P73" s="7" t="str">
        <x:f>'Evaluation Plan'!P73</x:f>
        <x:v>Swap only the P2/P3 candidate identities from the preceding A scene; preserve all geometry and other objects.</x:v>
      </x:c>
      <x:c r="Q73" s="7" t="str">
        <x:f>'Evaluation Plan'!Q73</x:f>
        <x:v>Unpaired primary-endpoint coverage. Each A/B pair reverses the far physical identity with matched geometry.</x:v>
      </x:c>
      <x:c r="R73" s="7" t="str">
        <x:f>IF(ISBLANK('Evaluation Plan'!R73),"",'Evaluation Plan'!R73)</x:f>
      </x:c>
    </x:row>
    <x:row r="74" ht="66" customHeight="1">
      <x:c r="A74" s="9" t="str">
        <x:v>Not collected</x:v>
      </x:c>
      <x:c r="B74" s="9" t="n">
        <x:f>'Evaluation Plan'!B74</x:f>
        <x:v>72</x:v>
      </x:c>
      <x:c r="C74" s="10" t="str">
        <x:f>'Evaluation Plan'!C74</x:f>
        <x:v>Pick up the crushed soda can furthest from the airplane toy with propellers and place it in the bowl.</x:v>
      </x:c>
      <x:c r="D74" s="10" t="str">
        <x:f>'Evaluation Plan'!D74</x:f>
        <x:v>P1 airplane toy with propellers at R2 (5 cm left of center) [REFERENCE]; P2 crushed Coke can with 6 cm edge gap to the left of P1 [CLOSE CANDIDATE]; P3 crushed Pepsi can with 20 cm edge gap to the right of P1 [FAR CANDIDATE]; P4 red pencil sharpener with 14 cm edge gap in front of P1 [DISTRACTOR]</x:v>
      </x:c>
      <x:c r="E74" s="9" t="str">
        <x:f>IF(ISBLANK('Evaluation Plan'!E74),"",'Evaluation Plan'!E74)</x:f>
      </x:c>
      <x:c r="F74" s="9" t="str">
        <x:f>'Evaluation Plan'!F74</x:f>
        <x:v>crushed Pepsi can</x:v>
      </x:c>
      <x:c r="G74" s="10"/>
      <x:c r="H74" s="9" t="str">
        <x:f>'Evaluation Plan'!H74</x:f>
        <x:v>Concept/compositional transfer</x:v>
      </x:c>
      <x:c r="I74" s="9" t="str">
        <x:f>'Evaluation Plan'!I74</x:f>
        <x:v>RD-CF17A</x:v>
      </x:c>
      <x:c r="J74" s="9" t="str">
        <x:f>'Evaluation Plan'!J74</x:f>
        <x:v>RD-CF17</x:v>
      </x:c>
      <x:c r="K74" s="9" t="str">
        <x:f>'Evaluation Plan'!K74</x:f>
        <x:v>crushed soda can</x:v>
      </x:c>
      <x:c r="L74" s="9" t="str">
        <x:f>'Evaluation Plan'!L74</x:f>
        <x:v>furthest</x:v>
      </x:c>
      <x:c r="M74" s="9" t="n">
        <x:f>'Evaluation Plan'!M74</x:f>
        <x:v>4</x:v>
      </x:c>
      <x:c r="N74" s="9" t="str">
        <x:f>'Evaluation Plan'!N74</x:f>
        <x:v>Additional transfer — Additional held-out furthest counterfactual</x:v>
      </x:c>
      <x:c r="O74" s="9" t="n">
        <x:f>'Evaluation Plan'!O74</x:f>
        <x:v>33</x:v>
      </x:c>
      <x:c r="P74" s="10" t="str">
        <x:f>'Evaluation Plan'!P74</x:f>
        <x:v>Build counterfactual scene A and save a first-frame filename.</x:v>
      </x:c>
      <x:c r="Q74" s="10" t="str">
        <x:f>'Evaluation Plan'!Q74</x:f>
        <x:v>Unpaired primary-endpoint coverage. Each A/B pair reverses the far physical identity with matched geometry.</x:v>
      </x:c>
      <x:c r="R74" s="10" t="str">
        <x:f>IF(ISBLANK('Evaluation Plan'!R74),"",'Evaluation Plan'!R74)</x:f>
      </x:c>
    </x:row>
    <x:row r="75" ht="66" customHeight="1">
      <x:c r="A75" s="8" t="str">
        <x:v>Not collected</x:v>
      </x:c>
      <x:c r="B75" s="8" t="n">
        <x:f>'Evaluation Plan'!B75</x:f>
        <x:v>73</x:v>
      </x:c>
      <x:c r="C75" s="7" t="str">
        <x:f>'Evaluation Plan'!C75</x:f>
        <x:v>Pick up the crushed soda can furthest from the airplane toy with propellers and place it in the bowl.</x:v>
      </x:c>
      <x:c r="D75" s="7" t="str">
        <x:f>'Evaluation Plan'!D75</x:f>
        <x:v>P1 airplane toy with propellers at R2 (5 cm left of center) [REFERENCE]; P2 crushed Pepsi can with 6 cm edge gap to the left of P1 [CLOSE CANDIDATE]; P3 crushed Coke can with 20 cm edge gap to the right of P1 [FAR CANDIDATE]; P4 red pencil sharpener with 14 cm edge gap in front of P1 [DISTRACTOR]</x:v>
      </x:c>
      <x:c r="E75" s="8" t="str">
        <x:f>IF(ISBLANK('Evaluation Plan'!E75),"",'Evaluation Plan'!E75)</x:f>
      </x:c>
      <x:c r="F75" s="8" t="str">
        <x:f>'Evaluation Plan'!F75</x:f>
        <x:v>crushed Coke can</x:v>
      </x:c>
      <x:c r="G75" s="7"/>
      <x:c r="H75" s="8" t="str">
        <x:f>'Evaluation Plan'!H75</x:f>
        <x:v>Concept/compositional transfer</x:v>
      </x:c>
      <x:c r="I75" s="8" t="str">
        <x:f>'Evaluation Plan'!I75</x:f>
        <x:v>RD-CF17B</x:v>
      </x:c>
      <x:c r="J75" s="8" t="str">
        <x:f>'Evaluation Plan'!J75</x:f>
        <x:v>RD-CF17</x:v>
      </x:c>
      <x:c r="K75" s="8" t="str">
        <x:f>'Evaluation Plan'!K75</x:f>
        <x:v>crushed soda can</x:v>
      </x:c>
      <x:c r="L75" s="8" t="str">
        <x:f>'Evaluation Plan'!L75</x:f>
        <x:v>furthest</x:v>
      </x:c>
      <x:c r="M75" s="8" t="n">
        <x:f>'Evaluation Plan'!M75</x:f>
        <x:v>4</x:v>
      </x:c>
      <x:c r="N75" s="8" t="str">
        <x:f>'Evaluation Plan'!N75</x:f>
        <x:v>Additional transfer — Additional held-out furthest counterfactual</x:v>
      </x:c>
      <x:c r="O75" s="8" t="n">
        <x:f>'Evaluation Plan'!O75</x:f>
        <x:v>34</x:v>
      </x:c>
      <x:c r="P75" s="7" t="str">
        <x:f>'Evaluation Plan'!P75</x:f>
        <x:v>Swap only the P2/P3 candidate identities from the preceding A scene; preserve all geometry and other objects.</x:v>
      </x:c>
      <x:c r="Q75" s="7" t="str">
        <x:f>'Evaluation Plan'!Q75</x:f>
        <x:v>Unpaired primary-endpoint coverage. Each A/B pair reverses the far physical identity with matched geometry.</x:v>
      </x:c>
      <x:c r="R75" s="7" t="str">
        <x:f>IF(ISBLANK('Evaluation Plan'!R75),"",'Evaluation Plan'!R75)</x:f>
      </x:c>
    </x:row>
    <x:row r="76" ht="66" customHeight="1">
      <x:c r="A76" s="9" t="str">
        <x:v>Not collected</x:v>
      </x:c>
      <x:c r="B76" s="9" t="n">
        <x:f>'Evaluation Plan'!B76</x:f>
        <x:v>74</x:v>
      </x:c>
      <x:c r="C76" s="10" t="str">
        <x:f>'Evaluation Plan'!C76</x:f>
        <x:v>Pick up the pencil sharpener furthest from the airplane toy without propellers and place it in the bowl.</x:v>
      </x:c>
      <x:c r="D76" s="10" t="str">
        <x:f>'Evaluation Plan'!D76</x:f>
        <x:v>P1 airplane toy without propellers at R3 (5 cm right of center) [REFERENCE]; P2 red pencil sharpener with 6 cm edge gap to the right of P1 [CLOSE CANDIDATE]; P3 green pencil sharpener with 20 cm edge gap to the left of P1 [FAR CANDIDATE]; P4 green pen with 14 cm edge gap behind P1 [DISTRACTOR]</x:v>
      </x:c>
      <x:c r="E76" s="9" t="str">
        <x:f>IF(ISBLANK('Evaluation Plan'!E76),"",'Evaluation Plan'!E76)</x:f>
      </x:c>
      <x:c r="F76" s="9" t="str">
        <x:f>'Evaluation Plan'!F76</x:f>
        <x:v>green pencil sharpener</x:v>
      </x:c>
      <x:c r="G76" s="10"/>
      <x:c r="H76" s="9" t="str">
        <x:f>'Evaluation Plan'!H76</x:f>
        <x:v>Concept/compositional transfer</x:v>
      </x:c>
      <x:c r="I76" s="9" t="str">
        <x:f>'Evaluation Plan'!I76</x:f>
        <x:v>RD-CF18A</x:v>
      </x:c>
      <x:c r="J76" s="9" t="str">
        <x:f>'Evaluation Plan'!J76</x:f>
        <x:v>RD-CF18</x:v>
      </x:c>
      <x:c r="K76" s="9" t="str">
        <x:f>'Evaluation Plan'!K76</x:f>
        <x:v>pencil sharpener</x:v>
      </x:c>
      <x:c r="L76" s="9" t="str">
        <x:f>'Evaluation Plan'!L76</x:f>
        <x:v>furthest</x:v>
      </x:c>
      <x:c r="M76" s="9" t="n">
        <x:f>'Evaluation Plan'!M76</x:f>
        <x:v>4</x:v>
      </x:c>
      <x:c r="N76" s="9" t="str">
        <x:f>'Evaluation Plan'!N76</x:f>
        <x:v>Additional transfer — Additional held-out furthest counterfactual</x:v>
      </x:c>
      <x:c r="O76" s="9" t="n">
        <x:f>'Evaluation Plan'!O76</x:f>
        <x:v>35</x:v>
      </x:c>
      <x:c r="P76" s="10" t="str">
        <x:f>'Evaluation Plan'!P76</x:f>
        <x:v>Build counterfactual scene A and save a first-frame filename.</x:v>
      </x:c>
      <x:c r="Q76" s="10" t="str">
        <x:f>'Evaluation Plan'!Q76</x:f>
        <x:v>Unpaired primary-endpoint coverage. Each A/B pair reverses the far physical identity with matched geometry.</x:v>
      </x:c>
      <x:c r="R76" s="10" t="str">
        <x:f>IF(ISBLANK('Evaluation Plan'!R76),"",'Evaluation Plan'!R76)</x:f>
      </x:c>
    </x:row>
    <x:row r="77" ht="66" customHeight="1">
      <x:c r="A77" s="8" t="str">
        <x:v>Not collected</x:v>
      </x:c>
      <x:c r="B77" s="8" t="n">
        <x:f>'Evaluation Plan'!B77</x:f>
        <x:v>75</x:v>
      </x:c>
      <x:c r="C77" s="7" t="str">
        <x:f>'Evaluation Plan'!C77</x:f>
        <x:v>Pick up the pencil sharpener furthest from the airplane toy without propellers and place it in the bowl.</x:v>
      </x:c>
      <x:c r="D77" s="7" t="str">
        <x:f>'Evaluation Plan'!D77</x:f>
        <x:v>P1 airplane toy without propellers at R3 (5 cm right of center) [REFERENCE]; P2 green pencil sharpener with 6 cm edge gap to the right of P1 [CLOSE CANDIDATE]; P3 red pencil sharpener with 20 cm edge gap to the left of P1 [FAR CANDIDATE]; P4 green pen with 14 cm edge gap behind P1 [DISTRACTOR]</x:v>
      </x:c>
      <x:c r="E77" s="8" t="str">
        <x:f>IF(ISBLANK('Evaluation Plan'!E77),"",'Evaluation Plan'!E77)</x:f>
      </x:c>
      <x:c r="F77" s="8" t="str">
        <x:f>'Evaluation Plan'!F77</x:f>
        <x:v>red pencil sharpener</x:v>
      </x:c>
      <x:c r="G77" s="7"/>
      <x:c r="H77" s="8" t="str">
        <x:f>'Evaluation Plan'!H77</x:f>
        <x:v>Concept/compositional transfer</x:v>
      </x:c>
      <x:c r="I77" s="8" t="str">
        <x:f>'Evaluation Plan'!I77</x:f>
        <x:v>RD-CF18B</x:v>
      </x:c>
      <x:c r="J77" s="8" t="str">
        <x:f>'Evaluation Plan'!J77</x:f>
        <x:v>RD-CF18</x:v>
      </x:c>
      <x:c r="K77" s="8" t="str">
        <x:f>'Evaluation Plan'!K77</x:f>
        <x:v>pencil sharpener</x:v>
      </x:c>
      <x:c r="L77" s="8" t="str">
        <x:f>'Evaluation Plan'!L77</x:f>
        <x:v>furthest</x:v>
      </x:c>
      <x:c r="M77" s="8" t="n">
        <x:f>'Evaluation Plan'!M77</x:f>
        <x:v>4</x:v>
      </x:c>
      <x:c r="N77" s="8" t="str">
        <x:f>'Evaluation Plan'!N77</x:f>
        <x:v>Additional transfer — Additional held-out furthest counterfactual</x:v>
      </x:c>
      <x:c r="O77" s="8" t="n">
        <x:f>'Evaluation Plan'!O77</x:f>
        <x:v>36</x:v>
      </x:c>
      <x:c r="P77" s="7" t="str">
        <x:f>'Evaluation Plan'!P77</x:f>
        <x:v>Swap only the P2/P3 candidate identities from the preceding A scene; preserve all geometry and other objects.</x:v>
      </x:c>
      <x:c r="Q77" s="7" t="str">
        <x:f>'Evaluation Plan'!Q77</x:f>
        <x:v>Unpaired primary-endpoint coverage. Each A/B pair reverses the far physical identity with matched geometry.</x:v>
      </x:c>
      <x:c r="R77" s="7" t="str">
        <x:f>IF(ISBLANK('Evaluation Plan'!R77),"",'Evaluation Plan'!R77)</x:f>
      </x:c>
    </x:row>
    <x:row r="78" ht="66" customHeight="1">
      <x:c r="A78" s="9" t="str">
        <x:v>Not collected</x:v>
      </x:c>
      <x:c r="B78" s="9" t="n">
        <x:f>'Evaluation Plan'!B78</x:f>
        <x:v>76</x:v>
      </x:c>
      <x:c r="C78" s="10" t="str">
        <x:f>'Evaluation Plan'!C78</x:f>
        <x:v>Pick up the pen furthest from the crushed Coke can and place it in the bowl.</x:v>
      </x:c>
      <x:c r="D78" s="10" t="str">
        <x:f>'Evaluation Plan'!D78</x:f>
        <x:v>P1 crushed Coke can at R4 (5 cm toward the robot from center) [REFERENCE]; P2 green pen with 6 cm edge gap in front of P1 [CLOSE CANDIDATE]; P3 yellow pen with 20 cm edge gap behind P1 [FAR CANDIDATE]; P4 airplane toy with propellers with 14 cm edge gap to the left of P1 [DISTRACTOR]</x:v>
      </x:c>
      <x:c r="E78" s="9" t="str">
        <x:f>IF(ISBLANK('Evaluation Plan'!E78),"",'Evaluation Plan'!E78)</x:f>
      </x:c>
      <x:c r="F78" s="9" t="str">
        <x:f>'Evaluation Plan'!F78</x:f>
        <x:v>yellow pen</x:v>
      </x:c>
      <x:c r="G78" s="10"/>
      <x:c r="H78" s="9" t="str">
        <x:f>'Evaluation Plan'!H78</x:f>
        <x:v>Concept/compositional transfer</x:v>
      </x:c>
      <x:c r="I78" s="9" t="str">
        <x:f>'Evaluation Plan'!I78</x:f>
        <x:v>RD-CF19A</x:v>
      </x:c>
      <x:c r="J78" s="9" t="str">
        <x:f>'Evaluation Plan'!J78</x:f>
        <x:v>RD-CF19</x:v>
      </x:c>
      <x:c r="K78" s="9" t="str">
        <x:f>'Evaluation Plan'!K78</x:f>
        <x:v>pen</x:v>
      </x:c>
      <x:c r="L78" s="9" t="str">
        <x:f>'Evaluation Plan'!L78</x:f>
        <x:v>furthest</x:v>
      </x:c>
      <x:c r="M78" s="9" t="n">
        <x:f>'Evaluation Plan'!M78</x:f>
        <x:v>4</x:v>
      </x:c>
      <x:c r="N78" s="9" t="str">
        <x:f>'Evaluation Plan'!N78</x:f>
        <x:v>Additional transfer — Additional held-out furthest counterfactual</x:v>
      </x:c>
      <x:c r="O78" s="9" t="n">
        <x:f>'Evaluation Plan'!O78</x:f>
        <x:v>37</x:v>
      </x:c>
      <x:c r="P78" s="10" t="str">
        <x:f>'Evaluation Plan'!P78</x:f>
        <x:v>Build counterfactual scene A and save a first-frame filename.</x:v>
      </x:c>
      <x:c r="Q78" s="10" t="str">
        <x:f>'Evaluation Plan'!Q78</x:f>
        <x:v>Unpaired primary-endpoint coverage. Each A/B pair reverses the far physical identity with matched geometry.</x:v>
      </x:c>
      <x:c r="R78" s="10" t="str">
        <x:f>IF(ISBLANK('Evaluation Plan'!R78),"",'Evaluation Plan'!R78)</x:f>
      </x:c>
    </x:row>
    <x:row r="79" ht="66" customHeight="1">
      <x:c r="A79" s="8" t="str">
        <x:v>Not collected</x:v>
      </x:c>
      <x:c r="B79" s="8" t="n">
        <x:f>'Evaluation Plan'!B79</x:f>
        <x:v>77</x:v>
      </x:c>
      <x:c r="C79" s="7" t="str">
        <x:f>'Evaluation Plan'!C79</x:f>
        <x:v>Pick up the pen furthest from the crushed Coke can and place it in the bowl.</x:v>
      </x:c>
      <x:c r="D79" s="7" t="str">
        <x:f>'Evaluation Plan'!D79</x:f>
        <x:v>P1 crushed Coke can at R4 (5 cm toward the robot from center) [REFERENCE]; P2 yellow pen with 6 cm edge gap in front of P1 [CLOSE CANDIDATE]; P3 green pen with 20 cm edge gap behind P1 [FAR CANDIDATE]; P4 airplane toy with propellers with 14 cm edge gap to the left of P1 [DISTRACTOR]</x:v>
      </x:c>
      <x:c r="E79" s="8" t="str">
        <x:f>IF(ISBLANK('Evaluation Plan'!E79),"",'Evaluation Plan'!E79)</x:f>
      </x:c>
      <x:c r="F79" s="8" t="str">
        <x:f>'Evaluation Plan'!F79</x:f>
        <x:v>green pen</x:v>
      </x:c>
      <x:c r="G79" s="7"/>
      <x:c r="H79" s="8" t="str">
        <x:f>'Evaluation Plan'!H79</x:f>
        <x:v>Concept/compositional transfer</x:v>
      </x:c>
      <x:c r="I79" s="8" t="str">
        <x:f>'Evaluation Plan'!I79</x:f>
        <x:v>RD-CF19B</x:v>
      </x:c>
      <x:c r="J79" s="8" t="str">
        <x:f>'Evaluation Plan'!J79</x:f>
        <x:v>RD-CF19</x:v>
      </x:c>
      <x:c r="K79" s="8" t="str">
        <x:f>'Evaluation Plan'!K79</x:f>
        <x:v>pen</x:v>
      </x:c>
      <x:c r="L79" s="8" t="str">
        <x:f>'Evaluation Plan'!L79</x:f>
        <x:v>furthest</x:v>
      </x:c>
      <x:c r="M79" s="8" t="n">
        <x:f>'Evaluation Plan'!M79</x:f>
        <x:v>4</x:v>
      </x:c>
      <x:c r="N79" s="8" t="str">
        <x:f>'Evaluation Plan'!N79</x:f>
        <x:v>Additional transfer — Additional held-out furthest counterfactual</x:v>
      </x:c>
      <x:c r="O79" s="8" t="n">
        <x:f>'Evaluation Plan'!O79</x:f>
        <x:v>38</x:v>
      </x:c>
      <x:c r="P79" s="7" t="str">
        <x:f>'Evaluation Plan'!P79</x:f>
        <x:v>Swap only the P2/P3 candidate identities from the preceding A scene; preserve all geometry and other objects.</x:v>
      </x:c>
      <x:c r="Q79" s="7" t="str">
        <x:f>'Evaluation Plan'!Q79</x:f>
        <x:v>Unpaired primary-endpoint coverage. Each A/B pair reverses the far physical identity with matched geometry.</x:v>
      </x:c>
      <x:c r="R79" s="7" t="str">
        <x:f>IF(ISBLANK('Evaluation Plan'!R79),"",'Evaluation Plan'!R79)</x:f>
      </x:c>
    </x:row>
    <x:row r="80" ht="66" customHeight="1">
      <x:c r="A80" s="9" t="str">
        <x:v>Not collected</x:v>
      </x:c>
      <x:c r="B80" s="9" t="n">
        <x:f>'Evaluation Plan'!B80</x:f>
        <x:v>78</x:v>
      </x:c>
      <x:c r="C80" s="10" t="str">
        <x:f>'Evaluation Plan'!C80</x:f>
        <x:v>Pick up the airplane toy furthest from the yellow pen and place it in the bowl.</x:v>
      </x:c>
      <x:c r="D80" s="10" t="str">
        <x:f>'Evaluation Plan'!D80</x:f>
        <x:v>P1 yellow pen at R5 (5 cm away from the robot from center) [REFERENCE]; P2 airplane toy without propellers with 6 cm edge gap behind P1 [CLOSE CANDIDATE]; P3 airplane toy with propellers with 20 cm edge gap in front of P1 [FAR CANDIDATE]; P4 green pen with 14 cm edge gap to the right of P1 [DISTRACTOR]</x:v>
      </x:c>
      <x:c r="E80" s="9" t="str">
        <x:f>IF(ISBLANK('Evaluation Plan'!E80),"",'Evaluation Plan'!E80)</x:f>
      </x:c>
      <x:c r="F80" s="9" t="str">
        <x:f>'Evaluation Plan'!F80</x:f>
        <x:v>airplane toy with propellers</x:v>
      </x:c>
      <x:c r="G80" s="10"/>
      <x:c r="H80" s="9" t="str">
        <x:f>'Evaluation Plan'!H80</x:f>
        <x:v>Concept/compositional transfer</x:v>
      </x:c>
      <x:c r="I80" s="9" t="str">
        <x:f>'Evaluation Plan'!I80</x:f>
        <x:v>RD-CF20A</x:v>
      </x:c>
      <x:c r="J80" s="9" t="str">
        <x:f>'Evaluation Plan'!J80</x:f>
        <x:v>RD-CF20</x:v>
      </x:c>
      <x:c r="K80" s="9" t="str">
        <x:f>'Evaluation Plan'!K80</x:f>
        <x:v>airplane toy</x:v>
      </x:c>
      <x:c r="L80" s="9" t="str">
        <x:f>'Evaluation Plan'!L80</x:f>
        <x:v>furthest</x:v>
      </x:c>
      <x:c r="M80" s="9" t="n">
        <x:f>'Evaluation Plan'!M80</x:f>
        <x:v>4</x:v>
      </x:c>
      <x:c r="N80" s="9" t="str">
        <x:f>'Evaluation Plan'!N80</x:f>
        <x:v>Additional transfer — Additional held-out furthest counterfactual</x:v>
      </x:c>
      <x:c r="O80" s="9" t="n">
        <x:f>'Evaluation Plan'!O80</x:f>
        <x:v>39</x:v>
      </x:c>
      <x:c r="P80" s="10" t="str">
        <x:f>'Evaluation Plan'!P80</x:f>
        <x:v>Build counterfactual scene A and save a first-frame filename.</x:v>
      </x:c>
      <x:c r="Q80" s="10" t="str">
        <x:f>'Evaluation Plan'!Q80</x:f>
        <x:v>Unpaired primary-endpoint coverage. Each A/B pair reverses the far physical identity with matched geometry.</x:v>
      </x:c>
      <x:c r="R80" s="10" t="str">
        <x:f>IF(ISBLANK('Evaluation Plan'!R80),"",'Evaluation Plan'!R80)</x:f>
      </x:c>
    </x:row>
    <x:row r="81" ht="66" customHeight="1">
      <x:c r="A81" s="8" t="str">
        <x:v>Not collected</x:v>
      </x:c>
      <x:c r="B81" s="8" t="n">
        <x:f>'Evaluation Plan'!B81</x:f>
        <x:v>79</x:v>
      </x:c>
      <x:c r="C81" s="7" t="str">
        <x:f>'Evaluation Plan'!C81</x:f>
        <x:v>Pick up the airplane toy furthest from the yellow pen and place it in the bowl.</x:v>
      </x:c>
      <x:c r="D81" s="7" t="str">
        <x:f>'Evaluation Plan'!D81</x:f>
        <x:v>P1 yellow pen at R5 (5 cm away from the robot from center) [REFERENCE]; P2 airplane toy with propellers with 6 cm edge gap behind P1 [CLOSE CANDIDATE]; P3 airplane toy without propellers with 20 cm edge gap in front of P1 [FAR CANDIDATE]; P4 green pen with 14 cm edge gap to the right of P1 [DISTRACTOR]</x:v>
      </x:c>
      <x:c r="E81" s="8" t="str">
        <x:f>IF(ISBLANK('Evaluation Plan'!E81),"",'Evaluation Plan'!E81)</x:f>
      </x:c>
      <x:c r="F81" s="8" t="str">
        <x:f>'Evaluation Plan'!F81</x:f>
        <x:v>airplane toy without propellers</x:v>
      </x:c>
      <x:c r="G81" s="7"/>
      <x:c r="H81" s="8" t="str">
        <x:f>'Evaluation Plan'!H81</x:f>
        <x:v>Concept/compositional transfer</x:v>
      </x:c>
      <x:c r="I81" s="8" t="str">
        <x:f>'Evaluation Plan'!I81</x:f>
        <x:v>RD-CF20B</x:v>
      </x:c>
      <x:c r="J81" s="8" t="str">
        <x:f>'Evaluation Plan'!J81</x:f>
        <x:v>RD-CF20</x:v>
      </x:c>
      <x:c r="K81" s="8" t="str">
        <x:f>'Evaluation Plan'!K81</x:f>
        <x:v>airplane toy</x:v>
      </x:c>
      <x:c r="L81" s="8" t="str">
        <x:f>'Evaluation Plan'!L81</x:f>
        <x:v>furthest</x:v>
      </x:c>
      <x:c r="M81" s="8" t="n">
        <x:f>'Evaluation Plan'!M81</x:f>
        <x:v>4</x:v>
      </x:c>
      <x:c r="N81" s="8" t="str">
        <x:f>'Evaluation Plan'!N81</x:f>
        <x:v>Additional transfer — Additional held-out furthest counterfactual</x:v>
      </x:c>
      <x:c r="O81" s="8" t="n">
        <x:f>'Evaluation Plan'!O81</x:f>
        <x:v>40</x:v>
      </x:c>
      <x:c r="P81" s="7" t="str">
        <x:f>'Evaluation Plan'!P81</x:f>
        <x:v>Swap only the P2/P3 candidate identities from the preceding A scene; preserve all geometry and other objects.</x:v>
      </x:c>
      <x:c r="Q81" s="7" t="str">
        <x:f>'Evaluation Plan'!Q81</x:f>
        <x:v>Unpaired primary-endpoint coverage. Each A/B pair reverses the far physical identity with matched geometry.</x:v>
      </x:c>
      <x:c r="R81" s="7" t="str">
        <x:f>IF(ISBLANK('Evaluation Plan'!R81),"",'Evaluation Plan'!R81)</x:f>
      </x:c>
    </x:row>
    <x:row r="82" ht="66" customHeight="1">
      <x:c r="A82" s="9" t="str">
        <x:v>Not collected</x:v>
      </x:c>
      <x:c r="B82" s="9" t="n">
        <x:f>'Evaluation Plan'!B82</x:f>
        <x:v>80</x:v>
      </x:c>
      <x:c r="C82" s="10" t="str">
        <x:f>'Evaluation Plan'!C82</x:f>
        <x:v>Pick up the crushed soda can furthest from the green pencil sharpener and place it in the bowl.</x:v>
      </x:c>
      <x:c r="D82" s="10" t="str">
        <x:f>'Evaluation Plan'!D82</x:f>
        <x:v>P1 green pencil sharpener at R1 (table center) [REFERENCE]; P2 crushed Coke can with 6 cm edge gap to the left of P1 [CLOSE CANDIDATE]; P3 crushed Pepsi can with 20 cm edge gap to the right of P1 [FAR CANDIDATE]; P4 red pencil sharpener with 14 cm edge gap in front of P1 [DISTRACTOR]; P5 green pen with 14 cm edge gap behind P1 [DISTRACTOR]</x:v>
      </x:c>
      <x:c r="E82" s="9" t="str">
        <x:f>IF(ISBLANK('Evaluation Plan'!E82),"",'Evaluation Plan'!E82)</x:f>
      </x:c>
      <x:c r="F82" s="9" t="str">
        <x:f>'Evaluation Plan'!F82</x:f>
        <x:v>crushed Pepsi can</x:v>
      </x:c>
      <x:c r="G82" s="10"/>
      <x:c r="H82" s="9" t="str">
        <x:f>'Evaluation Plan'!H82</x:f>
        <x:v>Concept/compositional transfer</x:v>
      </x:c>
      <x:c r="I82" s="9" t="str">
        <x:f>'Evaluation Plan'!I82</x:f>
        <x:v>RD-CF21A</x:v>
      </x:c>
      <x:c r="J82" s="9" t="str">
        <x:f>'Evaluation Plan'!J82</x:f>
        <x:v>RD-CF21</x:v>
      </x:c>
      <x:c r="K82" s="9" t="str">
        <x:f>'Evaluation Plan'!K82</x:f>
        <x:v>crushed soda can</x:v>
      </x:c>
      <x:c r="L82" s="9" t="str">
        <x:f>'Evaluation Plan'!L82</x:f>
        <x:v>furthest</x:v>
      </x:c>
      <x:c r="M82" s="9" t="n">
        <x:f>'Evaluation Plan'!M82</x:f>
        <x:v>5</x:v>
      </x:c>
      <x:c r="N82" s="9" t="str">
        <x:f>'Evaluation Plan'!N82</x:f>
        <x:v>Additional transfer — Additional held-out furthest counterfactual</x:v>
      </x:c>
      <x:c r="O82" s="9" t="n">
        <x:f>'Evaluation Plan'!O82</x:f>
        <x:v>41</x:v>
      </x:c>
      <x:c r="P82" s="10" t="str">
        <x:f>'Evaluation Plan'!P82</x:f>
        <x:v>Build counterfactual scene A and save a first-frame filename.</x:v>
      </x:c>
      <x:c r="Q82" s="10" t="str">
        <x:f>'Evaluation Plan'!Q82</x:f>
        <x:v>Unpaired primary-endpoint coverage. Each A/B pair reverses the far physical identity with matched geometry.</x:v>
      </x:c>
      <x:c r="R82" s="10" t="str">
        <x:f>IF(ISBLANK('Evaluation Plan'!R82),"",'Evaluation Plan'!R82)</x:f>
      </x:c>
    </x:row>
    <x:row r="83" ht="66" customHeight="1">
      <x:c r="A83" s="8" t="str">
        <x:v>Not collected</x:v>
      </x:c>
      <x:c r="B83" s="8" t="n">
        <x:f>'Evaluation Plan'!B83</x:f>
        <x:v>81</x:v>
      </x:c>
      <x:c r="C83" s="7" t="str">
        <x:f>'Evaluation Plan'!C83</x:f>
        <x:v>Pick up the crushed soda can furthest from the green pencil sharpener and place it in the bowl.</x:v>
      </x:c>
      <x:c r="D83" s="7" t="str">
        <x:f>'Evaluation Plan'!D83</x:f>
        <x:v>P1 green pencil sharpener at R1 (table center) [REFERENCE]; P2 crushed Pepsi can with 6 cm edge gap to the left of P1 [CLOSE CANDIDATE]; P3 crushed Coke can with 20 cm edge gap to the right of P1 [FAR CANDIDATE]; P4 red pencil sharpener with 14 cm edge gap in front of P1 [DISTRACTOR]; P5 green pen with 14 cm edge gap behind P1 [DISTRACTOR]</x:v>
      </x:c>
      <x:c r="E83" s="8" t="str">
        <x:f>IF(ISBLANK('Evaluation Plan'!E83),"",'Evaluation Plan'!E83)</x:f>
      </x:c>
      <x:c r="F83" s="8" t="str">
        <x:f>'Evaluation Plan'!F83</x:f>
        <x:v>crushed Coke can</x:v>
      </x:c>
      <x:c r="G83" s="7"/>
      <x:c r="H83" s="8" t="str">
        <x:f>'Evaluation Plan'!H83</x:f>
        <x:v>Concept/compositional transfer</x:v>
      </x:c>
      <x:c r="I83" s="8" t="str">
        <x:f>'Evaluation Plan'!I83</x:f>
        <x:v>RD-CF21B</x:v>
      </x:c>
      <x:c r="J83" s="8" t="str">
        <x:f>'Evaluation Plan'!J83</x:f>
        <x:v>RD-CF21</x:v>
      </x:c>
      <x:c r="K83" s="8" t="str">
        <x:f>'Evaluation Plan'!K83</x:f>
        <x:v>crushed soda can</x:v>
      </x:c>
      <x:c r="L83" s="8" t="str">
        <x:f>'Evaluation Plan'!L83</x:f>
        <x:v>furthest</x:v>
      </x:c>
      <x:c r="M83" s="8" t="n">
        <x:f>'Evaluation Plan'!M83</x:f>
        <x:v>5</x:v>
      </x:c>
      <x:c r="N83" s="8" t="str">
        <x:f>'Evaluation Plan'!N83</x:f>
        <x:v>Additional transfer — Additional held-out furthest counterfactual</x:v>
      </x:c>
      <x:c r="O83" s="8" t="n">
        <x:f>'Evaluation Plan'!O83</x:f>
        <x:v>42</x:v>
      </x:c>
      <x:c r="P83" s="7" t="str">
        <x:f>'Evaluation Plan'!P83</x:f>
        <x:v>Swap only the P2/P3 candidate identities from the preceding A scene; preserve all geometry and other objects.</x:v>
      </x:c>
      <x:c r="Q83" s="7" t="str">
        <x:f>'Evaluation Plan'!Q83</x:f>
        <x:v>Unpaired primary-endpoint coverage. Each A/B pair reverses the far physical identity with matched geometry.</x:v>
      </x:c>
      <x:c r="R83" s="7" t="str">
        <x:f>IF(ISBLANK('Evaluation Plan'!R83),"",'Evaluation Plan'!R83)</x:f>
      </x:c>
    </x:row>
    <x:row r="84" ht="66" customHeight="1">
      <x:c r="A84" s="9" t="str">
        <x:v>Not collected</x:v>
      </x:c>
      <x:c r="B84" s="9" t="n">
        <x:f>'Evaluation Plan'!B84</x:f>
        <x:v>82</x:v>
      </x:c>
      <x:c r="C84" s="10" t="str">
        <x:f>'Evaluation Plan'!C84</x:f>
        <x:v>Pick up the pencil sharpener furthest from the crushed Pepsi can and place it in the bowl.</x:v>
      </x:c>
      <x:c r="D84" s="10" t="str">
        <x:f>'Evaluation Plan'!D84</x:f>
        <x:v>P1 crushed Pepsi can at R2 (5 cm left of center) [REFERENCE]; P2 red pencil sharpener with 6 cm edge gap to the right of P1 [CLOSE CANDIDATE]; P3 green pencil sharpener with 20 cm edge gap to the left of P1 [FAR CANDIDATE]; P4 green pen with 14 cm edge gap behind P1 [DISTRACTOR]; P5 yellow pen with 14 cm edge gap in front of P1 [DISTRACTOR]</x:v>
      </x:c>
      <x:c r="E84" s="9" t="str">
        <x:f>IF(ISBLANK('Evaluation Plan'!E84),"",'Evaluation Plan'!E84)</x:f>
      </x:c>
      <x:c r="F84" s="9" t="str">
        <x:f>'Evaluation Plan'!F84</x:f>
        <x:v>green pencil sharpener</x:v>
      </x:c>
      <x:c r="G84" s="10"/>
      <x:c r="H84" s="9" t="str">
        <x:f>'Evaluation Plan'!H84</x:f>
        <x:v>Concept/compositional transfer</x:v>
      </x:c>
      <x:c r="I84" s="9" t="str">
        <x:f>'Evaluation Plan'!I84</x:f>
        <x:v>RD-CF22A</x:v>
      </x:c>
      <x:c r="J84" s="9" t="str">
        <x:f>'Evaluation Plan'!J84</x:f>
        <x:v>RD-CF22</x:v>
      </x:c>
      <x:c r="K84" s="9" t="str">
        <x:f>'Evaluation Plan'!K84</x:f>
        <x:v>pencil sharpener</x:v>
      </x:c>
      <x:c r="L84" s="9" t="str">
        <x:f>'Evaluation Plan'!L84</x:f>
        <x:v>furthest</x:v>
      </x:c>
      <x:c r="M84" s="9" t="n">
        <x:f>'Evaluation Plan'!M84</x:f>
        <x:v>5</x:v>
      </x:c>
      <x:c r="N84" s="9" t="str">
        <x:f>'Evaluation Plan'!N84</x:f>
        <x:v>Additional transfer — Additional held-out furthest counterfactual</x:v>
      </x:c>
      <x:c r="O84" s="9" t="n">
        <x:f>'Evaluation Plan'!O84</x:f>
        <x:v>43</x:v>
      </x:c>
      <x:c r="P84" s="10" t="str">
        <x:f>'Evaluation Plan'!P84</x:f>
        <x:v>Build counterfactual scene A and save a first-frame filename.</x:v>
      </x:c>
      <x:c r="Q84" s="10" t="str">
        <x:f>'Evaluation Plan'!Q84</x:f>
        <x:v>Unpaired primary-endpoint coverage. Each A/B pair reverses the far physical identity with matched geometry.</x:v>
      </x:c>
      <x:c r="R84" s="10" t="str">
        <x:f>IF(ISBLANK('Evaluation Plan'!R84),"",'Evaluation Plan'!R84)</x:f>
      </x:c>
    </x:row>
    <x:row r="85" ht="66" customHeight="1">
      <x:c r="A85" s="8" t="str">
        <x:v>Not collected</x:v>
      </x:c>
      <x:c r="B85" s="8" t="n">
        <x:f>'Evaluation Plan'!B85</x:f>
        <x:v>83</x:v>
      </x:c>
      <x:c r="C85" s="7" t="str">
        <x:f>'Evaluation Plan'!C85</x:f>
        <x:v>Pick up the pencil sharpener furthest from the crushed Pepsi can and place it in the bowl.</x:v>
      </x:c>
      <x:c r="D85" s="7" t="str">
        <x:f>'Evaluation Plan'!D85</x:f>
        <x:v>P1 crushed Pepsi can at R2 (5 cm left of center) [REFERENCE]; P2 green pencil sharpener with 6 cm edge gap to the right of P1 [CLOSE CANDIDATE]; P3 red pencil sharpener with 20 cm edge gap to the left of P1 [FAR CANDIDATE]; P4 green pen with 14 cm edge gap behind P1 [DISTRACTOR]; P5 yellow pen with 14 cm edge gap in front of P1 [DISTRACTOR]</x:v>
      </x:c>
      <x:c r="E85" s="8" t="str">
        <x:f>IF(ISBLANK('Evaluation Plan'!E85),"",'Evaluation Plan'!E85)</x:f>
      </x:c>
      <x:c r="F85" s="8" t="str">
        <x:f>'Evaluation Plan'!F85</x:f>
        <x:v>red pencil sharpener</x:v>
      </x:c>
      <x:c r="G85" s="7"/>
      <x:c r="H85" s="8" t="str">
        <x:f>'Evaluation Plan'!H85</x:f>
        <x:v>Concept/compositional transfer</x:v>
      </x:c>
      <x:c r="I85" s="8" t="str">
        <x:f>'Evaluation Plan'!I85</x:f>
        <x:v>RD-CF22B</x:v>
      </x:c>
      <x:c r="J85" s="8" t="str">
        <x:f>'Evaluation Plan'!J85</x:f>
        <x:v>RD-CF22</x:v>
      </x:c>
      <x:c r="K85" s="8" t="str">
        <x:f>'Evaluation Plan'!K85</x:f>
        <x:v>pencil sharpener</x:v>
      </x:c>
      <x:c r="L85" s="8" t="str">
        <x:f>'Evaluation Plan'!L85</x:f>
        <x:v>furthest</x:v>
      </x:c>
      <x:c r="M85" s="8" t="n">
        <x:f>'Evaluation Plan'!M85</x:f>
        <x:v>5</x:v>
      </x:c>
      <x:c r="N85" s="8" t="str">
        <x:f>'Evaluation Plan'!N85</x:f>
        <x:v>Additional transfer — Additional held-out furthest counterfactual</x:v>
      </x:c>
      <x:c r="O85" s="8" t="n">
        <x:f>'Evaluation Plan'!O85</x:f>
        <x:v>44</x:v>
      </x:c>
      <x:c r="P85" s="7" t="str">
        <x:f>'Evaluation Plan'!P85</x:f>
        <x:v>Swap only the P2/P3 candidate identities from the preceding A scene; preserve all geometry and other objects.</x:v>
      </x:c>
      <x:c r="Q85" s="7" t="str">
        <x:f>'Evaluation Plan'!Q85</x:f>
        <x:v>Unpaired primary-endpoint coverage. Each A/B pair reverses the far physical identity with matched geometry.</x:v>
      </x:c>
      <x:c r="R85" s="7" t="str">
        <x:f>IF(ISBLANK('Evaluation Plan'!R85),"",'Evaluation Plan'!R85)</x:f>
      </x:c>
    </x:row>
    <x:row r="86" ht="66" customHeight="1">
      <x:c r="A86" s="9" t="str">
        <x:v>Not collected</x:v>
      </x:c>
      <x:c r="B86" s="9" t="n">
        <x:f>'Evaluation Plan'!B86</x:f>
        <x:v>84</x:v>
      </x:c>
      <x:c r="C86" s="10" t="str">
        <x:f>'Evaluation Plan'!C86</x:f>
        <x:v>Pick up the pen furthest from the airplane toy with propellers and place it in the bowl.</x:v>
      </x:c>
      <x:c r="D86" s="10" t="str">
        <x:f>'Evaluation Plan'!D86</x:f>
        <x:v>P1 airplane toy with propellers at R3 (5 cm right of center) [REFERENCE]; P2 green pen with 6 cm edge gap in front of P1 [CLOSE CANDIDATE]; P3 yellow pen with 20 cm edge gap behind P1 [FAR CANDIDATE]; P4 green pencil sharpener with 14 cm edge gap to the left of P1 [DISTRACTOR]; P5 red pencil sharpener with 14 cm edge gap to the right of P1 [DISTRACTOR]</x:v>
      </x:c>
      <x:c r="E86" s="9" t="str">
        <x:f>IF(ISBLANK('Evaluation Plan'!E86),"",'Evaluation Plan'!E86)</x:f>
      </x:c>
      <x:c r="F86" s="9" t="str">
        <x:f>'Evaluation Plan'!F86</x:f>
        <x:v>yellow pen</x:v>
      </x:c>
      <x:c r="G86" s="10"/>
      <x:c r="H86" s="9" t="str">
        <x:f>'Evaluation Plan'!H86</x:f>
        <x:v>Concept/compositional transfer</x:v>
      </x:c>
      <x:c r="I86" s="9" t="str">
        <x:f>'Evaluation Plan'!I86</x:f>
        <x:v>RD-CF23A</x:v>
      </x:c>
      <x:c r="J86" s="9" t="str">
        <x:f>'Evaluation Plan'!J86</x:f>
        <x:v>RD-CF23</x:v>
      </x:c>
      <x:c r="K86" s="9" t="str">
        <x:f>'Evaluation Plan'!K86</x:f>
        <x:v>pen</x:v>
      </x:c>
      <x:c r="L86" s="9" t="str">
        <x:f>'Evaluation Plan'!L86</x:f>
        <x:v>furthest</x:v>
      </x:c>
      <x:c r="M86" s="9" t="n">
        <x:f>'Evaluation Plan'!M86</x:f>
        <x:v>5</x:v>
      </x:c>
      <x:c r="N86" s="9" t="str">
        <x:f>'Evaluation Plan'!N86</x:f>
        <x:v>Additional transfer — Additional held-out furthest counterfactual</x:v>
      </x:c>
      <x:c r="O86" s="9" t="n">
        <x:f>'Evaluation Plan'!O86</x:f>
        <x:v>45</x:v>
      </x:c>
      <x:c r="P86" s="10" t="str">
        <x:f>'Evaluation Plan'!P86</x:f>
        <x:v>Build counterfactual scene A and save a first-frame filename.</x:v>
      </x:c>
      <x:c r="Q86" s="10" t="str">
        <x:f>'Evaluation Plan'!Q86</x:f>
        <x:v>Unpaired primary-endpoint coverage. Each A/B pair reverses the far physical identity with matched geometry.</x:v>
      </x:c>
      <x:c r="R86" s="10" t="str">
        <x:f>IF(ISBLANK('Evaluation Plan'!R86),"",'Evaluation Plan'!R86)</x:f>
      </x:c>
    </x:row>
    <x:row r="87" ht="66" customHeight="1">
      <x:c r="A87" s="8" t="str">
        <x:v>Not collected</x:v>
      </x:c>
      <x:c r="B87" s="8" t="n">
        <x:f>'Evaluation Plan'!B87</x:f>
        <x:v>85</x:v>
      </x:c>
      <x:c r="C87" s="7" t="str">
        <x:f>'Evaluation Plan'!C87</x:f>
        <x:v>Pick up the pen furthest from the airplane toy with propellers and place it in the bowl.</x:v>
      </x:c>
      <x:c r="D87" s="7" t="str">
        <x:f>'Evaluation Plan'!D87</x:f>
        <x:v>P1 airplane toy with propellers at R3 (5 cm right of center) [REFERENCE]; P2 yellow pen with 6 cm edge gap in front of P1 [CLOSE CANDIDATE]; P3 green pen with 20 cm edge gap behind P1 [FAR CANDIDATE]; P4 green pencil sharpener with 14 cm edge gap to the left of P1 [DISTRACTOR]; P5 red pencil sharpener with 14 cm edge gap to the right of P1 [DISTRACTOR]</x:v>
      </x:c>
      <x:c r="E87" s="8" t="str">
        <x:f>IF(ISBLANK('Evaluation Plan'!E87),"",'Evaluation Plan'!E87)</x:f>
      </x:c>
      <x:c r="F87" s="8" t="str">
        <x:f>'Evaluation Plan'!F87</x:f>
        <x:v>green pen</x:v>
      </x:c>
      <x:c r="G87" s="7"/>
      <x:c r="H87" s="8" t="str">
        <x:f>'Evaluation Plan'!H87</x:f>
        <x:v>Concept/compositional transfer</x:v>
      </x:c>
      <x:c r="I87" s="8" t="str">
        <x:f>'Evaluation Plan'!I87</x:f>
        <x:v>RD-CF23B</x:v>
      </x:c>
      <x:c r="J87" s="8" t="str">
        <x:f>'Evaluation Plan'!J87</x:f>
        <x:v>RD-CF23</x:v>
      </x:c>
      <x:c r="K87" s="8" t="str">
        <x:f>'Evaluation Plan'!K87</x:f>
        <x:v>pen</x:v>
      </x:c>
      <x:c r="L87" s="8" t="str">
        <x:f>'Evaluation Plan'!L87</x:f>
        <x:v>furthest</x:v>
      </x:c>
      <x:c r="M87" s="8" t="n">
        <x:f>'Evaluation Plan'!M87</x:f>
        <x:v>5</x:v>
      </x:c>
      <x:c r="N87" s="8" t="str">
        <x:f>'Evaluation Plan'!N87</x:f>
        <x:v>Additional transfer — Additional held-out furthest counterfactual</x:v>
      </x:c>
      <x:c r="O87" s="8" t="n">
        <x:f>'Evaluation Plan'!O87</x:f>
        <x:v>46</x:v>
      </x:c>
      <x:c r="P87" s="7" t="str">
        <x:f>'Evaluation Plan'!P87</x:f>
        <x:v>Swap only the P2/P3 candidate identities from the preceding A scene; preserve all geometry and other objects.</x:v>
      </x:c>
      <x:c r="Q87" s="7" t="str">
        <x:f>'Evaluation Plan'!Q87</x:f>
        <x:v>Unpaired primary-endpoint coverage. Each A/B pair reverses the far physical identity with matched geometry.</x:v>
      </x:c>
      <x:c r="R87" s="7" t="str">
        <x:f>IF(ISBLANK('Evaluation Plan'!R87),"",'Evaluation Plan'!R87)</x:f>
      </x:c>
    </x:row>
    <x:row r="88" ht="66" customHeight="1">
      <x:c r="A88" s="9" t="str">
        <x:v>Not collected</x:v>
      </x:c>
      <x:c r="B88" s="9" t="n">
        <x:f>'Evaluation Plan'!B88</x:f>
        <x:v>86</x:v>
      </x:c>
      <x:c r="C88" s="10" t="str">
        <x:f>'Evaluation Plan'!C88</x:f>
        <x:v>Pick up the airplane toy furthest from the crushed Pepsi can and place it in the bowl.</x:v>
      </x:c>
      <x:c r="D88" s="10" t="str">
        <x:f>'Evaluation Plan'!D88</x:f>
        <x:v>P1 crushed Pepsi can at R4 (5 cm toward the robot from center) [REFERENCE]; P2 airplane toy without propellers with 6 cm edge gap behind P1 [CLOSE CANDIDATE]; P3 airplane toy with propellers with 20 cm edge gap in front of P1 [FAR CANDIDATE]; P4 green pen with 14 cm edge gap to the right of P1 [DISTRACTOR]; P5 yellow pen with 14 cm edge gap to the left of P1 [DISTRACTOR]</x:v>
      </x:c>
      <x:c r="E88" s="9" t="str">
        <x:f>IF(ISBLANK('Evaluation Plan'!E88),"",'Evaluation Plan'!E88)</x:f>
      </x:c>
      <x:c r="F88" s="9" t="str">
        <x:f>'Evaluation Plan'!F88</x:f>
        <x:v>airplane toy with propellers</x:v>
      </x:c>
      <x:c r="G88" s="10"/>
      <x:c r="H88" s="9" t="str">
        <x:f>'Evaluation Plan'!H88</x:f>
        <x:v>Concept/compositional transfer</x:v>
      </x:c>
      <x:c r="I88" s="9" t="str">
        <x:f>'Evaluation Plan'!I88</x:f>
        <x:v>RD-CF24A</x:v>
      </x:c>
      <x:c r="J88" s="9" t="str">
        <x:f>'Evaluation Plan'!J88</x:f>
        <x:v>RD-CF24</x:v>
      </x:c>
      <x:c r="K88" s="9" t="str">
        <x:f>'Evaluation Plan'!K88</x:f>
        <x:v>airplane toy</x:v>
      </x:c>
      <x:c r="L88" s="9" t="str">
        <x:f>'Evaluation Plan'!L88</x:f>
        <x:v>furthest</x:v>
      </x:c>
      <x:c r="M88" s="9" t="n">
        <x:f>'Evaluation Plan'!M88</x:f>
        <x:v>5</x:v>
      </x:c>
      <x:c r="N88" s="9" t="str">
        <x:f>'Evaluation Plan'!N88</x:f>
        <x:v>Additional transfer — Additional held-out furthest counterfactual</x:v>
      </x:c>
      <x:c r="O88" s="9" t="n">
        <x:f>'Evaluation Plan'!O88</x:f>
        <x:v>47</x:v>
      </x:c>
      <x:c r="P88" s="10" t="str">
        <x:f>'Evaluation Plan'!P88</x:f>
        <x:v>Build counterfactual scene A and save a first-frame filename.</x:v>
      </x:c>
      <x:c r="Q88" s="10" t="str">
        <x:f>'Evaluation Plan'!Q88</x:f>
        <x:v>Unpaired primary-endpoint coverage. Each A/B pair reverses the far physical identity with matched geometry.</x:v>
      </x:c>
      <x:c r="R88" s="10" t="str">
        <x:f>IF(ISBLANK('Evaluation Plan'!R88),"",'Evaluation Plan'!R88)</x:f>
      </x:c>
    </x:row>
    <x:row r="89" ht="66" customHeight="1">
      <x:c r="A89" s="8" t="str">
        <x:v>Not collected</x:v>
      </x:c>
      <x:c r="B89" s="8" t="n">
        <x:f>'Evaluation Plan'!B89</x:f>
        <x:v>87</x:v>
      </x:c>
      <x:c r="C89" s="7" t="str">
        <x:f>'Evaluation Plan'!C89</x:f>
        <x:v>Pick up the airplane toy furthest from the crushed Pepsi can and place it in the bowl.</x:v>
      </x:c>
      <x:c r="D89" s="7" t="str">
        <x:f>'Evaluation Plan'!D89</x:f>
        <x:v>P1 crushed Pepsi can at R4 (5 cm toward the robot from center) [REFERENCE]; P2 airplane toy with propellers with 6 cm edge gap behind P1 [CLOSE CANDIDATE]; P3 airplane toy without propellers with 20 cm edge gap in front of P1 [FAR CANDIDATE]; P4 green pen with 14 cm edge gap to the right of P1 [DISTRACTOR]; P5 yellow pen with 14 cm edge gap to the left of P1 [DISTRACTOR]</x:v>
      </x:c>
      <x:c r="E89" s="8" t="str">
        <x:f>IF(ISBLANK('Evaluation Plan'!E89),"",'Evaluation Plan'!E89)</x:f>
      </x:c>
      <x:c r="F89" s="8" t="str">
        <x:f>'Evaluation Plan'!F89</x:f>
        <x:v>airplane toy without propellers</x:v>
      </x:c>
      <x:c r="G89" s="7"/>
      <x:c r="H89" s="8" t="str">
        <x:f>'Evaluation Plan'!H89</x:f>
        <x:v>Concept/compositional transfer</x:v>
      </x:c>
      <x:c r="I89" s="8" t="str">
        <x:f>'Evaluation Plan'!I89</x:f>
        <x:v>RD-CF24B</x:v>
      </x:c>
      <x:c r="J89" s="8" t="str">
        <x:f>'Evaluation Plan'!J89</x:f>
        <x:v>RD-CF24</x:v>
      </x:c>
      <x:c r="K89" s="8" t="str">
        <x:f>'Evaluation Plan'!K89</x:f>
        <x:v>airplane toy</x:v>
      </x:c>
      <x:c r="L89" s="8" t="str">
        <x:f>'Evaluation Plan'!L89</x:f>
        <x:v>furthest</x:v>
      </x:c>
      <x:c r="M89" s="8" t="n">
        <x:f>'Evaluation Plan'!M89</x:f>
        <x:v>5</x:v>
      </x:c>
      <x:c r="N89" s="8" t="str">
        <x:f>'Evaluation Plan'!N89</x:f>
        <x:v>Additional transfer — Additional held-out furthest counterfactual</x:v>
      </x:c>
      <x:c r="O89" s="8" t="n">
        <x:f>'Evaluation Plan'!O89</x:f>
        <x:v>48</x:v>
      </x:c>
      <x:c r="P89" s="7" t="str">
        <x:f>'Evaluation Plan'!P89</x:f>
        <x:v>Swap only the P2/P3 candidate identities from the preceding A scene; preserve all geometry and other objects.</x:v>
      </x:c>
      <x:c r="Q89" s="7" t="str">
        <x:f>'Evaluation Plan'!Q89</x:f>
        <x:v>Unpaired primary-endpoint coverage. Each A/B pair reverses the far physical identity with matched geometry.</x:v>
      </x:c>
      <x:c r="R89" s="7" t="str">
        <x:f>IF(ISBLANK('Evaluation Plan'!R89),"",'Evaluation Plan'!R89)</x:f>
      </x:c>
    </x:row>
    <x:row r="90" ht="66" customHeight="1">
      <x:c r="A90" s="9" t="str">
        <x:v>Not collected</x:v>
      </x:c>
      <x:c r="B90" s="9" t="n">
        <x:f>'Evaluation Plan'!B90</x:f>
        <x:v>88</x:v>
      </x:c>
      <x:c r="C90" s="10" t="str">
        <x:f>'Evaluation Plan'!C90</x:f>
        <x:v>Pick up the crushed soda can furthest from the green pen and place it in the bowl.</x:v>
      </x:c>
      <x:c r="D90" s="10" t="str">
        <x:f>'Evaluation Plan'!D90</x:f>
        <x:v>P1 green pen at R5 (5 cm away from the robot from center) [REFERENCE]; P2 crushed Coke can with 6 cm edge gap to the left of P1 [CLOSE CANDIDATE]; P3 crushed Pepsi can with 20 cm edge gap to the right of P1 [FAR CANDIDATE]; P4 airplane toy without propellers with 14 cm edge gap in front of P1 [DISTRACTOR]; P5 green pencil sharpener with 14 cm edge gap behind P1 [DISTRACTOR]</x:v>
      </x:c>
      <x:c r="E90" s="9" t="str">
        <x:f>IF(ISBLANK('Evaluation Plan'!E90),"",'Evaluation Plan'!E90)</x:f>
      </x:c>
      <x:c r="F90" s="9" t="str">
        <x:f>'Evaluation Plan'!F90</x:f>
        <x:v>crushed Pepsi can</x:v>
      </x:c>
      <x:c r="G90" s="10"/>
      <x:c r="H90" s="9" t="str">
        <x:f>'Evaluation Plan'!H90</x:f>
        <x:v>Concept/compositional transfer</x:v>
      </x:c>
      <x:c r="I90" s="9" t="str">
        <x:f>'Evaluation Plan'!I90</x:f>
        <x:v>RD-CF25A</x:v>
      </x:c>
      <x:c r="J90" s="9" t="str">
        <x:f>'Evaluation Plan'!J90</x:f>
        <x:v>RD-CF25</x:v>
      </x:c>
      <x:c r="K90" s="9" t="str">
        <x:f>'Evaluation Plan'!K90</x:f>
        <x:v>crushed soda can</x:v>
      </x:c>
      <x:c r="L90" s="9" t="str">
        <x:f>'Evaluation Plan'!L90</x:f>
        <x:v>furthest</x:v>
      </x:c>
      <x:c r="M90" s="9" t="n">
        <x:f>'Evaluation Plan'!M90</x:f>
        <x:v>5</x:v>
      </x:c>
      <x:c r="N90" s="9" t="str">
        <x:f>'Evaluation Plan'!N90</x:f>
        <x:v>Additional transfer — Additional held-out furthest counterfactual</x:v>
      </x:c>
      <x:c r="O90" s="9" t="n">
        <x:f>'Evaluation Plan'!O90</x:f>
        <x:v>49</x:v>
      </x:c>
      <x:c r="P90" s="10" t="str">
        <x:f>'Evaluation Plan'!P90</x:f>
        <x:v>Build counterfactual scene A and save a first-frame filename.</x:v>
      </x:c>
      <x:c r="Q90" s="10" t="str">
        <x:f>'Evaluation Plan'!Q90</x:f>
        <x:v>Unpaired primary-endpoint coverage. Each A/B pair reverses the far physical identity with matched geometry.</x:v>
      </x:c>
      <x:c r="R90" s="10" t="str">
        <x:f>IF(ISBLANK('Evaluation Plan'!R90),"",'Evaluation Plan'!R90)</x:f>
      </x:c>
    </x:row>
    <x:row r="91" ht="66" customHeight="1">
      <x:c r="A91" s="8" t="str">
        <x:v>Not collected</x:v>
      </x:c>
      <x:c r="B91" s="8" t="n">
        <x:f>'Evaluation Plan'!B91</x:f>
        <x:v>89</x:v>
      </x:c>
      <x:c r="C91" s="7" t="str">
        <x:f>'Evaluation Plan'!C91</x:f>
        <x:v>Pick up the crushed soda can furthest from the green pen and place it in the bowl.</x:v>
      </x:c>
      <x:c r="D91" s="7" t="str">
        <x:f>'Evaluation Plan'!D91</x:f>
        <x:v>P1 green pen at R5 (5 cm away from the robot from center) [REFERENCE]; P2 crushed Pepsi can with 6 cm edge gap to the left of P1 [CLOSE CANDIDATE]; P3 crushed Coke can with 20 cm edge gap to the right of P1 [FAR CANDIDATE]; P4 airplane toy without propellers with 14 cm edge gap in front of P1 [DISTRACTOR]; P5 green pencil sharpener with 14 cm edge gap behind P1 [DISTRACTOR]</x:v>
      </x:c>
      <x:c r="E91" s="8" t="str">
        <x:f>IF(ISBLANK('Evaluation Plan'!E91),"",'Evaluation Plan'!E91)</x:f>
      </x:c>
      <x:c r="F91" s="8" t="str">
        <x:f>'Evaluation Plan'!F91</x:f>
        <x:v>crushed Coke can</x:v>
      </x:c>
      <x:c r="G91" s="7"/>
      <x:c r="H91" s="8" t="str">
        <x:f>'Evaluation Plan'!H91</x:f>
        <x:v>Concept/compositional transfer</x:v>
      </x:c>
      <x:c r="I91" s="8" t="str">
        <x:f>'Evaluation Plan'!I91</x:f>
        <x:v>RD-CF25B</x:v>
      </x:c>
      <x:c r="J91" s="8" t="str">
        <x:f>'Evaluation Plan'!J91</x:f>
        <x:v>RD-CF25</x:v>
      </x:c>
      <x:c r="K91" s="8" t="str">
        <x:f>'Evaluation Plan'!K91</x:f>
        <x:v>crushed soda can</x:v>
      </x:c>
      <x:c r="L91" s="8" t="str">
        <x:f>'Evaluation Plan'!L91</x:f>
        <x:v>furthest</x:v>
      </x:c>
      <x:c r="M91" s="8" t="n">
        <x:f>'Evaluation Plan'!M91</x:f>
        <x:v>5</x:v>
      </x:c>
      <x:c r="N91" s="8" t="str">
        <x:f>'Evaluation Plan'!N91</x:f>
        <x:v>Additional transfer — Additional held-out furthest counterfactual</x:v>
      </x:c>
      <x:c r="O91" s="8" t="n">
        <x:f>'Evaluation Plan'!O91</x:f>
        <x:v>50</x:v>
      </x:c>
      <x:c r="P91" s="7" t="str">
        <x:f>'Evaluation Plan'!P91</x:f>
        <x:v>Swap only the P2/P3 candidate identities from the preceding A scene; preserve all geometry and other objects.</x:v>
      </x:c>
      <x:c r="Q91" s="7" t="str">
        <x:f>'Evaluation Plan'!Q91</x:f>
        <x:v>Unpaired primary-endpoint coverage. Each A/B pair reverses the far physical identity with matched geometry.</x:v>
      </x:c>
      <x:c r="R91" s="7" t="str">
        <x:f>IF(ISBLANK('Evaluation Plan'!R91),"",'Evaluation Plan'!R91)</x:f>
      </x:c>
    </x:row>
    <x:row r="92" ht="66" customHeight="1">
      <x:c r="A92" s="9" t="str">
        <x:v>Not collected</x:v>
      </x:c>
      <x:c r="B92" s="9" t="n">
        <x:f>'Evaluation Plan'!B92</x:f>
        <x:v>90</x:v>
      </x:c>
      <x:c r="C92" s="10" t="str">
        <x:f>'Evaluation Plan'!C92</x:f>
        <x:v>Pick up the block nearest to the green pen and place it in the bowl.</x:v>
      </x:c>
      <x:c r="D92" s="10" t="str">
        <x:f>'Evaluation Plan'!D92</x:f>
        <x:v>P1 green pen at R1 (table center) [REFERENCE]; P2 red block with 6 cm edge gap in front of P1 [CLOSE CANDIDATE]; P3 blue block with 20 cm edge gap behind P1 [FAR CANDIDATE]</x:v>
      </x:c>
      <x:c r="E92" s="9" t="str">
        <x:f>IF(ISBLANK('Evaluation Plan'!E92),"",'Evaluation Plan'!E92)</x:f>
      </x:c>
      <x:c r="F92" s="9" t="str">
        <x:f>'Evaluation Plan'!F92</x:f>
        <x:v>red block</x:v>
      </x:c>
      <x:c r="G92" s="10"/>
      <x:c r="H92" s="9" t="str">
        <x:f>'Evaluation Plan'!H92</x:f>
        <x:v>Block closest baseline</x:v>
      </x:c>
      <x:c r="I92" s="9" t="str">
        <x:f>'Evaluation Plan'!I92</x:f>
        <x:v>RD-BLK01</x:v>
      </x:c>
      <x:c r="J92" s="9" t="str">
        <x:f>'Evaluation Plan'!J92</x:f>
        <x:v>RD-BLK01</x:v>
      </x:c>
      <x:c r="K92" s="9" t="str">
        <x:f>'Evaluation Plan'!K92</x:f>
        <x:v>block</x:v>
      </x:c>
      <x:c r="L92" s="9" t="str">
        <x:f>'Evaluation Plan'!L92</x:f>
        <x:v>closest</x:v>
      </x:c>
      <x:c r="M92" s="9" t="n">
        <x:f>'Evaluation Plan'!M92</x:f>
        <x:v>3</x:v>
      </x:c>
      <x:c r="N92" s="9" t="str">
        <x:f>'Evaluation Plan'!N92</x:f>
        <x:v>1 — Block closest baseline — Cross-task red/blue blocks as candidate pair; seen closest concept</x:v>
      </x:c>
      <x:c r="O92" s="9" t="n">
        <x:f>'Evaluation Plan'!O92</x:f>
        <x:v>51</x:v>
      </x:c>
      <x:c r="P92" s="10" t="str">
        <x:f>'Evaluation Plan'!P92</x:f>
        <x:v>Build the listed scene with both red and blue blocks present. Save a first-frame filename before the baseline.</x:v>
      </x:c>
      <x:c r="Q92" s="10" t="str">
        <x:f>'Evaluation Plan'!Q92</x:f>
        <x:v>Red and blue blocks are equally trained in Relational Placement but absent from Referential Disambiguation. The closest baseline checks the relevant cross-task visual role.</x:v>
      </x:c>
      <x:c r="R92" s="10" t="str">
        <x:f>IF(ISBLANK('Evaluation Plan'!R92),"",'Evaluation Plan'!R92)</x:f>
      </x:c>
    </x:row>
    <x:row r="93" ht="66" customHeight="1">
      <x:c r="A93" s="8" t="str">
        <x:v>Not collected</x:v>
      </x:c>
      <x:c r="B93" s="8" t="n">
        <x:f>'Evaluation Plan'!B93</x:f>
        <x:v>91</x:v>
      </x:c>
      <x:c r="C93" s="7" t="str">
        <x:f>'Evaluation Plan'!C93</x:f>
        <x:v>Pick up the block furthest from the green pen and place it in the bowl.</x:v>
      </x:c>
      <x:c r="D93" s="7" t="str">
        <x:f>'Evaluation Plan'!D93</x:f>
        <x:v>P1 green pen at R1 (table center) [REFERENCE]; P2 red block with 6 cm edge gap in front of P1 [CLOSE CANDIDATE]; P3 blue block with 20 cm edge gap behind P1 [FAR CANDIDATE]</x:v>
      </x:c>
      <x:c r="E93" s="8" t="n">
        <x:f>IF(ISBLANK('Evaluation Plan'!E93),"",'Evaluation Plan'!E93)</x:f>
        <x:v>90</x:v>
      </x:c>
      <x:c r="F93" s="8" t="str">
        <x:f>'Evaluation Plan'!F93</x:f>
        <x:v>blue block</x:v>
      </x:c>
      <x:c r="G93" s="7"/>
      <x:c r="H93" s="8" t="str">
        <x:f>'Evaluation Plan'!H93</x:f>
        <x:v>Block furthest transfer</x:v>
      </x:c>
      <x:c r="I93" s="8" t="str">
        <x:f>'Evaluation Plan'!I93</x:f>
        <x:v>RD-BLK01</x:v>
      </x:c>
      <x:c r="J93" s="8" t="str">
        <x:f>'Evaluation Plan'!J93</x:f>
        <x:v>RD-BLK01</x:v>
      </x:c>
      <x:c r="K93" s="8" t="str">
        <x:f>'Evaluation Plan'!K93</x:f>
        <x:v>block</x:v>
      </x:c>
      <x:c r="L93" s="8" t="str">
        <x:f>'Evaluation Plan'!L93</x:f>
        <x:v>furthest</x:v>
      </x:c>
      <x:c r="M93" s="8" t="n">
        <x:f>'Evaluation Plan'!M93</x:f>
        <x:v>3</x:v>
      </x:c>
      <x:c r="N93" s="8" t="str">
        <x:f>'Evaluation Plan'!N93</x:f>
        <x:v>2 — Block furthest transfer — Cross-task red/blue blocks as candidate pair; held-out furthest concept</x:v>
      </x:c>
      <x:c r="O93" s="8" t="n">
        <x:f>'Evaluation Plan'!O93</x:f>
        <x:v>51</x:v>
      </x:c>
      <x:c r="P93" s="7" t="str">
        <x:f>'Evaluation Plan'!P93</x:f>
        <x:v>Reset only the P2 closest target. Keep the scene exact; change only the query and expected target from closest to furthest.</x:v>
      </x:c>
      <x:c r="Q93" s="7" t="str">
        <x:f>'Evaluation Plan'!Q93</x:f>
        <x:v>Exact-scene closest→furthest comparison. Analyze block-as-candidate and block-as-reference families separately; this is cross-task visual transfer, not global novelty.</x:v>
      </x:c>
      <x:c r="R93" s="7" t="str">
        <x:f>IF(ISBLANK('Evaluation Plan'!R93),"",'Evaluation Plan'!R93)</x:f>
      </x:c>
    </x:row>
    <x:row r="94" ht="66" customHeight="1">
      <x:c r="A94" s="9" t="str">
        <x:v>Not collected</x:v>
      </x:c>
      <x:c r="B94" s="9" t="n">
        <x:f>'Evaluation Plan'!B94</x:f>
        <x:v>92</x:v>
      </x:c>
      <x:c r="C94" s="10" t="str">
        <x:f>'Evaluation Plan'!C94</x:f>
        <x:v>Put the block closest to the red pencil sharpener in the bowl.</x:v>
      </x:c>
      <x:c r="D94" s="10" t="str">
        <x:f>'Evaluation Plan'!D94</x:f>
        <x:v>P1 red pencil sharpener at R2 (5 cm left of center) [REFERENCE]; P2 blue block with 6 cm edge gap behind P1 [CLOSE CANDIDATE]; P3 red block with 20 cm edge gap in front of P1 [FAR CANDIDATE]; P4 green pencil sharpener with 14 cm edge gap to the right of P1 [DISTRACTOR]</x:v>
      </x:c>
      <x:c r="E94" s="9" t="str">
        <x:f>IF(ISBLANK('Evaluation Plan'!E94),"",'Evaluation Plan'!E94)</x:f>
      </x:c>
      <x:c r="F94" s="9" t="str">
        <x:f>'Evaluation Plan'!F94</x:f>
        <x:v>blue block</x:v>
      </x:c>
      <x:c r="G94" s="10"/>
      <x:c r="H94" s="9" t="str">
        <x:f>'Evaluation Plan'!H94</x:f>
        <x:v>Block closest baseline</x:v>
      </x:c>
      <x:c r="I94" s="9" t="str">
        <x:f>'Evaluation Plan'!I94</x:f>
        <x:v>RD-BLK02</x:v>
      </x:c>
      <x:c r="J94" s="9" t="str">
        <x:f>'Evaluation Plan'!J94</x:f>
        <x:v>RD-BLK02</x:v>
      </x:c>
      <x:c r="K94" s="9" t="str">
        <x:f>'Evaluation Plan'!K94</x:f>
        <x:v>block</x:v>
      </x:c>
      <x:c r="L94" s="9" t="str">
        <x:f>'Evaluation Plan'!L94</x:f>
        <x:v>closest</x:v>
      </x:c>
      <x:c r="M94" s="9" t="n">
        <x:f>'Evaluation Plan'!M94</x:f>
        <x:v>4</x:v>
      </x:c>
      <x:c r="N94" s="9" t="str">
        <x:f>'Evaluation Plan'!N94</x:f>
        <x:v>1 — Block closest baseline — Cross-task red/blue blocks as candidate pair; seen closest concept</x:v>
      </x:c>
      <x:c r="O94" s="9" t="n">
        <x:f>'Evaluation Plan'!O94</x:f>
        <x:v>52</x:v>
      </x:c>
      <x:c r="P94" s="10" t="str">
        <x:f>'Evaluation Plan'!P94</x:f>
        <x:v>Build the listed scene with both red and blue blocks present. Save a first-frame filename before the baseline.</x:v>
      </x:c>
      <x:c r="Q94" s="10" t="str">
        <x:f>'Evaluation Plan'!Q94</x:f>
        <x:v>Red and blue blocks are equally trained in Relational Placement but absent from Referential Disambiguation. The closest baseline checks the relevant cross-task visual role.</x:v>
      </x:c>
      <x:c r="R94" s="10" t="str">
        <x:f>IF(ISBLANK('Evaluation Plan'!R94),"",'Evaluation Plan'!R94)</x:f>
      </x:c>
    </x:row>
    <x:row r="95" ht="66" customHeight="1">
      <x:c r="A95" s="8" t="str">
        <x:v>Not collected</x:v>
      </x:c>
      <x:c r="B95" s="8" t="n">
        <x:f>'Evaluation Plan'!B95</x:f>
        <x:v>93</x:v>
      </x:c>
      <x:c r="C95" s="7" t="str">
        <x:f>'Evaluation Plan'!C95</x:f>
        <x:v>Pick up the block furthest from the red pencil sharpener and place it in the bowl.</x:v>
      </x:c>
      <x:c r="D95" s="7" t="str">
        <x:f>'Evaluation Plan'!D95</x:f>
        <x:v>P1 red pencil sharpener at R2 (5 cm left of center) [REFERENCE]; P2 blue block with 6 cm edge gap behind P1 [CLOSE CANDIDATE]; P3 red block with 20 cm edge gap in front of P1 [FAR CANDIDATE]; P4 green pencil sharpener with 14 cm edge gap to the right of P1 [DISTRACTOR]</x:v>
      </x:c>
      <x:c r="E95" s="8" t="n">
        <x:f>IF(ISBLANK('Evaluation Plan'!E95),"",'Evaluation Plan'!E95)</x:f>
        <x:v>92</x:v>
      </x:c>
      <x:c r="F95" s="8" t="str">
        <x:f>'Evaluation Plan'!F95</x:f>
        <x:v>red block</x:v>
      </x:c>
      <x:c r="G95" s="7"/>
      <x:c r="H95" s="8" t="str">
        <x:f>'Evaluation Plan'!H95</x:f>
        <x:v>Block furthest transfer</x:v>
      </x:c>
      <x:c r="I95" s="8" t="str">
        <x:f>'Evaluation Plan'!I95</x:f>
        <x:v>RD-BLK02</x:v>
      </x:c>
      <x:c r="J95" s="8" t="str">
        <x:f>'Evaluation Plan'!J95</x:f>
        <x:v>RD-BLK02</x:v>
      </x:c>
      <x:c r="K95" s="8" t="str">
        <x:f>'Evaluation Plan'!K95</x:f>
        <x:v>block</x:v>
      </x:c>
      <x:c r="L95" s="8" t="str">
        <x:f>'Evaluation Plan'!L95</x:f>
        <x:v>furthest</x:v>
      </x:c>
      <x:c r="M95" s="8" t="n">
        <x:f>'Evaluation Plan'!M95</x:f>
        <x:v>4</x:v>
      </x:c>
      <x:c r="N95" s="8" t="str">
        <x:f>'Evaluation Plan'!N95</x:f>
        <x:v>2 — Block furthest transfer — Cross-task red/blue blocks as candidate pair; held-out furthest concept</x:v>
      </x:c>
      <x:c r="O95" s="8" t="n">
        <x:f>'Evaluation Plan'!O95</x:f>
        <x:v>52</x:v>
      </x:c>
      <x:c r="P95" s="7" t="str">
        <x:f>'Evaluation Plan'!P95</x:f>
        <x:v>Reset only the P2 closest target. Keep the scene exact; change only the query and expected target from closest to furthest.</x:v>
      </x:c>
      <x:c r="Q95" s="7" t="str">
        <x:f>'Evaluation Plan'!Q95</x:f>
        <x:v>Exact-scene closest→furthest comparison. Analyze block-as-candidate and block-as-reference families separately; this is cross-task visual transfer, not global novelty.</x:v>
      </x:c>
      <x:c r="R95" s="7" t="str">
        <x:f>IF(ISBLANK('Evaluation Plan'!R95),"",'Evaluation Plan'!R95)</x:f>
      </x:c>
    </x:row>
    <x:row r="96" ht="66" customHeight="1">
      <x:c r="A96" s="9" t="str">
        <x:v>Not collected</x:v>
      </x:c>
      <x:c r="B96" s="9" t="n">
        <x:f>'Evaluation Plan'!B96</x:f>
        <x:v>94</x:v>
      </x:c>
      <x:c r="C96" s="10" t="str">
        <x:f>'Evaluation Plan'!C96</x:f>
        <x:v>Move the block that is closest to the yellow pen into the bowl.</x:v>
      </x:c>
      <x:c r="D96" s="10" t="str">
        <x:f>'Evaluation Plan'!D96</x:f>
        <x:v>P1 yellow pen at R3 (5 cm right of center) [REFERENCE]; P2 red block with 6 cm edge gap to the left of P1 [CLOSE CANDIDATE]; P3 blue block with 20 cm edge gap to the right of P1 [FAR CANDIDATE]</x:v>
      </x:c>
      <x:c r="E96" s="9" t="str">
        <x:f>IF(ISBLANK('Evaluation Plan'!E96),"",'Evaluation Plan'!E96)</x:f>
      </x:c>
      <x:c r="F96" s="9" t="str">
        <x:f>'Evaluation Plan'!F96</x:f>
        <x:v>red block</x:v>
      </x:c>
      <x:c r="G96" s="10"/>
      <x:c r="H96" s="9" t="str">
        <x:f>'Evaluation Plan'!H96</x:f>
        <x:v>Block closest baseline</x:v>
      </x:c>
      <x:c r="I96" s="9" t="str">
        <x:f>'Evaluation Plan'!I96</x:f>
        <x:v>RD-BLK03</x:v>
      </x:c>
      <x:c r="J96" s="9" t="str">
        <x:f>'Evaluation Plan'!J96</x:f>
        <x:v>RD-BLK03</x:v>
      </x:c>
      <x:c r="K96" s="9" t="str">
        <x:f>'Evaluation Plan'!K96</x:f>
        <x:v>block</x:v>
      </x:c>
      <x:c r="L96" s="9" t="str">
        <x:f>'Evaluation Plan'!L96</x:f>
        <x:v>closest</x:v>
      </x:c>
      <x:c r="M96" s="9" t="n">
        <x:f>'Evaluation Plan'!M96</x:f>
        <x:v>3</x:v>
      </x:c>
      <x:c r="N96" s="9" t="str">
        <x:f>'Evaluation Plan'!N96</x:f>
        <x:v>1 — Block closest baseline — Cross-task red/blue blocks as candidate pair; seen closest concept</x:v>
      </x:c>
      <x:c r="O96" s="9" t="n">
        <x:f>'Evaluation Plan'!O96</x:f>
        <x:v>53</x:v>
      </x:c>
      <x:c r="P96" s="10" t="str">
        <x:f>'Evaluation Plan'!P96</x:f>
        <x:v>Build the listed scene with both red and blue blocks present. Save a first-frame filename before the baseline.</x:v>
      </x:c>
      <x:c r="Q96" s="10" t="str">
        <x:f>'Evaluation Plan'!Q96</x:f>
        <x:v>Red and blue blocks are equally trained in Relational Placement but absent from Referential Disambiguation. The closest baseline checks the relevant cross-task visual role.</x:v>
      </x:c>
      <x:c r="R96" s="10" t="str">
        <x:f>IF(ISBLANK('Evaluation Plan'!R96),"",'Evaluation Plan'!R96)</x:f>
      </x:c>
    </x:row>
    <x:row r="97" ht="66" customHeight="1">
      <x:c r="A97" s="8" t="str">
        <x:v>Not collected</x:v>
      </x:c>
      <x:c r="B97" s="8" t="n">
        <x:f>'Evaluation Plan'!B97</x:f>
        <x:v>95</x:v>
      </x:c>
      <x:c r="C97" s="7" t="str">
        <x:f>'Evaluation Plan'!C97</x:f>
        <x:v>Pick up the block furthest from the yellow pen and place it in the bowl.</x:v>
      </x:c>
      <x:c r="D97" s="7" t="str">
        <x:f>'Evaluation Plan'!D97</x:f>
        <x:v>P1 yellow pen at R3 (5 cm right of center) [REFERENCE]; P2 red block with 6 cm edge gap to the left of P1 [CLOSE CANDIDATE]; P3 blue block with 20 cm edge gap to the right of P1 [FAR CANDIDATE]</x:v>
      </x:c>
      <x:c r="E97" s="8" t="n">
        <x:f>IF(ISBLANK('Evaluation Plan'!E97),"",'Evaluation Plan'!E97)</x:f>
        <x:v>94</x:v>
      </x:c>
      <x:c r="F97" s="8" t="str">
        <x:f>'Evaluation Plan'!F97</x:f>
        <x:v>blue block</x:v>
      </x:c>
      <x:c r="G97" s="7"/>
      <x:c r="H97" s="8" t="str">
        <x:f>'Evaluation Plan'!H97</x:f>
        <x:v>Block furthest transfer</x:v>
      </x:c>
      <x:c r="I97" s="8" t="str">
        <x:f>'Evaluation Plan'!I97</x:f>
        <x:v>RD-BLK03</x:v>
      </x:c>
      <x:c r="J97" s="8" t="str">
        <x:f>'Evaluation Plan'!J97</x:f>
        <x:v>RD-BLK03</x:v>
      </x:c>
      <x:c r="K97" s="8" t="str">
        <x:f>'Evaluation Plan'!K97</x:f>
        <x:v>block</x:v>
      </x:c>
      <x:c r="L97" s="8" t="str">
        <x:f>'Evaluation Plan'!L97</x:f>
        <x:v>furthest</x:v>
      </x:c>
      <x:c r="M97" s="8" t="n">
        <x:f>'Evaluation Plan'!M97</x:f>
        <x:v>3</x:v>
      </x:c>
      <x:c r="N97" s="8" t="str">
        <x:f>'Evaluation Plan'!N97</x:f>
        <x:v>2 — Block furthest transfer — Cross-task red/blue blocks as candidate pair; held-out furthest concept</x:v>
      </x:c>
      <x:c r="O97" s="8" t="n">
        <x:f>'Evaluation Plan'!O97</x:f>
        <x:v>53</x:v>
      </x:c>
      <x:c r="P97" s="7" t="str">
        <x:f>'Evaluation Plan'!P97</x:f>
        <x:v>Reset only the P2 closest target. Keep the scene exact; change only the query and expected target from closest to furthest.</x:v>
      </x:c>
      <x:c r="Q97" s="7" t="str">
        <x:f>'Evaluation Plan'!Q97</x:f>
        <x:v>Exact-scene closest→furthest comparison. Analyze block-as-candidate and block-as-reference families separately; this is cross-task visual transfer, not global novelty.</x:v>
      </x:c>
      <x:c r="R97" s="7" t="str">
        <x:f>IF(ISBLANK('Evaluation Plan'!R97),"",'Evaluation Plan'!R97)</x:f>
      </x:c>
    </x:row>
    <x:row r="98" ht="66" customHeight="1">
      <x:c r="A98" s="9" t="str">
        <x:v>Not collected</x:v>
      </x:c>
      <x:c r="B98" s="9" t="n">
        <x:f>'Evaluation Plan'!B98</x:f>
        <x:v>96</x:v>
      </x:c>
      <x:c r="C98" s="10" t="str">
        <x:f>'Evaluation Plan'!C98</x:f>
        <x:v>Pick up the block nearest to the crushed Coke can and place it in the bowl.</x:v>
      </x:c>
      <x:c r="D98" s="10" t="str">
        <x:f>'Evaluation Plan'!D98</x:f>
        <x:v>P1 crushed Coke can at R4 (5 cm toward the robot from center) [REFERENCE]; P2 blue block with 6 cm edge gap to the right of P1 [CLOSE CANDIDATE]; P3 red block with 20 cm edge gap to the left of P1 [FAR CANDIDATE]; P4 yellow pen with 14 cm edge gap behind P1 [DISTRACTOR]</x:v>
      </x:c>
      <x:c r="E98" s="9" t="str">
        <x:f>IF(ISBLANK('Evaluation Plan'!E98),"",'Evaluation Plan'!E98)</x:f>
      </x:c>
      <x:c r="F98" s="9" t="str">
        <x:f>'Evaluation Plan'!F98</x:f>
        <x:v>blue block</x:v>
      </x:c>
      <x:c r="G98" s="10"/>
      <x:c r="H98" s="9" t="str">
        <x:f>'Evaluation Plan'!H98</x:f>
        <x:v>Block closest baseline</x:v>
      </x:c>
      <x:c r="I98" s="9" t="str">
        <x:f>'Evaluation Plan'!I98</x:f>
        <x:v>RD-BLK04</x:v>
      </x:c>
      <x:c r="J98" s="9" t="str">
        <x:f>'Evaluation Plan'!J98</x:f>
        <x:v>RD-BLK04</x:v>
      </x:c>
      <x:c r="K98" s="9" t="str">
        <x:f>'Evaluation Plan'!K98</x:f>
        <x:v>block</x:v>
      </x:c>
      <x:c r="L98" s="9" t="str">
        <x:f>'Evaluation Plan'!L98</x:f>
        <x:v>closest</x:v>
      </x:c>
      <x:c r="M98" s="9" t="n">
        <x:f>'Evaluation Plan'!M98</x:f>
        <x:v>4</x:v>
      </x:c>
      <x:c r="N98" s="9" t="str">
        <x:f>'Evaluation Plan'!N98</x:f>
        <x:v>1 — Block closest baseline — Cross-task red/blue blocks as candidate pair; seen closest concept</x:v>
      </x:c>
      <x:c r="O98" s="9" t="n">
        <x:f>'Evaluation Plan'!O98</x:f>
        <x:v>54</x:v>
      </x:c>
      <x:c r="P98" s="10" t="str">
        <x:f>'Evaluation Plan'!P98</x:f>
        <x:v>Build the listed scene with both red and blue blocks present. Save a first-frame filename before the baseline.</x:v>
      </x:c>
      <x:c r="Q98" s="10" t="str">
        <x:f>'Evaluation Plan'!Q98</x:f>
        <x:v>Red and blue blocks are equally trained in Relational Placement but absent from Referential Disambiguation. The closest baseline checks the relevant cross-task visual role.</x:v>
      </x:c>
      <x:c r="R98" s="10" t="str">
        <x:f>IF(ISBLANK('Evaluation Plan'!R98),"",'Evaluation Plan'!R98)</x:f>
      </x:c>
    </x:row>
    <x:row r="99" ht="66" customHeight="1">
      <x:c r="A99" s="8" t="str">
        <x:v>Not collected</x:v>
      </x:c>
      <x:c r="B99" s="8" t="n">
        <x:f>'Evaluation Plan'!B99</x:f>
        <x:v>97</x:v>
      </x:c>
      <x:c r="C99" s="7" t="str">
        <x:f>'Evaluation Plan'!C99</x:f>
        <x:v>Pick up the block furthest from the crushed Coke can and place it in the bowl.</x:v>
      </x:c>
      <x:c r="D99" s="7" t="str">
        <x:f>'Evaluation Plan'!D99</x:f>
        <x:v>P1 crushed Coke can at R4 (5 cm toward the robot from center) [REFERENCE]; P2 blue block with 6 cm edge gap to the right of P1 [CLOSE CANDIDATE]; P3 red block with 20 cm edge gap to the left of P1 [FAR CANDIDATE]; P4 yellow pen with 14 cm edge gap behind P1 [DISTRACTOR]</x:v>
      </x:c>
      <x:c r="E99" s="8" t="n">
        <x:f>IF(ISBLANK('Evaluation Plan'!E99),"",'Evaluation Plan'!E99)</x:f>
        <x:v>96</x:v>
      </x:c>
      <x:c r="F99" s="8" t="str">
        <x:f>'Evaluation Plan'!F99</x:f>
        <x:v>red block</x:v>
      </x:c>
      <x:c r="G99" s="7"/>
      <x:c r="H99" s="8" t="str">
        <x:f>'Evaluation Plan'!H99</x:f>
        <x:v>Block furthest transfer</x:v>
      </x:c>
      <x:c r="I99" s="8" t="str">
        <x:f>'Evaluation Plan'!I99</x:f>
        <x:v>RD-BLK04</x:v>
      </x:c>
      <x:c r="J99" s="8" t="str">
        <x:f>'Evaluation Plan'!J99</x:f>
        <x:v>RD-BLK04</x:v>
      </x:c>
      <x:c r="K99" s="8" t="str">
        <x:f>'Evaluation Plan'!K99</x:f>
        <x:v>block</x:v>
      </x:c>
      <x:c r="L99" s="8" t="str">
        <x:f>'Evaluation Plan'!L99</x:f>
        <x:v>furthest</x:v>
      </x:c>
      <x:c r="M99" s="8" t="n">
        <x:f>'Evaluation Plan'!M99</x:f>
        <x:v>4</x:v>
      </x:c>
      <x:c r="N99" s="8" t="str">
        <x:f>'Evaluation Plan'!N99</x:f>
        <x:v>2 — Block furthest transfer — Cross-task red/blue blocks as candidate pair; held-out furthest concept</x:v>
      </x:c>
      <x:c r="O99" s="8" t="n">
        <x:f>'Evaluation Plan'!O99</x:f>
        <x:v>54</x:v>
      </x:c>
      <x:c r="P99" s="7" t="str">
        <x:f>'Evaluation Plan'!P99</x:f>
        <x:v>Reset only the P2 closest target. Keep the scene exact; change only the query and expected target from closest to furthest.</x:v>
      </x:c>
      <x:c r="Q99" s="7" t="str">
        <x:f>'Evaluation Plan'!Q99</x:f>
        <x:v>Exact-scene closest→furthest comparison. Analyze block-as-candidate and block-as-reference families separately; this is cross-task visual transfer, not global novelty.</x:v>
      </x:c>
      <x:c r="R99" s="7" t="str">
        <x:f>IF(ISBLANK('Evaluation Plan'!R99),"",'Evaluation Plan'!R99)</x:f>
      </x:c>
    </x:row>
    <x:row r="100" ht="66" customHeight="1">
      <x:c r="A100" s="9" t="str">
        <x:v>Not collected</x:v>
      </x:c>
      <x:c r="B100" s="9" t="n">
        <x:f>'Evaluation Plan'!B100</x:f>
        <x:v>98</x:v>
      </x:c>
      <x:c r="C100" s="10" t="str">
        <x:f>'Evaluation Plan'!C100</x:f>
        <x:v>Put the block closest to the airplane toy with propellers in the bowl.</x:v>
      </x:c>
      <x:c r="D100" s="10" t="str">
        <x:f>'Evaluation Plan'!D100</x:f>
        <x:v>P1 airplane toy with propellers at R5 (5 cm away from the robot from center) [REFERENCE]; P2 red block with 6 cm edge gap in front of P1 [CLOSE CANDIDATE]; P3 blue block with 20 cm edge gap behind P1 [FAR CANDIDATE]</x:v>
      </x:c>
      <x:c r="E100" s="9" t="str">
        <x:f>IF(ISBLANK('Evaluation Plan'!E100),"",'Evaluation Plan'!E100)</x:f>
      </x:c>
      <x:c r="F100" s="9" t="str">
        <x:f>'Evaluation Plan'!F100</x:f>
        <x:v>red block</x:v>
      </x:c>
      <x:c r="G100" s="10"/>
      <x:c r="H100" s="9" t="str">
        <x:f>'Evaluation Plan'!H100</x:f>
        <x:v>Block closest baseline</x:v>
      </x:c>
      <x:c r="I100" s="9" t="str">
        <x:f>'Evaluation Plan'!I100</x:f>
        <x:v>RD-BLK05</x:v>
      </x:c>
      <x:c r="J100" s="9" t="str">
        <x:f>'Evaluation Plan'!J100</x:f>
        <x:v>RD-BLK05</x:v>
      </x:c>
      <x:c r="K100" s="9" t="str">
        <x:f>'Evaluation Plan'!K100</x:f>
        <x:v>block</x:v>
      </x:c>
      <x:c r="L100" s="9" t="str">
        <x:f>'Evaluation Plan'!L100</x:f>
        <x:v>closest</x:v>
      </x:c>
      <x:c r="M100" s="9" t="n">
        <x:f>'Evaluation Plan'!M100</x:f>
        <x:v>3</x:v>
      </x:c>
      <x:c r="N100" s="9" t="str">
        <x:f>'Evaluation Plan'!N100</x:f>
        <x:v>1 — Block closest baseline — Cross-task red/blue blocks as candidate pair; seen closest concept</x:v>
      </x:c>
      <x:c r="O100" s="9" t="n">
        <x:f>'Evaluation Plan'!O100</x:f>
        <x:v>55</x:v>
      </x:c>
      <x:c r="P100" s="10" t="str">
        <x:f>'Evaluation Plan'!P100</x:f>
        <x:v>Build the listed scene with both red and blue blocks present. Save a first-frame filename before the baseline.</x:v>
      </x:c>
      <x:c r="Q100" s="10" t="str">
        <x:f>'Evaluation Plan'!Q100</x:f>
        <x:v>Red and blue blocks are equally trained in Relational Placement but absent from Referential Disambiguation. The closest baseline checks the relevant cross-task visual role.</x:v>
      </x:c>
      <x:c r="R100" s="10" t="str">
        <x:f>IF(ISBLANK('Evaluation Plan'!R100),"",'Evaluation Plan'!R100)</x:f>
      </x:c>
    </x:row>
    <x:row r="101" ht="66" customHeight="1">
      <x:c r="A101" s="8" t="str">
        <x:v>Not collected</x:v>
      </x:c>
      <x:c r="B101" s="8" t="n">
        <x:f>'Evaluation Plan'!B101</x:f>
        <x:v>99</x:v>
      </x:c>
      <x:c r="C101" s="7" t="str">
        <x:f>'Evaluation Plan'!C101</x:f>
        <x:v>Pick up the block furthest from the airplane toy with propellers and place it in the bowl.</x:v>
      </x:c>
      <x:c r="D101" s="7" t="str">
        <x:f>'Evaluation Plan'!D101</x:f>
        <x:v>P1 airplane toy with propellers at R5 (5 cm away from the robot from center) [REFERENCE]; P2 red block with 6 cm edge gap in front of P1 [CLOSE CANDIDATE]; P3 blue block with 20 cm edge gap behind P1 [FAR CANDIDATE]</x:v>
      </x:c>
      <x:c r="E101" s="8" t="n">
        <x:f>IF(ISBLANK('Evaluation Plan'!E101),"",'Evaluation Plan'!E101)</x:f>
        <x:v>98</x:v>
      </x:c>
      <x:c r="F101" s="8" t="str">
        <x:f>'Evaluation Plan'!F101</x:f>
        <x:v>blue block</x:v>
      </x:c>
      <x:c r="G101" s="7"/>
      <x:c r="H101" s="8" t="str">
        <x:f>'Evaluation Plan'!H101</x:f>
        <x:v>Block furthest transfer</x:v>
      </x:c>
      <x:c r="I101" s="8" t="str">
        <x:f>'Evaluation Plan'!I101</x:f>
        <x:v>RD-BLK05</x:v>
      </x:c>
      <x:c r="J101" s="8" t="str">
        <x:f>'Evaluation Plan'!J101</x:f>
        <x:v>RD-BLK05</x:v>
      </x:c>
      <x:c r="K101" s="8" t="str">
        <x:f>'Evaluation Plan'!K101</x:f>
        <x:v>block</x:v>
      </x:c>
      <x:c r="L101" s="8" t="str">
        <x:f>'Evaluation Plan'!L101</x:f>
        <x:v>furthest</x:v>
      </x:c>
      <x:c r="M101" s="8" t="n">
        <x:f>'Evaluation Plan'!M101</x:f>
        <x:v>3</x:v>
      </x:c>
      <x:c r="N101" s="8" t="str">
        <x:f>'Evaluation Plan'!N101</x:f>
        <x:v>2 — Block furthest transfer — Cross-task red/blue blocks as candidate pair; held-out furthest concept</x:v>
      </x:c>
      <x:c r="O101" s="8" t="n">
        <x:f>'Evaluation Plan'!O101</x:f>
        <x:v>55</x:v>
      </x:c>
      <x:c r="P101" s="7" t="str">
        <x:f>'Evaluation Plan'!P101</x:f>
        <x:v>Reset only the P2 closest target. Keep the scene exact; change only the query and expected target from closest to furthest.</x:v>
      </x:c>
      <x:c r="Q101" s="7" t="str">
        <x:f>'Evaluation Plan'!Q101</x:f>
        <x:v>Exact-scene closest→furthest comparison. Analyze block-as-candidate and block-as-reference families separately; this is cross-task visual transfer, not global novelty.</x:v>
      </x:c>
      <x:c r="R101" s="7" t="str">
        <x:f>IF(ISBLANK('Evaluation Plan'!R101),"",'Evaluation Plan'!R101)</x:f>
      </x:c>
    </x:row>
    <x:row r="102" ht="66" customHeight="1">
      <x:c r="A102" s="9" t="str">
        <x:v>Not collected</x:v>
      </x:c>
      <x:c r="B102" s="9" t="n">
        <x:f>'Evaluation Plan'!B102</x:f>
        <x:v>100</x:v>
      </x:c>
      <x:c r="C102" s="10" t="str">
        <x:f>'Evaluation Plan'!C102</x:f>
        <x:v>Move the crushed soda can that is closest to the red block into the bowl.</x:v>
      </x:c>
      <x:c r="D102" s="10" t="str">
        <x:f>'Evaluation Plan'!D102</x:f>
        <x:v>P1 red block at R1 (table center) [REFERENCE]; P2 crushed Coke can with 6 cm edge gap behind P1 [CLOSE CANDIDATE]; P3 crushed Pepsi can with 20 cm edge gap in front of P1 [FAR CANDIDATE]; P4 blue block with 14 cm edge gap to the right of P1 [VISUAL COMPETITOR]</x:v>
      </x:c>
      <x:c r="E102" s="9" t="str">
        <x:f>IF(ISBLANK('Evaluation Plan'!E102),"",'Evaluation Plan'!E102)</x:f>
      </x:c>
      <x:c r="F102" s="9" t="str">
        <x:f>'Evaluation Plan'!F102</x:f>
        <x:v>crushed Coke can</x:v>
      </x:c>
      <x:c r="G102" s="10"/>
      <x:c r="H102" s="9" t="str">
        <x:f>'Evaluation Plan'!H102</x:f>
        <x:v>Block closest baseline</x:v>
      </x:c>
      <x:c r="I102" s="9" t="str">
        <x:f>'Evaluation Plan'!I102</x:f>
        <x:v>RD-BLK06</x:v>
      </x:c>
      <x:c r="J102" s="9" t="str">
        <x:f>'Evaluation Plan'!J102</x:f>
        <x:v>RD-BLK06</x:v>
      </x:c>
      <x:c r="K102" s="9" t="str">
        <x:f>'Evaluation Plan'!K102</x:f>
        <x:v>crushed soda can</x:v>
      </x:c>
      <x:c r="L102" s="9" t="str">
        <x:f>'Evaluation Plan'!L102</x:f>
        <x:v>closest</x:v>
      </x:c>
      <x:c r="M102" s="9" t="n">
        <x:f>'Evaluation Plan'!M102</x:f>
        <x:v>4</x:v>
      </x:c>
      <x:c r="N102" s="9" t="str">
        <x:f>'Evaluation Plan'!N102</x:f>
        <x:v>1 — Block closest baseline — Cross-task red/blue blocks as reference object; seen closest concept</x:v>
      </x:c>
      <x:c r="O102" s="9" t="n">
        <x:f>'Evaluation Plan'!O102</x:f>
        <x:v>56</x:v>
      </x:c>
      <x:c r="P102" s="10" t="str">
        <x:f>'Evaluation Plan'!P102</x:f>
        <x:v>Build the listed scene with both red and blue blocks present. Save a first-frame filename before the baseline.</x:v>
      </x:c>
      <x:c r="Q102" s="10" t="str">
        <x:f>'Evaluation Plan'!Q102</x:f>
        <x:v>Red and blue blocks are equally trained in Relational Placement but absent from Referential Disambiguation. The closest baseline checks the relevant cross-task visual role.</x:v>
      </x:c>
      <x:c r="R102" s="10" t="str">
        <x:f>IF(ISBLANK('Evaluation Plan'!R102),"",'Evaluation Plan'!R102)</x:f>
      </x:c>
    </x:row>
    <x:row r="103" ht="66" customHeight="1">
      <x:c r="A103" s="8" t="str">
        <x:v>Not collected</x:v>
      </x:c>
      <x:c r="B103" s="8" t="n">
        <x:f>'Evaluation Plan'!B103</x:f>
        <x:v>101</x:v>
      </x:c>
      <x:c r="C103" s="7" t="str">
        <x:f>'Evaluation Plan'!C103</x:f>
        <x:v>Pick up the crushed soda can furthest from the red block and place it in the bowl.</x:v>
      </x:c>
      <x:c r="D103" s="7" t="str">
        <x:f>'Evaluation Plan'!D103</x:f>
        <x:v>P1 red block at R1 (table center) [REFERENCE]; P2 crushed Coke can with 6 cm edge gap behind P1 [CLOSE CANDIDATE]; P3 crushed Pepsi can with 20 cm edge gap in front of P1 [FAR CANDIDATE]; P4 blue block with 14 cm edge gap to the right of P1 [VISUAL COMPETITOR]</x:v>
      </x:c>
      <x:c r="E103" s="8" t="n">
        <x:f>IF(ISBLANK('Evaluation Plan'!E103),"",'Evaluation Plan'!E103)</x:f>
        <x:v>100</x:v>
      </x:c>
      <x:c r="F103" s="8" t="str">
        <x:f>'Evaluation Plan'!F103</x:f>
        <x:v>crushed Pepsi can</x:v>
      </x:c>
      <x:c r="G103" s="7"/>
      <x:c r="H103" s="8" t="str">
        <x:f>'Evaluation Plan'!H103</x:f>
        <x:v>Block furthest transfer</x:v>
      </x:c>
      <x:c r="I103" s="8" t="str">
        <x:f>'Evaluation Plan'!I103</x:f>
        <x:v>RD-BLK06</x:v>
      </x:c>
      <x:c r="J103" s="8" t="str">
        <x:f>'Evaluation Plan'!J103</x:f>
        <x:v>RD-BLK06</x:v>
      </x:c>
      <x:c r="K103" s="8" t="str">
        <x:f>'Evaluation Plan'!K103</x:f>
        <x:v>crushed soda can</x:v>
      </x:c>
      <x:c r="L103" s="8" t="str">
        <x:f>'Evaluation Plan'!L103</x:f>
        <x:v>furthest</x:v>
      </x:c>
      <x:c r="M103" s="8" t="n">
        <x:f>'Evaluation Plan'!M103</x:f>
        <x:v>4</x:v>
      </x:c>
      <x:c r="N103" s="8" t="str">
        <x:f>'Evaluation Plan'!N103</x:f>
        <x:v>2 — Block furthest transfer — Cross-task red/blue blocks as reference object; held-out furthest concept</x:v>
      </x:c>
      <x:c r="O103" s="8" t="n">
        <x:f>'Evaluation Plan'!O103</x:f>
        <x:v>56</x:v>
      </x:c>
      <x:c r="P103" s="7" t="str">
        <x:f>'Evaluation Plan'!P103</x:f>
        <x:v>Reset only the P2 closest target. Keep the scene exact; change only the query and expected target from closest to furthest.</x:v>
      </x:c>
      <x:c r="Q103" s="7" t="str">
        <x:f>'Evaluation Plan'!Q103</x:f>
        <x:v>Exact-scene closest→furthest comparison. Analyze block-as-candidate and block-as-reference families separately; this is cross-task visual transfer, not global novelty.</x:v>
      </x:c>
      <x:c r="R103" s="7" t="str">
        <x:f>IF(ISBLANK('Evaluation Plan'!R103),"",'Evaluation Plan'!R103)</x:f>
      </x:c>
    </x:row>
    <x:row r="104" ht="66" customHeight="1">
      <x:c r="A104" s="9" t="str">
        <x:v>Not collected</x:v>
      </x:c>
      <x:c r="B104" s="9" t="n">
        <x:f>'Evaluation Plan'!B104</x:f>
        <x:v>102</x:v>
      </x:c>
      <x:c r="C104" s="10" t="str">
        <x:f>'Evaluation Plan'!C104</x:f>
        <x:v>Pick up the pencil sharpener nearest to the blue block and place it in the bowl.</x:v>
      </x:c>
      <x:c r="D104" s="10" t="str">
        <x:f>'Evaluation Plan'!D104</x:f>
        <x:v>P1 blue block at R2 (5 cm left of center) [REFERENCE]; P2 red pencil sharpener with 6 cm edge gap to the left of P1 [CLOSE CANDIDATE]; P3 green pencil sharpener with 20 cm edge gap to the right of P1 [FAR CANDIDATE]; P4 red block with 14 cm edge gap in front of P1 [VISUAL COMPETITOR]; P5 green pen with 14 cm edge gap behind P1 [DISTRACTOR]</x:v>
      </x:c>
      <x:c r="E104" s="9" t="str">
        <x:f>IF(ISBLANK('Evaluation Plan'!E104),"",'Evaluation Plan'!E104)</x:f>
      </x:c>
      <x:c r="F104" s="9" t="str">
        <x:f>'Evaluation Plan'!F104</x:f>
        <x:v>red pencil sharpener</x:v>
      </x:c>
      <x:c r="G104" s="10"/>
      <x:c r="H104" s="9" t="str">
        <x:f>'Evaluation Plan'!H104</x:f>
        <x:v>Block closest baseline</x:v>
      </x:c>
      <x:c r="I104" s="9" t="str">
        <x:f>'Evaluation Plan'!I104</x:f>
        <x:v>RD-BLK07</x:v>
      </x:c>
      <x:c r="J104" s="9" t="str">
        <x:f>'Evaluation Plan'!J104</x:f>
        <x:v>RD-BLK07</x:v>
      </x:c>
      <x:c r="K104" s="9" t="str">
        <x:f>'Evaluation Plan'!K104</x:f>
        <x:v>pencil sharpener</x:v>
      </x:c>
      <x:c r="L104" s="9" t="str">
        <x:f>'Evaluation Plan'!L104</x:f>
        <x:v>closest</x:v>
      </x:c>
      <x:c r="M104" s="9" t="n">
        <x:f>'Evaluation Plan'!M104</x:f>
        <x:v>5</x:v>
      </x:c>
      <x:c r="N104" s="9" t="str">
        <x:f>'Evaluation Plan'!N104</x:f>
        <x:v>1 — Block closest baseline — Cross-task red/blue blocks as reference object; seen closest concept</x:v>
      </x:c>
      <x:c r="O104" s="9" t="n">
        <x:f>'Evaluation Plan'!O104</x:f>
        <x:v>57</x:v>
      </x:c>
      <x:c r="P104" s="10" t="str">
        <x:f>'Evaluation Plan'!P104</x:f>
        <x:v>Build the listed scene with both red and blue blocks present. Save a first-frame filename before the baseline.</x:v>
      </x:c>
      <x:c r="Q104" s="10" t="str">
        <x:f>'Evaluation Plan'!Q104</x:f>
        <x:v>Red and blue blocks are equally trained in Relational Placement but absent from Referential Disambiguation. The closest baseline checks the relevant cross-task visual role.</x:v>
      </x:c>
      <x:c r="R104" s="10" t="str">
        <x:f>IF(ISBLANK('Evaluation Plan'!R104),"",'Evaluation Plan'!R104)</x:f>
      </x:c>
    </x:row>
    <x:row r="105" ht="66" customHeight="1">
      <x:c r="A105" s="8" t="str">
        <x:v>Not collected</x:v>
      </x:c>
      <x:c r="B105" s="8" t="n">
        <x:f>'Evaluation Plan'!B105</x:f>
        <x:v>103</x:v>
      </x:c>
      <x:c r="C105" s="7" t="str">
        <x:f>'Evaluation Plan'!C105</x:f>
        <x:v>Pick up the pencil sharpener furthest from the blue block and place it in the bowl.</x:v>
      </x:c>
      <x:c r="D105" s="7" t="str">
        <x:f>'Evaluation Plan'!D105</x:f>
        <x:v>P1 blue block at R2 (5 cm left of center) [REFERENCE]; P2 red pencil sharpener with 6 cm edge gap to the left of P1 [CLOSE CANDIDATE]; P3 green pencil sharpener with 20 cm edge gap to the right of P1 [FAR CANDIDATE]; P4 red block with 14 cm edge gap in front of P1 [VISUAL COMPETITOR]; P5 green pen with 14 cm edge gap behind P1 [DISTRACTOR]</x:v>
      </x:c>
      <x:c r="E105" s="8" t="n">
        <x:f>IF(ISBLANK('Evaluation Plan'!E105),"",'Evaluation Plan'!E105)</x:f>
        <x:v>102</x:v>
      </x:c>
      <x:c r="F105" s="8" t="str">
        <x:f>'Evaluation Plan'!F105</x:f>
        <x:v>green pencil sharpener</x:v>
      </x:c>
      <x:c r="G105" s="7"/>
      <x:c r="H105" s="8" t="str">
        <x:f>'Evaluation Plan'!H105</x:f>
        <x:v>Block furthest transfer</x:v>
      </x:c>
      <x:c r="I105" s="8" t="str">
        <x:f>'Evaluation Plan'!I105</x:f>
        <x:v>RD-BLK07</x:v>
      </x:c>
      <x:c r="J105" s="8" t="str">
        <x:f>'Evaluation Plan'!J105</x:f>
        <x:v>RD-BLK07</x:v>
      </x:c>
      <x:c r="K105" s="8" t="str">
        <x:f>'Evaluation Plan'!K105</x:f>
        <x:v>pencil sharpener</x:v>
      </x:c>
      <x:c r="L105" s="8" t="str">
        <x:f>'Evaluation Plan'!L105</x:f>
        <x:v>furthest</x:v>
      </x:c>
      <x:c r="M105" s="8" t="n">
        <x:f>'Evaluation Plan'!M105</x:f>
        <x:v>5</x:v>
      </x:c>
      <x:c r="N105" s="8" t="str">
        <x:f>'Evaluation Plan'!N105</x:f>
        <x:v>2 — Block furthest transfer — Cross-task red/blue blocks as reference object; held-out furthest concept</x:v>
      </x:c>
      <x:c r="O105" s="8" t="n">
        <x:f>'Evaluation Plan'!O105</x:f>
        <x:v>57</x:v>
      </x:c>
      <x:c r="P105" s="7" t="str">
        <x:f>'Evaluation Plan'!P105</x:f>
        <x:v>Reset only the P2 closest target. Keep the scene exact; change only the query and expected target from closest to furthest.</x:v>
      </x:c>
      <x:c r="Q105" s="7" t="str">
        <x:f>'Evaluation Plan'!Q105</x:f>
        <x:v>Exact-scene closest→furthest comparison. Analyze block-as-candidate and block-as-reference families separately; this is cross-task visual transfer, not global novelty.</x:v>
      </x:c>
      <x:c r="R105" s="7" t="str">
        <x:f>IF(ISBLANK('Evaluation Plan'!R105),"",'Evaluation Plan'!R105)</x:f>
      </x:c>
    </x:row>
    <x:row r="106" ht="66" customHeight="1">
      <x:c r="A106" s="9" t="str">
        <x:v>Not collected</x:v>
      </x:c>
      <x:c r="B106" s="9" t="n">
        <x:f>'Evaluation Plan'!B106</x:f>
        <x:v>104</x:v>
      </x:c>
      <x:c r="C106" s="10" t="str">
        <x:f>'Evaluation Plan'!C106</x:f>
        <x:v>Put the pen closest to the red block in the bowl.</x:v>
      </x:c>
      <x:c r="D106" s="10" t="str">
        <x:f>'Evaluation Plan'!D106</x:f>
        <x:v>P1 red block at R3 (5 cm right of center) [REFERENCE]; P2 green pen with 6 cm edge gap to the right of P1 [CLOSE CANDIDATE]; P3 yellow pen with 20 cm edge gap to the left of P1 [FAR CANDIDATE]; P4 blue block with 14 cm edge gap behind P1 [VISUAL COMPETITOR]</x:v>
      </x:c>
      <x:c r="E106" s="9" t="str">
        <x:f>IF(ISBLANK('Evaluation Plan'!E106),"",'Evaluation Plan'!E106)</x:f>
      </x:c>
      <x:c r="F106" s="9" t="str">
        <x:f>'Evaluation Plan'!F106</x:f>
        <x:v>green pen</x:v>
      </x:c>
      <x:c r="G106" s="10"/>
      <x:c r="H106" s="9" t="str">
        <x:f>'Evaluation Plan'!H106</x:f>
        <x:v>Block closest baseline</x:v>
      </x:c>
      <x:c r="I106" s="9" t="str">
        <x:f>'Evaluation Plan'!I106</x:f>
        <x:v>RD-BLK08</x:v>
      </x:c>
      <x:c r="J106" s="9" t="str">
        <x:f>'Evaluation Plan'!J106</x:f>
        <x:v>RD-BLK08</x:v>
      </x:c>
      <x:c r="K106" s="9" t="str">
        <x:f>'Evaluation Plan'!K106</x:f>
        <x:v>pen</x:v>
      </x:c>
      <x:c r="L106" s="9" t="str">
        <x:f>'Evaluation Plan'!L106</x:f>
        <x:v>closest</x:v>
      </x:c>
      <x:c r="M106" s="9" t="n">
        <x:f>'Evaluation Plan'!M106</x:f>
        <x:v>4</x:v>
      </x:c>
      <x:c r="N106" s="9" t="str">
        <x:f>'Evaluation Plan'!N106</x:f>
        <x:v>1 — Block closest baseline — Cross-task red/blue blocks as reference object; seen closest concept</x:v>
      </x:c>
      <x:c r="O106" s="9" t="n">
        <x:f>'Evaluation Plan'!O106</x:f>
        <x:v>58</x:v>
      </x:c>
      <x:c r="P106" s="10" t="str">
        <x:f>'Evaluation Plan'!P106</x:f>
        <x:v>Build the listed scene with both red and blue blocks present. Save a first-frame filename before the baseline.</x:v>
      </x:c>
      <x:c r="Q106" s="10" t="str">
        <x:f>'Evaluation Plan'!Q106</x:f>
        <x:v>Red and blue blocks are equally trained in Relational Placement but absent from Referential Disambiguation. The closest baseline checks the relevant cross-task visual role.</x:v>
      </x:c>
      <x:c r="R106" s="10" t="str">
        <x:f>IF(ISBLANK('Evaluation Plan'!R106),"",'Evaluation Plan'!R106)</x:f>
      </x:c>
    </x:row>
    <x:row r="107" ht="66" customHeight="1">
      <x:c r="A107" s="8" t="str">
        <x:v>Not collected</x:v>
      </x:c>
      <x:c r="B107" s="8" t="n">
        <x:f>'Evaluation Plan'!B107</x:f>
        <x:v>105</x:v>
      </x:c>
      <x:c r="C107" s="7" t="str">
        <x:f>'Evaluation Plan'!C107</x:f>
        <x:v>Pick up the pen furthest from the red block and place it in the bowl.</x:v>
      </x:c>
      <x:c r="D107" s="7" t="str">
        <x:f>'Evaluation Plan'!D107</x:f>
        <x:v>P1 red block at R3 (5 cm right of center) [REFERENCE]; P2 green pen with 6 cm edge gap to the right of P1 [CLOSE CANDIDATE]; P3 yellow pen with 20 cm edge gap to the left of P1 [FAR CANDIDATE]; P4 blue block with 14 cm edge gap behind P1 [VISUAL COMPETITOR]</x:v>
      </x:c>
      <x:c r="E107" s="8" t="n">
        <x:f>IF(ISBLANK('Evaluation Plan'!E107),"",'Evaluation Plan'!E107)</x:f>
        <x:v>104</x:v>
      </x:c>
      <x:c r="F107" s="8" t="str">
        <x:f>'Evaluation Plan'!F107</x:f>
        <x:v>yellow pen</x:v>
      </x:c>
      <x:c r="G107" s="7"/>
      <x:c r="H107" s="8" t="str">
        <x:f>'Evaluation Plan'!H107</x:f>
        <x:v>Block furthest transfer</x:v>
      </x:c>
      <x:c r="I107" s="8" t="str">
        <x:f>'Evaluation Plan'!I107</x:f>
        <x:v>RD-BLK08</x:v>
      </x:c>
      <x:c r="J107" s="8" t="str">
        <x:f>'Evaluation Plan'!J107</x:f>
        <x:v>RD-BLK08</x:v>
      </x:c>
      <x:c r="K107" s="8" t="str">
        <x:f>'Evaluation Plan'!K107</x:f>
        <x:v>pen</x:v>
      </x:c>
      <x:c r="L107" s="8" t="str">
        <x:f>'Evaluation Plan'!L107</x:f>
        <x:v>furthest</x:v>
      </x:c>
      <x:c r="M107" s="8" t="n">
        <x:f>'Evaluation Plan'!M107</x:f>
        <x:v>4</x:v>
      </x:c>
      <x:c r="N107" s="8" t="str">
        <x:f>'Evaluation Plan'!N107</x:f>
        <x:v>2 — Block furthest transfer — Cross-task red/blue blocks as reference object; held-out furthest concept</x:v>
      </x:c>
      <x:c r="O107" s="8" t="n">
        <x:f>'Evaluation Plan'!O107</x:f>
        <x:v>58</x:v>
      </x:c>
      <x:c r="P107" s="7" t="str">
        <x:f>'Evaluation Plan'!P107</x:f>
        <x:v>Reset only the P2 closest target. Keep the scene exact; change only the query and expected target from closest to furthest.</x:v>
      </x:c>
      <x:c r="Q107" s="7" t="str">
        <x:f>'Evaluation Plan'!Q107</x:f>
        <x:v>Exact-scene closest→furthest comparison. Analyze block-as-candidate and block-as-reference families separately; this is cross-task visual transfer, not global novelty.</x:v>
      </x:c>
      <x:c r="R107" s="7" t="str">
        <x:f>IF(ISBLANK('Evaluation Plan'!R107),"",'Evaluation Plan'!R107)</x:f>
      </x:c>
    </x:row>
    <x:row r="108" ht="66" customHeight="1">
      <x:c r="A108" s="9" t="str">
        <x:v>Not collected</x:v>
      </x:c>
      <x:c r="B108" s="9" t="n">
        <x:f>'Evaluation Plan'!B108</x:f>
        <x:v>106</x:v>
      </x:c>
      <x:c r="C108" s="10" t="str">
        <x:f>'Evaluation Plan'!C108</x:f>
        <x:v>Move the airplane toy that is closest to the blue block into the bowl.</x:v>
      </x:c>
      <x:c r="D108" s="10" t="str">
        <x:f>'Evaluation Plan'!D108</x:f>
        <x:v>P1 blue block at R4 (5 cm toward the robot from center) [REFERENCE]; P2 airplane toy without propellers with 6 cm edge gap in front of P1 [CLOSE CANDIDATE]; P3 airplane toy with propellers with 20 cm edge gap behind P1 [FAR CANDIDATE]; P4 red block with 14 cm edge gap to the left of P1 [VISUAL COMPETITOR]; P5 green pen with 14 cm edge gap to the right of P1 [DISTRACTOR]</x:v>
      </x:c>
      <x:c r="E108" s="9" t="str">
        <x:f>IF(ISBLANK('Evaluation Plan'!E108),"",'Evaluation Plan'!E108)</x:f>
      </x:c>
      <x:c r="F108" s="9" t="str">
        <x:f>'Evaluation Plan'!F108</x:f>
        <x:v>airplane toy without propellers</x:v>
      </x:c>
      <x:c r="G108" s="10"/>
      <x:c r="H108" s="9" t="str">
        <x:f>'Evaluation Plan'!H108</x:f>
        <x:v>Block closest baseline</x:v>
      </x:c>
      <x:c r="I108" s="9" t="str">
        <x:f>'Evaluation Plan'!I108</x:f>
        <x:v>RD-BLK09</x:v>
      </x:c>
      <x:c r="J108" s="9" t="str">
        <x:f>'Evaluation Plan'!J108</x:f>
        <x:v>RD-BLK09</x:v>
      </x:c>
      <x:c r="K108" s="9" t="str">
        <x:f>'Evaluation Plan'!K108</x:f>
        <x:v>airplane toy</x:v>
      </x:c>
      <x:c r="L108" s="9" t="str">
        <x:f>'Evaluation Plan'!L108</x:f>
        <x:v>closest</x:v>
      </x:c>
      <x:c r="M108" s="9" t="n">
        <x:f>'Evaluation Plan'!M108</x:f>
        <x:v>5</x:v>
      </x:c>
      <x:c r="N108" s="9" t="str">
        <x:f>'Evaluation Plan'!N108</x:f>
        <x:v>1 — Block closest baseline — Cross-task red/blue blocks as reference object; seen closest concept</x:v>
      </x:c>
      <x:c r="O108" s="9" t="n">
        <x:f>'Evaluation Plan'!O108</x:f>
        <x:v>59</x:v>
      </x:c>
      <x:c r="P108" s="10" t="str">
        <x:f>'Evaluation Plan'!P108</x:f>
        <x:v>Build the listed scene with both red and blue blocks present. Save a first-frame filename before the baseline.</x:v>
      </x:c>
      <x:c r="Q108" s="10" t="str">
        <x:f>'Evaluation Plan'!Q108</x:f>
        <x:v>Red and blue blocks are equally trained in Relational Placement but absent from Referential Disambiguation. The closest baseline checks the relevant cross-task visual role.</x:v>
      </x:c>
      <x:c r="R108" s="10" t="str">
        <x:f>IF(ISBLANK('Evaluation Plan'!R108),"",'Evaluation Plan'!R108)</x:f>
      </x:c>
    </x:row>
    <x:row r="109" ht="66" customHeight="1">
      <x:c r="A109" s="8" t="str">
        <x:v>Not collected</x:v>
      </x:c>
      <x:c r="B109" s="8" t="n">
        <x:f>'Evaluation Plan'!B109</x:f>
        <x:v>107</x:v>
      </x:c>
      <x:c r="C109" s="7" t="str">
        <x:f>'Evaluation Plan'!C109</x:f>
        <x:v>Pick up the airplane toy furthest from the blue block and place it in the bowl.</x:v>
      </x:c>
      <x:c r="D109" s="7" t="str">
        <x:f>'Evaluation Plan'!D109</x:f>
        <x:v>P1 blue block at R4 (5 cm toward the robot from center) [REFERENCE]; P2 airplane toy without propellers with 6 cm edge gap in front of P1 [CLOSE CANDIDATE]; P3 airplane toy with propellers with 20 cm edge gap behind P1 [FAR CANDIDATE]; P4 red block with 14 cm edge gap to the left of P1 [VISUAL COMPETITOR]; P5 green pen with 14 cm edge gap to the right of P1 [DISTRACTOR]</x:v>
      </x:c>
      <x:c r="E109" s="8" t="n">
        <x:f>IF(ISBLANK('Evaluation Plan'!E109),"",'Evaluation Plan'!E109)</x:f>
        <x:v>106</x:v>
      </x:c>
      <x:c r="F109" s="8" t="str">
        <x:f>'Evaluation Plan'!F109</x:f>
        <x:v>airplane toy with propellers</x:v>
      </x:c>
      <x:c r="G109" s="7"/>
      <x:c r="H109" s="8" t="str">
        <x:f>'Evaluation Plan'!H109</x:f>
        <x:v>Block furthest transfer</x:v>
      </x:c>
      <x:c r="I109" s="8" t="str">
        <x:f>'Evaluation Plan'!I109</x:f>
        <x:v>RD-BLK09</x:v>
      </x:c>
      <x:c r="J109" s="8" t="str">
        <x:f>'Evaluation Plan'!J109</x:f>
        <x:v>RD-BLK09</x:v>
      </x:c>
      <x:c r="K109" s="8" t="str">
        <x:f>'Evaluation Plan'!K109</x:f>
        <x:v>airplane toy</x:v>
      </x:c>
      <x:c r="L109" s="8" t="str">
        <x:f>'Evaluation Plan'!L109</x:f>
        <x:v>furthest</x:v>
      </x:c>
      <x:c r="M109" s="8" t="n">
        <x:f>'Evaluation Plan'!M109</x:f>
        <x:v>5</x:v>
      </x:c>
      <x:c r="N109" s="8" t="str">
        <x:f>'Evaluation Plan'!N109</x:f>
        <x:v>2 — Block furthest transfer — Cross-task red/blue blocks as reference object; held-out furthest concept</x:v>
      </x:c>
      <x:c r="O109" s="8" t="n">
        <x:f>'Evaluation Plan'!O109</x:f>
        <x:v>59</x:v>
      </x:c>
      <x:c r="P109" s="7" t="str">
        <x:f>'Evaluation Plan'!P109</x:f>
        <x:v>Reset only the P2 closest target. Keep the scene exact; change only the query and expected target from closest to furthest.</x:v>
      </x:c>
      <x:c r="Q109" s="7" t="str">
        <x:f>'Evaluation Plan'!Q109</x:f>
        <x:v>Exact-scene closest→furthest comparison. Analyze block-as-candidate and block-as-reference families separately; this is cross-task visual transfer, not global novelty.</x:v>
      </x:c>
      <x:c r="R109" s="7" t="str">
        <x:f>IF(ISBLANK('Evaluation Plan'!R109),"",'Evaluation Plan'!R109)</x:f>
      </x:c>
    </x:row>
    <x:row r="110" ht="66" customHeight="1">
      <x:c r="A110" s="9" t="str">
        <x:v>Not collected</x:v>
      </x:c>
      <x:c r="B110" s="9" t="n">
        <x:f>'Evaluation Plan'!B110</x:f>
        <x:v>108</x:v>
      </x:c>
      <x:c r="C110" s="10" t="str">
        <x:f>'Evaluation Plan'!C110</x:f>
        <x:v>Pick up the crushed soda can nearest to the red block and place it in the bowl.</x:v>
      </x:c>
      <x:c r="D110" s="10" t="str">
        <x:f>'Evaluation Plan'!D110</x:f>
        <x:v>P1 red block at R5 (5 cm away from the robot from center) [REFERENCE]; P2 crushed Coke can with 6 cm edge gap behind P1 [CLOSE CANDIDATE]; P3 crushed Pepsi can with 20 cm edge gap in front of P1 [FAR CANDIDATE]; P4 blue block with 14 cm edge gap to the right of P1 [VISUAL COMPETITOR]</x:v>
      </x:c>
      <x:c r="E110" s="9" t="str">
        <x:f>IF(ISBLANK('Evaluation Plan'!E110),"",'Evaluation Plan'!E110)</x:f>
      </x:c>
      <x:c r="F110" s="9" t="str">
        <x:f>'Evaluation Plan'!F110</x:f>
        <x:v>crushed Coke can</x:v>
      </x:c>
      <x:c r="G110" s="10"/>
      <x:c r="H110" s="9" t="str">
        <x:f>'Evaluation Plan'!H110</x:f>
        <x:v>Block closest baseline</x:v>
      </x:c>
      <x:c r="I110" s="9" t="str">
        <x:f>'Evaluation Plan'!I110</x:f>
        <x:v>RD-BLK10</x:v>
      </x:c>
      <x:c r="J110" s="9" t="str">
        <x:f>'Evaluation Plan'!J110</x:f>
        <x:v>RD-BLK10</x:v>
      </x:c>
      <x:c r="K110" s="9" t="str">
        <x:f>'Evaluation Plan'!K110</x:f>
        <x:v>crushed soda can</x:v>
      </x:c>
      <x:c r="L110" s="9" t="str">
        <x:f>'Evaluation Plan'!L110</x:f>
        <x:v>closest</x:v>
      </x:c>
      <x:c r="M110" s="9" t="n">
        <x:f>'Evaluation Plan'!M110</x:f>
        <x:v>4</x:v>
      </x:c>
      <x:c r="N110" s="9" t="str">
        <x:f>'Evaluation Plan'!N110</x:f>
        <x:v>1 — Block closest baseline — Cross-task red/blue blocks as reference object; seen closest concept</x:v>
      </x:c>
      <x:c r="O110" s="9" t="n">
        <x:f>'Evaluation Plan'!O110</x:f>
        <x:v>60</x:v>
      </x:c>
      <x:c r="P110" s="10" t="str">
        <x:f>'Evaluation Plan'!P110</x:f>
        <x:v>Build the listed scene with both red and blue blocks present. Save a first-frame filename before the baseline.</x:v>
      </x:c>
      <x:c r="Q110" s="10" t="str">
        <x:f>'Evaluation Plan'!Q110</x:f>
        <x:v>Red and blue blocks are equally trained in Relational Placement but absent from Referential Disambiguation. The closest baseline checks the relevant cross-task visual role.</x:v>
      </x:c>
      <x:c r="R110" s="10" t="str">
        <x:f>IF(ISBLANK('Evaluation Plan'!R110),"",'Evaluation Plan'!R110)</x:f>
      </x:c>
    </x:row>
    <x:row r="111" ht="66" customHeight="1">
      <x:c r="A111" s="8" t="str">
        <x:v>Not collected</x:v>
      </x:c>
      <x:c r="B111" s="8" t="n">
        <x:f>'Evaluation Plan'!B111</x:f>
        <x:v>109</x:v>
      </x:c>
      <x:c r="C111" s="7" t="str">
        <x:f>'Evaluation Plan'!C111</x:f>
        <x:v>Pick up the crushed soda can furthest from the red block and place it in the bowl.</x:v>
      </x:c>
      <x:c r="D111" s="7" t="str">
        <x:f>'Evaluation Plan'!D111</x:f>
        <x:v>P1 red block at R5 (5 cm away from the robot from center) [REFERENCE]; P2 crushed Coke can with 6 cm edge gap behind P1 [CLOSE CANDIDATE]; P3 crushed Pepsi can with 20 cm edge gap in front of P1 [FAR CANDIDATE]; P4 blue block with 14 cm edge gap to the right of P1 [VISUAL COMPETITOR]</x:v>
      </x:c>
      <x:c r="E111" s="8" t="n">
        <x:f>IF(ISBLANK('Evaluation Plan'!E111),"",'Evaluation Plan'!E111)</x:f>
        <x:v>108</x:v>
      </x:c>
      <x:c r="F111" s="8" t="str">
        <x:f>'Evaluation Plan'!F111</x:f>
        <x:v>crushed Pepsi can</x:v>
      </x:c>
      <x:c r="G111" s="7"/>
      <x:c r="H111" s="8" t="str">
        <x:f>'Evaluation Plan'!H111</x:f>
        <x:v>Block furthest transfer</x:v>
      </x:c>
      <x:c r="I111" s="8" t="str">
        <x:f>'Evaluation Plan'!I111</x:f>
        <x:v>RD-BLK10</x:v>
      </x:c>
      <x:c r="J111" s="8" t="str">
        <x:f>'Evaluation Plan'!J111</x:f>
        <x:v>RD-BLK10</x:v>
      </x:c>
      <x:c r="K111" s="8" t="str">
        <x:f>'Evaluation Plan'!K111</x:f>
        <x:v>crushed soda can</x:v>
      </x:c>
      <x:c r="L111" s="8" t="str">
        <x:f>'Evaluation Plan'!L111</x:f>
        <x:v>furthest</x:v>
      </x:c>
      <x:c r="M111" s="8" t="n">
        <x:f>'Evaluation Plan'!M111</x:f>
        <x:v>4</x:v>
      </x:c>
      <x:c r="N111" s="8" t="str">
        <x:f>'Evaluation Plan'!N111</x:f>
        <x:v>2 — Block furthest transfer — Cross-task red/blue blocks as reference object; held-out furthest concept</x:v>
      </x:c>
      <x:c r="O111" s="8" t="n">
        <x:f>'Evaluation Plan'!O111</x:f>
        <x:v>60</x:v>
      </x:c>
      <x:c r="P111" s="7" t="str">
        <x:f>'Evaluation Plan'!P111</x:f>
        <x:v>Reset only the P2 closest target. Keep the scene exact; change only the query and expected target from closest to furthest.</x:v>
      </x:c>
      <x:c r="Q111" s="7" t="str">
        <x:f>'Evaluation Plan'!Q111</x:f>
        <x:v>Exact-scene closest→furthest comparison. Analyze block-as-candidate and block-as-reference families separately; this is cross-task visual transfer, not global novelty.</x:v>
      </x:c>
      <x:c r="R111" s="7" t="str">
        <x:f>IF(ISBLANK('Evaluation Plan'!R111),"",'Evaluation Plan'!R111)</x:f>
      </x:c>
    </x:row>
  </x:sheetData>
  <x:conditionalFormatting sqref="A2:R111">
    <x:cfRule type="expression" dxfId="20" priority="1">
      <x:formula>$A2="Success"</x:formula>
    </x:cfRule>
    <x:cfRule type="expression" dxfId="21" priority="2">
      <x:formula>$A2="Failure"</x:formula>
    </x:cfRule>
  </x:conditionalFormatting>
  <x:conditionalFormatting sqref="H2:H111">
    <x:cfRule type="containsText" dxfId="22" priority="3" operator="containsText" text="Concept/compositional transfer"/>
    <x:cfRule type="containsText" dxfId="23" priority="4" operator="containsText" text="Matched manipulation control"/>
    <x:cfRule type="containsText" dxfId="24" priority="5" operator="containsText" text="Block"/>
    <x:cfRule type="containsText" dxfId="25" priority="6" operator="containsText" text="Language robustness"/>
  </x:conditionalFormatting>
  <x:dataValidations count="1">
    <x:dataValidation type="list" sqref="A2:A111">
      <x:formula1>"Not collected,Success,Failure"</x:formula1>
    </x:dataValidation>
  </x:dataValidations>
  <x:pageMargins left="0.7" right="0.7" top="0.75" bottom="0.75" header="0.3" footer="0.3"/>
  <x:tableParts count="1">
    <x:tablePart xmlns:r="http://schemas.openxmlformats.org/officeDocument/2006/relationships" r:id="R16321644851f4b87"/>
  </x:tableParts>
</x:worksheet>
</file>